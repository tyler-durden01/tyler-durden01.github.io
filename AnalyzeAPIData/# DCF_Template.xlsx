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AnalyzeAPIData/"/>
    </mc:Choice>
  </mc:AlternateContent>
  <xr:revisionPtr revIDLastSave="934" documentId="8_{9EA9C5E8-47EA-498E-B0BA-3030CA3BA3D0}" xr6:coauthVersionLast="47" xr6:coauthVersionMax="47" xr10:uidLastSave="{BB497F9B-113C-4417-BC8C-399CF0D793D0}"/>
  <bookViews>
    <workbookView xWindow="-110" yWindow="-110" windowWidth="19420" windowHeight="10300" firstSheet="1" activeTab="1" xr2:uid="{00000000-000D-0000-FFFF-FFFF00000000}"/>
  </bookViews>
  <sheets>
    <sheet name="__FDSCACHE__" sheetId="1" state="veryHidden" r:id="rId1"/>
    <sheet name="WACC (2)" sheetId="19" r:id="rId2"/>
    <sheet name="WACC" sheetId="6" r:id="rId3"/>
    <sheet name="DCF-Detailed" sheetId="12" r:id="rId4"/>
    <sheet name="Summary" sheetId="5" r:id="rId5"/>
    <sheet name="Working Capital" sheetId="18" r:id="rId6"/>
    <sheet name="IS Detail" sheetId="14" r:id="rId7"/>
    <sheet name="Notes" sheetId="13" r:id="rId8"/>
    <sheet name="Python" sheetId="16" r:id="rId9"/>
    <sheet name="Notes Q3-2024" sheetId="17" r:id="rId10"/>
    <sheet name="Best Case" sheetId="15" r:id="rId11"/>
  </sheets>
  <externalReferences>
    <externalReference r:id="rId12"/>
  </externalReferences>
  <definedNames>
    <definedName name="_xlnm._FilterDatabase" localSheetId="8" hidden="1">Python!$C$2:$C$86</definedName>
    <definedName name="tgr" localSheetId="10">'Best Case'!$C$4</definedName>
    <definedName name="tgr" localSheetId="3">'DCF-Detailed'!$C$5</definedName>
    <definedName name="tgr" localSheetId="2">WACC!#REF!</definedName>
    <definedName name="tgr" localSheetId="1">'WACC (2)'!#REF!</definedName>
    <definedName name="tgr">#REF!</definedName>
    <definedName name="tgrr" localSheetId="10">'Best Case'!$C$4</definedName>
    <definedName name="tgrr" localSheetId="3">'DCF-Detailed'!$C$5</definedName>
    <definedName name="tgrr">#REF!</definedName>
    <definedName name="wacc" localSheetId="10">'Best Case'!$C$3</definedName>
    <definedName name="wacc" localSheetId="3">'DCF-Detailed'!$C$4</definedName>
    <definedName name="wacc" localSheetId="2">WACC!#REF!</definedName>
    <definedName name="wacc" localSheetId="1">'WACC (2)'!#REF!</definedName>
    <definedName name="wacc">#REF!</definedName>
    <definedName name="waccc" localSheetId="10">'Best Case'!$C$3</definedName>
    <definedName name="waccc" localSheetId="3">'DCF-Detailed'!$C$4</definedName>
    <definedName name="waccc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9" l="1"/>
  <c r="D14" i="19"/>
  <c r="D13" i="19"/>
  <c r="D12" i="19"/>
  <c r="D9" i="19"/>
  <c r="D6" i="19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S33" i="12" s="1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S30" i="12" s="1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AS21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S18" i="12" s="1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S15" i="12" s="1"/>
  <c r="AR14" i="12"/>
  <c r="AR15" i="12" s="1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AS12" i="12"/>
  <c r="BX11" i="12"/>
  <c r="BW11" i="12"/>
  <c r="BV11" i="12"/>
  <c r="BU11" i="12"/>
  <c r="BU23" i="12" s="1"/>
  <c r="BT11" i="12"/>
  <c r="BS11" i="12"/>
  <c r="BR11" i="12"/>
  <c r="BQ11" i="12"/>
  <c r="BP11" i="12"/>
  <c r="BO11" i="12"/>
  <c r="BO23" i="12" s="1"/>
  <c r="BN11" i="12"/>
  <c r="BM11" i="12"/>
  <c r="BL11" i="12"/>
  <c r="BK11" i="12"/>
  <c r="BK23" i="12" s="1"/>
  <c r="BJ11" i="12"/>
  <c r="BI11" i="12"/>
  <c r="BH11" i="12"/>
  <c r="BG11" i="12"/>
  <c r="BF11" i="12"/>
  <c r="BE11" i="12"/>
  <c r="BD11" i="12"/>
  <c r="BC11" i="12"/>
  <c r="BC23" i="12" s="1"/>
  <c r="BB11" i="12"/>
  <c r="BB23" i="12" s="1"/>
  <c r="BA11" i="12"/>
  <c r="AZ11" i="12"/>
  <c r="AY11" i="12"/>
  <c r="AY23" i="12" s="1"/>
  <c r="AX11" i="12"/>
  <c r="AW11" i="12"/>
  <c r="AV11" i="12"/>
  <c r="AU11" i="12"/>
  <c r="AU23" i="12" s="1"/>
  <c r="AT11" i="12"/>
  <c r="AT23" i="12" s="1"/>
  <c r="AS11" i="12"/>
  <c r="AR11" i="12"/>
  <c r="AQ11" i="12"/>
  <c r="AQ23" i="12" s="1"/>
  <c r="AP11" i="12"/>
  <c r="AO11" i="12"/>
  <c r="AN11" i="12"/>
  <c r="AM11" i="12"/>
  <c r="AM23" i="12" s="1"/>
  <c r="AL11" i="12"/>
  <c r="AK11" i="12"/>
  <c r="AJ11" i="12"/>
  <c r="AI11" i="12"/>
  <c r="AI23" i="12" s="1"/>
  <c r="AH11" i="12"/>
  <c r="AH23" i="12" s="1"/>
  <c r="AG11" i="12"/>
  <c r="AG23" i="12" s="1"/>
  <c r="AF11" i="12"/>
  <c r="AE11" i="12"/>
  <c r="AD11" i="12"/>
  <c r="AD23" i="12" s="1"/>
  <c r="AC11" i="12"/>
  <c r="AB11" i="12"/>
  <c r="AA11" i="12"/>
  <c r="AA23" i="12" s="1"/>
  <c r="Z11" i="12"/>
  <c r="Y11" i="12"/>
  <c r="X11" i="12"/>
  <c r="W11" i="12"/>
  <c r="V11" i="12"/>
  <c r="V23" i="12" s="1"/>
  <c r="U11" i="12"/>
  <c r="T11" i="12"/>
  <c r="S11" i="12"/>
  <c r="S23" i="12" s="1"/>
  <c r="R11" i="12"/>
  <c r="R23" i="12" s="1"/>
  <c r="Q11" i="12"/>
  <c r="P11" i="12"/>
  <c r="O11" i="12"/>
  <c r="O23" i="12" s="1"/>
  <c r="N11" i="12"/>
  <c r="M11" i="12"/>
  <c r="L11" i="12"/>
  <c r="K11" i="12"/>
  <c r="J11" i="12"/>
  <c r="I11" i="12"/>
  <c r="H11" i="12"/>
  <c r="F32" i="12"/>
  <c r="E32" i="12"/>
  <c r="D32" i="12"/>
  <c r="F29" i="12"/>
  <c r="E29" i="12"/>
  <c r="D29" i="12"/>
  <c r="F26" i="12"/>
  <c r="E26" i="12"/>
  <c r="D26" i="12"/>
  <c r="F20" i="12"/>
  <c r="E20" i="12"/>
  <c r="D20" i="12"/>
  <c r="F17" i="12"/>
  <c r="E17" i="12"/>
  <c r="D17" i="12"/>
  <c r="F14" i="12"/>
  <c r="E14" i="12"/>
  <c r="D14" i="12"/>
  <c r="F11" i="12"/>
  <c r="E11" i="12"/>
  <c r="D11" i="12"/>
  <c r="U2" i="18"/>
  <c r="AB3" i="18"/>
  <c r="AC3" i="18"/>
  <c r="D3" i="18"/>
  <c r="D4" i="18" s="1"/>
  <c r="D2" i="18"/>
  <c r="F1" i="18"/>
  <c r="G1" i="18"/>
  <c r="G3" i="18" s="1"/>
  <c r="H1" i="18"/>
  <c r="H3" i="18" s="1"/>
  <c r="I1" i="18"/>
  <c r="I3" i="18" s="1"/>
  <c r="J1" i="18"/>
  <c r="K1" i="18"/>
  <c r="L1" i="18"/>
  <c r="L2" i="18" s="1"/>
  <c r="M1" i="18"/>
  <c r="M2" i="18" s="1"/>
  <c r="N1" i="18"/>
  <c r="O1" i="18"/>
  <c r="P1" i="18"/>
  <c r="P3" i="18" s="1"/>
  <c r="Q1" i="18"/>
  <c r="Q3" i="18" s="1"/>
  <c r="R1" i="18"/>
  <c r="S1" i="18"/>
  <c r="S3" i="18" s="1"/>
  <c r="T1" i="18"/>
  <c r="T3" i="18" s="1"/>
  <c r="U1" i="18"/>
  <c r="U3" i="18" s="1"/>
  <c r="V1" i="18"/>
  <c r="W1" i="18"/>
  <c r="X1" i="18"/>
  <c r="X2" i="18" s="1"/>
  <c r="Y1" i="18"/>
  <c r="Y2" i="18" s="1"/>
  <c r="Z1" i="18"/>
  <c r="AA1" i="18"/>
  <c r="AB1" i="18"/>
  <c r="AC1" i="18"/>
  <c r="AD1" i="18"/>
  <c r="AE1" i="18"/>
  <c r="AE3" i="18" s="1"/>
  <c r="AF1" i="18"/>
  <c r="AF3" i="18" s="1"/>
  <c r="AG1" i="18"/>
  <c r="AH1" i="18"/>
  <c r="AI1" i="18"/>
  <c r="AJ1" i="18"/>
  <c r="AJ2" i="18" s="1"/>
  <c r="AK1" i="18"/>
  <c r="AK2" i="18" s="1"/>
  <c r="AL1" i="18"/>
  <c r="AM1" i="18"/>
  <c r="AN1" i="18"/>
  <c r="AN3" i="18" s="1"/>
  <c r="AO1" i="18"/>
  <c r="AO3" i="18" s="1"/>
  <c r="AP1" i="18"/>
  <c r="AQ1" i="18"/>
  <c r="AQ3" i="18" s="1"/>
  <c r="AR1" i="18"/>
  <c r="AR3" i="18" s="1"/>
  <c r="AS1" i="18"/>
  <c r="AS3" i="18" s="1"/>
  <c r="E1" i="18"/>
  <c r="D9" i="6"/>
  <c r="D4" i="6"/>
  <c r="AR7" i="12"/>
  <c r="AS7" i="12"/>
  <c r="AR8" i="12"/>
  <c r="AR18" i="12" s="1"/>
  <c r="AT7" i="12"/>
  <c r="G32" i="12"/>
  <c r="D16" i="19" l="1"/>
  <c r="D10" i="19" s="1"/>
  <c r="D11" i="19"/>
  <c r="AR12" i="12"/>
  <c r="I2" i="18"/>
  <c r="AE23" i="12"/>
  <c r="AP23" i="12"/>
  <c r="BF23" i="12"/>
  <c r="BN23" i="12"/>
  <c r="AR21" i="12"/>
  <c r="AG3" i="18"/>
  <c r="AG4" i="18" s="1"/>
  <c r="AG2" i="18"/>
  <c r="I4" i="18"/>
  <c r="BW23" i="12"/>
  <c r="BV35" i="12"/>
  <c r="BN35" i="12"/>
  <c r="BF35" i="12"/>
  <c r="AX35" i="12"/>
  <c r="BU35" i="12"/>
  <c r="BM35" i="12"/>
  <c r="BE35" i="12"/>
  <c r="AW35" i="12"/>
  <c r="BT35" i="12"/>
  <c r="BL35" i="12"/>
  <c r="BD35" i="12"/>
  <c r="AV35" i="12"/>
  <c r="BS35" i="12"/>
  <c r="BK35" i="12"/>
  <c r="BC35" i="12"/>
  <c r="AU35" i="12"/>
  <c r="BR35" i="12"/>
  <c r="BJ35" i="12"/>
  <c r="BB35" i="12"/>
  <c r="AT35" i="12"/>
  <c r="BQ35" i="12"/>
  <c r="BI35" i="12"/>
  <c r="BA35" i="12"/>
  <c r="AS35" i="12"/>
  <c r="AS36" i="12" s="1"/>
  <c r="BX35" i="12"/>
  <c r="BP35" i="12"/>
  <c r="BH35" i="12"/>
  <c r="AZ35" i="12"/>
  <c r="BW35" i="12"/>
  <c r="BO35" i="12"/>
  <c r="BG35" i="12"/>
  <c r="AY35" i="12"/>
  <c r="U4" i="18"/>
  <c r="AS2" i="18"/>
  <c r="AS4" i="18" s="1"/>
  <c r="U23" i="12"/>
  <c r="AS23" i="12"/>
  <c r="AS24" i="12" s="1"/>
  <c r="BQ23" i="12"/>
  <c r="T15" i="12"/>
  <c r="H23" i="12"/>
  <c r="AF23" i="12"/>
  <c r="AF27" i="12" s="1"/>
  <c r="AV23" i="12"/>
  <c r="BT23" i="12"/>
  <c r="P33" i="12"/>
  <c r="AI30" i="12"/>
  <c r="BU27" i="12"/>
  <c r="L30" i="12"/>
  <c r="AR30" i="12"/>
  <c r="T23" i="12"/>
  <c r="AJ23" i="12"/>
  <c r="AJ24" i="12" s="1"/>
  <c r="AR23" i="12"/>
  <c r="AR24" i="12" s="1"/>
  <c r="BH23" i="12"/>
  <c r="BP23" i="12"/>
  <c r="AI15" i="12"/>
  <c r="AA33" i="12"/>
  <c r="L33" i="12"/>
  <c r="AR33" i="12"/>
  <c r="AU27" i="12"/>
  <c r="AI27" i="12"/>
  <c r="I23" i="12"/>
  <c r="W23" i="12"/>
  <c r="W27" i="12" s="1"/>
  <c r="AN23" i="12"/>
  <c r="BR23" i="12"/>
  <c r="L27" i="12"/>
  <c r="X27" i="12"/>
  <c r="AV27" i="12"/>
  <c r="BH27" i="12"/>
  <c r="BT27" i="12"/>
  <c r="AO23" i="12"/>
  <c r="Y23" i="12"/>
  <c r="K23" i="12"/>
  <c r="BE23" i="12"/>
  <c r="Z27" i="12"/>
  <c r="J23" i="12"/>
  <c r="AK23" i="12"/>
  <c r="AK24" i="12" s="1"/>
  <c r="N23" i="12"/>
  <c r="N27" i="12" s="1"/>
  <c r="Z23" i="12"/>
  <c r="AL23" i="12"/>
  <c r="AL27" i="12" s="1"/>
  <c r="AX23" i="12"/>
  <c r="BJ23" i="12"/>
  <c r="BV23" i="12"/>
  <c r="L23" i="12"/>
  <c r="AB23" i="12"/>
  <c r="BX23" i="12"/>
  <c r="O27" i="12"/>
  <c r="AA27" i="12"/>
  <c r="AM27" i="12"/>
  <c r="AY27" i="12"/>
  <c r="BK27" i="12"/>
  <c r="BW27" i="12"/>
  <c r="X23" i="12"/>
  <c r="BD23" i="12"/>
  <c r="BS23" i="12"/>
  <c r="M23" i="12"/>
  <c r="AW23" i="12"/>
  <c r="BI23" i="12"/>
  <c r="AC23" i="12"/>
  <c r="BG23" i="12"/>
  <c r="AN27" i="12"/>
  <c r="BL27" i="12"/>
  <c r="BX27" i="12"/>
  <c r="P23" i="12"/>
  <c r="P24" i="12" s="1"/>
  <c r="AO27" i="12"/>
  <c r="Q23" i="12"/>
  <c r="BL23" i="12"/>
  <c r="R27" i="12"/>
  <c r="AD27" i="12"/>
  <c r="AP27" i="12"/>
  <c r="BB27" i="12"/>
  <c r="BN27" i="12"/>
  <c r="BM23" i="12"/>
  <c r="S27" i="12"/>
  <c r="AE27" i="12"/>
  <c r="AQ27" i="12"/>
  <c r="BC27" i="12"/>
  <c r="BO27" i="12"/>
  <c r="H27" i="12"/>
  <c r="T27" i="12"/>
  <c r="BD27" i="12"/>
  <c r="BP27" i="12"/>
  <c r="AZ23" i="12"/>
  <c r="I27" i="12"/>
  <c r="U27" i="12"/>
  <c r="AG27" i="12"/>
  <c r="AS27" i="12"/>
  <c r="BE27" i="12"/>
  <c r="BQ27" i="12"/>
  <c r="BA23" i="12"/>
  <c r="J27" i="12"/>
  <c r="V27" i="12"/>
  <c r="AH27" i="12"/>
  <c r="AT27" i="12"/>
  <c r="BF27" i="12"/>
  <c r="BR27" i="12"/>
  <c r="K27" i="12"/>
  <c r="D23" i="12"/>
  <c r="D24" i="12" s="1"/>
  <c r="F23" i="12"/>
  <c r="F27" i="12" s="1"/>
  <c r="E23" i="12"/>
  <c r="AP3" i="18"/>
  <c r="AD3" i="18"/>
  <c r="R3" i="18"/>
  <c r="F3" i="18"/>
  <c r="AI2" i="18"/>
  <c r="W2" i="18"/>
  <c r="K2" i="18"/>
  <c r="E3" i="18"/>
  <c r="E4" i="18" s="1"/>
  <c r="E5" i="18" s="1"/>
  <c r="D35" i="12" s="1"/>
  <c r="D36" i="12" s="1"/>
  <c r="AH2" i="18"/>
  <c r="V2" i="18"/>
  <c r="J2" i="18"/>
  <c r="AM3" i="18"/>
  <c r="AM4" i="18" s="1"/>
  <c r="AA3" i="18"/>
  <c r="AA4" i="18" s="1"/>
  <c r="O3" i="18"/>
  <c r="AR2" i="18"/>
  <c r="AR4" i="18" s="1"/>
  <c r="AR5" i="18" s="1"/>
  <c r="AF2" i="18"/>
  <c r="AF4" i="18" s="1"/>
  <c r="AF5" i="18" s="1"/>
  <c r="T2" i="18"/>
  <c r="T4" i="18" s="1"/>
  <c r="H2" i="18"/>
  <c r="H4" i="18" s="1"/>
  <c r="AL3" i="18"/>
  <c r="Z3" i="18"/>
  <c r="Z4" i="18" s="1"/>
  <c r="Z5" i="18" s="1"/>
  <c r="Z7" i="18" s="1"/>
  <c r="N3" i="18"/>
  <c r="N4" i="18" s="1"/>
  <c r="AQ2" i="18"/>
  <c r="AQ4" i="18" s="1"/>
  <c r="AE2" i="18"/>
  <c r="AE4" i="18" s="1"/>
  <c r="S2" i="18"/>
  <c r="S4" i="18" s="1"/>
  <c r="G2" i="18"/>
  <c r="G4" i="18" s="1"/>
  <c r="AK3" i="18"/>
  <c r="AK4" i="18" s="1"/>
  <c r="Y3" i="18"/>
  <c r="Y4" i="18" s="1"/>
  <c r="M3" i="18"/>
  <c r="M4" i="18" s="1"/>
  <c r="M5" i="18" s="1"/>
  <c r="M7" i="18" s="1"/>
  <c r="AP2" i="18"/>
  <c r="AD2" i="18"/>
  <c r="R2" i="18"/>
  <c r="F2" i="18"/>
  <c r="AJ3" i="18"/>
  <c r="AJ4" i="18" s="1"/>
  <c r="X3" i="18"/>
  <c r="X4" i="18" s="1"/>
  <c r="L3" i="18"/>
  <c r="L4" i="18" s="1"/>
  <c r="AO2" i="18"/>
  <c r="AO4" i="18" s="1"/>
  <c r="AO5" i="18" s="1"/>
  <c r="AC2" i="18"/>
  <c r="AC4" i="18" s="1"/>
  <c r="Q2" i="18"/>
  <c r="Q4" i="18" s="1"/>
  <c r="E2" i="18"/>
  <c r="AI3" i="18"/>
  <c r="AI4" i="18" s="1"/>
  <c r="W3" i="18"/>
  <c r="W4" i="18" s="1"/>
  <c r="W5" i="18" s="1"/>
  <c r="W7" i="18" s="1"/>
  <c r="K3" i="18"/>
  <c r="K4" i="18" s="1"/>
  <c r="AN2" i="18"/>
  <c r="AN4" i="18" s="1"/>
  <c r="AB2" i="18"/>
  <c r="AB4" i="18" s="1"/>
  <c r="AB5" i="18" s="1"/>
  <c r="P2" i="18"/>
  <c r="P4" i="18" s="1"/>
  <c r="AH3" i="18"/>
  <c r="V3" i="18"/>
  <c r="V4" i="18" s="1"/>
  <c r="V5" i="18" s="1"/>
  <c r="V7" i="18" s="1"/>
  <c r="J3" i="18"/>
  <c r="J4" i="18" s="1"/>
  <c r="J5" i="18" s="1"/>
  <c r="AM2" i="18"/>
  <c r="AA2" i="18"/>
  <c r="O2" i="18"/>
  <c r="AL2" i="18"/>
  <c r="Z2" i="18"/>
  <c r="N2" i="18"/>
  <c r="G29" i="12"/>
  <c r="G30" i="12" s="1"/>
  <c r="G26" i="12"/>
  <c r="G11" i="12"/>
  <c r="AQ8" i="12"/>
  <c r="AQ15" i="12" s="1"/>
  <c r="AP8" i="12"/>
  <c r="AO8" i="12"/>
  <c r="AO21" i="12" s="1"/>
  <c r="AN8" i="12"/>
  <c r="AR9" i="12" s="1"/>
  <c r="AM8" i="12"/>
  <c r="AM12" i="12" s="1"/>
  <c r="AL8" i="12"/>
  <c r="AK8" i="12"/>
  <c r="AK33" i="12" s="1"/>
  <c r="AJ8" i="12"/>
  <c r="AJ18" i="12" s="1"/>
  <c r="AI8" i="12"/>
  <c r="AI21" i="12" s="1"/>
  <c r="AH8" i="12"/>
  <c r="AG8" i="12"/>
  <c r="AG21" i="12" s="1"/>
  <c r="AF8" i="12"/>
  <c r="AF15" i="12" s="1"/>
  <c r="AE8" i="12"/>
  <c r="AE15" i="12" s="1"/>
  <c r="AD8" i="12"/>
  <c r="AC8" i="12"/>
  <c r="AC15" i="12" s="1"/>
  <c r="AB8" i="12"/>
  <c r="AB21" i="12" s="1"/>
  <c r="AA8" i="12"/>
  <c r="Z8" i="12"/>
  <c r="Y8" i="12"/>
  <c r="X8" i="12"/>
  <c r="X12" i="12" s="1"/>
  <c r="W8" i="12"/>
  <c r="W15" i="12" s="1"/>
  <c r="V8" i="12"/>
  <c r="U8" i="12"/>
  <c r="U30" i="12" s="1"/>
  <c r="T8" i="12"/>
  <c r="T21" i="12" s="1"/>
  <c r="S8" i="12"/>
  <c r="R8" i="12"/>
  <c r="Q8" i="12"/>
  <c r="P8" i="12"/>
  <c r="P18" i="12" s="1"/>
  <c r="O8" i="12"/>
  <c r="O33" i="12" s="1"/>
  <c r="N8" i="12"/>
  <c r="M8" i="12"/>
  <c r="L8" i="12"/>
  <c r="L21" i="12" s="1"/>
  <c r="K8" i="12"/>
  <c r="K18" i="12" s="1"/>
  <c r="J8" i="12"/>
  <c r="I8" i="12"/>
  <c r="H8" i="12"/>
  <c r="H15" i="12" s="1"/>
  <c r="G8" i="12"/>
  <c r="G33" i="12" s="1"/>
  <c r="F8" i="12"/>
  <c r="E8" i="12"/>
  <c r="D8" i="12"/>
  <c r="D33" i="12" s="1"/>
  <c r="G20" i="12"/>
  <c r="G17" i="12"/>
  <c r="G14" i="12"/>
  <c r="D5" i="19" l="1"/>
  <c r="D18" i="19" s="1"/>
  <c r="AN5" i="18"/>
  <c r="AN7" i="18" s="1"/>
  <c r="Q21" i="12"/>
  <c r="Q15" i="12"/>
  <c r="Q30" i="12"/>
  <c r="Q33" i="12"/>
  <c r="Q18" i="12"/>
  <c r="Q12" i="12"/>
  <c r="J30" i="12"/>
  <c r="J12" i="12"/>
  <c r="J18" i="12"/>
  <c r="J33" i="12"/>
  <c r="J21" i="12"/>
  <c r="J15" i="12"/>
  <c r="R21" i="12"/>
  <c r="R15" i="12"/>
  <c r="R30" i="12"/>
  <c r="R24" i="12"/>
  <c r="R18" i="12"/>
  <c r="R33" i="12"/>
  <c r="R12" i="12"/>
  <c r="AH33" i="12"/>
  <c r="AH21" i="12"/>
  <c r="AH15" i="12"/>
  <c r="AH12" i="12"/>
  <c r="AH30" i="12"/>
  <c r="AH24" i="12"/>
  <c r="AH18" i="12"/>
  <c r="AP12" i="12"/>
  <c r="AP33" i="12"/>
  <c r="AP21" i="12"/>
  <c r="AP15" i="12"/>
  <c r="AP18" i="12"/>
  <c r="AP30" i="12"/>
  <c r="H5" i="18"/>
  <c r="M12" i="12"/>
  <c r="M18" i="12"/>
  <c r="M15" i="12"/>
  <c r="M33" i="12"/>
  <c r="M21" i="12"/>
  <c r="M30" i="12"/>
  <c r="S5" i="18"/>
  <c r="Y12" i="12"/>
  <c r="Y15" i="12"/>
  <c r="Y21" i="12"/>
  <c r="Y33" i="12"/>
  <c r="Y30" i="12"/>
  <c r="Y18" i="12"/>
  <c r="Z18" i="12"/>
  <c r="Z21" i="12"/>
  <c r="Z15" i="12"/>
  <c r="Z12" i="12"/>
  <c r="Z30" i="12"/>
  <c r="Z33" i="12"/>
  <c r="T5" i="18"/>
  <c r="F33" i="12"/>
  <c r="F12" i="12"/>
  <c r="F15" i="12"/>
  <c r="F18" i="12"/>
  <c r="F30" i="12"/>
  <c r="F21" i="12"/>
  <c r="V21" i="12"/>
  <c r="V18" i="12"/>
  <c r="V24" i="12"/>
  <c r="V30" i="12"/>
  <c r="V33" i="12"/>
  <c r="V15" i="12"/>
  <c r="V12" i="12"/>
  <c r="AR7" i="18"/>
  <c r="AQ35" i="12"/>
  <c r="AQ36" i="12" s="1"/>
  <c r="AS5" i="18"/>
  <c r="Q5" i="18"/>
  <c r="J7" i="18"/>
  <c r="I35" i="12"/>
  <c r="I36" i="12" s="1"/>
  <c r="AF7" i="18"/>
  <c r="AE35" i="12"/>
  <c r="AE36" i="12" s="1"/>
  <c r="N30" i="12"/>
  <c r="N18" i="12"/>
  <c r="N33" i="12"/>
  <c r="N15" i="12"/>
  <c r="N12" i="12"/>
  <c r="N21" i="12"/>
  <c r="AD15" i="12"/>
  <c r="AD21" i="12"/>
  <c r="AD18" i="12"/>
  <c r="AD12" i="12"/>
  <c r="AD24" i="12"/>
  <c r="AD30" i="12"/>
  <c r="AD33" i="12"/>
  <c r="AL33" i="12"/>
  <c r="AL15" i="12"/>
  <c r="AL12" i="12"/>
  <c r="AL21" i="12"/>
  <c r="AL18" i="12"/>
  <c r="AL30" i="12"/>
  <c r="AC5" i="18"/>
  <c r="E33" i="12"/>
  <c r="E21" i="12"/>
  <c r="E12" i="12"/>
  <c r="E18" i="12"/>
  <c r="E30" i="12"/>
  <c r="E15" i="12"/>
  <c r="I30" i="12"/>
  <c r="I33" i="12"/>
  <c r="I18" i="12"/>
  <c r="I12" i="12"/>
  <c r="I15" i="12"/>
  <c r="I21" i="12"/>
  <c r="AB7" i="18"/>
  <c r="AA35" i="12"/>
  <c r="AA36" i="12" s="1"/>
  <c r="AO7" i="18"/>
  <c r="AN35" i="12"/>
  <c r="AN36" i="12" s="1"/>
  <c r="S21" i="12"/>
  <c r="S15" i="12"/>
  <c r="AA18" i="12"/>
  <c r="AA12" i="12"/>
  <c r="L5" i="18"/>
  <c r="Y5" i="18"/>
  <c r="AL4" i="18"/>
  <c r="AL5" i="18" s="1"/>
  <c r="R4" i="18"/>
  <c r="R5" i="18" s="1"/>
  <c r="X24" i="12"/>
  <c r="AB24" i="12"/>
  <c r="AL24" i="12"/>
  <c r="AM30" i="12"/>
  <c r="AJ33" i="12"/>
  <c r="H18" i="12"/>
  <c r="AJ30" i="12"/>
  <c r="AN33" i="12"/>
  <c r="AB18" i="12"/>
  <c r="O15" i="12"/>
  <c r="P12" i="12"/>
  <c r="AF30" i="12"/>
  <c r="U5" i="18"/>
  <c r="P30" i="12"/>
  <c r="K21" i="12"/>
  <c r="AA24" i="12"/>
  <c r="P15" i="12"/>
  <c r="AP24" i="12"/>
  <c r="AN21" i="12"/>
  <c r="AG18" i="12"/>
  <c r="D21" i="12"/>
  <c r="W21" i="12"/>
  <c r="AE24" i="12"/>
  <c r="K30" i="12"/>
  <c r="D18" i="12"/>
  <c r="F4" i="18"/>
  <c r="F5" i="18" s="1"/>
  <c r="G12" i="12"/>
  <c r="K5" i="18"/>
  <c r="X5" i="18"/>
  <c r="AK5" i="18"/>
  <c r="AD4" i="18"/>
  <c r="AD5" i="18" s="1"/>
  <c r="H12" i="12"/>
  <c r="L24" i="12"/>
  <c r="Z24" i="12"/>
  <c r="AJ27" i="12"/>
  <c r="AI24" i="12"/>
  <c r="AC33" i="12"/>
  <c r="AE30" i="12"/>
  <c r="AB33" i="12"/>
  <c r="AB30" i="12"/>
  <c r="AO33" i="12"/>
  <c r="AF33" i="12"/>
  <c r="AC21" i="12"/>
  <c r="T18" i="12"/>
  <c r="H24" i="12"/>
  <c r="X30" i="12"/>
  <c r="K12" i="12"/>
  <c r="AF21" i="12"/>
  <c r="W33" i="12"/>
  <c r="O21" i="12"/>
  <c r="O24" i="12"/>
  <c r="AM18" i="12"/>
  <c r="U15" i="12"/>
  <c r="U21" i="12"/>
  <c r="AK21" i="12"/>
  <c r="AK12" i="12"/>
  <c r="AJ5" i="18"/>
  <c r="AP4" i="18"/>
  <c r="AP5" i="18" s="1"/>
  <c r="AC24" i="12"/>
  <c r="N24" i="12"/>
  <c r="K24" i="12"/>
  <c r="U33" i="12"/>
  <c r="W30" i="12"/>
  <c r="T33" i="12"/>
  <c r="AQ33" i="12"/>
  <c r="T30" i="12"/>
  <c r="AG33" i="12"/>
  <c r="AQ30" i="12"/>
  <c r="X33" i="12"/>
  <c r="L18" i="12"/>
  <c r="AB15" i="12"/>
  <c r="L35" i="12"/>
  <c r="L36" i="12" s="1"/>
  <c r="I5" i="18"/>
  <c r="D15" i="12"/>
  <c r="X21" i="12"/>
  <c r="D30" i="12"/>
  <c r="O12" i="12"/>
  <c r="O18" i="12"/>
  <c r="AK18" i="12"/>
  <c r="AC12" i="12"/>
  <c r="O30" i="12"/>
  <c r="AO15" i="12"/>
  <c r="P21" i="12"/>
  <c r="M24" i="12"/>
  <c r="AG12" i="12"/>
  <c r="AR27" i="12"/>
  <c r="AI12" i="12"/>
  <c r="AW27" i="12"/>
  <c r="S12" i="12"/>
  <c r="AK27" i="12"/>
  <c r="Y24" i="12"/>
  <c r="S33" i="12"/>
  <c r="AN18" i="12"/>
  <c r="AA15" i="12"/>
  <c r="AB12" i="12"/>
  <c r="H33" i="12"/>
  <c r="D12" i="12"/>
  <c r="L15" i="12"/>
  <c r="AC18" i="12"/>
  <c r="U24" i="12"/>
  <c r="AG24" i="12"/>
  <c r="U35" i="12"/>
  <c r="U36" i="12" s="1"/>
  <c r="V35" i="12"/>
  <c r="V36" i="12" s="1"/>
  <c r="AQ24" i="12"/>
  <c r="AQ18" i="12"/>
  <c r="AC30" i="12"/>
  <c r="H21" i="12"/>
  <c r="AE18" i="12"/>
  <c r="AJ15" i="12"/>
  <c r="X15" i="12"/>
  <c r="AG30" i="12"/>
  <c r="AH4" i="18"/>
  <c r="AH5" i="18" s="1"/>
  <c r="O4" i="18"/>
  <c r="O5" i="18" s="1"/>
  <c r="E24" i="12"/>
  <c r="U12" i="12"/>
  <c r="T12" i="12"/>
  <c r="Y27" i="12"/>
  <c r="J24" i="12"/>
  <c r="AO24" i="12"/>
  <c r="AN24" i="12"/>
  <c r="AF18" i="12"/>
  <c r="K15" i="12"/>
  <c r="T24" i="12"/>
  <c r="AM33" i="12"/>
  <c r="AN12" i="12"/>
  <c r="AQ12" i="12"/>
  <c r="AJ21" i="12"/>
  <c r="U18" i="12"/>
  <c r="AQ21" i="12"/>
  <c r="S24" i="12"/>
  <c r="AI18" i="12"/>
  <c r="W18" i="12"/>
  <c r="AM24" i="12"/>
  <c r="AK15" i="12"/>
  <c r="AS9" i="12"/>
  <c r="AT9" i="12" s="1"/>
  <c r="AT8" i="12" s="1"/>
  <c r="AT36" i="12" s="1"/>
  <c r="AO30" i="12"/>
  <c r="N5" i="18"/>
  <c r="AA5" i="18"/>
  <c r="F24" i="12"/>
  <c r="Q24" i="12"/>
  <c r="W24" i="12"/>
  <c r="X18" i="12"/>
  <c r="L12" i="12"/>
  <c r="AE33" i="12"/>
  <c r="AM15" i="12"/>
  <c r="AF24" i="12"/>
  <c r="AI33" i="12"/>
  <c r="Y35" i="12"/>
  <c r="Y36" i="12" s="1"/>
  <c r="S18" i="12"/>
  <c r="AG5" i="18"/>
  <c r="AN15" i="12"/>
  <c r="AO12" i="12"/>
  <c r="AM21" i="12"/>
  <c r="AA30" i="12"/>
  <c r="W12" i="12"/>
  <c r="AG15" i="12"/>
  <c r="AJ12" i="12"/>
  <c r="AF12" i="12"/>
  <c r="I24" i="12"/>
  <c r="AK30" i="12"/>
  <c r="H30" i="12"/>
  <c r="AN30" i="12"/>
  <c r="K33" i="12"/>
  <c r="AA21" i="12"/>
  <c r="AO18" i="12"/>
  <c r="AE21" i="12"/>
  <c r="AE12" i="12"/>
  <c r="S30" i="12"/>
  <c r="AX27" i="12"/>
  <c r="AZ27" i="12"/>
  <c r="BM27" i="12"/>
  <c r="AB27" i="12"/>
  <c r="BA27" i="12"/>
  <c r="P27" i="12"/>
  <c r="BI27" i="12"/>
  <c r="BG27" i="12"/>
  <c r="M27" i="12"/>
  <c r="AC27" i="12"/>
  <c r="Q27" i="12"/>
  <c r="BS27" i="12"/>
  <c r="BV27" i="12"/>
  <c r="BJ27" i="12"/>
  <c r="E27" i="12"/>
  <c r="D27" i="12"/>
  <c r="AD9" i="12"/>
  <c r="G18" i="12"/>
  <c r="G21" i="12"/>
  <c r="AB9" i="12"/>
  <c r="U9" i="12"/>
  <c r="S9" i="12"/>
  <c r="W9" i="12"/>
  <c r="AE9" i="12"/>
  <c r="AM9" i="12"/>
  <c r="P9" i="12"/>
  <c r="H9" i="12"/>
  <c r="X9" i="12"/>
  <c r="AN9" i="12"/>
  <c r="I9" i="12"/>
  <c r="Q9" i="12"/>
  <c r="Y9" i="12"/>
  <c r="AG9" i="12"/>
  <c r="J9" i="12"/>
  <c r="R9" i="12"/>
  <c r="Z9" i="12"/>
  <c r="AH9" i="12"/>
  <c r="AF9" i="12"/>
  <c r="K9" i="12"/>
  <c r="T9" i="12"/>
  <c r="AJ9" i="12"/>
  <c r="L9" i="12"/>
  <c r="V9" i="12"/>
  <c r="AL9" i="12"/>
  <c r="G23" i="12"/>
  <c r="G24" i="12" s="1"/>
  <c r="G15" i="12"/>
  <c r="M9" i="12"/>
  <c r="N9" i="12"/>
  <c r="O9" i="12"/>
  <c r="AI9" i="12"/>
  <c r="AA9" i="12"/>
  <c r="AK9" i="12"/>
  <c r="AC9" i="12"/>
  <c r="I7" i="12"/>
  <c r="M7" i="12" s="1"/>
  <c r="Q7" i="12" s="1"/>
  <c r="U7" i="12" s="1"/>
  <c r="Y7" i="12" s="1"/>
  <c r="AC7" i="12" s="1"/>
  <c r="AG7" i="12" s="1"/>
  <c r="AK7" i="12" s="1"/>
  <c r="AO7" i="12" s="1"/>
  <c r="AW7" i="12" s="1"/>
  <c r="BA7" i="12" s="1"/>
  <c r="BE7" i="12" s="1"/>
  <c r="BI7" i="12" s="1"/>
  <c r="BM7" i="12" s="1"/>
  <c r="BQ7" i="12" s="1"/>
  <c r="BU7" i="12" s="1"/>
  <c r="J7" i="12"/>
  <c r="N7" i="12" s="1"/>
  <c r="R7" i="12" s="1"/>
  <c r="V7" i="12" s="1"/>
  <c r="Z7" i="12" s="1"/>
  <c r="AD7" i="12" s="1"/>
  <c r="AH7" i="12" s="1"/>
  <c r="AL7" i="12" s="1"/>
  <c r="AP7" i="12" s="1"/>
  <c r="AX7" i="12" s="1"/>
  <c r="BB7" i="12" s="1"/>
  <c r="BF7" i="12" s="1"/>
  <c r="BJ7" i="12" s="1"/>
  <c r="BN7" i="12" s="1"/>
  <c r="BR7" i="12" s="1"/>
  <c r="BV7" i="12" s="1"/>
  <c r="K7" i="12"/>
  <c r="O7" i="12" s="1"/>
  <c r="S7" i="12" s="1"/>
  <c r="W7" i="12" s="1"/>
  <c r="AA7" i="12" s="1"/>
  <c r="AE7" i="12" s="1"/>
  <c r="AI7" i="12" s="1"/>
  <c r="AM7" i="12" s="1"/>
  <c r="AQ7" i="12" s="1"/>
  <c r="AU7" i="12" s="1"/>
  <c r="AY7" i="12" s="1"/>
  <c r="BC7" i="12" s="1"/>
  <c r="BG7" i="12" s="1"/>
  <c r="BK7" i="12" s="1"/>
  <c r="BO7" i="12" s="1"/>
  <c r="BS7" i="12" s="1"/>
  <c r="BW7" i="12" s="1"/>
  <c r="H7" i="12"/>
  <c r="L7" i="12" s="1"/>
  <c r="P7" i="12" s="1"/>
  <c r="T7" i="12" s="1"/>
  <c r="X7" i="12" s="1"/>
  <c r="AB7" i="12" s="1"/>
  <c r="AF7" i="12" s="1"/>
  <c r="AJ7" i="12" s="1"/>
  <c r="AN7" i="12" s="1"/>
  <c r="AV7" i="12" s="1"/>
  <c r="AZ7" i="12" s="1"/>
  <c r="BD7" i="12" s="1"/>
  <c r="BH7" i="12" s="1"/>
  <c r="BL7" i="12" s="1"/>
  <c r="BP7" i="12" s="1"/>
  <c r="BT7" i="12" s="1"/>
  <c r="BX7" i="12" s="1"/>
  <c r="K14" i="15"/>
  <c r="K17" i="15"/>
  <c r="N8" i="15"/>
  <c r="C50" i="15"/>
  <c r="C48" i="15"/>
  <c r="J39" i="15"/>
  <c r="I39" i="15"/>
  <c r="H39" i="15"/>
  <c r="G39" i="15"/>
  <c r="F39" i="15"/>
  <c r="E39" i="15"/>
  <c r="D39" i="15"/>
  <c r="I37" i="15"/>
  <c r="I40" i="15" s="1"/>
  <c r="F37" i="15"/>
  <c r="F40" i="15" s="1"/>
  <c r="E37" i="15"/>
  <c r="E40" i="15" s="1"/>
  <c r="D37" i="15"/>
  <c r="D40" i="15" s="1"/>
  <c r="K35" i="15"/>
  <c r="J35" i="15"/>
  <c r="I35" i="15"/>
  <c r="H35" i="15"/>
  <c r="G35" i="15"/>
  <c r="F35" i="15"/>
  <c r="E35" i="15"/>
  <c r="J32" i="15"/>
  <c r="I32" i="15"/>
  <c r="H32" i="15"/>
  <c r="G32" i="15"/>
  <c r="F32" i="15"/>
  <c r="K32" i="15" s="1"/>
  <c r="E32" i="15"/>
  <c r="J29" i="15"/>
  <c r="I29" i="15"/>
  <c r="H29" i="15"/>
  <c r="G29" i="15"/>
  <c r="F29" i="15"/>
  <c r="E29" i="15"/>
  <c r="K29" i="15" s="1"/>
  <c r="K26" i="15"/>
  <c r="I26" i="15"/>
  <c r="H26" i="15"/>
  <c r="F26" i="15"/>
  <c r="E26" i="15"/>
  <c r="I23" i="15"/>
  <c r="H23" i="15"/>
  <c r="F23" i="15"/>
  <c r="E23" i="15"/>
  <c r="J22" i="15"/>
  <c r="I22" i="15"/>
  <c r="H22" i="15"/>
  <c r="H37" i="15" s="1"/>
  <c r="H40" i="15" s="1"/>
  <c r="G22" i="15"/>
  <c r="F22" i="15"/>
  <c r="E22" i="15"/>
  <c r="J20" i="15"/>
  <c r="I20" i="15"/>
  <c r="H20" i="15"/>
  <c r="G20" i="15"/>
  <c r="F20" i="15"/>
  <c r="K20" i="15" s="1"/>
  <c r="E20" i="15"/>
  <c r="J17" i="15"/>
  <c r="I17" i="15"/>
  <c r="H17" i="15"/>
  <c r="G17" i="15"/>
  <c r="F17" i="15"/>
  <c r="E17" i="15"/>
  <c r="J14" i="15"/>
  <c r="I14" i="15"/>
  <c r="H14" i="15"/>
  <c r="G14" i="15"/>
  <c r="F14" i="15"/>
  <c r="E14" i="15"/>
  <c r="J11" i="15"/>
  <c r="I11" i="15"/>
  <c r="H11" i="15"/>
  <c r="G11" i="15"/>
  <c r="F11" i="15"/>
  <c r="K11" i="15" s="1"/>
  <c r="E11" i="15"/>
  <c r="M8" i="15"/>
  <c r="K8" i="15"/>
  <c r="J8" i="15"/>
  <c r="I8" i="15"/>
  <c r="H8" i="15"/>
  <c r="L7" i="15"/>
  <c r="K7" i="15"/>
  <c r="O6" i="15"/>
  <c r="S6" i="15" s="1"/>
  <c r="W6" i="15" s="1"/>
  <c r="AA6" i="15" s="1"/>
  <c r="AE6" i="15" s="1"/>
  <c r="AI6" i="15" s="1"/>
  <c r="AM6" i="15" s="1"/>
  <c r="AQ6" i="15" s="1"/>
  <c r="N6" i="15"/>
  <c r="R6" i="15" s="1"/>
  <c r="V6" i="15" s="1"/>
  <c r="Z6" i="15" s="1"/>
  <c r="AD6" i="15" s="1"/>
  <c r="AH6" i="15" s="1"/>
  <c r="AL6" i="15" s="1"/>
  <c r="AP6" i="15" s="1"/>
  <c r="K6" i="15"/>
  <c r="J6" i="15"/>
  <c r="I6" i="15"/>
  <c r="M6" i="15" s="1"/>
  <c r="Q6" i="15" s="1"/>
  <c r="U6" i="15" s="1"/>
  <c r="Y6" i="15" s="1"/>
  <c r="AC6" i="15" s="1"/>
  <c r="AG6" i="15" s="1"/>
  <c r="AK6" i="15" s="1"/>
  <c r="AO6" i="15" s="1"/>
  <c r="H6" i="15"/>
  <c r="L6" i="15" s="1"/>
  <c r="P6" i="15" s="1"/>
  <c r="T6" i="15" s="1"/>
  <c r="X6" i="15" s="1"/>
  <c r="AB6" i="15" s="1"/>
  <c r="AF6" i="15" s="1"/>
  <c r="AJ6" i="15" s="1"/>
  <c r="AN6" i="15" s="1"/>
  <c r="C49" i="12"/>
  <c r="C47" i="12"/>
  <c r="AM35" i="12" l="1"/>
  <c r="AM36" i="12" s="1"/>
  <c r="V38" i="12"/>
  <c r="N7" i="18"/>
  <c r="M35" i="12"/>
  <c r="G5" i="18"/>
  <c r="AG7" i="18"/>
  <c r="AF35" i="12"/>
  <c r="AF36" i="12" s="1"/>
  <c r="AD7" i="18"/>
  <c r="AC35" i="12"/>
  <c r="AC36" i="12" s="1"/>
  <c r="U7" i="18"/>
  <c r="T35" i="12"/>
  <c r="T36" i="12" s="1"/>
  <c r="R7" i="18"/>
  <c r="Q35" i="12"/>
  <c r="Q36" i="12" s="1"/>
  <c r="AM5" i="18"/>
  <c r="AK7" i="18"/>
  <c r="AJ35" i="12"/>
  <c r="AJ36" i="12" s="1"/>
  <c r="AL7" i="18"/>
  <c r="AK35" i="12"/>
  <c r="AK36" i="12" s="1"/>
  <c r="AP7" i="18"/>
  <c r="AO35" i="12"/>
  <c r="X7" i="18"/>
  <c r="W35" i="12"/>
  <c r="W36" i="12" s="1"/>
  <c r="AC7" i="18"/>
  <c r="AB35" i="12"/>
  <c r="O7" i="18"/>
  <c r="N35" i="12"/>
  <c r="N36" i="12" s="1"/>
  <c r="AH7" i="18"/>
  <c r="AG35" i="12"/>
  <c r="AG36" i="12" s="1"/>
  <c r="AJ7" i="18"/>
  <c r="AI35" i="12"/>
  <c r="K7" i="18"/>
  <c r="J35" i="12"/>
  <c r="J36" i="12" s="1"/>
  <c r="L7" i="18"/>
  <c r="K35" i="12"/>
  <c r="K36" i="12" s="1"/>
  <c r="P5" i="18"/>
  <c r="AT30" i="12"/>
  <c r="AT18" i="12"/>
  <c r="AT33" i="12"/>
  <c r="AT15" i="12"/>
  <c r="AT21" i="12"/>
  <c r="AT12" i="12"/>
  <c r="AT24" i="12"/>
  <c r="I7" i="18"/>
  <c r="H35" i="12"/>
  <c r="H36" i="12" s="1"/>
  <c r="Y7" i="18"/>
  <c r="X35" i="12"/>
  <c r="X36" i="12" s="1"/>
  <c r="Y38" i="12"/>
  <c r="U38" i="12"/>
  <c r="AE5" i="18"/>
  <c r="AQ5" i="18"/>
  <c r="E35" i="12"/>
  <c r="E36" i="12" s="1"/>
  <c r="F7" i="18"/>
  <c r="Q7" i="18"/>
  <c r="P35" i="12"/>
  <c r="P36" i="12" s="1"/>
  <c r="H7" i="18"/>
  <c r="G35" i="12"/>
  <c r="G36" i="12" s="1"/>
  <c r="AA7" i="18"/>
  <c r="Z35" i="12"/>
  <c r="Z36" i="12" s="1"/>
  <c r="AS7" i="18"/>
  <c r="AR35" i="12"/>
  <c r="T7" i="18"/>
  <c r="S35" i="12"/>
  <c r="S36" i="12" s="1"/>
  <c r="S7" i="18"/>
  <c r="R35" i="12"/>
  <c r="R36" i="12" s="1"/>
  <c r="AI5" i="18"/>
  <c r="D38" i="12"/>
  <c r="AE38" i="12"/>
  <c r="AK38" i="12"/>
  <c r="L38" i="12"/>
  <c r="AA38" i="12"/>
  <c r="Q38" i="12"/>
  <c r="AN38" i="12"/>
  <c r="G27" i="12"/>
  <c r="I38" i="12"/>
  <c r="M7" i="15"/>
  <c r="O8" i="15"/>
  <c r="N7" i="15"/>
  <c r="K10" i="15"/>
  <c r="L11" i="15"/>
  <c r="L20" i="15"/>
  <c r="K19" i="15"/>
  <c r="L32" i="15"/>
  <c r="K31" i="15"/>
  <c r="L14" i="15"/>
  <c r="K13" i="15"/>
  <c r="L29" i="15"/>
  <c r="K28" i="15"/>
  <c r="L17" i="15"/>
  <c r="K16" i="15"/>
  <c r="L35" i="15"/>
  <c r="K34" i="15"/>
  <c r="G37" i="15"/>
  <c r="G40" i="15" s="1"/>
  <c r="G26" i="15"/>
  <c r="G23" i="15"/>
  <c r="L26" i="15"/>
  <c r="J37" i="15"/>
  <c r="J40" i="15" s="1"/>
  <c r="J26" i="15"/>
  <c r="J23" i="15"/>
  <c r="AU9" i="12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AO9" i="12"/>
  <c r="AQ9" i="12"/>
  <c r="AP9" i="12"/>
  <c r="AQ38" i="12"/>
  <c r="W38" i="12" l="1"/>
  <c r="AM38" i="12"/>
  <c r="X38" i="12"/>
  <c r="AF38" i="12"/>
  <c r="Z38" i="12"/>
  <c r="P38" i="12"/>
  <c r="H38" i="12"/>
  <c r="K38" i="12"/>
  <c r="AC38" i="12"/>
  <c r="E38" i="12"/>
  <c r="AQ7" i="18"/>
  <c r="AP35" i="12"/>
  <c r="T38" i="12"/>
  <c r="AI7" i="18"/>
  <c r="AH35" i="12"/>
  <c r="AE7" i="18"/>
  <c r="AD35" i="12"/>
  <c r="P7" i="18"/>
  <c r="O35" i="12"/>
  <c r="AB36" i="12"/>
  <c r="AB38" i="12"/>
  <c r="S38" i="12"/>
  <c r="AJ38" i="12"/>
  <c r="AI36" i="12"/>
  <c r="AI38" i="12"/>
  <c r="AM7" i="18"/>
  <c r="AL35" i="12"/>
  <c r="N38" i="12"/>
  <c r="J38" i="12"/>
  <c r="R38" i="12"/>
  <c r="AG38" i="12"/>
  <c r="G7" i="18"/>
  <c r="F35" i="12"/>
  <c r="G38" i="12"/>
  <c r="AR36" i="12"/>
  <c r="AR38" i="12"/>
  <c r="D13" i="18"/>
  <c r="D11" i="18"/>
  <c r="D10" i="18"/>
  <c r="D12" i="18"/>
  <c r="AO36" i="12"/>
  <c r="AO38" i="12"/>
  <c r="M36" i="12"/>
  <c r="M38" i="12"/>
  <c r="AS38" i="12"/>
  <c r="AT38" i="12"/>
  <c r="C28" i="5"/>
  <c r="K22" i="15"/>
  <c r="K47" i="15" s="1"/>
  <c r="M14" i="15"/>
  <c r="L13" i="15"/>
  <c r="P8" i="15"/>
  <c r="O7" i="15"/>
  <c r="M32" i="15"/>
  <c r="L31" i="15"/>
  <c r="L34" i="15"/>
  <c r="M35" i="15"/>
  <c r="M17" i="15"/>
  <c r="L16" i="15"/>
  <c r="M20" i="15"/>
  <c r="L19" i="15"/>
  <c r="M26" i="15"/>
  <c r="M29" i="15"/>
  <c r="L28" i="15"/>
  <c r="M11" i="15"/>
  <c r="L10" i="15"/>
  <c r="AD36" i="12" l="1"/>
  <c r="AD38" i="12"/>
  <c r="F36" i="12"/>
  <c r="F38" i="12"/>
  <c r="AH36" i="12"/>
  <c r="AH38" i="12"/>
  <c r="AL36" i="12"/>
  <c r="AL38" i="12"/>
  <c r="AP36" i="12"/>
  <c r="AP38" i="12"/>
  <c r="O36" i="12"/>
  <c r="O38" i="12"/>
  <c r="N35" i="15"/>
  <c r="M34" i="15"/>
  <c r="N26" i="15"/>
  <c r="N32" i="15"/>
  <c r="M31" i="15"/>
  <c r="K23" i="15"/>
  <c r="K25" i="15"/>
  <c r="K37" i="15" s="1"/>
  <c r="L22" i="15"/>
  <c r="L47" i="15" s="1"/>
  <c r="N20" i="15"/>
  <c r="M19" i="15"/>
  <c r="Q8" i="15"/>
  <c r="P7" i="15"/>
  <c r="N29" i="15"/>
  <c r="M28" i="15"/>
  <c r="M10" i="15"/>
  <c r="N11" i="15"/>
  <c r="N17" i="15"/>
  <c r="M16" i="15"/>
  <c r="N14" i="15"/>
  <c r="M13" i="15"/>
  <c r="M22" i="15" l="1"/>
  <c r="O29" i="15"/>
  <c r="N28" i="15"/>
  <c r="O35" i="15"/>
  <c r="N34" i="15"/>
  <c r="N13" i="15"/>
  <c r="O14" i="15"/>
  <c r="R8" i="15"/>
  <c r="Q7" i="15"/>
  <c r="O32" i="15"/>
  <c r="N31" i="15"/>
  <c r="O17" i="15"/>
  <c r="N16" i="15"/>
  <c r="O20" i="15"/>
  <c r="N19" i="15"/>
  <c r="O11" i="15"/>
  <c r="N10" i="15"/>
  <c r="L23" i="15"/>
  <c r="L25" i="15"/>
  <c r="L37" i="15" s="1"/>
  <c r="O26" i="15"/>
  <c r="M25" i="15" l="1"/>
  <c r="M37" i="15" s="1"/>
  <c r="M47" i="15"/>
  <c r="M23" i="15"/>
  <c r="N22" i="15"/>
  <c r="P14" i="15"/>
  <c r="O13" i="15"/>
  <c r="P20" i="15"/>
  <c r="O19" i="15"/>
  <c r="P11" i="15"/>
  <c r="O10" i="15"/>
  <c r="S8" i="15"/>
  <c r="R7" i="15"/>
  <c r="P26" i="15"/>
  <c r="P17" i="15"/>
  <c r="O16" i="15"/>
  <c r="P35" i="15"/>
  <c r="O34" i="15"/>
  <c r="P32" i="15"/>
  <c r="O31" i="15"/>
  <c r="P29" i="15"/>
  <c r="O28" i="15"/>
  <c r="N25" i="15" l="1"/>
  <c r="N37" i="15" s="1"/>
  <c r="N47" i="15"/>
  <c r="N23" i="15"/>
  <c r="O22" i="15"/>
  <c r="O23" i="15" s="1"/>
  <c r="Q32" i="15"/>
  <c r="P31" i="15"/>
  <c r="Q11" i="15"/>
  <c r="P10" i="15"/>
  <c r="T8" i="15"/>
  <c r="S7" i="15"/>
  <c r="Q35" i="15"/>
  <c r="P34" i="15"/>
  <c r="Q29" i="15"/>
  <c r="P28" i="15"/>
  <c r="P16" i="15"/>
  <c r="Q17" i="15"/>
  <c r="P19" i="15"/>
  <c r="Q20" i="15"/>
  <c r="Q26" i="15"/>
  <c r="P13" i="15"/>
  <c r="Q14" i="15"/>
  <c r="O25" i="15" l="1"/>
  <c r="O37" i="15" s="1"/>
  <c r="R17" i="15"/>
  <c r="Q16" i="15"/>
  <c r="R14" i="15"/>
  <c r="Q13" i="15"/>
  <c r="R11" i="15"/>
  <c r="Q10" i="15"/>
  <c r="U8" i="15"/>
  <c r="T7" i="15"/>
  <c r="P22" i="15"/>
  <c r="R26" i="15"/>
  <c r="R29" i="15"/>
  <c r="Q28" i="15"/>
  <c r="R32" i="15"/>
  <c r="Q31" i="15"/>
  <c r="R35" i="15"/>
  <c r="Q34" i="15"/>
  <c r="R20" i="15"/>
  <c r="Q19" i="15"/>
  <c r="R16" i="15" l="1"/>
  <c r="S17" i="15"/>
  <c r="S35" i="15"/>
  <c r="R34" i="15"/>
  <c r="V8" i="15"/>
  <c r="U7" i="15"/>
  <c r="Q22" i="15"/>
  <c r="S32" i="15"/>
  <c r="R31" i="15"/>
  <c r="R10" i="15"/>
  <c r="S11" i="15"/>
  <c r="R28" i="15"/>
  <c r="S29" i="15"/>
  <c r="R13" i="15"/>
  <c r="S14" i="15"/>
  <c r="P23" i="15"/>
  <c r="P25" i="15"/>
  <c r="P37" i="15" s="1"/>
  <c r="R19" i="15"/>
  <c r="S20" i="15"/>
  <c r="S26" i="15"/>
  <c r="Q23" i="15" l="1"/>
  <c r="Q25" i="15"/>
  <c r="Q37" i="15" s="1"/>
  <c r="W8" i="15"/>
  <c r="V7" i="15"/>
  <c r="T29" i="15"/>
  <c r="S28" i="15"/>
  <c r="S10" i="15"/>
  <c r="T11" i="15"/>
  <c r="R22" i="15"/>
  <c r="T35" i="15"/>
  <c r="S34" i="15"/>
  <c r="T26" i="15"/>
  <c r="S19" i="15"/>
  <c r="T20" i="15"/>
  <c r="S16" i="15"/>
  <c r="T17" i="15"/>
  <c r="S13" i="15"/>
  <c r="T14" i="15"/>
  <c r="T32" i="15"/>
  <c r="S31" i="15"/>
  <c r="S22" i="15" l="1"/>
  <c r="S23" i="15" s="1"/>
  <c r="T31" i="15"/>
  <c r="U32" i="15"/>
  <c r="X8" i="15"/>
  <c r="W7" i="15"/>
  <c r="R23" i="15"/>
  <c r="R25" i="15"/>
  <c r="R37" i="15" s="1"/>
  <c r="T28" i="15"/>
  <c r="U29" i="15"/>
  <c r="U14" i="15"/>
  <c r="T13" i="15"/>
  <c r="U26" i="15"/>
  <c r="U35" i="15"/>
  <c r="T34" i="15"/>
  <c r="U17" i="15"/>
  <c r="T16" i="15"/>
  <c r="U20" i="15"/>
  <c r="T19" i="15"/>
  <c r="U11" i="15"/>
  <c r="T10" i="15"/>
  <c r="S25" i="15" l="1"/>
  <c r="S37" i="15" s="1"/>
  <c r="U31" i="15"/>
  <c r="V32" i="15"/>
  <c r="V26" i="15"/>
  <c r="U19" i="15"/>
  <c r="V20" i="15"/>
  <c r="U13" i="15"/>
  <c r="V14" i="15"/>
  <c r="Y8" i="15"/>
  <c r="X7" i="15"/>
  <c r="U10" i="15"/>
  <c r="V11" i="15"/>
  <c r="U28" i="15"/>
  <c r="V29" i="15"/>
  <c r="U16" i="15"/>
  <c r="V17" i="15"/>
  <c r="U34" i="15"/>
  <c r="V35" i="15"/>
  <c r="T22" i="15"/>
  <c r="W17" i="15" l="1"/>
  <c r="V16" i="15"/>
  <c r="Z8" i="15"/>
  <c r="Y7" i="15"/>
  <c r="W14" i="15"/>
  <c r="V13" i="15"/>
  <c r="W20" i="15"/>
  <c r="V19" i="15"/>
  <c r="T23" i="15"/>
  <c r="T25" i="15"/>
  <c r="T37" i="15" s="1"/>
  <c r="V10" i="15"/>
  <c r="W11" i="15"/>
  <c r="W35" i="15"/>
  <c r="V34" i="15"/>
  <c r="U22" i="15"/>
  <c r="W26" i="15"/>
  <c r="W29" i="15"/>
  <c r="V28" i="15"/>
  <c r="W32" i="15"/>
  <c r="V31" i="15"/>
  <c r="X26" i="15" l="1"/>
  <c r="U23" i="15"/>
  <c r="U25" i="15"/>
  <c r="U37" i="15" s="1"/>
  <c r="W31" i="15"/>
  <c r="X32" i="15"/>
  <c r="X14" i="15"/>
  <c r="W13" i="15"/>
  <c r="X17" i="15"/>
  <c r="W16" i="15"/>
  <c r="X20" i="15"/>
  <c r="W19" i="15"/>
  <c r="W34" i="15"/>
  <c r="X35" i="15"/>
  <c r="X11" i="15"/>
  <c r="W10" i="15"/>
  <c r="V22" i="15"/>
  <c r="X29" i="15"/>
  <c r="W28" i="15"/>
  <c r="AA8" i="15"/>
  <c r="Z7" i="15"/>
  <c r="W22" i="15" l="1"/>
  <c r="W23" i="15" s="1"/>
  <c r="Y11" i="15"/>
  <c r="X10" i="15"/>
  <c r="Y32" i="15"/>
  <c r="X31" i="15"/>
  <c r="Y14" i="15"/>
  <c r="X13" i="15"/>
  <c r="X34" i="15"/>
  <c r="Y35" i="15"/>
  <c r="Y26" i="15"/>
  <c r="AB8" i="15"/>
  <c r="AA7" i="15"/>
  <c r="Y29" i="15"/>
  <c r="X28" i="15"/>
  <c r="Y20" i="15"/>
  <c r="X19" i="15"/>
  <c r="V23" i="15"/>
  <c r="V25" i="15"/>
  <c r="V37" i="15" s="1"/>
  <c r="Y17" i="15"/>
  <c r="X16" i="15"/>
  <c r="W25" i="15" l="1"/>
  <c r="W37" i="15" s="1"/>
  <c r="Z17" i="15"/>
  <c r="Y16" i="15"/>
  <c r="Z29" i="15"/>
  <c r="Y28" i="15"/>
  <c r="X22" i="15"/>
  <c r="Z14" i="15"/>
  <c r="Y13" i="15"/>
  <c r="Z32" i="15"/>
  <c r="Y31" i="15"/>
  <c r="Z26" i="15"/>
  <c r="Z11" i="15"/>
  <c r="Y10" i="15"/>
  <c r="AC8" i="15"/>
  <c r="AB7" i="15"/>
  <c r="Z20" i="15"/>
  <c r="Y19" i="15"/>
  <c r="Z35" i="15"/>
  <c r="Y34" i="15"/>
  <c r="AA17" i="15" l="1"/>
  <c r="Z16" i="15"/>
  <c r="AA20" i="15"/>
  <c r="Z19" i="15"/>
  <c r="AD8" i="15"/>
  <c r="AC7" i="15"/>
  <c r="Y22" i="15"/>
  <c r="AA11" i="15"/>
  <c r="Z10" i="15"/>
  <c r="X23" i="15"/>
  <c r="X25" i="15"/>
  <c r="X37" i="15" s="1"/>
  <c r="AA35" i="15"/>
  <c r="Z34" i="15"/>
  <c r="AA26" i="15"/>
  <c r="AA29" i="15"/>
  <c r="Z28" i="15"/>
  <c r="AA32" i="15"/>
  <c r="Z31" i="15"/>
  <c r="AA14" i="15"/>
  <c r="Z13" i="15"/>
  <c r="AB26" i="15" l="1"/>
  <c r="Y23" i="15"/>
  <c r="Y25" i="15"/>
  <c r="Y37" i="15" s="1"/>
  <c r="AA13" i="15"/>
  <c r="AB14" i="15"/>
  <c r="AB20" i="15"/>
  <c r="AA19" i="15"/>
  <c r="AE8" i="15"/>
  <c r="AD7" i="15"/>
  <c r="AB32" i="15"/>
  <c r="AA31" i="15"/>
  <c r="AB29" i="15"/>
  <c r="AA28" i="15"/>
  <c r="Z22" i="15"/>
  <c r="AB35" i="15"/>
  <c r="AA34" i="15"/>
  <c r="AB11" i="15"/>
  <c r="AA10" i="15"/>
  <c r="AB17" i="15"/>
  <c r="AA16" i="15"/>
  <c r="AC14" i="15" l="1"/>
  <c r="AB13" i="15"/>
  <c r="AC17" i="15"/>
  <c r="AB16" i="15"/>
  <c r="AC32" i="15"/>
  <c r="AB31" i="15"/>
  <c r="AC11" i="15"/>
  <c r="AB10" i="15"/>
  <c r="AF8" i="15"/>
  <c r="AE7" i="15"/>
  <c r="AC29" i="15"/>
  <c r="AB28" i="15"/>
  <c r="AC20" i="15"/>
  <c r="AB19" i="15"/>
  <c r="AA22" i="15"/>
  <c r="AC35" i="15"/>
  <c r="AB34" i="15"/>
  <c r="Z23" i="15"/>
  <c r="Z25" i="15"/>
  <c r="Z37" i="15" s="1"/>
  <c r="AC26" i="15"/>
  <c r="AB22" i="15" l="1"/>
  <c r="AB23" i="15" s="1"/>
  <c r="AD26" i="15"/>
  <c r="AD29" i="15"/>
  <c r="AC28" i="15"/>
  <c r="AC16" i="15"/>
  <c r="AD17" i="15"/>
  <c r="AC10" i="15"/>
  <c r="AD11" i="15"/>
  <c r="AD32" i="15"/>
  <c r="AC31" i="15"/>
  <c r="AA23" i="15"/>
  <c r="AA25" i="15"/>
  <c r="AA37" i="15" s="1"/>
  <c r="AC19" i="15"/>
  <c r="AD20" i="15"/>
  <c r="AD35" i="15"/>
  <c r="AC34" i="15"/>
  <c r="AG8" i="15"/>
  <c r="AF7" i="15"/>
  <c r="AC13" i="15"/>
  <c r="AD14" i="15"/>
  <c r="AB25" i="15" l="1"/>
  <c r="AB37" i="15" s="1"/>
  <c r="AE29" i="15"/>
  <c r="AD28" i="15"/>
  <c r="AE26" i="15"/>
  <c r="AD16" i="15"/>
  <c r="AE17" i="15"/>
  <c r="AD10" i="15"/>
  <c r="AE11" i="15"/>
  <c r="AH8" i="15"/>
  <c r="AG7" i="15"/>
  <c r="AE35" i="15"/>
  <c r="AD34" i="15"/>
  <c r="AE32" i="15"/>
  <c r="AD31" i="15"/>
  <c r="AD19" i="15"/>
  <c r="AE20" i="15"/>
  <c r="AC22" i="15"/>
  <c r="AD13" i="15"/>
  <c r="AE14" i="15"/>
  <c r="AD22" i="15" l="1"/>
  <c r="AF32" i="15"/>
  <c r="AE31" i="15"/>
  <c r="AF17" i="15"/>
  <c r="AE16" i="15"/>
  <c r="AF14" i="15"/>
  <c r="AE13" i="15"/>
  <c r="AF35" i="15"/>
  <c r="AE34" i="15"/>
  <c r="AF26" i="15"/>
  <c r="AF11" i="15"/>
  <c r="AE10" i="15"/>
  <c r="AC23" i="15"/>
  <c r="AC25" i="15"/>
  <c r="AC37" i="15" s="1"/>
  <c r="AI8" i="15"/>
  <c r="AH7" i="15"/>
  <c r="AF20" i="15"/>
  <c r="AE19" i="15"/>
  <c r="AE28" i="15"/>
  <c r="AF29" i="15"/>
  <c r="AF13" i="15" l="1"/>
  <c r="AG14" i="15"/>
  <c r="AF10" i="15"/>
  <c r="AG11" i="15"/>
  <c r="AF16" i="15"/>
  <c r="AG17" i="15"/>
  <c r="AG26" i="15"/>
  <c r="AG35" i="15"/>
  <c r="AF34" i="15"/>
  <c r="AF28" i="15"/>
  <c r="AG29" i="15"/>
  <c r="AF19" i="15"/>
  <c r="AG20" i="15"/>
  <c r="AJ8" i="15"/>
  <c r="AI7" i="15"/>
  <c r="AF31" i="15"/>
  <c r="AG32" i="15"/>
  <c r="AE22" i="15"/>
  <c r="AD23" i="15"/>
  <c r="AD25" i="15"/>
  <c r="AD37" i="15" s="1"/>
  <c r="AK8" i="15" l="1"/>
  <c r="AJ7" i="15"/>
  <c r="AH26" i="15"/>
  <c r="AH17" i="15"/>
  <c r="AG16" i="15"/>
  <c r="AH29" i="15"/>
  <c r="AG28" i="15"/>
  <c r="AH14" i="15"/>
  <c r="AG13" i="15"/>
  <c r="AH20" i="15"/>
  <c r="AG19" i="15"/>
  <c r="AE23" i="15"/>
  <c r="AE25" i="15"/>
  <c r="AE37" i="15" s="1"/>
  <c r="AH11" i="15"/>
  <c r="AG10" i="15"/>
  <c r="AH32" i="15"/>
  <c r="AG31" i="15"/>
  <c r="AF22" i="15"/>
  <c r="AH35" i="15"/>
  <c r="AG34" i="15"/>
  <c r="AF23" i="15" l="1"/>
  <c r="AF25" i="15"/>
  <c r="AF37" i="15" s="1"/>
  <c r="AI11" i="15"/>
  <c r="AH10" i="15"/>
  <c r="AH28" i="15"/>
  <c r="AI29" i="15"/>
  <c r="AH19" i="15"/>
  <c r="AI20" i="15"/>
  <c r="AI26" i="15"/>
  <c r="AH31" i="15"/>
  <c r="AI32" i="15"/>
  <c r="AH34" i="15"/>
  <c r="AI35" i="15"/>
  <c r="AH16" i="15"/>
  <c r="AI17" i="15"/>
  <c r="AG22" i="15"/>
  <c r="AH13" i="15"/>
  <c r="AI14" i="15"/>
  <c r="AL8" i="15"/>
  <c r="AK7" i="15"/>
  <c r="AJ11" i="15" l="1"/>
  <c r="AI10" i="15"/>
  <c r="AJ14" i="15"/>
  <c r="AI13" i="15"/>
  <c r="AG23" i="15"/>
  <c r="AG25" i="15"/>
  <c r="AG37" i="15" s="1"/>
  <c r="AJ29" i="15"/>
  <c r="AI28" i="15"/>
  <c r="AM8" i="15"/>
  <c r="AL7" i="15"/>
  <c r="AJ32" i="15"/>
  <c r="AI31" i="15"/>
  <c r="AJ17" i="15"/>
  <c r="AI16" i="15"/>
  <c r="AJ35" i="15"/>
  <c r="AI34" i="15"/>
  <c r="AH22" i="15"/>
  <c r="AJ26" i="15"/>
  <c r="AJ20" i="15"/>
  <c r="AI19" i="15"/>
  <c r="AK17" i="15" l="1"/>
  <c r="AJ16" i="15"/>
  <c r="AJ31" i="15"/>
  <c r="AK32" i="15"/>
  <c r="AK20" i="15"/>
  <c r="AJ19" i="15"/>
  <c r="AK26" i="15"/>
  <c r="AH23" i="15"/>
  <c r="AH25" i="15"/>
  <c r="AH37" i="15" s="1"/>
  <c r="AN8" i="15"/>
  <c r="AM7" i="15"/>
  <c r="AK14" i="15"/>
  <c r="AJ13" i="15"/>
  <c r="AI22" i="15"/>
  <c r="AJ34" i="15"/>
  <c r="AK35" i="15"/>
  <c r="AK29" i="15"/>
  <c r="AJ28" i="15"/>
  <c r="AK11" i="15"/>
  <c r="AJ10" i="15"/>
  <c r="AL14" i="15" l="1"/>
  <c r="AK13" i="15"/>
  <c r="AL11" i="15"/>
  <c r="AK10" i="15"/>
  <c r="AK34" i="15"/>
  <c r="AL35" i="15"/>
  <c r="AJ22" i="15"/>
  <c r="AO8" i="15"/>
  <c r="AN7" i="15"/>
  <c r="AL29" i="15"/>
  <c r="AK28" i="15"/>
  <c r="AL26" i="15"/>
  <c r="AL20" i="15"/>
  <c r="AK19" i="15"/>
  <c r="AL32" i="15"/>
  <c r="AK31" i="15"/>
  <c r="AI23" i="15"/>
  <c r="AI25" i="15"/>
  <c r="AI37" i="15" s="1"/>
  <c r="AL17" i="15"/>
  <c r="AK16" i="15"/>
  <c r="AM26" i="15" l="1"/>
  <c r="AM29" i="15"/>
  <c r="AL28" i="15"/>
  <c r="AM20" i="15"/>
  <c r="AL19" i="15"/>
  <c r="AM35" i="15"/>
  <c r="AL34" i="15"/>
  <c r="AM17" i="15"/>
  <c r="AL16" i="15"/>
  <c r="AJ23" i="15"/>
  <c r="AJ25" i="15"/>
  <c r="AJ37" i="15" s="1"/>
  <c r="AK22" i="15"/>
  <c r="AM11" i="15"/>
  <c r="AL10" i="15"/>
  <c r="AM32" i="15"/>
  <c r="AL31" i="15"/>
  <c r="AP8" i="15"/>
  <c r="AO7" i="15"/>
  <c r="AM14" i="15"/>
  <c r="AL13" i="15"/>
  <c r="AU8" i="12"/>
  <c r="D13" i="6"/>
  <c r="D14" i="6"/>
  <c r="D11" i="6"/>
  <c r="AU33" i="12" l="1"/>
  <c r="AU30" i="12"/>
  <c r="AU21" i="12"/>
  <c r="AU15" i="12"/>
  <c r="AU24" i="12"/>
  <c r="AU18" i="12"/>
  <c r="AU12" i="12"/>
  <c r="AU36" i="12"/>
  <c r="AL22" i="15"/>
  <c r="AL23" i="15" s="1"/>
  <c r="AN11" i="15"/>
  <c r="AM10" i="15"/>
  <c r="AN35" i="15"/>
  <c r="AM34" i="15"/>
  <c r="AK23" i="15"/>
  <c r="AK25" i="15"/>
  <c r="AK37" i="15" s="1"/>
  <c r="AN14" i="15"/>
  <c r="AM13" i="15"/>
  <c r="AN20" i="15"/>
  <c r="AM19" i="15"/>
  <c r="AQ8" i="15"/>
  <c r="AQ7" i="15" s="1"/>
  <c r="AP7" i="15"/>
  <c r="AN29" i="15"/>
  <c r="AM28" i="15"/>
  <c r="AN32" i="15"/>
  <c r="AM31" i="15"/>
  <c r="AN17" i="15"/>
  <c r="AM16" i="15"/>
  <c r="AN26" i="15"/>
  <c r="AY8" i="12"/>
  <c r="AW8" i="12"/>
  <c r="AV8" i="12"/>
  <c r="AX8" i="12"/>
  <c r="AX21" i="12" l="1"/>
  <c r="AX12" i="12"/>
  <c r="AX18" i="12"/>
  <c r="AX33" i="12"/>
  <c r="AX15" i="12"/>
  <c r="AX30" i="12"/>
  <c r="AX36" i="12"/>
  <c r="AX24" i="12"/>
  <c r="AV15" i="12"/>
  <c r="AV21" i="12"/>
  <c r="AV33" i="12"/>
  <c r="AV30" i="12"/>
  <c r="AV18" i="12"/>
  <c r="AV12" i="12"/>
  <c r="AV24" i="12"/>
  <c r="AV36" i="12"/>
  <c r="AW15" i="12"/>
  <c r="AW21" i="12"/>
  <c r="AW12" i="12"/>
  <c r="AW18" i="12"/>
  <c r="AW30" i="12"/>
  <c r="AW33" i="12"/>
  <c r="AW36" i="12"/>
  <c r="AW24" i="12"/>
  <c r="AY24" i="12"/>
  <c r="AY15" i="12"/>
  <c r="AY21" i="12"/>
  <c r="AY18" i="12"/>
  <c r="AY12" i="12"/>
  <c r="AY30" i="12"/>
  <c r="AY33" i="12"/>
  <c r="AY36" i="12"/>
  <c r="AL25" i="15"/>
  <c r="AL37" i="15" s="1"/>
  <c r="AO14" i="15"/>
  <c r="AN13" i="15"/>
  <c r="AO26" i="15"/>
  <c r="AO32" i="15"/>
  <c r="AN31" i="15"/>
  <c r="AO35" i="15"/>
  <c r="AN34" i="15"/>
  <c r="AO17" i="15"/>
  <c r="AN16" i="15"/>
  <c r="AO20" i="15"/>
  <c r="AN19" i="15"/>
  <c r="AM22" i="15"/>
  <c r="AO29" i="15"/>
  <c r="AN28" i="15"/>
  <c r="AN10" i="15"/>
  <c r="AO11" i="15"/>
  <c r="AZ8" i="12"/>
  <c r="BC8" i="12"/>
  <c r="BB8" i="12"/>
  <c r="BA8" i="12"/>
  <c r="C7" i="5"/>
  <c r="BA15" i="12" l="1"/>
  <c r="BA33" i="12"/>
  <c r="BA30" i="12"/>
  <c r="BA18" i="12"/>
  <c r="BA12" i="12"/>
  <c r="BA21" i="12"/>
  <c r="BA36" i="12"/>
  <c r="BA24" i="12"/>
  <c r="BB18" i="12"/>
  <c r="BB24" i="12"/>
  <c r="BB30" i="12"/>
  <c r="BB33" i="12"/>
  <c r="BB15" i="12"/>
  <c r="BB21" i="12"/>
  <c r="BB12" i="12"/>
  <c r="BB36" i="12"/>
  <c r="BC15" i="12"/>
  <c r="BC30" i="12"/>
  <c r="BC12" i="12"/>
  <c r="BC24" i="12"/>
  <c r="BC21" i="12"/>
  <c r="BC33" i="12"/>
  <c r="BC18" i="12"/>
  <c r="BC36" i="12"/>
  <c r="AZ18" i="12"/>
  <c r="AZ30" i="12"/>
  <c r="AZ33" i="12"/>
  <c r="AZ15" i="12"/>
  <c r="AZ21" i="12"/>
  <c r="AZ12" i="12"/>
  <c r="AZ36" i="12"/>
  <c r="AZ24" i="12"/>
  <c r="AN22" i="15"/>
  <c r="AN23" i="15" s="1"/>
  <c r="AP35" i="15"/>
  <c r="AO34" i="15"/>
  <c r="AP29" i="15"/>
  <c r="AO28" i="15"/>
  <c r="AP32" i="15"/>
  <c r="AO31" i="15"/>
  <c r="AP20" i="15"/>
  <c r="AO19" i="15"/>
  <c r="AM23" i="15"/>
  <c r="AM25" i="15"/>
  <c r="AM37" i="15" s="1"/>
  <c r="AP26" i="15"/>
  <c r="AP11" i="15"/>
  <c r="AO10" i="15"/>
  <c r="AP17" i="15"/>
  <c r="AO16" i="15"/>
  <c r="AP14" i="15"/>
  <c r="AO13" i="15"/>
  <c r="C24" i="5"/>
  <c r="C21" i="5"/>
  <c r="C20" i="5"/>
  <c r="BG8" i="12"/>
  <c r="BD8" i="12"/>
  <c r="BF8" i="12"/>
  <c r="BE8" i="12"/>
  <c r="D16" i="6"/>
  <c r="D10" i="6" s="1"/>
  <c r="BF18" i="12" l="1"/>
  <c r="BF30" i="12"/>
  <c r="BF21" i="12"/>
  <c r="BF12" i="12"/>
  <c r="BF33" i="12"/>
  <c r="BF15" i="12"/>
  <c r="BF24" i="12"/>
  <c r="BF36" i="12"/>
  <c r="BD33" i="12"/>
  <c r="BD30" i="12"/>
  <c r="BD21" i="12"/>
  <c r="BD12" i="12"/>
  <c r="BD15" i="12"/>
  <c r="BD18" i="12"/>
  <c r="BD36" i="12"/>
  <c r="BD24" i="12"/>
  <c r="BG33" i="12"/>
  <c r="BG12" i="12"/>
  <c r="BG21" i="12"/>
  <c r="BG18" i="12"/>
  <c r="BG15" i="12"/>
  <c r="BG30" i="12"/>
  <c r="BG36" i="12"/>
  <c r="BG24" i="12"/>
  <c r="BE33" i="12"/>
  <c r="BE21" i="12"/>
  <c r="BE15" i="12"/>
  <c r="BE18" i="12"/>
  <c r="BE30" i="12"/>
  <c r="BE12" i="12"/>
  <c r="BE36" i="12"/>
  <c r="BE24" i="12"/>
  <c r="AN25" i="15"/>
  <c r="AN37" i="15" s="1"/>
  <c r="AP19" i="15"/>
  <c r="AQ20" i="15"/>
  <c r="AQ19" i="15" s="1"/>
  <c r="AQ32" i="15"/>
  <c r="AQ31" i="15" s="1"/>
  <c r="AP31" i="15"/>
  <c r="AQ26" i="15"/>
  <c r="AP16" i="15"/>
  <c r="AQ17" i="15"/>
  <c r="AQ16" i="15" s="1"/>
  <c r="AQ29" i="15"/>
  <c r="AQ28" i="15" s="1"/>
  <c r="AP28" i="15"/>
  <c r="AO22" i="15"/>
  <c r="AP13" i="15"/>
  <c r="AQ14" i="15"/>
  <c r="AQ13" i="15" s="1"/>
  <c r="AP10" i="15"/>
  <c r="AQ11" i="15"/>
  <c r="AQ10" i="15" s="1"/>
  <c r="AQ35" i="15"/>
  <c r="AQ34" i="15" s="1"/>
  <c r="AP34" i="15"/>
  <c r="BH8" i="12"/>
  <c r="BK8" i="12"/>
  <c r="BJ8" i="12"/>
  <c r="BI8" i="12"/>
  <c r="C29" i="5"/>
  <c r="D5" i="6"/>
  <c r="BJ12" i="12" l="1"/>
  <c r="BJ30" i="12"/>
  <c r="BJ33" i="12"/>
  <c r="BJ15" i="12"/>
  <c r="BJ21" i="12"/>
  <c r="BJ18" i="12"/>
  <c r="BJ24" i="12"/>
  <c r="BJ36" i="12"/>
  <c r="BK12" i="12"/>
  <c r="BK24" i="12"/>
  <c r="BK30" i="12"/>
  <c r="BK15" i="12"/>
  <c r="BK33" i="12"/>
  <c r="BK21" i="12"/>
  <c r="BK18" i="12"/>
  <c r="BK36" i="12"/>
  <c r="BI12" i="12"/>
  <c r="BI21" i="12"/>
  <c r="BI30" i="12"/>
  <c r="BI33" i="12"/>
  <c r="BI15" i="12"/>
  <c r="BI18" i="12"/>
  <c r="BI24" i="12"/>
  <c r="BI36" i="12"/>
  <c r="BH12" i="12"/>
  <c r="BH18" i="12"/>
  <c r="BH30" i="12"/>
  <c r="BH33" i="12"/>
  <c r="BH15" i="12"/>
  <c r="BH21" i="12"/>
  <c r="BH36" i="12"/>
  <c r="BH24" i="12"/>
  <c r="AQ22" i="15"/>
  <c r="AQ23" i="15" s="1"/>
  <c r="AP22" i="15"/>
  <c r="AO23" i="15"/>
  <c r="AO25" i="15"/>
  <c r="AO37" i="15" s="1"/>
  <c r="BO8" i="12"/>
  <c r="BL8" i="12"/>
  <c r="BN8" i="12"/>
  <c r="BM8" i="12"/>
  <c r="AU38" i="12"/>
  <c r="D18" i="6"/>
  <c r="BO15" i="12" l="1"/>
  <c r="BO30" i="12"/>
  <c r="BO24" i="12"/>
  <c r="BO21" i="12"/>
  <c r="BO18" i="12"/>
  <c r="BO12" i="12"/>
  <c r="BO33" i="12"/>
  <c r="BO36" i="12"/>
  <c r="BM21" i="12"/>
  <c r="BM18" i="12"/>
  <c r="BM33" i="12"/>
  <c r="BM12" i="12"/>
  <c r="BM30" i="12"/>
  <c r="BM15" i="12"/>
  <c r="BM36" i="12"/>
  <c r="BM24" i="12"/>
  <c r="BL21" i="12"/>
  <c r="BL15" i="12"/>
  <c r="BL33" i="12"/>
  <c r="BL30" i="12"/>
  <c r="BL12" i="12"/>
  <c r="BL18" i="12"/>
  <c r="BL36" i="12"/>
  <c r="BL24" i="12"/>
  <c r="BN15" i="12"/>
  <c r="BN30" i="12"/>
  <c r="BN21" i="12"/>
  <c r="BN33" i="12"/>
  <c r="BN12" i="12"/>
  <c r="BN18" i="12"/>
  <c r="BN24" i="12"/>
  <c r="BN36" i="12"/>
  <c r="C3" i="15"/>
  <c r="AO38" i="15" s="1"/>
  <c r="C4" i="12"/>
  <c r="AU39" i="12" s="1"/>
  <c r="AQ25" i="15"/>
  <c r="AQ37" i="15" s="1"/>
  <c r="C25" i="5"/>
  <c r="AP23" i="15"/>
  <c r="AP25" i="15"/>
  <c r="AP37" i="15" s="1"/>
  <c r="BP8" i="12"/>
  <c r="BS8" i="12"/>
  <c r="BR8" i="12"/>
  <c r="BQ8" i="12"/>
  <c r="AV38" i="12"/>
  <c r="AV39" i="12" l="1"/>
  <c r="BP21" i="12"/>
  <c r="BP15" i="12"/>
  <c r="BP18" i="12"/>
  <c r="BP30" i="12"/>
  <c r="BP33" i="12"/>
  <c r="BP12" i="12"/>
  <c r="BP36" i="12"/>
  <c r="BP24" i="12"/>
  <c r="BQ15" i="12"/>
  <c r="BQ21" i="12"/>
  <c r="BQ30" i="12"/>
  <c r="BQ33" i="12"/>
  <c r="BQ12" i="12"/>
  <c r="BQ18" i="12"/>
  <c r="BQ24" i="12"/>
  <c r="BQ36" i="12"/>
  <c r="BR12" i="12"/>
  <c r="BR18" i="12"/>
  <c r="BR30" i="12"/>
  <c r="BR33" i="12"/>
  <c r="BR15" i="12"/>
  <c r="BR21" i="12"/>
  <c r="BR24" i="12"/>
  <c r="BR36" i="12"/>
  <c r="BS33" i="12"/>
  <c r="BS15" i="12"/>
  <c r="BS30" i="12"/>
  <c r="BS12" i="12"/>
  <c r="BS21" i="12"/>
  <c r="BS18" i="12"/>
  <c r="BS36" i="12"/>
  <c r="BS24" i="12"/>
  <c r="AQ38" i="15"/>
  <c r="AP38" i="15"/>
  <c r="AT39" i="12"/>
  <c r="AS39" i="12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C43" i="15"/>
  <c r="C44" i="15" s="1"/>
  <c r="AW38" i="12"/>
  <c r="AW39" i="12" s="1"/>
  <c r="C45" i="15"/>
  <c r="BW8" i="12"/>
  <c r="BT8" i="12"/>
  <c r="BV8" i="12"/>
  <c r="BU8" i="12"/>
  <c r="BT18" i="12" l="1"/>
  <c r="BT21" i="12"/>
  <c r="BT30" i="12"/>
  <c r="BT15" i="12"/>
  <c r="BT33" i="12"/>
  <c r="BT12" i="12"/>
  <c r="BT36" i="12"/>
  <c r="BT24" i="12"/>
  <c r="BW33" i="12"/>
  <c r="BW30" i="12"/>
  <c r="BW18" i="12"/>
  <c r="BW12" i="12"/>
  <c r="BW21" i="12"/>
  <c r="BW15" i="12"/>
  <c r="BW36" i="12"/>
  <c r="BW24" i="12"/>
  <c r="BV12" i="12"/>
  <c r="BV18" i="12"/>
  <c r="BV30" i="12"/>
  <c r="BV21" i="12"/>
  <c r="BV33" i="12"/>
  <c r="BV15" i="12"/>
  <c r="BV24" i="12"/>
  <c r="BV36" i="12"/>
  <c r="BU18" i="12"/>
  <c r="BU33" i="12"/>
  <c r="BU24" i="12"/>
  <c r="BU12" i="12"/>
  <c r="BU21" i="12"/>
  <c r="BU15" i="12"/>
  <c r="BU30" i="12"/>
  <c r="BU36" i="12"/>
  <c r="C46" i="15"/>
  <c r="C49" i="15" s="1"/>
  <c r="C51" i="15" s="1"/>
  <c r="BX8" i="12"/>
  <c r="AX38" i="12"/>
  <c r="AX39" i="12" s="1"/>
  <c r="BX12" i="12" l="1"/>
  <c r="BX30" i="12"/>
  <c r="BX18" i="12"/>
  <c r="BX33" i="12"/>
  <c r="BX15" i="12"/>
  <c r="BX21" i="12"/>
  <c r="BX24" i="12"/>
  <c r="BX36" i="12"/>
  <c r="AY38" i="12"/>
  <c r="AY39" i="12" s="1"/>
  <c r="AZ38" i="12" l="1"/>
  <c r="AZ39" i="12" s="1"/>
  <c r="BA38" i="12" l="1"/>
  <c r="BA39" i="12" s="1"/>
  <c r="BB38" i="12" l="1"/>
  <c r="BB39" i="12" s="1"/>
  <c r="BC38" i="12" l="1"/>
  <c r="BC39" i="12" s="1"/>
  <c r="BD38" i="12" l="1"/>
  <c r="BD39" i="12" s="1"/>
  <c r="BE38" i="12" l="1"/>
  <c r="BE39" i="12" s="1"/>
  <c r="BF38" i="12" l="1"/>
  <c r="BF39" i="12" s="1"/>
  <c r="BG38" i="12" l="1"/>
  <c r="BG39" i="12" s="1"/>
  <c r="BH38" i="12" l="1"/>
  <c r="BH39" i="12" s="1"/>
  <c r="BI38" i="12" l="1"/>
  <c r="BI39" i="12" s="1"/>
  <c r="BJ38" i="12" l="1"/>
  <c r="BJ39" i="12" s="1"/>
  <c r="BK38" i="12" l="1"/>
  <c r="BK39" i="12" s="1"/>
  <c r="BL38" i="12" l="1"/>
  <c r="BL39" i="12" s="1"/>
  <c r="BM38" i="12" l="1"/>
  <c r="BM39" i="12" s="1"/>
  <c r="BN38" i="12" l="1"/>
  <c r="BN39" i="12" s="1"/>
  <c r="BO38" i="12" l="1"/>
  <c r="BO39" i="12" s="1"/>
  <c r="BP38" i="12" l="1"/>
  <c r="BP39" i="12" s="1"/>
  <c r="BQ38" i="12" l="1"/>
  <c r="BQ39" i="12" s="1"/>
  <c r="BR38" i="12" l="1"/>
  <c r="BR39" i="12" s="1"/>
  <c r="BS38" i="12" l="1"/>
  <c r="BS39" i="12" s="1"/>
  <c r="BT38" i="12" l="1"/>
  <c r="BT39" i="12" s="1"/>
  <c r="BU38" i="12" l="1"/>
  <c r="BU39" i="12" s="1"/>
  <c r="BV38" i="12" l="1"/>
  <c r="BV39" i="12" s="1"/>
  <c r="C31" i="5"/>
  <c r="BX38" i="12" l="1"/>
  <c r="BW38" i="12"/>
  <c r="BW39" i="12" s="1"/>
  <c r="C42" i="12" l="1"/>
  <c r="C43" i="12" s="1"/>
  <c r="BX39" i="12"/>
  <c r="C44" i="12" s="1"/>
  <c r="C45" i="12" l="1"/>
  <c r="C48" i="12" l="1"/>
  <c r="C10" i="5"/>
  <c r="C50" i="12" l="1"/>
  <c r="C3" i="5" s="1"/>
  <c r="C11" i="5"/>
  <c r="C13" i="5" s="1"/>
  <c r="C14" i="5" l="1"/>
  <c r="C16" i="5" s="1"/>
  <c r="C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<sst xmlns="http://schemas.openxmlformats.org/spreadsheetml/2006/main" count="270" uniqueCount="198">
  <si>
    <t>This sheet contains FactSet XML data for use with this workbook's =FDS codes.  Modifying the worksheet's contents may damage the workbook's =FDS functionality.</t>
  </si>
  <si>
    <t>Arithmetic average annual return</t>
  </si>
  <si>
    <t>Gross Profit</t>
  </si>
  <si>
    <t>Gross Profit Margin</t>
  </si>
  <si>
    <t>DCF-10</t>
  </si>
  <si>
    <t>Value per share</t>
  </si>
  <si>
    <t>Current Share Price</t>
  </si>
  <si>
    <t>Shares Outstanding (millions)</t>
  </si>
  <si>
    <t>Market Capitalization ($ millions)</t>
  </si>
  <si>
    <t>Enterprise Value ($ millions)</t>
  </si>
  <si>
    <t>Equity Value ($ millions)</t>
  </si>
  <si>
    <t>Terminal Value Composition</t>
  </si>
  <si>
    <t>Upside (Downside)</t>
  </si>
  <si>
    <t>CAGR of return</t>
  </si>
  <si>
    <t>Weighted Average Cost of Capital</t>
  </si>
  <si>
    <t>$ Debt</t>
  </si>
  <si>
    <t>% Debt</t>
  </si>
  <si>
    <t>Cost of Debt</t>
  </si>
  <si>
    <t>Tax Rate</t>
  </si>
  <si>
    <t>$ Equity Value</t>
  </si>
  <si>
    <t>% Equity</t>
  </si>
  <si>
    <t>Cost of Equity</t>
  </si>
  <si>
    <t>Risk Free Rate</t>
  </si>
  <si>
    <t>Beta</t>
  </si>
  <si>
    <t>Market Risk Premium</t>
  </si>
  <si>
    <t>$ Debt &amp; Equity</t>
  </si>
  <si>
    <t>WACC</t>
  </si>
  <si>
    <t>Valuation Assumptions</t>
  </si>
  <si>
    <t>Discount Rate</t>
  </si>
  <si>
    <t>Terminal Growth Rate</t>
  </si>
  <si>
    <t>Figures in $ millions</t>
  </si>
  <si>
    <t>Revenue</t>
  </si>
  <si>
    <t>Operarting Margin</t>
  </si>
  <si>
    <t>Taxes</t>
  </si>
  <si>
    <t>Effective Tax Rate</t>
  </si>
  <si>
    <t>% of sales</t>
  </si>
  <si>
    <t>CapEx</t>
  </si>
  <si>
    <t>Change in NWC</t>
  </si>
  <si>
    <t>FCF</t>
  </si>
  <si>
    <t>Discounted FCF</t>
  </si>
  <si>
    <t>Terminal Value (TV)</t>
  </si>
  <si>
    <t>Present Value of TV</t>
  </si>
  <si>
    <t>Total Discounted FCF</t>
  </si>
  <si>
    <t>Enterprise Value</t>
  </si>
  <si>
    <t>Cash and Equivalents</t>
  </si>
  <si>
    <t>Debt</t>
  </si>
  <si>
    <t>Equity Value</t>
  </si>
  <si>
    <t>Shares</t>
  </si>
  <si>
    <t>Intrinsic Share Value</t>
  </si>
  <si>
    <t>Growth y/y</t>
  </si>
  <si>
    <t>adjust discount to by dividing by quarter to be more precise</t>
  </si>
  <si>
    <t>P/S</t>
  </si>
  <si>
    <t>P/EBITDA</t>
  </si>
  <si>
    <t>End of projection for.EDA</t>
  </si>
  <si>
    <t>Operating Income (EBIT)</t>
  </si>
  <si>
    <t>Depreciation &amp; Amortization</t>
  </si>
  <si>
    <t>Green</t>
  </si>
  <si>
    <t>calculation/other sheet ref</t>
  </si>
  <si>
    <t>Blue</t>
  </si>
  <si>
    <t>hardcode/assumptions</t>
  </si>
  <si>
    <t>revenue</t>
  </si>
  <si>
    <t>cogs</t>
  </si>
  <si>
    <t>Research &amp; Development</t>
  </si>
  <si>
    <t>assuming that quarters before 3-31-23 are just moved up</t>
  </si>
  <si>
    <t>Selling, General, &amp; Administrative</t>
  </si>
  <si>
    <t>Other Operating Expenses</t>
  </si>
  <si>
    <t>harcode O/i</t>
  </si>
  <si>
    <t>ebitda</t>
  </si>
  <si>
    <t>Interest income</t>
  </si>
  <si>
    <t>interest expense</t>
  </si>
  <si>
    <t>stock based compensation</t>
  </si>
  <si>
    <t>add this back in order to get adjusted EBITDA</t>
  </si>
  <si>
    <t>have another sheet for IS detail, as well as comparative valuation metrics like EBITDA</t>
  </si>
  <si>
    <t>what actually is in 'other operating expesnes' or income</t>
  </si>
  <si>
    <t>inputs for rate of change of decline; ie, derivatives</t>
  </si>
  <si>
    <t>SBC</t>
  </si>
  <si>
    <t>add formatting macros yeah?</t>
  </si>
  <si>
    <t>Free Cash Flow (FCF)</t>
  </si>
  <si>
    <t>Q2 2022</t>
  </si>
  <si>
    <t>Q3 2022</t>
  </si>
  <si>
    <t>Q4 2022</t>
  </si>
  <si>
    <t>Q1 2023</t>
  </si>
  <si>
    <t>add formula for automating the quarters that come three next</t>
  </si>
  <si>
    <t>add shares outstanding</t>
  </si>
  <si>
    <t>get EPS</t>
  </si>
  <si>
    <t>confirm that quarterly discounted one is accurate</t>
  </si>
  <si>
    <t>TV figure needs to be updated for the quarterly values as well</t>
  </si>
  <si>
    <t># Standard</t>
  </si>
  <si>
    <t xml:space="preserve">Will need a date to automate how forward looking this shit all is </t>
  </si>
  <si>
    <t>TTM</t>
  </si>
  <si>
    <t>NTM</t>
  </si>
  <si>
    <t>percentile ranks with that</t>
  </si>
  <si>
    <t>P/FCF</t>
  </si>
  <si>
    <t>missing net income; need eps and shares outstanding as well</t>
  </si>
  <si>
    <t xml:space="preserve"> price to OI</t>
  </si>
  <si>
    <t xml:space="preserve">sensitivity analysis. How can that be corrected? </t>
  </si>
  <si>
    <t>conservative case</t>
  </si>
  <si>
    <t>base case</t>
  </si>
  <si>
    <t>upside case</t>
  </si>
  <si>
    <t>Q1 2014</t>
  </si>
  <si>
    <t>Q2 2014</t>
  </si>
  <si>
    <t>Q3 2014</t>
  </si>
  <si>
    <t>Q4 2014</t>
  </si>
  <si>
    <t>B/S connections as well</t>
  </si>
  <si>
    <t>net cash…how much will they have??</t>
  </si>
  <si>
    <t>what to do about the terminal rate…</t>
  </si>
  <si>
    <t>have a scenario to just do ebitda multiple</t>
  </si>
  <si>
    <t>have another sheet that is simply annual</t>
  </si>
  <si>
    <t>NEXT: Have the programs update the data inputs automatically</t>
  </si>
  <si>
    <t>Als, create a DCF-deliverable tab</t>
  </si>
  <si>
    <t>one will be as I have now, just based on precedents</t>
  </si>
  <si>
    <t>one will be based on all historical data</t>
  </si>
  <si>
    <t>one will be 5 years back</t>
  </si>
  <si>
    <t>one will be 10 years back</t>
  </si>
  <si>
    <t>one will be entirely blank for my own personal assumptionjs</t>
  </si>
  <si>
    <t>operating scenarios</t>
  </si>
  <si>
    <t>moderately conservative</t>
  </si>
  <si>
    <t>Pyrhon program</t>
  </si>
  <si>
    <t>1. duplicate the excel file template</t>
  </si>
  <si>
    <t>2. python export tabs</t>
  </si>
  <si>
    <t>3. From there, let formlas populate???</t>
  </si>
  <si>
    <t>I need to 'show my work afterall', or do I?</t>
  </si>
  <si>
    <t>Or should the Python program not export the datafiles, and just run the program to input (similar to hardcoding format)</t>
  </si>
  <si>
    <t xml:space="preserve">Write the excel formulas in Python? </t>
  </si>
  <si>
    <t xml:space="preserve">have the formulas written in excel, and then have a template sheet tojust let python dump it there? </t>
  </si>
  <si>
    <t>before adding so many scenarios, I first need the dcf template I have as is COMPLETE, because any additions will be a pain in the ass</t>
  </si>
  <si>
    <t>dates linked to each other, starting with a hidden row that has the actual dates</t>
  </si>
  <si>
    <t>rename the lineitem names so that they are properly formatted</t>
  </si>
  <si>
    <t>there will be another sheet that has the total historical data? Or will that not be necessary???</t>
  </si>
  <si>
    <t>2023-12-31</t>
  </si>
  <si>
    <t>2023-09-30</t>
  </si>
  <si>
    <t>2023-06-30</t>
  </si>
  <si>
    <t>2023-03-31</t>
  </si>
  <si>
    <t>2022-12-31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</si>
  <si>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</si>
  <si>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</si>
  <si>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</si>
  <si>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</si>
  <si>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</si>
  <si>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</si>
  <si>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</si>
  <si>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</si>
  <si>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</si>
  <si>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</si>
  <si>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</si>
  <si>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</si>
  <si>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</si>
  <si>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</si>
  <si>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</si>
  <si>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</si>
  <si>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</si>
  <si>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</si>
  <si>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</si>
  <si>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</si>
  <si>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</si>
  <si>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</si>
  <si>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</si>
  <si>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</si>
  <si>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</si>
  <si>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</si>
  <si>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</si>
  <si>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</si>
  <si>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</si>
  <si>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</si>
  <si>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</si>
  <si>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</si>
  <si>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</si>
  <si>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</si>
  <si>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Capital Expenditure</t>
  </si>
  <si>
    <t>Change in Working Capital</t>
  </si>
  <si>
    <t>look at what drives change in NWC</t>
  </si>
  <si>
    <t>FORGETTING ABPOUT THE TAX SHIELD</t>
  </si>
  <si>
    <t>2024-03-31</t>
  </si>
  <si>
    <t>netWorkingCapital</t>
  </si>
  <si>
    <t>2013-12-31</t>
  </si>
  <si>
    <t>totalCurrentAssets</t>
  </si>
  <si>
    <t>totalCurrentLiabilities</t>
  </si>
  <si>
    <t>%</t>
  </si>
  <si>
    <t>Mean</t>
  </si>
  <si>
    <t>Median</t>
  </si>
  <si>
    <t>Min</t>
  </si>
  <si>
    <t>Max</t>
  </si>
  <si>
    <t>2022-09-30</t>
  </si>
  <si>
    <t>how to make the dates dynamic so that they match the dates of the 10qs and 10ks</t>
  </si>
  <si>
    <t xml:space="preserve">                       ASML</t>
  </si>
  <si>
    <t>Total Liabilities     26030</t>
  </si>
  <si>
    <t>Long-Term Debt         4608</t>
  </si>
  <si>
    <t>% Debt               0.2385</t>
  </si>
  <si>
    <t>Cost of Debt         0.0026</t>
  </si>
  <si>
    <t>Tax Rate             0.2100</t>
  </si>
  <si>
    <t>Total Equity          14711</t>
  </si>
  <si>
    <t>% Equity             0.7615</t>
  </si>
  <si>
    <t>CAPM                 0.1418</t>
  </si>
  <si>
    <t>Risk-Free Rate       0.0381</t>
  </si>
  <si>
    <t>Beta                 1.4426</t>
  </si>
  <si>
    <t>Market Risk Premium  0.0719</t>
  </si>
  <si>
    <t>FCF Recent Quarter     2930</t>
  </si>
  <si>
    <t>WACC                 0.0525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</si>
</sst>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%;\(0.0%\)"/>
    <numFmt numFmtId="167" formatCode="_([$$-409]* #,##0.00_);_([$$-409]* \(#,##0.00\);_([$$-409]* &quot;-&quot;??_);_(@_)"/>
    <numFmt numFmtId="168" formatCode="_(&quot;$&quot;* #,##0_);_(&quot;$&quot;* \(#,##0\);_(&quot;$&quot;* &quot;-&quot;??_);_(@_)"/>
    <numFmt numFmtId="169" formatCode="&quot;$&quot;#,##0.00"/>
    <numFmt numFmtId="170" formatCode="&quot;$&quot;#,##0"/>
    <numFmt numFmtId="171" formatCode="0.000"/>
    <numFmt numFmtId="172" formatCode="#,##0.0000_);\(#,##0.0000\)"/>
    <numFmt numFmtId="173" formatCode="0.0000"/>
    <numFmt numFmtId="174" formatCode="#,##0.0_);\(#,##0.0\)"/>
    <numFmt numFmtId="17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8" tint="-0.49998474074526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i/>
      <sz val="11"/>
      <color rgb="FF388127"/>
      <name val="Calibri"/>
      <family val="2"/>
      <scheme val="minor"/>
    </font>
    <font>
      <sz val="11"/>
      <color rgb="FF388127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2" fillId="0" borderId="0">
      <alignment vertical="top"/>
    </xf>
  </cellStyleXfs>
  <cellXfs count="140">
    <xf numFmtId="0" fontId="0" fillId="0" borderId="0" xfId="0"/>
    <xf numFmtId="0" fontId="5" fillId="3" borderId="0" xfId="0" applyFont="1" applyFill="1"/>
    <xf numFmtId="3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0" fontId="3" fillId="0" borderId="1" xfId="0" applyFont="1" applyBorder="1"/>
    <xf numFmtId="0" fontId="3" fillId="4" borderId="1" xfId="0" applyFont="1" applyFill="1" applyBorder="1"/>
    <xf numFmtId="0" fontId="0" fillId="4" borderId="2" xfId="0" applyFill="1" applyBorder="1"/>
    <xf numFmtId="10" fontId="3" fillId="4" borderId="3" xfId="0" applyNumberFormat="1" applyFont="1" applyFill="1" applyBorder="1"/>
    <xf numFmtId="0" fontId="3" fillId="0" borderId="0" xfId="0" applyFont="1"/>
    <xf numFmtId="0" fontId="5" fillId="3" borderId="9" xfId="0" applyFont="1" applyFill="1" applyBorder="1"/>
    <xf numFmtId="0" fontId="7" fillId="3" borderId="9" xfId="0" applyFont="1" applyFill="1" applyBorder="1"/>
    <xf numFmtId="0" fontId="5" fillId="0" borderId="9" xfId="0" applyFont="1" applyBorder="1"/>
    <xf numFmtId="0" fontId="3" fillId="0" borderId="9" xfId="0" applyFont="1" applyBorder="1"/>
    <xf numFmtId="37" fontId="5" fillId="0" borderId="8" xfId="0" applyNumberFormat="1" applyFont="1" applyBorder="1"/>
    <xf numFmtId="37" fontId="5" fillId="0" borderId="4" xfId="0" applyNumberFormat="1" applyFont="1" applyBorder="1"/>
    <xf numFmtId="37" fontId="6" fillId="0" borderId="5" xfId="0" applyNumberFormat="1" applyFont="1" applyBorder="1"/>
    <xf numFmtId="0" fontId="0" fillId="0" borderId="9" xfId="0" quotePrefix="1" applyBorder="1"/>
    <xf numFmtId="37" fontId="5" fillId="0" borderId="5" xfId="0" applyNumberFormat="1" applyFont="1" applyBorder="1"/>
    <xf numFmtId="0" fontId="0" fillId="0" borderId="10" xfId="0" quotePrefix="1" applyBorder="1"/>
    <xf numFmtId="0" fontId="0" fillId="0" borderId="10" xfId="0" applyBorder="1"/>
    <xf numFmtId="0" fontId="0" fillId="0" borderId="7" xfId="0" applyBorder="1"/>
    <xf numFmtId="164" fontId="0" fillId="0" borderId="0" xfId="0" applyNumberFormat="1" applyAlignment="1">
      <alignment horizontal="right"/>
    </xf>
    <xf numFmtId="0" fontId="0" fillId="0" borderId="9" xfId="0" applyBorder="1"/>
    <xf numFmtId="164" fontId="0" fillId="0" borderId="5" xfId="0" applyNumberFormat="1" applyBorder="1" applyAlignment="1">
      <alignment horizontal="right"/>
    </xf>
    <xf numFmtId="0" fontId="3" fillId="0" borderId="11" xfId="0" applyFont="1" applyBorder="1"/>
    <xf numFmtId="167" fontId="3" fillId="5" borderId="12" xfId="0" applyNumberFormat="1" applyFont="1" applyFill="1" applyBorder="1"/>
    <xf numFmtId="3" fontId="5" fillId="3" borderId="15" xfId="0" applyNumberFormat="1" applyFont="1" applyFill="1" applyBorder="1"/>
    <xf numFmtId="164" fontId="7" fillId="3" borderId="15" xfId="1" applyNumberFormat="1" applyFont="1" applyFill="1" applyBorder="1"/>
    <xf numFmtId="166" fontId="7" fillId="0" borderId="15" xfId="1" applyNumberFormat="1" applyFont="1" applyBorder="1"/>
    <xf numFmtId="0" fontId="5" fillId="3" borderId="15" xfId="0" applyFont="1" applyFill="1" applyBorder="1"/>
    <xf numFmtId="37" fontId="5" fillId="3" borderId="15" xfId="0" applyNumberFormat="1" applyFont="1" applyFill="1" applyBorder="1"/>
    <xf numFmtId="0" fontId="5" fillId="0" borderId="15" xfId="0" applyFont="1" applyBorder="1"/>
    <xf numFmtId="0" fontId="7" fillId="3" borderId="9" xfId="0" applyFont="1" applyFill="1" applyBorder="1" applyAlignment="1">
      <alignment horizontal="left" indent="1"/>
    </xf>
    <xf numFmtId="166" fontId="0" fillId="0" borderId="0" xfId="0" applyNumberFormat="1" applyAlignment="1">
      <alignment horizontal="right"/>
    </xf>
    <xf numFmtId="164" fontId="0" fillId="0" borderId="0" xfId="0" applyNumberFormat="1"/>
    <xf numFmtId="37" fontId="0" fillId="0" borderId="0" xfId="0" applyNumberFormat="1"/>
    <xf numFmtId="168" fontId="5" fillId="3" borderId="15" xfId="4" applyNumberFormat="1" applyFont="1" applyFill="1" applyBorder="1"/>
    <xf numFmtId="164" fontId="14" fillId="0" borderId="4" xfId="0" applyNumberFormat="1" applyFont="1" applyBorder="1" applyAlignment="1">
      <alignment horizontal="right"/>
    </xf>
    <xf numFmtId="10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69" fontId="14" fillId="0" borderId="0" xfId="0" applyNumberFormat="1" applyFont="1" applyAlignment="1">
      <alignment horizontal="right"/>
    </xf>
    <xf numFmtId="168" fontId="3" fillId="0" borderId="0" xfId="4" applyNumberFormat="1" applyFont="1"/>
    <xf numFmtId="168" fontId="3" fillId="0" borderId="16" xfId="4" applyNumberFormat="1" applyFont="1" applyBorder="1"/>
    <xf numFmtId="168" fontId="3" fillId="0" borderId="2" xfId="4" applyNumberFormat="1" applyFont="1" applyBorder="1"/>
    <xf numFmtId="168" fontId="3" fillId="0" borderId="13" xfId="4" applyNumberFormat="1" applyFont="1" applyBorder="1"/>
    <xf numFmtId="0" fontId="0" fillId="0" borderId="9" xfId="0" applyBorder="1" applyAlignment="1">
      <alignment horizontal="left" indent="1"/>
    </xf>
    <xf numFmtId="2" fontId="0" fillId="0" borderId="0" xfId="0" applyNumberFormat="1"/>
    <xf numFmtId="37" fontId="5" fillId="0" borderId="0" xfId="0" applyNumberFormat="1" applyFont="1"/>
    <xf numFmtId="167" fontId="3" fillId="0" borderId="0" xfId="0" applyNumberFormat="1" applyFont="1"/>
    <xf numFmtId="169" fontId="0" fillId="0" borderId="0" xfId="0" applyNumberFormat="1"/>
    <xf numFmtId="170" fontId="0" fillId="0" borderId="0" xfId="3" applyNumberFormat="1" applyFont="1"/>
    <xf numFmtId="170" fontId="5" fillId="0" borderId="0" xfId="0" applyNumberFormat="1" applyFont="1" applyAlignment="1">
      <alignment horizontal="right"/>
    </xf>
    <xf numFmtId="10" fontId="0" fillId="0" borderId="0" xfId="1" applyNumberFormat="1" applyFont="1"/>
    <xf numFmtId="171" fontId="14" fillId="0" borderId="0" xfId="0" applyNumberFormat="1" applyFont="1" applyAlignment="1">
      <alignment horizontal="right"/>
    </xf>
    <xf numFmtId="10" fontId="0" fillId="0" borderId="0" xfId="1" quotePrefix="1" applyNumberFormat="1" applyFont="1"/>
    <xf numFmtId="37" fontId="6" fillId="0" borderId="0" xfId="0" applyNumberFormat="1" applyFont="1"/>
    <xf numFmtId="164" fontId="1" fillId="0" borderId="0" xfId="1" applyNumberFormat="1"/>
    <xf numFmtId="37" fontId="8" fillId="0" borderId="5" xfId="0" applyNumberFormat="1" applyFont="1" applyBorder="1"/>
    <xf numFmtId="37" fontId="8" fillId="0" borderId="4" xfId="0" applyNumberFormat="1" applyFont="1" applyBorder="1"/>
    <xf numFmtId="172" fontId="5" fillId="0" borderId="0" xfId="0" applyNumberFormat="1" applyFont="1"/>
    <xf numFmtId="165" fontId="1" fillId="0" borderId="0" xfId="3" applyNumberFormat="1"/>
    <xf numFmtId="43" fontId="0" fillId="0" borderId="0" xfId="0" applyNumberFormat="1"/>
    <xf numFmtId="39" fontId="0" fillId="0" borderId="0" xfId="0" applyNumberFormat="1"/>
    <xf numFmtId="166" fontId="7" fillId="0" borderId="0" xfId="1" applyNumberFormat="1" applyFont="1"/>
    <xf numFmtId="168" fontId="5" fillId="3" borderId="0" xfId="4" applyNumberFormat="1" applyFont="1" applyFill="1"/>
    <xf numFmtId="168" fontId="5" fillId="3" borderId="5" xfId="4" applyNumberFormat="1" applyFont="1" applyFill="1" applyBorder="1"/>
    <xf numFmtId="164" fontId="7" fillId="3" borderId="0" xfId="1" applyNumberFormat="1" applyFont="1" applyFill="1"/>
    <xf numFmtId="164" fontId="13" fillId="3" borderId="0" xfId="1" applyNumberFormat="1" applyFont="1" applyFill="1"/>
    <xf numFmtId="164" fontId="13" fillId="3" borderId="5" xfId="1" applyNumberFormat="1" applyFont="1" applyFill="1" applyBorder="1"/>
    <xf numFmtId="164" fontId="11" fillId="3" borderId="0" xfId="1" applyNumberFormat="1" applyFont="1" applyFill="1"/>
    <xf numFmtId="164" fontId="11" fillId="3" borderId="5" xfId="1" applyNumberFormat="1" applyFont="1" applyFill="1" applyBorder="1"/>
    <xf numFmtId="37" fontId="5" fillId="3" borderId="0" xfId="0" applyNumberFormat="1" applyFont="1" applyFill="1"/>
    <xf numFmtId="165" fontId="5" fillId="3" borderId="0" xfId="3" applyNumberFormat="1" applyFont="1" applyFill="1"/>
    <xf numFmtId="165" fontId="5" fillId="3" borderId="5" xfId="3" applyNumberFormat="1" applyFont="1" applyFill="1" applyBorder="1"/>
    <xf numFmtId="3" fontId="5" fillId="3" borderId="0" xfId="0" applyNumberFormat="1" applyFont="1" applyFill="1"/>
    <xf numFmtId="165" fontId="8" fillId="3" borderId="0" xfId="3" applyNumberFormat="1" applyFont="1" applyFill="1"/>
    <xf numFmtId="165" fontId="8" fillId="3" borderId="5" xfId="3" applyNumberFormat="1" applyFont="1" applyFill="1" applyBorder="1"/>
    <xf numFmtId="0" fontId="5" fillId="3" borderId="5" xfId="0" applyFont="1" applyFill="1" applyBorder="1"/>
    <xf numFmtId="166" fontId="13" fillId="3" borderId="0" xfId="1" applyNumberFormat="1" applyFont="1" applyFill="1"/>
    <xf numFmtId="166" fontId="13" fillId="3" borderId="5" xfId="1" applyNumberFormat="1" applyFont="1" applyFill="1" applyBorder="1"/>
    <xf numFmtId="164" fontId="9" fillId="3" borderId="0" xfId="1" applyNumberFormat="1" applyFont="1" applyFill="1"/>
    <xf numFmtId="164" fontId="9" fillId="3" borderId="5" xfId="1" applyNumberFormat="1" applyFont="1" applyFill="1" applyBorder="1"/>
    <xf numFmtId="37" fontId="5" fillId="3" borderId="5" xfId="0" applyNumberFormat="1" applyFont="1" applyFill="1" applyBorder="1"/>
    <xf numFmtId="166" fontId="13" fillId="0" borderId="0" xfId="1" applyNumberFormat="1" applyFont="1"/>
    <xf numFmtId="166" fontId="13" fillId="0" borderId="5" xfId="1" applyNumberFormat="1" applyFont="1" applyBorder="1"/>
    <xf numFmtId="0" fontId="5" fillId="0" borderId="0" xfId="0" applyFont="1"/>
    <xf numFmtId="3" fontId="5" fillId="0" borderId="0" xfId="0" applyNumberFormat="1" applyFont="1"/>
    <xf numFmtId="0" fontId="5" fillId="0" borderId="5" xfId="0" applyFont="1" applyBorder="1"/>
    <xf numFmtId="168" fontId="3" fillId="0" borderId="5" xfId="4" applyNumberFormat="1" applyFont="1" applyBorder="1"/>
    <xf numFmtId="168" fontId="3" fillId="0" borderId="3" xfId="4" applyNumberFormat="1" applyFont="1" applyBorder="1"/>
    <xf numFmtId="0" fontId="10" fillId="2" borderId="10" xfId="0" applyFont="1" applyFill="1" applyBorder="1"/>
    <xf numFmtId="0" fontId="2" fillId="2" borderId="17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8" xfId="0" applyFont="1" applyFill="1" applyBorder="1" applyAlignment="1">
      <alignment horizontal="right"/>
    </xf>
    <xf numFmtId="164" fontId="15" fillId="3" borderId="0" xfId="1" applyNumberFormat="1" applyFont="1" applyFill="1"/>
    <xf numFmtId="165" fontId="16" fillId="3" borderId="0" xfId="3" applyNumberFormat="1" applyFont="1" applyFill="1"/>
    <xf numFmtId="168" fontId="14" fillId="3" borderId="0" xfId="1" applyNumberFormat="1" applyFont="1" applyFill="1"/>
    <xf numFmtId="168" fontId="5" fillId="3" borderId="0" xfId="1" applyNumberFormat="1" applyFont="1" applyFill="1"/>
    <xf numFmtId="166" fontId="15" fillId="3" borderId="0" xfId="1" applyNumberFormat="1" applyFont="1" applyFill="1"/>
    <xf numFmtId="0" fontId="6" fillId="3" borderId="7" xfId="0" applyFont="1" applyFill="1" applyBorder="1"/>
    <xf numFmtId="0" fontId="6" fillId="3" borderId="6" xfId="0" applyFont="1" applyFill="1" applyBorder="1"/>
    <xf numFmtId="37" fontId="6" fillId="3" borderId="6" xfId="0" applyNumberFormat="1" applyFont="1" applyFill="1" applyBorder="1"/>
    <xf numFmtId="37" fontId="6" fillId="3" borderId="14" xfId="0" applyNumberFormat="1" applyFont="1" applyFill="1" applyBorder="1"/>
    <xf numFmtId="168" fontId="6" fillId="3" borderId="6" xfId="1" applyNumberFormat="1" applyFont="1" applyFill="1" applyBorder="1"/>
    <xf numFmtId="166" fontId="15" fillId="0" borderId="0" xfId="1" applyNumberFormat="1" applyFont="1"/>
    <xf numFmtId="37" fontId="5" fillId="0" borderId="0" xfId="0" applyNumberFormat="1" applyFont="1" applyAlignment="1">
      <alignment horizontal="right"/>
    </xf>
    <xf numFmtId="0" fontId="2" fillId="2" borderId="4" xfId="0" applyFont="1" applyFill="1" applyBorder="1" applyAlignment="1">
      <alignment horizontal="right"/>
    </xf>
    <xf numFmtId="171" fontId="0" fillId="0" borderId="0" xfId="0" applyNumberFormat="1"/>
    <xf numFmtId="173" fontId="0" fillId="0" borderId="0" xfId="0" applyNumberFormat="1"/>
    <xf numFmtId="44" fontId="0" fillId="0" borderId="0" xfId="0" applyNumberFormat="1"/>
    <xf numFmtId="9" fontId="1" fillId="0" borderId="0" xfId="1"/>
    <xf numFmtId="10" fontId="1" fillId="0" borderId="0" xfId="1" applyNumberFormat="1"/>
    <xf numFmtId="165" fontId="14" fillId="3" borderId="5" xfId="1" applyNumberFormat="1" applyFont="1" applyFill="1" applyBorder="1"/>
    <xf numFmtId="0" fontId="0" fillId="0" borderId="0" xfId="0" applyAlignment="1">
      <alignment horizontal="left" indent="1"/>
    </xf>
    <xf numFmtId="174" fontId="0" fillId="0" borderId="0" xfId="0" applyNumberFormat="1"/>
    <xf numFmtId="175" fontId="0" fillId="0" borderId="0" xfId="0" applyNumberFormat="1"/>
    <xf numFmtId="0" fontId="10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68" fontId="5" fillId="3" borderId="5" xfId="1" applyNumberFormat="1" applyFont="1" applyFill="1" applyBorder="1"/>
    <xf numFmtId="168" fontId="6" fillId="3" borderId="8" xfId="1" applyNumberFormat="1" applyFont="1" applyFill="1" applyBorder="1"/>
    <xf numFmtId="164" fontId="7" fillId="3" borderId="5" xfId="1" applyNumberFormat="1" applyFont="1" applyFill="1" applyBorder="1"/>
    <xf numFmtId="166" fontId="15" fillId="0" borderId="5" xfId="1" applyNumberFormat="1" applyFont="1" applyBorder="1"/>
    <xf numFmtId="0" fontId="17" fillId="0" borderId="0" xfId="0" applyFont="1"/>
    <xf numFmtId="0" fontId="18" fillId="0" borderId="0" xfId="0" applyFont="1" applyAlignment="1">
      <alignment horizontal="center" vertical="top"/>
    </xf>
    <xf numFmtId="168" fontId="5" fillId="3" borderId="14" xfId="4" applyNumberFormat="1" applyFont="1" applyFill="1" applyBorder="1"/>
    <xf numFmtId="3" fontId="5" fillId="3" borderId="16" xfId="0" applyNumberFormat="1" applyFont="1" applyFill="1" applyBorder="1"/>
    <xf numFmtId="3" fontId="5" fillId="3" borderId="17" xfId="0" applyNumberFormat="1" applyFont="1" applyFill="1" applyBorder="1"/>
    <xf numFmtId="168" fontId="3" fillId="0" borderId="17" xfId="4" applyNumberFormat="1" applyFont="1" applyBorder="1"/>
    <xf numFmtId="0" fontId="0" fillId="0" borderId="0" xfId="0" quotePrefix="1"/>
    <xf numFmtId="0" fontId="19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2" fillId="2" borderId="7" xfId="0" applyFont="1" applyFill="1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colors>
    <mruColors>
      <color rgb="FF388127"/>
      <color rgb="FF46A230"/>
      <color rgb="FF50BB37"/>
      <color rgb="FF537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adianholdings-my.sharepoint.com/personal/kylejennings_arcadianholdings_io/Documents/3.%20%20Arcadian%20Financial/Vista_v0.02/TickerData/CRWD_data.xlsx" TargetMode="External"/><Relationship Id="rId1" Type="http://schemas.openxmlformats.org/officeDocument/2006/relationships/externalLinkPath" Target="/personal/kylejennings_arcadianholdings_io/Documents/3.%20%20Arcadian%20Financial/Vista_v0.02/TickerData/CRW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tatements"/>
      <sheetName val="Margins"/>
      <sheetName val="Quarterly % Change"/>
      <sheetName val="Yearly % Change"/>
      <sheetName val="Annual Aggregated"/>
      <sheetName val="Annual % Change"/>
      <sheetName val="Trailing Twelve Months (TTM)"/>
      <sheetName val="TTM Margins"/>
      <sheetName val="TTM Quarterly % Change"/>
      <sheetName val="TTM Yearly % Change"/>
      <sheetName val="Earnings Reports"/>
      <sheetName val="Employees"/>
      <sheetName val="Revenue Product Seg."/>
      <sheetName val="Revenue Geographic Seg."/>
      <sheetName val="Market Caps"/>
      <sheetName val="Daily Prices"/>
      <sheetName val="Balance Sheet Metrics"/>
      <sheetName val="Relative Valuations"/>
      <sheetName val="CAPM"/>
      <sheetName val="Beta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>
            <v>4311884000</v>
          </cell>
        </row>
        <row r="5">
          <cell r="B5">
            <v>2.6948299198910709E-2</v>
          </cell>
        </row>
        <row r="7">
          <cell r="B7">
            <v>2890590000</v>
          </cell>
        </row>
        <row r="10">
          <cell r="B10">
            <v>4.0409998893737788E-2</v>
          </cell>
        </row>
        <row r="11">
          <cell r="B11">
            <v>1.1397405516687791</v>
          </cell>
        </row>
        <row r="12">
          <cell r="B12">
            <v>6.9590001106262206E-2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90625" defaultRowHeight="14.5" x14ac:dyDescent="0.35"/>
  <sheetData>
    <row r="1" spans="1:2" x14ac:dyDescent="0.3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3A3B-DE44-4EBE-8EF8-9DB76493E878}">
  <dimension ref="B1:G18"/>
  <sheetViews>
    <sheetView showGridLines="0" tabSelected="1" zoomScaleNormal="100" workbookViewId="0">
      <selection activeCell="G7" sqref="G7"/>
    </sheetView>
  </sheetViews>
  <sheetFormatPr defaultColWidth="9.54296875" defaultRowHeight="14.5" x14ac:dyDescent="0.35"/>
  <cols>
    <col min="1" max="1" width="3.54296875" customWidth="1"/>
    <col min="2" max="2" width="10.6328125" customWidth="1"/>
    <col min="4" max="4" width="12.36328125" bestFit="1" customWidth="1"/>
    <col min="5" max="6" width="9.54296875" customWidth="1"/>
    <col min="7" max="7" width="25" bestFit="1" customWidth="1"/>
    <col min="8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1" spans="2:7" ht="24.9" customHeight="1" x14ac:dyDescent="0.35"/>
    <row r="2" spans="2:7" x14ac:dyDescent="0.35">
      <c r="B2" s="135" t="s">
        <v>14</v>
      </c>
      <c r="C2" s="136"/>
      <c r="D2" s="136"/>
      <c r="G2" t="s">
        <v>184</v>
      </c>
    </row>
    <row r="3" spans="2:7" x14ac:dyDescent="0.35">
      <c r="G3" t="s">
        <v>185</v>
      </c>
    </row>
    <row r="4" spans="2:7" x14ac:dyDescent="0.35">
      <c r="B4" t="s">
        <v>15</v>
      </c>
      <c r="D4" s="2">
        <f>[1]CAPM!$B$2</f>
        <v>4311884000</v>
      </c>
      <c r="G4" t="s">
        <v>186</v>
      </c>
    </row>
    <row r="5" spans="2:7" x14ac:dyDescent="0.35">
      <c r="B5" t="s">
        <v>16</v>
      </c>
      <c r="D5" s="22">
        <f>D4/D16</f>
        <v>0.59866706912097145</v>
      </c>
      <c r="G5" t="s">
        <v>187</v>
      </c>
    </row>
    <row r="6" spans="2:7" x14ac:dyDescent="0.35">
      <c r="B6" t="s">
        <v>17</v>
      </c>
      <c r="D6" s="39">
        <f>[1]CAPM!$B$5</f>
        <v>2.6948299198910709E-2</v>
      </c>
      <c r="G6" t="s">
        <v>188</v>
      </c>
    </row>
    <row r="7" spans="2:7" x14ac:dyDescent="0.35">
      <c r="B7" t="s">
        <v>18</v>
      </c>
      <c r="D7" s="40">
        <v>0.21</v>
      </c>
      <c r="G7" t="s">
        <v>189</v>
      </c>
    </row>
    <row r="8" spans="2:7" x14ac:dyDescent="0.35">
      <c r="G8" t="s">
        <v>190</v>
      </c>
    </row>
    <row r="9" spans="2:7" x14ac:dyDescent="0.35">
      <c r="B9" t="s">
        <v>19</v>
      </c>
      <c r="D9" s="2">
        <f>[1]CAPM!$B$7</f>
        <v>2890590000</v>
      </c>
      <c r="G9" t="s">
        <v>191</v>
      </c>
    </row>
    <row r="10" spans="2:7" x14ac:dyDescent="0.35">
      <c r="B10" t="s">
        <v>20</v>
      </c>
      <c r="D10" s="3">
        <f>D9/D16</f>
        <v>0.40133293087902849</v>
      </c>
      <c r="G10" t="s">
        <v>192</v>
      </c>
    </row>
    <row r="11" spans="2:7" x14ac:dyDescent="0.35">
      <c r="B11" t="s">
        <v>21</v>
      </c>
      <c r="D11" s="35">
        <f>D12+D13*D14</f>
        <v>0.11972454514522002</v>
      </c>
      <c r="G11" t="s">
        <v>193</v>
      </c>
    </row>
    <row r="12" spans="2:7" x14ac:dyDescent="0.35">
      <c r="B12" t="s">
        <v>22</v>
      </c>
      <c r="D12" s="39">
        <f>[1]CAPM!$B$10</f>
        <v>4.0409998893737788E-2</v>
      </c>
      <c r="G12" t="s">
        <v>194</v>
      </c>
    </row>
    <row r="13" spans="2:7" x14ac:dyDescent="0.35">
      <c r="B13" t="s">
        <v>23</v>
      </c>
      <c r="D13" s="55">
        <f>[1]CAPM!$B$11</f>
        <v>1.1397405516687791</v>
      </c>
      <c r="G13" t="s">
        <v>195</v>
      </c>
    </row>
    <row r="14" spans="2:7" x14ac:dyDescent="0.35">
      <c r="B14" t="s">
        <v>24</v>
      </c>
      <c r="D14" s="39">
        <f>[1]CAPM!$B$12</f>
        <v>6.9590001106262206E-2</v>
      </c>
      <c r="G14" t="s">
        <v>196</v>
      </c>
    </row>
    <row r="15" spans="2:7" x14ac:dyDescent="0.35">
      <c r="G15" t="s">
        <v>197</v>
      </c>
    </row>
    <row r="16" spans="2:7" x14ac:dyDescent="0.35">
      <c r="B16" t="s">
        <v>25</v>
      </c>
      <c r="D16" s="2">
        <f>D4+D9</f>
        <v>7202474000</v>
      </c>
    </row>
    <row r="18" spans="2:4" x14ac:dyDescent="0.35">
      <c r="B18" s="6" t="s">
        <v>26</v>
      </c>
      <c r="C18" s="7"/>
      <c r="D18" s="8">
        <f>(D5*D6*(1-D7))+(D10*D11)</f>
        <v>6.0794519447663162E-2</v>
      </c>
    </row>
  </sheetData>
  <mergeCells count="1">
    <mergeCell ref="B2:D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G18"/>
  <sheetViews>
    <sheetView showGridLines="0" zoomScaleNormal="100" workbookViewId="0">
      <selection activeCell="D4" sqref="D4"/>
    </sheetView>
  </sheetViews>
  <sheetFormatPr defaultColWidth="9.54296875" defaultRowHeight="14.5" x14ac:dyDescent="0.35"/>
  <cols>
    <col min="1" max="1" width="3.54296875" customWidth="1"/>
    <col min="2" max="2" width="10.6328125" customWidth="1"/>
    <col min="4" max="4" width="10.6328125" customWidth="1"/>
    <col min="5" max="6" width="9.54296875" customWidth="1"/>
    <col min="7" max="7" width="25" bestFit="1" customWidth="1"/>
    <col min="8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1" spans="2:7" ht="24.9" customHeight="1" x14ac:dyDescent="0.35"/>
    <row r="2" spans="2:7" x14ac:dyDescent="0.35">
      <c r="B2" s="135" t="s">
        <v>14</v>
      </c>
      <c r="C2" s="136"/>
      <c r="D2" s="136"/>
      <c r="G2" t="s">
        <v>184</v>
      </c>
    </row>
    <row r="3" spans="2:7" x14ac:dyDescent="0.35">
      <c r="G3" t="s">
        <v>185</v>
      </c>
    </row>
    <row r="4" spans="2:7" x14ac:dyDescent="0.35">
      <c r="B4" t="s">
        <v>15</v>
      </c>
      <c r="D4" s="2" t="e">
        <f>INDEX(Python!$1:$1048576,MATCH("longTermDebt",Python!$A:$A,0),2)</f>
        <v>#N/A</v>
      </c>
      <c r="G4" t="s">
        <v>186</v>
      </c>
    </row>
    <row r="5" spans="2:7" x14ac:dyDescent="0.35">
      <c r="B5" t="s">
        <v>16</v>
      </c>
      <c r="D5" s="22" t="e">
        <f>D4/D16</f>
        <v>#N/A</v>
      </c>
      <c r="G5" t="s">
        <v>187</v>
      </c>
    </row>
    <row r="6" spans="2:7" x14ac:dyDescent="0.35">
      <c r="B6" t="s">
        <v>17</v>
      </c>
      <c r="D6" s="39">
        <v>3.0800000000000001E-2</v>
      </c>
      <c r="G6" t="s">
        <v>188</v>
      </c>
    </row>
    <row r="7" spans="2:7" x14ac:dyDescent="0.35">
      <c r="B7" t="s">
        <v>18</v>
      </c>
      <c r="D7" s="40">
        <v>0.21</v>
      </c>
      <c r="G7" t="s">
        <v>189</v>
      </c>
    </row>
    <row r="8" spans="2:7" x14ac:dyDescent="0.35">
      <c r="G8" t="s">
        <v>190</v>
      </c>
    </row>
    <row r="9" spans="2:7" x14ac:dyDescent="0.35">
      <c r="B9" t="s">
        <v>19</v>
      </c>
      <c r="D9" s="2" t="e">
        <f>INDEX(Python!$1:$1048576,MATCH("totalEquity",Python!$A:$A,0),2)</f>
        <v>#N/A</v>
      </c>
      <c r="G9" t="s">
        <v>191</v>
      </c>
    </row>
    <row r="10" spans="2:7" x14ac:dyDescent="0.35">
      <c r="B10" t="s">
        <v>20</v>
      </c>
      <c r="D10" s="3" t="e">
        <f>D9/D16</f>
        <v>#N/A</v>
      </c>
      <c r="G10" t="s">
        <v>192</v>
      </c>
    </row>
    <row r="11" spans="2:7" x14ac:dyDescent="0.35">
      <c r="B11" t="s">
        <v>21</v>
      </c>
      <c r="D11" s="35">
        <f>D12+D13*D14</f>
        <v>9.1000000000000011E-2</v>
      </c>
      <c r="G11" t="s">
        <v>193</v>
      </c>
    </row>
    <row r="12" spans="2:7" x14ac:dyDescent="0.35">
      <c r="B12" t="s">
        <v>22</v>
      </c>
      <c r="D12" s="39">
        <v>4.3999999999999997E-2</v>
      </c>
      <c r="G12" t="s">
        <v>194</v>
      </c>
    </row>
    <row r="13" spans="2:7" x14ac:dyDescent="0.35">
      <c r="B13" t="s">
        <v>23</v>
      </c>
      <c r="D13" s="55">
        <f>2</f>
        <v>2</v>
      </c>
      <c r="G13" t="s">
        <v>195</v>
      </c>
    </row>
    <row r="14" spans="2:7" x14ac:dyDescent="0.35">
      <c r="B14" t="s">
        <v>24</v>
      </c>
      <c r="D14" s="39">
        <f>0.0675-D12</f>
        <v>2.3500000000000007E-2</v>
      </c>
      <c r="G14" t="s">
        <v>196</v>
      </c>
    </row>
    <row r="15" spans="2:7" x14ac:dyDescent="0.35">
      <c r="G15" t="s">
        <v>197</v>
      </c>
    </row>
    <row r="16" spans="2:7" x14ac:dyDescent="0.35">
      <c r="B16" t="s">
        <v>25</v>
      </c>
      <c r="D16" s="2" t="e">
        <f>D4+D9</f>
        <v>#N/A</v>
      </c>
    </row>
    <row r="18" spans="2:4" x14ac:dyDescent="0.35">
      <c r="B18" s="6" t="s">
        <v>26</v>
      </c>
      <c r="C18" s="7"/>
      <c r="D18" s="8" t="e">
        <f>(D5*D6*(1-D7))+(D10*D11)</f>
        <v>#N/A</v>
      </c>
    </row>
  </sheetData>
  <mergeCells count="1">
    <mergeCell ref="B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88DC-8F8D-46FE-91D4-8793645DE34F}">
  <sheetPr codeName="Sheet3">
    <tabColor theme="9" tint="0.39997558519241921"/>
  </sheetPr>
  <dimension ref="B1:BZ51"/>
  <sheetViews>
    <sheetView showGridLines="0" zoomScale="85" zoomScaleNormal="85" workbookViewId="0">
      <pane xSplit="3" ySplit="7" topLeftCell="P8" activePane="bottomRight" state="frozen"/>
      <selection pane="topRight" activeCell="D1" sqref="D1"/>
      <selection pane="bottomLeft" activeCell="A7" sqref="A7"/>
      <selection pane="bottomRight" activeCell="B8" sqref="B8"/>
    </sheetView>
  </sheetViews>
  <sheetFormatPr defaultColWidth="9.54296875" defaultRowHeight="14.5" outlineLevelCol="1" x14ac:dyDescent="0.35"/>
  <cols>
    <col min="1" max="1" width="3.54296875" customWidth="1"/>
    <col min="2" max="2" width="24.36328125" customWidth="1"/>
    <col min="3" max="3" width="10.6328125" customWidth="1"/>
    <col min="4" max="35" width="10.6328125" hidden="1" customWidth="1" outlineLevel="1"/>
    <col min="36" max="36" width="10.6328125" customWidth="1" collapsed="1"/>
    <col min="37" max="76" width="10.6328125" customWidth="1"/>
  </cols>
  <sheetData>
    <row r="1" spans="2:76" ht="20.399999999999999" customHeight="1" x14ac:dyDescent="0.35">
      <c r="D1" t="s">
        <v>167</v>
      </c>
      <c r="E1" t="s">
        <v>166</v>
      </c>
      <c r="F1" t="s">
        <v>165</v>
      </c>
      <c r="G1" t="s">
        <v>164</v>
      </c>
      <c r="H1" t="s">
        <v>163</v>
      </c>
      <c r="I1" t="s">
        <v>162</v>
      </c>
      <c r="J1" t="s">
        <v>161</v>
      </c>
      <c r="K1" t="s">
        <v>160</v>
      </c>
      <c r="L1" t="s">
        <v>159</v>
      </c>
      <c r="M1" t="s">
        <v>158</v>
      </c>
      <c r="N1" t="s">
        <v>157</v>
      </c>
      <c r="O1" t="s">
        <v>156</v>
      </c>
      <c r="P1" t="s">
        <v>155</v>
      </c>
      <c r="Q1" t="s">
        <v>154</v>
      </c>
      <c r="R1" t="s">
        <v>153</v>
      </c>
      <c r="S1" t="s">
        <v>152</v>
      </c>
      <c r="T1" t="s">
        <v>151</v>
      </c>
      <c r="U1" t="s">
        <v>150</v>
      </c>
      <c r="V1" t="s">
        <v>149</v>
      </c>
      <c r="W1" t="s">
        <v>148</v>
      </c>
      <c r="X1" t="s">
        <v>147</v>
      </c>
      <c r="Y1" t="s">
        <v>146</v>
      </c>
      <c r="Z1" t="s">
        <v>145</v>
      </c>
      <c r="AA1" t="s">
        <v>144</v>
      </c>
      <c r="AB1" t="s">
        <v>143</v>
      </c>
      <c r="AC1" t="s">
        <v>142</v>
      </c>
      <c r="AD1" t="s">
        <v>141</v>
      </c>
      <c r="AE1" t="s">
        <v>140</v>
      </c>
      <c r="AF1" t="s">
        <v>139</v>
      </c>
      <c r="AG1" t="s">
        <v>138</v>
      </c>
      <c r="AH1" t="s">
        <v>137</v>
      </c>
      <c r="AI1" t="s">
        <v>136</v>
      </c>
      <c r="AJ1" t="s">
        <v>135</v>
      </c>
      <c r="AK1" t="s">
        <v>134</v>
      </c>
      <c r="AL1" s="134" t="s">
        <v>182</v>
      </c>
      <c r="AM1" t="s">
        <v>133</v>
      </c>
      <c r="AN1" t="s">
        <v>132</v>
      </c>
      <c r="AO1" t="s">
        <v>131</v>
      </c>
      <c r="AP1" t="s">
        <v>130</v>
      </c>
      <c r="AQ1" t="s">
        <v>129</v>
      </c>
      <c r="AR1" t="s">
        <v>172</v>
      </c>
    </row>
    <row r="2" spans="2:76" ht="24.9" customHeight="1" x14ac:dyDescent="0.35"/>
    <row r="3" spans="2:76" x14ac:dyDescent="0.35">
      <c r="B3" s="137" t="s">
        <v>27</v>
      </c>
      <c r="C3" s="138"/>
    </row>
    <row r="4" spans="2:76" x14ac:dyDescent="0.35">
      <c r="B4" s="23" t="s">
        <v>28</v>
      </c>
      <c r="C4" s="24" t="e">
        <f>WACC!D18</f>
        <v>#N/A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 spans="2:76" x14ac:dyDescent="0.35">
      <c r="B5" s="20" t="s">
        <v>29</v>
      </c>
      <c r="C5" s="38">
        <v>0.02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</row>
    <row r="6" spans="2:76" x14ac:dyDescent="0.35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Q6" s="4"/>
    </row>
    <row r="7" spans="2:76" x14ac:dyDescent="0.35">
      <c r="B7" s="118" t="s">
        <v>30</v>
      </c>
      <c r="C7" s="119"/>
      <c r="D7" s="119" t="s">
        <v>99</v>
      </c>
      <c r="E7" s="119" t="s">
        <v>100</v>
      </c>
      <c r="F7" s="119" t="s">
        <v>101</v>
      </c>
      <c r="G7" s="119" t="s">
        <v>102</v>
      </c>
      <c r="H7" s="119" t="str">
        <f>LEFT(D7,2) &amp; " " &amp; 1+_xlfn.NUMBERVALUE(RIGHT(D7,LEN(D7)-2))</f>
        <v>Q1 2015</v>
      </c>
      <c r="I7" s="119" t="str">
        <f t="shared" ref="I7:P7" si="0">LEFT(E7,2) &amp; " " &amp; 1+_xlfn.NUMBERVALUE(RIGHT(E7,LEN(E7)-2))</f>
        <v>Q2 2015</v>
      </c>
      <c r="J7" s="119" t="str">
        <f t="shared" si="0"/>
        <v>Q3 2015</v>
      </c>
      <c r="K7" s="119" t="str">
        <f t="shared" si="0"/>
        <v>Q4 2015</v>
      </c>
      <c r="L7" s="119" t="str">
        <f t="shared" si="0"/>
        <v>Q1 2016</v>
      </c>
      <c r="M7" s="119" t="str">
        <f t="shared" si="0"/>
        <v>Q2 2016</v>
      </c>
      <c r="N7" s="119" t="str">
        <f t="shared" si="0"/>
        <v>Q3 2016</v>
      </c>
      <c r="O7" s="119" t="str">
        <f t="shared" si="0"/>
        <v>Q4 2016</v>
      </c>
      <c r="P7" s="119" t="str">
        <f t="shared" si="0"/>
        <v>Q1 2017</v>
      </c>
      <c r="Q7" s="119" t="str">
        <f t="shared" ref="Q7" si="1">LEFT(M7,2) &amp; " " &amp; 1+_xlfn.NUMBERVALUE(RIGHT(M7,LEN(M7)-2))</f>
        <v>Q2 2017</v>
      </c>
      <c r="R7" s="119" t="str">
        <f t="shared" ref="R7" si="2">LEFT(N7,2) &amp; " " &amp; 1+_xlfn.NUMBERVALUE(RIGHT(N7,LEN(N7)-2))</f>
        <v>Q3 2017</v>
      </c>
      <c r="S7" s="119" t="str">
        <f t="shared" ref="S7" si="3">LEFT(O7,2) &amp; " " &amp; 1+_xlfn.NUMBERVALUE(RIGHT(O7,LEN(O7)-2))</f>
        <v>Q4 2017</v>
      </c>
      <c r="T7" s="119" t="str">
        <f t="shared" ref="T7" si="4">LEFT(P7,2) &amp; " " &amp; 1+_xlfn.NUMBERVALUE(RIGHT(P7,LEN(P7)-2))</f>
        <v>Q1 2018</v>
      </c>
      <c r="U7" s="119" t="str">
        <f t="shared" ref="U7" si="5">LEFT(Q7,2) &amp; " " &amp; 1+_xlfn.NUMBERVALUE(RIGHT(Q7,LEN(Q7)-2))</f>
        <v>Q2 2018</v>
      </c>
      <c r="V7" s="119" t="str">
        <f t="shared" ref="V7" si="6">LEFT(R7,2) &amp; " " &amp; 1+_xlfn.NUMBERVALUE(RIGHT(R7,LEN(R7)-2))</f>
        <v>Q3 2018</v>
      </c>
      <c r="W7" s="119" t="str">
        <f t="shared" ref="W7" si="7">LEFT(S7,2) &amp; " " &amp; 1+_xlfn.NUMBERVALUE(RIGHT(S7,LEN(S7)-2))</f>
        <v>Q4 2018</v>
      </c>
      <c r="X7" s="119" t="str">
        <f t="shared" ref="X7" si="8">LEFT(T7,2) &amp; " " &amp; 1+_xlfn.NUMBERVALUE(RIGHT(T7,LEN(T7)-2))</f>
        <v>Q1 2019</v>
      </c>
      <c r="Y7" s="119" t="str">
        <f t="shared" ref="Y7" si="9">LEFT(U7,2) &amp; " " &amp; 1+_xlfn.NUMBERVALUE(RIGHT(U7,LEN(U7)-2))</f>
        <v>Q2 2019</v>
      </c>
      <c r="Z7" s="119" t="str">
        <f t="shared" ref="Z7" si="10">LEFT(V7,2) &amp; " " &amp; 1+_xlfn.NUMBERVALUE(RIGHT(V7,LEN(V7)-2))</f>
        <v>Q3 2019</v>
      </c>
      <c r="AA7" s="119" t="str">
        <f t="shared" ref="AA7" si="11">LEFT(W7,2) &amp; " " &amp; 1+_xlfn.NUMBERVALUE(RIGHT(W7,LEN(W7)-2))</f>
        <v>Q4 2019</v>
      </c>
      <c r="AB7" s="119" t="str">
        <f t="shared" ref="AB7" si="12">LEFT(X7,2) &amp; " " &amp; 1+_xlfn.NUMBERVALUE(RIGHT(X7,LEN(X7)-2))</f>
        <v>Q1 2020</v>
      </c>
      <c r="AC7" s="119" t="str">
        <f t="shared" ref="AC7" si="13">LEFT(Y7,2) &amp; " " &amp; 1+_xlfn.NUMBERVALUE(RIGHT(Y7,LEN(Y7)-2))</f>
        <v>Q2 2020</v>
      </c>
      <c r="AD7" s="119" t="str">
        <f t="shared" ref="AD7" si="14">LEFT(Z7,2) &amp; " " &amp; 1+_xlfn.NUMBERVALUE(RIGHT(Z7,LEN(Z7)-2))</f>
        <v>Q3 2020</v>
      </c>
      <c r="AE7" s="119" t="str">
        <f t="shared" ref="AE7" si="15">LEFT(AA7,2) &amp; " " &amp; 1+_xlfn.NUMBERVALUE(RIGHT(AA7,LEN(AA7)-2))</f>
        <v>Q4 2020</v>
      </c>
      <c r="AF7" s="119" t="str">
        <f t="shared" ref="AF7" si="16">LEFT(AB7,2) &amp; " " &amp; 1+_xlfn.NUMBERVALUE(RIGHT(AB7,LEN(AB7)-2))</f>
        <v>Q1 2021</v>
      </c>
      <c r="AG7" s="119" t="str">
        <f t="shared" ref="AG7" si="17">LEFT(AC7,2) &amp; " " &amp; 1+_xlfn.NUMBERVALUE(RIGHT(AC7,LEN(AC7)-2))</f>
        <v>Q2 2021</v>
      </c>
      <c r="AH7" s="119" t="str">
        <f t="shared" ref="AH7" si="18">LEFT(AD7,2) &amp; " " &amp; 1+_xlfn.NUMBERVALUE(RIGHT(AD7,LEN(AD7)-2))</f>
        <v>Q3 2021</v>
      </c>
      <c r="AI7" s="119" t="str">
        <f t="shared" ref="AI7" si="19">LEFT(AE7,2) &amp; " " &amp; 1+_xlfn.NUMBERVALUE(RIGHT(AE7,LEN(AE7)-2))</f>
        <v>Q4 2021</v>
      </c>
      <c r="AJ7" s="119" t="str">
        <f t="shared" ref="AJ7" si="20">LEFT(AF7,2) &amp; " " &amp; 1+_xlfn.NUMBERVALUE(RIGHT(AF7,LEN(AF7)-2))</f>
        <v>Q1 2022</v>
      </c>
      <c r="AK7" s="119" t="str">
        <f t="shared" ref="AK7" si="21">LEFT(AG7,2) &amp; " " &amp; 1+_xlfn.NUMBERVALUE(RIGHT(AG7,LEN(AG7)-2))</f>
        <v>Q2 2022</v>
      </c>
      <c r="AL7" s="119" t="str">
        <f t="shared" ref="AL7" si="22">LEFT(AH7,2) &amp; " " &amp; 1+_xlfn.NUMBERVALUE(RIGHT(AH7,LEN(AH7)-2))</f>
        <v>Q3 2022</v>
      </c>
      <c r="AM7" s="119" t="str">
        <f t="shared" ref="AM7" si="23">LEFT(AI7,2) &amp; " " &amp; 1+_xlfn.NUMBERVALUE(RIGHT(AI7,LEN(AI7)-2))</f>
        <v>Q4 2022</v>
      </c>
      <c r="AN7" s="119" t="str">
        <f t="shared" ref="AN7" si="24">LEFT(AJ7,2) &amp; " " &amp; 1+_xlfn.NUMBERVALUE(RIGHT(AJ7,LEN(AJ7)-2))</f>
        <v>Q1 2023</v>
      </c>
      <c r="AO7" s="119" t="str">
        <f t="shared" ref="AO7" si="25">LEFT(AK7,2) &amp; " " &amp; 1+_xlfn.NUMBERVALUE(RIGHT(AK7,LEN(AK7)-2))</f>
        <v>Q2 2023</v>
      </c>
      <c r="AP7" s="119" t="str">
        <f t="shared" ref="AP7" si="26">LEFT(AL7,2) &amp; " " &amp; 1+_xlfn.NUMBERVALUE(RIGHT(AL7,LEN(AL7)-2))</f>
        <v>Q3 2023</v>
      </c>
      <c r="AQ7" s="119" t="str">
        <f t="shared" ref="AQ7" si="27">LEFT(AM7,2) &amp; " " &amp; 1+_xlfn.NUMBERVALUE(RIGHT(AM7,LEN(AM7)-2))</f>
        <v>Q4 2023</v>
      </c>
      <c r="AR7" s="120" t="str">
        <f t="shared" ref="AR7" si="28">LEFT(AN7,2) &amp; " " &amp; 1+_xlfn.NUMBERVALUE(RIGHT(AN7,LEN(AN7)-2))</f>
        <v>Q1 2024</v>
      </c>
      <c r="AS7" s="121" t="str">
        <f t="shared" ref="AS7" si="29">LEFT(AO7,2) &amp; " " &amp; 1+_xlfn.NUMBERVALUE(RIGHT(AO7,LEN(AO7)-2))</f>
        <v>Q2 2024</v>
      </c>
      <c r="AT7" s="119" t="str">
        <f t="shared" ref="AT7:BX7" si="30">LEFT(AP7,2) &amp; " " &amp; 1+_xlfn.NUMBERVALUE(RIGHT(AP7,LEN(AP7)-2))</f>
        <v>Q3 2024</v>
      </c>
      <c r="AU7" s="119" t="str">
        <f t="shared" si="30"/>
        <v>Q4 2024</v>
      </c>
      <c r="AV7" s="119" t="str">
        <f t="shared" si="30"/>
        <v>Q1 2025</v>
      </c>
      <c r="AW7" s="119" t="str">
        <f t="shared" si="30"/>
        <v>Q2 2025</v>
      </c>
      <c r="AX7" s="119" t="str">
        <f t="shared" si="30"/>
        <v>Q3 2025</v>
      </c>
      <c r="AY7" s="119" t="str">
        <f t="shared" si="30"/>
        <v>Q4 2025</v>
      </c>
      <c r="AZ7" s="119" t="str">
        <f t="shared" si="30"/>
        <v>Q1 2026</v>
      </c>
      <c r="BA7" s="119" t="str">
        <f t="shared" si="30"/>
        <v>Q2 2026</v>
      </c>
      <c r="BB7" s="119" t="str">
        <f t="shared" si="30"/>
        <v>Q3 2026</v>
      </c>
      <c r="BC7" s="119" t="str">
        <f t="shared" si="30"/>
        <v>Q4 2026</v>
      </c>
      <c r="BD7" s="119" t="str">
        <f t="shared" si="30"/>
        <v>Q1 2027</v>
      </c>
      <c r="BE7" s="119" t="str">
        <f t="shared" si="30"/>
        <v>Q2 2027</v>
      </c>
      <c r="BF7" s="119" t="str">
        <f t="shared" si="30"/>
        <v>Q3 2027</v>
      </c>
      <c r="BG7" s="119" t="str">
        <f t="shared" si="30"/>
        <v>Q4 2027</v>
      </c>
      <c r="BH7" s="119" t="str">
        <f t="shared" si="30"/>
        <v>Q1 2028</v>
      </c>
      <c r="BI7" s="119" t="str">
        <f t="shared" si="30"/>
        <v>Q2 2028</v>
      </c>
      <c r="BJ7" s="119" t="str">
        <f t="shared" si="30"/>
        <v>Q3 2028</v>
      </c>
      <c r="BK7" s="119" t="str">
        <f t="shared" si="30"/>
        <v>Q4 2028</v>
      </c>
      <c r="BL7" s="119" t="str">
        <f t="shared" si="30"/>
        <v>Q1 2029</v>
      </c>
      <c r="BM7" s="119" t="str">
        <f t="shared" si="30"/>
        <v>Q2 2029</v>
      </c>
      <c r="BN7" s="119" t="str">
        <f t="shared" si="30"/>
        <v>Q3 2029</v>
      </c>
      <c r="BO7" s="119" t="str">
        <f t="shared" si="30"/>
        <v>Q4 2029</v>
      </c>
      <c r="BP7" s="119" t="str">
        <f t="shared" si="30"/>
        <v>Q1 2030</v>
      </c>
      <c r="BQ7" s="119" t="str">
        <f t="shared" si="30"/>
        <v>Q2 2030</v>
      </c>
      <c r="BR7" s="119" t="str">
        <f t="shared" si="30"/>
        <v>Q3 2030</v>
      </c>
      <c r="BS7" s="119" t="str">
        <f t="shared" si="30"/>
        <v>Q4 2030</v>
      </c>
      <c r="BT7" s="119" t="str">
        <f t="shared" si="30"/>
        <v>Q1 2031</v>
      </c>
      <c r="BU7" s="119" t="str">
        <f t="shared" si="30"/>
        <v>Q2 2031</v>
      </c>
      <c r="BV7" s="119" t="str">
        <f t="shared" si="30"/>
        <v>Q3 2031</v>
      </c>
      <c r="BW7" s="119" t="str">
        <f t="shared" si="30"/>
        <v>Q4 2031</v>
      </c>
      <c r="BX7" s="122" t="str">
        <f t="shared" si="30"/>
        <v>Q1 2032</v>
      </c>
    </row>
    <row r="8" spans="2:76" s="1" customFormat="1" x14ac:dyDescent="0.35">
      <c r="B8" s="10" t="s">
        <v>31</v>
      </c>
      <c r="D8" s="66" t="e">
        <f>INDEX(Python!$1:$1048576,MATCH('DCF-Detailed'!$B8,Python!$A:$A,0),MATCH('DCF-Detailed'!D$1,Python!$1:$1,0))</f>
        <v>#N/A</v>
      </c>
      <c r="E8" s="66" t="e">
        <f>INDEX(Python!$1:$1048576,MATCH('DCF-Detailed'!$B8,Python!$A:$A,0),MATCH('DCF-Detailed'!E$1,Python!$1:$1,0))</f>
        <v>#N/A</v>
      </c>
      <c r="F8" s="66" t="e">
        <f>INDEX(Python!$1:$1048576,MATCH('DCF-Detailed'!$B8,Python!$A:$A,0),MATCH('DCF-Detailed'!F$1,Python!$1:$1,0))</f>
        <v>#N/A</v>
      </c>
      <c r="G8" s="66" t="e">
        <f>INDEX(Python!$1:$1048576,MATCH('DCF-Detailed'!$B8,Python!$A:$A,0),MATCH('DCF-Detailed'!G$1,Python!$1:$1,0))</f>
        <v>#N/A</v>
      </c>
      <c r="H8" s="66" t="e">
        <f>INDEX(Python!$1:$1048576,MATCH('DCF-Detailed'!$B8,Python!$A:$A,0),MATCH('DCF-Detailed'!H$1,Python!$1:$1,0))</f>
        <v>#N/A</v>
      </c>
      <c r="I8" s="66" t="e">
        <f>INDEX(Python!$1:$1048576,MATCH('DCF-Detailed'!$B8,Python!$A:$A,0),MATCH('DCF-Detailed'!I$1,Python!$1:$1,0))</f>
        <v>#N/A</v>
      </c>
      <c r="J8" s="66" t="e">
        <f>INDEX(Python!$1:$1048576,MATCH('DCF-Detailed'!$B8,Python!$A:$A,0),MATCH('DCF-Detailed'!J$1,Python!$1:$1,0))</f>
        <v>#N/A</v>
      </c>
      <c r="K8" s="66" t="e">
        <f>INDEX(Python!$1:$1048576,MATCH('DCF-Detailed'!$B8,Python!$A:$A,0),MATCH('DCF-Detailed'!K$1,Python!$1:$1,0))</f>
        <v>#N/A</v>
      </c>
      <c r="L8" s="66" t="e">
        <f>INDEX(Python!$1:$1048576,MATCH('DCF-Detailed'!$B8,Python!$A:$A,0),MATCH('DCF-Detailed'!L$1,Python!$1:$1,0))</f>
        <v>#N/A</v>
      </c>
      <c r="M8" s="66" t="e">
        <f>INDEX(Python!$1:$1048576,MATCH('DCF-Detailed'!$B8,Python!$A:$A,0),MATCH('DCF-Detailed'!M$1,Python!$1:$1,0))</f>
        <v>#N/A</v>
      </c>
      <c r="N8" s="66" t="e">
        <f>INDEX(Python!$1:$1048576,MATCH('DCF-Detailed'!$B8,Python!$A:$A,0),MATCH('DCF-Detailed'!N$1,Python!$1:$1,0))</f>
        <v>#N/A</v>
      </c>
      <c r="O8" s="66" t="e">
        <f>INDEX(Python!$1:$1048576,MATCH('DCF-Detailed'!$B8,Python!$A:$A,0),MATCH('DCF-Detailed'!O$1,Python!$1:$1,0))</f>
        <v>#N/A</v>
      </c>
      <c r="P8" s="66" t="e">
        <f>INDEX(Python!$1:$1048576,MATCH('DCF-Detailed'!$B8,Python!$A:$A,0),MATCH('DCF-Detailed'!P$1,Python!$1:$1,0))</f>
        <v>#N/A</v>
      </c>
      <c r="Q8" s="66" t="e">
        <f>INDEX(Python!$1:$1048576,MATCH('DCF-Detailed'!$B8,Python!$A:$A,0),MATCH('DCF-Detailed'!Q$1,Python!$1:$1,0))</f>
        <v>#N/A</v>
      </c>
      <c r="R8" s="66" t="e">
        <f>INDEX(Python!$1:$1048576,MATCH('DCF-Detailed'!$B8,Python!$A:$A,0),MATCH('DCF-Detailed'!R$1,Python!$1:$1,0))</f>
        <v>#N/A</v>
      </c>
      <c r="S8" s="66" t="e">
        <f>INDEX(Python!$1:$1048576,MATCH('DCF-Detailed'!$B8,Python!$A:$A,0),MATCH('DCF-Detailed'!S$1,Python!$1:$1,0))</f>
        <v>#N/A</v>
      </c>
      <c r="T8" s="66" t="e">
        <f>INDEX(Python!$1:$1048576,MATCH('DCF-Detailed'!$B8,Python!$A:$A,0),MATCH('DCF-Detailed'!T$1,Python!$1:$1,0))</f>
        <v>#N/A</v>
      </c>
      <c r="U8" s="66" t="e">
        <f>INDEX(Python!$1:$1048576,MATCH('DCF-Detailed'!$B8,Python!$A:$A,0),MATCH('DCF-Detailed'!U$1,Python!$1:$1,0))</f>
        <v>#N/A</v>
      </c>
      <c r="V8" s="66" t="e">
        <f>INDEX(Python!$1:$1048576,MATCH('DCF-Detailed'!$B8,Python!$A:$A,0),MATCH('DCF-Detailed'!V$1,Python!$1:$1,0))</f>
        <v>#N/A</v>
      </c>
      <c r="W8" s="66" t="e">
        <f>INDEX(Python!$1:$1048576,MATCH('DCF-Detailed'!$B8,Python!$A:$A,0),MATCH('DCF-Detailed'!W$1,Python!$1:$1,0))</f>
        <v>#N/A</v>
      </c>
      <c r="X8" s="66" t="e">
        <f>INDEX(Python!$1:$1048576,MATCH('DCF-Detailed'!$B8,Python!$A:$A,0),MATCH('DCF-Detailed'!X$1,Python!$1:$1,0))</f>
        <v>#N/A</v>
      </c>
      <c r="Y8" s="66" t="e">
        <f>INDEX(Python!$1:$1048576,MATCH('DCF-Detailed'!$B8,Python!$A:$A,0),MATCH('DCF-Detailed'!Y$1,Python!$1:$1,0))</f>
        <v>#N/A</v>
      </c>
      <c r="Z8" s="66" t="e">
        <f>INDEX(Python!$1:$1048576,MATCH('DCF-Detailed'!$B8,Python!$A:$A,0),MATCH('DCF-Detailed'!Z$1,Python!$1:$1,0))</f>
        <v>#N/A</v>
      </c>
      <c r="AA8" s="66" t="e">
        <f>INDEX(Python!$1:$1048576,MATCH('DCF-Detailed'!$B8,Python!$A:$A,0),MATCH('DCF-Detailed'!AA$1,Python!$1:$1,0))</f>
        <v>#N/A</v>
      </c>
      <c r="AB8" s="66" t="e">
        <f>INDEX(Python!$1:$1048576,MATCH('DCF-Detailed'!$B8,Python!$A:$A,0),MATCH('DCF-Detailed'!AB$1,Python!$1:$1,0))</f>
        <v>#N/A</v>
      </c>
      <c r="AC8" s="66" t="e">
        <f>INDEX(Python!$1:$1048576,MATCH('DCF-Detailed'!$B8,Python!$A:$A,0),MATCH('DCF-Detailed'!AC$1,Python!$1:$1,0))</f>
        <v>#N/A</v>
      </c>
      <c r="AD8" s="66" t="e">
        <f>INDEX(Python!$1:$1048576,MATCH('DCF-Detailed'!$B8,Python!$A:$A,0),MATCH('DCF-Detailed'!AD$1,Python!$1:$1,0))</f>
        <v>#N/A</v>
      </c>
      <c r="AE8" s="66" t="e">
        <f>INDEX(Python!$1:$1048576,MATCH('DCF-Detailed'!$B8,Python!$A:$A,0),MATCH('DCF-Detailed'!AE$1,Python!$1:$1,0))</f>
        <v>#N/A</v>
      </c>
      <c r="AF8" s="66" t="e">
        <f>INDEX(Python!$1:$1048576,MATCH('DCF-Detailed'!$B8,Python!$A:$A,0),MATCH('DCF-Detailed'!AF$1,Python!$1:$1,0))</f>
        <v>#N/A</v>
      </c>
      <c r="AG8" s="66" t="e">
        <f>INDEX(Python!$1:$1048576,MATCH('DCF-Detailed'!$B8,Python!$A:$A,0),MATCH('DCF-Detailed'!AG$1,Python!$1:$1,0))</f>
        <v>#N/A</v>
      </c>
      <c r="AH8" s="66" t="e">
        <f>INDEX(Python!$1:$1048576,MATCH('DCF-Detailed'!$B8,Python!$A:$A,0),MATCH('DCF-Detailed'!AH$1,Python!$1:$1,0))</f>
        <v>#N/A</v>
      </c>
      <c r="AI8" s="66" t="e">
        <f>INDEX(Python!$1:$1048576,MATCH('DCF-Detailed'!$B8,Python!$A:$A,0),MATCH('DCF-Detailed'!AI$1,Python!$1:$1,0))</f>
        <v>#N/A</v>
      </c>
      <c r="AJ8" s="66" t="e">
        <f>INDEX(Python!$1:$1048576,MATCH('DCF-Detailed'!$B8,Python!$A:$A,0),MATCH('DCF-Detailed'!AJ$1,Python!$1:$1,0))</f>
        <v>#N/A</v>
      </c>
      <c r="AK8" s="66" t="e">
        <f>INDEX(Python!$1:$1048576,MATCH('DCF-Detailed'!$B8,Python!$A:$A,0),MATCH('DCF-Detailed'!AK$1,Python!$1:$1,0))</f>
        <v>#N/A</v>
      </c>
      <c r="AL8" s="66" t="e">
        <f>INDEX(Python!$1:$1048576,MATCH('DCF-Detailed'!$B8,Python!$A:$A,0),MATCH('DCF-Detailed'!AL$1,Python!$1:$1,0))</f>
        <v>#N/A</v>
      </c>
      <c r="AM8" s="66" t="e">
        <f>INDEX(Python!$1:$1048576,MATCH('DCF-Detailed'!$B8,Python!$A:$A,0),MATCH('DCF-Detailed'!AM$1,Python!$1:$1,0))</f>
        <v>#N/A</v>
      </c>
      <c r="AN8" s="66" t="e">
        <f>INDEX(Python!$1:$1048576,MATCH('DCF-Detailed'!$B8,Python!$A:$A,0),MATCH('DCF-Detailed'!AN$1,Python!$1:$1,0))</f>
        <v>#N/A</v>
      </c>
      <c r="AO8" s="66" t="e">
        <f>INDEX(Python!$1:$1048576,MATCH('DCF-Detailed'!$B8,Python!$A:$A,0),MATCH('DCF-Detailed'!AO$1,Python!$1:$1,0))</f>
        <v>#N/A</v>
      </c>
      <c r="AP8" s="66" t="e">
        <f>INDEX(Python!$1:$1048576,MATCH('DCF-Detailed'!$B8,Python!$A:$A,0),MATCH('DCF-Detailed'!AP$1,Python!$1:$1,0))</f>
        <v>#N/A</v>
      </c>
      <c r="AQ8" s="66" t="e">
        <f>INDEX(Python!$1:$1048576,MATCH('DCF-Detailed'!$B8,Python!$A:$A,0),MATCH('DCF-Detailed'!AQ$1,Python!$1:$1,0))</f>
        <v>#N/A</v>
      </c>
      <c r="AR8" s="129" t="e">
        <f>INDEX(Python!$1:$1048576,MATCH('DCF-Detailed'!$B8,Python!$A:$A,0),MATCH('DCF-Detailed'!AR$1,Python!$1:$1,0))</f>
        <v>#N/A</v>
      </c>
      <c r="AS8" s="98">
        <v>0</v>
      </c>
      <c r="AT8" s="66" t="e">
        <f t="shared" ref="AT8:BX8" si="31">AP8*(1+AT9)</f>
        <v>#N/A</v>
      </c>
      <c r="AU8" s="66" t="e">
        <f t="shared" si="31"/>
        <v>#N/A</v>
      </c>
      <c r="AV8" s="66" t="e">
        <f t="shared" si="31"/>
        <v>#N/A</v>
      </c>
      <c r="AW8" s="66" t="e">
        <f t="shared" si="31"/>
        <v>#N/A</v>
      </c>
      <c r="AX8" s="66" t="e">
        <f t="shared" si="31"/>
        <v>#N/A</v>
      </c>
      <c r="AY8" s="66" t="e">
        <f t="shared" si="31"/>
        <v>#N/A</v>
      </c>
      <c r="AZ8" s="66" t="e">
        <f t="shared" si="31"/>
        <v>#N/A</v>
      </c>
      <c r="BA8" s="66" t="e">
        <f t="shared" si="31"/>
        <v>#N/A</v>
      </c>
      <c r="BB8" s="66" t="e">
        <f t="shared" si="31"/>
        <v>#N/A</v>
      </c>
      <c r="BC8" s="66" t="e">
        <f t="shared" si="31"/>
        <v>#N/A</v>
      </c>
      <c r="BD8" s="66" t="e">
        <f t="shared" si="31"/>
        <v>#N/A</v>
      </c>
      <c r="BE8" s="66" t="e">
        <f t="shared" si="31"/>
        <v>#N/A</v>
      </c>
      <c r="BF8" s="66" t="e">
        <f t="shared" si="31"/>
        <v>#N/A</v>
      </c>
      <c r="BG8" s="66" t="e">
        <f t="shared" si="31"/>
        <v>#N/A</v>
      </c>
      <c r="BH8" s="66" t="e">
        <f t="shared" si="31"/>
        <v>#N/A</v>
      </c>
      <c r="BI8" s="66" t="e">
        <f t="shared" si="31"/>
        <v>#N/A</v>
      </c>
      <c r="BJ8" s="66" t="e">
        <f t="shared" si="31"/>
        <v>#N/A</v>
      </c>
      <c r="BK8" s="66" t="e">
        <f t="shared" si="31"/>
        <v>#N/A</v>
      </c>
      <c r="BL8" s="66" t="e">
        <f t="shared" si="31"/>
        <v>#N/A</v>
      </c>
      <c r="BM8" s="66" t="e">
        <f t="shared" si="31"/>
        <v>#N/A</v>
      </c>
      <c r="BN8" s="66" t="e">
        <f t="shared" si="31"/>
        <v>#N/A</v>
      </c>
      <c r="BO8" s="66" t="e">
        <f t="shared" si="31"/>
        <v>#N/A</v>
      </c>
      <c r="BP8" s="66" t="e">
        <f t="shared" si="31"/>
        <v>#N/A</v>
      </c>
      <c r="BQ8" s="66" t="e">
        <f t="shared" si="31"/>
        <v>#N/A</v>
      </c>
      <c r="BR8" s="66" t="e">
        <f t="shared" si="31"/>
        <v>#N/A</v>
      </c>
      <c r="BS8" s="66" t="e">
        <f t="shared" si="31"/>
        <v>#N/A</v>
      </c>
      <c r="BT8" s="66" t="e">
        <f t="shared" si="31"/>
        <v>#N/A</v>
      </c>
      <c r="BU8" s="66" t="e">
        <f t="shared" si="31"/>
        <v>#N/A</v>
      </c>
      <c r="BV8" s="66" t="e">
        <f t="shared" si="31"/>
        <v>#N/A</v>
      </c>
      <c r="BW8" s="66" t="e">
        <f t="shared" si="31"/>
        <v>#N/A</v>
      </c>
      <c r="BX8" s="67" t="e">
        <f t="shared" si="31"/>
        <v>#N/A</v>
      </c>
    </row>
    <row r="9" spans="2:76" s="1" customFormat="1" x14ac:dyDescent="0.35">
      <c r="B9" s="33" t="s">
        <v>49</v>
      </c>
      <c r="D9" s="68"/>
      <c r="E9" s="68"/>
      <c r="F9" s="68"/>
      <c r="G9" s="68"/>
      <c r="H9" s="68">
        <f t="shared" ref="H9:AN9" si="32">IFERROR(H8/D8-1,0)</f>
        <v>0</v>
      </c>
      <c r="I9" s="68">
        <f t="shared" si="32"/>
        <v>0</v>
      </c>
      <c r="J9" s="68">
        <f t="shared" si="32"/>
        <v>0</v>
      </c>
      <c r="K9" s="68">
        <f t="shared" si="32"/>
        <v>0</v>
      </c>
      <c r="L9" s="68">
        <f t="shared" si="32"/>
        <v>0</v>
      </c>
      <c r="M9" s="68">
        <f t="shared" si="32"/>
        <v>0</v>
      </c>
      <c r="N9" s="68">
        <f t="shared" si="32"/>
        <v>0</v>
      </c>
      <c r="O9" s="68">
        <f t="shared" si="32"/>
        <v>0</v>
      </c>
      <c r="P9" s="68">
        <f t="shared" si="32"/>
        <v>0</v>
      </c>
      <c r="Q9" s="68">
        <f t="shared" si="32"/>
        <v>0</v>
      </c>
      <c r="R9" s="68">
        <f t="shared" si="32"/>
        <v>0</v>
      </c>
      <c r="S9" s="68">
        <f t="shared" si="32"/>
        <v>0</v>
      </c>
      <c r="T9" s="68">
        <f t="shared" si="32"/>
        <v>0</v>
      </c>
      <c r="U9" s="68">
        <f t="shared" si="32"/>
        <v>0</v>
      </c>
      <c r="V9" s="68">
        <f t="shared" si="32"/>
        <v>0</v>
      </c>
      <c r="W9" s="68">
        <f t="shared" si="32"/>
        <v>0</v>
      </c>
      <c r="X9" s="68">
        <f t="shared" si="32"/>
        <v>0</v>
      </c>
      <c r="Y9" s="68">
        <f t="shared" si="32"/>
        <v>0</v>
      </c>
      <c r="Z9" s="68">
        <f t="shared" si="32"/>
        <v>0</v>
      </c>
      <c r="AA9" s="68">
        <f t="shared" si="32"/>
        <v>0</v>
      </c>
      <c r="AB9" s="68">
        <f t="shared" si="32"/>
        <v>0</v>
      </c>
      <c r="AC9" s="68">
        <f t="shared" si="32"/>
        <v>0</v>
      </c>
      <c r="AD9" s="68">
        <f t="shared" si="32"/>
        <v>0</v>
      </c>
      <c r="AE9" s="68">
        <f t="shared" si="32"/>
        <v>0</v>
      </c>
      <c r="AF9" s="68">
        <f t="shared" si="32"/>
        <v>0</v>
      </c>
      <c r="AG9" s="68">
        <f t="shared" si="32"/>
        <v>0</v>
      </c>
      <c r="AH9" s="68">
        <f t="shared" si="32"/>
        <v>0</v>
      </c>
      <c r="AI9" s="68">
        <f t="shared" si="32"/>
        <v>0</v>
      </c>
      <c r="AJ9" s="68">
        <f t="shared" si="32"/>
        <v>0</v>
      </c>
      <c r="AK9" s="68">
        <f t="shared" si="32"/>
        <v>0</v>
      </c>
      <c r="AL9" s="68">
        <f t="shared" si="32"/>
        <v>0</v>
      </c>
      <c r="AM9" s="68">
        <f t="shared" si="32"/>
        <v>0</v>
      </c>
      <c r="AN9" s="68">
        <f t="shared" si="32"/>
        <v>0</v>
      </c>
      <c r="AO9" s="68">
        <f>IFERROR(AO8/AK8-1,0)</f>
        <v>0</v>
      </c>
      <c r="AP9" s="68" t="e">
        <f t="shared" ref="AP9:AQ9" si="33">AP8/AL8-1</f>
        <v>#N/A</v>
      </c>
      <c r="AQ9" s="68" t="e">
        <f t="shared" si="33"/>
        <v>#N/A</v>
      </c>
      <c r="AR9" s="28" t="e">
        <f t="shared" ref="AR9" si="34">AR8/AN8-1</f>
        <v>#N/A</v>
      </c>
      <c r="AS9" s="68" t="e">
        <f>AS8/AO8-1</f>
        <v>#N/A</v>
      </c>
      <c r="AT9" s="69" t="e">
        <f>AS9</f>
        <v>#N/A</v>
      </c>
      <c r="AU9" s="69" t="e">
        <f t="shared" ref="AU9:BX9" si="35">AT9</f>
        <v>#N/A</v>
      </c>
      <c r="AV9" s="69" t="e">
        <f t="shared" si="35"/>
        <v>#N/A</v>
      </c>
      <c r="AW9" s="69" t="e">
        <f t="shared" si="35"/>
        <v>#N/A</v>
      </c>
      <c r="AX9" s="69" t="e">
        <f t="shared" si="35"/>
        <v>#N/A</v>
      </c>
      <c r="AY9" s="69" t="e">
        <f t="shared" si="35"/>
        <v>#N/A</v>
      </c>
      <c r="AZ9" s="69" t="e">
        <f t="shared" si="35"/>
        <v>#N/A</v>
      </c>
      <c r="BA9" s="69" t="e">
        <f t="shared" si="35"/>
        <v>#N/A</v>
      </c>
      <c r="BB9" s="69" t="e">
        <f t="shared" si="35"/>
        <v>#N/A</v>
      </c>
      <c r="BC9" s="69" t="e">
        <f t="shared" si="35"/>
        <v>#N/A</v>
      </c>
      <c r="BD9" s="69" t="e">
        <f t="shared" si="35"/>
        <v>#N/A</v>
      </c>
      <c r="BE9" s="69" t="e">
        <f t="shared" si="35"/>
        <v>#N/A</v>
      </c>
      <c r="BF9" s="69" t="e">
        <f t="shared" si="35"/>
        <v>#N/A</v>
      </c>
      <c r="BG9" s="69" t="e">
        <f t="shared" si="35"/>
        <v>#N/A</v>
      </c>
      <c r="BH9" s="69" t="e">
        <f t="shared" si="35"/>
        <v>#N/A</v>
      </c>
      <c r="BI9" s="69" t="e">
        <f t="shared" si="35"/>
        <v>#N/A</v>
      </c>
      <c r="BJ9" s="69" t="e">
        <f t="shared" si="35"/>
        <v>#N/A</v>
      </c>
      <c r="BK9" s="69" t="e">
        <f t="shared" si="35"/>
        <v>#N/A</v>
      </c>
      <c r="BL9" s="69" t="e">
        <f t="shared" si="35"/>
        <v>#N/A</v>
      </c>
      <c r="BM9" s="69" t="e">
        <f t="shared" si="35"/>
        <v>#N/A</v>
      </c>
      <c r="BN9" s="69" t="e">
        <f t="shared" si="35"/>
        <v>#N/A</v>
      </c>
      <c r="BO9" s="69" t="e">
        <f t="shared" si="35"/>
        <v>#N/A</v>
      </c>
      <c r="BP9" s="69" t="e">
        <f t="shared" si="35"/>
        <v>#N/A</v>
      </c>
      <c r="BQ9" s="69" t="e">
        <f t="shared" si="35"/>
        <v>#N/A</v>
      </c>
      <c r="BR9" s="69" t="e">
        <f t="shared" si="35"/>
        <v>#N/A</v>
      </c>
      <c r="BS9" s="69" t="e">
        <f t="shared" si="35"/>
        <v>#N/A</v>
      </c>
      <c r="BT9" s="69" t="e">
        <f t="shared" si="35"/>
        <v>#N/A</v>
      </c>
      <c r="BU9" s="69" t="e">
        <f t="shared" si="35"/>
        <v>#N/A</v>
      </c>
      <c r="BV9" s="69" t="e">
        <f t="shared" si="35"/>
        <v>#N/A</v>
      </c>
      <c r="BW9" s="69" t="e">
        <f t="shared" si="35"/>
        <v>#N/A</v>
      </c>
      <c r="BX9" s="70" t="e">
        <f t="shared" si="35"/>
        <v>#N/A</v>
      </c>
    </row>
    <row r="10" spans="2:76" s="1" customFormat="1" ht="6.9" customHeight="1" x14ac:dyDescent="0.35">
      <c r="B10" s="11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28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2"/>
    </row>
    <row r="11" spans="2:76" s="1" customFormat="1" x14ac:dyDescent="0.35">
      <c r="B11" s="10" t="s">
        <v>2</v>
      </c>
      <c r="D11" s="73" t="e">
        <f>INDEX(Python!$1:$1048576,MATCH('DCF-Detailed'!$B11,Python!$A:$A,0),MATCH('DCF-Detailed'!D$1,Python!$1:$1,0))</f>
        <v>#N/A</v>
      </c>
      <c r="E11" s="73" t="e">
        <f>INDEX(Python!$1:$1048576,MATCH('DCF-Detailed'!$B11,Python!$A:$A,0),MATCH('DCF-Detailed'!E$1,Python!$1:$1,0))</f>
        <v>#N/A</v>
      </c>
      <c r="F11" s="73" t="e">
        <f>INDEX(Python!$1:$1048576,MATCH('DCF-Detailed'!$B11,Python!$A:$A,0),MATCH('DCF-Detailed'!F$1,Python!$1:$1,0))</f>
        <v>#N/A</v>
      </c>
      <c r="G11" s="73" t="e">
        <f>INDEX(Python!$1:$1048576,MATCH('DCF-Detailed'!$B11,Python!$A:$A,0),MATCH('DCF-Detailed'!G$1,Python!$1:$1,0))</f>
        <v>#N/A</v>
      </c>
      <c r="H11" s="73" t="e">
        <f>INDEX(Python!$1:$1048576,MATCH('DCF-Detailed'!$B11,Python!$A:$A,0),MATCH('DCF-Detailed'!H$1,Python!$1:$1,0))</f>
        <v>#N/A</v>
      </c>
      <c r="I11" s="73" t="e">
        <f>INDEX(Python!$1:$1048576,MATCH('DCF-Detailed'!$B11,Python!$A:$A,0),MATCH('DCF-Detailed'!I$1,Python!$1:$1,0))</f>
        <v>#N/A</v>
      </c>
      <c r="J11" s="73" t="e">
        <f>INDEX(Python!$1:$1048576,MATCH('DCF-Detailed'!$B11,Python!$A:$A,0),MATCH('DCF-Detailed'!J$1,Python!$1:$1,0))</f>
        <v>#N/A</v>
      </c>
      <c r="K11" s="73" t="e">
        <f>INDEX(Python!$1:$1048576,MATCH('DCF-Detailed'!$B11,Python!$A:$A,0),MATCH('DCF-Detailed'!K$1,Python!$1:$1,0))</f>
        <v>#N/A</v>
      </c>
      <c r="L11" s="73" t="e">
        <f>INDEX(Python!$1:$1048576,MATCH('DCF-Detailed'!$B11,Python!$A:$A,0),MATCH('DCF-Detailed'!L$1,Python!$1:$1,0))</f>
        <v>#N/A</v>
      </c>
      <c r="M11" s="73" t="e">
        <f>INDEX(Python!$1:$1048576,MATCH('DCF-Detailed'!$B11,Python!$A:$A,0),MATCH('DCF-Detailed'!M$1,Python!$1:$1,0))</f>
        <v>#N/A</v>
      </c>
      <c r="N11" s="73" t="e">
        <f>INDEX(Python!$1:$1048576,MATCH('DCF-Detailed'!$B11,Python!$A:$A,0),MATCH('DCF-Detailed'!N$1,Python!$1:$1,0))</f>
        <v>#N/A</v>
      </c>
      <c r="O11" s="73" t="e">
        <f>INDEX(Python!$1:$1048576,MATCH('DCF-Detailed'!$B11,Python!$A:$A,0),MATCH('DCF-Detailed'!O$1,Python!$1:$1,0))</f>
        <v>#N/A</v>
      </c>
      <c r="P11" s="73" t="e">
        <f>INDEX(Python!$1:$1048576,MATCH('DCF-Detailed'!$B11,Python!$A:$A,0),MATCH('DCF-Detailed'!P$1,Python!$1:$1,0))</f>
        <v>#N/A</v>
      </c>
      <c r="Q11" s="73" t="e">
        <f>INDEX(Python!$1:$1048576,MATCH('DCF-Detailed'!$B11,Python!$A:$A,0),MATCH('DCF-Detailed'!Q$1,Python!$1:$1,0))</f>
        <v>#N/A</v>
      </c>
      <c r="R11" s="73" t="e">
        <f>INDEX(Python!$1:$1048576,MATCH('DCF-Detailed'!$B11,Python!$A:$A,0),MATCH('DCF-Detailed'!R$1,Python!$1:$1,0))</f>
        <v>#N/A</v>
      </c>
      <c r="S11" s="73" t="e">
        <f>INDEX(Python!$1:$1048576,MATCH('DCF-Detailed'!$B11,Python!$A:$A,0),MATCH('DCF-Detailed'!S$1,Python!$1:$1,0))</f>
        <v>#N/A</v>
      </c>
      <c r="T11" s="73" t="e">
        <f>INDEX(Python!$1:$1048576,MATCH('DCF-Detailed'!$B11,Python!$A:$A,0),MATCH('DCF-Detailed'!T$1,Python!$1:$1,0))</f>
        <v>#N/A</v>
      </c>
      <c r="U11" s="73" t="e">
        <f>INDEX(Python!$1:$1048576,MATCH('DCF-Detailed'!$B11,Python!$A:$A,0),MATCH('DCF-Detailed'!U$1,Python!$1:$1,0))</f>
        <v>#N/A</v>
      </c>
      <c r="V11" s="73" t="e">
        <f>INDEX(Python!$1:$1048576,MATCH('DCF-Detailed'!$B11,Python!$A:$A,0),MATCH('DCF-Detailed'!V$1,Python!$1:$1,0))</f>
        <v>#N/A</v>
      </c>
      <c r="W11" s="73" t="e">
        <f>INDEX(Python!$1:$1048576,MATCH('DCF-Detailed'!$B11,Python!$A:$A,0),MATCH('DCF-Detailed'!W$1,Python!$1:$1,0))</f>
        <v>#N/A</v>
      </c>
      <c r="X11" s="73" t="e">
        <f>INDEX(Python!$1:$1048576,MATCH('DCF-Detailed'!$B11,Python!$A:$A,0),MATCH('DCF-Detailed'!X$1,Python!$1:$1,0))</f>
        <v>#N/A</v>
      </c>
      <c r="Y11" s="73" t="e">
        <f>INDEX(Python!$1:$1048576,MATCH('DCF-Detailed'!$B11,Python!$A:$A,0),MATCH('DCF-Detailed'!Y$1,Python!$1:$1,0))</f>
        <v>#N/A</v>
      </c>
      <c r="Z11" s="73" t="e">
        <f>INDEX(Python!$1:$1048576,MATCH('DCF-Detailed'!$B11,Python!$A:$A,0),MATCH('DCF-Detailed'!Z$1,Python!$1:$1,0))</f>
        <v>#N/A</v>
      </c>
      <c r="AA11" s="73" t="e">
        <f>INDEX(Python!$1:$1048576,MATCH('DCF-Detailed'!$B11,Python!$A:$A,0),MATCH('DCF-Detailed'!AA$1,Python!$1:$1,0))</f>
        <v>#N/A</v>
      </c>
      <c r="AB11" s="73" t="e">
        <f>INDEX(Python!$1:$1048576,MATCH('DCF-Detailed'!$B11,Python!$A:$A,0),MATCH('DCF-Detailed'!AB$1,Python!$1:$1,0))</f>
        <v>#N/A</v>
      </c>
      <c r="AC11" s="73" t="e">
        <f>INDEX(Python!$1:$1048576,MATCH('DCF-Detailed'!$B11,Python!$A:$A,0),MATCH('DCF-Detailed'!AC$1,Python!$1:$1,0))</f>
        <v>#N/A</v>
      </c>
      <c r="AD11" s="73" t="e">
        <f>INDEX(Python!$1:$1048576,MATCH('DCF-Detailed'!$B11,Python!$A:$A,0),MATCH('DCF-Detailed'!AD$1,Python!$1:$1,0))</f>
        <v>#N/A</v>
      </c>
      <c r="AE11" s="73" t="e">
        <f>INDEX(Python!$1:$1048576,MATCH('DCF-Detailed'!$B11,Python!$A:$A,0),MATCH('DCF-Detailed'!AE$1,Python!$1:$1,0))</f>
        <v>#N/A</v>
      </c>
      <c r="AF11" s="73" t="e">
        <f>INDEX(Python!$1:$1048576,MATCH('DCF-Detailed'!$B11,Python!$A:$A,0),MATCH('DCF-Detailed'!AF$1,Python!$1:$1,0))</f>
        <v>#N/A</v>
      </c>
      <c r="AG11" s="73" t="e">
        <f>INDEX(Python!$1:$1048576,MATCH('DCF-Detailed'!$B11,Python!$A:$A,0),MATCH('DCF-Detailed'!AG$1,Python!$1:$1,0))</f>
        <v>#N/A</v>
      </c>
      <c r="AH11" s="73" t="e">
        <f>INDEX(Python!$1:$1048576,MATCH('DCF-Detailed'!$B11,Python!$A:$A,0),MATCH('DCF-Detailed'!AH$1,Python!$1:$1,0))</f>
        <v>#N/A</v>
      </c>
      <c r="AI11" s="73" t="e">
        <f>INDEX(Python!$1:$1048576,MATCH('DCF-Detailed'!$B11,Python!$A:$A,0),MATCH('DCF-Detailed'!AI$1,Python!$1:$1,0))</f>
        <v>#N/A</v>
      </c>
      <c r="AJ11" s="73" t="e">
        <f>INDEX(Python!$1:$1048576,MATCH('DCF-Detailed'!$B11,Python!$A:$A,0),MATCH('DCF-Detailed'!AJ$1,Python!$1:$1,0))</f>
        <v>#N/A</v>
      </c>
      <c r="AK11" s="73" t="e">
        <f>INDEX(Python!$1:$1048576,MATCH('DCF-Detailed'!$B11,Python!$A:$A,0),MATCH('DCF-Detailed'!AK$1,Python!$1:$1,0))</f>
        <v>#N/A</v>
      </c>
      <c r="AL11" s="73" t="e">
        <f>INDEX(Python!$1:$1048576,MATCH('DCF-Detailed'!$B11,Python!$A:$A,0),MATCH('DCF-Detailed'!AL$1,Python!$1:$1,0))</f>
        <v>#N/A</v>
      </c>
      <c r="AM11" s="73" t="e">
        <f>INDEX(Python!$1:$1048576,MATCH('DCF-Detailed'!$B11,Python!$A:$A,0),MATCH('DCF-Detailed'!AM$1,Python!$1:$1,0))</f>
        <v>#N/A</v>
      </c>
      <c r="AN11" s="73" t="e">
        <f>INDEX(Python!$1:$1048576,MATCH('DCF-Detailed'!$B11,Python!$A:$A,0),MATCH('DCF-Detailed'!AN$1,Python!$1:$1,0))</f>
        <v>#N/A</v>
      </c>
      <c r="AO11" s="73" t="e">
        <f>INDEX(Python!$1:$1048576,MATCH('DCF-Detailed'!$B11,Python!$A:$A,0),MATCH('DCF-Detailed'!AO$1,Python!$1:$1,0))</f>
        <v>#N/A</v>
      </c>
      <c r="AP11" s="73" t="e">
        <f>INDEX(Python!$1:$1048576,MATCH('DCF-Detailed'!$B11,Python!$A:$A,0),MATCH('DCF-Detailed'!AP$1,Python!$1:$1,0))</f>
        <v>#N/A</v>
      </c>
      <c r="AQ11" s="73" t="e">
        <f>INDEX(Python!$1:$1048576,MATCH('DCF-Detailed'!$B11,Python!$A:$A,0),MATCH('DCF-Detailed'!AQ$1,Python!$1:$1,0))</f>
        <v>#N/A</v>
      </c>
      <c r="AR11" s="31" t="e">
        <f>INDEX(Python!$1:$1048576,MATCH('DCF-Detailed'!$B11,Python!$A:$A,0),MATCH('DCF-Detailed'!AR$1,Python!$1:$1,0))</f>
        <v>#N/A</v>
      </c>
      <c r="AS11" s="74" t="e">
        <f>INDEX(Python!$1:$1048576,MATCH('DCF-Detailed'!$B11,Python!$A:$A,0),MATCH('DCF-Detailed'!AS$1,Python!$1:$1,0))</f>
        <v>#N/A</v>
      </c>
      <c r="AT11" s="74" t="e">
        <f>INDEX(Python!$1:$1048576,MATCH('DCF-Detailed'!$B11,Python!$A:$A,0),MATCH('DCF-Detailed'!AT$1,Python!$1:$1,0))</f>
        <v>#N/A</v>
      </c>
      <c r="AU11" s="74" t="e">
        <f>INDEX(Python!$1:$1048576,MATCH('DCF-Detailed'!$B11,Python!$A:$A,0),MATCH('DCF-Detailed'!AU$1,Python!$1:$1,0))</f>
        <v>#N/A</v>
      </c>
      <c r="AV11" s="74" t="e">
        <f>INDEX(Python!$1:$1048576,MATCH('DCF-Detailed'!$B11,Python!$A:$A,0),MATCH('DCF-Detailed'!AV$1,Python!$1:$1,0))</f>
        <v>#N/A</v>
      </c>
      <c r="AW11" s="74" t="e">
        <f>INDEX(Python!$1:$1048576,MATCH('DCF-Detailed'!$B11,Python!$A:$A,0),MATCH('DCF-Detailed'!AW$1,Python!$1:$1,0))</f>
        <v>#N/A</v>
      </c>
      <c r="AX11" s="74" t="e">
        <f>INDEX(Python!$1:$1048576,MATCH('DCF-Detailed'!$B11,Python!$A:$A,0),MATCH('DCF-Detailed'!AX$1,Python!$1:$1,0))</f>
        <v>#N/A</v>
      </c>
      <c r="AY11" s="74" t="e">
        <f>INDEX(Python!$1:$1048576,MATCH('DCF-Detailed'!$B11,Python!$A:$A,0),MATCH('DCF-Detailed'!AY$1,Python!$1:$1,0))</f>
        <v>#N/A</v>
      </c>
      <c r="AZ11" s="74" t="e">
        <f>INDEX(Python!$1:$1048576,MATCH('DCF-Detailed'!$B11,Python!$A:$A,0),MATCH('DCF-Detailed'!AZ$1,Python!$1:$1,0))</f>
        <v>#N/A</v>
      </c>
      <c r="BA11" s="74" t="e">
        <f>INDEX(Python!$1:$1048576,MATCH('DCF-Detailed'!$B11,Python!$A:$A,0),MATCH('DCF-Detailed'!BA$1,Python!$1:$1,0))</f>
        <v>#N/A</v>
      </c>
      <c r="BB11" s="74" t="e">
        <f>INDEX(Python!$1:$1048576,MATCH('DCF-Detailed'!$B11,Python!$A:$A,0),MATCH('DCF-Detailed'!BB$1,Python!$1:$1,0))</f>
        <v>#N/A</v>
      </c>
      <c r="BC11" s="74" t="e">
        <f>INDEX(Python!$1:$1048576,MATCH('DCF-Detailed'!$B11,Python!$A:$A,0),MATCH('DCF-Detailed'!BC$1,Python!$1:$1,0))</f>
        <v>#N/A</v>
      </c>
      <c r="BD11" s="74" t="e">
        <f>INDEX(Python!$1:$1048576,MATCH('DCF-Detailed'!$B11,Python!$A:$A,0),MATCH('DCF-Detailed'!BD$1,Python!$1:$1,0))</f>
        <v>#N/A</v>
      </c>
      <c r="BE11" s="74" t="e">
        <f>INDEX(Python!$1:$1048576,MATCH('DCF-Detailed'!$B11,Python!$A:$A,0),MATCH('DCF-Detailed'!BE$1,Python!$1:$1,0))</f>
        <v>#N/A</v>
      </c>
      <c r="BF11" s="74" t="e">
        <f>INDEX(Python!$1:$1048576,MATCH('DCF-Detailed'!$B11,Python!$A:$A,0),MATCH('DCF-Detailed'!BF$1,Python!$1:$1,0))</f>
        <v>#N/A</v>
      </c>
      <c r="BG11" s="74" t="e">
        <f>INDEX(Python!$1:$1048576,MATCH('DCF-Detailed'!$B11,Python!$A:$A,0),MATCH('DCF-Detailed'!BG$1,Python!$1:$1,0))</f>
        <v>#N/A</v>
      </c>
      <c r="BH11" s="74" t="e">
        <f>INDEX(Python!$1:$1048576,MATCH('DCF-Detailed'!$B11,Python!$A:$A,0),MATCH('DCF-Detailed'!BH$1,Python!$1:$1,0))</f>
        <v>#N/A</v>
      </c>
      <c r="BI11" s="74" t="e">
        <f>INDEX(Python!$1:$1048576,MATCH('DCF-Detailed'!$B11,Python!$A:$A,0),MATCH('DCF-Detailed'!BI$1,Python!$1:$1,0))</f>
        <v>#N/A</v>
      </c>
      <c r="BJ11" s="74" t="e">
        <f>INDEX(Python!$1:$1048576,MATCH('DCF-Detailed'!$B11,Python!$A:$A,0),MATCH('DCF-Detailed'!BJ$1,Python!$1:$1,0))</f>
        <v>#N/A</v>
      </c>
      <c r="BK11" s="74" t="e">
        <f>INDEX(Python!$1:$1048576,MATCH('DCF-Detailed'!$B11,Python!$A:$A,0),MATCH('DCF-Detailed'!BK$1,Python!$1:$1,0))</f>
        <v>#N/A</v>
      </c>
      <c r="BL11" s="74" t="e">
        <f>INDEX(Python!$1:$1048576,MATCH('DCF-Detailed'!$B11,Python!$A:$A,0),MATCH('DCF-Detailed'!BL$1,Python!$1:$1,0))</f>
        <v>#N/A</v>
      </c>
      <c r="BM11" s="74" t="e">
        <f>INDEX(Python!$1:$1048576,MATCH('DCF-Detailed'!$B11,Python!$A:$A,0),MATCH('DCF-Detailed'!BM$1,Python!$1:$1,0))</f>
        <v>#N/A</v>
      </c>
      <c r="BN11" s="74" t="e">
        <f>INDEX(Python!$1:$1048576,MATCH('DCF-Detailed'!$B11,Python!$A:$A,0),MATCH('DCF-Detailed'!BN$1,Python!$1:$1,0))</f>
        <v>#N/A</v>
      </c>
      <c r="BO11" s="74" t="e">
        <f>INDEX(Python!$1:$1048576,MATCH('DCF-Detailed'!$B11,Python!$A:$A,0),MATCH('DCF-Detailed'!BO$1,Python!$1:$1,0))</f>
        <v>#N/A</v>
      </c>
      <c r="BP11" s="74" t="e">
        <f>INDEX(Python!$1:$1048576,MATCH('DCF-Detailed'!$B11,Python!$A:$A,0),MATCH('DCF-Detailed'!BP$1,Python!$1:$1,0))</f>
        <v>#N/A</v>
      </c>
      <c r="BQ11" s="74" t="e">
        <f>INDEX(Python!$1:$1048576,MATCH('DCF-Detailed'!$B11,Python!$A:$A,0),MATCH('DCF-Detailed'!BQ$1,Python!$1:$1,0))</f>
        <v>#N/A</v>
      </c>
      <c r="BR11" s="74" t="e">
        <f>INDEX(Python!$1:$1048576,MATCH('DCF-Detailed'!$B11,Python!$A:$A,0),MATCH('DCF-Detailed'!BR$1,Python!$1:$1,0))</f>
        <v>#N/A</v>
      </c>
      <c r="BS11" s="74" t="e">
        <f>INDEX(Python!$1:$1048576,MATCH('DCF-Detailed'!$B11,Python!$A:$A,0),MATCH('DCF-Detailed'!BS$1,Python!$1:$1,0))</f>
        <v>#N/A</v>
      </c>
      <c r="BT11" s="74" t="e">
        <f>INDEX(Python!$1:$1048576,MATCH('DCF-Detailed'!$B11,Python!$A:$A,0),MATCH('DCF-Detailed'!BT$1,Python!$1:$1,0))</f>
        <v>#N/A</v>
      </c>
      <c r="BU11" s="74" t="e">
        <f>INDEX(Python!$1:$1048576,MATCH('DCF-Detailed'!$B11,Python!$A:$A,0),MATCH('DCF-Detailed'!BU$1,Python!$1:$1,0))</f>
        <v>#N/A</v>
      </c>
      <c r="BV11" s="74" t="e">
        <f>INDEX(Python!$1:$1048576,MATCH('DCF-Detailed'!$B11,Python!$A:$A,0),MATCH('DCF-Detailed'!BV$1,Python!$1:$1,0))</f>
        <v>#N/A</v>
      </c>
      <c r="BW11" s="74" t="e">
        <f>INDEX(Python!$1:$1048576,MATCH('DCF-Detailed'!$B11,Python!$A:$A,0),MATCH('DCF-Detailed'!BW$1,Python!$1:$1,0))</f>
        <v>#N/A</v>
      </c>
      <c r="BX11" s="75" t="e">
        <f>INDEX(Python!$1:$1048576,MATCH('DCF-Detailed'!$B11,Python!$A:$A,0),MATCH('DCF-Detailed'!BX$1,Python!$1:$1,0))</f>
        <v>#N/A</v>
      </c>
    </row>
    <row r="12" spans="2:76" s="1" customFormat="1" x14ac:dyDescent="0.35">
      <c r="B12" s="33" t="s">
        <v>3</v>
      </c>
      <c r="D12" s="68" t="e">
        <f t="shared" ref="D12:F12" si="36">D11/D$8</f>
        <v>#N/A</v>
      </c>
      <c r="E12" s="68" t="e">
        <f t="shared" si="36"/>
        <v>#N/A</v>
      </c>
      <c r="F12" s="68" t="e">
        <f t="shared" si="36"/>
        <v>#N/A</v>
      </c>
      <c r="G12" s="68" t="e">
        <f>G11/G$8</f>
        <v>#N/A</v>
      </c>
      <c r="H12" s="68" t="e">
        <f t="shared" ref="H12:BS12" si="37">H11/H$8</f>
        <v>#N/A</v>
      </c>
      <c r="I12" s="68" t="e">
        <f t="shared" si="37"/>
        <v>#N/A</v>
      </c>
      <c r="J12" s="68" t="e">
        <f t="shared" si="37"/>
        <v>#N/A</v>
      </c>
      <c r="K12" s="68" t="e">
        <f t="shared" si="37"/>
        <v>#N/A</v>
      </c>
      <c r="L12" s="68" t="e">
        <f t="shared" si="37"/>
        <v>#N/A</v>
      </c>
      <c r="M12" s="68" t="e">
        <f t="shared" si="37"/>
        <v>#N/A</v>
      </c>
      <c r="N12" s="68" t="e">
        <f t="shared" si="37"/>
        <v>#N/A</v>
      </c>
      <c r="O12" s="68" t="e">
        <f t="shared" si="37"/>
        <v>#N/A</v>
      </c>
      <c r="P12" s="68" t="e">
        <f t="shared" si="37"/>
        <v>#N/A</v>
      </c>
      <c r="Q12" s="68" t="e">
        <f t="shared" si="37"/>
        <v>#N/A</v>
      </c>
      <c r="R12" s="68" t="e">
        <f t="shared" si="37"/>
        <v>#N/A</v>
      </c>
      <c r="S12" s="68" t="e">
        <f t="shared" si="37"/>
        <v>#N/A</v>
      </c>
      <c r="T12" s="68" t="e">
        <f t="shared" si="37"/>
        <v>#N/A</v>
      </c>
      <c r="U12" s="68" t="e">
        <f t="shared" si="37"/>
        <v>#N/A</v>
      </c>
      <c r="V12" s="68" t="e">
        <f t="shared" si="37"/>
        <v>#N/A</v>
      </c>
      <c r="W12" s="68" t="e">
        <f t="shared" si="37"/>
        <v>#N/A</v>
      </c>
      <c r="X12" s="68" t="e">
        <f t="shared" si="37"/>
        <v>#N/A</v>
      </c>
      <c r="Y12" s="68" t="e">
        <f t="shared" si="37"/>
        <v>#N/A</v>
      </c>
      <c r="Z12" s="68" t="e">
        <f t="shared" si="37"/>
        <v>#N/A</v>
      </c>
      <c r="AA12" s="68" t="e">
        <f t="shared" si="37"/>
        <v>#N/A</v>
      </c>
      <c r="AB12" s="68" t="e">
        <f t="shared" si="37"/>
        <v>#N/A</v>
      </c>
      <c r="AC12" s="68" t="e">
        <f t="shared" si="37"/>
        <v>#N/A</v>
      </c>
      <c r="AD12" s="68" t="e">
        <f t="shared" si="37"/>
        <v>#N/A</v>
      </c>
      <c r="AE12" s="68" t="e">
        <f t="shared" si="37"/>
        <v>#N/A</v>
      </c>
      <c r="AF12" s="68" t="e">
        <f t="shared" si="37"/>
        <v>#N/A</v>
      </c>
      <c r="AG12" s="68" t="e">
        <f t="shared" si="37"/>
        <v>#N/A</v>
      </c>
      <c r="AH12" s="68" t="e">
        <f t="shared" si="37"/>
        <v>#N/A</v>
      </c>
      <c r="AI12" s="68" t="e">
        <f t="shared" si="37"/>
        <v>#N/A</v>
      </c>
      <c r="AJ12" s="68" t="e">
        <f t="shared" si="37"/>
        <v>#N/A</v>
      </c>
      <c r="AK12" s="68" t="e">
        <f t="shared" si="37"/>
        <v>#N/A</v>
      </c>
      <c r="AL12" s="68" t="e">
        <f t="shared" si="37"/>
        <v>#N/A</v>
      </c>
      <c r="AM12" s="68" t="e">
        <f t="shared" si="37"/>
        <v>#N/A</v>
      </c>
      <c r="AN12" s="68" t="e">
        <f t="shared" si="37"/>
        <v>#N/A</v>
      </c>
      <c r="AO12" s="68" t="e">
        <f t="shared" si="37"/>
        <v>#N/A</v>
      </c>
      <c r="AP12" s="68" t="e">
        <f t="shared" si="37"/>
        <v>#N/A</v>
      </c>
      <c r="AQ12" s="68" t="e">
        <f t="shared" si="37"/>
        <v>#N/A</v>
      </c>
      <c r="AR12" s="28" t="e">
        <f t="shared" si="37"/>
        <v>#N/A</v>
      </c>
      <c r="AS12" s="96" t="e">
        <f t="shared" si="37"/>
        <v>#N/A</v>
      </c>
      <c r="AT12" s="69" t="e">
        <f t="shared" si="37"/>
        <v>#N/A</v>
      </c>
      <c r="AU12" s="69" t="e">
        <f t="shared" si="37"/>
        <v>#N/A</v>
      </c>
      <c r="AV12" s="69" t="e">
        <f t="shared" si="37"/>
        <v>#N/A</v>
      </c>
      <c r="AW12" s="69" t="e">
        <f t="shared" si="37"/>
        <v>#N/A</v>
      </c>
      <c r="AX12" s="69" t="e">
        <f t="shared" si="37"/>
        <v>#N/A</v>
      </c>
      <c r="AY12" s="69" t="e">
        <f t="shared" si="37"/>
        <v>#N/A</v>
      </c>
      <c r="AZ12" s="69" t="e">
        <f t="shared" si="37"/>
        <v>#N/A</v>
      </c>
      <c r="BA12" s="69" t="e">
        <f t="shared" si="37"/>
        <v>#N/A</v>
      </c>
      <c r="BB12" s="69" t="e">
        <f t="shared" si="37"/>
        <v>#N/A</v>
      </c>
      <c r="BC12" s="69" t="e">
        <f t="shared" si="37"/>
        <v>#N/A</v>
      </c>
      <c r="BD12" s="69" t="e">
        <f t="shared" si="37"/>
        <v>#N/A</v>
      </c>
      <c r="BE12" s="69" t="e">
        <f t="shared" si="37"/>
        <v>#N/A</v>
      </c>
      <c r="BF12" s="69" t="e">
        <f t="shared" si="37"/>
        <v>#N/A</v>
      </c>
      <c r="BG12" s="69" t="e">
        <f t="shared" si="37"/>
        <v>#N/A</v>
      </c>
      <c r="BH12" s="69" t="e">
        <f t="shared" si="37"/>
        <v>#N/A</v>
      </c>
      <c r="BI12" s="69" t="e">
        <f t="shared" si="37"/>
        <v>#N/A</v>
      </c>
      <c r="BJ12" s="69" t="e">
        <f t="shared" si="37"/>
        <v>#N/A</v>
      </c>
      <c r="BK12" s="69" t="e">
        <f t="shared" si="37"/>
        <v>#N/A</v>
      </c>
      <c r="BL12" s="69" t="e">
        <f t="shared" si="37"/>
        <v>#N/A</v>
      </c>
      <c r="BM12" s="69" t="e">
        <f t="shared" si="37"/>
        <v>#N/A</v>
      </c>
      <c r="BN12" s="69" t="e">
        <f t="shared" si="37"/>
        <v>#N/A</v>
      </c>
      <c r="BO12" s="69" t="e">
        <f t="shared" si="37"/>
        <v>#N/A</v>
      </c>
      <c r="BP12" s="69" t="e">
        <f t="shared" si="37"/>
        <v>#N/A</v>
      </c>
      <c r="BQ12" s="69" t="e">
        <f t="shared" si="37"/>
        <v>#N/A</v>
      </c>
      <c r="BR12" s="69" t="e">
        <f t="shared" si="37"/>
        <v>#N/A</v>
      </c>
      <c r="BS12" s="69" t="e">
        <f t="shared" si="37"/>
        <v>#N/A</v>
      </c>
      <c r="BT12" s="69" t="e">
        <f t="shared" ref="BT12:BX12" si="38">BT11/BT$8</f>
        <v>#N/A</v>
      </c>
      <c r="BU12" s="69" t="e">
        <f t="shared" si="38"/>
        <v>#N/A</v>
      </c>
      <c r="BV12" s="69" t="e">
        <f t="shared" si="38"/>
        <v>#N/A</v>
      </c>
      <c r="BW12" s="69" t="e">
        <f t="shared" si="38"/>
        <v>#N/A</v>
      </c>
      <c r="BX12" s="70" t="e">
        <f t="shared" si="38"/>
        <v>#N/A</v>
      </c>
    </row>
    <row r="13" spans="2:76" s="1" customFormat="1" ht="6.9" customHeight="1" x14ac:dyDescent="0.35">
      <c r="B13" s="10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31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5"/>
    </row>
    <row r="14" spans="2:76" s="1" customFormat="1" x14ac:dyDescent="0.35">
      <c r="B14" s="10" t="s">
        <v>62</v>
      </c>
      <c r="D14" s="73" t="e">
        <f>-INDEX(Python!$1:$1048576,MATCH('DCF-Detailed'!$B14,Python!$A:$A,0),MATCH('DCF-Detailed'!D$1,Python!$1:$1,0))</f>
        <v>#N/A</v>
      </c>
      <c r="E14" s="73" t="e">
        <f>-INDEX(Python!$1:$1048576,MATCH('DCF-Detailed'!$B14,Python!$A:$A,0),MATCH('DCF-Detailed'!E$1,Python!$1:$1,0))</f>
        <v>#N/A</v>
      </c>
      <c r="F14" s="73" t="e">
        <f>-INDEX(Python!$1:$1048576,MATCH('DCF-Detailed'!$B14,Python!$A:$A,0),MATCH('DCF-Detailed'!F$1,Python!$1:$1,0))</f>
        <v>#N/A</v>
      </c>
      <c r="G14" s="73" t="e">
        <f>-INDEX(Python!$1:$1048576,MATCH('DCF-Detailed'!$B14,Python!$A:$A,0),MATCH('DCF-Detailed'!G$1,Python!$1:$1,0))</f>
        <v>#N/A</v>
      </c>
      <c r="H14" s="73" t="e">
        <f>-INDEX(Python!$1:$1048576,MATCH('DCF-Detailed'!$B14,Python!$A:$A,0),MATCH('DCF-Detailed'!H$1,Python!$1:$1,0))</f>
        <v>#N/A</v>
      </c>
      <c r="I14" s="73" t="e">
        <f>-INDEX(Python!$1:$1048576,MATCH('DCF-Detailed'!$B14,Python!$A:$A,0),MATCH('DCF-Detailed'!I$1,Python!$1:$1,0))</f>
        <v>#N/A</v>
      </c>
      <c r="J14" s="73" t="e">
        <f>-INDEX(Python!$1:$1048576,MATCH('DCF-Detailed'!$B14,Python!$A:$A,0),MATCH('DCF-Detailed'!J$1,Python!$1:$1,0))</f>
        <v>#N/A</v>
      </c>
      <c r="K14" s="73" t="e">
        <f>-INDEX(Python!$1:$1048576,MATCH('DCF-Detailed'!$B14,Python!$A:$A,0),MATCH('DCF-Detailed'!K$1,Python!$1:$1,0))</f>
        <v>#N/A</v>
      </c>
      <c r="L14" s="73" t="e">
        <f>-INDEX(Python!$1:$1048576,MATCH('DCF-Detailed'!$B14,Python!$A:$A,0),MATCH('DCF-Detailed'!L$1,Python!$1:$1,0))</f>
        <v>#N/A</v>
      </c>
      <c r="M14" s="73" t="e">
        <f>-INDEX(Python!$1:$1048576,MATCH('DCF-Detailed'!$B14,Python!$A:$A,0),MATCH('DCF-Detailed'!M$1,Python!$1:$1,0))</f>
        <v>#N/A</v>
      </c>
      <c r="N14" s="73" t="e">
        <f>-INDEX(Python!$1:$1048576,MATCH('DCF-Detailed'!$B14,Python!$A:$A,0),MATCH('DCF-Detailed'!N$1,Python!$1:$1,0))</f>
        <v>#N/A</v>
      </c>
      <c r="O14" s="73" t="e">
        <f>-INDEX(Python!$1:$1048576,MATCH('DCF-Detailed'!$B14,Python!$A:$A,0),MATCH('DCF-Detailed'!O$1,Python!$1:$1,0))</f>
        <v>#N/A</v>
      </c>
      <c r="P14" s="73" t="e">
        <f>-INDEX(Python!$1:$1048576,MATCH('DCF-Detailed'!$B14,Python!$A:$A,0),MATCH('DCF-Detailed'!P$1,Python!$1:$1,0))</f>
        <v>#N/A</v>
      </c>
      <c r="Q14" s="73" t="e">
        <f>-INDEX(Python!$1:$1048576,MATCH('DCF-Detailed'!$B14,Python!$A:$A,0),MATCH('DCF-Detailed'!Q$1,Python!$1:$1,0))</f>
        <v>#N/A</v>
      </c>
      <c r="R14" s="73" t="e">
        <f>-INDEX(Python!$1:$1048576,MATCH('DCF-Detailed'!$B14,Python!$A:$A,0),MATCH('DCF-Detailed'!R$1,Python!$1:$1,0))</f>
        <v>#N/A</v>
      </c>
      <c r="S14" s="73" t="e">
        <f>-INDEX(Python!$1:$1048576,MATCH('DCF-Detailed'!$B14,Python!$A:$A,0),MATCH('DCF-Detailed'!S$1,Python!$1:$1,0))</f>
        <v>#N/A</v>
      </c>
      <c r="T14" s="73" t="e">
        <f>-INDEX(Python!$1:$1048576,MATCH('DCF-Detailed'!$B14,Python!$A:$A,0),MATCH('DCF-Detailed'!T$1,Python!$1:$1,0))</f>
        <v>#N/A</v>
      </c>
      <c r="U14" s="73" t="e">
        <f>-INDEX(Python!$1:$1048576,MATCH('DCF-Detailed'!$B14,Python!$A:$A,0),MATCH('DCF-Detailed'!U$1,Python!$1:$1,0))</f>
        <v>#N/A</v>
      </c>
      <c r="V14" s="73" t="e">
        <f>-INDEX(Python!$1:$1048576,MATCH('DCF-Detailed'!$B14,Python!$A:$A,0),MATCH('DCF-Detailed'!V$1,Python!$1:$1,0))</f>
        <v>#N/A</v>
      </c>
      <c r="W14" s="73" t="e">
        <f>-INDEX(Python!$1:$1048576,MATCH('DCF-Detailed'!$B14,Python!$A:$A,0),MATCH('DCF-Detailed'!W$1,Python!$1:$1,0))</f>
        <v>#N/A</v>
      </c>
      <c r="X14" s="73" t="e">
        <f>-INDEX(Python!$1:$1048576,MATCH('DCF-Detailed'!$B14,Python!$A:$A,0),MATCH('DCF-Detailed'!X$1,Python!$1:$1,0))</f>
        <v>#N/A</v>
      </c>
      <c r="Y14" s="73" t="e">
        <f>-INDEX(Python!$1:$1048576,MATCH('DCF-Detailed'!$B14,Python!$A:$A,0),MATCH('DCF-Detailed'!Y$1,Python!$1:$1,0))</f>
        <v>#N/A</v>
      </c>
      <c r="Z14" s="73" t="e">
        <f>-INDEX(Python!$1:$1048576,MATCH('DCF-Detailed'!$B14,Python!$A:$A,0),MATCH('DCF-Detailed'!Z$1,Python!$1:$1,0))</f>
        <v>#N/A</v>
      </c>
      <c r="AA14" s="73" t="e">
        <f>-INDEX(Python!$1:$1048576,MATCH('DCF-Detailed'!$B14,Python!$A:$A,0),MATCH('DCF-Detailed'!AA$1,Python!$1:$1,0))</f>
        <v>#N/A</v>
      </c>
      <c r="AB14" s="73" t="e">
        <f>-INDEX(Python!$1:$1048576,MATCH('DCF-Detailed'!$B14,Python!$A:$A,0),MATCH('DCF-Detailed'!AB$1,Python!$1:$1,0))</f>
        <v>#N/A</v>
      </c>
      <c r="AC14" s="73" t="e">
        <f>-INDEX(Python!$1:$1048576,MATCH('DCF-Detailed'!$B14,Python!$A:$A,0),MATCH('DCF-Detailed'!AC$1,Python!$1:$1,0))</f>
        <v>#N/A</v>
      </c>
      <c r="AD14" s="73" t="e">
        <f>-INDEX(Python!$1:$1048576,MATCH('DCF-Detailed'!$B14,Python!$A:$A,0),MATCH('DCF-Detailed'!AD$1,Python!$1:$1,0))</f>
        <v>#N/A</v>
      </c>
      <c r="AE14" s="73" t="e">
        <f>-INDEX(Python!$1:$1048576,MATCH('DCF-Detailed'!$B14,Python!$A:$A,0),MATCH('DCF-Detailed'!AE$1,Python!$1:$1,0))</f>
        <v>#N/A</v>
      </c>
      <c r="AF14" s="73" t="e">
        <f>-INDEX(Python!$1:$1048576,MATCH('DCF-Detailed'!$B14,Python!$A:$A,0),MATCH('DCF-Detailed'!AF$1,Python!$1:$1,0))</f>
        <v>#N/A</v>
      </c>
      <c r="AG14" s="73" t="e">
        <f>-INDEX(Python!$1:$1048576,MATCH('DCF-Detailed'!$B14,Python!$A:$A,0),MATCH('DCF-Detailed'!AG$1,Python!$1:$1,0))</f>
        <v>#N/A</v>
      </c>
      <c r="AH14" s="73" t="e">
        <f>-INDEX(Python!$1:$1048576,MATCH('DCF-Detailed'!$B14,Python!$A:$A,0),MATCH('DCF-Detailed'!AH$1,Python!$1:$1,0))</f>
        <v>#N/A</v>
      </c>
      <c r="AI14" s="73" t="e">
        <f>-INDEX(Python!$1:$1048576,MATCH('DCF-Detailed'!$B14,Python!$A:$A,0),MATCH('DCF-Detailed'!AI$1,Python!$1:$1,0))</f>
        <v>#N/A</v>
      </c>
      <c r="AJ14" s="73" t="e">
        <f>-INDEX(Python!$1:$1048576,MATCH('DCF-Detailed'!$B14,Python!$A:$A,0),MATCH('DCF-Detailed'!AJ$1,Python!$1:$1,0))</f>
        <v>#N/A</v>
      </c>
      <c r="AK14" s="73" t="e">
        <f>-INDEX(Python!$1:$1048576,MATCH('DCF-Detailed'!$B14,Python!$A:$A,0),MATCH('DCF-Detailed'!AK$1,Python!$1:$1,0))</f>
        <v>#N/A</v>
      </c>
      <c r="AL14" s="73" t="e">
        <f>-INDEX(Python!$1:$1048576,MATCH('DCF-Detailed'!$B14,Python!$A:$A,0),MATCH('DCF-Detailed'!AL$1,Python!$1:$1,0))</f>
        <v>#N/A</v>
      </c>
      <c r="AM14" s="73" t="e">
        <f>-INDEX(Python!$1:$1048576,MATCH('DCF-Detailed'!$B14,Python!$A:$A,0),MATCH('DCF-Detailed'!AM$1,Python!$1:$1,0))</f>
        <v>#N/A</v>
      </c>
      <c r="AN14" s="73" t="e">
        <f>-INDEX(Python!$1:$1048576,MATCH('DCF-Detailed'!$B14,Python!$A:$A,0),MATCH('DCF-Detailed'!AN$1,Python!$1:$1,0))</f>
        <v>#N/A</v>
      </c>
      <c r="AO14" s="73" t="e">
        <f>-INDEX(Python!$1:$1048576,MATCH('DCF-Detailed'!$B14,Python!$A:$A,0),MATCH('DCF-Detailed'!AO$1,Python!$1:$1,0))</f>
        <v>#N/A</v>
      </c>
      <c r="AP14" s="73" t="e">
        <f>-INDEX(Python!$1:$1048576,MATCH('DCF-Detailed'!$B14,Python!$A:$A,0),MATCH('DCF-Detailed'!AP$1,Python!$1:$1,0))</f>
        <v>#N/A</v>
      </c>
      <c r="AQ14" s="73" t="e">
        <f>-INDEX(Python!$1:$1048576,MATCH('DCF-Detailed'!$B14,Python!$A:$A,0),MATCH('DCF-Detailed'!AQ$1,Python!$1:$1,0))</f>
        <v>#N/A</v>
      </c>
      <c r="AR14" s="31" t="e">
        <f>-INDEX(Python!$1:$1048576,MATCH('DCF-Detailed'!$B14,Python!$A:$A,0),MATCH('DCF-Detailed'!AR$1,Python!$1:$1,0))</f>
        <v>#N/A</v>
      </c>
      <c r="AS14" s="99" t="e">
        <f>-INDEX(Python!$1:$1048576,MATCH('DCF-Detailed'!$B14,Python!$A:$A,0),MATCH('DCF-Detailed'!AS$1,Python!$1:$1,0))</f>
        <v>#N/A</v>
      </c>
      <c r="AT14" s="99" t="e">
        <f>-INDEX(Python!$1:$1048576,MATCH('DCF-Detailed'!$B14,Python!$A:$A,0),MATCH('DCF-Detailed'!AT$1,Python!$1:$1,0))</f>
        <v>#N/A</v>
      </c>
      <c r="AU14" s="99" t="e">
        <f>-INDEX(Python!$1:$1048576,MATCH('DCF-Detailed'!$B14,Python!$A:$A,0),MATCH('DCF-Detailed'!AU$1,Python!$1:$1,0))</f>
        <v>#N/A</v>
      </c>
      <c r="AV14" s="99" t="e">
        <f>-INDEX(Python!$1:$1048576,MATCH('DCF-Detailed'!$B14,Python!$A:$A,0),MATCH('DCF-Detailed'!AV$1,Python!$1:$1,0))</f>
        <v>#N/A</v>
      </c>
      <c r="AW14" s="99" t="e">
        <f>-INDEX(Python!$1:$1048576,MATCH('DCF-Detailed'!$B14,Python!$A:$A,0),MATCH('DCF-Detailed'!AW$1,Python!$1:$1,0))</f>
        <v>#N/A</v>
      </c>
      <c r="AX14" s="99" t="e">
        <f>-INDEX(Python!$1:$1048576,MATCH('DCF-Detailed'!$B14,Python!$A:$A,0),MATCH('DCF-Detailed'!AX$1,Python!$1:$1,0))</f>
        <v>#N/A</v>
      </c>
      <c r="AY14" s="99" t="e">
        <f>-INDEX(Python!$1:$1048576,MATCH('DCF-Detailed'!$B14,Python!$A:$A,0),MATCH('DCF-Detailed'!AY$1,Python!$1:$1,0))</f>
        <v>#N/A</v>
      </c>
      <c r="AZ14" s="99" t="e">
        <f>-INDEX(Python!$1:$1048576,MATCH('DCF-Detailed'!$B14,Python!$A:$A,0),MATCH('DCF-Detailed'!AZ$1,Python!$1:$1,0))</f>
        <v>#N/A</v>
      </c>
      <c r="BA14" s="99" t="e">
        <f>-INDEX(Python!$1:$1048576,MATCH('DCF-Detailed'!$B14,Python!$A:$A,0),MATCH('DCF-Detailed'!BA$1,Python!$1:$1,0))</f>
        <v>#N/A</v>
      </c>
      <c r="BB14" s="99" t="e">
        <f>-INDEX(Python!$1:$1048576,MATCH('DCF-Detailed'!$B14,Python!$A:$A,0),MATCH('DCF-Detailed'!BB$1,Python!$1:$1,0))</f>
        <v>#N/A</v>
      </c>
      <c r="BC14" s="99" t="e">
        <f>-INDEX(Python!$1:$1048576,MATCH('DCF-Detailed'!$B14,Python!$A:$A,0),MATCH('DCF-Detailed'!BC$1,Python!$1:$1,0))</f>
        <v>#N/A</v>
      </c>
      <c r="BD14" s="99" t="e">
        <f>-INDEX(Python!$1:$1048576,MATCH('DCF-Detailed'!$B14,Python!$A:$A,0),MATCH('DCF-Detailed'!BD$1,Python!$1:$1,0))</f>
        <v>#N/A</v>
      </c>
      <c r="BE14" s="99" t="e">
        <f>-INDEX(Python!$1:$1048576,MATCH('DCF-Detailed'!$B14,Python!$A:$A,0),MATCH('DCF-Detailed'!BE$1,Python!$1:$1,0))</f>
        <v>#N/A</v>
      </c>
      <c r="BF14" s="99" t="e">
        <f>-INDEX(Python!$1:$1048576,MATCH('DCF-Detailed'!$B14,Python!$A:$A,0),MATCH('DCF-Detailed'!BF$1,Python!$1:$1,0))</f>
        <v>#N/A</v>
      </c>
      <c r="BG14" s="99" t="e">
        <f>-INDEX(Python!$1:$1048576,MATCH('DCF-Detailed'!$B14,Python!$A:$A,0),MATCH('DCF-Detailed'!BG$1,Python!$1:$1,0))</f>
        <v>#N/A</v>
      </c>
      <c r="BH14" s="99" t="e">
        <f>-INDEX(Python!$1:$1048576,MATCH('DCF-Detailed'!$B14,Python!$A:$A,0),MATCH('DCF-Detailed'!BH$1,Python!$1:$1,0))</f>
        <v>#N/A</v>
      </c>
      <c r="BI14" s="99" t="e">
        <f>-INDEX(Python!$1:$1048576,MATCH('DCF-Detailed'!$B14,Python!$A:$A,0),MATCH('DCF-Detailed'!BI$1,Python!$1:$1,0))</f>
        <v>#N/A</v>
      </c>
      <c r="BJ14" s="99" t="e">
        <f>-INDEX(Python!$1:$1048576,MATCH('DCF-Detailed'!$B14,Python!$A:$A,0),MATCH('DCF-Detailed'!BJ$1,Python!$1:$1,0))</f>
        <v>#N/A</v>
      </c>
      <c r="BK14" s="99" t="e">
        <f>-INDEX(Python!$1:$1048576,MATCH('DCF-Detailed'!$B14,Python!$A:$A,0),MATCH('DCF-Detailed'!BK$1,Python!$1:$1,0))</f>
        <v>#N/A</v>
      </c>
      <c r="BL14" s="99" t="e">
        <f>-INDEX(Python!$1:$1048576,MATCH('DCF-Detailed'!$B14,Python!$A:$A,0),MATCH('DCF-Detailed'!BL$1,Python!$1:$1,0))</f>
        <v>#N/A</v>
      </c>
      <c r="BM14" s="99" t="e">
        <f>-INDEX(Python!$1:$1048576,MATCH('DCF-Detailed'!$B14,Python!$A:$A,0),MATCH('DCF-Detailed'!BM$1,Python!$1:$1,0))</f>
        <v>#N/A</v>
      </c>
      <c r="BN14" s="99" t="e">
        <f>-INDEX(Python!$1:$1048576,MATCH('DCF-Detailed'!$B14,Python!$A:$A,0),MATCH('DCF-Detailed'!BN$1,Python!$1:$1,0))</f>
        <v>#N/A</v>
      </c>
      <c r="BO14" s="99" t="e">
        <f>-INDEX(Python!$1:$1048576,MATCH('DCF-Detailed'!$B14,Python!$A:$A,0),MATCH('DCF-Detailed'!BO$1,Python!$1:$1,0))</f>
        <v>#N/A</v>
      </c>
      <c r="BP14" s="99" t="e">
        <f>-INDEX(Python!$1:$1048576,MATCH('DCF-Detailed'!$B14,Python!$A:$A,0),MATCH('DCF-Detailed'!BP$1,Python!$1:$1,0))</f>
        <v>#N/A</v>
      </c>
      <c r="BQ14" s="99" t="e">
        <f>-INDEX(Python!$1:$1048576,MATCH('DCF-Detailed'!$B14,Python!$A:$A,0),MATCH('DCF-Detailed'!BQ$1,Python!$1:$1,0))</f>
        <v>#N/A</v>
      </c>
      <c r="BR14" s="99" t="e">
        <f>-INDEX(Python!$1:$1048576,MATCH('DCF-Detailed'!$B14,Python!$A:$A,0),MATCH('DCF-Detailed'!BR$1,Python!$1:$1,0))</f>
        <v>#N/A</v>
      </c>
      <c r="BS14" s="99" t="e">
        <f>-INDEX(Python!$1:$1048576,MATCH('DCF-Detailed'!$B14,Python!$A:$A,0),MATCH('DCF-Detailed'!BS$1,Python!$1:$1,0))</f>
        <v>#N/A</v>
      </c>
      <c r="BT14" s="99" t="e">
        <f>-INDEX(Python!$1:$1048576,MATCH('DCF-Detailed'!$B14,Python!$A:$A,0),MATCH('DCF-Detailed'!BT$1,Python!$1:$1,0))</f>
        <v>#N/A</v>
      </c>
      <c r="BU14" s="99" t="e">
        <f>-INDEX(Python!$1:$1048576,MATCH('DCF-Detailed'!$B14,Python!$A:$A,0),MATCH('DCF-Detailed'!BU$1,Python!$1:$1,0))</f>
        <v>#N/A</v>
      </c>
      <c r="BV14" s="99" t="e">
        <f>-INDEX(Python!$1:$1048576,MATCH('DCF-Detailed'!$B14,Python!$A:$A,0),MATCH('DCF-Detailed'!BV$1,Python!$1:$1,0))</f>
        <v>#N/A</v>
      </c>
      <c r="BW14" s="99" t="e">
        <f>-INDEX(Python!$1:$1048576,MATCH('DCF-Detailed'!$B14,Python!$A:$A,0),MATCH('DCF-Detailed'!BW$1,Python!$1:$1,0))</f>
        <v>#N/A</v>
      </c>
      <c r="BX14" s="123" t="e">
        <f>-INDEX(Python!$1:$1048576,MATCH('DCF-Detailed'!$B14,Python!$A:$A,0),MATCH('DCF-Detailed'!BX$1,Python!$1:$1,0))</f>
        <v>#N/A</v>
      </c>
    </row>
    <row r="15" spans="2:76" s="1" customFormat="1" x14ac:dyDescent="0.35">
      <c r="B15" s="33" t="s">
        <v>35</v>
      </c>
      <c r="D15" s="65" t="e">
        <f t="shared" ref="D15:F15" si="39">D14/D$8</f>
        <v>#N/A</v>
      </c>
      <c r="E15" s="65" t="e">
        <f t="shared" si="39"/>
        <v>#N/A</v>
      </c>
      <c r="F15" s="65" t="e">
        <f t="shared" si="39"/>
        <v>#N/A</v>
      </c>
      <c r="G15" s="65" t="e">
        <f t="shared" ref="G15" si="40">G14/G$8</f>
        <v>#N/A</v>
      </c>
      <c r="H15" s="65" t="e">
        <f t="shared" ref="H15:BS15" si="41">H14/H$8</f>
        <v>#N/A</v>
      </c>
      <c r="I15" s="65" t="e">
        <f t="shared" si="41"/>
        <v>#N/A</v>
      </c>
      <c r="J15" s="65" t="e">
        <f t="shared" si="41"/>
        <v>#N/A</v>
      </c>
      <c r="K15" s="65" t="e">
        <f t="shared" si="41"/>
        <v>#N/A</v>
      </c>
      <c r="L15" s="65" t="e">
        <f t="shared" si="41"/>
        <v>#N/A</v>
      </c>
      <c r="M15" s="65" t="e">
        <f t="shared" si="41"/>
        <v>#N/A</v>
      </c>
      <c r="N15" s="65" t="e">
        <f t="shared" si="41"/>
        <v>#N/A</v>
      </c>
      <c r="O15" s="65" t="e">
        <f t="shared" si="41"/>
        <v>#N/A</v>
      </c>
      <c r="P15" s="65" t="e">
        <f t="shared" si="41"/>
        <v>#N/A</v>
      </c>
      <c r="Q15" s="65" t="e">
        <f t="shared" si="41"/>
        <v>#N/A</v>
      </c>
      <c r="R15" s="65" t="e">
        <f t="shared" si="41"/>
        <v>#N/A</v>
      </c>
      <c r="S15" s="65" t="e">
        <f t="shared" si="41"/>
        <v>#N/A</v>
      </c>
      <c r="T15" s="65" t="e">
        <f t="shared" si="41"/>
        <v>#N/A</v>
      </c>
      <c r="U15" s="65" t="e">
        <f t="shared" si="41"/>
        <v>#N/A</v>
      </c>
      <c r="V15" s="65" t="e">
        <f t="shared" si="41"/>
        <v>#N/A</v>
      </c>
      <c r="W15" s="65" t="e">
        <f t="shared" si="41"/>
        <v>#N/A</v>
      </c>
      <c r="X15" s="65" t="e">
        <f t="shared" si="41"/>
        <v>#N/A</v>
      </c>
      <c r="Y15" s="65" t="e">
        <f t="shared" si="41"/>
        <v>#N/A</v>
      </c>
      <c r="Z15" s="65" t="e">
        <f t="shared" si="41"/>
        <v>#N/A</v>
      </c>
      <c r="AA15" s="65" t="e">
        <f t="shared" si="41"/>
        <v>#N/A</v>
      </c>
      <c r="AB15" s="65" t="e">
        <f t="shared" si="41"/>
        <v>#N/A</v>
      </c>
      <c r="AC15" s="65" t="e">
        <f t="shared" si="41"/>
        <v>#N/A</v>
      </c>
      <c r="AD15" s="65" t="e">
        <f t="shared" si="41"/>
        <v>#N/A</v>
      </c>
      <c r="AE15" s="65" t="e">
        <f t="shared" si="41"/>
        <v>#N/A</v>
      </c>
      <c r="AF15" s="65" t="e">
        <f t="shared" si="41"/>
        <v>#N/A</v>
      </c>
      <c r="AG15" s="65" t="e">
        <f t="shared" si="41"/>
        <v>#N/A</v>
      </c>
      <c r="AH15" s="65" t="e">
        <f t="shared" si="41"/>
        <v>#N/A</v>
      </c>
      <c r="AI15" s="65" t="e">
        <f t="shared" si="41"/>
        <v>#N/A</v>
      </c>
      <c r="AJ15" s="65" t="e">
        <f t="shared" si="41"/>
        <v>#N/A</v>
      </c>
      <c r="AK15" s="65" t="e">
        <f t="shared" si="41"/>
        <v>#N/A</v>
      </c>
      <c r="AL15" s="65" t="e">
        <f t="shared" si="41"/>
        <v>#N/A</v>
      </c>
      <c r="AM15" s="65" t="e">
        <f t="shared" si="41"/>
        <v>#N/A</v>
      </c>
      <c r="AN15" s="65" t="e">
        <f t="shared" si="41"/>
        <v>#N/A</v>
      </c>
      <c r="AO15" s="65" t="e">
        <f t="shared" si="41"/>
        <v>#N/A</v>
      </c>
      <c r="AP15" s="65" t="e">
        <f t="shared" si="41"/>
        <v>#N/A</v>
      </c>
      <c r="AQ15" s="65" t="e">
        <f t="shared" si="41"/>
        <v>#N/A</v>
      </c>
      <c r="AR15" s="29" t="e">
        <f t="shared" si="41"/>
        <v>#N/A</v>
      </c>
      <c r="AS15" s="106" t="e">
        <f t="shared" si="41"/>
        <v>#N/A</v>
      </c>
      <c r="AT15" s="80" t="e">
        <f t="shared" si="41"/>
        <v>#N/A</v>
      </c>
      <c r="AU15" s="80" t="e">
        <f t="shared" si="41"/>
        <v>#N/A</v>
      </c>
      <c r="AV15" s="80" t="e">
        <f t="shared" si="41"/>
        <v>#N/A</v>
      </c>
      <c r="AW15" s="80" t="e">
        <f t="shared" si="41"/>
        <v>#N/A</v>
      </c>
      <c r="AX15" s="80" t="e">
        <f t="shared" si="41"/>
        <v>#N/A</v>
      </c>
      <c r="AY15" s="80" t="e">
        <f t="shared" si="41"/>
        <v>#N/A</v>
      </c>
      <c r="AZ15" s="80" t="e">
        <f t="shared" si="41"/>
        <v>#N/A</v>
      </c>
      <c r="BA15" s="80" t="e">
        <f t="shared" si="41"/>
        <v>#N/A</v>
      </c>
      <c r="BB15" s="80" t="e">
        <f t="shared" si="41"/>
        <v>#N/A</v>
      </c>
      <c r="BC15" s="80" t="e">
        <f t="shared" si="41"/>
        <v>#N/A</v>
      </c>
      <c r="BD15" s="80" t="e">
        <f t="shared" si="41"/>
        <v>#N/A</v>
      </c>
      <c r="BE15" s="80" t="e">
        <f t="shared" si="41"/>
        <v>#N/A</v>
      </c>
      <c r="BF15" s="80" t="e">
        <f t="shared" si="41"/>
        <v>#N/A</v>
      </c>
      <c r="BG15" s="80" t="e">
        <f t="shared" si="41"/>
        <v>#N/A</v>
      </c>
      <c r="BH15" s="80" t="e">
        <f t="shared" si="41"/>
        <v>#N/A</v>
      </c>
      <c r="BI15" s="80" t="e">
        <f t="shared" si="41"/>
        <v>#N/A</v>
      </c>
      <c r="BJ15" s="80" t="e">
        <f t="shared" si="41"/>
        <v>#N/A</v>
      </c>
      <c r="BK15" s="80" t="e">
        <f t="shared" si="41"/>
        <v>#N/A</v>
      </c>
      <c r="BL15" s="80" t="e">
        <f t="shared" si="41"/>
        <v>#N/A</v>
      </c>
      <c r="BM15" s="80" t="e">
        <f t="shared" si="41"/>
        <v>#N/A</v>
      </c>
      <c r="BN15" s="80" t="e">
        <f t="shared" si="41"/>
        <v>#N/A</v>
      </c>
      <c r="BO15" s="80" t="e">
        <f t="shared" si="41"/>
        <v>#N/A</v>
      </c>
      <c r="BP15" s="80" t="e">
        <f t="shared" si="41"/>
        <v>#N/A</v>
      </c>
      <c r="BQ15" s="80" t="e">
        <f t="shared" si="41"/>
        <v>#N/A</v>
      </c>
      <c r="BR15" s="80" t="e">
        <f t="shared" si="41"/>
        <v>#N/A</v>
      </c>
      <c r="BS15" s="80" t="e">
        <f t="shared" si="41"/>
        <v>#N/A</v>
      </c>
      <c r="BT15" s="80" t="e">
        <f t="shared" ref="BT15:BX15" si="42">BT14/BT$8</f>
        <v>#N/A</v>
      </c>
      <c r="BU15" s="80" t="e">
        <f t="shared" si="42"/>
        <v>#N/A</v>
      </c>
      <c r="BV15" s="80" t="e">
        <f t="shared" si="42"/>
        <v>#N/A</v>
      </c>
      <c r="BW15" s="80" t="e">
        <f t="shared" si="42"/>
        <v>#N/A</v>
      </c>
      <c r="BX15" s="81" t="e">
        <f t="shared" si="42"/>
        <v>#N/A</v>
      </c>
    </row>
    <row r="16" spans="2:76" s="1" customFormat="1" ht="6.9" customHeight="1" x14ac:dyDescent="0.35">
      <c r="B16" s="10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27"/>
      <c r="AS16" s="9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8"/>
    </row>
    <row r="17" spans="2:76" s="1" customFormat="1" x14ac:dyDescent="0.35">
      <c r="B17" s="10" t="s">
        <v>64</v>
      </c>
      <c r="D17" s="73" t="e">
        <f>-INDEX(Python!$1:$1048576,MATCH('DCF-Detailed'!$B17,Python!$A:$A,0),MATCH('DCF-Detailed'!D$1,Python!$1:$1,0))</f>
        <v>#N/A</v>
      </c>
      <c r="E17" s="73" t="e">
        <f>-INDEX(Python!$1:$1048576,MATCH('DCF-Detailed'!$B17,Python!$A:$A,0),MATCH('DCF-Detailed'!E$1,Python!$1:$1,0))</f>
        <v>#N/A</v>
      </c>
      <c r="F17" s="73" t="e">
        <f>-INDEX(Python!$1:$1048576,MATCH('DCF-Detailed'!$B17,Python!$A:$A,0),MATCH('DCF-Detailed'!F$1,Python!$1:$1,0))</f>
        <v>#N/A</v>
      </c>
      <c r="G17" s="73" t="e">
        <f>-INDEX(Python!$1:$1048576,MATCH('DCF-Detailed'!$B17,Python!$A:$A,0),MATCH('DCF-Detailed'!G$1,Python!$1:$1,0))</f>
        <v>#N/A</v>
      </c>
      <c r="H17" s="73" t="e">
        <f>-INDEX(Python!$1:$1048576,MATCH('DCF-Detailed'!$B17,Python!$A:$A,0),MATCH('DCF-Detailed'!H$1,Python!$1:$1,0))</f>
        <v>#N/A</v>
      </c>
      <c r="I17" s="73" t="e">
        <f>-INDEX(Python!$1:$1048576,MATCH('DCF-Detailed'!$B17,Python!$A:$A,0),MATCH('DCF-Detailed'!I$1,Python!$1:$1,0))</f>
        <v>#N/A</v>
      </c>
      <c r="J17" s="73" t="e">
        <f>-INDEX(Python!$1:$1048576,MATCH('DCF-Detailed'!$B17,Python!$A:$A,0),MATCH('DCF-Detailed'!J$1,Python!$1:$1,0))</f>
        <v>#N/A</v>
      </c>
      <c r="K17" s="73" t="e">
        <f>-INDEX(Python!$1:$1048576,MATCH('DCF-Detailed'!$B17,Python!$A:$A,0),MATCH('DCF-Detailed'!K$1,Python!$1:$1,0))</f>
        <v>#N/A</v>
      </c>
      <c r="L17" s="73" t="e">
        <f>-INDEX(Python!$1:$1048576,MATCH('DCF-Detailed'!$B17,Python!$A:$A,0),MATCH('DCF-Detailed'!L$1,Python!$1:$1,0))</f>
        <v>#N/A</v>
      </c>
      <c r="M17" s="73" t="e">
        <f>-INDEX(Python!$1:$1048576,MATCH('DCF-Detailed'!$B17,Python!$A:$A,0),MATCH('DCF-Detailed'!M$1,Python!$1:$1,0))</f>
        <v>#N/A</v>
      </c>
      <c r="N17" s="73" t="e">
        <f>-INDEX(Python!$1:$1048576,MATCH('DCF-Detailed'!$B17,Python!$A:$A,0),MATCH('DCF-Detailed'!N$1,Python!$1:$1,0))</f>
        <v>#N/A</v>
      </c>
      <c r="O17" s="73" t="e">
        <f>-INDEX(Python!$1:$1048576,MATCH('DCF-Detailed'!$B17,Python!$A:$A,0),MATCH('DCF-Detailed'!O$1,Python!$1:$1,0))</f>
        <v>#N/A</v>
      </c>
      <c r="P17" s="73" t="e">
        <f>-INDEX(Python!$1:$1048576,MATCH('DCF-Detailed'!$B17,Python!$A:$A,0),MATCH('DCF-Detailed'!P$1,Python!$1:$1,0))</f>
        <v>#N/A</v>
      </c>
      <c r="Q17" s="73" t="e">
        <f>-INDEX(Python!$1:$1048576,MATCH('DCF-Detailed'!$B17,Python!$A:$A,0),MATCH('DCF-Detailed'!Q$1,Python!$1:$1,0))</f>
        <v>#N/A</v>
      </c>
      <c r="R17" s="73" t="e">
        <f>-INDEX(Python!$1:$1048576,MATCH('DCF-Detailed'!$B17,Python!$A:$A,0),MATCH('DCF-Detailed'!R$1,Python!$1:$1,0))</f>
        <v>#N/A</v>
      </c>
      <c r="S17" s="73" t="e">
        <f>-INDEX(Python!$1:$1048576,MATCH('DCF-Detailed'!$B17,Python!$A:$A,0),MATCH('DCF-Detailed'!S$1,Python!$1:$1,0))</f>
        <v>#N/A</v>
      </c>
      <c r="T17" s="73" t="e">
        <f>-INDEX(Python!$1:$1048576,MATCH('DCF-Detailed'!$B17,Python!$A:$A,0),MATCH('DCF-Detailed'!T$1,Python!$1:$1,0))</f>
        <v>#N/A</v>
      </c>
      <c r="U17" s="73" t="e">
        <f>-INDEX(Python!$1:$1048576,MATCH('DCF-Detailed'!$B17,Python!$A:$A,0),MATCH('DCF-Detailed'!U$1,Python!$1:$1,0))</f>
        <v>#N/A</v>
      </c>
      <c r="V17" s="73" t="e">
        <f>-INDEX(Python!$1:$1048576,MATCH('DCF-Detailed'!$B17,Python!$A:$A,0),MATCH('DCF-Detailed'!V$1,Python!$1:$1,0))</f>
        <v>#N/A</v>
      </c>
      <c r="W17" s="73" t="e">
        <f>-INDEX(Python!$1:$1048576,MATCH('DCF-Detailed'!$B17,Python!$A:$A,0),MATCH('DCF-Detailed'!W$1,Python!$1:$1,0))</f>
        <v>#N/A</v>
      </c>
      <c r="X17" s="73" t="e">
        <f>-INDEX(Python!$1:$1048576,MATCH('DCF-Detailed'!$B17,Python!$A:$A,0),MATCH('DCF-Detailed'!X$1,Python!$1:$1,0))</f>
        <v>#N/A</v>
      </c>
      <c r="Y17" s="73" t="e">
        <f>-INDEX(Python!$1:$1048576,MATCH('DCF-Detailed'!$B17,Python!$A:$A,0),MATCH('DCF-Detailed'!Y$1,Python!$1:$1,0))</f>
        <v>#N/A</v>
      </c>
      <c r="Z17" s="73" t="e">
        <f>-INDEX(Python!$1:$1048576,MATCH('DCF-Detailed'!$B17,Python!$A:$A,0),MATCH('DCF-Detailed'!Z$1,Python!$1:$1,0))</f>
        <v>#N/A</v>
      </c>
      <c r="AA17" s="73" t="e">
        <f>-INDEX(Python!$1:$1048576,MATCH('DCF-Detailed'!$B17,Python!$A:$A,0),MATCH('DCF-Detailed'!AA$1,Python!$1:$1,0))</f>
        <v>#N/A</v>
      </c>
      <c r="AB17" s="73" t="e">
        <f>-INDEX(Python!$1:$1048576,MATCH('DCF-Detailed'!$B17,Python!$A:$A,0),MATCH('DCF-Detailed'!AB$1,Python!$1:$1,0))</f>
        <v>#N/A</v>
      </c>
      <c r="AC17" s="73" t="e">
        <f>-INDEX(Python!$1:$1048576,MATCH('DCF-Detailed'!$B17,Python!$A:$A,0),MATCH('DCF-Detailed'!AC$1,Python!$1:$1,0))</f>
        <v>#N/A</v>
      </c>
      <c r="AD17" s="73" t="e">
        <f>-INDEX(Python!$1:$1048576,MATCH('DCF-Detailed'!$B17,Python!$A:$A,0),MATCH('DCF-Detailed'!AD$1,Python!$1:$1,0))</f>
        <v>#N/A</v>
      </c>
      <c r="AE17" s="73" t="e">
        <f>-INDEX(Python!$1:$1048576,MATCH('DCF-Detailed'!$B17,Python!$A:$A,0),MATCH('DCF-Detailed'!AE$1,Python!$1:$1,0))</f>
        <v>#N/A</v>
      </c>
      <c r="AF17" s="73" t="e">
        <f>-INDEX(Python!$1:$1048576,MATCH('DCF-Detailed'!$B17,Python!$A:$A,0),MATCH('DCF-Detailed'!AF$1,Python!$1:$1,0))</f>
        <v>#N/A</v>
      </c>
      <c r="AG17" s="73" t="e">
        <f>-INDEX(Python!$1:$1048576,MATCH('DCF-Detailed'!$B17,Python!$A:$A,0),MATCH('DCF-Detailed'!AG$1,Python!$1:$1,0))</f>
        <v>#N/A</v>
      </c>
      <c r="AH17" s="73" t="e">
        <f>-INDEX(Python!$1:$1048576,MATCH('DCF-Detailed'!$B17,Python!$A:$A,0),MATCH('DCF-Detailed'!AH$1,Python!$1:$1,0))</f>
        <v>#N/A</v>
      </c>
      <c r="AI17" s="73" t="e">
        <f>-INDEX(Python!$1:$1048576,MATCH('DCF-Detailed'!$B17,Python!$A:$A,0),MATCH('DCF-Detailed'!AI$1,Python!$1:$1,0))</f>
        <v>#N/A</v>
      </c>
      <c r="AJ17" s="73" t="e">
        <f>-INDEX(Python!$1:$1048576,MATCH('DCF-Detailed'!$B17,Python!$A:$A,0),MATCH('DCF-Detailed'!AJ$1,Python!$1:$1,0))</f>
        <v>#N/A</v>
      </c>
      <c r="AK17" s="73" t="e">
        <f>-INDEX(Python!$1:$1048576,MATCH('DCF-Detailed'!$B17,Python!$A:$A,0),MATCH('DCF-Detailed'!AK$1,Python!$1:$1,0))</f>
        <v>#N/A</v>
      </c>
      <c r="AL17" s="73" t="e">
        <f>-INDEX(Python!$1:$1048576,MATCH('DCF-Detailed'!$B17,Python!$A:$A,0),MATCH('DCF-Detailed'!AL$1,Python!$1:$1,0))</f>
        <v>#N/A</v>
      </c>
      <c r="AM17" s="73" t="e">
        <f>-INDEX(Python!$1:$1048576,MATCH('DCF-Detailed'!$B17,Python!$A:$A,0),MATCH('DCF-Detailed'!AM$1,Python!$1:$1,0))</f>
        <v>#N/A</v>
      </c>
      <c r="AN17" s="73" t="e">
        <f>-INDEX(Python!$1:$1048576,MATCH('DCF-Detailed'!$B17,Python!$A:$A,0),MATCH('DCF-Detailed'!AN$1,Python!$1:$1,0))</f>
        <v>#N/A</v>
      </c>
      <c r="AO17" s="73" t="e">
        <f>-INDEX(Python!$1:$1048576,MATCH('DCF-Detailed'!$B17,Python!$A:$A,0),MATCH('DCF-Detailed'!AO$1,Python!$1:$1,0))</f>
        <v>#N/A</v>
      </c>
      <c r="AP17" s="73" t="e">
        <f>-INDEX(Python!$1:$1048576,MATCH('DCF-Detailed'!$B17,Python!$A:$A,0),MATCH('DCF-Detailed'!AP$1,Python!$1:$1,0))</f>
        <v>#N/A</v>
      </c>
      <c r="AQ17" s="73" t="e">
        <f>-INDEX(Python!$1:$1048576,MATCH('DCF-Detailed'!$B17,Python!$A:$A,0),MATCH('DCF-Detailed'!AQ$1,Python!$1:$1,0))</f>
        <v>#N/A</v>
      </c>
      <c r="AR17" s="31" t="e">
        <f>-INDEX(Python!$1:$1048576,MATCH('DCF-Detailed'!$B17,Python!$A:$A,0),MATCH('DCF-Detailed'!AR$1,Python!$1:$1,0))</f>
        <v>#N/A</v>
      </c>
      <c r="AS17" s="99" t="e">
        <f>-INDEX(Python!$1:$1048576,MATCH('DCF-Detailed'!$B17,Python!$A:$A,0),MATCH('DCF-Detailed'!AS$1,Python!$1:$1,0))</f>
        <v>#N/A</v>
      </c>
      <c r="AT17" s="99" t="e">
        <f>-INDEX(Python!$1:$1048576,MATCH('DCF-Detailed'!$B17,Python!$A:$A,0),MATCH('DCF-Detailed'!AT$1,Python!$1:$1,0))</f>
        <v>#N/A</v>
      </c>
      <c r="AU17" s="99" t="e">
        <f>-INDEX(Python!$1:$1048576,MATCH('DCF-Detailed'!$B17,Python!$A:$A,0),MATCH('DCF-Detailed'!AU$1,Python!$1:$1,0))</f>
        <v>#N/A</v>
      </c>
      <c r="AV17" s="99" t="e">
        <f>-INDEX(Python!$1:$1048576,MATCH('DCF-Detailed'!$B17,Python!$A:$A,0),MATCH('DCF-Detailed'!AV$1,Python!$1:$1,0))</f>
        <v>#N/A</v>
      </c>
      <c r="AW17" s="99" t="e">
        <f>-INDEX(Python!$1:$1048576,MATCH('DCF-Detailed'!$B17,Python!$A:$A,0),MATCH('DCF-Detailed'!AW$1,Python!$1:$1,0))</f>
        <v>#N/A</v>
      </c>
      <c r="AX17" s="99" t="e">
        <f>-INDEX(Python!$1:$1048576,MATCH('DCF-Detailed'!$B17,Python!$A:$A,0),MATCH('DCF-Detailed'!AX$1,Python!$1:$1,0))</f>
        <v>#N/A</v>
      </c>
      <c r="AY17" s="99" t="e">
        <f>-INDEX(Python!$1:$1048576,MATCH('DCF-Detailed'!$B17,Python!$A:$A,0),MATCH('DCF-Detailed'!AY$1,Python!$1:$1,0))</f>
        <v>#N/A</v>
      </c>
      <c r="AZ17" s="99" t="e">
        <f>-INDEX(Python!$1:$1048576,MATCH('DCF-Detailed'!$B17,Python!$A:$A,0),MATCH('DCF-Detailed'!AZ$1,Python!$1:$1,0))</f>
        <v>#N/A</v>
      </c>
      <c r="BA17" s="99" t="e">
        <f>-INDEX(Python!$1:$1048576,MATCH('DCF-Detailed'!$B17,Python!$A:$A,0),MATCH('DCF-Detailed'!BA$1,Python!$1:$1,0))</f>
        <v>#N/A</v>
      </c>
      <c r="BB17" s="99" t="e">
        <f>-INDEX(Python!$1:$1048576,MATCH('DCF-Detailed'!$B17,Python!$A:$A,0),MATCH('DCF-Detailed'!BB$1,Python!$1:$1,0))</f>
        <v>#N/A</v>
      </c>
      <c r="BC17" s="99" t="e">
        <f>-INDEX(Python!$1:$1048576,MATCH('DCF-Detailed'!$B17,Python!$A:$A,0),MATCH('DCF-Detailed'!BC$1,Python!$1:$1,0))</f>
        <v>#N/A</v>
      </c>
      <c r="BD17" s="99" t="e">
        <f>-INDEX(Python!$1:$1048576,MATCH('DCF-Detailed'!$B17,Python!$A:$A,0),MATCH('DCF-Detailed'!BD$1,Python!$1:$1,0))</f>
        <v>#N/A</v>
      </c>
      <c r="BE17" s="99" t="e">
        <f>-INDEX(Python!$1:$1048576,MATCH('DCF-Detailed'!$B17,Python!$A:$A,0),MATCH('DCF-Detailed'!BE$1,Python!$1:$1,0))</f>
        <v>#N/A</v>
      </c>
      <c r="BF17" s="99" t="e">
        <f>-INDEX(Python!$1:$1048576,MATCH('DCF-Detailed'!$B17,Python!$A:$A,0),MATCH('DCF-Detailed'!BF$1,Python!$1:$1,0))</f>
        <v>#N/A</v>
      </c>
      <c r="BG17" s="99" t="e">
        <f>-INDEX(Python!$1:$1048576,MATCH('DCF-Detailed'!$B17,Python!$A:$A,0),MATCH('DCF-Detailed'!BG$1,Python!$1:$1,0))</f>
        <v>#N/A</v>
      </c>
      <c r="BH17" s="99" t="e">
        <f>-INDEX(Python!$1:$1048576,MATCH('DCF-Detailed'!$B17,Python!$A:$A,0),MATCH('DCF-Detailed'!BH$1,Python!$1:$1,0))</f>
        <v>#N/A</v>
      </c>
      <c r="BI17" s="99" t="e">
        <f>-INDEX(Python!$1:$1048576,MATCH('DCF-Detailed'!$B17,Python!$A:$A,0),MATCH('DCF-Detailed'!BI$1,Python!$1:$1,0))</f>
        <v>#N/A</v>
      </c>
      <c r="BJ17" s="99" t="e">
        <f>-INDEX(Python!$1:$1048576,MATCH('DCF-Detailed'!$B17,Python!$A:$A,0),MATCH('DCF-Detailed'!BJ$1,Python!$1:$1,0))</f>
        <v>#N/A</v>
      </c>
      <c r="BK17" s="99" t="e">
        <f>-INDEX(Python!$1:$1048576,MATCH('DCF-Detailed'!$B17,Python!$A:$A,0),MATCH('DCF-Detailed'!BK$1,Python!$1:$1,0))</f>
        <v>#N/A</v>
      </c>
      <c r="BL17" s="99" t="e">
        <f>-INDEX(Python!$1:$1048576,MATCH('DCF-Detailed'!$B17,Python!$A:$A,0),MATCH('DCF-Detailed'!BL$1,Python!$1:$1,0))</f>
        <v>#N/A</v>
      </c>
      <c r="BM17" s="99" t="e">
        <f>-INDEX(Python!$1:$1048576,MATCH('DCF-Detailed'!$B17,Python!$A:$A,0),MATCH('DCF-Detailed'!BM$1,Python!$1:$1,0))</f>
        <v>#N/A</v>
      </c>
      <c r="BN17" s="99" t="e">
        <f>-INDEX(Python!$1:$1048576,MATCH('DCF-Detailed'!$B17,Python!$A:$A,0),MATCH('DCF-Detailed'!BN$1,Python!$1:$1,0))</f>
        <v>#N/A</v>
      </c>
      <c r="BO17" s="99" t="e">
        <f>-INDEX(Python!$1:$1048576,MATCH('DCF-Detailed'!$B17,Python!$A:$A,0),MATCH('DCF-Detailed'!BO$1,Python!$1:$1,0))</f>
        <v>#N/A</v>
      </c>
      <c r="BP17" s="99" t="e">
        <f>-INDEX(Python!$1:$1048576,MATCH('DCF-Detailed'!$B17,Python!$A:$A,0),MATCH('DCF-Detailed'!BP$1,Python!$1:$1,0))</f>
        <v>#N/A</v>
      </c>
      <c r="BQ17" s="99" t="e">
        <f>-INDEX(Python!$1:$1048576,MATCH('DCF-Detailed'!$B17,Python!$A:$A,0),MATCH('DCF-Detailed'!BQ$1,Python!$1:$1,0))</f>
        <v>#N/A</v>
      </c>
      <c r="BR17" s="99" t="e">
        <f>-INDEX(Python!$1:$1048576,MATCH('DCF-Detailed'!$B17,Python!$A:$A,0),MATCH('DCF-Detailed'!BR$1,Python!$1:$1,0))</f>
        <v>#N/A</v>
      </c>
      <c r="BS17" s="99" t="e">
        <f>-INDEX(Python!$1:$1048576,MATCH('DCF-Detailed'!$B17,Python!$A:$A,0),MATCH('DCF-Detailed'!BS$1,Python!$1:$1,0))</f>
        <v>#N/A</v>
      </c>
      <c r="BT17" s="99" t="e">
        <f>-INDEX(Python!$1:$1048576,MATCH('DCF-Detailed'!$B17,Python!$A:$A,0),MATCH('DCF-Detailed'!BT$1,Python!$1:$1,0))</f>
        <v>#N/A</v>
      </c>
      <c r="BU17" s="99" t="e">
        <f>-INDEX(Python!$1:$1048576,MATCH('DCF-Detailed'!$B17,Python!$A:$A,0),MATCH('DCF-Detailed'!BU$1,Python!$1:$1,0))</f>
        <v>#N/A</v>
      </c>
      <c r="BV17" s="99" t="e">
        <f>-INDEX(Python!$1:$1048576,MATCH('DCF-Detailed'!$B17,Python!$A:$A,0),MATCH('DCF-Detailed'!BV$1,Python!$1:$1,0))</f>
        <v>#N/A</v>
      </c>
      <c r="BW17" s="99" t="e">
        <f>-INDEX(Python!$1:$1048576,MATCH('DCF-Detailed'!$B17,Python!$A:$A,0),MATCH('DCF-Detailed'!BW$1,Python!$1:$1,0))</f>
        <v>#N/A</v>
      </c>
      <c r="BX17" s="123" t="e">
        <f>-INDEX(Python!$1:$1048576,MATCH('DCF-Detailed'!$B17,Python!$A:$A,0),MATCH('DCF-Detailed'!BX$1,Python!$1:$1,0))</f>
        <v>#N/A</v>
      </c>
    </row>
    <row r="18" spans="2:76" s="1" customFormat="1" x14ac:dyDescent="0.35">
      <c r="B18" s="33" t="s">
        <v>35</v>
      </c>
      <c r="D18" s="65" t="e">
        <f t="shared" ref="D18:F18" si="43">D17/D$8</f>
        <v>#N/A</v>
      </c>
      <c r="E18" s="65" t="e">
        <f t="shared" si="43"/>
        <v>#N/A</v>
      </c>
      <c r="F18" s="65" t="e">
        <f t="shared" si="43"/>
        <v>#N/A</v>
      </c>
      <c r="G18" s="65" t="e">
        <f t="shared" ref="G18" si="44">G17/G$8</f>
        <v>#N/A</v>
      </c>
      <c r="H18" s="65" t="e">
        <f t="shared" ref="H18:BS18" si="45">H17/H$8</f>
        <v>#N/A</v>
      </c>
      <c r="I18" s="65" t="e">
        <f t="shared" si="45"/>
        <v>#N/A</v>
      </c>
      <c r="J18" s="65" t="e">
        <f t="shared" si="45"/>
        <v>#N/A</v>
      </c>
      <c r="K18" s="65" t="e">
        <f t="shared" si="45"/>
        <v>#N/A</v>
      </c>
      <c r="L18" s="65" t="e">
        <f t="shared" si="45"/>
        <v>#N/A</v>
      </c>
      <c r="M18" s="65" t="e">
        <f t="shared" si="45"/>
        <v>#N/A</v>
      </c>
      <c r="N18" s="65" t="e">
        <f t="shared" si="45"/>
        <v>#N/A</v>
      </c>
      <c r="O18" s="65" t="e">
        <f t="shared" si="45"/>
        <v>#N/A</v>
      </c>
      <c r="P18" s="65" t="e">
        <f t="shared" si="45"/>
        <v>#N/A</v>
      </c>
      <c r="Q18" s="65" t="e">
        <f t="shared" si="45"/>
        <v>#N/A</v>
      </c>
      <c r="R18" s="65" t="e">
        <f t="shared" si="45"/>
        <v>#N/A</v>
      </c>
      <c r="S18" s="65" t="e">
        <f t="shared" si="45"/>
        <v>#N/A</v>
      </c>
      <c r="T18" s="65" t="e">
        <f t="shared" si="45"/>
        <v>#N/A</v>
      </c>
      <c r="U18" s="65" t="e">
        <f t="shared" si="45"/>
        <v>#N/A</v>
      </c>
      <c r="V18" s="65" t="e">
        <f t="shared" si="45"/>
        <v>#N/A</v>
      </c>
      <c r="W18" s="65" t="e">
        <f t="shared" si="45"/>
        <v>#N/A</v>
      </c>
      <c r="X18" s="65" t="e">
        <f t="shared" si="45"/>
        <v>#N/A</v>
      </c>
      <c r="Y18" s="65" t="e">
        <f t="shared" si="45"/>
        <v>#N/A</v>
      </c>
      <c r="Z18" s="65" t="e">
        <f t="shared" si="45"/>
        <v>#N/A</v>
      </c>
      <c r="AA18" s="65" t="e">
        <f t="shared" si="45"/>
        <v>#N/A</v>
      </c>
      <c r="AB18" s="65" t="e">
        <f t="shared" si="45"/>
        <v>#N/A</v>
      </c>
      <c r="AC18" s="65" t="e">
        <f t="shared" si="45"/>
        <v>#N/A</v>
      </c>
      <c r="AD18" s="65" t="e">
        <f t="shared" si="45"/>
        <v>#N/A</v>
      </c>
      <c r="AE18" s="65" t="e">
        <f t="shared" si="45"/>
        <v>#N/A</v>
      </c>
      <c r="AF18" s="65" t="e">
        <f t="shared" si="45"/>
        <v>#N/A</v>
      </c>
      <c r="AG18" s="65" t="e">
        <f t="shared" si="45"/>
        <v>#N/A</v>
      </c>
      <c r="AH18" s="65" t="e">
        <f t="shared" si="45"/>
        <v>#N/A</v>
      </c>
      <c r="AI18" s="65" t="e">
        <f t="shared" si="45"/>
        <v>#N/A</v>
      </c>
      <c r="AJ18" s="65" t="e">
        <f t="shared" si="45"/>
        <v>#N/A</v>
      </c>
      <c r="AK18" s="65" t="e">
        <f t="shared" si="45"/>
        <v>#N/A</v>
      </c>
      <c r="AL18" s="65" t="e">
        <f t="shared" si="45"/>
        <v>#N/A</v>
      </c>
      <c r="AM18" s="65" t="e">
        <f t="shared" si="45"/>
        <v>#N/A</v>
      </c>
      <c r="AN18" s="65" t="e">
        <f t="shared" si="45"/>
        <v>#N/A</v>
      </c>
      <c r="AO18" s="65" t="e">
        <f t="shared" si="45"/>
        <v>#N/A</v>
      </c>
      <c r="AP18" s="65" t="e">
        <f t="shared" si="45"/>
        <v>#N/A</v>
      </c>
      <c r="AQ18" s="65" t="e">
        <f t="shared" si="45"/>
        <v>#N/A</v>
      </c>
      <c r="AR18" s="29" t="e">
        <f t="shared" si="45"/>
        <v>#N/A</v>
      </c>
      <c r="AS18" s="106" t="e">
        <f t="shared" si="45"/>
        <v>#N/A</v>
      </c>
      <c r="AT18" s="80" t="e">
        <f t="shared" si="45"/>
        <v>#N/A</v>
      </c>
      <c r="AU18" s="80" t="e">
        <f t="shared" si="45"/>
        <v>#N/A</v>
      </c>
      <c r="AV18" s="80" t="e">
        <f t="shared" si="45"/>
        <v>#N/A</v>
      </c>
      <c r="AW18" s="80" t="e">
        <f t="shared" si="45"/>
        <v>#N/A</v>
      </c>
      <c r="AX18" s="80" t="e">
        <f t="shared" si="45"/>
        <v>#N/A</v>
      </c>
      <c r="AY18" s="80" t="e">
        <f t="shared" si="45"/>
        <v>#N/A</v>
      </c>
      <c r="AZ18" s="80" t="e">
        <f t="shared" si="45"/>
        <v>#N/A</v>
      </c>
      <c r="BA18" s="80" t="e">
        <f t="shared" si="45"/>
        <v>#N/A</v>
      </c>
      <c r="BB18" s="80" t="e">
        <f t="shared" si="45"/>
        <v>#N/A</v>
      </c>
      <c r="BC18" s="80" t="e">
        <f t="shared" si="45"/>
        <v>#N/A</v>
      </c>
      <c r="BD18" s="80" t="e">
        <f t="shared" si="45"/>
        <v>#N/A</v>
      </c>
      <c r="BE18" s="80" t="e">
        <f t="shared" si="45"/>
        <v>#N/A</v>
      </c>
      <c r="BF18" s="80" t="e">
        <f t="shared" si="45"/>
        <v>#N/A</v>
      </c>
      <c r="BG18" s="80" t="e">
        <f t="shared" si="45"/>
        <v>#N/A</v>
      </c>
      <c r="BH18" s="80" t="e">
        <f t="shared" si="45"/>
        <v>#N/A</v>
      </c>
      <c r="BI18" s="80" t="e">
        <f t="shared" si="45"/>
        <v>#N/A</v>
      </c>
      <c r="BJ18" s="80" t="e">
        <f t="shared" si="45"/>
        <v>#N/A</v>
      </c>
      <c r="BK18" s="80" t="e">
        <f t="shared" si="45"/>
        <v>#N/A</v>
      </c>
      <c r="BL18" s="80" t="e">
        <f t="shared" si="45"/>
        <v>#N/A</v>
      </c>
      <c r="BM18" s="80" t="e">
        <f t="shared" si="45"/>
        <v>#N/A</v>
      </c>
      <c r="BN18" s="80" t="e">
        <f t="shared" si="45"/>
        <v>#N/A</v>
      </c>
      <c r="BO18" s="80" t="e">
        <f t="shared" si="45"/>
        <v>#N/A</v>
      </c>
      <c r="BP18" s="80" t="e">
        <f t="shared" si="45"/>
        <v>#N/A</v>
      </c>
      <c r="BQ18" s="80" t="e">
        <f t="shared" si="45"/>
        <v>#N/A</v>
      </c>
      <c r="BR18" s="80" t="e">
        <f t="shared" si="45"/>
        <v>#N/A</v>
      </c>
      <c r="BS18" s="80" t="e">
        <f t="shared" si="45"/>
        <v>#N/A</v>
      </c>
      <c r="BT18" s="80" t="e">
        <f t="shared" ref="BT18:BX18" si="46">BT17/BT$8</f>
        <v>#N/A</v>
      </c>
      <c r="BU18" s="80" t="e">
        <f t="shared" si="46"/>
        <v>#N/A</v>
      </c>
      <c r="BV18" s="80" t="e">
        <f t="shared" si="46"/>
        <v>#N/A</v>
      </c>
      <c r="BW18" s="80" t="e">
        <f t="shared" si="46"/>
        <v>#N/A</v>
      </c>
      <c r="BX18" s="81" t="e">
        <f t="shared" si="46"/>
        <v>#N/A</v>
      </c>
    </row>
    <row r="19" spans="2:76" s="1" customFormat="1" ht="6.9" customHeight="1" x14ac:dyDescent="0.35">
      <c r="B19" s="10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27"/>
      <c r="AS19" s="9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8"/>
    </row>
    <row r="20" spans="2:76" s="1" customFormat="1" x14ac:dyDescent="0.35">
      <c r="B20" s="10" t="s">
        <v>65</v>
      </c>
      <c r="D20" s="73" t="e">
        <f>-INDEX(Python!$1:$1048576,MATCH('DCF-Detailed'!$B20,Python!$A:$A,0),MATCH('DCF-Detailed'!D$1,Python!$1:$1,0))</f>
        <v>#N/A</v>
      </c>
      <c r="E20" s="73" t="e">
        <f>-INDEX(Python!$1:$1048576,MATCH('DCF-Detailed'!$B20,Python!$A:$A,0),MATCH('DCF-Detailed'!E$1,Python!$1:$1,0))</f>
        <v>#N/A</v>
      </c>
      <c r="F20" s="73" t="e">
        <f>-INDEX(Python!$1:$1048576,MATCH('DCF-Detailed'!$B20,Python!$A:$A,0),MATCH('DCF-Detailed'!F$1,Python!$1:$1,0))</f>
        <v>#N/A</v>
      </c>
      <c r="G20" s="73" t="e">
        <f>-INDEX(Python!$1:$1048576,MATCH('DCF-Detailed'!$B20,Python!$A:$A,0),MATCH('DCF-Detailed'!G$1,Python!$1:$1,0))</f>
        <v>#N/A</v>
      </c>
      <c r="H20" s="73" t="e">
        <f>-INDEX(Python!$1:$1048576,MATCH('DCF-Detailed'!$B20,Python!$A:$A,0),MATCH('DCF-Detailed'!H$1,Python!$1:$1,0))</f>
        <v>#N/A</v>
      </c>
      <c r="I20" s="73" t="e">
        <f>-INDEX(Python!$1:$1048576,MATCH('DCF-Detailed'!$B20,Python!$A:$A,0),MATCH('DCF-Detailed'!I$1,Python!$1:$1,0))</f>
        <v>#N/A</v>
      </c>
      <c r="J20" s="73" t="e">
        <f>-INDEX(Python!$1:$1048576,MATCH('DCF-Detailed'!$B20,Python!$A:$A,0),MATCH('DCF-Detailed'!J$1,Python!$1:$1,0))</f>
        <v>#N/A</v>
      </c>
      <c r="K20" s="73" t="e">
        <f>-INDEX(Python!$1:$1048576,MATCH('DCF-Detailed'!$B20,Python!$A:$A,0),MATCH('DCF-Detailed'!K$1,Python!$1:$1,0))</f>
        <v>#N/A</v>
      </c>
      <c r="L20" s="73" t="e">
        <f>-INDEX(Python!$1:$1048576,MATCH('DCF-Detailed'!$B20,Python!$A:$A,0),MATCH('DCF-Detailed'!L$1,Python!$1:$1,0))</f>
        <v>#N/A</v>
      </c>
      <c r="M20" s="73" t="e">
        <f>-INDEX(Python!$1:$1048576,MATCH('DCF-Detailed'!$B20,Python!$A:$A,0),MATCH('DCF-Detailed'!M$1,Python!$1:$1,0))</f>
        <v>#N/A</v>
      </c>
      <c r="N20" s="73" t="e">
        <f>-INDEX(Python!$1:$1048576,MATCH('DCF-Detailed'!$B20,Python!$A:$A,0),MATCH('DCF-Detailed'!N$1,Python!$1:$1,0))</f>
        <v>#N/A</v>
      </c>
      <c r="O20" s="73" t="e">
        <f>-INDEX(Python!$1:$1048576,MATCH('DCF-Detailed'!$B20,Python!$A:$A,0),MATCH('DCF-Detailed'!O$1,Python!$1:$1,0))</f>
        <v>#N/A</v>
      </c>
      <c r="P20" s="73" t="e">
        <f>-INDEX(Python!$1:$1048576,MATCH('DCF-Detailed'!$B20,Python!$A:$A,0),MATCH('DCF-Detailed'!P$1,Python!$1:$1,0))</f>
        <v>#N/A</v>
      </c>
      <c r="Q20" s="73" t="e">
        <f>-INDEX(Python!$1:$1048576,MATCH('DCF-Detailed'!$B20,Python!$A:$A,0),MATCH('DCF-Detailed'!Q$1,Python!$1:$1,0))</f>
        <v>#N/A</v>
      </c>
      <c r="R20" s="73" t="e">
        <f>-INDEX(Python!$1:$1048576,MATCH('DCF-Detailed'!$B20,Python!$A:$A,0),MATCH('DCF-Detailed'!R$1,Python!$1:$1,0))</f>
        <v>#N/A</v>
      </c>
      <c r="S20" s="73" t="e">
        <f>-INDEX(Python!$1:$1048576,MATCH('DCF-Detailed'!$B20,Python!$A:$A,0),MATCH('DCF-Detailed'!S$1,Python!$1:$1,0))</f>
        <v>#N/A</v>
      </c>
      <c r="T20" s="73" t="e">
        <f>-INDEX(Python!$1:$1048576,MATCH('DCF-Detailed'!$B20,Python!$A:$A,0),MATCH('DCF-Detailed'!T$1,Python!$1:$1,0))</f>
        <v>#N/A</v>
      </c>
      <c r="U20" s="73" t="e">
        <f>-INDEX(Python!$1:$1048576,MATCH('DCF-Detailed'!$B20,Python!$A:$A,0),MATCH('DCF-Detailed'!U$1,Python!$1:$1,0))</f>
        <v>#N/A</v>
      </c>
      <c r="V20" s="73" t="e">
        <f>-INDEX(Python!$1:$1048576,MATCH('DCF-Detailed'!$B20,Python!$A:$A,0),MATCH('DCF-Detailed'!V$1,Python!$1:$1,0))</f>
        <v>#N/A</v>
      </c>
      <c r="W20" s="73" t="e">
        <f>-INDEX(Python!$1:$1048576,MATCH('DCF-Detailed'!$B20,Python!$A:$A,0),MATCH('DCF-Detailed'!W$1,Python!$1:$1,0))</f>
        <v>#N/A</v>
      </c>
      <c r="X20" s="73" t="e">
        <f>-INDEX(Python!$1:$1048576,MATCH('DCF-Detailed'!$B20,Python!$A:$A,0),MATCH('DCF-Detailed'!X$1,Python!$1:$1,0))</f>
        <v>#N/A</v>
      </c>
      <c r="Y20" s="73" t="e">
        <f>-INDEX(Python!$1:$1048576,MATCH('DCF-Detailed'!$B20,Python!$A:$A,0),MATCH('DCF-Detailed'!Y$1,Python!$1:$1,0))</f>
        <v>#N/A</v>
      </c>
      <c r="Z20" s="73" t="e">
        <f>-INDEX(Python!$1:$1048576,MATCH('DCF-Detailed'!$B20,Python!$A:$A,0),MATCH('DCF-Detailed'!Z$1,Python!$1:$1,0))</f>
        <v>#N/A</v>
      </c>
      <c r="AA20" s="73" t="e">
        <f>-INDEX(Python!$1:$1048576,MATCH('DCF-Detailed'!$B20,Python!$A:$A,0),MATCH('DCF-Detailed'!AA$1,Python!$1:$1,0))</f>
        <v>#N/A</v>
      </c>
      <c r="AB20" s="73" t="e">
        <f>-INDEX(Python!$1:$1048576,MATCH('DCF-Detailed'!$B20,Python!$A:$A,0),MATCH('DCF-Detailed'!AB$1,Python!$1:$1,0))</f>
        <v>#N/A</v>
      </c>
      <c r="AC20" s="73" t="e">
        <f>-INDEX(Python!$1:$1048576,MATCH('DCF-Detailed'!$B20,Python!$A:$A,0),MATCH('DCF-Detailed'!AC$1,Python!$1:$1,0))</f>
        <v>#N/A</v>
      </c>
      <c r="AD20" s="73" t="e">
        <f>-INDEX(Python!$1:$1048576,MATCH('DCF-Detailed'!$B20,Python!$A:$A,0),MATCH('DCF-Detailed'!AD$1,Python!$1:$1,0))</f>
        <v>#N/A</v>
      </c>
      <c r="AE20" s="73" t="e">
        <f>-INDEX(Python!$1:$1048576,MATCH('DCF-Detailed'!$B20,Python!$A:$A,0),MATCH('DCF-Detailed'!AE$1,Python!$1:$1,0))</f>
        <v>#N/A</v>
      </c>
      <c r="AF20" s="73" t="e">
        <f>-INDEX(Python!$1:$1048576,MATCH('DCF-Detailed'!$B20,Python!$A:$A,0),MATCH('DCF-Detailed'!AF$1,Python!$1:$1,0))</f>
        <v>#N/A</v>
      </c>
      <c r="AG20" s="73" t="e">
        <f>-INDEX(Python!$1:$1048576,MATCH('DCF-Detailed'!$B20,Python!$A:$A,0),MATCH('DCF-Detailed'!AG$1,Python!$1:$1,0))</f>
        <v>#N/A</v>
      </c>
      <c r="AH20" s="73" t="e">
        <f>-INDEX(Python!$1:$1048576,MATCH('DCF-Detailed'!$B20,Python!$A:$A,0),MATCH('DCF-Detailed'!AH$1,Python!$1:$1,0))</f>
        <v>#N/A</v>
      </c>
      <c r="AI20" s="73" t="e">
        <f>-INDEX(Python!$1:$1048576,MATCH('DCF-Detailed'!$B20,Python!$A:$A,0),MATCH('DCF-Detailed'!AI$1,Python!$1:$1,0))</f>
        <v>#N/A</v>
      </c>
      <c r="AJ20" s="73" t="e">
        <f>-INDEX(Python!$1:$1048576,MATCH('DCF-Detailed'!$B20,Python!$A:$A,0),MATCH('DCF-Detailed'!AJ$1,Python!$1:$1,0))</f>
        <v>#N/A</v>
      </c>
      <c r="AK20" s="73" t="e">
        <f>-INDEX(Python!$1:$1048576,MATCH('DCF-Detailed'!$B20,Python!$A:$A,0),MATCH('DCF-Detailed'!AK$1,Python!$1:$1,0))</f>
        <v>#N/A</v>
      </c>
      <c r="AL20" s="73" t="e">
        <f>-INDEX(Python!$1:$1048576,MATCH('DCF-Detailed'!$B20,Python!$A:$A,0),MATCH('DCF-Detailed'!AL$1,Python!$1:$1,0))</f>
        <v>#N/A</v>
      </c>
      <c r="AM20" s="73" t="e">
        <f>-INDEX(Python!$1:$1048576,MATCH('DCF-Detailed'!$B20,Python!$A:$A,0),MATCH('DCF-Detailed'!AM$1,Python!$1:$1,0))</f>
        <v>#N/A</v>
      </c>
      <c r="AN20" s="73" t="e">
        <f>-INDEX(Python!$1:$1048576,MATCH('DCF-Detailed'!$B20,Python!$A:$A,0),MATCH('DCF-Detailed'!AN$1,Python!$1:$1,0))</f>
        <v>#N/A</v>
      </c>
      <c r="AO20" s="73" t="e">
        <f>-INDEX(Python!$1:$1048576,MATCH('DCF-Detailed'!$B20,Python!$A:$A,0),MATCH('DCF-Detailed'!AO$1,Python!$1:$1,0))</f>
        <v>#N/A</v>
      </c>
      <c r="AP20" s="73" t="e">
        <f>-INDEX(Python!$1:$1048576,MATCH('DCF-Detailed'!$B20,Python!$A:$A,0),MATCH('DCF-Detailed'!AP$1,Python!$1:$1,0))</f>
        <v>#N/A</v>
      </c>
      <c r="AQ20" s="73" t="e">
        <f>-INDEX(Python!$1:$1048576,MATCH('DCF-Detailed'!$B20,Python!$A:$A,0),MATCH('DCF-Detailed'!AQ$1,Python!$1:$1,0))</f>
        <v>#N/A</v>
      </c>
      <c r="AR20" s="31" t="e">
        <f>-INDEX(Python!$1:$1048576,MATCH('DCF-Detailed'!$B20,Python!$A:$A,0),MATCH('DCF-Detailed'!AR$1,Python!$1:$1,0))</f>
        <v>#N/A</v>
      </c>
      <c r="AS20" s="99" t="e">
        <f>-INDEX(Python!$1:$1048576,MATCH('DCF-Detailed'!$B20,Python!$A:$A,0),MATCH('DCF-Detailed'!AS$1,Python!$1:$1,0))</f>
        <v>#N/A</v>
      </c>
      <c r="AT20" s="99" t="e">
        <f>-INDEX(Python!$1:$1048576,MATCH('DCF-Detailed'!$B20,Python!$A:$A,0),MATCH('DCF-Detailed'!AT$1,Python!$1:$1,0))</f>
        <v>#N/A</v>
      </c>
      <c r="AU20" s="99" t="e">
        <f>-INDEX(Python!$1:$1048576,MATCH('DCF-Detailed'!$B20,Python!$A:$A,0),MATCH('DCF-Detailed'!AU$1,Python!$1:$1,0))</f>
        <v>#N/A</v>
      </c>
      <c r="AV20" s="99" t="e">
        <f>-INDEX(Python!$1:$1048576,MATCH('DCF-Detailed'!$B20,Python!$A:$A,0),MATCH('DCF-Detailed'!AV$1,Python!$1:$1,0))</f>
        <v>#N/A</v>
      </c>
      <c r="AW20" s="99" t="e">
        <f>-INDEX(Python!$1:$1048576,MATCH('DCF-Detailed'!$B20,Python!$A:$A,0),MATCH('DCF-Detailed'!AW$1,Python!$1:$1,0))</f>
        <v>#N/A</v>
      </c>
      <c r="AX20" s="99" t="e">
        <f>-INDEX(Python!$1:$1048576,MATCH('DCF-Detailed'!$B20,Python!$A:$A,0),MATCH('DCF-Detailed'!AX$1,Python!$1:$1,0))</f>
        <v>#N/A</v>
      </c>
      <c r="AY20" s="99" t="e">
        <f>-INDEX(Python!$1:$1048576,MATCH('DCF-Detailed'!$B20,Python!$A:$A,0),MATCH('DCF-Detailed'!AY$1,Python!$1:$1,0))</f>
        <v>#N/A</v>
      </c>
      <c r="AZ20" s="99" t="e">
        <f>-INDEX(Python!$1:$1048576,MATCH('DCF-Detailed'!$B20,Python!$A:$A,0),MATCH('DCF-Detailed'!AZ$1,Python!$1:$1,0))</f>
        <v>#N/A</v>
      </c>
      <c r="BA20" s="99" t="e">
        <f>-INDEX(Python!$1:$1048576,MATCH('DCF-Detailed'!$B20,Python!$A:$A,0),MATCH('DCF-Detailed'!BA$1,Python!$1:$1,0))</f>
        <v>#N/A</v>
      </c>
      <c r="BB20" s="99" t="e">
        <f>-INDEX(Python!$1:$1048576,MATCH('DCF-Detailed'!$B20,Python!$A:$A,0),MATCH('DCF-Detailed'!BB$1,Python!$1:$1,0))</f>
        <v>#N/A</v>
      </c>
      <c r="BC20" s="99" t="e">
        <f>-INDEX(Python!$1:$1048576,MATCH('DCF-Detailed'!$B20,Python!$A:$A,0),MATCH('DCF-Detailed'!BC$1,Python!$1:$1,0))</f>
        <v>#N/A</v>
      </c>
      <c r="BD20" s="99" t="e">
        <f>-INDEX(Python!$1:$1048576,MATCH('DCF-Detailed'!$B20,Python!$A:$A,0),MATCH('DCF-Detailed'!BD$1,Python!$1:$1,0))</f>
        <v>#N/A</v>
      </c>
      <c r="BE20" s="99" t="e">
        <f>-INDEX(Python!$1:$1048576,MATCH('DCF-Detailed'!$B20,Python!$A:$A,0),MATCH('DCF-Detailed'!BE$1,Python!$1:$1,0))</f>
        <v>#N/A</v>
      </c>
      <c r="BF20" s="99" t="e">
        <f>-INDEX(Python!$1:$1048576,MATCH('DCF-Detailed'!$B20,Python!$A:$A,0),MATCH('DCF-Detailed'!BF$1,Python!$1:$1,0))</f>
        <v>#N/A</v>
      </c>
      <c r="BG20" s="99" t="e">
        <f>-INDEX(Python!$1:$1048576,MATCH('DCF-Detailed'!$B20,Python!$A:$A,0),MATCH('DCF-Detailed'!BG$1,Python!$1:$1,0))</f>
        <v>#N/A</v>
      </c>
      <c r="BH20" s="99" t="e">
        <f>-INDEX(Python!$1:$1048576,MATCH('DCF-Detailed'!$B20,Python!$A:$A,0),MATCH('DCF-Detailed'!BH$1,Python!$1:$1,0))</f>
        <v>#N/A</v>
      </c>
      <c r="BI20" s="99" t="e">
        <f>-INDEX(Python!$1:$1048576,MATCH('DCF-Detailed'!$B20,Python!$A:$A,0),MATCH('DCF-Detailed'!BI$1,Python!$1:$1,0))</f>
        <v>#N/A</v>
      </c>
      <c r="BJ20" s="99" t="e">
        <f>-INDEX(Python!$1:$1048576,MATCH('DCF-Detailed'!$B20,Python!$A:$A,0),MATCH('DCF-Detailed'!BJ$1,Python!$1:$1,0))</f>
        <v>#N/A</v>
      </c>
      <c r="BK20" s="99" t="e">
        <f>-INDEX(Python!$1:$1048576,MATCH('DCF-Detailed'!$B20,Python!$A:$A,0),MATCH('DCF-Detailed'!BK$1,Python!$1:$1,0))</f>
        <v>#N/A</v>
      </c>
      <c r="BL20" s="99" t="e">
        <f>-INDEX(Python!$1:$1048576,MATCH('DCF-Detailed'!$B20,Python!$A:$A,0),MATCH('DCF-Detailed'!BL$1,Python!$1:$1,0))</f>
        <v>#N/A</v>
      </c>
      <c r="BM20" s="99" t="e">
        <f>-INDEX(Python!$1:$1048576,MATCH('DCF-Detailed'!$B20,Python!$A:$A,0),MATCH('DCF-Detailed'!BM$1,Python!$1:$1,0))</f>
        <v>#N/A</v>
      </c>
      <c r="BN20" s="99" t="e">
        <f>-INDEX(Python!$1:$1048576,MATCH('DCF-Detailed'!$B20,Python!$A:$A,0),MATCH('DCF-Detailed'!BN$1,Python!$1:$1,0))</f>
        <v>#N/A</v>
      </c>
      <c r="BO20" s="99" t="e">
        <f>-INDEX(Python!$1:$1048576,MATCH('DCF-Detailed'!$B20,Python!$A:$A,0),MATCH('DCF-Detailed'!BO$1,Python!$1:$1,0))</f>
        <v>#N/A</v>
      </c>
      <c r="BP20" s="99" t="e">
        <f>-INDEX(Python!$1:$1048576,MATCH('DCF-Detailed'!$B20,Python!$A:$A,0),MATCH('DCF-Detailed'!BP$1,Python!$1:$1,0))</f>
        <v>#N/A</v>
      </c>
      <c r="BQ20" s="99" t="e">
        <f>-INDEX(Python!$1:$1048576,MATCH('DCF-Detailed'!$B20,Python!$A:$A,0),MATCH('DCF-Detailed'!BQ$1,Python!$1:$1,0))</f>
        <v>#N/A</v>
      </c>
      <c r="BR20" s="99" t="e">
        <f>-INDEX(Python!$1:$1048576,MATCH('DCF-Detailed'!$B20,Python!$A:$A,0),MATCH('DCF-Detailed'!BR$1,Python!$1:$1,0))</f>
        <v>#N/A</v>
      </c>
      <c r="BS20" s="99" t="e">
        <f>-INDEX(Python!$1:$1048576,MATCH('DCF-Detailed'!$B20,Python!$A:$A,0),MATCH('DCF-Detailed'!BS$1,Python!$1:$1,0))</f>
        <v>#N/A</v>
      </c>
      <c r="BT20" s="99" t="e">
        <f>-INDEX(Python!$1:$1048576,MATCH('DCF-Detailed'!$B20,Python!$A:$A,0),MATCH('DCF-Detailed'!BT$1,Python!$1:$1,0))</f>
        <v>#N/A</v>
      </c>
      <c r="BU20" s="99" t="e">
        <f>-INDEX(Python!$1:$1048576,MATCH('DCF-Detailed'!$B20,Python!$A:$A,0),MATCH('DCF-Detailed'!BU$1,Python!$1:$1,0))</f>
        <v>#N/A</v>
      </c>
      <c r="BV20" s="99" t="e">
        <f>-INDEX(Python!$1:$1048576,MATCH('DCF-Detailed'!$B20,Python!$A:$A,0),MATCH('DCF-Detailed'!BV$1,Python!$1:$1,0))</f>
        <v>#N/A</v>
      </c>
      <c r="BW20" s="99" t="e">
        <f>-INDEX(Python!$1:$1048576,MATCH('DCF-Detailed'!$B20,Python!$A:$A,0),MATCH('DCF-Detailed'!BW$1,Python!$1:$1,0))</f>
        <v>#N/A</v>
      </c>
      <c r="BX20" s="123" t="e">
        <f>-INDEX(Python!$1:$1048576,MATCH('DCF-Detailed'!$B20,Python!$A:$A,0),MATCH('DCF-Detailed'!BX$1,Python!$1:$1,0))</f>
        <v>#N/A</v>
      </c>
    </row>
    <row r="21" spans="2:76" s="1" customFormat="1" x14ac:dyDescent="0.35">
      <c r="B21" s="33" t="s">
        <v>35</v>
      </c>
      <c r="D21" s="65" t="e">
        <f t="shared" ref="D21:F21" si="47">D20/D$8</f>
        <v>#N/A</v>
      </c>
      <c r="E21" s="65" t="e">
        <f t="shared" si="47"/>
        <v>#N/A</v>
      </c>
      <c r="F21" s="65" t="e">
        <f t="shared" si="47"/>
        <v>#N/A</v>
      </c>
      <c r="G21" s="65" t="e">
        <f t="shared" ref="G21" si="48">G20/G$8</f>
        <v>#N/A</v>
      </c>
      <c r="H21" s="65" t="e">
        <f t="shared" ref="H21:BS21" si="49">H20/H$8</f>
        <v>#N/A</v>
      </c>
      <c r="I21" s="65" t="e">
        <f t="shared" si="49"/>
        <v>#N/A</v>
      </c>
      <c r="J21" s="65" t="e">
        <f t="shared" si="49"/>
        <v>#N/A</v>
      </c>
      <c r="K21" s="65" t="e">
        <f t="shared" si="49"/>
        <v>#N/A</v>
      </c>
      <c r="L21" s="65" t="e">
        <f t="shared" si="49"/>
        <v>#N/A</v>
      </c>
      <c r="M21" s="65" t="e">
        <f t="shared" si="49"/>
        <v>#N/A</v>
      </c>
      <c r="N21" s="65" t="e">
        <f t="shared" si="49"/>
        <v>#N/A</v>
      </c>
      <c r="O21" s="65" t="e">
        <f t="shared" si="49"/>
        <v>#N/A</v>
      </c>
      <c r="P21" s="65" t="e">
        <f t="shared" si="49"/>
        <v>#N/A</v>
      </c>
      <c r="Q21" s="65" t="e">
        <f t="shared" si="49"/>
        <v>#N/A</v>
      </c>
      <c r="R21" s="65" t="e">
        <f t="shared" si="49"/>
        <v>#N/A</v>
      </c>
      <c r="S21" s="65" t="e">
        <f t="shared" si="49"/>
        <v>#N/A</v>
      </c>
      <c r="T21" s="65" t="e">
        <f t="shared" si="49"/>
        <v>#N/A</v>
      </c>
      <c r="U21" s="65" t="e">
        <f t="shared" si="49"/>
        <v>#N/A</v>
      </c>
      <c r="V21" s="65" t="e">
        <f t="shared" si="49"/>
        <v>#N/A</v>
      </c>
      <c r="W21" s="65" t="e">
        <f t="shared" si="49"/>
        <v>#N/A</v>
      </c>
      <c r="X21" s="65" t="e">
        <f t="shared" si="49"/>
        <v>#N/A</v>
      </c>
      <c r="Y21" s="65" t="e">
        <f t="shared" si="49"/>
        <v>#N/A</v>
      </c>
      <c r="Z21" s="65" t="e">
        <f t="shared" si="49"/>
        <v>#N/A</v>
      </c>
      <c r="AA21" s="65" t="e">
        <f t="shared" si="49"/>
        <v>#N/A</v>
      </c>
      <c r="AB21" s="65" t="e">
        <f t="shared" si="49"/>
        <v>#N/A</v>
      </c>
      <c r="AC21" s="65" t="e">
        <f t="shared" si="49"/>
        <v>#N/A</v>
      </c>
      <c r="AD21" s="65" t="e">
        <f t="shared" si="49"/>
        <v>#N/A</v>
      </c>
      <c r="AE21" s="65" t="e">
        <f t="shared" si="49"/>
        <v>#N/A</v>
      </c>
      <c r="AF21" s="65" t="e">
        <f t="shared" si="49"/>
        <v>#N/A</v>
      </c>
      <c r="AG21" s="65" t="e">
        <f t="shared" si="49"/>
        <v>#N/A</v>
      </c>
      <c r="AH21" s="65" t="e">
        <f t="shared" si="49"/>
        <v>#N/A</v>
      </c>
      <c r="AI21" s="65" t="e">
        <f t="shared" si="49"/>
        <v>#N/A</v>
      </c>
      <c r="AJ21" s="65" t="e">
        <f t="shared" si="49"/>
        <v>#N/A</v>
      </c>
      <c r="AK21" s="65" t="e">
        <f t="shared" si="49"/>
        <v>#N/A</v>
      </c>
      <c r="AL21" s="65" t="e">
        <f t="shared" si="49"/>
        <v>#N/A</v>
      </c>
      <c r="AM21" s="65" t="e">
        <f t="shared" si="49"/>
        <v>#N/A</v>
      </c>
      <c r="AN21" s="65" t="e">
        <f t="shared" si="49"/>
        <v>#N/A</v>
      </c>
      <c r="AO21" s="65" t="e">
        <f t="shared" si="49"/>
        <v>#N/A</v>
      </c>
      <c r="AP21" s="65" t="e">
        <f t="shared" si="49"/>
        <v>#N/A</v>
      </c>
      <c r="AQ21" s="65" t="e">
        <f t="shared" si="49"/>
        <v>#N/A</v>
      </c>
      <c r="AR21" s="29" t="e">
        <f t="shared" si="49"/>
        <v>#N/A</v>
      </c>
      <c r="AS21" s="106" t="e">
        <f t="shared" si="49"/>
        <v>#N/A</v>
      </c>
      <c r="AT21" s="69" t="e">
        <f t="shared" si="49"/>
        <v>#N/A</v>
      </c>
      <c r="AU21" s="69" t="e">
        <f t="shared" si="49"/>
        <v>#N/A</v>
      </c>
      <c r="AV21" s="69" t="e">
        <f t="shared" si="49"/>
        <v>#N/A</v>
      </c>
      <c r="AW21" s="69" t="e">
        <f t="shared" si="49"/>
        <v>#N/A</v>
      </c>
      <c r="AX21" s="69" t="e">
        <f t="shared" si="49"/>
        <v>#N/A</v>
      </c>
      <c r="AY21" s="69" t="e">
        <f t="shared" si="49"/>
        <v>#N/A</v>
      </c>
      <c r="AZ21" s="69" t="e">
        <f t="shared" si="49"/>
        <v>#N/A</v>
      </c>
      <c r="BA21" s="69" t="e">
        <f t="shared" si="49"/>
        <v>#N/A</v>
      </c>
      <c r="BB21" s="69" t="e">
        <f t="shared" si="49"/>
        <v>#N/A</v>
      </c>
      <c r="BC21" s="69" t="e">
        <f t="shared" si="49"/>
        <v>#N/A</v>
      </c>
      <c r="BD21" s="69" t="e">
        <f t="shared" si="49"/>
        <v>#N/A</v>
      </c>
      <c r="BE21" s="69" t="e">
        <f t="shared" si="49"/>
        <v>#N/A</v>
      </c>
      <c r="BF21" s="69" t="e">
        <f t="shared" si="49"/>
        <v>#N/A</v>
      </c>
      <c r="BG21" s="69" t="e">
        <f t="shared" si="49"/>
        <v>#N/A</v>
      </c>
      <c r="BH21" s="69" t="e">
        <f t="shared" si="49"/>
        <v>#N/A</v>
      </c>
      <c r="BI21" s="69" t="e">
        <f t="shared" si="49"/>
        <v>#N/A</v>
      </c>
      <c r="BJ21" s="69" t="e">
        <f t="shared" si="49"/>
        <v>#N/A</v>
      </c>
      <c r="BK21" s="69" t="e">
        <f t="shared" si="49"/>
        <v>#N/A</v>
      </c>
      <c r="BL21" s="69" t="e">
        <f t="shared" si="49"/>
        <v>#N/A</v>
      </c>
      <c r="BM21" s="69" t="e">
        <f t="shared" si="49"/>
        <v>#N/A</v>
      </c>
      <c r="BN21" s="69" t="e">
        <f t="shared" si="49"/>
        <v>#N/A</v>
      </c>
      <c r="BO21" s="69" t="e">
        <f t="shared" si="49"/>
        <v>#N/A</v>
      </c>
      <c r="BP21" s="69" t="e">
        <f t="shared" si="49"/>
        <v>#N/A</v>
      </c>
      <c r="BQ21" s="69" t="e">
        <f t="shared" si="49"/>
        <v>#N/A</v>
      </c>
      <c r="BR21" s="69" t="e">
        <f t="shared" si="49"/>
        <v>#N/A</v>
      </c>
      <c r="BS21" s="69" t="e">
        <f t="shared" si="49"/>
        <v>#N/A</v>
      </c>
      <c r="BT21" s="69" t="e">
        <f t="shared" ref="BT21:BX21" si="50">BT20/BT$8</f>
        <v>#N/A</v>
      </c>
      <c r="BU21" s="69" t="e">
        <f t="shared" si="50"/>
        <v>#N/A</v>
      </c>
      <c r="BV21" s="69" t="e">
        <f t="shared" si="50"/>
        <v>#N/A</v>
      </c>
      <c r="BW21" s="69" t="e">
        <f t="shared" si="50"/>
        <v>#N/A</v>
      </c>
      <c r="BX21" s="70" t="e">
        <f t="shared" si="50"/>
        <v>#N/A</v>
      </c>
    </row>
    <row r="22" spans="2:76" s="1" customFormat="1" ht="6.9" customHeight="1" x14ac:dyDescent="0.35">
      <c r="B22" s="10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131"/>
      <c r="AR22" s="130"/>
      <c r="AS22" s="9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8"/>
    </row>
    <row r="23" spans="2:76" s="1" customFormat="1" x14ac:dyDescent="0.35">
      <c r="B23" s="101" t="s">
        <v>54</v>
      </c>
      <c r="C23" s="102"/>
      <c r="D23" s="103" t="e">
        <f t="shared" ref="D23:F23" si="51">D11+D14+D17+D20</f>
        <v>#N/A</v>
      </c>
      <c r="E23" s="103" t="e">
        <f t="shared" si="51"/>
        <v>#N/A</v>
      </c>
      <c r="F23" s="103" t="e">
        <f t="shared" si="51"/>
        <v>#N/A</v>
      </c>
      <c r="G23" s="103" t="e">
        <f t="shared" ref="G23" si="52">G11+G14+G17+G20</f>
        <v>#N/A</v>
      </c>
      <c r="H23" s="103" t="e">
        <f t="shared" ref="H23:BS23" si="53">H11+H14+H17+H20</f>
        <v>#N/A</v>
      </c>
      <c r="I23" s="103" t="e">
        <f t="shared" si="53"/>
        <v>#N/A</v>
      </c>
      <c r="J23" s="103" t="e">
        <f t="shared" si="53"/>
        <v>#N/A</v>
      </c>
      <c r="K23" s="103" t="e">
        <f t="shared" si="53"/>
        <v>#N/A</v>
      </c>
      <c r="L23" s="103" t="e">
        <f t="shared" si="53"/>
        <v>#N/A</v>
      </c>
      <c r="M23" s="103" t="e">
        <f t="shared" si="53"/>
        <v>#N/A</v>
      </c>
      <c r="N23" s="103" t="e">
        <f t="shared" si="53"/>
        <v>#N/A</v>
      </c>
      <c r="O23" s="103" t="e">
        <f t="shared" si="53"/>
        <v>#N/A</v>
      </c>
      <c r="P23" s="103" t="e">
        <f t="shared" si="53"/>
        <v>#N/A</v>
      </c>
      <c r="Q23" s="103" t="e">
        <f t="shared" si="53"/>
        <v>#N/A</v>
      </c>
      <c r="R23" s="103" t="e">
        <f t="shared" si="53"/>
        <v>#N/A</v>
      </c>
      <c r="S23" s="103" t="e">
        <f t="shared" si="53"/>
        <v>#N/A</v>
      </c>
      <c r="T23" s="103" t="e">
        <f t="shared" si="53"/>
        <v>#N/A</v>
      </c>
      <c r="U23" s="103" t="e">
        <f t="shared" si="53"/>
        <v>#N/A</v>
      </c>
      <c r="V23" s="103" t="e">
        <f t="shared" si="53"/>
        <v>#N/A</v>
      </c>
      <c r="W23" s="103" t="e">
        <f t="shared" si="53"/>
        <v>#N/A</v>
      </c>
      <c r="X23" s="103" t="e">
        <f t="shared" si="53"/>
        <v>#N/A</v>
      </c>
      <c r="Y23" s="103" t="e">
        <f t="shared" si="53"/>
        <v>#N/A</v>
      </c>
      <c r="Z23" s="103" t="e">
        <f t="shared" si="53"/>
        <v>#N/A</v>
      </c>
      <c r="AA23" s="103" t="e">
        <f t="shared" si="53"/>
        <v>#N/A</v>
      </c>
      <c r="AB23" s="103" t="e">
        <f t="shared" si="53"/>
        <v>#N/A</v>
      </c>
      <c r="AC23" s="103" t="e">
        <f t="shared" si="53"/>
        <v>#N/A</v>
      </c>
      <c r="AD23" s="103" t="e">
        <f t="shared" si="53"/>
        <v>#N/A</v>
      </c>
      <c r="AE23" s="103" t="e">
        <f t="shared" si="53"/>
        <v>#N/A</v>
      </c>
      <c r="AF23" s="103" t="e">
        <f t="shared" si="53"/>
        <v>#N/A</v>
      </c>
      <c r="AG23" s="103" t="e">
        <f t="shared" si="53"/>
        <v>#N/A</v>
      </c>
      <c r="AH23" s="103" t="e">
        <f t="shared" si="53"/>
        <v>#N/A</v>
      </c>
      <c r="AI23" s="103" t="e">
        <f t="shared" si="53"/>
        <v>#N/A</v>
      </c>
      <c r="AJ23" s="103" t="e">
        <f t="shared" si="53"/>
        <v>#N/A</v>
      </c>
      <c r="AK23" s="103" t="e">
        <f t="shared" si="53"/>
        <v>#N/A</v>
      </c>
      <c r="AL23" s="103" t="e">
        <f t="shared" si="53"/>
        <v>#N/A</v>
      </c>
      <c r="AM23" s="103" t="e">
        <f t="shared" si="53"/>
        <v>#N/A</v>
      </c>
      <c r="AN23" s="103" t="e">
        <f t="shared" si="53"/>
        <v>#N/A</v>
      </c>
      <c r="AO23" s="103" t="e">
        <f t="shared" si="53"/>
        <v>#N/A</v>
      </c>
      <c r="AP23" s="103" t="e">
        <f t="shared" si="53"/>
        <v>#N/A</v>
      </c>
      <c r="AQ23" s="103" t="e">
        <f t="shared" si="53"/>
        <v>#N/A</v>
      </c>
      <c r="AR23" s="104" t="e">
        <f t="shared" si="53"/>
        <v>#N/A</v>
      </c>
      <c r="AS23" s="105" t="e">
        <f t="shared" si="53"/>
        <v>#N/A</v>
      </c>
      <c r="AT23" s="105" t="e">
        <f t="shared" si="53"/>
        <v>#N/A</v>
      </c>
      <c r="AU23" s="105" t="e">
        <f t="shared" si="53"/>
        <v>#N/A</v>
      </c>
      <c r="AV23" s="105" t="e">
        <f t="shared" si="53"/>
        <v>#N/A</v>
      </c>
      <c r="AW23" s="105" t="e">
        <f t="shared" si="53"/>
        <v>#N/A</v>
      </c>
      <c r="AX23" s="105" t="e">
        <f t="shared" si="53"/>
        <v>#N/A</v>
      </c>
      <c r="AY23" s="105" t="e">
        <f t="shared" si="53"/>
        <v>#N/A</v>
      </c>
      <c r="AZ23" s="105" t="e">
        <f t="shared" si="53"/>
        <v>#N/A</v>
      </c>
      <c r="BA23" s="105" t="e">
        <f t="shared" si="53"/>
        <v>#N/A</v>
      </c>
      <c r="BB23" s="105" t="e">
        <f t="shared" si="53"/>
        <v>#N/A</v>
      </c>
      <c r="BC23" s="105" t="e">
        <f t="shared" si="53"/>
        <v>#N/A</v>
      </c>
      <c r="BD23" s="105" t="e">
        <f t="shared" si="53"/>
        <v>#N/A</v>
      </c>
      <c r="BE23" s="105" t="e">
        <f t="shared" si="53"/>
        <v>#N/A</v>
      </c>
      <c r="BF23" s="105" t="e">
        <f t="shared" si="53"/>
        <v>#N/A</v>
      </c>
      <c r="BG23" s="105" t="e">
        <f t="shared" si="53"/>
        <v>#N/A</v>
      </c>
      <c r="BH23" s="105" t="e">
        <f t="shared" si="53"/>
        <v>#N/A</v>
      </c>
      <c r="BI23" s="105" t="e">
        <f t="shared" si="53"/>
        <v>#N/A</v>
      </c>
      <c r="BJ23" s="105" t="e">
        <f t="shared" si="53"/>
        <v>#N/A</v>
      </c>
      <c r="BK23" s="105" t="e">
        <f t="shared" si="53"/>
        <v>#N/A</v>
      </c>
      <c r="BL23" s="105" t="e">
        <f t="shared" si="53"/>
        <v>#N/A</v>
      </c>
      <c r="BM23" s="105" t="e">
        <f t="shared" si="53"/>
        <v>#N/A</v>
      </c>
      <c r="BN23" s="105" t="e">
        <f t="shared" si="53"/>
        <v>#N/A</v>
      </c>
      <c r="BO23" s="105" t="e">
        <f t="shared" si="53"/>
        <v>#N/A</v>
      </c>
      <c r="BP23" s="105" t="e">
        <f t="shared" si="53"/>
        <v>#N/A</v>
      </c>
      <c r="BQ23" s="105" t="e">
        <f t="shared" si="53"/>
        <v>#N/A</v>
      </c>
      <c r="BR23" s="105" t="e">
        <f t="shared" si="53"/>
        <v>#N/A</v>
      </c>
      <c r="BS23" s="105" t="e">
        <f t="shared" si="53"/>
        <v>#N/A</v>
      </c>
      <c r="BT23" s="105" t="e">
        <f t="shared" ref="BT23:BX23" si="54">BT11+BT14+BT17+BT20</f>
        <v>#N/A</v>
      </c>
      <c r="BU23" s="105" t="e">
        <f t="shared" si="54"/>
        <v>#N/A</v>
      </c>
      <c r="BV23" s="105" t="e">
        <f t="shared" si="54"/>
        <v>#N/A</v>
      </c>
      <c r="BW23" s="105" t="e">
        <f t="shared" si="54"/>
        <v>#N/A</v>
      </c>
      <c r="BX23" s="124" t="e">
        <f t="shared" si="54"/>
        <v>#N/A</v>
      </c>
    </row>
    <row r="24" spans="2:76" s="1" customFormat="1" x14ac:dyDescent="0.35">
      <c r="B24" s="33" t="s">
        <v>32</v>
      </c>
      <c r="D24" s="65" t="e">
        <f t="shared" ref="D24:F24" si="55">D23/D$8</f>
        <v>#N/A</v>
      </c>
      <c r="E24" s="65" t="e">
        <f t="shared" si="55"/>
        <v>#N/A</v>
      </c>
      <c r="F24" s="65" t="e">
        <f t="shared" si="55"/>
        <v>#N/A</v>
      </c>
      <c r="G24" s="65" t="e">
        <f>G23/G$8</f>
        <v>#N/A</v>
      </c>
      <c r="H24" s="65" t="e">
        <f t="shared" ref="H24:BS24" si="56">H23/H$8</f>
        <v>#N/A</v>
      </c>
      <c r="I24" s="65" t="e">
        <f t="shared" si="56"/>
        <v>#N/A</v>
      </c>
      <c r="J24" s="65" t="e">
        <f t="shared" si="56"/>
        <v>#N/A</v>
      </c>
      <c r="K24" s="65" t="e">
        <f t="shared" si="56"/>
        <v>#N/A</v>
      </c>
      <c r="L24" s="65" t="e">
        <f t="shared" si="56"/>
        <v>#N/A</v>
      </c>
      <c r="M24" s="65" t="e">
        <f t="shared" si="56"/>
        <v>#N/A</v>
      </c>
      <c r="N24" s="65" t="e">
        <f t="shared" si="56"/>
        <v>#N/A</v>
      </c>
      <c r="O24" s="65" t="e">
        <f t="shared" si="56"/>
        <v>#N/A</v>
      </c>
      <c r="P24" s="65" t="e">
        <f t="shared" si="56"/>
        <v>#N/A</v>
      </c>
      <c r="Q24" s="65" t="e">
        <f t="shared" si="56"/>
        <v>#N/A</v>
      </c>
      <c r="R24" s="65" t="e">
        <f t="shared" si="56"/>
        <v>#N/A</v>
      </c>
      <c r="S24" s="65" t="e">
        <f t="shared" si="56"/>
        <v>#N/A</v>
      </c>
      <c r="T24" s="65" t="e">
        <f t="shared" si="56"/>
        <v>#N/A</v>
      </c>
      <c r="U24" s="65" t="e">
        <f t="shared" si="56"/>
        <v>#N/A</v>
      </c>
      <c r="V24" s="65" t="e">
        <f t="shared" si="56"/>
        <v>#N/A</v>
      </c>
      <c r="W24" s="65" t="e">
        <f t="shared" si="56"/>
        <v>#N/A</v>
      </c>
      <c r="X24" s="65" t="e">
        <f t="shared" si="56"/>
        <v>#N/A</v>
      </c>
      <c r="Y24" s="65" t="e">
        <f t="shared" si="56"/>
        <v>#N/A</v>
      </c>
      <c r="Z24" s="65" t="e">
        <f t="shared" si="56"/>
        <v>#N/A</v>
      </c>
      <c r="AA24" s="65" t="e">
        <f t="shared" si="56"/>
        <v>#N/A</v>
      </c>
      <c r="AB24" s="65" t="e">
        <f t="shared" si="56"/>
        <v>#N/A</v>
      </c>
      <c r="AC24" s="65" t="e">
        <f t="shared" si="56"/>
        <v>#N/A</v>
      </c>
      <c r="AD24" s="65" t="e">
        <f t="shared" si="56"/>
        <v>#N/A</v>
      </c>
      <c r="AE24" s="65" t="e">
        <f t="shared" si="56"/>
        <v>#N/A</v>
      </c>
      <c r="AF24" s="65" t="e">
        <f t="shared" si="56"/>
        <v>#N/A</v>
      </c>
      <c r="AG24" s="65" t="e">
        <f t="shared" si="56"/>
        <v>#N/A</v>
      </c>
      <c r="AH24" s="65" t="e">
        <f t="shared" si="56"/>
        <v>#N/A</v>
      </c>
      <c r="AI24" s="65" t="e">
        <f t="shared" si="56"/>
        <v>#N/A</v>
      </c>
      <c r="AJ24" s="65" t="e">
        <f t="shared" si="56"/>
        <v>#N/A</v>
      </c>
      <c r="AK24" s="65" t="e">
        <f t="shared" si="56"/>
        <v>#N/A</v>
      </c>
      <c r="AL24" s="65" t="e">
        <f t="shared" si="56"/>
        <v>#N/A</v>
      </c>
      <c r="AM24" s="65" t="e">
        <f t="shared" si="56"/>
        <v>#N/A</v>
      </c>
      <c r="AN24" s="65" t="e">
        <f t="shared" si="56"/>
        <v>#N/A</v>
      </c>
      <c r="AO24" s="65" t="e">
        <f t="shared" si="56"/>
        <v>#N/A</v>
      </c>
      <c r="AP24" s="65" t="e">
        <f t="shared" si="56"/>
        <v>#N/A</v>
      </c>
      <c r="AQ24" s="65" t="e">
        <f t="shared" si="56"/>
        <v>#N/A</v>
      </c>
      <c r="AR24" s="29" t="e">
        <f t="shared" si="56"/>
        <v>#N/A</v>
      </c>
      <c r="AS24" s="68" t="e">
        <f t="shared" si="56"/>
        <v>#N/A</v>
      </c>
      <c r="AT24" s="68" t="e">
        <f t="shared" si="56"/>
        <v>#N/A</v>
      </c>
      <c r="AU24" s="68" t="e">
        <f t="shared" si="56"/>
        <v>#N/A</v>
      </c>
      <c r="AV24" s="68" t="e">
        <f t="shared" si="56"/>
        <v>#N/A</v>
      </c>
      <c r="AW24" s="68" t="e">
        <f t="shared" si="56"/>
        <v>#N/A</v>
      </c>
      <c r="AX24" s="68" t="e">
        <f t="shared" si="56"/>
        <v>#N/A</v>
      </c>
      <c r="AY24" s="68" t="e">
        <f t="shared" si="56"/>
        <v>#N/A</v>
      </c>
      <c r="AZ24" s="68" t="e">
        <f t="shared" si="56"/>
        <v>#N/A</v>
      </c>
      <c r="BA24" s="68" t="e">
        <f t="shared" si="56"/>
        <v>#N/A</v>
      </c>
      <c r="BB24" s="68" t="e">
        <f t="shared" si="56"/>
        <v>#N/A</v>
      </c>
      <c r="BC24" s="68" t="e">
        <f t="shared" si="56"/>
        <v>#N/A</v>
      </c>
      <c r="BD24" s="68" t="e">
        <f t="shared" si="56"/>
        <v>#N/A</v>
      </c>
      <c r="BE24" s="68" t="e">
        <f t="shared" si="56"/>
        <v>#N/A</v>
      </c>
      <c r="BF24" s="68" t="e">
        <f t="shared" si="56"/>
        <v>#N/A</v>
      </c>
      <c r="BG24" s="68" t="e">
        <f t="shared" si="56"/>
        <v>#N/A</v>
      </c>
      <c r="BH24" s="68" t="e">
        <f t="shared" si="56"/>
        <v>#N/A</v>
      </c>
      <c r="BI24" s="68" t="e">
        <f t="shared" si="56"/>
        <v>#N/A</v>
      </c>
      <c r="BJ24" s="68" t="e">
        <f t="shared" si="56"/>
        <v>#N/A</v>
      </c>
      <c r="BK24" s="68" t="e">
        <f t="shared" si="56"/>
        <v>#N/A</v>
      </c>
      <c r="BL24" s="68" t="e">
        <f t="shared" si="56"/>
        <v>#N/A</v>
      </c>
      <c r="BM24" s="68" t="e">
        <f t="shared" si="56"/>
        <v>#N/A</v>
      </c>
      <c r="BN24" s="68" t="e">
        <f t="shared" si="56"/>
        <v>#N/A</v>
      </c>
      <c r="BO24" s="68" t="e">
        <f t="shared" si="56"/>
        <v>#N/A</v>
      </c>
      <c r="BP24" s="68" t="e">
        <f t="shared" si="56"/>
        <v>#N/A</v>
      </c>
      <c r="BQ24" s="68" t="e">
        <f t="shared" si="56"/>
        <v>#N/A</v>
      </c>
      <c r="BR24" s="68" t="e">
        <f t="shared" si="56"/>
        <v>#N/A</v>
      </c>
      <c r="BS24" s="68" t="e">
        <f t="shared" si="56"/>
        <v>#N/A</v>
      </c>
      <c r="BT24" s="68" t="e">
        <f t="shared" ref="BT24:BX24" si="57">BT23/BT$8</f>
        <v>#N/A</v>
      </c>
      <c r="BU24" s="68" t="e">
        <f t="shared" si="57"/>
        <v>#N/A</v>
      </c>
      <c r="BV24" s="68" t="e">
        <f t="shared" si="57"/>
        <v>#N/A</v>
      </c>
      <c r="BW24" s="68" t="e">
        <f t="shared" si="57"/>
        <v>#N/A</v>
      </c>
      <c r="BX24" s="125" t="e">
        <f t="shared" si="57"/>
        <v>#N/A</v>
      </c>
    </row>
    <row r="25" spans="2:76" s="1" customFormat="1" ht="6.9" customHeight="1" x14ac:dyDescent="0.35">
      <c r="B25" s="10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27"/>
      <c r="AS25" s="9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8"/>
    </row>
    <row r="26" spans="2:76" s="1" customFormat="1" x14ac:dyDescent="0.35">
      <c r="B26" s="10" t="s">
        <v>33</v>
      </c>
      <c r="D26" s="73" t="e">
        <f>-INDEX(Python!$1:$1048576,MATCH('DCF-Detailed'!$B26,Python!$A:$A,0),MATCH('DCF-Detailed'!D$1,Python!$1:$1,0))</f>
        <v>#N/A</v>
      </c>
      <c r="E26" s="73" t="e">
        <f>-INDEX(Python!$1:$1048576,MATCH('DCF-Detailed'!$B26,Python!$A:$A,0),MATCH('DCF-Detailed'!E$1,Python!$1:$1,0))</f>
        <v>#N/A</v>
      </c>
      <c r="F26" s="73" t="e">
        <f>-INDEX(Python!$1:$1048576,MATCH('DCF-Detailed'!$B26,Python!$A:$A,0),MATCH('DCF-Detailed'!F$1,Python!$1:$1,0))</f>
        <v>#N/A</v>
      </c>
      <c r="G26" s="73" t="e">
        <f>-INDEX(Python!$1:$1048576,MATCH('DCF-Detailed'!$B26,Python!$A:$A,0),MATCH('DCF-Detailed'!G$1,Python!$1:$1,0))</f>
        <v>#N/A</v>
      </c>
      <c r="H26" s="73" t="e">
        <f>-INDEX(Python!$1:$1048576,MATCH('DCF-Detailed'!$B26,Python!$A:$A,0),MATCH('DCF-Detailed'!H$1,Python!$1:$1,0))</f>
        <v>#N/A</v>
      </c>
      <c r="I26" s="73" t="e">
        <f>-INDEX(Python!$1:$1048576,MATCH('DCF-Detailed'!$B26,Python!$A:$A,0),MATCH('DCF-Detailed'!I$1,Python!$1:$1,0))</f>
        <v>#N/A</v>
      </c>
      <c r="J26" s="73" t="e">
        <f>-INDEX(Python!$1:$1048576,MATCH('DCF-Detailed'!$B26,Python!$A:$A,0),MATCH('DCF-Detailed'!J$1,Python!$1:$1,0))</f>
        <v>#N/A</v>
      </c>
      <c r="K26" s="73" t="e">
        <f>-INDEX(Python!$1:$1048576,MATCH('DCF-Detailed'!$B26,Python!$A:$A,0),MATCH('DCF-Detailed'!K$1,Python!$1:$1,0))</f>
        <v>#N/A</v>
      </c>
      <c r="L26" s="73" t="e">
        <f>-INDEX(Python!$1:$1048576,MATCH('DCF-Detailed'!$B26,Python!$A:$A,0),MATCH('DCF-Detailed'!L$1,Python!$1:$1,0))</f>
        <v>#N/A</v>
      </c>
      <c r="M26" s="73" t="e">
        <f>-INDEX(Python!$1:$1048576,MATCH('DCF-Detailed'!$B26,Python!$A:$A,0),MATCH('DCF-Detailed'!M$1,Python!$1:$1,0))</f>
        <v>#N/A</v>
      </c>
      <c r="N26" s="73" t="e">
        <f>-INDEX(Python!$1:$1048576,MATCH('DCF-Detailed'!$B26,Python!$A:$A,0),MATCH('DCF-Detailed'!N$1,Python!$1:$1,0))</f>
        <v>#N/A</v>
      </c>
      <c r="O26" s="73" t="e">
        <f>-INDEX(Python!$1:$1048576,MATCH('DCF-Detailed'!$B26,Python!$A:$A,0),MATCH('DCF-Detailed'!O$1,Python!$1:$1,0))</f>
        <v>#N/A</v>
      </c>
      <c r="P26" s="73" t="e">
        <f>-INDEX(Python!$1:$1048576,MATCH('DCF-Detailed'!$B26,Python!$A:$A,0),MATCH('DCF-Detailed'!P$1,Python!$1:$1,0))</f>
        <v>#N/A</v>
      </c>
      <c r="Q26" s="73" t="e">
        <f>-INDEX(Python!$1:$1048576,MATCH('DCF-Detailed'!$B26,Python!$A:$A,0),MATCH('DCF-Detailed'!Q$1,Python!$1:$1,0))</f>
        <v>#N/A</v>
      </c>
      <c r="R26" s="73" t="e">
        <f>-INDEX(Python!$1:$1048576,MATCH('DCF-Detailed'!$B26,Python!$A:$A,0),MATCH('DCF-Detailed'!R$1,Python!$1:$1,0))</f>
        <v>#N/A</v>
      </c>
      <c r="S26" s="73" t="e">
        <f>-INDEX(Python!$1:$1048576,MATCH('DCF-Detailed'!$B26,Python!$A:$A,0),MATCH('DCF-Detailed'!S$1,Python!$1:$1,0))</f>
        <v>#N/A</v>
      </c>
      <c r="T26" s="73" t="e">
        <f>-INDEX(Python!$1:$1048576,MATCH('DCF-Detailed'!$B26,Python!$A:$A,0),MATCH('DCF-Detailed'!T$1,Python!$1:$1,0))</f>
        <v>#N/A</v>
      </c>
      <c r="U26" s="73" t="e">
        <f>-INDEX(Python!$1:$1048576,MATCH('DCF-Detailed'!$B26,Python!$A:$A,0),MATCH('DCF-Detailed'!U$1,Python!$1:$1,0))</f>
        <v>#N/A</v>
      </c>
      <c r="V26" s="73" t="e">
        <f>-INDEX(Python!$1:$1048576,MATCH('DCF-Detailed'!$B26,Python!$A:$A,0),MATCH('DCF-Detailed'!V$1,Python!$1:$1,0))</f>
        <v>#N/A</v>
      </c>
      <c r="W26" s="73" t="e">
        <f>-INDEX(Python!$1:$1048576,MATCH('DCF-Detailed'!$B26,Python!$A:$A,0),MATCH('DCF-Detailed'!W$1,Python!$1:$1,0))</f>
        <v>#N/A</v>
      </c>
      <c r="X26" s="73" t="e">
        <f>-INDEX(Python!$1:$1048576,MATCH('DCF-Detailed'!$B26,Python!$A:$A,0),MATCH('DCF-Detailed'!X$1,Python!$1:$1,0))</f>
        <v>#N/A</v>
      </c>
      <c r="Y26" s="73" t="e">
        <f>-INDEX(Python!$1:$1048576,MATCH('DCF-Detailed'!$B26,Python!$A:$A,0),MATCH('DCF-Detailed'!Y$1,Python!$1:$1,0))</f>
        <v>#N/A</v>
      </c>
      <c r="Z26" s="73" t="e">
        <f>-INDEX(Python!$1:$1048576,MATCH('DCF-Detailed'!$B26,Python!$A:$A,0),MATCH('DCF-Detailed'!Z$1,Python!$1:$1,0))</f>
        <v>#N/A</v>
      </c>
      <c r="AA26" s="73" t="e">
        <f>-INDEX(Python!$1:$1048576,MATCH('DCF-Detailed'!$B26,Python!$A:$A,0),MATCH('DCF-Detailed'!AA$1,Python!$1:$1,0))</f>
        <v>#N/A</v>
      </c>
      <c r="AB26" s="73" t="e">
        <f>-INDEX(Python!$1:$1048576,MATCH('DCF-Detailed'!$B26,Python!$A:$A,0),MATCH('DCF-Detailed'!AB$1,Python!$1:$1,0))</f>
        <v>#N/A</v>
      </c>
      <c r="AC26" s="73" t="e">
        <f>-INDEX(Python!$1:$1048576,MATCH('DCF-Detailed'!$B26,Python!$A:$A,0),MATCH('DCF-Detailed'!AC$1,Python!$1:$1,0))</f>
        <v>#N/A</v>
      </c>
      <c r="AD26" s="73" t="e">
        <f>-INDEX(Python!$1:$1048576,MATCH('DCF-Detailed'!$B26,Python!$A:$A,0),MATCH('DCF-Detailed'!AD$1,Python!$1:$1,0))</f>
        <v>#N/A</v>
      </c>
      <c r="AE26" s="73" t="e">
        <f>-INDEX(Python!$1:$1048576,MATCH('DCF-Detailed'!$B26,Python!$A:$A,0),MATCH('DCF-Detailed'!AE$1,Python!$1:$1,0))</f>
        <v>#N/A</v>
      </c>
      <c r="AF26" s="73" t="e">
        <f>-INDEX(Python!$1:$1048576,MATCH('DCF-Detailed'!$B26,Python!$A:$A,0),MATCH('DCF-Detailed'!AF$1,Python!$1:$1,0))</f>
        <v>#N/A</v>
      </c>
      <c r="AG26" s="73" t="e">
        <f>-INDEX(Python!$1:$1048576,MATCH('DCF-Detailed'!$B26,Python!$A:$A,0),MATCH('DCF-Detailed'!AG$1,Python!$1:$1,0))</f>
        <v>#N/A</v>
      </c>
      <c r="AH26" s="73" t="e">
        <f>-INDEX(Python!$1:$1048576,MATCH('DCF-Detailed'!$B26,Python!$A:$A,0),MATCH('DCF-Detailed'!AH$1,Python!$1:$1,0))</f>
        <v>#N/A</v>
      </c>
      <c r="AI26" s="73" t="e">
        <f>-INDEX(Python!$1:$1048576,MATCH('DCF-Detailed'!$B26,Python!$A:$A,0),MATCH('DCF-Detailed'!AI$1,Python!$1:$1,0))</f>
        <v>#N/A</v>
      </c>
      <c r="AJ26" s="73" t="e">
        <f>-INDEX(Python!$1:$1048576,MATCH('DCF-Detailed'!$B26,Python!$A:$A,0),MATCH('DCF-Detailed'!AJ$1,Python!$1:$1,0))</f>
        <v>#N/A</v>
      </c>
      <c r="AK26" s="73" t="e">
        <f>-INDEX(Python!$1:$1048576,MATCH('DCF-Detailed'!$B26,Python!$A:$A,0),MATCH('DCF-Detailed'!AK$1,Python!$1:$1,0))</f>
        <v>#N/A</v>
      </c>
      <c r="AL26" s="73" t="e">
        <f>-INDEX(Python!$1:$1048576,MATCH('DCF-Detailed'!$B26,Python!$A:$A,0),MATCH('DCF-Detailed'!AL$1,Python!$1:$1,0))</f>
        <v>#N/A</v>
      </c>
      <c r="AM26" s="73" t="e">
        <f>-INDEX(Python!$1:$1048576,MATCH('DCF-Detailed'!$B26,Python!$A:$A,0),MATCH('DCF-Detailed'!AM$1,Python!$1:$1,0))</f>
        <v>#N/A</v>
      </c>
      <c r="AN26" s="73" t="e">
        <f>-INDEX(Python!$1:$1048576,MATCH('DCF-Detailed'!$B26,Python!$A:$A,0),MATCH('DCF-Detailed'!AN$1,Python!$1:$1,0))</f>
        <v>#N/A</v>
      </c>
      <c r="AO26" s="73" t="e">
        <f>-INDEX(Python!$1:$1048576,MATCH('DCF-Detailed'!$B26,Python!$A:$A,0),MATCH('DCF-Detailed'!AO$1,Python!$1:$1,0))</f>
        <v>#N/A</v>
      </c>
      <c r="AP26" s="73" t="e">
        <f>-INDEX(Python!$1:$1048576,MATCH('DCF-Detailed'!$B26,Python!$A:$A,0),MATCH('DCF-Detailed'!AP$1,Python!$1:$1,0))</f>
        <v>#N/A</v>
      </c>
      <c r="AQ26" s="73" t="e">
        <f>-INDEX(Python!$1:$1048576,MATCH('DCF-Detailed'!$B26,Python!$A:$A,0),MATCH('DCF-Detailed'!AQ$1,Python!$1:$1,0))</f>
        <v>#N/A</v>
      </c>
      <c r="AR26" s="31" t="e">
        <f>-INDEX(Python!$1:$1048576,MATCH('DCF-Detailed'!$B26,Python!$A:$A,0),MATCH('DCF-Detailed'!AR$1,Python!$1:$1,0))</f>
        <v>#N/A</v>
      </c>
      <c r="AS26" s="74" t="e">
        <f>-INDEX(Python!$1:$1048576,MATCH('DCF-Detailed'!$B26,Python!$A:$A,0),MATCH('DCF-Detailed'!AS$1,Python!$1:$1,0))</f>
        <v>#N/A</v>
      </c>
      <c r="AT26" s="74" t="e">
        <f>-INDEX(Python!$1:$1048576,MATCH('DCF-Detailed'!$B26,Python!$A:$A,0),MATCH('DCF-Detailed'!AT$1,Python!$1:$1,0))</f>
        <v>#N/A</v>
      </c>
      <c r="AU26" s="74" t="e">
        <f>-INDEX(Python!$1:$1048576,MATCH('DCF-Detailed'!$B26,Python!$A:$A,0),MATCH('DCF-Detailed'!AU$1,Python!$1:$1,0))</f>
        <v>#N/A</v>
      </c>
      <c r="AV26" s="74" t="e">
        <f>-INDEX(Python!$1:$1048576,MATCH('DCF-Detailed'!$B26,Python!$A:$A,0),MATCH('DCF-Detailed'!AV$1,Python!$1:$1,0))</f>
        <v>#N/A</v>
      </c>
      <c r="AW26" s="74" t="e">
        <f>-INDEX(Python!$1:$1048576,MATCH('DCF-Detailed'!$B26,Python!$A:$A,0),MATCH('DCF-Detailed'!AW$1,Python!$1:$1,0))</f>
        <v>#N/A</v>
      </c>
      <c r="AX26" s="74" t="e">
        <f>-INDEX(Python!$1:$1048576,MATCH('DCF-Detailed'!$B26,Python!$A:$A,0),MATCH('DCF-Detailed'!AX$1,Python!$1:$1,0))</f>
        <v>#N/A</v>
      </c>
      <c r="AY26" s="74" t="e">
        <f>-INDEX(Python!$1:$1048576,MATCH('DCF-Detailed'!$B26,Python!$A:$A,0),MATCH('DCF-Detailed'!AY$1,Python!$1:$1,0))</f>
        <v>#N/A</v>
      </c>
      <c r="AZ26" s="74" t="e">
        <f>-INDEX(Python!$1:$1048576,MATCH('DCF-Detailed'!$B26,Python!$A:$A,0),MATCH('DCF-Detailed'!AZ$1,Python!$1:$1,0))</f>
        <v>#N/A</v>
      </c>
      <c r="BA26" s="74" t="e">
        <f>-INDEX(Python!$1:$1048576,MATCH('DCF-Detailed'!$B26,Python!$A:$A,0),MATCH('DCF-Detailed'!BA$1,Python!$1:$1,0))</f>
        <v>#N/A</v>
      </c>
      <c r="BB26" s="74" t="e">
        <f>-INDEX(Python!$1:$1048576,MATCH('DCF-Detailed'!$B26,Python!$A:$A,0),MATCH('DCF-Detailed'!BB$1,Python!$1:$1,0))</f>
        <v>#N/A</v>
      </c>
      <c r="BC26" s="74" t="e">
        <f>-INDEX(Python!$1:$1048576,MATCH('DCF-Detailed'!$B26,Python!$A:$A,0),MATCH('DCF-Detailed'!BC$1,Python!$1:$1,0))</f>
        <v>#N/A</v>
      </c>
      <c r="BD26" s="74" t="e">
        <f>-INDEX(Python!$1:$1048576,MATCH('DCF-Detailed'!$B26,Python!$A:$A,0),MATCH('DCF-Detailed'!BD$1,Python!$1:$1,0))</f>
        <v>#N/A</v>
      </c>
      <c r="BE26" s="74" t="e">
        <f>-INDEX(Python!$1:$1048576,MATCH('DCF-Detailed'!$B26,Python!$A:$A,0),MATCH('DCF-Detailed'!BE$1,Python!$1:$1,0))</f>
        <v>#N/A</v>
      </c>
      <c r="BF26" s="74" t="e">
        <f>-INDEX(Python!$1:$1048576,MATCH('DCF-Detailed'!$B26,Python!$A:$A,0),MATCH('DCF-Detailed'!BF$1,Python!$1:$1,0))</f>
        <v>#N/A</v>
      </c>
      <c r="BG26" s="74" t="e">
        <f>-INDEX(Python!$1:$1048576,MATCH('DCF-Detailed'!$B26,Python!$A:$A,0),MATCH('DCF-Detailed'!BG$1,Python!$1:$1,0))</f>
        <v>#N/A</v>
      </c>
      <c r="BH26" s="74" t="e">
        <f>-INDEX(Python!$1:$1048576,MATCH('DCF-Detailed'!$B26,Python!$A:$A,0),MATCH('DCF-Detailed'!BH$1,Python!$1:$1,0))</f>
        <v>#N/A</v>
      </c>
      <c r="BI26" s="74" t="e">
        <f>-INDEX(Python!$1:$1048576,MATCH('DCF-Detailed'!$B26,Python!$A:$A,0),MATCH('DCF-Detailed'!BI$1,Python!$1:$1,0))</f>
        <v>#N/A</v>
      </c>
      <c r="BJ26" s="74" t="e">
        <f>-INDEX(Python!$1:$1048576,MATCH('DCF-Detailed'!$B26,Python!$A:$A,0),MATCH('DCF-Detailed'!BJ$1,Python!$1:$1,0))</f>
        <v>#N/A</v>
      </c>
      <c r="BK26" s="74" t="e">
        <f>-INDEX(Python!$1:$1048576,MATCH('DCF-Detailed'!$B26,Python!$A:$A,0),MATCH('DCF-Detailed'!BK$1,Python!$1:$1,0))</f>
        <v>#N/A</v>
      </c>
      <c r="BL26" s="74" t="e">
        <f>-INDEX(Python!$1:$1048576,MATCH('DCF-Detailed'!$B26,Python!$A:$A,0),MATCH('DCF-Detailed'!BL$1,Python!$1:$1,0))</f>
        <v>#N/A</v>
      </c>
      <c r="BM26" s="74" t="e">
        <f>-INDEX(Python!$1:$1048576,MATCH('DCF-Detailed'!$B26,Python!$A:$A,0),MATCH('DCF-Detailed'!BM$1,Python!$1:$1,0))</f>
        <v>#N/A</v>
      </c>
      <c r="BN26" s="74" t="e">
        <f>-INDEX(Python!$1:$1048576,MATCH('DCF-Detailed'!$B26,Python!$A:$A,0),MATCH('DCF-Detailed'!BN$1,Python!$1:$1,0))</f>
        <v>#N/A</v>
      </c>
      <c r="BO26" s="74" t="e">
        <f>-INDEX(Python!$1:$1048576,MATCH('DCF-Detailed'!$B26,Python!$A:$A,0),MATCH('DCF-Detailed'!BO$1,Python!$1:$1,0))</f>
        <v>#N/A</v>
      </c>
      <c r="BP26" s="74" t="e">
        <f>-INDEX(Python!$1:$1048576,MATCH('DCF-Detailed'!$B26,Python!$A:$A,0),MATCH('DCF-Detailed'!BP$1,Python!$1:$1,0))</f>
        <v>#N/A</v>
      </c>
      <c r="BQ26" s="74" t="e">
        <f>-INDEX(Python!$1:$1048576,MATCH('DCF-Detailed'!$B26,Python!$A:$A,0),MATCH('DCF-Detailed'!BQ$1,Python!$1:$1,0))</f>
        <v>#N/A</v>
      </c>
      <c r="BR26" s="74" t="e">
        <f>-INDEX(Python!$1:$1048576,MATCH('DCF-Detailed'!$B26,Python!$A:$A,0),MATCH('DCF-Detailed'!BR$1,Python!$1:$1,0))</f>
        <v>#N/A</v>
      </c>
      <c r="BS26" s="74" t="e">
        <f>-INDEX(Python!$1:$1048576,MATCH('DCF-Detailed'!$B26,Python!$A:$A,0),MATCH('DCF-Detailed'!BS$1,Python!$1:$1,0))</f>
        <v>#N/A</v>
      </c>
      <c r="BT26" s="74" t="e">
        <f>-INDEX(Python!$1:$1048576,MATCH('DCF-Detailed'!$B26,Python!$A:$A,0),MATCH('DCF-Detailed'!BT$1,Python!$1:$1,0))</f>
        <v>#N/A</v>
      </c>
      <c r="BU26" s="74" t="e">
        <f>-INDEX(Python!$1:$1048576,MATCH('DCF-Detailed'!$B26,Python!$A:$A,0),MATCH('DCF-Detailed'!BU$1,Python!$1:$1,0))</f>
        <v>#N/A</v>
      </c>
      <c r="BV26" s="74" t="e">
        <f>-INDEX(Python!$1:$1048576,MATCH('DCF-Detailed'!$B26,Python!$A:$A,0),MATCH('DCF-Detailed'!BV$1,Python!$1:$1,0))</f>
        <v>#N/A</v>
      </c>
      <c r="BW26" s="74" t="e">
        <f>-INDEX(Python!$1:$1048576,MATCH('DCF-Detailed'!$B26,Python!$A:$A,0),MATCH('DCF-Detailed'!BW$1,Python!$1:$1,0))</f>
        <v>#N/A</v>
      </c>
      <c r="BX26" s="75" t="e">
        <f>-INDEX(Python!$1:$1048576,MATCH('DCF-Detailed'!$B26,Python!$A:$A,0),MATCH('DCF-Detailed'!BX$1,Python!$1:$1,0))</f>
        <v>#N/A</v>
      </c>
    </row>
    <row r="27" spans="2:76" s="1" customFormat="1" x14ac:dyDescent="0.35">
      <c r="B27" s="33" t="s">
        <v>34</v>
      </c>
      <c r="D27" s="65" t="e">
        <f t="shared" ref="D27:F27" si="58">D26/D23</f>
        <v>#N/A</v>
      </c>
      <c r="E27" s="65" t="e">
        <f t="shared" si="58"/>
        <v>#N/A</v>
      </c>
      <c r="F27" s="65" t="e">
        <f t="shared" si="58"/>
        <v>#N/A</v>
      </c>
      <c r="G27" s="65" t="e">
        <f t="shared" ref="G27" si="59">G26/G23</f>
        <v>#N/A</v>
      </c>
      <c r="H27" s="65" t="e">
        <f t="shared" ref="H27:BS27" si="60">H26/H23</f>
        <v>#N/A</v>
      </c>
      <c r="I27" s="65" t="e">
        <f t="shared" si="60"/>
        <v>#N/A</v>
      </c>
      <c r="J27" s="65" t="e">
        <f t="shared" si="60"/>
        <v>#N/A</v>
      </c>
      <c r="K27" s="65" t="e">
        <f t="shared" si="60"/>
        <v>#N/A</v>
      </c>
      <c r="L27" s="65" t="e">
        <f t="shared" si="60"/>
        <v>#N/A</v>
      </c>
      <c r="M27" s="65" t="e">
        <f t="shared" si="60"/>
        <v>#N/A</v>
      </c>
      <c r="N27" s="65" t="e">
        <f t="shared" si="60"/>
        <v>#N/A</v>
      </c>
      <c r="O27" s="65" t="e">
        <f t="shared" si="60"/>
        <v>#N/A</v>
      </c>
      <c r="P27" s="65" t="e">
        <f t="shared" si="60"/>
        <v>#N/A</v>
      </c>
      <c r="Q27" s="65" t="e">
        <f t="shared" si="60"/>
        <v>#N/A</v>
      </c>
      <c r="R27" s="65" t="e">
        <f t="shared" si="60"/>
        <v>#N/A</v>
      </c>
      <c r="S27" s="65" t="e">
        <f t="shared" si="60"/>
        <v>#N/A</v>
      </c>
      <c r="T27" s="65" t="e">
        <f t="shared" si="60"/>
        <v>#N/A</v>
      </c>
      <c r="U27" s="65" t="e">
        <f t="shared" si="60"/>
        <v>#N/A</v>
      </c>
      <c r="V27" s="65" t="e">
        <f t="shared" si="60"/>
        <v>#N/A</v>
      </c>
      <c r="W27" s="65" t="e">
        <f t="shared" si="60"/>
        <v>#N/A</v>
      </c>
      <c r="X27" s="65" t="e">
        <f t="shared" si="60"/>
        <v>#N/A</v>
      </c>
      <c r="Y27" s="65" t="e">
        <f t="shared" si="60"/>
        <v>#N/A</v>
      </c>
      <c r="Z27" s="65" t="e">
        <f t="shared" si="60"/>
        <v>#N/A</v>
      </c>
      <c r="AA27" s="65" t="e">
        <f t="shared" si="60"/>
        <v>#N/A</v>
      </c>
      <c r="AB27" s="65" t="e">
        <f t="shared" si="60"/>
        <v>#N/A</v>
      </c>
      <c r="AC27" s="65" t="e">
        <f t="shared" si="60"/>
        <v>#N/A</v>
      </c>
      <c r="AD27" s="65" t="e">
        <f t="shared" si="60"/>
        <v>#N/A</v>
      </c>
      <c r="AE27" s="65" t="e">
        <f t="shared" si="60"/>
        <v>#N/A</v>
      </c>
      <c r="AF27" s="65" t="e">
        <f t="shared" si="60"/>
        <v>#N/A</v>
      </c>
      <c r="AG27" s="65" t="e">
        <f t="shared" si="60"/>
        <v>#N/A</v>
      </c>
      <c r="AH27" s="65" t="e">
        <f t="shared" si="60"/>
        <v>#N/A</v>
      </c>
      <c r="AI27" s="65" t="e">
        <f t="shared" si="60"/>
        <v>#N/A</v>
      </c>
      <c r="AJ27" s="65" t="e">
        <f t="shared" si="60"/>
        <v>#N/A</v>
      </c>
      <c r="AK27" s="65" t="e">
        <f t="shared" si="60"/>
        <v>#N/A</v>
      </c>
      <c r="AL27" s="65" t="e">
        <f t="shared" si="60"/>
        <v>#N/A</v>
      </c>
      <c r="AM27" s="65" t="e">
        <f t="shared" si="60"/>
        <v>#N/A</v>
      </c>
      <c r="AN27" s="65" t="e">
        <f t="shared" si="60"/>
        <v>#N/A</v>
      </c>
      <c r="AO27" s="65" t="e">
        <f t="shared" si="60"/>
        <v>#N/A</v>
      </c>
      <c r="AP27" s="65" t="e">
        <f t="shared" si="60"/>
        <v>#N/A</v>
      </c>
      <c r="AQ27" s="65" t="e">
        <f t="shared" si="60"/>
        <v>#N/A</v>
      </c>
      <c r="AR27" s="29" t="e">
        <f t="shared" si="60"/>
        <v>#N/A</v>
      </c>
      <c r="AS27" s="106" t="e">
        <f t="shared" si="60"/>
        <v>#N/A</v>
      </c>
      <c r="AT27" s="106" t="e">
        <f t="shared" si="60"/>
        <v>#N/A</v>
      </c>
      <c r="AU27" s="106" t="e">
        <f t="shared" si="60"/>
        <v>#N/A</v>
      </c>
      <c r="AV27" s="106" t="e">
        <f t="shared" si="60"/>
        <v>#N/A</v>
      </c>
      <c r="AW27" s="106" t="e">
        <f t="shared" si="60"/>
        <v>#N/A</v>
      </c>
      <c r="AX27" s="106" t="e">
        <f t="shared" si="60"/>
        <v>#N/A</v>
      </c>
      <c r="AY27" s="106" t="e">
        <f t="shared" si="60"/>
        <v>#N/A</v>
      </c>
      <c r="AZ27" s="106" t="e">
        <f t="shared" si="60"/>
        <v>#N/A</v>
      </c>
      <c r="BA27" s="106" t="e">
        <f t="shared" si="60"/>
        <v>#N/A</v>
      </c>
      <c r="BB27" s="106" t="e">
        <f t="shared" si="60"/>
        <v>#N/A</v>
      </c>
      <c r="BC27" s="106" t="e">
        <f t="shared" si="60"/>
        <v>#N/A</v>
      </c>
      <c r="BD27" s="106" t="e">
        <f t="shared" si="60"/>
        <v>#N/A</v>
      </c>
      <c r="BE27" s="106" t="e">
        <f t="shared" si="60"/>
        <v>#N/A</v>
      </c>
      <c r="BF27" s="106" t="e">
        <f t="shared" si="60"/>
        <v>#N/A</v>
      </c>
      <c r="BG27" s="106" t="e">
        <f t="shared" si="60"/>
        <v>#N/A</v>
      </c>
      <c r="BH27" s="106" t="e">
        <f t="shared" si="60"/>
        <v>#N/A</v>
      </c>
      <c r="BI27" s="106" t="e">
        <f t="shared" si="60"/>
        <v>#N/A</v>
      </c>
      <c r="BJ27" s="106" t="e">
        <f t="shared" si="60"/>
        <v>#N/A</v>
      </c>
      <c r="BK27" s="106" t="e">
        <f t="shared" si="60"/>
        <v>#N/A</v>
      </c>
      <c r="BL27" s="106" t="e">
        <f t="shared" si="60"/>
        <v>#N/A</v>
      </c>
      <c r="BM27" s="106" t="e">
        <f t="shared" si="60"/>
        <v>#N/A</v>
      </c>
      <c r="BN27" s="106" t="e">
        <f t="shared" si="60"/>
        <v>#N/A</v>
      </c>
      <c r="BO27" s="106" t="e">
        <f t="shared" si="60"/>
        <v>#N/A</v>
      </c>
      <c r="BP27" s="106" t="e">
        <f t="shared" si="60"/>
        <v>#N/A</v>
      </c>
      <c r="BQ27" s="106" t="e">
        <f t="shared" si="60"/>
        <v>#N/A</v>
      </c>
      <c r="BR27" s="106" t="e">
        <f t="shared" si="60"/>
        <v>#N/A</v>
      </c>
      <c r="BS27" s="106" t="e">
        <f t="shared" si="60"/>
        <v>#N/A</v>
      </c>
      <c r="BT27" s="106" t="e">
        <f t="shared" ref="BT27:BX27" si="61">BT26/BT23</f>
        <v>#N/A</v>
      </c>
      <c r="BU27" s="106" t="e">
        <f t="shared" si="61"/>
        <v>#N/A</v>
      </c>
      <c r="BV27" s="106" t="e">
        <f t="shared" si="61"/>
        <v>#N/A</v>
      </c>
      <c r="BW27" s="106" t="e">
        <f t="shared" si="61"/>
        <v>#N/A</v>
      </c>
      <c r="BX27" s="126" t="e">
        <f t="shared" si="61"/>
        <v>#N/A</v>
      </c>
    </row>
    <row r="28" spans="2:76" s="1" customFormat="1" ht="6.9" customHeight="1" x14ac:dyDescent="0.35">
      <c r="B28" s="10"/>
      <c r="AR28" s="30"/>
      <c r="BX28" s="79"/>
    </row>
    <row r="29" spans="2:76" s="1" customFormat="1" x14ac:dyDescent="0.35">
      <c r="B29" s="10" t="s">
        <v>55</v>
      </c>
      <c r="D29" s="76" t="e">
        <f>INDEX(Python!$1:$1048576,MATCH('DCF-Detailed'!$B29,Python!$A:$A,0),MATCH('DCF-Detailed'!D$1,Python!$1:$1,0))</f>
        <v>#N/A</v>
      </c>
      <c r="E29" s="76" t="e">
        <f>INDEX(Python!$1:$1048576,MATCH('DCF-Detailed'!$B29,Python!$A:$A,0),MATCH('DCF-Detailed'!E$1,Python!$1:$1,0))</f>
        <v>#N/A</v>
      </c>
      <c r="F29" s="76" t="e">
        <f>INDEX(Python!$1:$1048576,MATCH('DCF-Detailed'!$B29,Python!$A:$A,0),MATCH('DCF-Detailed'!F$1,Python!$1:$1,0))</f>
        <v>#N/A</v>
      </c>
      <c r="G29" s="76" t="e">
        <f>INDEX(Python!$1:$1048576,MATCH('DCF-Detailed'!$B29,Python!$A:$A,0),MATCH('DCF-Detailed'!G$1,Python!$1:$1,0))</f>
        <v>#N/A</v>
      </c>
      <c r="H29" s="76" t="e">
        <f>INDEX(Python!$1:$1048576,MATCH('DCF-Detailed'!$B29,Python!$A:$A,0),MATCH('DCF-Detailed'!H$1,Python!$1:$1,0))</f>
        <v>#N/A</v>
      </c>
      <c r="I29" s="76" t="e">
        <f>INDEX(Python!$1:$1048576,MATCH('DCF-Detailed'!$B29,Python!$A:$A,0),MATCH('DCF-Detailed'!I$1,Python!$1:$1,0))</f>
        <v>#N/A</v>
      </c>
      <c r="J29" s="76" t="e">
        <f>INDEX(Python!$1:$1048576,MATCH('DCF-Detailed'!$B29,Python!$A:$A,0),MATCH('DCF-Detailed'!J$1,Python!$1:$1,0))</f>
        <v>#N/A</v>
      </c>
      <c r="K29" s="76" t="e">
        <f>INDEX(Python!$1:$1048576,MATCH('DCF-Detailed'!$B29,Python!$A:$A,0),MATCH('DCF-Detailed'!K$1,Python!$1:$1,0))</f>
        <v>#N/A</v>
      </c>
      <c r="L29" s="76" t="e">
        <f>INDEX(Python!$1:$1048576,MATCH('DCF-Detailed'!$B29,Python!$A:$A,0),MATCH('DCF-Detailed'!L$1,Python!$1:$1,0))</f>
        <v>#N/A</v>
      </c>
      <c r="M29" s="76" t="e">
        <f>INDEX(Python!$1:$1048576,MATCH('DCF-Detailed'!$B29,Python!$A:$A,0),MATCH('DCF-Detailed'!M$1,Python!$1:$1,0))</f>
        <v>#N/A</v>
      </c>
      <c r="N29" s="76" t="e">
        <f>INDEX(Python!$1:$1048576,MATCH('DCF-Detailed'!$B29,Python!$A:$A,0),MATCH('DCF-Detailed'!N$1,Python!$1:$1,0))</f>
        <v>#N/A</v>
      </c>
      <c r="O29" s="76" t="e">
        <f>INDEX(Python!$1:$1048576,MATCH('DCF-Detailed'!$B29,Python!$A:$A,0),MATCH('DCF-Detailed'!O$1,Python!$1:$1,0))</f>
        <v>#N/A</v>
      </c>
      <c r="P29" s="76" t="e">
        <f>INDEX(Python!$1:$1048576,MATCH('DCF-Detailed'!$B29,Python!$A:$A,0),MATCH('DCF-Detailed'!P$1,Python!$1:$1,0))</f>
        <v>#N/A</v>
      </c>
      <c r="Q29" s="76" t="e">
        <f>INDEX(Python!$1:$1048576,MATCH('DCF-Detailed'!$B29,Python!$A:$A,0),MATCH('DCF-Detailed'!Q$1,Python!$1:$1,0))</f>
        <v>#N/A</v>
      </c>
      <c r="R29" s="76" t="e">
        <f>INDEX(Python!$1:$1048576,MATCH('DCF-Detailed'!$B29,Python!$A:$A,0),MATCH('DCF-Detailed'!R$1,Python!$1:$1,0))</f>
        <v>#N/A</v>
      </c>
      <c r="S29" s="76" t="e">
        <f>INDEX(Python!$1:$1048576,MATCH('DCF-Detailed'!$B29,Python!$A:$A,0),MATCH('DCF-Detailed'!S$1,Python!$1:$1,0))</f>
        <v>#N/A</v>
      </c>
      <c r="T29" s="76" t="e">
        <f>INDEX(Python!$1:$1048576,MATCH('DCF-Detailed'!$B29,Python!$A:$A,0),MATCH('DCF-Detailed'!T$1,Python!$1:$1,0))</f>
        <v>#N/A</v>
      </c>
      <c r="U29" s="76" t="e">
        <f>INDEX(Python!$1:$1048576,MATCH('DCF-Detailed'!$B29,Python!$A:$A,0),MATCH('DCF-Detailed'!U$1,Python!$1:$1,0))</f>
        <v>#N/A</v>
      </c>
      <c r="V29" s="76" t="e">
        <f>INDEX(Python!$1:$1048576,MATCH('DCF-Detailed'!$B29,Python!$A:$A,0),MATCH('DCF-Detailed'!V$1,Python!$1:$1,0))</f>
        <v>#N/A</v>
      </c>
      <c r="W29" s="76" t="e">
        <f>INDEX(Python!$1:$1048576,MATCH('DCF-Detailed'!$B29,Python!$A:$A,0),MATCH('DCF-Detailed'!W$1,Python!$1:$1,0))</f>
        <v>#N/A</v>
      </c>
      <c r="X29" s="76" t="e">
        <f>INDEX(Python!$1:$1048576,MATCH('DCF-Detailed'!$B29,Python!$A:$A,0),MATCH('DCF-Detailed'!X$1,Python!$1:$1,0))</f>
        <v>#N/A</v>
      </c>
      <c r="Y29" s="76" t="e">
        <f>INDEX(Python!$1:$1048576,MATCH('DCF-Detailed'!$B29,Python!$A:$A,0),MATCH('DCF-Detailed'!Y$1,Python!$1:$1,0))</f>
        <v>#N/A</v>
      </c>
      <c r="Z29" s="76" t="e">
        <f>INDEX(Python!$1:$1048576,MATCH('DCF-Detailed'!$B29,Python!$A:$A,0),MATCH('DCF-Detailed'!Z$1,Python!$1:$1,0))</f>
        <v>#N/A</v>
      </c>
      <c r="AA29" s="76" t="e">
        <f>INDEX(Python!$1:$1048576,MATCH('DCF-Detailed'!$B29,Python!$A:$A,0),MATCH('DCF-Detailed'!AA$1,Python!$1:$1,0))</f>
        <v>#N/A</v>
      </c>
      <c r="AB29" s="76" t="e">
        <f>INDEX(Python!$1:$1048576,MATCH('DCF-Detailed'!$B29,Python!$A:$A,0),MATCH('DCF-Detailed'!AB$1,Python!$1:$1,0))</f>
        <v>#N/A</v>
      </c>
      <c r="AC29" s="76" t="e">
        <f>INDEX(Python!$1:$1048576,MATCH('DCF-Detailed'!$B29,Python!$A:$A,0),MATCH('DCF-Detailed'!AC$1,Python!$1:$1,0))</f>
        <v>#N/A</v>
      </c>
      <c r="AD29" s="76" t="e">
        <f>INDEX(Python!$1:$1048576,MATCH('DCF-Detailed'!$B29,Python!$A:$A,0),MATCH('DCF-Detailed'!AD$1,Python!$1:$1,0))</f>
        <v>#N/A</v>
      </c>
      <c r="AE29" s="76" t="e">
        <f>INDEX(Python!$1:$1048576,MATCH('DCF-Detailed'!$B29,Python!$A:$A,0),MATCH('DCF-Detailed'!AE$1,Python!$1:$1,0))</f>
        <v>#N/A</v>
      </c>
      <c r="AF29" s="76" t="e">
        <f>INDEX(Python!$1:$1048576,MATCH('DCF-Detailed'!$B29,Python!$A:$A,0),MATCH('DCF-Detailed'!AF$1,Python!$1:$1,0))</f>
        <v>#N/A</v>
      </c>
      <c r="AG29" s="76" t="e">
        <f>INDEX(Python!$1:$1048576,MATCH('DCF-Detailed'!$B29,Python!$A:$A,0),MATCH('DCF-Detailed'!AG$1,Python!$1:$1,0))</f>
        <v>#N/A</v>
      </c>
      <c r="AH29" s="76" t="e">
        <f>INDEX(Python!$1:$1048576,MATCH('DCF-Detailed'!$B29,Python!$A:$A,0),MATCH('DCF-Detailed'!AH$1,Python!$1:$1,0))</f>
        <v>#N/A</v>
      </c>
      <c r="AI29" s="76" t="e">
        <f>INDEX(Python!$1:$1048576,MATCH('DCF-Detailed'!$B29,Python!$A:$A,0),MATCH('DCF-Detailed'!AI$1,Python!$1:$1,0))</f>
        <v>#N/A</v>
      </c>
      <c r="AJ29" s="76" t="e">
        <f>INDEX(Python!$1:$1048576,MATCH('DCF-Detailed'!$B29,Python!$A:$A,0),MATCH('DCF-Detailed'!AJ$1,Python!$1:$1,0))</f>
        <v>#N/A</v>
      </c>
      <c r="AK29" s="76" t="e">
        <f>INDEX(Python!$1:$1048576,MATCH('DCF-Detailed'!$B29,Python!$A:$A,0),MATCH('DCF-Detailed'!AK$1,Python!$1:$1,0))</f>
        <v>#N/A</v>
      </c>
      <c r="AL29" s="76" t="e">
        <f>INDEX(Python!$1:$1048576,MATCH('DCF-Detailed'!$B29,Python!$A:$A,0),MATCH('DCF-Detailed'!AL$1,Python!$1:$1,0))</f>
        <v>#N/A</v>
      </c>
      <c r="AM29" s="76" t="e">
        <f>INDEX(Python!$1:$1048576,MATCH('DCF-Detailed'!$B29,Python!$A:$A,0),MATCH('DCF-Detailed'!AM$1,Python!$1:$1,0))</f>
        <v>#N/A</v>
      </c>
      <c r="AN29" s="76" t="e">
        <f>INDEX(Python!$1:$1048576,MATCH('DCF-Detailed'!$B29,Python!$A:$A,0),MATCH('DCF-Detailed'!AN$1,Python!$1:$1,0))</f>
        <v>#N/A</v>
      </c>
      <c r="AO29" s="76" t="e">
        <f>INDEX(Python!$1:$1048576,MATCH('DCF-Detailed'!$B29,Python!$A:$A,0),MATCH('DCF-Detailed'!AO$1,Python!$1:$1,0))</f>
        <v>#N/A</v>
      </c>
      <c r="AP29" s="76" t="e">
        <f>INDEX(Python!$1:$1048576,MATCH('DCF-Detailed'!$B29,Python!$A:$A,0),MATCH('DCF-Detailed'!AP$1,Python!$1:$1,0))</f>
        <v>#N/A</v>
      </c>
      <c r="AQ29" s="76" t="e">
        <f>INDEX(Python!$1:$1048576,MATCH('DCF-Detailed'!$B29,Python!$A:$A,0),MATCH('DCF-Detailed'!AQ$1,Python!$1:$1,0))</f>
        <v>#N/A</v>
      </c>
      <c r="AR29" s="27" t="e">
        <f>INDEX(Python!$1:$1048576,MATCH('DCF-Detailed'!$B29,Python!$A:$A,0),MATCH('DCF-Detailed'!AR$1,Python!$1:$1,0))</f>
        <v>#N/A</v>
      </c>
      <c r="AS29" s="74" t="e">
        <f>INDEX(Python!$1:$1048576,MATCH('DCF-Detailed'!$B29,Python!$A:$A,0),MATCH('DCF-Detailed'!AS$1,Python!$1:$1,0))</f>
        <v>#N/A</v>
      </c>
      <c r="AT29" s="74" t="e">
        <f>INDEX(Python!$1:$1048576,MATCH('DCF-Detailed'!$B29,Python!$A:$A,0),MATCH('DCF-Detailed'!AT$1,Python!$1:$1,0))</f>
        <v>#N/A</v>
      </c>
      <c r="AU29" s="74" t="e">
        <f>INDEX(Python!$1:$1048576,MATCH('DCF-Detailed'!$B29,Python!$A:$A,0),MATCH('DCF-Detailed'!AU$1,Python!$1:$1,0))</f>
        <v>#N/A</v>
      </c>
      <c r="AV29" s="74" t="e">
        <f>INDEX(Python!$1:$1048576,MATCH('DCF-Detailed'!$B29,Python!$A:$A,0),MATCH('DCF-Detailed'!AV$1,Python!$1:$1,0))</f>
        <v>#N/A</v>
      </c>
      <c r="AW29" s="74" t="e">
        <f>INDEX(Python!$1:$1048576,MATCH('DCF-Detailed'!$B29,Python!$A:$A,0),MATCH('DCF-Detailed'!AW$1,Python!$1:$1,0))</f>
        <v>#N/A</v>
      </c>
      <c r="AX29" s="74" t="e">
        <f>INDEX(Python!$1:$1048576,MATCH('DCF-Detailed'!$B29,Python!$A:$A,0),MATCH('DCF-Detailed'!AX$1,Python!$1:$1,0))</f>
        <v>#N/A</v>
      </c>
      <c r="AY29" s="74" t="e">
        <f>INDEX(Python!$1:$1048576,MATCH('DCF-Detailed'!$B29,Python!$A:$A,0),MATCH('DCF-Detailed'!AY$1,Python!$1:$1,0))</f>
        <v>#N/A</v>
      </c>
      <c r="AZ29" s="74" t="e">
        <f>INDEX(Python!$1:$1048576,MATCH('DCF-Detailed'!$B29,Python!$A:$A,0),MATCH('DCF-Detailed'!AZ$1,Python!$1:$1,0))</f>
        <v>#N/A</v>
      </c>
      <c r="BA29" s="74" t="e">
        <f>INDEX(Python!$1:$1048576,MATCH('DCF-Detailed'!$B29,Python!$A:$A,0),MATCH('DCF-Detailed'!BA$1,Python!$1:$1,0))</f>
        <v>#N/A</v>
      </c>
      <c r="BB29" s="74" t="e">
        <f>INDEX(Python!$1:$1048576,MATCH('DCF-Detailed'!$B29,Python!$A:$A,0),MATCH('DCF-Detailed'!BB$1,Python!$1:$1,0))</f>
        <v>#N/A</v>
      </c>
      <c r="BC29" s="74" t="e">
        <f>INDEX(Python!$1:$1048576,MATCH('DCF-Detailed'!$B29,Python!$A:$A,0),MATCH('DCF-Detailed'!BC$1,Python!$1:$1,0))</f>
        <v>#N/A</v>
      </c>
      <c r="BD29" s="74" t="e">
        <f>INDEX(Python!$1:$1048576,MATCH('DCF-Detailed'!$B29,Python!$A:$A,0),MATCH('DCF-Detailed'!BD$1,Python!$1:$1,0))</f>
        <v>#N/A</v>
      </c>
      <c r="BE29" s="74" t="e">
        <f>INDEX(Python!$1:$1048576,MATCH('DCF-Detailed'!$B29,Python!$A:$A,0),MATCH('DCF-Detailed'!BE$1,Python!$1:$1,0))</f>
        <v>#N/A</v>
      </c>
      <c r="BF29" s="74" t="e">
        <f>INDEX(Python!$1:$1048576,MATCH('DCF-Detailed'!$B29,Python!$A:$A,0),MATCH('DCF-Detailed'!BF$1,Python!$1:$1,0))</f>
        <v>#N/A</v>
      </c>
      <c r="BG29" s="74" t="e">
        <f>INDEX(Python!$1:$1048576,MATCH('DCF-Detailed'!$B29,Python!$A:$A,0),MATCH('DCF-Detailed'!BG$1,Python!$1:$1,0))</f>
        <v>#N/A</v>
      </c>
      <c r="BH29" s="74" t="e">
        <f>INDEX(Python!$1:$1048576,MATCH('DCF-Detailed'!$B29,Python!$A:$A,0),MATCH('DCF-Detailed'!BH$1,Python!$1:$1,0))</f>
        <v>#N/A</v>
      </c>
      <c r="BI29" s="74" t="e">
        <f>INDEX(Python!$1:$1048576,MATCH('DCF-Detailed'!$B29,Python!$A:$A,0),MATCH('DCF-Detailed'!BI$1,Python!$1:$1,0))</f>
        <v>#N/A</v>
      </c>
      <c r="BJ29" s="74" t="e">
        <f>INDEX(Python!$1:$1048576,MATCH('DCF-Detailed'!$B29,Python!$A:$A,0),MATCH('DCF-Detailed'!BJ$1,Python!$1:$1,0))</f>
        <v>#N/A</v>
      </c>
      <c r="BK29" s="74" t="e">
        <f>INDEX(Python!$1:$1048576,MATCH('DCF-Detailed'!$B29,Python!$A:$A,0),MATCH('DCF-Detailed'!BK$1,Python!$1:$1,0))</f>
        <v>#N/A</v>
      </c>
      <c r="BL29" s="74" t="e">
        <f>INDEX(Python!$1:$1048576,MATCH('DCF-Detailed'!$B29,Python!$A:$A,0),MATCH('DCF-Detailed'!BL$1,Python!$1:$1,0))</f>
        <v>#N/A</v>
      </c>
      <c r="BM29" s="74" t="e">
        <f>INDEX(Python!$1:$1048576,MATCH('DCF-Detailed'!$B29,Python!$A:$A,0),MATCH('DCF-Detailed'!BM$1,Python!$1:$1,0))</f>
        <v>#N/A</v>
      </c>
      <c r="BN29" s="74" t="e">
        <f>INDEX(Python!$1:$1048576,MATCH('DCF-Detailed'!$B29,Python!$A:$A,0),MATCH('DCF-Detailed'!BN$1,Python!$1:$1,0))</f>
        <v>#N/A</v>
      </c>
      <c r="BO29" s="74" t="e">
        <f>INDEX(Python!$1:$1048576,MATCH('DCF-Detailed'!$B29,Python!$A:$A,0),MATCH('DCF-Detailed'!BO$1,Python!$1:$1,0))</f>
        <v>#N/A</v>
      </c>
      <c r="BP29" s="74" t="e">
        <f>INDEX(Python!$1:$1048576,MATCH('DCF-Detailed'!$B29,Python!$A:$A,0),MATCH('DCF-Detailed'!BP$1,Python!$1:$1,0))</f>
        <v>#N/A</v>
      </c>
      <c r="BQ29" s="74" t="e">
        <f>INDEX(Python!$1:$1048576,MATCH('DCF-Detailed'!$B29,Python!$A:$A,0),MATCH('DCF-Detailed'!BQ$1,Python!$1:$1,0))</f>
        <v>#N/A</v>
      </c>
      <c r="BR29" s="74" t="e">
        <f>INDEX(Python!$1:$1048576,MATCH('DCF-Detailed'!$B29,Python!$A:$A,0),MATCH('DCF-Detailed'!BR$1,Python!$1:$1,0))</f>
        <v>#N/A</v>
      </c>
      <c r="BS29" s="74" t="e">
        <f>INDEX(Python!$1:$1048576,MATCH('DCF-Detailed'!$B29,Python!$A:$A,0),MATCH('DCF-Detailed'!BS$1,Python!$1:$1,0))</f>
        <v>#N/A</v>
      </c>
      <c r="BT29" s="74" t="e">
        <f>INDEX(Python!$1:$1048576,MATCH('DCF-Detailed'!$B29,Python!$A:$A,0),MATCH('DCF-Detailed'!BT$1,Python!$1:$1,0))</f>
        <v>#N/A</v>
      </c>
      <c r="BU29" s="74" t="e">
        <f>INDEX(Python!$1:$1048576,MATCH('DCF-Detailed'!$B29,Python!$A:$A,0),MATCH('DCF-Detailed'!BU$1,Python!$1:$1,0))</f>
        <v>#N/A</v>
      </c>
      <c r="BV29" s="74" t="e">
        <f>INDEX(Python!$1:$1048576,MATCH('DCF-Detailed'!$B29,Python!$A:$A,0),MATCH('DCF-Detailed'!BV$1,Python!$1:$1,0))</f>
        <v>#N/A</v>
      </c>
      <c r="BW29" s="74" t="e">
        <f>INDEX(Python!$1:$1048576,MATCH('DCF-Detailed'!$B29,Python!$A:$A,0),MATCH('DCF-Detailed'!BW$1,Python!$1:$1,0))</f>
        <v>#N/A</v>
      </c>
      <c r="BX29" s="75" t="e">
        <f>INDEX(Python!$1:$1048576,MATCH('DCF-Detailed'!$B29,Python!$A:$A,0),MATCH('DCF-Detailed'!BX$1,Python!$1:$1,0))</f>
        <v>#N/A</v>
      </c>
    </row>
    <row r="30" spans="2:76" s="1" customFormat="1" x14ac:dyDescent="0.35">
      <c r="B30" s="33" t="s">
        <v>35</v>
      </c>
      <c r="D30" s="68" t="e">
        <f t="shared" ref="D30:F30" si="62">D29/D$8</f>
        <v>#N/A</v>
      </c>
      <c r="E30" s="68" t="e">
        <f t="shared" si="62"/>
        <v>#N/A</v>
      </c>
      <c r="F30" s="68" t="e">
        <f t="shared" si="62"/>
        <v>#N/A</v>
      </c>
      <c r="G30" s="68" t="e">
        <f>G29/G$8</f>
        <v>#N/A</v>
      </c>
      <c r="H30" s="68" t="e">
        <f t="shared" ref="H30:BS30" si="63">H29/H$8</f>
        <v>#N/A</v>
      </c>
      <c r="I30" s="68" t="e">
        <f t="shared" si="63"/>
        <v>#N/A</v>
      </c>
      <c r="J30" s="68" t="e">
        <f t="shared" si="63"/>
        <v>#N/A</v>
      </c>
      <c r="K30" s="68" t="e">
        <f t="shared" si="63"/>
        <v>#N/A</v>
      </c>
      <c r="L30" s="68" t="e">
        <f t="shared" si="63"/>
        <v>#N/A</v>
      </c>
      <c r="M30" s="68" t="e">
        <f t="shared" si="63"/>
        <v>#N/A</v>
      </c>
      <c r="N30" s="68" t="e">
        <f t="shared" si="63"/>
        <v>#N/A</v>
      </c>
      <c r="O30" s="68" t="e">
        <f t="shared" si="63"/>
        <v>#N/A</v>
      </c>
      <c r="P30" s="68" t="e">
        <f t="shared" si="63"/>
        <v>#N/A</v>
      </c>
      <c r="Q30" s="68" t="e">
        <f t="shared" si="63"/>
        <v>#N/A</v>
      </c>
      <c r="R30" s="68" t="e">
        <f t="shared" si="63"/>
        <v>#N/A</v>
      </c>
      <c r="S30" s="68" t="e">
        <f t="shared" si="63"/>
        <v>#N/A</v>
      </c>
      <c r="T30" s="68" t="e">
        <f t="shared" si="63"/>
        <v>#N/A</v>
      </c>
      <c r="U30" s="68" t="e">
        <f t="shared" si="63"/>
        <v>#N/A</v>
      </c>
      <c r="V30" s="68" t="e">
        <f t="shared" si="63"/>
        <v>#N/A</v>
      </c>
      <c r="W30" s="68" t="e">
        <f t="shared" si="63"/>
        <v>#N/A</v>
      </c>
      <c r="X30" s="68" t="e">
        <f t="shared" si="63"/>
        <v>#N/A</v>
      </c>
      <c r="Y30" s="68" t="e">
        <f t="shared" si="63"/>
        <v>#N/A</v>
      </c>
      <c r="Z30" s="68" t="e">
        <f t="shared" si="63"/>
        <v>#N/A</v>
      </c>
      <c r="AA30" s="68" t="e">
        <f t="shared" si="63"/>
        <v>#N/A</v>
      </c>
      <c r="AB30" s="68" t="e">
        <f t="shared" si="63"/>
        <v>#N/A</v>
      </c>
      <c r="AC30" s="68" t="e">
        <f t="shared" si="63"/>
        <v>#N/A</v>
      </c>
      <c r="AD30" s="68" t="e">
        <f t="shared" si="63"/>
        <v>#N/A</v>
      </c>
      <c r="AE30" s="68" t="e">
        <f t="shared" si="63"/>
        <v>#N/A</v>
      </c>
      <c r="AF30" s="68" t="e">
        <f t="shared" si="63"/>
        <v>#N/A</v>
      </c>
      <c r="AG30" s="68" t="e">
        <f t="shared" si="63"/>
        <v>#N/A</v>
      </c>
      <c r="AH30" s="68" t="e">
        <f t="shared" si="63"/>
        <v>#N/A</v>
      </c>
      <c r="AI30" s="68" t="e">
        <f t="shared" si="63"/>
        <v>#N/A</v>
      </c>
      <c r="AJ30" s="68" t="e">
        <f t="shared" si="63"/>
        <v>#N/A</v>
      </c>
      <c r="AK30" s="68" t="e">
        <f t="shared" si="63"/>
        <v>#N/A</v>
      </c>
      <c r="AL30" s="68" t="e">
        <f t="shared" si="63"/>
        <v>#N/A</v>
      </c>
      <c r="AM30" s="68" t="e">
        <f t="shared" si="63"/>
        <v>#N/A</v>
      </c>
      <c r="AN30" s="68" t="e">
        <f t="shared" si="63"/>
        <v>#N/A</v>
      </c>
      <c r="AO30" s="68" t="e">
        <f t="shared" si="63"/>
        <v>#N/A</v>
      </c>
      <c r="AP30" s="68" t="e">
        <f t="shared" si="63"/>
        <v>#N/A</v>
      </c>
      <c r="AQ30" s="68" t="e">
        <f t="shared" si="63"/>
        <v>#N/A</v>
      </c>
      <c r="AR30" s="28" t="e">
        <f t="shared" si="63"/>
        <v>#N/A</v>
      </c>
      <c r="AS30" s="96" t="e">
        <f t="shared" si="63"/>
        <v>#N/A</v>
      </c>
      <c r="AT30" s="69" t="e">
        <f t="shared" si="63"/>
        <v>#N/A</v>
      </c>
      <c r="AU30" s="69" t="e">
        <f t="shared" si="63"/>
        <v>#N/A</v>
      </c>
      <c r="AV30" s="69" t="e">
        <f t="shared" si="63"/>
        <v>#N/A</v>
      </c>
      <c r="AW30" s="69" t="e">
        <f t="shared" si="63"/>
        <v>#N/A</v>
      </c>
      <c r="AX30" s="69" t="e">
        <f t="shared" si="63"/>
        <v>#N/A</v>
      </c>
      <c r="AY30" s="69" t="e">
        <f t="shared" si="63"/>
        <v>#N/A</v>
      </c>
      <c r="AZ30" s="69" t="e">
        <f t="shared" si="63"/>
        <v>#N/A</v>
      </c>
      <c r="BA30" s="69" t="e">
        <f t="shared" si="63"/>
        <v>#N/A</v>
      </c>
      <c r="BB30" s="69" t="e">
        <f t="shared" si="63"/>
        <v>#N/A</v>
      </c>
      <c r="BC30" s="69" t="e">
        <f t="shared" si="63"/>
        <v>#N/A</v>
      </c>
      <c r="BD30" s="69" t="e">
        <f t="shared" si="63"/>
        <v>#N/A</v>
      </c>
      <c r="BE30" s="69" t="e">
        <f t="shared" si="63"/>
        <v>#N/A</v>
      </c>
      <c r="BF30" s="69" t="e">
        <f t="shared" si="63"/>
        <v>#N/A</v>
      </c>
      <c r="BG30" s="69" t="e">
        <f t="shared" si="63"/>
        <v>#N/A</v>
      </c>
      <c r="BH30" s="69" t="e">
        <f t="shared" si="63"/>
        <v>#N/A</v>
      </c>
      <c r="BI30" s="69" t="e">
        <f t="shared" si="63"/>
        <v>#N/A</v>
      </c>
      <c r="BJ30" s="69" t="e">
        <f t="shared" si="63"/>
        <v>#N/A</v>
      </c>
      <c r="BK30" s="69" t="e">
        <f t="shared" si="63"/>
        <v>#N/A</v>
      </c>
      <c r="BL30" s="69" t="e">
        <f t="shared" si="63"/>
        <v>#N/A</v>
      </c>
      <c r="BM30" s="69" t="e">
        <f t="shared" si="63"/>
        <v>#N/A</v>
      </c>
      <c r="BN30" s="69" t="e">
        <f t="shared" si="63"/>
        <v>#N/A</v>
      </c>
      <c r="BO30" s="69" t="e">
        <f t="shared" si="63"/>
        <v>#N/A</v>
      </c>
      <c r="BP30" s="69" t="e">
        <f t="shared" si="63"/>
        <v>#N/A</v>
      </c>
      <c r="BQ30" s="69" t="e">
        <f t="shared" si="63"/>
        <v>#N/A</v>
      </c>
      <c r="BR30" s="69" t="e">
        <f t="shared" si="63"/>
        <v>#N/A</v>
      </c>
      <c r="BS30" s="69" t="e">
        <f t="shared" si="63"/>
        <v>#N/A</v>
      </c>
      <c r="BT30" s="69" t="e">
        <f t="shared" ref="BT30:BX30" si="64">BT29/BT$8</f>
        <v>#N/A</v>
      </c>
      <c r="BU30" s="69" t="e">
        <f t="shared" si="64"/>
        <v>#N/A</v>
      </c>
      <c r="BV30" s="69" t="e">
        <f t="shared" si="64"/>
        <v>#N/A</v>
      </c>
      <c r="BW30" s="69" t="e">
        <f t="shared" si="64"/>
        <v>#N/A</v>
      </c>
      <c r="BX30" s="70" t="e">
        <f t="shared" si="64"/>
        <v>#N/A</v>
      </c>
    </row>
    <row r="31" spans="2:76" s="1" customFormat="1" ht="6.9" customHeight="1" x14ac:dyDescent="0.35">
      <c r="B31" s="11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28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2"/>
    </row>
    <row r="32" spans="2:76" s="1" customFormat="1" x14ac:dyDescent="0.35">
      <c r="B32" s="10" t="s">
        <v>168</v>
      </c>
      <c r="D32" s="73" t="e">
        <f>INDEX(Python!$1:$1048576,MATCH('DCF-Detailed'!$B32,Python!$A:$A,0),MATCH('DCF-Detailed'!D$1,Python!$1:$1,0))</f>
        <v>#N/A</v>
      </c>
      <c r="E32" s="73" t="e">
        <f>INDEX(Python!$1:$1048576,MATCH('DCF-Detailed'!$B32,Python!$A:$A,0),MATCH('DCF-Detailed'!E$1,Python!$1:$1,0))</f>
        <v>#N/A</v>
      </c>
      <c r="F32" s="73" t="e">
        <f>INDEX(Python!$1:$1048576,MATCH('DCF-Detailed'!$B32,Python!$A:$A,0),MATCH('DCF-Detailed'!F$1,Python!$1:$1,0))</f>
        <v>#N/A</v>
      </c>
      <c r="G32" s="73" t="e">
        <f>INDEX(Python!$1:$1048576,MATCH('DCF-Detailed'!$B32,Python!$A:$A,0),MATCH('DCF-Detailed'!G$1,Python!$1:$1,0))</f>
        <v>#N/A</v>
      </c>
      <c r="H32" s="73" t="e">
        <f>INDEX(Python!$1:$1048576,MATCH('DCF-Detailed'!$B32,Python!$A:$A,0),MATCH('DCF-Detailed'!H$1,Python!$1:$1,0))</f>
        <v>#N/A</v>
      </c>
      <c r="I32" s="73" t="e">
        <f>INDEX(Python!$1:$1048576,MATCH('DCF-Detailed'!$B32,Python!$A:$A,0),MATCH('DCF-Detailed'!I$1,Python!$1:$1,0))</f>
        <v>#N/A</v>
      </c>
      <c r="J32" s="73" t="e">
        <f>INDEX(Python!$1:$1048576,MATCH('DCF-Detailed'!$B32,Python!$A:$A,0),MATCH('DCF-Detailed'!J$1,Python!$1:$1,0))</f>
        <v>#N/A</v>
      </c>
      <c r="K32" s="73" t="e">
        <f>INDEX(Python!$1:$1048576,MATCH('DCF-Detailed'!$B32,Python!$A:$A,0),MATCH('DCF-Detailed'!K$1,Python!$1:$1,0))</f>
        <v>#N/A</v>
      </c>
      <c r="L32" s="73" t="e">
        <f>INDEX(Python!$1:$1048576,MATCH('DCF-Detailed'!$B32,Python!$A:$A,0),MATCH('DCF-Detailed'!L$1,Python!$1:$1,0))</f>
        <v>#N/A</v>
      </c>
      <c r="M32" s="73" t="e">
        <f>INDEX(Python!$1:$1048576,MATCH('DCF-Detailed'!$B32,Python!$A:$A,0),MATCH('DCF-Detailed'!M$1,Python!$1:$1,0))</f>
        <v>#N/A</v>
      </c>
      <c r="N32" s="73" t="e">
        <f>INDEX(Python!$1:$1048576,MATCH('DCF-Detailed'!$B32,Python!$A:$A,0),MATCH('DCF-Detailed'!N$1,Python!$1:$1,0))</f>
        <v>#N/A</v>
      </c>
      <c r="O32" s="73" t="e">
        <f>INDEX(Python!$1:$1048576,MATCH('DCF-Detailed'!$B32,Python!$A:$A,0),MATCH('DCF-Detailed'!O$1,Python!$1:$1,0))</f>
        <v>#N/A</v>
      </c>
      <c r="P32" s="73" t="e">
        <f>INDEX(Python!$1:$1048576,MATCH('DCF-Detailed'!$B32,Python!$A:$A,0),MATCH('DCF-Detailed'!P$1,Python!$1:$1,0))</f>
        <v>#N/A</v>
      </c>
      <c r="Q32" s="73" t="e">
        <f>INDEX(Python!$1:$1048576,MATCH('DCF-Detailed'!$B32,Python!$A:$A,0),MATCH('DCF-Detailed'!Q$1,Python!$1:$1,0))</f>
        <v>#N/A</v>
      </c>
      <c r="R32" s="73" t="e">
        <f>INDEX(Python!$1:$1048576,MATCH('DCF-Detailed'!$B32,Python!$A:$A,0),MATCH('DCF-Detailed'!R$1,Python!$1:$1,0))</f>
        <v>#N/A</v>
      </c>
      <c r="S32" s="73" t="e">
        <f>INDEX(Python!$1:$1048576,MATCH('DCF-Detailed'!$B32,Python!$A:$A,0),MATCH('DCF-Detailed'!S$1,Python!$1:$1,0))</f>
        <v>#N/A</v>
      </c>
      <c r="T32" s="73" t="e">
        <f>INDEX(Python!$1:$1048576,MATCH('DCF-Detailed'!$B32,Python!$A:$A,0),MATCH('DCF-Detailed'!T$1,Python!$1:$1,0))</f>
        <v>#N/A</v>
      </c>
      <c r="U32" s="73" t="e">
        <f>INDEX(Python!$1:$1048576,MATCH('DCF-Detailed'!$B32,Python!$A:$A,0),MATCH('DCF-Detailed'!U$1,Python!$1:$1,0))</f>
        <v>#N/A</v>
      </c>
      <c r="V32" s="73" t="e">
        <f>INDEX(Python!$1:$1048576,MATCH('DCF-Detailed'!$B32,Python!$A:$A,0),MATCH('DCF-Detailed'!V$1,Python!$1:$1,0))</f>
        <v>#N/A</v>
      </c>
      <c r="W32" s="73" t="e">
        <f>INDEX(Python!$1:$1048576,MATCH('DCF-Detailed'!$B32,Python!$A:$A,0),MATCH('DCF-Detailed'!W$1,Python!$1:$1,0))</f>
        <v>#N/A</v>
      </c>
      <c r="X32" s="73" t="e">
        <f>INDEX(Python!$1:$1048576,MATCH('DCF-Detailed'!$B32,Python!$A:$A,0),MATCH('DCF-Detailed'!X$1,Python!$1:$1,0))</f>
        <v>#N/A</v>
      </c>
      <c r="Y32" s="73" t="e">
        <f>INDEX(Python!$1:$1048576,MATCH('DCF-Detailed'!$B32,Python!$A:$A,0),MATCH('DCF-Detailed'!Y$1,Python!$1:$1,0))</f>
        <v>#N/A</v>
      </c>
      <c r="Z32" s="73" t="e">
        <f>INDEX(Python!$1:$1048576,MATCH('DCF-Detailed'!$B32,Python!$A:$A,0),MATCH('DCF-Detailed'!Z$1,Python!$1:$1,0))</f>
        <v>#N/A</v>
      </c>
      <c r="AA32" s="73" t="e">
        <f>INDEX(Python!$1:$1048576,MATCH('DCF-Detailed'!$B32,Python!$A:$A,0),MATCH('DCF-Detailed'!AA$1,Python!$1:$1,0))</f>
        <v>#N/A</v>
      </c>
      <c r="AB32" s="73" t="e">
        <f>INDEX(Python!$1:$1048576,MATCH('DCF-Detailed'!$B32,Python!$A:$A,0),MATCH('DCF-Detailed'!AB$1,Python!$1:$1,0))</f>
        <v>#N/A</v>
      </c>
      <c r="AC32" s="73" t="e">
        <f>INDEX(Python!$1:$1048576,MATCH('DCF-Detailed'!$B32,Python!$A:$A,0),MATCH('DCF-Detailed'!AC$1,Python!$1:$1,0))</f>
        <v>#N/A</v>
      </c>
      <c r="AD32" s="73" t="e">
        <f>INDEX(Python!$1:$1048576,MATCH('DCF-Detailed'!$B32,Python!$A:$A,0),MATCH('DCF-Detailed'!AD$1,Python!$1:$1,0))</f>
        <v>#N/A</v>
      </c>
      <c r="AE32" s="73" t="e">
        <f>INDEX(Python!$1:$1048576,MATCH('DCF-Detailed'!$B32,Python!$A:$A,0),MATCH('DCF-Detailed'!AE$1,Python!$1:$1,0))</f>
        <v>#N/A</v>
      </c>
      <c r="AF32" s="73" t="e">
        <f>INDEX(Python!$1:$1048576,MATCH('DCF-Detailed'!$B32,Python!$A:$A,0),MATCH('DCF-Detailed'!AF$1,Python!$1:$1,0))</f>
        <v>#N/A</v>
      </c>
      <c r="AG32" s="73" t="e">
        <f>INDEX(Python!$1:$1048576,MATCH('DCF-Detailed'!$B32,Python!$A:$A,0),MATCH('DCF-Detailed'!AG$1,Python!$1:$1,0))</f>
        <v>#N/A</v>
      </c>
      <c r="AH32" s="73" t="e">
        <f>INDEX(Python!$1:$1048576,MATCH('DCF-Detailed'!$B32,Python!$A:$A,0),MATCH('DCF-Detailed'!AH$1,Python!$1:$1,0))</f>
        <v>#N/A</v>
      </c>
      <c r="AI32" s="73" t="e">
        <f>INDEX(Python!$1:$1048576,MATCH('DCF-Detailed'!$B32,Python!$A:$A,0),MATCH('DCF-Detailed'!AI$1,Python!$1:$1,0))</f>
        <v>#N/A</v>
      </c>
      <c r="AJ32" s="73" t="e">
        <f>INDEX(Python!$1:$1048576,MATCH('DCF-Detailed'!$B32,Python!$A:$A,0),MATCH('DCF-Detailed'!AJ$1,Python!$1:$1,0))</f>
        <v>#N/A</v>
      </c>
      <c r="AK32" s="73" t="e">
        <f>INDEX(Python!$1:$1048576,MATCH('DCF-Detailed'!$B32,Python!$A:$A,0),MATCH('DCF-Detailed'!AK$1,Python!$1:$1,0))</f>
        <v>#N/A</v>
      </c>
      <c r="AL32" s="73" t="e">
        <f>INDEX(Python!$1:$1048576,MATCH('DCF-Detailed'!$B32,Python!$A:$A,0),MATCH('DCF-Detailed'!AL$1,Python!$1:$1,0))</f>
        <v>#N/A</v>
      </c>
      <c r="AM32" s="73" t="e">
        <f>INDEX(Python!$1:$1048576,MATCH('DCF-Detailed'!$B32,Python!$A:$A,0),MATCH('DCF-Detailed'!AM$1,Python!$1:$1,0))</f>
        <v>#N/A</v>
      </c>
      <c r="AN32" s="73" t="e">
        <f>INDEX(Python!$1:$1048576,MATCH('DCF-Detailed'!$B32,Python!$A:$A,0),MATCH('DCF-Detailed'!AN$1,Python!$1:$1,0))</f>
        <v>#N/A</v>
      </c>
      <c r="AO32" s="73" t="e">
        <f>INDEX(Python!$1:$1048576,MATCH('DCF-Detailed'!$B32,Python!$A:$A,0),MATCH('DCF-Detailed'!AO$1,Python!$1:$1,0))</f>
        <v>#N/A</v>
      </c>
      <c r="AP32" s="73" t="e">
        <f>INDEX(Python!$1:$1048576,MATCH('DCF-Detailed'!$B32,Python!$A:$A,0),MATCH('DCF-Detailed'!AP$1,Python!$1:$1,0))</f>
        <v>#N/A</v>
      </c>
      <c r="AQ32" s="73" t="e">
        <f>INDEX(Python!$1:$1048576,MATCH('DCF-Detailed'!$B32,Python!$A:$A,0),MATCH('DCF-Detailed'!AQ$1,Python!$1:$1,0))</f>
        <v>#N/A</v>
      </c>
      <c r="AR32" s="31" t="e">
        <f>INDEX(Python!$1:$1048576,MATCH('DCF-Detailed'!$B32,Python!$A:$A,0),MATCH('DCF-Detailed'!AR$1,Python!$1:$1,0))</f>
        <v>#N/A</v>
      </c>
      <c r="AS32" s="74" t="e">
        <f>INDEX(Python!$1:$1048576,MATCH('DCF-Detailed'!$B32,Python!$A:$A,0),MATCH('DCF-Detailed'!AS$1,Python!$1:$1,0))</f>
        <v>#N/A</v>
      </c>
      <c r="AT32" s="74" t="e">
        <f>INDEX(Python!$1:$1048576,MATCH('DCF-Detailed'!$B32,Python!$A:$A,0),MATCH('DCF-Detailed'!AT$1,Python!$1:$1,0))</f>
        <v>#N/A</v>
      </c>
      <c r="AU32" s="74" t="e">
        <f>INDEX(Python!$1:$1048576,MATCH('DCF-Detailed'!$B32,Python!$A:$A,0),MATCH('DCF-Detailed'!AU$1,Python!$1:$1,0))</f>
        <v>#N/A</v>
      </c>
      <c r="AV32" s="74" t="e">
        <f>INDEX(Python!$1:$1048576,MATCH('DCF-Detailed'!$B32,Python!$A:$A,0),MATCH('DCF-Detailed'!AV$1,Python!$1:$1,0))</f>
        <v>#N/A</v>
      </c>
      <c r="AW32" s="74" t="e">
        <f>INDEX(Python!$1:$1048576,MATCH('DCF-Detailed'!$B32,Python!$A:$A,0),MATCH('DCF-Detailed'!AW$1,Python!$1:$1,0))</f>
        <v>#N/A</v>
      </c>
      <c r="AX32" s="74" t="e">
        <f>INDEX(Python!$1:$1048576,MATCH('DCF-Detailed'!$B32,Python!$A:$A,0),MATCH('DCF-Detailed'!AX$1,Python!$1:$1,0))</f>
        <v>#N/A</v>
      </c>
      <c r="AY32" s="74" t="e">
        <f>INDEX(Python!$1:$1048576,MATCH('DCF-Detailed'!$B32,Python!$A:$A,0),MATCH('DCF-Detailed'!AY$1,Python!$1:$1,0))</f>
        <v>#N/A</v>
      </c>
      <c r="AZ32" s="74" t="e">
        <f>INDEX(Python!$1:$1048576,MATCH('DCF-Detailed'!$B32,Python!$A:$A,0),MATCH('DCF-Detailed'!AZ$1,Python!$1:$1,0))</f>
        <v>#N/A</v>
      </c>
      <c r="BA32" s="74" t="e">
        <f>INDEX(Python!$1:$1048576,MATCH('DCF-Detailed'!$B32,Python!$A:$A,0),MATCH('DCF-Detailed'!BA$1,Python!$1:$1,0))</f>
        <v>#N/A</v>
      </c>
      <c r="BB32" s="74" t="e">
        <f>INDEX(Python!$1:$1048576,MATCH('DCF-Detailed'!$B32,Python!$A:$A,0),MATCH('DCF-Detailed'!BB$1,Python!$1:$1,0))</f>
        <v>#N/A</v>
      </c>
      <c r="BC32" s="74" t="e">
        <f>INDEX(Python!$1:$1048576,MATCH('DCF-Detailed'!$B32,Python!$A:$A,0),MATCH('DCF-Detailed'!BC$1,Python!$1:$1,0))</f>
        <v>#N/A</v>
      </c>
      <c r="BD32" s="74" t="e">
        <f>INDEX(Python!$1:$1048576,MATCH('DCF-Detailed'!$B32,Python!$A:$A,0),MATCH('DCF-Detailed'!BD$1,Python!$1:$1,0))</f>
        <v>#N/A</v>
      </c>
      <c r="BE32" s="74" t="e">
        <f>INDEX(Python!$1:$1048576,MATCH('DCF-Detailed'!$B32,Python!$A:$A,0),MATCH('DCF-Detailed'!BE$1,Python!$1:$1,0))</f>
        <v>#N/A</v>
      </c>
      <c r="BF32" s="74" t="e">
        <f>INDEX(Python!$1:$1048576,MATCH('DCF-Detailed'!$B32,Python!$A:$A,0),MATCH('DCF-Detailed'!BF$1,Python!$1:$1,0))</f>
        <v>#N/A</v>
      </c>
      <c r="BG32" s="74" t="e">
        <f>INDEX(Python!$1:$1048576,MATCH('DCF-Detailed'!$B32,Python!$A:$A,0),MATCH('DCF-Detailed'!BG$1,Python!$1:$1,0))</f>
        <v>#N/A</v>
      </c>
      <c r="BH32" s="74" t="e">
        <f>INDEX(Python!$1:$1048576,MATCH('DCF-Detailed'!$B32,Python!$A:$A,0),MATCH('DCF-Detailed'!BH$1,Python!$1:$1,0))</f>
        <v>#N/A</v>
      </c>
      <c r="BI32" s="74" t="e">
        <f>INDEX(Python!$1:$1048576,MATCH('DCF-Detailed'!$B32,Python!$A:$A,0),MATCH('DCF-Detailed'!BI$1,Python!$1:$1,0))</f>
        <v>#N/A</v>
      </c>
      <c r="BJ32" s="74" t="e">
        <f>INDEX(Python!$1:$1048576,MATCH('DCF-Detailed'!$B32,Python!$A:$A,0),MATCH('DCF-Detailed'!BJ$1,Python!$1:$1,0))</f>
        <v>#N/A</v>
      </c>
      <c r="BK32" s="74" t="e">
        <f>INDEX(Python!$1:$1048576,MATCH('DCF-Detailed'!$B32,Python!$A:$A,0),MATCH('DCF-Detailed'!BK$1,Python!$1:$1,0))</f>
        <v>#N/A</v>
      </c>
      <c r="BL32" s="74" t="e">
        <f>INDEX(Python!$1:$1048576,MATCH('DCF-Detailed'!$B32,Python!$A:$A,0),MATCH('DCF-Detailed'!BL$1,Python!$1:$1,0))</f>
        <v>#N/A</v>
      </c>
      <c r="BM32" s="74" t="e">
        <f>INDEX(Python!$1:$1048576,MATCH('DCF-Detailed'!$B32,Python!$A:$A,0),MATCH('DCF-Detailed'!BM$1,Python!$1:$1,0))</f>
        <v>#N/A</v>
      </c>
      <c r="BN32" s="74" t="e">
        <f>INDEX(Python!$1:$1048576,MATCH('DCF-Detailed'!$B32,Python!$A:$A,0),MATCH('DCF-Detailed'!BN$1,Python!$1:$1,0))</f>
        <v>#N/A</v>
      </c>
      <c r="BO32" s="74" t="e">
        <f>INDEX(Python!$1:$1048576,MATCH('DCF-Detailed'!$B32,Python!$A:$A,0),MATCH('DCF-Detailed'!BO$1,Python!$1:$1,0))</f>
        <v>#N/A</v>
      </c>
      <c r="BP32" s="74" t="e">
        <f>INDEX(Python!$1:$1048576,MATCH('DCF-Detailed'!$B32,Python!$A:$A,0),MATCH('DCF-Detailed'!BP$1,Python!$1:$1,0))</f>
        <v>#N/A</v>
      </c>
      <c r="BQ32" s="74" t="e">
        <f>INDEX(Python!$1:$1048576,MATCH('DCF-Detailed'!$B32,Python!$A:$A,0),MATCH('DCF-Detailed'!BQ$1,Python!$1:$1,0))</f>
        <v>#N/A</v>
      </c>
      <c r="BR32" s="74" t="e">
        <f>INDEX(Python!$1:$1048576,MATCH('DCF-Detailed'!$B32,Python!$A:$A,0),MATCH('DCF-Detailed'!BR$1,Python!$1:$1,0))</f>
        <v>#N/A</v>
      </c>
      <c r="BS32" s="74" t="e">
        <f>INDEX(Python!$1:$1048576,MATCH('DCF-Detailed'!$B32,Python!$A:$A,0),MATCH('DCF-Detailed'!BS$1,Python!$1:$1,0))</f>
        <v>#N/A</v>
      </c>
      <c r="BT32" s="74" t="e">
        <f>INDEX(Python!$1:$1048576,MATCH('DCF-Detailed'!$B32,Python!$A:$A,0),MATCH('DCF-Detailed'!BT$1,Python!$1:$1,0))</f>
        <v>#N/A</v>
      </c>
      <c r="BU32" s="74" t="e">
        <f>INDEX(Python!$1:$1048576,MATCH('DCF-Detailed'!$B32,Python!$A:$A,0),MATCH('DCF-Detailed'!BU$1,Python!$1:$1,0))</f>
        <v>#N/A</v>
      </c>
      <c r="BV32" s="74" t="e">
        <f>INDEX(Python!$1:$1048576,MATCH('DCF-Detailed'!$B32,Python!$A:$A,0),MATCH('DCF-Detailed'!BV$1,Python!$1:$1,0))</f>
        <v>#N/A</v>
      </c>
      <c r="BW32" s="74" t="e">
        <f>INDEX(Python!$1:$1048576,MATCH('DCF-Detailed'!$B32,Python!$A:$A,0),MATCH('DCF-Detailed'!BW$1,Python!$1:$1,0))</f>
        <v>#N/A</v>
      </c>
      <c r="BX32" s="75" t="e">
        <f>INDEX(Python!$1:$1048576,MATCH('DCF-Detailed'!$B32,Python!$A:$A,0),MATCH('DCF-Detailed'!BX$1,Python!$1:$1,0))</f>
        <v>#N/A</v>
      </c>
    </row>
    <row r="33" spans="2:78" s="1" customFormat="1" x14ac:dyDescent="0.35">
      <c r="B33" s="33" t="s">
        <v>35</v>
      </c>
      <c r="D33" s="65" t="e">
        <f t="shared" ref="D33:F33" si="65">D32/D$8</f>
        <v>#N/A</v>
      </c>
      <c r="E33" s="65" t="e">
        <f t="shared" si="65"/>
        <v>#N/A</v>
      </c>
      <c r="F33" s="65" t="e">
        <f t="shared" si="65"/>
        <v>#N/A</v>
      </c>
      <c r="G33" s="65" t="e">
        <f>G32/G$8</f>
        <v>#N/A</v>
      </c>
      <c r="H33" s="65" t="e">
        <f t="shared" ref="H33:BS33" si="66">H32/H$8</f>
        <v>#N/A</v>
      </c>
      <c r="I33" s="65" t="e">
        <f t="shared" si="66"/>
        <v>#N/A</v>
      </c>
      <c r="J33" s="65" t="e">
        <f t="shared" si="66"/>
        <v>#N/A</v>
      </c>
      <c r="K33" s="65" t="e">
        <f t="shared" si="66"/>
        <v>#N/A</v>
      </c>
      <c r="L33" s="65" t="e">
        <f t="shared" si="66"/>
        <v>#N/A</v>
      </c>
      <c r="M33" s="65" t="e">
        <f t="shared" si="66"/>
        <v>#N/A</v>
      </c>
      <c r="N33" s="65" t="e">
        <f t="shared" si="66"/>
        <v>#N/A</v>
      </c>
      <c r="O33" s="65" t="e">
        <f t="shared" si="66"/>
        <v>#N/A</v>
      </c>
      <c r="P33" s="65" t="e">
        <f t="shared" si="66"/>
        <v>#N/A</v>
      </c>
      <c r="Q33" s="65" t="e">
        <f t="shared" si="66"/>
        <v>#N/A</v>
      </c>
      <c r="R33" s="65" t="e">
        <f t="shared" si="66"/>
        <v>#N/A</v>
      </c>
      <c r="S33" s="65" t="e">
        <f t="shared" si="66"/>
        <v>#N/A</v>
      </c>
      <c r="T33" s="65" t="e">
        <f t="shared" si="66"/>
        <v>#N/A</v>
      </c>
      <c r="U33" s="65" t="e">
        <f t="shared" si="66"/>
        <v>#N/A</v>
      </c>
      <c r="V33" s="65" t="e">
        <f t="shared" si="66"/>
        <v>#N/A</v>
      </c>
      <c r="W33" s="65" t="e">
        <f t="shared" si="66"/>
        <v>#N/A</v>
      </c>
      <c r="X33" s="65" t="e">
        <f t="shared" si="66"/>
        <v>#N/A</v>
      </c>
      <c r="Y33" s="65" t="e">
        <f t="shared" si="66"/>
        <v>#N/A</v>
      </c>
      <c r="Z33" s="65" t="e">
        <f t="shared" si="66"/>
        <v>#N/A</v>
      </c>
      <c r="AA33" s="65" t="e">
        <f t="shared" si="66"/>
        <v>#N/A</v>
      </c>
      <c r="AB33" s="65" t="e">
        <f t="shared" si="66"/>
        <v>#N/A</v>
      </c>
      <c r="AC33" s="65" t="e">
        <f t="shared" si="66"/>
        <v>#N/A</v>
      </c>
      <c r="AD33" s="65" t="e">
        <f t="shared" si="66"/>
        <v>#N/A</v>
      </c>
      <c r="AE33" s="65" t="e">
        <f t="shared" si="66"/>
        <v>#N/A</v>
      </c>
      <c r="AF33" s="65" t="e">
        <f t="shared" si="66"/>
        <v>#N/A</v>
      </c>
      <c r="AG33" s="65" t="e">
        <f t="shared" si="66"/>
        <v>#N/A</v>
      </c>
      <c r="AH33" s="65" t="e">
        <f t="shared" si="66"/>
        <v>#N/A</v>
      </c>
      <c r="AI33" s="65" t="e">
        <f t="shared" si="66"/>
        <v>#N/A</v>
      </c>
      <c r="AJ33" s="65" t="e">
        <f t="shared" si="66"/>
        <v>#N/A</v>
      </c>
      <c r="AK33" s="65" t="e">
        <f t="shared" si="66"/>
        <v>#N/A</v>
      </c>
      <c r="AL33" s="65" t="e">
        <f t="shared" si="66"/>
        <v>#N/A</v>
      </c>
      <c r="AM33" s="65" t="e">
        <f t="shared" si="66"/>
        <v>#N/A</v>
      </c>
      <c r="AN33" s="65" t="e">
        <f t="shared" si="66"/>
        <v>#N/A</v>
      </c>
      <c r="AO33" s="65" t="e">
        <f t="shared" si="66"/>
        <v>#N/A</v>
      </c>
      <c r="AP33" s="65" t="e">
        <f t="shared" si="66"/>
        <v>#N/A</v>
      </c>
      <c r="AQ33" s="65" t="e">
        <f t="shared" si="66"/>
        <v>#N/A</v>
      </c>
      <c r="AR33" s="29" t="e">
        <f t="shared" si="66"/>
        <v>#N/A</v>
      </c>
      <c r="AS33" s="100" t="e">
        <f t="shared" si="66"/>
        <v>#N/A</v>
      </c>
      <c r="AT33" s="80" t="e">
        <f t="shared" si="66"/>
        <v>#N/A</v>
      </c>
      <c r="AU33" s="80" t="e">
        <f t="shared" si="66"/>
        <v>#N/A</v>
      </c>
      <c r="AV33" s="80" t="e">
        <f t="shared" si="66"/>
        <v>#N/A</v>
      </c>
      <c r="AW33" s="80" t="e">
        <f t="shared" si="66"/>
        <v>#N/A</v>
      </c>
      <c r="AX33" s="80" t="e">
        <f t="shared" si="66"/>
        <v>#N/A</v>
      </c>
      <c r="AY33" s="80" t="e">
        <f t="shared" si="66"/>
        <v>#N/A</v>
      </c>
      <c r="AZ33" s="80" t="e">
        <f t="shared" si="66"/>
        <v>#N/A</v>
      </c>
      <c r="BA33" s="80" t="e">
        <f t="shared" si="66"/>
        <v>#N/A</v>
      </c>
      <c r="BB33" s="80" t="e">
        <f t="shared" si="66"/>
        <v>#N/A</v>
      </c>
      <c r="BC33" s="80" t="e">
        <f t="shared" si="66"/>
        <v>#N/A</v>
      </c>
      <c r="BD33" s="80" t="e">
        <f t="shared" si="66"/>
        <v>#N/A</v>
      </c>
      <c r="BE33" s="80" t="e">
        <f t="shared" si="66"/>
        <v>#N/A</v>
      </c>
      <c r="BF33" s="80" t="e">
        <f t="shared" si="66"/>
        <v>#N/A</v>
      </c>
      <c r="BG33" s="80" t="e">
        <f t="shared" si="66"/>
        <v>#N/A</v>
      </c>
      <c r="BH33" s="80" t="e">
        <f t="shared" si="66"/>
        <v>#N/A</v>
      </c>
      <c r="BI33" s="80" t="e">
        <f t="shared" si="66"/>
        <v>#N/A</v>
      </c>
      <c r="BJ33" s="80" t="e">
        <f t="shared" si="66"/>
        <v>#N/A</v>
      </c>
      <c r="BK33" s="80" t="e">
        <f t="shared" si="66"/>
        <v>#N/A</v>
      </c>
      <c r="BL33" s="80" t="e">
        <f t="shared" si="66"/>
        <v>#N/A</v>
      </c>
      <c r="BM33" s="80" t="e">
        <f t="shared" si="66"/>
        <v>#N/A</v>
      </c>
      <c r="BN33" s="80" t="e">
        <f t="shared" si="66"/>
        <v>#N/A</v>
      </c>
      <c r="BO33" s="80" t="e">
        <f t="shared" si="66"/>
        <v>#N/A</v>
      </c>
      <c r="BP33" s="80" t="e">
        <f t="shared" si="66"/>
        <v>#N/A</v>
      </c>
      <c r="BQ33" s="80" t="e">
        <f t="shared" si="66"/>
        <v>#N/A</v>
      </c>
      <c r="BR33" s="80" t="e">
        <f t="shared" si="66"/>
        <v>#N/A</v>
      </c>
      <c r="BS33" s="80" t="e">
        <f t="shared" si="66"/>
        <v>#N/A</v>
      </c>
      <c r="BT33" s="80" t="e">
        <f t="shared" ref="BT33:BX33" si="67">BT32/BT$8</f>
        <v>#N/A</v>
      </c>
      <c r="BU33" s="80" t="e">
        <f t="shared" si="67"/>
        <v>#N/A</v>
      </c>
      <c r="BV33" s="80" t="e">
        <f t="shared" si="67"/>
        <v>#N/A</v>
      </c>
      <c r="BW33" s="80" t="e">
        <f t="shared" si="67"/>
        <v>#N/A</v>
      </c>
      <c r="BX33" s="81" t="e">
        <f t="shared" si="67"/>
        <v>#N/A</v>
      </c>
    </row>
    <row r="34" spans="2:78" s="1" customFormat="1" ht="6.9" customHeight="1" x14ac:dyDescent="0.35">
      <c r="B34" s="11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31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3"/>
    </row>
    <row r="35" spans="2:78" s="1" customFormat="1" x14ac:dyDescent="0.35">
      <c r="B35" s="10" t="s">
        <v>169</v>
      </c>
      <c r="D35" s="73" t="e">
        <f>-INDEX('Working Capital'!$1:$1048576,MATCH('DCF-Detailed'!$B35,'Working Capital'!$C:$C,0),MATCH('DCF-Detailed'!D$1,'Working Capital'!$1:$1,0))</f>
        <v>#N/A</v>
      </c>
      <c r="E35" s="73" t="e">
        <f>-INDEX('Working Capital'!$1:$1048576,MATCH('DCF-Detailed'!$B35,'Working Capital'!$C:$C,0),MATCH('DCF-Detailed'!E$1,'Working Capital'!$1:$1,0))</f>
        <v>#N/A</v>
      </c>
      <c r="F35" s="73" t="e">
        <f>-INDEX('Working Capital'!$1:$1048576,MATCH('DCF-Detailed'!$B35,'Working Capital'!$C:$C,0),MATCH('DCF-Detailed'!F$1,'Working Capital'!$1:$1,0))</f>
        <v>#N/A</v>
      </c>
      <c r="G35" s="73" t="e">
        <f>-INDEX('Working Capital'!$1:$1048576,MATCH('DCF-Detailed'!$B35,'Working Capital'!$C:$C,0),MATCH('DCF-Detailed'!G$1,'Working Capital'!$1:$1,0))</f>
        <v>#N/A</v>
      </c>
      <c r="H35" s="73" t="e">
        <f>-INDEX('Working Capital'!$1:$1048576,MATCH('DCF-Detailed'!$B35,'Working Capital'!$C:$C,0),MATCH('DCF-Detailed'!H$1,'Working Capital'!$1:$1,0))</f>
        <v>#N/A</v>
      </c>
      <c r="I35" s="73" t="e">
        <f>-INDEX('Working Capital'!$1:$1048576,MATCH('DCF-Detailed'!$B35,'Working Capital'!$C:$C,0),MATCH('DCF-Detailed'!I$1,'Working Capital'!$1:$1,0))</f>
        <v>#N/A</v>
      </c>
      <c r="J35" s="73" t="e">
        <f>-INDEX('Working Capital'!$1:$1048576,MATCH('DCF-Detailed'!$B35,'Working Capital'!$C:$C,0),MATCH('DCF-Detailed'!J$1,'Working Capital'!$1:$1,0))</f>
        <v>#N/A</v>
      </c>
      <c r="K35" s="73" t="e">
        <f>-INDEX('Working Capital'!$1:$1048576,MATCH('DCF-Detailed'!$B35,'Working Capital'!$C:$C,0),MATCH('DCF-Detailed'!K$1,'Working Capital'!$1:$1,0))</f>
        <v>#N/A</v>
      </c>
      <c r="L35" s="73" t="e">
        <f>-INDEX('Working Capital'!$1:$1048576,MATCH('DCF-Detailed'!$B35,'Working Capital'!$C:$C,0),MATCH('DCF-Detailed'!L$1,'Working Capital'!$1:$1,0))</f>
        <v>#N/A</v>
      </c>
      <c r="M35" s="73" t="e">
        <f>-INDEX('Working Capital'!$1:$1048576,MATCH('DCF-Detailed'!$B35,'Working Capital'!$C:$C,0),MATCH('DCF-Detailed'!M$1,'Working Capital'!$1:$1,0))</f>
        <v>#N/A</v>
      </c>
      <c r="N35" s="73" t="e">
        <f>-INDEX('Working Capital'!$1:$1048576,MATCH('DCF-Detailed'!$B35,'Working Capital'!$C:$C,0),MATCH('DCF-Detailed'!N$1,'Working Capital'!$1:$1,0))</f>
        <v>#N/A</v>
      </c>
      <c r="O35" s="73" t="e">
        <f>-INDEX('Working Capital'!$1:$1048576,MATCH('DCF-Detailed'!$B35,'Working Capital'!$C:$C,0),MATCH('DCF-Detailed'!O$1,'Working Capital'!$1:$1,0))</f>
        <v>#N/A</v>
      </c>
      <c r="P35" s="73" t="e">
        <f>-INDEX('Working Capital'!$1:$1048576,MATCH('DCF-Detailed'!$B35,'Working Capital'!$C:$C,0),MATCH('DCF-Detailed'!P$1,'Working Capital'!$1:$1,0))</f>
        <v>#N/A</v>
      </c>
      <c r="Q35" s="73" t="e">
        <f>-INDEX('Working Capital'!$1:$1048576,MATCH('DCF-Detailed'!$B35,'Working Capital'!$C:$C,0),MATCH('DCF-Detailed'!Q$1,'Working Capital'!$1:$1,0))</f>
        <v>#N/A</v>
      </c>
      <c r="R35" s="73" t="e">
        <f>-INDEX('Working Capital'!$1:$1048576,MATCH('DCF-Detailed'!$B35,'Working Capital'!$C:$C,0),MATCH('DCF-Detailed'!R$1,'Working Capital'!$1:$1,0))</f>
        <v>#N/A</v>
      </c>
      <c r="S35" s="73" t="e">
        <f>-INDEX('Working Capital'!$1:$1048576,MATCH('DCF-Detailed'!$B35,'Working Capital'!$C:$C,0),MATCH('DCF-Detailed'!S$1,'Working Capital'!$1:$1,0))</f>
        <v>#N/A</v>
      </c>
      <c r="T35" s="73" t="e">
        <f>-INDEX('Working Capital'!$1:$1048576,MATCH('DCF-Detailed'!$B35,'Working Capital'!$C:$C,0),MATCH('DCF-Detailed'!T$1,'Working Capital'!$1:$1,0))</f>
        <v>#N/A</v>
      </c>
      <c r="U35" s="73" t="e">
        <f>-INDEX('Working Capital'!$1:$1048576,MATCH('DCF-Detailed'!$B35,'Working Capital'!$C:$C,0),MATCH('DCF-Detailed'!U$1,'Working Capital'!$1:$1,0))</f>
        <v>#N/A</v>
      </c>
      <c r="V35" s="73" t="e">
        <f>-INDEX('Working Capital'!$1:$1048576,MATCH('DCF-Detailed'!$B35,'Working Capital'!$C:$C,0),MATCH('DCF-Detailed'!V$1,'Working Capital'!$1:$1,0))</f>
        <v>#N/A</v>
      </c>
      <c r="W35" s="73" t="e">
        <f>-INDEX('Working Capital'!$1:$1048576,MATCH('DCF-Detailed'!$B35,'Working Capital'!$C:$C,0),MATCH('DCF-Detailed'!W$1,'Working Capital'!$1:$1,0))</f>
        <v>#N/A</v>
      </c>
      <c r="X35" s="73" t="e">
        <f>-INDEX('Working Capital'!$1:$1048576,MATCH('DCF-Detailed'!$B35,'Working Capital'!$C:$C,0),MATCH('DCF-Detailed'!X$1,'Working Capital'!$1:$1,0))</f>
        <v>#N/A</v>
      </c>
      <c r="Y35" s="73" t="e">
        <f>-INDEX('Working Capital'!$1:$1048576,MATCH('DCF-Detailed'!$B35,'Working Capital'!$C:$C,0),MATCH('DCF-Detailed'!Y$1,'Working Capital'!$1:$1,0))</f>
        <v>#N/A</v>
      </c>
      <c r="Z35" s="73" t="e">
        <f>-INDEX('Working Capital'!$1:$1048576,MATCH('DCF-Detailed'!$B35,'Working Capital'!$C:$C,0),MATCH('DCF-Detailed'!Z$1,'Working Capital'!$1:$1,0))</f>
        <v>#N/A</v>
      </c>
      <c r="AA35" s="73" t="e">
        <f>-INDEX('Working Capital'!$1:$1048576,MATCH('DCF-Detailed'!$B35,'Working Capital'!$C:$C,0),MATCH('DCF-Detailed'!AA$1,'Working Capital'!$1:$1,0))</f>
        <v>#N/A</v>
      </c>
      <c r="AB35" s="73" t="e">
        <f>-INDEX('Working Capital'!$1:$1048576,MATCH('DCF-Detailed'!$B35,'Working Capital'!$C:$C,0),MATCH('DCF-Detailed'!AB$1,'Working Capital'!$1:$1,0))</f>
        <v>#N/A</v>
      </c>
      <c r="AC35" s="73" t="e">
        <f>-INDEX('Working Capital'!$1:$1048576,MATCH('DCF-Detailed'!$B35,'Working Capital'!$C:$C,0),MATCH('DCF-Detailed'!AC$1,'Working Capital'!$1:$1,0))</f>
        <v>#N/A</v>
      </c>
      <c r="AD35" s="73" t="e">
        <f>-INDEX('Working Capital'!$1:$1048576,MATCH('DCF-Detailed'!$B35,'Working Capital'!$C:$C,0),MATCH('DCF-Detailed'!AD$1,'Working Capital'!$1:$1,0))</f>
        <v>#N/A</v>
      </c>
      <c r="AE35" s="73" t="e">
        <f>-INDEX('Working Capital'!$1:$1048576,MATCH('DCF-Detailed'!$B35,'Working Capital'!$C:$C,0),MATCH('DCF-Detailed'!AE$1,'Working Capital'!$1:$1,0))</f>
        <v>#N/A</v>
      </c>
      <c r="AF35" s="73" t="e">
        <f>-INDEX('Working Capital'!$1:$1048576,MATCH('DCF-Detailed'!$B35,'Working Capital'!$C:$C,0),MATCH('DCF-Detailed'!AF$1,'Working Capital'!$1:$1,0))</f>
        <v>#N/A</v>
      </c>
      <c r="AG35" s="73" t="e">
        <f>-INDEX('Working Capital'!$1:$1048576,MATCH('DCF-Detailed'!$B35,'Working Capital'!$C:$C,0),MATCH('DCF-Detailed'!AG$1,'Working Capital'!$1:$1,0))</f>
        <v>#N/A</v>
      </c>
      <c r="AH35" s="73" t="e">
        <f>-INDEX('Working Capital'!$1:$1048576,MATCH('DCF-Detailed'!$B35,'Working Capital'!$C:$C,0),MATCH('DCF-Detailed'!AH$1,'Working Capital'!$1:$1,0))</f>
        <v>#N/A</v>
      </c>
      <c r="AI35" s="73" t="e">
        <f>-INDEX('Working Capital'!$1:$1048576,MATCH('DCF-Detailed'!$B35,'Working Capital'!$C:$C,0),MATCH('DCF-Detailed'!AI$1,'Working Capital'!$1:$1,0))</f>
        <v>#N/A</v>
      </c>
      <c r="AJ35" s="73" t="e">
        <f>-INDEX('Working Capital'!$1:$1048576,MATCH('DCF-Detailed'!$B35,'Working Capital'!$C:$C,0),MATCH('DCF-Detailed'!AJ$1,'Working Capital'!$1:$1,0))</f>
        <v>#N/A</v>
      </c>
      <c r="AK35" s="73" t="e">
        <f>-INDEX('Working Capital'!$1:$1048576,MATCH('DCF-Detailed'!$B35,'Working Capital'!$C:$C,0),MATCH('DCF-Detailed'!AK$1,'Working Capital'!$1:$1,0))</f>
        <v>#N/A</v>
      </c>
      <c r="AL35" s="73" t="e">
        <f>-INDEX('Working Capital'!$1:$1048576,MATCH('DCF-Detailed'!$B35,'Working Capital'!$C:$C,0),MATCH('DCF-Detailed'!AL$1,'Working Capital'!$1:$1,0))</f>
        <v>#N/A</v>
      </c>
      <c r="AM35" s="73" t="e">
        <f>-INDEX('Working Capital'!$1:$1048576,MATCH('DCF-Detailed'!$B35,'Working Capital'!$C:$C,0),MATCH('DCF-Detailed'!AM$1,'Working Capital'!$1:$1,0))</f>
        <v>#N/A</v>
      </c>
      <c r="AN35" s="73" t="e">
        <f>-INDEX('Working Capital'!$1:$1048576,MATCH('DCF-Detailed'!$B35,'Working Capital'!$C:$C,0),MATCH('DCF-Detailed'!AN$1,'Working Capital'!$1:$1,0))</f>
        <v>#N/A</v>
      </c>
      <c r="AO35" s="73" t="e">
        <f>-INDEX('Working Capital'!$1:$1048576,MATCH('DCF-Detailed'!$B35,'Working Capital'!$C:$C,0),MATCH('DCF-Detailed'!AO$1,'Working Capital'!$1:$1,0))</f>
        <v>#N/A</v>
      </c>
      <c r="AP35" s="73" t="e">
        <f>-INDEX('Working Capital'!$1:$1048576,MATCH('DCF-Detailed'!$B35,'Working Capital'!$C:$C,0),MATCH('DCF-Detailed'!AP$1,'Working Capital'!$1:$1,0))</f>
        <v>#N/A</v>
      </c>
      <c r="AQ35" s="73" t="e">
        <f>-INDEX('Working Capital'!$1:$1048576,MATCH('DCF-Detailed'!$B35,'Working Capital'!$C:$C,0),MATCH('DCF-Detailed'!AQ$1,'Working Capital'!$1:$1,0))</f>
        <v>#N/A</v>
      </c>
      <c r="AR35" s="31" t="e">
        <f>-INDEX('Working Capital'!$1:$1048576,MATCH('DCF-Detailed'!$B35,'Working Capital'!$C:$C,0),MATCH('DCF-Detailed'!AR$1,'Working Capital'!$1:$1,0))</f>
        <v>#N/A</v>
      </c>
      <c r="AS35" s="73" t="e">
        <f>-INDEX('Working Capital'!$1:$1048576,MATCH('DCF-Detailed'!$B35,'Working Capital'!$C:$C,0),MATCH('DCF-Detailed'!AS$1,'Working Capital'!$1:$1,0))</f>
        <v>#N/A</v>
      </c>
      <c r="AT35" s="73" t="e">
        <f>-INDEX('Working Capital'!$1:$1048576,MATCH('DCF-Detailed'!$B35,'Working Capital'!$C:$C,0),MATCH('DCF-Detailed'!AT$1,'Working Capital'!$1:$1,0))</f>
        <v>#N/A</v>
      </c>
      <c r="AU35" s="73" t="e">
        <f>-INDEX('Working Capital'!$1:$1048576,MATCH('DCF-Detailed'!$B35,'Working Capital'!$C:$C,0),MATCH('DCF-Detailed'!AU$1,'Working Capital'!$1:$1,0))</f>
        <v>#N/A</v>
      </c>
      <c r="AV35" s="73" t="e">
        <f>-INDEX('Working Capital'!$1:$1048576,MATCH('DCF-Detailed'!$B35,'Working Capital'!$C:$C,0),MATCH('DCF-Detailed'!AV$1,'Working Capital'!$1:$1,0))</f>
        <v>#N/A</v>
      </c>
      <c r="AW35" s="73" t="e">
        <f>-INDEX('Working Capital'!$1:$1048576,MATCH('DCF-Detailed'!$B35,'Working Capital'!$C:$C,0),MATCH('DCF-Detailed'!AW$1,'Working Capital'!$1:$1,0))</f>
        <v>#N/A</v>
      </c>
      <c r="AX35" s="73" t="e">
        <f>-INDEX('Working Capital'!$1:$1048576,MATCH('DCF-Detailed'!$B35,'Working Capital'!$C:$C,0),MATCH('DCF-Detailed'!AX$1,'Working Capital'!$1:$1,0))</f>
        <v>#N/A</v>
      </c>
      <c r="AY35" s="73" t="e">
        <f>-INDEX('Working Capital'!$1:$1048576,MATCH('DCF-Detailed'!$B35,'Working Capital'!$C:$C,0),MATCH('DCF-Detailed'!AY$1,'Working Capital'!$1:$1,0))</f>
        <v>#N/A</v>
      </c>
      <c r="AZ35" s="73" t="e">
        <f>-INDEX('Working Capital'!$1:$1048576,MATCH('DCF-Detailed'!$B35,'Working Capital'!$C:$C,0),MATCH('DCF-Detailed'!AZ$1,'Working Capital'!$1:$1,0))</f>
        <v>#N/A</v>
      </c>
      <c r="BA35" s="73" t="e">
        <f>-INDEX('Working Capital'!$1:$1048576,MATCH('DCF-Detailed'!$B35,'Working Capital'!$C:$C,0),MATCH('DCF-Detailed'!BA$1,'Working Capital'!$1:$1,0))</f>
        <v>#N/A</v>
      </c>
      <c r="BB35" s="73" t="e">
        <f>-INDEX('Working Capital'!$1:$1048576,MATCH('DCF-Detailed'!$B35,'Working Capital'!$C:$C,0),MATCH('DCF-Detailed'!BB$1,'Working Capital'!$1:$1,0))</f>
        <v>#N/A</v>
      </c>
      <c r="BC35" s="73" t="e">
        <f>-INDEX('Working Capital'!$1:$1048576,MATCH('DCF-Detailed'!$B35,'Working Capital'!$C:$C,0),MATCH('DCF-Detailed'!BC$1,'Working Capital'!$1:$1,0))</f>
        <v>#N/A</v>
      </c>
      <c r="BD35" s="73" t="e">
        <f>-INDEX('Working Capital'!$1:$1048576,MATCH('DCF-Detailed'!$B35,'Working Capital'!$C:$C,0),MATCH('DCF-Detailed'!BD$1,'Working Capital'!$1:$1,0))</f>
        <v>#N/A</v>
      </c>
      <c r="BE35" s="73" t="e">
        <f>-INDEX('Working Capital'!$1:$1048576,MATCH('DCF-Detailed'!$B35,'Working Capital'!$C:$C,0),MATCH('DCF-Detailed'!BE$1,'Working Capital'!$1:$1,0))</f>
        <v>#N/A</v>
      </c>
      <c r="BF35" s="73" t="e">
        <f>-INDEX('Working Capital'!$1:$1048576,MATCH('DCF-Detailed'!$B35,'Working Capital'!$C:$C,0),MATCH('DCF-Detailed'!BF$1,'Working Capital'!$1:$1,0))</f>
        <v>#N/A</v>
      </c>
      <c r="BG35" s="73" t="e">
        <f>-INDEX('Working Capital'!$1:$1048576,MATCH('DCF-Detailed'!$B35,'Working Capital'!$C:$C,0),MATCH('DCF-Detailed'!BG$1,'Working Capital'!$1:$1,0))</f>
        <v>#N/A</v>
      </c>
      <c r="BH35" s="73" t="e">
        <f>-INDEX('Working Capital'!$1:$1048576,MATCH('DCF-Detailed'!$B35,'Working Capital'!$C:$C,0),MATCH('DCF-Detailed'!BH$1,'Working Capital'!$1:$1,0))</f>
        <v>#N/A</v>
      </c>
      <c r="BI35" s="73" t="e">
        <f>-INDEX('Working Capital'!$1:$1048576,MATCH('DCF-Detailed'!$B35,'Working Capital'!$C:$C,0),MATCH('DCF-Detailed'!BI$1,'Working Capital'!$1:$1,0))</f>
        <v>#N/A</v>
      </c>
      <c r="BJ35" s="73" t="e">
        <f>-INDEX('Working Capital'!$1:$1048576,MATCH('DCF-Detailed'!$B35,'Working Capital'!$C:$C,0),MATCH('DCF-Detailed'!BJ$1,'Working Capital'!$1:$1,0))</f>
        <v>#N/A</v>
      </c>
      <c r="BK35" s="73" t="e">
        <f>-INDEX('Working Capital'!$1:$1048576,MATCH('DCF-Detailed'!$B35,'Working Capital'!$C:$C,0),MATCH('DCF-Detailed'!BK$1,'Working Capital'!$1:$1,0))</f>
        <v>#N/A</v>
      </c>
      <c r="BL35" s="73" t="e">
        <f>-INDEX('Working Capital'!$1:$1048576,MATCH('DCF-Detailed'!$B35,'Working Capital'!$C:$C,0),MATCH('DCF-Detailed'!BL$1,'Working Capital'!$1:$1,0))</f>
        <v>#N/A</v>
      </c>
      <c r="BM35" s="73" t="e">
        <f>-INDEX('Working Capital'!$1:$1048576,MATCH('DCF-Detailed'!$B35,'Working Capital'!$C:$C,0),MATCH('DCF-Detailed'!BM$1,'Working Capital'!$1:$1,0))</f>
        <v>#N/A</v>
      </c>
      <c r="BN35" s="73" t="e">
        <f>-INDEX('Working Capital'!$1:$1048576,MATCH('DCF-Detailed'!$B35,'Working Capital'!$C:$C,0),MATCH('DCF-Detailed'!BN$1,'Working Capital'!$1:$1,0))</f>
        <v>#N/A</v>
      </c>
      <c r="BO35" s="73" t="e">
        <f>-INDEX('Working Capital'!$1:$1048576,MATCH('DCF-Detailed'!$B35,'Working Capital'!$C:$C,0),MATCH('DCF-Detailed'!BO$1,'Working Capital'!$1:$1,0))</f>
        <v>#N/A</v>
      </c>
      <c r="BP35" s="73" t="e">
        <f>-INDEX('Working Capital'!$1:$1048576,MATCH('DCF-Detailed'!$B35,'Working Capital'!$C:$C,0),MATCH('DCF-Detailed'!BP$1,'Working Capital'!$1:$1,0))</f>
        <v>#N/A</v>
      </c>
      <c r="BQ35" s="73" t="e">
        <f>-INDEX('Working Capital'!$1:$1048576,MATCH('DCF-Detailed'!$B35,'Working Capital'!$C:$C,0),MATCH('DCF-Detailed'!BQ$1,'Working Capital'!$1:$1,0))</f>
        <v>#N/A</v>
      </c>
      <c r="BR35" s="73" t="e">
        <f>-INDEX('Working Capital'!$1:$1048576,MATCH('DCF-Detailed'!$B35,'Working Capital'!$C:$C,0),MATCH('DCF-Detailed'!BR$1,'Working Capital'!$1:$1,0))</f>
        <v>#N/A</v>
      </c>
      <c r="BS35" s="73" t="e">
        <f>-INDEX('Working Capital'!$1:$1048576,MATCH('DCF-Detailed'!$B35,'Working Capital'!$C:$C,0),MATCH('DCF-Detailed'!BS$1,'Working Capital'!$1:$1,0))</f>
        <v>#N/A</v>
      </c>
      <c r="BT35" s="73" t="e">
        <f>-INDEX('Working Capital'!$1:$1048576,MATCH('DCF-Detailed'!$B35,'Working Capital'!$C:$C,0),MATCH('DCF-Detailed'!BT$1,'Working Capital'!$1:$1,0))</f>
        <v>#N/A</v>
      </c>
      <c r="BU35" s="73" t="e">
        <f>-INDEX('Working Capital'!$1:$1048576,MATCH('DCF-Detailed'!$B35,'Working Capital'!$C:$C,0),MATCH('DCF-Detailed'!BU$1,'Working Capital'!$1:$1,0))</f>
        <v>#N/A</v>
      </c>
      <c r="BV35" s="73" t="e">
        <f>-INDEX('Working Capital'!$1:$1048576,MATCH('DCF-Detailed'!$B35,'Working Capital'!$C:$C,0),MATCH('DCF-Detailed'!BV$1,'Working Capital'!$1:$1,0))</f>
        <v>#N/A</v>
      </c>
      <c r="BW35" s="73" t="e">
        <f>-INDEX('Working Capital'!$1:$1048576,MATCH('DCF-Detailed'!$B35,'Working Capital'!$C:$C,0),MATCH('DCF-Detailed'!BW$1,'Working Capital'!$1:$1,0))</f>
        <v>#N/A</v>
      </c>
      <c r="BX35" s="84" t="e">
        <f>-INDEX('Working Capital'!$1:$1048576,MATCH('DCF-Detailed'!$B35,'Working Capital'!$C:$C,0),MATCH('DCF-Detailed'!BX$1,'Working Capital'!$1:$1,0))</f>
        <v>#N/A</v>
      </c>
    </row>
    <row r="36" spans="2:78" s="1" customFormat="1" x14ac:dyDescent="0.35">
      <c r="B36" s="33" t="s">
        <v>35</v>
      </c>
      <c r="D36" s="65" t="e">
        <f t="shared" ref="D36:F36" si="68">D35/D$8</f>
        <v>#N/A</v>
      </c>
      <c r="E36" s="65" t="e">
        <f t="shared" si="68"/>
        <v>#N/A</v>
      </c>
      <c r="F36" s="65" t="e">
        <f t="shared" si="68"/>
        <v>#N/A</v>
      </c>
      <c r="G36" s="65" t="e">
        <f>G35/G$8</f>
        <v>#N/A</v>
      </c>
      <c r="H36" s="65" t="e">
        <f t="shared" ref="H36:BS36" si="69">H35/H$8</f>
        <v>#N/A</v>
      </c>
      <c r="I36" s="65" t="e">
        <f t="shared" si="69"/>
        <v>#N/A</v>
      </c>
      <c r="J36" s="65" t="e">
        <f t="shared" si="69"/>
        <v>#N/A</v>
      </c>
      <c r="K36" s="65" t="e">
        <f t="shared" si="69"/>
        <v>#N/A</v>
      </c>
      <c r="L36" s="65" t="e">
        <f t="shared" si="69"/>
        <v>#N/A</v>
      </c>
      <c r="M36" s="65" t="e">
        <f t="shared" si="69"/>
        <v>#N/A</v>
      </c>
      <c r="N36" s="65" t="e">
        <f t="shared" si="69"/>
        <v>#N/A</v>
      </c>
      <c r="O36" s="65" t="e">
        <f t="shared" si="69"/>
        <v>#N/A</v>
      </c>
      <c r="P36" s="65" t="e">
        <f t="shared" si="69"/>
        <v>#N/A</v>
      </c>
      <c r="Q36" s="65" t="e">
        <f t="shared" si="69"/>
        <v>#N/A</v>
      </c>
      <c r="R36" s="65" t="e">
        <f t="shared" si="69"/>
        <v>#N/A</v>
      </c>
      <c r="S36" s="65" t="e">
        <f t="shared" si="69"/>
        <v>#N/A</v>
      </c>
      <c r="T36" s="65" t="e">
        <f t="shared" si="69"/>
        <v>#N/A</v>
      </c>
      <c r="U36" s="65" t="e">
        <f t="shared" si="69"/>
        <v>#N/A</v>
      </c>
      <c r="V36" s="65" t="e">
        <f t="shared" si="69"/>
        <v>#N/A</v>
      </c>
      <c r="W36" s="65" t="e">
        <f t="shared" si="69"/>
        <v>#N/A</v>
      </c>
      <c r="X36" s="65" t="e">
        <f t="shared" si="69"/>
        <v>#N/A</v>
      </c>
      <c r="Y36" s="65" t="e">
        <f t="shared" si="69"/>
        <v>#N/A</v>
      </c>
      <c r="Z36" s="65" t="e">
        <f t="shared" si="69"/>
        <v>#N/A</v>
      </c>
      <c r="AA36" s="65" t="e">
        <f t="shared" si="69"/>
        <v>#N/A</v>
      </c>
      <c r="AB36" s="65" t="e">
        <f t="shared" si="69"/>
        <v>#N/A</v>
      </c>
      <c r="AC36" s="65" t="e">
        <f t="shared" si="69"/>
        <v>#N/A</v>
      </c>
      <c r="AD36" s="65" t="e">
        <f t="shared" si="69"/>
        <v>#N/A</v>
      </c>
      <c r="AE36" s="65" t="e">
        <f t="shared" si="69"/>
        <v>#N/A</v>
      </c>
      <c r="AF36" s="65" t="e">
        <f t="shared" si="69"/>
        <v>#N/A</v>
      </c>
      <c r="AG36" s="65" t="e">
        <f t="shared" si="69"/>
        <v>#N/A</v>
      </c>
      <c r="AH36" s="65" t="e">
        <f t="shared" si="69"/>
        <v>#N/A</v>
      </c>
      <c r="AI36" s="65" t="e">
        <f t="shared" si="69"/>
        <v>#N/A</v>
      </c>
      <c r="AJ36" s="65" t="e">
        <f t="shared" si="69"/>
        <v>#N/A</v>
      </c>
      <c r="AK36" s="65" t="e">
        <f t="shared" si="69"/>
        <v>#N/A</v>
      </c>
      <c r="AL36" s="65" t="e">
        <f t="shared" si="69"/>
        <v>#N/A</v>
      </c>
      <c r="AM36" s="65" t="e">
        <f t="shared" si="69"/>
        <v>#N/A</v>
      </c>
      <c r="AN36" s="65" t="e">
        <f t="shared" si="69"/>
        <v>#N/A</v>
      </c>
      <c r="AO36" s="65" t="e">
        <f t="shared" si="69"/>
        <v>#N/A</v>
      </c>
      <c r="AP36" s="65" t="e">
        <f t="shared" si="69"/>
        <v>#N/A</v>
      </c>
      <c r="AQ36" s="65" t="e">
        <f t="shared" si="69"/>
        <v>#N/A</v>
      </c>
      <c r="AR36" s="29" t="e">
        <f t="shared" si="69"/>
        <v>#N/A</v>
      </c>
      <c r="AS36" s="100" t="e">
        <f t="shared" si="69"/>
        <v>#N/A</v>
      </c>
      <c r="AT36" s="85" t="e">
        <f t="shared" si="69"/>
        <v>#N/A</v>
      </c>
      <c r="AU36" s="85" t="e">
        <f t="shared" si="69"/>
        <v>#N/A</v>
      </c>
      <c r="AV36" s="85" t="e">
        <f t="shared" si="69"/>
        <v>#N/A</v>
      </c>
      <c r="AW36" s="85" t="e">
        <f t="shared" si="69"/>
        <v>#N/A</v>
      </c>
      <c r="AX36" s="85" t="e">
        <f t="shared" si="69"/>
        <v>#N/A</v>
      </c>
      <c r="AY36" s="85" t="e">
        <f t="shared" si="69"/>
        <v>#N/A</v>
      </c>
      <c r="AZ36" s="85" t="e">
        <f t="shared" si="69"/>
        <v>#N/A</v>
      </c>
      <c r="BA36" s="85" t="e">
        <f t="shared" si="69"/>
        <v>#N/A</v>
      </c>
      <c r="BB36" s="85" t="e">
        <f t="shared" si="69"/>
        <v>#N/A</v>
      </c>
      <c r="BC36" s="85" t="e">
        <f t="shared" si="69"/>
        <v>#N/A</v>
      </c>
      <c r="BD36" s="85" t="e">
        <f t="shared" si="69"/>
        <v>#N/A</v>
      </c>
      <c r="BE36" s="85" t="e">
        <f t="shared" si="69"/>
        <v>#N/A</v>
      </c>
      <c r="BF36" s="85" t="e">
        <f t="shared" si="69"/>
        <v>#N/A</v>
      </c>
      <c r="BG36" s="85" t="e">
        <f t="shared" si="69"/>
        <v>#N/A</v>
      </c>
      <c r="BH36" s="85" t="e">
        <f t="shared" si="69"/>
        <v>#N/A</v>
      </c>
      <c r="BI36" s="85" t="e">
        <f t="shared" si="69"/>
        <v>#N/A</v>
      </c>
      <c r="BJ36" s="85" t="e">
        <f t="shared" si="69"/>
        <v>#N/A</v>
      </c>
      <c r="BK36" s="85" t="e">
        <f t="shared" si="69"/>
        <v>#N/A</v>
      </c>
      <c r="BL36" s="85" t="e">
        <f t="shared" si="69"/>
        <v>#N/A</v>
      </c>
      <c r="BM36" s="85" t="e">
        <f t="shared" si="69"/>
        <v>#N/A</v>
      </c>
      <c r="BN36" s="85" t="e">
        <f t="shared" si="69"/>
        <v>#N/A</v>
      </c>
      <c r="BO36" s="85" t="e">
        <f t="shared" si="69"/>
        <v>#N/A</v>
      </c>
      <c r="BP36" s="85" t="e">
        <f t="shared" si="69"/>
        <v>#N/A</v>
      </c>
      <c r="BQ36" s="85" t="e">
        <f t="shared" si="69"/>
        <v>#N/A</v>
      </c>
      <c r="BR36" s="85" t="e">
        <f t="shared" si="69"/>
        <v>#N/A</v>
      </c>
      <c r="BS36" s="85" t="e">
        <f t="shared" si="69"/>
        <v>#N/A</v>
      </c>
      <c r="BT36" s="85" t="e">
        <f t="shared" ref="BT36:BX36" si="70">BT35/BT$8</f>
        <v>#N/A</v>
      </c>
      <c r="BU36" s="85" t="e">
        <f t="shared" si="70"/>
        <v>#N/A</v>
      </c>
      <c r="BV36" s="85" t="e">
        <f t="shared" si="70"/>
        <v>#N/A</v>
      </c>
      <c r="BW36" s="85" t="e">
        <f t="shared" si="70"/>
        <v>#N/A</v>
      </c>
      <c r="BX36" s="86" t="e">
        <f t="shared" si="70"/>
        <v>#N/A</v>
      </c>
    </row>
    <row r="37" spans="2:78" x14ac:dyDescent="0.35">
      <c r="B37" s="12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32"/>
      <c r="AS37" s="87"/>
      <c r="AT37" s="87"/>
      <c r="AU37" s="88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9"/>
    </row>
    <row r="38" spans="2:78" x14ac:dyDescent="0.35">
      <c r="B38" s="13" t="s">
        <v>77</v>
      </c>
      <c r="D38" s="43" t="e">
        <f t="shared" ref="D38:AP38" si="71">D23+D26+D29+D32+D35</f>
        <v>#N/A</v>
      </c>
      <c r="E38" s="43" t="e">
        <f t="shared" si="71"/>
        <v>#N/A</v>
      </c>
      <c r="F38" s="43" t="e">
        <f t="shared" si="71"/>
        <v>#N/A</v>
      </c>
      <c r="G38" s="43" t="e">
        <f t="shared" si="71"/>
        <v>#N/A</v>
      </c>
      <c r="H38" s="43" t="e">
        <f t="shared" si="71"/>
        <v>#N/A</v>
      </c>
      <c r="I38" s="43" t="e">
        <f t="shared" si="71"/>
        <v>#N/A</v>
      </c>
      <c r="J38" s="43" t="e">
        <f t="shared" si="71"/>
        <v>#N/A</v>
      </c>
      <c r="K38" s="43" t="e">
        <f t="shared" si="71"/>
        <v>#N/A</v>
      </c>
      <c r="L38" s="43" t="e">
        <f t="shared" si="71"/>
        <v>#N/A</v>
      </c>
      <c r="M38" s="43" t="e">
        <f t="shared" si="71"/>
        <v>#N/A</v>
      </c>
      <c r="N38" s="43" t="e">
        <f t="shared" si="71"/>
        <v>#N/A</v>
      </c>
      <c r="O38" s="43" t="e">
        <f t="shared" si="71"/>
        <v>#N/A</v>
      </c>
      <c r="P38" s="43" t="e">
        <f t="shared" si="71"/>
        <v>#N/A</v>
      </c>
      <c r="Q38" s="43" t="e">
        <f t="shared" si="71"/>
        <v>#N/A</v>
      </c>
      <c r="R38" s="43" t="e">
        <f t="shared" si="71"/>
        <v>#N/A</v>
      </c>
      <c r="S38" s="43" t="e">
        <f t="shared" si="71"/>
        <v>#N/A</v>
      </c>
      <c r="T38" s="43" t="e">
        <f t="shared" si="71"/>
        <v>#N/A</v>
      </c>
      <c r="U38" s="43" t="e">
        <f t="shared" si="71"/>
        <v>#N/A</v>
      </c>
      <c r="V38" s="43" t="e">
        <f t="shared" si="71"/>
        <v>#N/A</v>
      </c>
      <c r="W38" s="43" t="e">
        <f t="shared" si="71"/>
        <v>#N/A</v>
      </c>
      <c r="X38" s="43" t="e">
        <f t="shared" si="71"/>
        <v>#N/A</v>
      </c>
      <c r="Y38" s="43" t="e">
        <f t="shared" si="71"/>
        <v>#N/A</v>
      </c>
      <c r="Z38" s="43" t="e">
        <f t="shared" si="71"/>
        <v>#N/A</v>
      </c>
      <c r="AA38" s="43" t="e">
        <f t="shared" si="71"/>
        <v>#N/A</v>
      </c>
      <c r="AB38" s="43" t="e">
        <f t="shared" si="71"/>
        <v>#N/A</v>
      </c>
      <c r="AC38" s="43" t="e">
        <f t="shared" si="71"/>
        <v>#N/A</v>
      </c>
      <c r="AD38" s="43" t="e">
        <f t="shared" si="71"/>
        <v>#N/A</v>
      </c>
      <c r="AE38" s="43" t="e">
        <f t="shared" si="71"/>
        <v>#N/A</v>
      </c>
      <c r="AF38" s="43" t="e">
        <f t="shared" si="71"/>
        <v>#N/A</v>
      </c>
      <c r="AG38" s="43" t="e">
        <f t="shared" si="71"/>
        <v>#N/A</v>
      </c>
      <c r="AH38" s="43" t="e">
        <f t="shared" si="71"/>
        <v>#N/A</v>
      </c>
      <c r="AI38" s="43" t="e">
        <f t="shared" si="71"/>
        <v>#N/A</v>
      </c>
      <c r="AJ38" s="43" t="e">
        <f t="shared" si="71"/>
        <v>#N/A</v>
      </c>
      <c r="AK38" s="43" t="e">
        <f t="shared" si="71"/>
        <v>#N/A</v>
      </c>
      <c r="AL38" s="43" t="e">
        <f t="shared" si="71"/>
        <v>#N/A</v>
      </c>
      <c r="AM38" s="43" t="e">
        <f t="shared" si="71"/>
        <v>#N/A</v>
      </c>
      <c r="AN38" s="43" t="e">
        <f t="shared" si="71"/>
        <v>#N/A</v>
      </c>
      <c r="AO38" s="43" t="e">
        <f t="shared" si="71"/>
        <v>#N/A</v>
      </c>
      <c r="AP38" s="43" t="e">
        <f t="shared" si="71"/>
        <v>#N/A</v>
      </c>
      <c r="AQ38" s="132" t="e">
        <f t="shared" ref="AQ38" si="72">AQ23+AQ26+AQ29+AQ32+AQ35</f>
        <v>#N/A</v>
      </c>
      <c r="AR38" s="44" t="e">
        <f t="shared" ref="AR38:AS38" si="73">AR23+AR26+AR29+AR32+AR35</f>
        <v>#N/A</v>
      </c>
      <c r="AS38" s="43" t="e">
        <f t="shared" si="73"/>
        <v>#N/A</v>
      </c>
      <c r="AT38" s="43" t="e">
        <f t="shared" ref="AT38:BX38" si="74">AT23+AT26+AT29+AT32+AT35</f>
        <v>#N/A</v>
      </c>
      <c r="AU38" s="43" t="e">
        <f t="shared" si="74"/>
        <v>#N/A</v>
      </c>
      <c r="AV38" s="43" t="e">
        <f t="shared" si="74"/>
        <v>#N/A</v>
      </c>
      <c r="AW38" s="43" t="e">
        <f t="shared" si="74"/>
        <v>#N/A</v>
      </c>
      <c r="AX38" s="43" t="e">
        <f t="shared" si="74"/>
        <v>#N/A</v>
      </c>
      <c r="AY38" s="43" t="e">
        <f t="shared" si="74"/>
        <v>#N/A</v>
      </c>
      <c r="AZ38" s="43" t="e">
        <f t="shared" si="74"/>
        <v>#N/A</v>
      </c>
      <c r="BA38" s="43" t="e">
        <f t="shared" si="74"/>
        <v>#N/A</v>
      </c>
      <c r="BB38" s="43" t="e">
        <f t="shared" si="74"/>
        <v>#N/A</v>
      </c>
      <c r="BC38" s="43" t="e">
        <f t="shared" si="74"/>
        <v>#N/A</v>
      </c>
      <c r="BD38" s="43" t="e">
        <f t="shared" si="74"/>
        <v>#N/A</v>
      </c>
      <c r="BE38" s="43" t="e">
        <f t="shared" si="74"/>
        <v>#N/A</v>
      </c>
      <c r="BF38" s="43" t="e">
        <f t="shared" si="74"/>
        <v>#N/A</v>
      </c>
      <c r="BG38" s="43" t="e">
        <f t="shared" si="74"/>
        <v>#N/A</v>
      </c>
      <c r="BH38" s="43" t="e">
        <f t="shared" si="74"/>
        <v>#N/A</v>
      </c>
      <c r="BI38" s="43" t="e">
        <f t="shared" si="74"/>
        <v>#N/A</v>
      </c>
      <c r="BJ38" s="43" t="e">
        <f t="shared" si="74"/>
        <v>#N/A</v>
      </c>
      <c r="BK38" s="43" t="e">
        <f t="shared" si="74"/>
        <v>#N/A</v>
      </c>
      <c r="BL38" s="43" t="e">
        <f t="shared" si="74"/>
        <v>#N/A</v>
      </c>
      <c r="BM38" s="43" t="e">
        <f t="shared" si="74"/>
        <v>#N/A</v>
      </c>
      <c r="BN38" s="43" t="e">
        <f t="shared" si="74"/>
        <v>#N/A</v>
      </c>
      <c r="BO38" s="43" t="e">
        <f t="shared" si="74"/>
        <v>#N/A</v>
      </c>
      <c r="BP38" s="43" t="e">
        <f t="shared" si="74"/>
        <v>#N/A</v>
      </c>
      <c r="BQ38" s="43" t="e">
        <f t="shared" si="74"/>
        <v>#N/A</v>
      </c>
      <c r="BR38" s="43" t="e">
        <f t="shared" si="74"/>
        <v>#N/A</v>
      </c>
      <c r="BS38" s="43" t="e">
        <f t="shared" si="74"/>
        <v>#N/A</v>
      </c>
      <c r="BT38" s="43" t="e">
        <f t="shared" si="74"/>
        <v>#N/A</v>
      </c>
      <c r="BU38" s="43" t="e">
        <f t="shared" si="74"/>
        <v>#N/A</v>
      </c>
      <c r="BV38" s="43" t="e">
        <f t="shared" si="74"/>
        <v>#N/A</v>
      </c>
      <c r="BW38" s="43" t="e">
        <f t="shared" si="74"/>
        <v>#N/A</v>
      </c>
      <c r="BX38" s="90" t="e">
        <f t="shared" si="74"/>
        <v>#N/A</v>
      </c>
    </row>
    <row r="39" spans="2:78" x14ac:dyDescent="0.35">
      <c r="B39" s="5" t="s">
        <v>39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6"/>
      <c r="AS39" s="45" t="e">
        <f t="shared" ref="AS39" si="75">AS38/(1+$C$4)^((_xlfn.NUMBERVALUE(RIGHT(AS7,LEN(AS7)-3)))-((_xlfn.NUMBERVALUE(RIGHT($AR$7,LEN($AR$7)-3)))-1)-(1-(MID(AS7,2,1)/MID($AQ$7,2,1))))</f>
        <v>#N/A</v>
      </c>
      <c r="AT39" s="45" t="e">
        <f t="shared" ref="AT39:BX39" si="76">AT38/(1+$C$4)^((_xlfn.NUMBERVALUE(RIGHT(AT7,LEN(AT7)-3)))-((_xlfn.NUMBERVALUE(RIGHT($AR$7,LEN($AR$7)-3)))-1)-(1-(MID(AT7,2,1)/MID($AQ$7,2,1))))</f>
        <v>#N/A</v>
      </c>
      <c r="AU39" s="45" t="e">
        <f t="shared" si="76"/>
        <v>#N/A</v>
      </c>
      <c r="AV39" s="45" t="e">
        <f t="shared" si="76"/>
        <v>#N/A</v>
      </c>
      <c r="AW39" s="45" t="e">
        <f t="shared" si="76"/>
        <v>#N/A</v>
      </c>
      <c r="AX39" s="45" t="e">
        <f t="shared" si="76"/>
        <v>#N/A</v>
      </c>
      <c r="AY39" s="45" t="e">
        <f t="shared" si="76"/>
        <v>#N/A</v>
      </c>
      <c r="AZ39" s="45" t="e">
        <f t="shared" si="76"/>
        <v>#N/A</v>
      </c>
      <c r="BA39" s="45" t="e">
        <f t="shared" si="76"/>
        <v>#N/A</v>
      </c>
      <c r="BB39" s="45" t="e">
        <f t="shared" si="76"/>
        <v>#N/A</v>
      </c>
      <c r="BC39" s="45" t="e">
        <f t="shared" si="76"/>
        <v>#N/A</v>
      </c>
      <c r="BD39" s="45" t="e">
        <f t="shared" si="76"/>
        <v>#N/A</v>
      </c>
      <c r="BE39" s="45" t="e">
        <f t="shared" si="76"/>
        <v>#N/A</v>
      </c>
      <c r="BF39" s="45" t="e">
        <f t="shared" si="76"/>
        <v>#N/A</v>
      </c>
      <c r="BG39" s="45" t="e">
        <f t="shared" si="76"/>
        <v>#N/A</v>
      </c>
      <c r="BH39" s="45" t="e">
        <f t="shared" si="76"/>
        <v>#N/A</v>
      </c>
      <c r="BI39" s="45" t="e">
        <f t="shared" si="76"/>
        <v>#N/A</v>
      </c>
      <c r="BJ39" s="45" t="e">
        <f t="shared" si="76"/>
        <v>#N/A</v>
      </c>
      <c r="BK39" s="45" t="e">
        <f t="shared" si="76"/>
        <v>#N/A</v>
      </c>
      <c r="BL39" s="45" t="e">
        <f t="shared" si="76"/>
        <v>#N/A</v>
      </c>
      <c r="BM39" s="45" t="e">
        <f t="shared" si="76"/>
        <v>#N/A</v>
      </c>
      <c r="BN39" s="45" t="e">
        <f t="shared" si="76"/>
        <v>#N/A</v>
      </c>
      <c r="BO39" s="45" t="e">
        <f t="shared" si="76"/>
        <v>#N/A</v>
      </c>
      <c r="BP39" s="45" t="e">
        <f t="shared" si="76"/>
        <v>#N/A</v>
      </c>
      <c r="BQ39" s="45" t="e">
        <f t="shared" si="76"/>
        <v>#N/A</v>
      </c>
      <c r="BR39" s="45" t="e">
        <f t="shared" si="76"/>
        <v>#N/A</v>
      </c>
      <c r="BS39" s="45" t="e">
        <f t="shared" si="76"/>
        <v>#N/A</v>
      </c>
      <c r="BT39" s="45" t="e">
        <f t="shared" si="76"/>
        <v>#N/A</v>
      </c>
      <c r="BU39" s="45" t="e">
        <f t="shared" si="76"/>
        <v>#N/A</v>
      </c>
      <c r="BV39" s="45" t="e">
        <f t="shared" si="76"/>
        <v>#N/A</v>
      </c>
      <c r="BW39" s="45" t="e">
        <f t="shared" si="76"/>
        <v>#N/A</v>
      </c>
      <c r="BX39" s="91" t="e">
        <f t="shared" si="76"/>
        <v>#N/A</v>
      </c>
      <c r="BZ39" s="112"/>
    </row>
    <row r="40" spans="2:78" x14ac:dyDescent="0.35">
      <c r="B40" s="9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Z40" s="112"/>
    </row>
    <row r="41" spans="2:78" ht="24.9" customHeight="1" x14ac:dyDescent="0.35">
      <c r="AQ41" s="36"/>
      <c r="AT41" s="4"/>
    </row>
    <row r="42" spans="2:78" x14ac:dyDescent="0.35">
      <c r="B42" s="21" t="s">
        <v>40</v>
      </c>
      <c r="C42" s="14" t="e">
        <f>('DCF-Detailed'!BX38*(1+C5))/(C4-C5)</f>
        <v>#N/A</v>
      </c>
      <c r="AT42" s="4"/>
    </row>
    <row r="43" spans="2:78" x14ac:dyDescent="0.35">
      <c r="B43" s="47" t="s">
        <v>41</v>
      </c>
      <c r="C43" s="18" t="e">
        <f>C42/(1+C4)^((_xlfn.NUMBERVALUE(RIGHT(BX7,LEN(BX7)-3)))-((_xlfn.NUMBERVALUE(RIGHT($AR$7,LEN($AR$7)-3)))-1))</f>
        <v>#N/A</v>
      </c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</row>
    <row r="44" spans="2:78" x14ac:dyDescent="0.35">
      <c r="B44" s="20" t="s">
        <v>42</v>
      </c>
      <c r="C44" s="15" t="e">
        <f>SUM(39:39)</f>
        <v>#N/A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R44" s="9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</row>
    <row r="45" spans="2:78" x14ac:dyDescent="0.35">
      <c r="B45" s="13" t="s">
        <v>43</v>
      </c>
      <c r="C45" s="16" t="e">
        <f>C43+C44</f>
        <v>#N/A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Q45" s="9"/>
      <c r="AR45" s="9"/>
      <c r="AS45" s="109"/>
      <c r="AT45" s="9"/>
      <c r="AU45" s="9"/>
      <c r="AV45" s="9"/>
      <c r="AW45" s="9"/>
      <c r="AX45" s="9"/>
      <c r="AY45" s="9"/>
      <c r="AZ45" s="9"/>
    </row>
    <row r="46" spans="2:78" x14ac:dyDescent="0.35">
      <c r="B46" s="17" t="s">
        <v>44</v>
      </c>
      <c r="C46" s="114">
        <v>1551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</row>
    <row r="47" spans="2:78" x14ac:dyDescent="0.35">
      <c r="B47" s="19" t="s">
        <v>45</v>
      </c>
      <c r="C47" s="60" t="e">
        <f>WACC!D4</f>
        <v>#N/A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</row>
    <row r="48" spans="2:78" x14ac:dyDescent="0.35">
      <c r="B48" s="13" t="s">
        <v>46</v>
      </c>
      <c r="C48" s="16" t="e">
        <f>C45+C46-C47</f>
        <v>#N/A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Q48" s="9"/>
      <c r="AR48" s="9"/>
      <c r="AS48" s="9"/>
      <c r="AT48" s="9"/>
      <c r="AU48" s="9"/>
      <c r="AV48" s="9"/>
    </row>
    <row r="49" spans="2:48" x14ac:dyDescent="0.35">
      <c r="B49" s="23" t="s">
        <v>47</v>
      </c>
      <c r="C49" s="59">
        <f>Summary!C6</f>
        <v>1026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61"/>
      <c r="AM49" s="49"/>
      <c r="AN49" s="49"/>
      <c r="AO49" s="49"/>
      <c r="AR49" s="113"/>
    </row>
    <row r="50" spans="2:48" ht="15.75" customHeight="1" thickBot="1" x14ac:dyDescent="0.4">
      <c r="B50" s="25" t="s">
        <v>48</v>
      </c>
      <c r="C50" s="26" t="e">
        <f>C48/C49</f>
        <v>#N/A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Q50" s="9"/>
      <c r="AR50" s="9"/>
      <c r="AS50" s="9"/>
      <c r="AT50" s="9"/>
      <c r="AU50" s="9"/>
      <c r="AV50" s="9"/>
    </row>
    <row r="51" spans="2:48" ht="15.75" customHeight="1" thickTop="1" x14ac:dyDescent="0.35"/>
  </sheetData>
  <mergeCells count="1">
    <mergeCell ref="B3:C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E37"/>
  <sheetViews>
    <sheetView showGridLines="0" workbookViewId="0">
      <selection activeCell="C7" sqref="C6:C7"/>
    </sheetView>
  </sheetViews>
  <sheetFormatPr defaultRowHeight="14.5" x14ac:dyDescent="0.35"/>
  <cols>
    <col min="1" max="1" width="3.453125" customWidth="1"/>
    <col min="2" max="2" width="31" bestFit="1" customWidth="1"/>
    <col min="3" max="3" width="10.54296875" bestFit="1" customWidth="1"/>
    <col min="5" max="5" width="10.08984375" bestFit="1" customWidth="1"/>
  </cols>
  <sheetData>
    <row r="1" spans="2:5" ht="24.9" customHeight="1" x14ac:dyDescent="0.35"/>
    <row r="2" spans="2:5" x14ac:dyDescent="0.35">
      <c r="B2" t="s">
        <v>87</v>
      </c>
      <c r="C2" s="41" t="s">
        <v>4</v>
      </c>
    </row>
    <row r="3" spans="2:5" x14ac:dyDescent="0.35">
      <c r="B3" t="s">
        <v>5</v>
      </c>
      <c r="C3" s="51" t="e">
        <f>'DCF-Detailed'!C50</f>
        <v>#N/A</v>
      </c>
    </row>
    <row r="5" spans="2:5" x14ac:dyDescent="0.35">
      <c r="B5" t="s">
        <v>6</v>
      </c>
      <c r="C5" s="42">
        <v>127.37</v>
      </c>
    </row>
    <row r="6" spans="2:5" x14ac:dyDescent="0.35">
      <c r="B6" t="s">
        <v>7</v>
      </c>
      <c r="C6" s="59">
        <v>1026</v>
      </c>
    </row>
    <row r="7" spans="2:5" x14ac:dyDescent="0.35">
      <c r="B7" t="s">
        <v>8</v>
      </c>
      <c r="C7" s="53">
        <f>C5*C6</f>
        <v>130681.62000000001</v>
      </c>
      <c r="E7" s="51"/>
    </row>
    <row r="9" spans="2:5" x14ac:dyDescent="0.35">
      <c r="C9" s="42"/>
    </row>
    <row r="10" spans="2:5" x14ac:dyDescent="0.35">
      <c r="B10" t="s">
        <v>9</v>
      </c>
      <c r="C10" s="52" t="e">
        <f>'DCF-Detailed'!C45</f>
        <v>#N/A</v>
      </c>
    </row>
    <row r="11" spans="2:5" x14ac:dyDescent="0.35">
      <c r="B11" t="s">
        <v>10</v>
      </c>
      <c r="C11" s="52" t="e">
        <f>'DCF-Detailed'!C48</f>
        <v>#N/A</v>
      </c>
    </row>
    <row r="13" spans="2:5" x14ac:dyDescent="0.35">
      <c r="B13" t="s">
        <v>11</v>
      </c>
      <c r="C13" s="3" t="e">
        <f>'DCF-Detailed'!C43/C11</f>
        <v>#N/A</v>
      </c>
    </row>
    <row r="14" spans="2:5" x14ac:dyDescent="0.35">
      <c r="B14" t="s">
        <v>12</v>
      </c>
      <c r="C14" s="34" t="e">
        <f>C3/C5-1</f>
        <v>#N/A</v>
      </c>
    </row>
    <row r="16" spans="2:5" x14ac:dyDescent="0.35">
      <c r="B16" t="s">
        <v>1</v>
      </c>
      <c r="C16" s="54" t="e">
        <f>C14/ABS(RIGHT(C2,2))</f>
        <v>#N/A</v>
      </c>
    </row>
    <row r="17" spans="2:3" x14ac:dyDescent="0.35">
      <c r="B17" t="s">
        <v>13</v>
      </c>
      <c r="C17" s="56" t="e">
        <f>((C3/C5)^(1/ABS(RIGHT(C2,2))))-1</f>
        <v>#N/A</v>
      </c>
    </row>
    <row r="19" spans="2:3" x14ac:dyDescent="0.35">
      <c r="B19" t="s">
        <v>51</v>
      </c>
    </row>
    <row r="20" spans="2:3" x14ac:dyDescent="0.35">
      <c r="B20" s="115" t="s">
        <v>89</v>
      </c>
      <c r="C20" s="117" t="e">
        <f>C7/SUM('DCF-Detailed'!AN8:AQ8)</f>
        <v>#N/A</v>
      </c>
    </row>
    <row r="21" spans="2:3" x14ac:dyDescent="0.35">
      <c r="B21" s="115" t="s">
        <v>90</v>
      </c>
      <c r="C21" s="117" t="e">
        <f>C7/SUM('DCF-Detailed'!AR8:AU8)</f>
        <v>#N/A</v>
      </c>
    </row>
    <row r="22" spans="2:3" x14ac:dyDescent="0.35">
      <c r="B22" s="115"/>
      <c r="C22" s="48"/>
    </row>
    <row r="23" spans="2:3" x14ac:dyDescent="0.35">
      <c r="B23" t="s">
        <v>92</v>
      </c>
      <c r="C23" s="48"/>
    </row>
    <row r="24" spans="2:3" x14ac:dyDescent="0.35">
      <c r="B24" s="115" t="s">
        <v>89</v>
      </c>
      <c r="C24" s="116" t="e">
        <f>C7/SUM('DCF-Detailed'!AN38:AQ38)</f>
        <v>#N/A</v>
      </c>
    </row>
    <row r="25" spans="2:3" x14ac:dyDescent="0.35">
      <c r="B25" s="115" t="s">
        <v>90</v>
      </c>
      <c r="C25" s="116" t="e">
        <f>C7/SUM('DCF-Detailed'!AR38:AU38)</f>
        <v>#N/A</v>
      </c>
    </row>
    <row r="26" spans="2:3" x14ac:dyDescent="0.35">
      <c r="B26" s="115"/>
    </row>
    <row r="27" spans="2:3" x14ac:dyDescent="0.35">
      <c r="B27" t="s">
        <v>52</v>
      </c>
    </row>
    <row r="28" spans="2:3" x14ac:dyDescent="0.35">
      <c r="B28" s="115" t="s">
        <v>89</v>
      </c>
      <c r="C28" s="64" t="e">
        <f>C7/(SUM('DCF-Detailed'!AN23:AQ23)+SUM('DCF-Detailed'!AN26:AQ26)+SUM('DCF-Detailed'!AN29:AQ29))</f>
        <v>#N/A</v>
      </c>
    </row>
    <row r="29" spans="2:3" x14ac:dyDescent="0.35">
      <c r="B29" s="115" t="s">
        <v>90</v>
      </c>
      <c r="C29" s="64" t="e">
        <f>C7/(SUM('DCF-Detailed'!AR23:AU23)+SUM('DCF-Detailed'!AR26:AU26)+SUM('DCF-Detailed'!AR29:AU29))</f>
        <v>#N/A</v>
      </c>
    </row>
    <row r="30" spans="2:3" x14ac:dyDescent="0.35">
      <c r="B30" s="115"/>
    </row>
    <row r="31" spans="2:3" x14ac:dyDescent="0.35">
      <c r="B31" t="s">
        <v>53</v>
      </c>
      <c r="C31" s="64" t="e">
        <f>C7/(SUM('DCF-Detailed'!BU23:BX23)+SUM('DCF-Detailed'!BU26:BX26)+SUM('DCF-Detailed'!BU29:BX29))</f>
        <v>#N/A</v>
      </c>
    </row>
    <row r="32" spans="2:3" x14ac:dyDescent="0.35">
      <c r="B32" s="115"/>
    </row>
    <row r="33" spans="3:3" x14ac:dyDescent="0.35">
      <c r="C33" s="62"/>
    </row>
    <row r="35" spans="3:3" x14ac:dyDescent="0.35">
      <c r="C35" s="48"/>
    </row>
    <row r="36" spans="3:3" x14ac:dyDescent="0.35">
      <c r="C36" s="63"/>
    </row>
    <row r="37" spans="3:3" x14ac:dyDescent="0.35">
      <c r="C37" s="63"/>
    </row>
  </sheetData>
  <dataValidations count="1">
    <dataValidation type="list" showInputMessage="1" showErrorMessage="1" sqref="C2" xr:uid="{00000000-0002-0000-0400-000000000000}">
      <formula1>"DCF-7, DCF-10, DCF-15, DCF-20, DCF-25, DCF-30, DCF-UC-30, DCF-OI-7, DCF-OI-10, DCF-OI-15, DCF-OI-20, DCF-OI-25, DCF-OI-30"</formula1>
    </dataValidation>
  </dataValidations>
  <pageMargins left="0.7" right="0.7" top="0.75" bottom="0.75" header="0.3" footer="0.3"/>
  <pageSetup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FE93-15D6-4B4D-9BF1-B024CEE77C42}">
  <dimension ref="C1:AS13"/>
  <sheetViews>
    <sheetView topLeftCell="B1" workbookViewId="0">
      <selection activeCell="B1" sqref="B1"/>
    </sheetView>
  </sheetViews>
  <sheetFormatPr defaultRowHeight="14.5" x14ac:dyDescent="0.35"/>
  <cols>
    <col min="3" max="3" width="24.54296875" bestFit="1" customWidth="1"/>
    <col min="4" max="4" width="10.90625" customWidth="1"/>
    <col min="5" max="45" width="10.453125" bestFit="1" customWidth="1"/>
  </cols>
  <sheetData>
    <row r="1" spans="3:45" x14ac:dyDescent="0.35">
      <c r="D1" s="133" t="s">
        <v>174</v>
      </c>
      <c r="E1" t="str">
        <f>'DCF-Detailed'!D1</f>
        <v>2014-03-31</v>
      </c>
      <c r="F1" t="str">
        <f>'DCF-Detailed'!E1</f>
        <v>2014-06-30</v>
      </c>
      <c r="G1" t="str">
        <f>'DCF-Detailed'!F1</f>
        <v>2014-09-30</v>
      </c>
      <c r="H1" t="str">
        <f>'DCF-Detailed'!G1</f>
        <v>2014-12-31</v>
      </c>
      <c r="I1" t="str">
        <f>'DCF-Detailed'!H1</f>
        <v>2015-03-31</v>
      </c>
      <c r="J1" t="str">
        <f>'DCF-Detailed'!I1</f>
        <v>2015-06-30</v>
      </c>
      <c r="K1" t="str">
        <f>'DCF-Detailed'!J1</f>
        <v>2015-09-30</v>
      </c>
      <c r="L1" t="str">
        <f>'DCF-Detailed'!K1</f>
        <v>2015-12-31</v>
      </c>
      <c r="M1" t="str">
        <f>'DCF-Detailed'!L1</f>
        <v>2016-03-31</v>
      </c>
      <c r="N1" t="str">
        <f>'DCF-Detailed'!M1</f>
        <v>2016-06-30</v>
      </c>
      <c r="O1" t="str">
        <f>'DCF-Detailed'!N1</f>
        <v>2016-09-30</v>
      </c>
      <c r="P1" t="str">
        <f>'DCF-Detailed'!O1</f>
        <v>2016-12-31</v>
      </c>
      <c r="Q1" t="str">
        <f>'DCF-Detailed'!P1</f>
        <v>2017-03-31</v>
      </c>
      <c r="R1" t="str">
        <f>'DCF-Detailed'!Q1</f>
        <v>2017-06-30</v>
      </c>
      <c r="S1" t="str">
        <f>'DCF-Detailed'!R1</f>
        <v>2017-09-30</v>
      </c>
      <c r="T1" t="str">
        <f>'DCF-Detailed'!S1</f>
        <v>2017-12-31</v>
      </c>
      <c r="U1" t="str">
        <f>'DCF-Detailed'!T1</f>
        <v>2018-03-31</v>
      </c>
      <c r="V1" t="str">
        <f>'DCF-Detailed'!U1</f>
        <v>2018-06-30</v>
      </c>
      <c r="W1" t="str">
        <f>'DCF-Detailed'!V1</f>
        <v>2018-09-30</v>
      </c>
      <c r="X1" t="str">
        <f>'DCF-Detailed'!W1</f>
        <v>2018-12-31</v>
      </c>
      <c r="Y1" t="str">
        <f>'DCF-Detailed'!X1</f>
        <v>2019-03-31</v>
      </c>
      <c r="Z1" t="str">
        <f>'DCF-Detailed'!Y1</f>
        <v>2019-06-30</v>
      </c>
      <c r="AA1" t="str">
        <f>'DCF-Detailed'!Z1</f>
        <v>2019-09-30</v>
      </c>
      <c r="AB1" t="str">
        <f>'DCF-Detailed'!AA1</f>
        <v>2019-12-31</v>
      </c>
      <c r="AC1" t="str">
        <f>'DCF-Detailed'!AB1</f>
        <v>2020-03-31</v>
      </c>
      <c r="AD1" t="str">
        <f>'DCF-Detailed'!AC1</f>
        <v>2020-06-30</v>
      </c>
      <c r="AE1" t="str">
        <f>'DCF-Detailed'!AD1</f>
        <v>2020-09-30</v>
      </c>
      <c r="AF1" t="str">
        <f>'DCF-Detailed'!AE1</f>
        <v>2020-12-31</v>
      </c>
      <c r="AG1" t="str">
        <f>'DCF-Detailed'!AF1</f>
        <v>2021-03-31</v>
      </c>
      <c r="AH1" t="str">
        <f>'DCF-Detailed'!AG1</f>
        <v>2021-06-30</v>
      </c>
      <c r="AI1" t="str">
        <f>'DCF-Detailed'!AH1</f>
        <v>2021-09-30</v>
      </c>
      <c r="AJ1" t="str">
        <f>'DCF-Detailed'!AI1</f>
        <v>2021-12-31</v>
      </c>
      <c r="AK1" t="str">
        <f>'DCF-Detailed'!AJ1</f>
        <v>2022-03-31</v>
      </c>
      <c r="AL1" t="str">
        <f>'DCF-Detailed'!AK1</f>
        <v>2022-06-30</v>
      </c>
      <c r="AM1" t="str">
        <f>'DCF-Detailed'!AL1</f>
        <v>2022-09-30</v>
      </c>
      <c r="AN1" t="str">
        <f>'DCF-Detailed'!AM1</f>
        <v>2022-12-31</v>
      </c>
      <c r="AO1" t="str">
        <f>'DCF-Detailed'!AN1</f>
        <v>2023-03-31</v>
      </c>
      <c r="AP1" t="str">
        <f>'DCF-Detailed'!AO1</f>
        <v>2023-06-30</v>
      </c>
      <c r="AQ1" t="str">
        <f>'DCF-Detailed'!AP1</f>
        <v>2023-09-30</v>
      </c>
      <c r="AR1" t="str">
        <f>'DCF-Detailed'!AQ1</f>
        <v>2023-12-31</v>
      </c>
      <c r="AS1" t="str">
        <f>'DCF-Detailed'!AR1</f>
        <v>2024-03-31</v>
      </c>
    </row>
    <row r="2" spans="3:45" x14ac:dyDescent="0.35">
      <c r="C2" t="s">
        <v>175</v>
      </c>
      <c r="D2" t="e">
        <f>INDEX(Python!$1:$1048576,MATCH('Working Capital'!$C2,Python!$A:$A,0),MATCH('Working Capital'!D$1,Python!$1:$1,0))</f>
        <v>#N/A</v>
      </c>
      <c r="E2" t="e">
        <f>INDEX(Python!$1:$1048576,MATCH('Working Capital'!$C2,Python!$A:$A,0),MATCH('Working Capital'!E$1,Python!$1:$1,0))</f>
        <v>#N/A</v>
      </c>
      <c r="F2" t="e">
        <f>INDEX(Python!$1:$1048576,MATCH('Working Capital'!$C2,Python!$A:$A,0),MATCH('Working Capital'!F$1,Python!$1:$1,0))</f>
        <v>#N/A</v>
      </c>
      <c r="G2" t="e">
        <f>INDEX(Python!$1:$1048576,MATCH('Working Capital'!$C2,Python!$A:$A,0),MATCH('Working Capital'!G$1,Python!$1:$1,0))</f>
        <v>#N/A</v>
      </c>
      <c r="H2" t="e">
        <f>INDEX(Python!$1:$1048576,MATCH('Working Capital'!$C2,Python!$A:$A,0),MATCH('Working Capital'!H$1,Python!$1:$1,0))</f>
        <v>#N/A</v>
      </c>
      <c r="I2" t="e">
        <f>INDEX(Python!$1:$1048576,MATCH('Working Capital'!$C2,Python!$A:$A,0),MATCH('Working Capital'!I$1,Python!$1:$1,0))</f>
        <v>#N/A</v>
      </c>
      <c r="J2" t="e">
        <f>INDEX(Python!$1:$1048576,MATCH('Working Capital'!$C2,Python!$A:$A,0),MATCH('Working Capital'!J$1,Python!$1:$1,0))</f>
        <v>#N/A</v>
      </c>
      <c r="K2" t="e">
        <f>INDEX(Python!$1:$1048576,MATCH('Working Capital'!$C2,Python!$A:$A,0),MATCH('Working Capital'!K$1,Python!$1:$1,0))</f>
        <v>#N/A</v>
      </c>
      <c r="L2" t="e">
        <f>INDEX(Python!$1:$1048576,MATCH('Working Capital'!$C2,Python!$A:$A,0),MATCH('Working Capital'!L$1,Python!$1:$1,0))</f>
        <v>#N/A</v>
      </c>
      <c r="M2" t="e">
        <f>INDEX(Python!$1:$1048576,MATCH('Working Capital'!$C2,Python!$A:$A,0),MATCH('Working Capital'!M$1,Python!$1:$1,0))</f>
        <v>#N/A</v>
      </c>
      <c r="N2" t="e">
        <f>INDEX(Python!$1:$1048576,MATCH('Working Capital'!$C2,Python!$A:$A,0),MATCH('Working Capital'!N$1,Python!$1:$1,0))</f>
        <v>#N/A</v>
      </c>
      <c r="O2" t="e">
        <f>INDEX(Python!$1:$1048576,MATCH('Working Capital'!$C2,Python!$A:$A,0),MATCH('Working Capital'!O$1,Python!$1:$1,0))</f>
        <v>#N/A</v>
      </c>
      <c r="P2" t="e">
        <f>INDEX(Python!$1:$1048576,MATCH('Working Capital'!$C2,Python!$A:$A,0),MATCH('Working Capital'!P$1,Python!$1:$1,0))</f>
        <v>#N/A</v>
      </c>
      <c r="Q2" t="e">
        <f>INDEX(Python!$1:$1048576,MATCH('Working Capital'!$C2,Python!$A:$A,0),MATCH('Working Capital'!Q$1,Python!$1:$1,0))</f>
        <v>#N/A</v>
      </c>
      <c r="R2" t="e">
        <f>INDEX(Python!$1:$1048576,MATCH('Working Capital'!$C2,Python!$A:$A,0),MATCH('Working Capital'!R$1,Python!$1:$1,0))</f>
        <v>#N/A</v>
      </c>
      <c r="S2" t="e">
        <f>INDEX(Python!$1:$1048576,MATCH('Working Capital'!$C2,Python!$A:$A,0),MATCH('Working Capital'!S$1,Python!$1:$1,0))</f>
        <v>#N/A</v>
      </c>
      <c r="T2" t="e">
        <f>INDEX(Python!$1:$1048576,MATCH('Working Capital'!$C2,Python!$A:$A,0),MATCH('Working Capital'!T$1,Python!$1:$1,0))</f>
        <v>#N/A</v>
      </c>
      <c r="U2" t="e">
        <f>INDEX(Python!$1:$1048576,MATCH('Working Capital'!$C2,Python!$A:$A,0),MATCH('Working Capital'!U$1,Python!$1:$1,0))</f>
        <v>#N/A</v>
      </c>
      <c r="V2" t="e">
        <f>INDEX(Python!$1:$1048576,MATCH('Working Capital'!$C2,Python!$A:$A,0),MATCH('Working Capital'!V$1,Python!$1:$1,0))</f>
        <v>#N/A</v>
      </c>
      <c r="W2" t="e">
        <f>INDEX(Python!$1:$1048576,MATCH('Working Capital'!$C2,Python!$A:$A,0),MATCH('Working Capital'!W$1,Python!$1:$1,0))</f>
        <v>#N/A</v>
      </c>
      <c r="X2" t="e">
        <f>INDEX(Python!$1:$1048576,MATCH('Working Capital'!$C2,Python!$A:$A,0),MATCH('Working Capital'!X$1,Python!$1:$1,0))</f>
        <v>#N/A</v>
      </c>
      <c r="Y2" t="e">
        <f>INDEX(Python!$1:$1048576,MATCH('Working Capital'!$C2,Python!$A:$A,0),MATCH('Working Capital'!Y$1,Python!$1:$1,0))</f>
        <v>#N/A</v>
      </c>
      <c r="Z2" t="e">
        <f>INDEX(Python!$1:$1048576,MATCH('Working Capital'!$C2,Python!$A:$A,0),MATCH('Working Capital'!Z$1,Python!$1:$1,0))</f>
        <v>#N/A</v>
      </c>
      <c r="AA2" t="e">
        <f>INDEX(Python!$1:$1048576,MATCH('Working Capital'!$C2,Python!$A:$A,0),MATCH('Working Capital'!AA$1,Python!$1:$1,0))</f>
        <v>#N/A</v>
      </c>
      <c r="AB2" t="e">
        <f>INDEX(Python!$1:$1048576,MATCH('Working Capital'!$C2,Python!$A:$A,0),MATCH('Working Capital'!AB$1,Python!$1:$1,0))</f>
        <v>#N/A</v>
      </c>
      <c r="AC2" t="e">
        <f>INDEX(Python!$1:$1048576,MATCH('Working Capital'!$C2,Python!$A:$A,0),MATCH('Working Capital'!AC$1,Python!$1:$1,0))</f>
        <v>#N/A</v>
      </c>
      <c r="AD2" t="e">
        <f>INDEX(Python!$1:$1048576,MATCH('Working Capital'!$C2,Python!$A:$A,0),MATCH('Working Capital'!AD$1,Python!$1:$1,0))</f>
        <v>#N/A</v>
      </c>
      <c r="AE2" t="e">
        <f>INDEX(Python!$1:$1048576,MATCH('Working Capital'!$C2,Python!$A:$A,0),MATCH('Working Capital'!AE$1,Python!$1:$1,0))</f>
        <v>#N/A</v>
      </c>
      <c r="AF2" t="e">
        <f>INDEX(Python!$1:$1048576,MATCH('Working Capital'!$C2,Python!$A:$A,0),MATCH('Working Capital'!AF$1,Python!$1:$1,0))</f>
        <v>#N/A</v>
      </c>
      <c r="AG2" t="e">
        <f>INDEX(Python!$1:$1048576,MATCH('Working Capital'!$C2,Python!$A:$A,0),MATCH('Working Capital'!AG$1,Python!$1:$1,0))</f>
        <v>#N/A</v>
      </c>
      <c r="AH2" t="e">
        <f>INDEX(Python!$1:$1048576,MATCH('Working Capital'!$C2,Python!$A:$A,0),MATCH('Working Capital'!AH$1,Python!$1:$1,0))</f>
        <v>#N/A</v>
      </c>
      <c r="AI2" t="e">
        <f>INDEX(Python!$1:$1048576,MATCH('Working Capital'!$C2,Python!$A:$A,0),MATCH('Working Capital'!AI$1,Python!$1:$1,0))</f>
        <v>#N/A</v>
      </c>
      <c r="AJ2" t="e">
        <f>INDEX(Python!$1:$1048576,MATCH('Working Capital'!$C2,Python!$A:$A,0),MATCH('Working Capital'!AJ$1,Python!$1:$1,0))</f>
        <v>#N/A</v>
      </c>
      <c r="AK2" t="e">
        <f>INDEX(Python!$1:$1048576,MATCH('Working Capital'!$C2,Python!$A:$A,0),MATCH('Working Capital'!AK$1,Python!$1:$1,0))</f>
        <v>#N/A</v>
      </c>
      <c r="AL2" t="e">
        <f>INDEX(Python!$1:$1048576,MATCH('Working Capital'!$C2,Python!$A:$A,0),MATCH('Working Capital'!AL$1,Python!$1:$1,0))</f>
        <v>#N/A</v>
      </c>
      <c r="AM2" t="e">
        <f>INDEX(Python!$1:$1048576,MATCH('Working Capital'!$C2,Python!$A:$A,0),MATCH('Working Capital'!AM$1,Python!$1:$1,0))</f>
        <v>#N/A</v>
      </c>
      <c r="AN2" t="e">
        <f>INDEX(Python!$1:$1048576,MATCH('Working Capital'!$C2,Python!$A:$A,0),MATCH('Working Capital'!AN$1,Python!$1:$1,0))</f>
        <v>#N/A</v>
      </c>
      <c r="AO2" t="e">
        <f>INDEX(Python!$1:$1048576,MATCH('Working Capital'!$C2,Python!$A:$A,0),MATCH('Working Capital'!AO$1,Python!$1:$1,0))</f>
        <v>#N/A</v>
      </c>
      <c r="AP2" t="e">
        <f>INDEX(Python!$1:$1048576,MATCH('Working Capital'!$C2,Python!$A:$A,0),MATCH('Working Capital'!AP$1,Python!$1:$1,0))</f>
        <v>#N/A</v>
      </c>
      <c r="AQ2" t="e">
        <f>INDEX(Python!$1:$1048576,MATCH('Working Capital'!$C2,Python!$A:$A,0),MATCH('Working Capital'!AQ$1,Python!$1:$1,0))</f>
        <v>#N/A</v>
      </c>
      <c r="AR2" t="e">
        <f>INDEX(Python!$1:$1048576,MATCH('Working Capital'!$C2,Python!$A:$A,0),MATCH('Working Capital'!AR$1,Python!$1:$1,0))</f>
        <v>#N/A</v>
      </c>
      <c r="AS2" t="e">
        <f>INDEX(Python!$1:$1048576,MATCH('Working Capital'!$C2,Python!$A:$A,0),MATCH('Working Capital'!AS$1,Python!$1:$1,0))</f>
        <v>#N/A</v>
      </c>
    </row>
    <row r="3" spans="3:45" x14ac:dyDescent="0.35">
      <c r="C3" t="s">
        <v>176</v>
      </c>
      <c r="D3" t="e">
        <f>INDEX(Python!$1:$1048576,MATCH('Working Capital'!$C3,Python!$A:$A,0),MATCH('Working Capital'!D$1,Python!$1:$1,0))</f>
        <v>#N/A</v>
      </c>
      <c r="E3" t="e">
        <f>INDEX(Python!$1:$1048576,MATCH('Working Capital'!$C3,Python!$A:$A,0),MATCH('Working Capital'!E$1,Python!$1:$1,0))</f>
        <v>#N/A</v>
      </c>
      <c r="F3" t="e">
        <f>INDEX(Python!$1:$1048576,MATCH('Working Capital'!$C3,Python!$A:$A,0),MATCH('Working Capital'!F$1,Python!$1:$1,0))</f>
        <v>#N/A</v>
      </c>
      <c r="G3" t="e">
        <f>INDEX(Python!$1:$1048576,MATCH('Working Capital'!$C3,Python!$A:$A,0),MATCH('Working Capital'!G$1,Python!$1:$1,0))</f>
        <v>#N/A</v>
      </c>
      <c r="H3" t="e">
        <f>INDEX(Python!$1:$1048576,MATCH('Working Capital'!$C3,Python!$A:$A,0),MATCH('Working Capital'!H$1,Python!$1:$1,0))</f>
        <v>#N/A</v>
      </c>
      <c r="I3" t="e">
        <f>INDEX(Python!$1:$1048576,MATCH('Working Capital'!$C3,Python!$A:$A,0),MATCH('Working Capital'!I$1,Python!$1:$1,0))</f>
        <v>#N/A</v>
      </c>
      <c r="J3" t="e">
        <f>INDEX(Python!$1:$1048576,MATCH('Working Capital'!$C3,Python!$A:$A,0),MATCH('Working Capital'!J$1,Python!$1:$1,0))</f>
        <v>#N/A</v>
      </c>
      <c r="K3" t="e">
        <f>INDEX(Python!$1:$1048576,MATCH('Working Capital'!$C3,Python!$A:$A,0),MATCH('Working Capital'!K$1,Python!$1:$1,0))</f>
        <v>#N/A</v>
      </c>
      <c r="L3" t="e">
        <f>INDEX(Python!$1:$1048576,MATCH('Working Capital'!$C3,Python!$A:$A,0),MATCH('Working Capital'!L$1,Python!$1:$1,0))</f>
        <v>#N/A</v>
      </c>
      <c r="M3" t="e">
        <f>INDEX(Python!$1:$1048576,MATCH('Working Capital'!$C3,Python!$A:$A,0),MATCH('Working Capital'!M$1,Python!$1:$1,0))</f>
        <v>#N/A</v>
      </c>
      <c r="N3" t="e">
        <f>INDEX(Python!$1:$1048576,MATCH('Working Capital'!$C3,Python!$A:$A,0),MATCH('Working Capital'!N$1,Python!$1:$1,0))</f>
        <v>#N/A</v>
      </c>
      <c r="O3" t="e">
        <f>INDEX(Python!$1:$1048576,MATCH('Working Capital'!$C3,Python!$A:$A,0),MATCH('Working Capital'!O$1,Python!$1:$1,0))</f>
        <v>#N/A</v>
      </c>
      <c r="P3" t="e">
        <f>INDEX(Python!$1:$1048576,MATCH('Working Capital'!$C3,Python!$A:$A,0),MATCH('Working Capital'!P$1,Python!$1:$1,0))</f>
        <v>#N/A</v>
      </c>
      <c r="Q3" t="e">
        <f>INDEX(Python!$1:$1048576,MATCH('Working Capital'!$C3,Python!$A:$A,0),MATCH('Working Capital'!Q$1,Python!$1:$1,0))</f>
        <v>#N/A</v>
      </c>
      <c r="R3" t="e">
        <f>INDEX(Python!$1:$1048576,MATCH('Working Capital'!$C3,Python!$A:$A,0),MATCH('Working Capital'!R$1,Python!$1:$1,0))</f>
        <v>#N/A</v>
      </c>
      <c r="S3" t="e">
        <f>INDEX(Python!$1:$1048576,MATCH('Working Capital'!$C3,Python!$A:$A,0),MATCH('Working Capital'!S$1,Python!$1:$1,0))</f>
        <v>#N/A</v>
      </c>
      <c r="T3" t="e">
        <f>INDEX(Python!$1:$1048576,MATCH('Working Capital'!$C3,Python!$A:$A,0),MATCH('Working Capital'!T$1,Python!$1:$1,0))</f>
        <v>#N/A</v>
      </c>
      <c r="U3" t="e">
        <f>INDEX(Python!$1:$1048576,MATCH('Working Capital'!$C3,Python!$A:$A,0),MATCH('Working Capital'!U$1,Python!$1:$1,0))</f>
        <v>#N/A</v>
      </c>
      <c r="V3" t="e">
        <f>INDEX(Python!$1:$1048576,MATCH('Working Capital'!$C3,Python!$A:$A,0),MATCH('Working Capital'!V$1,Python!$1:$1,0))</f>
        <v>#N/A</v>
      </c>
      <c r="W3" t="e">
        <f>INDEX(Python!$1:$1048576,MATCH('Working Capital'!$C3,Python!$A:$A,0),MATCH('Working Capital'!W$1,Python!$1:$1,0))</f>
        <v>#N/A</v>
      </c>
      <c r="X3" t="e">
        <f>INDEX(Python!$1:$1048576,MATCH('Working Capital'!$C3,Python!$A:$A,0),MATCH('Working Capital'!X$1,Python!$1:$1,0))</f>
        <v>#N/A</v>
      </c>
      <c r="Y3" t="e">
        <f>INDEX(Python!$1:$1048576,MATCH('Working Capital'!$C3,Python!$A:$A,0),MATCH('Working Capital'!Y$1,Python!$1:$1,0))</f>
        <v>#N/A</v>
      </c>
      <c r="Z3" t="e">
        <f>INDEX(Python!$1:$1048576,MATCH('Working Capital'!$C3,Python!$A:$A,0),MATCH('Working Capital'!Z$1,Python!$1:$1,0))</f>
        <v>#N/A</v>
      </c>
      <c r="AA3" t="e">
        <f>INDEX(Python!$1:$1048576,MATCH('Working Capital'!$C3,Python!$A:$A,0),MATCH('Working Capital'!AA$1,Python!$1:$1,0))</f>
        <v>#N/A</v>
      </c>
      <c r="AB3" t="e">
        <f>INDEX(Python!$1:$1048576,MATCH('Working Capital'!$C3,Python!$A:$A,0),MATCH('Working Capital'!AB$1,Python!$1:$1,0))</f>
        <v>#N/A</v>
      </c>
      <c r="AC3" t="e">
        <f>INDEX(Python!$1:$1048576,MATCH('Working Capital'!$C3,Python!$A:$A,0),MATCH('Working Capital'!AC$1,Python!$1:$1,0))</f>
        <v>#N/A</v>
      </c>
      <c r="AD3" t="e">
        <f>INDEX(Python!$1:$1048576,MATCH('Working Capital'!$C3,Python!$A:$A,0),MATCH('Working Capital'!AD$1,Python!$1:$1,0))</f>
        <v>#N/A</v>
      </c>
      <c r="AE3" t="e">
        <f>INDEX(Python!$1:$1048576,MATCH('Working Capital'!$C3,Python!$A:$A,0),MATCH('Working Capital'!AE$1,Python!$1:$1,0))</f>
        <v>#N/A</v>
      </c>
      <c r="AF3" t="e">
        <f>INDEX(Python!$1:$1048576,MATCH('Working Capital'!$C3,Python!$A:$A,0),MATCH('Working Capital'!AF$1,Python!$1:$1,0))</f>
        <v>#N/A</v>
      </c>
      <c r="AG3" t="e">
        <f>INDEX(Python!$1:$1048576,MATCH('Working Capital'!$C3,Python!$A:$A,0),MATCH('Working Capital'!AG$1,Python!$1:$1,0))</f>
        <v>#N/A</v>
      </c>
      <c r="AH3" t="e">
        <f>INDEX(Python!$1:$1048576,MATCH('Working Capital'!$C3,Python!$A:$A,0),MATCH('Working Capital'!AH$1,Python!$1:$1,0))</f>
        <v>#N/A</v>
      </c>
      <c r="AI3" t="e">
        <f>INDEX(Python!$1:$1048576,MATCH('Working Capital'!$C3,Python!$A:$A,0),MATCH('Working Capital'!AI$1,Python!$1:$1,0))</f>
        <v>#N/A</v>
      </c>
      <c r="AJ3" t="e">
        <f>INDEX(Python!$1:$1048576,MATCH('Working Capital'!$C3,Python!$A:$A,0),MATCH('Working Capital'!AJ$1,Python!$1:$1,0))</f>
        <v>#N/A</v>
      </c>
      <c r="AK3" t="e">
        <f>INDEX(Python!$1:$1048576,MATCH('Working Capital'!$C3,Python!$A:$A,0),MATCH('Working Capital'!AK$1,Python!$1:$1,0))</f>
        <v>#N/A</v>
      </c>
      <c r="AL3" t="e">
        <f>INDEX(Python!$1:$1048576,MATCH('Working Capital'!$C3,Python!$A:$A,0),MATCH('Working Capital'!AL$1,Python!$1:$1,0))</f>
        <v>#N/A</v>
      </c>
      <c r="AM3" t="e">
        <f>INDEX(Python!$1:$1048576,MATCH('Working Capital'!$C3,Python!$A:$A,0),MATCH('Working Capital'!AM$1,Python!$1:$1,0))</f>
        <v>#N/A</v>
      </c>
      <c r="AN3" t="e">
        <f>INDEX(Python!$1:$1048576,MATCH('Working Capital'!$C3,Python!$A:$A,0),MATCH('Working Capital'!AN$1,Python!$1:$1,0))</f>
        <v>#N/A</v>
      </c>
      <c r="AO3" t="e">
        <f>INDEX(Python!$1:$1048576,MATCH('Working Capital'!$C3,Python!$A:$A,0),MATCH('Working Capital'!AO$1,Python!$1:$1,0))</f>
        <v>#N/A</v>
      </c>
      <c r="AP3" t="e">
        <f>INDEX(Python!$1:$1048576,MATCH('Working Capital'!$C3,Python!$A:$A,0),MATCH('Working Capital'!AP$1,Python!$1:$1,0))</f>
        <v>#N/A</v>
      </c>
      <c r="AQ3" t="e">
        <f>INDEX(Python!$1:$1048576,MATCH('Working Capital'!$C3,Python!$A:$A,0),MATCH('Working Capital'!AQ$1,Python!$1:$1,0))</f>
        <v>#N/A</v>
      </c>
      <c r="AR3" t="e">
        <f>INDEX(Python!$1:$1048576,MATCH('Working Capital'!$C3,Python!$A:$A,0),MATCH('Working Capital'!AR$1,Python!$1:$1,0))</f>
        <v>#N/A</v>
      </c>
      <c r="AS3" t="e">
        <f>INDEX(Python!$1:$1048576,MATCH('Working Capital'!$C3,Python!$A:$A,0),MATCH('Working Capital'!AS$1,Python!$1:$1,0))</f>
        <v>#N/A</v>
      </c>
    </row>
    <row r="4" spans="3:45" x14ac:dyDescent="0.35">
      <c r="C4" t="s">
        <v>173</v>
      </c>
      <c r="D4" t="e">
        <f>D2-D3</f>
        <v>#N/A</v>
      </c>
      <c r="E4" t="e">
        <f t="shared" ref="E4:AS4" si="0">E2-E3</f>
        <v>#N/A</v>
      </c>
      <c r="F4" t="e">
        <f t="shared" si="0"/>
        <v>#N/A</v>
      </c>
      <c r="G4" t="e">
        <f t="shared" si="0"/>
        <v>#N/A</v>
      </c>
      <c r="H4" t="e">
        <f t="shared" si="0"/>
        <v>#N/A</v>
      </c>
      <c r="I4" t="e">
        <f t="shared" si="0"/>
        <v>#N/A</v>
      </c>
      <c r="J4" t="e">
        <f t="shared" si="0"/>
        <v>#N/A</v>
      </c>
      <c r="K4" t="e">
        <f t="shared" si="0"/>
        <v>#N/A</v>
      </c>
      <c r="L4" t="e">
        <f t="shared" si="0"/>
        <v>#N/A</v>
      </c>
      <c r="M4" t="e">
        <f t="shared" si="0"/>
        <v>#N/A</v>
      </c>
      <c r="N4" t="e">
        <f t="shared" si="0"/>
        <v>#N/A</v>
      </c>
      <c r="O4" t="e">
        <f t="shared" si="0"/>
        <v>#N/A</v>
      </c>
      <c r="P4" t="e">
        <f t="shared" si="0"/>
        <v>#N/A</v>
      </c>
      <c r="Q4" t="e">
        <f t="shared" si="0"/>
        <v>#N/A</v>
      </c>
      <c r="R4" t="e">
        <f t="shared" si="0"/>
        <v>#N/A</v>
      </c>
      <c r="S4" t="e">
        <f t="shared" si="0"/>
        <v>#N/A</v>
      </c>
      <c r="T4" t="e">
        <f t="shared" si="0"/>
        <v>#N/A</v>
      </c>
      <c r="U4" t="e">
        <f t="shared" si="0"/>
        <v>#N/A</v>
      </c>
      <c r="V4" t="e">
        <f t="shared" si="0"/>
        <v>#N/A</v>
      </c>
      <c r="W4" t="e">
        <f t="shared" si="0"/>
        <v>#N/A</v>
      </c>
      <c r="X4" t="e">
        <f t="shared" si="0"/>
        <v>#N/A</v>
      </c>
      <c r="Y4" t="e">
        <f t="shared" si="0"/>
        <v>#N/A</v>
      </c>
      <c r="Z4" t="e">
        <f t="shared" si="0"/>
        <v>#N/A</v>
      </c>
      <c r="AA4" t="e">
        <f t="shared" si="0"/>
        <v>#N/A</v>
      </c>
      <c r="AB4" t="e">
        <f t="shared" si="0"/>
        <v>#N/A</v>
      </c>
      <c r="AC4" t="e">
        <f t="shared" si="0"/>
        <v>#N/A</v>
      </c>
      <c r="AD4" t="e">
        <f t="shared" si="0"/>
        <v>#N/A</v>
      </c>
      <c r="AE4" t="e">
        <f t="shared" si="0"/>
        <v>#N/A</v>
      </c>
      <c r="AF4" t="e">
        <f t="shared" si="0"/>
        <v>#N/A</v>
      </c>
      <c r="AG4" t="e">
        <f t="shared" si="0"/>
        <v>#N/A</v>
      </c>
      <c r="AH4" t="e">
        <f t="shared" si="0"/>
        <v>#N/A</v>
      </c>
      <c r="AI4" t="e">
        <f t="shared" si="0"/>
        <v>#N/A</v>
      </c>
      <c r="AJ4" t="e">
        <f t="shared" si="0"/>
        <v>#N/A</v>
      </c>
      <c r="AK4" t="e">
        <f t="shared" si="0"/>
        <v>#N/A</v>
      </c>
      <c r="AL4" t="e">
        <f t="shared" si="0"/>
        <v>#N/A</v>
      </c>
      <c r="AM4" t="e">
        <f t="shared" si="0"/>
        <v>#N/A</v>
      </c>
      <c r="AN4" t="e">
        <f t="shared" si="0"/>
        <v>#N/A</v>
      </c>
      <c r="AO4" t="e">
        <f t="shared" si="0"/>
        <v>#N/A</v>
      </c>
      <c r="AP4" t="e">
        <f t="shared" si="0"/>
        <v>#N/A</v>
      </c>
      <c r="AQ4" t="e">
        <f t="shared" si="0"/>
        <v>#N/A</v>
      </c>
      <c r="AR4" t="e">
        <f t="shared" si="0"/>
        <v>#N/A</v>
      </c>
      <c r="AS4" t="e">
        <f t="shared" si="0"/>
        <v>#N/A</v>
      </c>
    </row>
    <row r="5" spans="3:45" x14ac:dyDescent="0.35">
      <c r="C5" t="s">
        <v>169</v>
      </c>
      <c r="E5" t="e">
        <f>E4-D4</f>
        <v>#N/A</v>
      </c>
      <c r="F5" t="e">
        <f t="shared" ref="F5:AS5" si="1">F4-E4</f>
        <v>#N/A</v>
      </c>
      <c r="G5" t="e">
        <f t="shared" si="1"/>
        <v>#N/A</v>
      </c>
      <c r="H5" t="e">
        <f t="shared" si="1"/>
        <v>#N/A</v>
      </c>
      <c r="I5" t="e">
        <f t="shared" si="1"/>
        <v>#N/A</v>
      </c>
      <c r="J5" t="e">
        <f t="shared" si="1"/>
        <v>#N/A</v>
      </c>
      <c r="K5" t="e">
        <f t="shared" si="1"/>
        <v>#N/A</v>
      </c>
      <c r="L5" t="e">
        <f t="shared" si="1"/>
        <v>#N/A</v>
      </c>
      <c r="M5" t="e">
        <f t="shared" si="1"/>
        <v>#N/A</v>
      </c>
      <c r="N5" t="e">
        <f t="shared" si="1"/>
        <v>#N/A</v>
      </c>
      <c r="O5" t="e">
        <f t="shared" si="1"/>
        <v>#N/A</v>
      </c>
      <c r="P5" t="e">
        <f t="shared" si="1"/>
        <v>#N/A</v>
      </c>
      <c r="Q5" t="e">
        <f t="shared" si="1"/>
        <v>#N/A</v>
      </c>
      <c r="R5" t="e">
        <f t="shared" si="1"/>
        <v>#N/A</v>
      </c>
      <c r="S5" t="e">
        <f t="shared" si="1"/>
        <v>#N/A</v>
      </c>
      <c r="T5" t="e">
        <f t="shared" si="1"/>
        <v>#N/A</v>
      </c>
      <c r="U5" t="e">
        <f t="shared" si="1"/>
        <v>#N/A</v>
      </c>
      <c r="V5" t="e">
        <f t="shared" si="1"/>
        <v>#N/A</v>
      </c>
      <c r="W5" t="e">
        <f t="shared" si="1"/>
        <v>#N/A</v>
      </c>
      <c r="X5" t="e">
        <f t="shared" si="1"/>
        <v>#N/A</v>
      </c>
      <c r="Y5" t="e">
        <f t="shared" si="1"/>
        <v>#N/A</v>
      </c>
      <c r="Z5" t="e">
        <f t="shared" si="1"/>
        <v>#N/A</v>
      </c>
      <c r="AA5" t="e">
        <f t="shared" si="1"/>
        <v>#N/A</v>
      </c>
      <c r="AB5" t="e">
        <f t="shared" si="1"/>
        <v>#N/A</v>
      </c>
      <c r="AC5" t="e">
        <f t="shared" si="1"/>
        <v>#N/A</v>
      </c>
      <c r="AD5" t="e">
        <f t="shared" si="1"/>
        <v>#N/A</v>
      </c>
      <c r="AE5" t="e">
        <f t="shared" si="1"/>
        <v>#N/A</v>
      </c>
      <c r="AF5" t="e">
        <f t="shared" si="1"/>
        <v>#N/A</v>
      </c>
      <c r="AG5" t="e">
        <f t="shared" si="1"/>
        <v>#N/A</v>
      </c>
      <c r="AH5" t="e">
        <f t="shared" si="1"/>
        <v>#N/A</v>
      </c>
      <c r="AI5" t="e">
        <f t="shared" si="1"/>
        <v>#N/A</v>
      </c>
      <c r="AJ5" t="e">
        <f t="shared" si="1"/>
        <v>#N/A</v>
      </c>
      <c r="AK5" t="e">
        <f t="shared" si="1"/>
        <v>#N/A</v>
      </c>
      <c r="AL5" t="e">
        <f t="shared" si="1"/>
        <v>#N/A</v>
      </c>
      <c r="AM5" t="e">
        <f t="shared" si="1"/>
        <v>#N/A</v>
      </c>
      <c r="AN5" t="e">
        <f t="shared" si="1"/>
        <v>#N/A</v>
      </c>
      <c r="AO5" t="e">
        <f t="shared" si="1"/>
        <v>#N/A</v>
      </c>
      <c r="AP5" t="e">
        <f t="shared" si="1"/>
        <v>#N/A</v>
      </c>
      <c r="AQ5" t="e">
        <f t="shared" si="1"/>
        <v>#N/A</v>
      </c>
      <c r="AR5" t="e">
        <f t="shared" si="1"/>
        <v>#N/A</v>
      </c>
      <c r="AS5" t="e">
        <f t="shared" si="1"/>
        <v>#N/A</v>
      </c>
    </row>
    <row r="7" spans="3:45" x14ac:dyDescent="0.35">
      <c r="C7" t="s">
        <v>177</v>
      </c>
      <c r="F7" s="58" t="e">
        <f>F5/E4</f>
        <v>#N/A</v>
      </c>
      <c r="G7" s="58" t="e">
        <f t="shared" ref="G7:AS7" si="2">G5/F4</f>
        <v>#N/A</v>
      </c>
      <c r="H7" s="58" t="e">
        <f t="shared" si="2"/>
        <v>#N/A</v>
      </c>
      <c r="I7" s="58" t="e">
        <f t="shared" si="2"/>
        <v>#N/A</v>
      </c>
      <c r="J7" s="58" t="e">
        <f t="shared" si="2"/>
        <v>#N/A</v>
      </c>
      <c r="K7" s="58" t="e">
        <f t="shared" si="2"/>
        <v>#N/A</v>
      </c>
      <c r="L7" s="58" t="e">
        <f t="shared" si="2"/>
        <v>#N/A</v>
      </c>
      <c r="M7" s="58" t="e">
        <f t="shared" si="2"/>
        <v>#N/A</v>
      </c>
      <c r="N7" s="58" t="e">
        <f t="shared" si="2"/>
        <v>#N/A</v>
      </c>
      <c r="O7" s="58" t="e">
        <f t="shared" si="2"/>
        <v>#N/A</v>
      </c>
      <c r="P7" s="58" t="e">
        <f t="shared" si="2"/>
        <v>#N/A</v>
      </c>
      <c r="Q7" s="58" t="e">
        <f t="shared" si="2"/>
        <v>#N/A</v>
      </c>
      <c r="R7" s="58" t="e">
        <f t="shared" si="2"/>
        <v>#N/A</v>
      </c>
      <c r="S7" s="58" t="e">
        <f t="shared" si="2"/>
        <v>#N/A</v>
      </c>
      <c r="T7" s="58" t="e">
        <f t="shared" si="2"/>
        <v>#N/A</v>
      </c>
      <c r="U7" s="58" t="e">
        <f t="shared" si="2"/>
        <v>#N/A</v>
      </c>
      <c r="V7" s="58" t="e">
        <f t="shared" si="2"/>
        <v>#N/A</v>
      </c>
      <c r="W7" s="58" t="e">
        <f t="shared" si="2"/>
        <v>#N/A</v>
      </c>
      <c r="X7" s="58" t="e">
        <f t="shared" si="2"/>
        <v>#N/A</v>
      </c>
      <c r="Y7" s="58" t="e">
        <f t="shared" si="2"/>
        <v>#N/A</v>
      </c>
      <c r="Z7" s="58" t="e">
        <f t="shared" si="2"/>
        <v>#N/A</v>
      </c>
      <c r="AA7" s="58" t="e">
        <f t="shared" si="2"/>
        <v>#N/A</v>
      </c>
      <c r="AB7" s="58" t="e">
        <f t="shared" si="2"/>
        <v>#N/A</v>
      </c>
      <c r="AC7" s="58" t="e">
        <f t="shared" si="2"/>
        <v>#N/A</v>
      </c>
      <c r="AD7" s="58" t="e">
        <f t="shared" si="2"/>
        <v>#N/A</v>
      </c>
      <c r="AE7" s="58" t="e">
        <f t="shared" si="2"/>
        <v>#N/A</v>
      </c>
      <c r="AF7" s="58" t="e">
        <f t="shared" si="2"/>
        <v>#N/A</v>
      </c>
      <c r="AG7" s="58" t="e">
        <f t="shared" si="2"/>
        <v>#N/A</v>
      </c>
      <c r="AH7" s="58" t="e">
        <f t="shared" si="2"/>
        <v>#N/A</v>
      </c>
      <c r="AI7" s="58" t="e">
        <f t="shared" si="2"/>
        <v>#N/A</v>
      </c>
      <c r="AJ7" s="58" t="e">
        <f t="shared" si="2"/>
        <v>#N/A</v>
      </c>
      <c r="AK7" s="58" t="e">
        <f t="shared" si="2"/>
        <v>#N/A</v>
      </c>
      <c r="AL7" s="58" t="e">
        <f t="shared" si="2"/>
        <v>#N/A</v>
      </c>
      <c r="AM7" s="58" t="e">
        <f t="shared" si="2"/>
        <v>#N/A</v>
      </c>
      <c r="AN7" s="58" t="e">
        <f t="shared" si="2"/>
        <v>#N/A</v>
      </c>
      <c r="AO7" s="58" t="e">
        <f t="shared" si="2"/>
        <v>#N/A</v>
      </c>
      <c r="AP7" s="58" t="e">
        <f t="shared" si="2"/>
        <v>#N/A</v>
      </c>
      <c r="AQ7" s="58" t="e">
        <f t="shared" si="2"/>
        <v>#N/A</v>
      </c>
      <c r="AR7" s="58" t="e">
        <f t="shared" si="2"/>
        <v>#N/A</v>
      </c>
      <c r="AS7" s="58" t="e">
        <f t="shared" si="2"/>
        <v>#N/A</v>
      </c>
    </row>
    <row r="10" spans="3:45" x14ac:dyDescent="0.35">
      <c r="C10" t="s">
        <v>178</v>
      </c>
      <c r="D10" s="113" t="e">
        <f>AVERAGE(7:7)</f>
        <v>#N/A</v>
      </c>
    </row>
    <row r="11" spans="3:45" x14ac:dyDescent="0.35">
      <c r="C11" t="s">
        <v>179</v>
      </c>
      <c r="D11" s="113" t="e">
        <f>MEDIAN(7:7)</f>
        <v>#N/A</v>
      </c>
    </row>
    <row r="12" spans="3:45" x14ac:dyDescent="0.35">
      <c r="C12" t="s">
        <v>180</v>
      </c>
      <c r="D12" s="113" t="e">
        <f>MIN(7:7)</f>
        <v>#N/A</v>
      </c>
    </row>
    <row r="13" spans="3:45" x14ac:dyDescent="0.35">
      <c r="C13" t="s">
        <v>181</v>
      </c>
      <c r="D13" s="113" t="e">
        <f>MAX(7:7)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C3DE-A759-493C-A895-25BFABEA11A0}">
  <sheetPr codeName="Sheet5"/>
  <dimension ref="C3:C4"/>
  <sheetViews>
    <sheetView workbookViewId="0">
      <selection activeCell="G36" sqref="G36"/>
    </sheetView>
  </sheetViews>
  <sheetFormatPr defaultRowHeight="14.5" x14ac:dyDescent="0.35"/>
  <sheetData>
    <row r="3" spans="3:3" x14ac:dyDescent="0.35">
      <c r="C3" t="s">
        <v>60</v>
      </c>
    </row>
    <row r="4" spans="3:3" x14ac:dyDescent="0.35">
      <c r="C4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7DA6-F6F2-4289-A4BA-A18FE90280CD}">
  <sheetPr codeName="Sheet6"/>
  <dimension ref="C3:O79"/>
  <sheetViews>
    <sheetView topLeftCell="A63" workbookViewId="0">
      <selection activeCell="K80" sqref="K80"/>
    </sheetView>
  </sheetViews>
  <sheetFormatPr defaultRowHeight="14.5" x14ac:dyDescent="0.35"/>
  <sheetData>
    <row r="3" spans="3:15" x14ac:dyDescent="0.35">
      <c r="C3" t="s">
        <v>56</v>
      </c>
      <c r="D3" t="s">
        <v>57</v>
      </c>
      <c r="J3" t="s">
        <v>63</v>
      </c>
    </row>
    <row r="4" spans="3:15" x14ac:dyDescent="0.35">
      <c r="C4" t="s">
        <v>58</v>
      </c>
      <c r="D4" t="s">
        <v>59</v>
      </c>
      <c r="H4" s="107" t="s">
        <v>38</v>
      </c>
      <c r="I4">
        <v>-257</v>
      </c>
      <c r="J4">
        <v>42</v>
      </c>
      <c r="K4">
        <v>463</v>
      </c>
      <c r="L4">
        <v>-140</v>
      </c>
      <c r="M4">
        <v>180</v>
      </c>
      <c r="N4">
        <v>259</v>
      </c>
    </row>
    <row r="5" spans="3:15" x14ac:dyDescent="0.35">
      <c r="H5" s="107" t="s">
        <v>75</v>
      </c>
      <c r="I5">
        <v>13</v>
      </c>
      <c r="J5">
        <v>34</v>
      </c>
      <c r="K5">
        <v>-6</v>
      </c>
      <c r="L5">
        <v>140</v>
      </c>
      <c r="M5">
        <v>513</v>
      </c>
      <c r="N5">
        <v>199</v>
      </c>
    </row>
    <row r="6" spans="3:15" x14ac:dyDescent="0.35">
      <c r="H6" t="s">
        <v>66</v>
      </c>
      <c r="J6" s="49">
        <v>294</v>
      </c>
      <c r="K6" s="49">
        <v>183</v>
      </c>
      <c r="L6" s="49">
        <v>-50</v>
      </c>
      <c r="M6" s="49">
        <v>111</v>
      </c>
      <c r="N6">
        <v>-156</v>
      </c>
      <c r="O6" s="9">
        <v>134</v>
      </c>
    </row>
    <row r="8" spans="3:15" x14ac:dyDescent="0.35">
      <c r="J8" t="s">
        <v>67</v>
      </c>
    </row>
    <row r="9" spans="3:15" x14ac:dyDescent="0.35">
      <c r="J9" t="s">
        <v>68</v>
      </c>
    </row>
    <row r="10" spans="3:15" x14ac:dyDescent="0.35">
      <c r="J10" t="s">
        <v>69</v>
      </c>
    </row>
    <row r="11" spans="3:15" x14ac:dyDescent="0.35">
      <c r="J11" t="s">
        <v>70</v>
      </c>
    </row>
    <row r="12" spans="3:15" x14ac:dyDescent="0.35">
      <c r="K12" t="s">
        <v>71</v>
      </c>
    </row>
    <row r="14" spans="3:15" x14ac:dyDescent="0.35">
      <c r="K14" t="s">
        <v>72</v>
      </c>
    </row>
    <row r="15" spans="3:15" x14ac:dyDescent="0.35">
      <c r="K15" t="s">
        <v>73</v>
      </c>
    </row>
    <row r="16" spans="3:15" x14ac:dyDescent="0.35">
      <c r="K16" t="s">
        <v>74</v>
      </c>
    </row>
    <row r="17" spans="11:11" x14ac:dyDescent="0.35">
      <c r="K17" t="s">
        <v>76</v>
      </c>
    </row>
    <row r="18" spans="11:11" x14ac:dyDescent="0.35">
      <c r="K18" t="s">
        <v>82</v>
      </c>
    </row>
    <row r="19" spans="11:11" x14ac:dyDescent="0.35">
      <c r="K19" t="s">
        <v>83</v>
      </c>
    </row>
    <row r="20" spans="11:11" x14ac:dyDescent="0.35">
      <c r="K20" t="s">
        <v>84</v>
      </c>
    </row>
    <row r="21" spans="11:11" x14ac:dyDescent="0.35">
      <c r="K21" t="s">
        <v>85</v>
      </c>
    </row>
    <row r="23" spans="11:11" x14ac:dyDescent="0.35">
      <c r="K23" t="s">
        <v>86</v>
      </c>
    </row>
    <row r="26" spans="11:11" x14ac:dyDescent="0.35">
      <c r="K26" t="s">
        <v>88</v>
      </c>
    </row>
    <row r="27" spans="11:11" x14ac:dyDescent="0.35">
      <c r="K27" t="s">
        <v>91</v>
      </c>
    </row>
    <row r="29" spans="11:11" x14ac:dyDescent="0.35">
      <c r="K29" t="s">
        <v>93</v>
      </c>
    </row>
    <row r="30" spans="11:11" x14ac:dyDescent="0.35">
      <c r="K30" t="s">
        <v>94</v>
      </c>
    </row>
    <row r="33" spans="11:11" x14ac:dyDescent="0.35">
      <c r="K33" t="s">
        <v>95</v>
      </c>
    </row>
    <row r="36" spans="11:11" x14ac:dyDescent="0.35">
      <c r="K36" t="s">
        <v>96</v>
      </c>
    </row>
    <row r="37" spans="11:11" x14ac:dyDescent="0.35">
      <c r="K37" t="s">
        <v>97</v>
      </c>
    </row>
    <row r="38" spans="11:11" x14ac:dyDescent="0.35">
      <c r="K38" t="s">
        <v>98</v>
      </c>
    </row>
    <row r="41" spans="11:11" x14ac:dyDescent="0.35">
      <c r="K41" t="s">
        <v>103</v>
      </c>
    </row>
    <row r="42" spans="11:11" x14ac:dyDescent="0.35">
      <c r="K42" t="s">
        <v>104</v>
      </c>
    </row>
    <row r="45" spans="11:11" x14ac:dyDescent="0.35">
      <c r="K45" t="s">
        <v>105</v>
      </c>
    </row>
    <row r="48" spans="11:11" x14ac:dyDescent="0.35">
      <c r="K48" t="s">
        <v>106</v>
      </c>
    </row>
    <row r="50" spans="3:11" x14ac:dyDescent="0.35">
      <c r="K50" t="s">
        <v>107</v>
      </c>
    </row>
    <row r="53" spans="3:11" x14ac:dyDescent="0.35">
      <c r="K53" t="s">
        <v>108</v>
      </c>
    </row>
    <row r="55" spans="3:11" x14ac:dyDescent="0.35">
      <c r="K55" t="s">
        <v>109</v>
      </c>
    </row>
    <row r="58" spans="3:11" x14ac:dyDescent="0.35">
      <c r="K58" t="s">
        <v>110</v>
      </c>
    </row>
    <row r="59" spans="3:11" x14ac:dyDescent="0.35">
      <c r="K59" t="s">
        <v>111</v>
      </c>
    </row>
    <row r="60" spans="3:11" x14ac:dyDescent="0.35">
      <c r="K60" t="s">
        <v>112</v>
      </c>
    </row>
    <row r="61" spans="3:11" x14ac:dyDescent="0.35">
      <c r="K61" t="s">
        <v>113</v>
      </c>
    </row>
    <row r="62" spans="3:11" x14ac:dyDescent="0.35">
      <c r="K62" t="s">
        <v>114</v>
      </c>
    </row>
    <row r="64" spans="3:11" x14ac:dyDescent="0.35">
      <c r="C64" s="127" t="s">
        <v>117</v>
      </c>
    </row>
    <row r="65" spans="3:12" x14ac:dyDescent="0.35">
      <c r="K65" t="s">
        <v>115</v>
      </c>
    </row>
    <row r="66" spans="3:12" x14ac:dyDescent="0.35">
      <c r="C66" t="s">
        <v>118</v>
      </c>
      <c r="L66" t="s">
        <v>97</v>
      </c>
    </row>
    <row r="67" spans="3:12" x14ac:dyDescent="0.35">
      <c r="C67" t="s">
        <v>119</v>
      </c>
      <c r="L67" t="s">
        <v>116</v>
      </c>
    </row>
    <row r="68" spans="3:12" x14ac:dyDescent="0.35">
      <c r="C68" t="s">
        <v>120</v>
      </c>
      <c r="L68" t="s">
        <v>98</v>
      </c>
    </row>
    <row r="69" spans="3:12" x14ac:dyDescent="0.35">
      <c r="C69" t="s">
        <v>121</v>
      </c>
    </row>
    <row r="70" spans="3:12" x14ac:dyDescent="0.35">
      <c r="K70" t="s">
        <v>170</v>
      </c>
    </row>
    <row r="71" spans="3:12" x14ac:dyDescent="0.35">
      <c r="C71" s="139" t="s">
        <v>122</v>
      </c>
      <c r="D71" s="139"/>
      <c r="E71" s="139"/>
      <c r="F71" s="139"/>
      <c r="G71" s="139"/>
      <c r="H71" s="139"/>
      <c r="I71" s="139"/>
    </row>
    <row r="73" spans="3:12" x14ac:dyDescent="0.35">
      <c r="C73" t="s">
        <v>123</v>
      </c>
    </row>
    <row r="74" spans="3:12" x14ac:dyDescent="0.35">
      <c r="D74" t="s">
        <v>124</v>
      </c>
    </row>
    <row r="76" spans="3:12" x14ac:dyDescent="0.35">
      <c r="C76" t="s">
        <v>125</v>
      </c>
    </row>
    <row r="79" spans="3:12" x14ac:dyDescent="0.35">
      <c r="K79" t="s">
        <v>171</v>
      </c>
    </row>
  </sheetData>
  <mergeCells count="1">
    <mergeCell ref="C71:I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4989-B339-4F13-8818-8460864876E4}">
  <dimension ref="C2:CK86"/>
  <sheetViews>
    <sheetView workbookViewId="0"/>
  </sheetViews>
  <sheetFormatPr defaultRowHeight="14.5" x14ac:dyDescent="0.35"/>
  <cols>
    <col min="3" max="3" width="10.453125" bestFit="1" customWidth="1"/>
    <col min="6" max="89" width="10.453125" bestFit="1" customWidth="1"/>
  </cols>
  <sheetData>
    <row r="2" spans="3:89" x14ac:dyDescent="0.35"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</row>
    <row r="3" spans="3:89" x14ac:dyDescent="0.35">
      <c r="C3" s="128"/>
    </row>
    <row r="4" spans="3:89" x14ac:dyDescent="0.35">
      <c r="C4" s="128"/>
    </row>
    <row r="5" spans="3:89" x14ac:dyDescent="0.35">
      <c r="C5" s="128"/>
    </row>
    <row r="6" spans="3:89" x14ac:dyDescent="0.35">
      <c r="C6" s="128"/>
    </row>
    <row r="7" spans="3:89" x14ac:dyDescent="0.35">
      <c r="C7" s="128"/>
    </row>
    <row r="8" spans="3:89" x14ac:dyDescent="0.35">
      <c r="C8" s="128"/>
    </row>
    <row r="9" spans="3:89" x14ac:dyDescent="0.35">
      <c r="C9" s="128"/>
    </row>
    <row r="10" spans="3:89" x14ac:dyDescent="0.35">
      <c r="C10" s="128"/>
    </row>
    <row r="11" spans="3:89" x14ac:dyDescent="0.35">
      <c r="C11" s="128"/>
    </row>
    <row r="12" spans="3:89" x14ac:dyDescent="0.35">
      <c r="C12" s="128"/>
    </row>
    <row r="13" spans="3:89" x14ac:dyDescent="0.35">
      <c r="C13" s="128"/>
    </row>
    <row r="14" spans="3:89" x14ac:dyDescent="0.35">
      <c r="C14" s="128"/>
    </row>
    <row r="15" spans="3:89" x14ac:dyDescent="0.35">
      <c r="C15" s="128"/>
    </row>
    <row r="16" spans="3:89" x14ac:dyDescent="0.35">
      <c r="C16" s="128"/>
    </row>
    <row r="17" spans="3:3" x14ac:dyDescent="0.35">
      <c r="C17" s="128"/>
    </row>
    <row r="18" spans="3:3" x14ac:dyDescent="0.35">
      <c r="C18" s="128"/>
    </row>
    <row r="19" spans="3:3" x14ac:dyDescent="0.35">
      <c r="C19" s="128"/>
    </row>
    <row r="20" spans="3:3" x14ac:dyDescent="0.35">
      <c r="C20" s="128"/>
    </row>
    <row r="21" spans="3:3" x14ac:dyDescent="0.35">
      <c r="C21" s="128"/>
    </row>
    <row r="22" spans="3:3" x14ac:dyDescent="0.35">
      <c r="C22" s="128"/>
    </row>
    <row r="23" spans="3:3" x14ac:dyDescent="0.35">
      <c r="C23" s="128"/>
    </row>
    <row r="24" spans="3:3" x14ac:dyDescent="0.35">
      <c r="C24" s="128"/>
    </row>
    <row r="25" spans="3:3" x14ac:dyDescent="0.35">
      <c r="C25" s="128"/>
    </row>
    <row r="26" spans="3:3" x14ac:dyDescent="0.35">
      <c r="C26" s="128"/>
    </row>
    <row r="27" spans="3:3" x14ac:dyDescent="0.35">
      <c r="C27" s="128"/>
    </row>
    <row r="28" spans="3:3" x14ac:dyDescent="0.35">
      <c r="C28" s="128"/>
    </row>
    <row r="29" spans="3:3" x14ac:dyDescent="0.35">
      <c r="C29" s="128"/>
    </row>
    <row r="30" spans="3:3" x14ac:dyDescent="0.35">
      <c r="C30" s="128"/>
    </row>
    <row r="31" spans="3:3" x14ac:dyDescent="0.35">
      <c r="C31" s="128"/>
    </row>
    <row r="32" spans="3:3" x14ac:dyDescent="0.35">
      <c r="C32" s="128"/>
    </row>
    <row r="33" spans="3:3" x14ac:dyDescent="0.35">
      <c r="C33" s="128"/>
    </row>
    <row r="34" spans="3:3" x14ac:dyDescent="0.35">
      <c r="C34" s="128"/>
    </row>
    <row r="35" spans="3:3" x14ac:dyDescent="0.35">
      <c r="C35" s="128"/>
    </row>
    <row r="36" spans="3:3" x14ac:dyDescent="0.35">
      <c r="C36" s="128"/>
    </row>
    <row r="37" spans="3:3" x14ac:dyDescent="0.35">
      <c r="C37" s="128"/>
    </row>
    <row r="38" spans="3:3" x14ac:dyDescent="0.35">
      <c r="C38" s="128"/>
    </row>
    <row r="39" spans="3:3" x14ac:dyDescent="0.35">
      <c r="C39" s="128"/>
    </row>
    <row r="40" spans="3:3" x14ac:dyDescent="0.35">
      <c r="C40" s="128"/>
    </row>
    <row r="41" spans="3:3" x14ac:dyDescent="0.35">
      <c r="C41" s="128"/>
    </row>
    <row r="42" spans="3:3" x14ac:dyDescent="0.35">
      <c r="C42" s="128"/>
    </row>
    <row r="43" spans="3:3" x14ac:dyDescent="0.35">
      <c r="C43" s="128"/>
    </row>
    <row r="44" spans="3:3" x14ac:dyDescent="0.35">
      <c r="C44" s="128"/>
    </row>
    <row r="45" spans="3:3" x14ac:dyDescent="0.35">
      <c r="C45" s="128"/>
    </row>
    <row r="46" spans="3:3" x14ac:dyDescent="0.35">
      <c r="C46" s="128"/>
    </row>
    <row r="47" spans="3:3" x14ac:dyDescent="0.35">
      <c r="C47" s="128"/>
    </row>
    <row r="48" spans="3:3" x14ac:dyDescent="0.35">
      <c r="C48" s="128"/>
    </row>
    <row r="49" spans="3:3" x14ac:dyDescent="0.35">
      <c r="C49" s="128"/>
    </row>
    <row r="50" spans="3:3" x14ac:dyDescent="0.35">
      <c r="C50" s="128"/>
    </row>
    <row r="51" spans="3:3" x14ac:dyDescent="0.35">
      <c r="C51" s="128"/>
    </row>
    <row r="52" spans="3:3" x14ac:dyDescent="0.35">
      <c r="C52" s="128"/>
    </row>
    <row r="53" spans="3:3" x14ac:dyDescent="0.35">
      <c r="C53" s="128"/>
    </row>
    <row r="54" spans="3:3" x14ac:dyDescent="0.35">
      <c r="C54" s="128"/>
    </row>
    <row r="55" spans="3:3" x14ac:dyDescent="0.35">
      <c r="C55" s="128"/>
    </row>
    <row r="56" spans="3:3" x14ac:dyDescent="0.35">
      <c r="C56" s="128"/>
    </row>
    <row r="57" spans="3:3" x14ac:dyDescent="0.35">
      <c r="C57" s="128"/>
    </row>
    <row r="58" spans="3:3" x14ac:dyDescent="0.35">
      <c r="C58" s="128"/>
    </row>
    <row r="59" spans="3:3" x14ac:dyDescent="0.35">
      <c r="C59" s="128"/>
    </row>
    <row r="60" spans="3:3" x14ac:dyDescent="0.35">
      <c r="C60" s="128"/>
    </row>
    <row r="61" spans="3:3" x14ac:dyDescent="0.35">
      <c r="C61" s="128"/>
    </row>
    <row r="62" spans="3:3" x14ac:dyDescent="0.35">
      <c r="C62" s="128"/>
    </row>
    <row r="63" spans="3:3" x14ac:dyDescent="0.35">
      <c r="C63" s="128"/>
    </row>
    <row r="64" spans="3:3" x14ac:dyDescent="0.35">
      <c r="C64" s="128"/>
    </row>
    <row r="65" spans="3:3" x14ac:dyDescent="0.35">
      <c r="C65" s="128"/>
    </row>
    <row r="66" spans="3:3" x14ac:dyDescent="0.35">
      <c r="C66" s="128"/>
    </row>
    <row r="67" spans="3:3" x14ac:dyDescent="0.35">
      <c r="C67" s="128"/>
    </row>
    <row r="68" spans="3:3" x14ac:dyDescent="0.35">
      <c r="C68" s="128"/>
    </row>
    <row r="69" spans="3:3" x14ac:dyDescent="0.35">
      <c r="C69" s="128"/>
    </row>
    <row r="70" spans="3:3" x14ac:dyDescent="0.35">
      <c r="C70" s="128"/>
    </row>
    <row r="71" spans="3:3" x14ac:dyDescent="0.35">
      <c r="C71" s="128"/>
    </row>
    <row r="72" spans="3:3" x14ac:dyDescent="0.35">
      <c r="C72" s="128"/>
    </row>
    <row r="73" spans="3:3" x14ac:dyDescent="0.35">
      <c r="C73" s="128"/>
    </row>
    <row r="74" spans="3:3" x14ac:dyDescent="0.35">
      <c r="C74" s="128"/>
    </row>
    <row r="75" spans="3:3" x14ac:dyDescent="0.35">
      <c r="C75" s="128"/>
    </row>
    <row r="76" spans="3:3" x14ac:dyDescent="0.35">
      <c r="C76" s="128"/>
    </row>
    <row r="77" spans="3:3" x14ac:dyDescent="0.35">
      <c r="C77" s="128"/>
    </row>
    <row r="78" spans="3:3" x14ac:dyDescent="0.35">
      <c r="C78" s="128"/>
    </row>
    <row r="79" spans="3:3" x14ac:dyDescent="0.35">
      <c r="C79" s="128"/>
    </row>
    <row r="80" spans="3:3" x14ac:dyDescent="0.35">
      <c r="C80" s="128"/>
    </row>
    <row r="81" spans="3:3" x14ac:dyDescent="0.35">
      <c r="C81" s="128"/>
    </row>
    <row r="82" spans="3:3" x14ac:dyDescent="0.35">
      <c r="C82" s="128"/>
    </row>
    <row r="83" spans="3:3" x14ac:dyDescent="0.35">
      <c r="C83" s="128"/>
    </row>
    <row r="84" spans="3:3" x14ac:dyDescent="0.35">
      <c r="C84" s="128"/>
    </row>
    <row r="85" spans="3:3" x14ac:dyDescent="0.35">
      <c r="C85" s="128"/>
    </row>
    <row r="86" spans="3:3" x14ac:dyDescent="0.35">
      <c r="C86" s="1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5B7C-8F10-46E2-A41C-9DF7A43DC38A}">
  <dimension ref="B1:B5"/>
  <sheetViews>
    <sheetView workbookViewId="0">
      <selection activeCell="B6" sqref="B6"/>
    </sheetView>
  </sheetViews>
  <sheetFormatPr defaultRowHeight="14.5" x14ac:dyDescent="0.35"/>
  <sheetData>
    <row r="1" spans="2:2" x14ac:dyDescent="0.35">
      <c r="B1" t="s">
        <v>126</v>
      </c>
    </row>
    <row r="2" spans="2:2" x14ac:dyDescent="0.35">
      <c r="B2" t="s">
        <v>127</v>
      </c>
    </row>
    <row r="3" spans="2:2" x14ac:dyDescent="0.35">
      <c r="B3" t="s">
        <v>128</v>
      </c>
    </row>
    <row r="5" spans="2:2" x14ac:dyDescent="0.35">
      <c r="B5" t="s">
        <v>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D6B-F29E-4EE4-99E5-E7DB22961D26}">
  <sheetPr codeName="Sheet7">
    <tabColor theme="9" tint="0.39997558519241921"/>
  </sheetPr>
  <dimension ref="B1:AS52"/>
  <sheetViews>
    <sheetView showGridLines="0" zoomScale="85" zoomScaleNormal="85" workbookViewId="0">
      <selection activeCell="Q7" sqref="Q7"/>
    </sheetView>
  </sheetViews>
  <sheetFormatPr defaultColWidth="9.54296875" defaultRowHeight="14.5" outlineLevelRow="1" x14ac:dyDescent="0.35"/>
  <cols>
    <col min="1" max="1" width="3.54296875" customWidth="1"/>
    <col min="2" max="2" width="24.36328125" customWidth="1"/>
    <col min="3" max="43" width="10.6328125" customWidth="1"/>
  </cols>
  <sheetData>
    <row r="1" spans="2:43" ht="24.9" customHeight="1" x14ac:dyDescent="0.35"/>
    <row r="2" spans="2:43" x14ac:dyDescent="0.35">
      <c r="B2" s="137" t="s">
        <v>27</v>
      </c>
      <c r="C2" s="138"/>
    </row>
    <row r="3" spans="2:43" x14ac:dyDescent="0.35">
      <c r="B3" s="23" t="s">
        <v>28</v>
      </c>
      <c r="C3" s="24" t="e">
        <f>WACC!D18</f>
        <v>#N/A</v>
      </c>
      <c r="D3" s="22"/>
      <c r="E3" s="22"/>
      <c r="F3" s="22"/>
      <c r="G3" s="22"/>
      <c r="H3" s="22"/>
    </row>
    <row r="4" spans="2:43" x14ac:dyDescent="0.35">
      <c r="B4" s="20" t="s">
        <v>29</v>
      </c>
      <c r="C4" s="38">
        <v>2.5000000000000001E-2</v>
      </c>
      <c r="D4" s="40"/>
      <c r="E4" s="40"/>
      <c r="F4" s="40"/>
      <c r="G4" s="40"/>
      <c r="H4" s="40"/>
    </row>
    <row r="5" spans="2:43" x14ac:dyDescent="0.35">
      <c r="C5" s="40"/>
      <c r="D5" s="40"/>
      <c r="E5" s="40"/>
      <c r="F5" s="40"/>
      <c r="G5" s="40"/>
      <c r="H5" s="40"/>
    </row>
    <row r="6" spans="2:43" x14ac:dyDescent="0.35">
      <c r="B6" s="92" t="s">
        <v>30</v>
      </c>
      <c r="C6" s="93"/>
      <c r="D6" s="93" t="s">
        <v>78</v>
      </c>
      <c r="E6" s="93" t="s">
        <v>79</v>
      </c>
      <c r="F6" s="93" t="s">
        <v>80</v>
      </c>
      <c r="G6" s="93" t="s">
        <v>81</v>
      </c>
      <c r="H6" s="93" t="str">
        <f>LEFT(D6,2) &amp; " " &amp; 1+_xlfn.NUMBERVALUE(RIGHT(D6,LEN(D6)-2))</f>
        <v>Q2 2023</v>
      </c>
      <c r="I6" s="93" t="str">
        <f t="shared" ref="I6:AQ6" si="0">LEFT(E6,2) &amp; " " &amp; 1+_xlfn.NUMBERVALUE(RIGHT(E6,LEN(E6)-2))</f>
        <v>Q3 2023</v>
      </c>
      <c r="J6" s="94" t="str">
        <f t="shared" si="0"/>
        <v>Q4 2023</v>
      </c>
      <c r="K6" s="95" t="str">
        <f t="shared" si="0"/>
        <v>Q1 2024</v>
      </c>
      <c r="L6" s="93" t="str">
        <f t="shared" si="0"/>
        <v>Q2 2024</v>
      </c>
      <c r="M6" s="93" t="str">
        <f t="shared" si="0"/>
        <v>Q3 2024</v>
      </c>
      <c r="N6" s="93" t="str">
        <f t="shared" si="0"/>
        <v>Q4 2024</v>
      </c>
      <c r="O6" s="93" t="str">
        <f t="shared" si="0"/>
        <v>Q1 2025</v>
      </c>
      <c r="P6" s="93" t="str">
        <f t="shared" si="0"/>
        <v>Q2 2025</v>
      </c>
      <c r="Q6" s="93" t="str">
        <f t="shared" si="0"/>
        <v>Q3 2025</v>
      </c>
      <c r="R6" s="93" t="str">
        <f t="shared" si="0"/>
        <v>Q4 2025</v>
      </c>
      <c r="S6" s="93" t="str">
        <f t="shared" si="0"/>
        <v>Q1 2026</v>
      </c>
      <c r="T6" s="93" t="str">
        <f t="shared" si="0"/>
        <v>Q2 2026</v>
      </c>
      <c r="U6" s="93" t="str">
        <f t="shared" si="0"/>
        <v>Q3 2026</v>
      </c>
      <c r="V6" s="93" t="str">
        <f t="shared" si="0"/>
        <v>Q4 2026</v>
      </c>
      <c r="W6" s="93" t="str">
        <f t="shared" si="0"/>
        <v>Q1 2027</v>
      </c>
      <c r="X6" s="93" t="str">
        <f t="shared" si="0"/>
        <v>Q2 2027</v>
      </c>
      <c r="Y6" s="93" t="str">
        <f t="shared" si="0"/>
        <v>Q3 2027</v>
      </c>
      <c r="Z6" s="93" t="str">
        <f t="shared" si="0"/>
        <v>Q4 2027</v>
      </c>
      <c r="AA6" s="93" t="str">
        <f t="shared" si="0"/>
        <v>Q1 2028</v>
      </c>
      <c r="AB6" s="93" t="str">
        <f t="shared" si="0"/>
        <v>Q2 2028</v>
      </c>
      <c r="AC6" s="93" t="str">
        <f t="shared" si="0"/>
        <v>Q3 2028</v>
      </c>
      <c r="AD6" s="93" t="str">
        <f t="shared" si="0"/>
        <v>Q4 2028</v>
      </c>
      <c r="AE6" s="93" t="str">
        <f t="shared" si="0"/>
        <v>Q1 2029</v>
      </c>
      <c r="AF6" s="93" t="str">
        <f t="shared" si="0"/>
        <v>Q2 2029</v>
      </c>
      <c r="AG6" s="93" t="str">
        <f t="shared" si="0"/>
        <v>Q3 2029</v>
      </c>
      <c r="AH6" s="93" t="str">
        <f t="shared" si="0"/>
        <v>Q4 2029</v>
      </c>
      <c r="AI6" s="93" t="str">
        <f t="shared" si="0"/>
        <v>Q1 2030</v>
      </c>
      <c r="AJ6" s="93" t="str">
        <f t="shared" si="0"/>
        <v>Q2 2030</v>
      </c>
      <c r="AK6" s="93" t="str">
        <f t="shared" si="0"/>
        <v>Q3 2030</v>
      </c>
      <c r="AL6" s="93" t="str">
        <f t="shared" si="0"/>
        <v>Q4 2030</v>
      </c>
      <c r="AM6" s="93" t="str">
        <f t="shared" si="0"/>
        <v>Q1 2031</v>
      </c>
      <c r="AN6" s="93" t="str">
        <f t="shared" si="0"/>
        <v>Q2 2031</v>
      </c>
      <c r="AO6" s="93" t="str">
        <f t="shared" si="0"/>
        <v>Q3 2031</v>
      </c>
      <c r="AP6" s="93" t="str">
        <f t="shared" si="0"/>
        <v>Q4 2031</v>
      </c>
      <c r="AQ6" s="108" t="str">
        <f t="shared" si="0"/>
        <v>Q1 2032</v>
      </c>
    </row>
    <row r="7" spans="2:43" s="1" customFormat="1" x14ac:dyDescent="0.35">
      <c r="B7" s="10" t="s">
        <v>31</v>
      </c>
      <c r="E7" s="66">
        <v>692</v>
      </c>
      <c r="F7" s="66">
        <v>630</v>
      </c>
      <c r="G7" s="66">
        <v>633</v>
      </c>
      <c r="H7" s="66">
        <v>675</v>
      </c>
      <c r="I7" s="66">
        <v>806</v>
      </c>
      <c r="J7" s="37">
        <v>824</v>
      </c>
      <c r="K7" s="98">
        <f>(850+900)/2</f>
        <v>875</v>
      </c>
      <c r="L7" s="66">
        <f>H7*(1+L8)</f>
        <v>877.5</v>
      </c>
      <c r="M7" s="66">
        <f t="shared" ref="M7:AQ7" si="1">I7*(1+M8)</f>
        <v>1047.8</v>
      </c>
      <c r="N7" s="66">
        <f t="shared" si="1"/>
        <v>1071.2</v>
      </c>
      <c r="O7" s="66">
        <f t="shared" si="1"/>
        <v>1137.5</v>
      </c>
      <c r="P7" s="66">
        <f t="shared" si="1"/>
        <v>1140.75</v>
      </c>
      <c r="Q7" s="66">
        <f t="shared" si="1"/>
        <v>1362.14</v>
      </c>
      <c r="R7" s="66">
        <f t="shared" si="1"/>
        <v>1392.5600000000002</v>
      </c>
      <c r="S7" s="66">
        <f t="shared" si="1"/>
        <v>1478.75</v>
      </c>
      <c r="T7" s="66">
        <f t="shared" si="1"/>
        <v>1482.9750000000001</v>
      </c>
      <c r="U7" s="66">
        <f t="shared" si="1"/>
        <v>1770.7820000000002</v>
      </c>
      <c r="V7" s="66">
        <f t="shared" si="1"/>
        <v>1810.3280000000002</v>
      </c>
      <c r="W7" s="66">
        <f t="shared" si="1"/>
        <v>1922.375</v>
      </c>
      <c r="X7" s="66">
        <f t="shared" si="1"/>
        <v>1927.8675000000003</v>
      </c>
      <c r="Y7" s="66">
        <f t="shared" si="1"/>
        <v>2302.0166000000004</v>
      </c>
      <c r="Z7" s="66">
        <f t="shared" si="1"/>
        <v>2353.4264000000003</v>
      </c>
      <c r="AA7" s="66">
        <f t="shared" si="1"/>
        <v>2499.0875000000001</v>
      </c>
      <c r="AB7" s="66">
        <f t="shared" si="1"/>
        <v>2506.2277500000005</v>
      </c>
      <c r="AC7" s="66">
        <f t="shared" si="1"/>
        <v>2992.6215800000004</v>
      </c>
      <c r="AD7" s="66">
        <f t="shared" si="1"/>
        <v>3059.4543200000003</v>
      </c>
      <c r="AE7" s="66">
        <f t="shared" si="1"/>
        <v>3248.8137500000003</v>
      </c>
      <c r="AF7" s="66">
        <f t="shared" si="1"/>
        <v>3258.0960750000008</v>
      </c>
      <c r="AG7" s="66">
        <f t="shared" si="1"/>
        <v>3890.4080540000009</v>
      </c>
      <c r="AH7" s="66">
        <f t="shared" si="1"/>
        <v>3977.2906160000007</v>
      </c>
      <c r="AI7" s="66">
        <f t="shared" si="1"/>
        <v>4223.4578750000001</v>
      </c>
      <c r="AJ7" s="66">
        <f t="shared" si="1"/>
        <v>4235.5248975000013</v>
      </c>
      <c r="AK7" s="66">
        <f t="shared" si="1"/>
        <v>5057.5304702000012</v>
      </c>
      <c r="AL7" s="66">
        <f t="shared" si="1"/>
        <v>5170.4778008000012</v>
      </c>
      <c r="AM7" s="66">
        <f t="shared" si="1"/>
        <v>5490.4952375000003</v>
      </c>
      <c r="AN7" s="66">
        <f t="shared" si="1"/>
        <v>5506.1823667500021</v>
      </c>
      <c r="AO7" s="66">
        <f t="shared" si="1"/>
        <v>6574.7896112600019</v>
      </c>
      <c r="AP7" s="66">
        <f t="shared" si="1"/>
        <v>6721.6211410400019</v>
      </c>
      <c r="AQ7" s="67">
        <f t="shared" si="1"/>
        <v>7137.643808750001</v>
      </c>
    </row>
    <row r="8" spans="2:43" s="1" customFormat="1" x14ac:dyDescent="0.35">
      <c r="B8" s="33" t="s">
        <v>49</v>
      </c>
      <c r="E8" s="68"/>
      <c r="F8" s="68"/>
      <c r="G8" s="68"/>
      <c r="H8" s="68">
        <f>IFERROR(H7/D7-1,0)</f>
        <v>0</v>
      </c>
      <c r="I8" s="68">
        <f t="shared" ref="I8:J8" si="2">I7/E7-1</f>
        <v>0.16473988439306364</v>
      </c>
      <c r="J8" s="28">
        <f t="shared" si="2"/>
        <v>0.30793650793650795</v>
      </c>
      <c r="K8" s="68">
        <f>K7/G7-1</f>
        <v>0.38230647709320698</v>
      </c>
      <c r="L8" s="69">
        <v>0.3</v>
      </c>
      <c r="M8" s="69">
        <f>L8</f>
        <v>0.3</v>
      </c>
      <c r="N8" s="69">
        <f t="shared" ref="N8:AQ8" si="3">M8</f>
        <v>0.3</v>
      </c>
      <c r="O8" s="69">
        <f t="shared" si="3"/>
        <v>0.3</v>
      </c>
      <c r="P8" s="69">
        <f t="shared" si="3"/>
        <v>0.3</v>
      </c>
      <c r="Q8" s="69">
        <f t="shared" si="3"/>
        <v>0.3</v>
      </c>
      <c r="R8" s="69">
        <f t="shared" si="3"/>
        <v>0.3</v>
      </c>
      <c r="S8" s="69">
        <f t="shared" si="3"/>
        <v>0.3</v>
      </c>
      <c r="T8" s="69">
        <f t="shared" si="3"/>
        <v>0.3</v>
      </c>
      <c r="U8" s="69">
        <f t="shared" si="3"/>
        <v>0.3</v>
      </c>
      <c r="V8" s="69">
        <f t="shared" si="3"/>
        <v>0.3</v>
      </c>
      <c r="W8" s="69">
        <f t="shared" si="3"/>
        <v>0.3</v>
      </c>
      <c r="X8" s="69">
        <f t="shared" si="3"/>
        <v>0.3</v>
      </c>
      <c r="Y8" s="69">
        <f t="shared" si="3"/>
        <v>0.3</v>
      </c>
      <c r="Z8" s="69">
        <f t="shared" si="3"/>
        <v>0.3</v>
      </c>
      <c r="AA8" s="69">
        <f t="shared" si="3"/>
        <v>0.3</v>
      </c>
      <c r="AB8" s="69">
        <f t="shared" si="3"/>
        <v>0.3</v>
      </c>
      <c r="AC8" s="69">
        <f t="shared" si="3"/>
        <v>0.3</v>
      </c>
      <c r="AD8" s="69">
        <f t="shared" si="3"/>
        <v>0.3</v>
      </c>
      <c r="AE8" s="69">
        <f t="shared" si="3"/>
        <v>0.3</v>
      </c>
      <c r="AF8" s="69">
        <f t="shared" si="3"/>
        <v>0.3</v>
      </c>
      <c r="AG8" s="69">
        <f t="shared" si="3"/>
        <v>0.3</v>
      </c>
      <c r="AH8" s="69">
        <f t="shared" si="3"/>
        <v>0.3</v>
      </c>
      <c r="AI8" s="69">
        <f t="shared" si="3"/>
        <v>0.3</v>
      </c>
      <c r="AJ8" s="69">
        <f t="shared" si="3"/>
        <v>0.3</v>
      </c>
      <c r="AK8" s="69">
        <f t="shared" si="3"/>
        <v>0.3</v>
      </c>
      <c r="AL8" s="69">
        <f t="shared" si="3"/>
        <v>0.3</v>
      </c>
      <c r="AM8" s="69">
        <f t="shared" si="3"/>
        <v>0.3</v>
      </c>
      <c r="AN8" s="69">
        <f t="shared" si="3"/>
        <v>0.3</v>
      </c>
      <c r="AO8" s="69">
        <f t="shared" si="3"/>
        <v>0.3</v>
      </c>
      <c r="AP8" s="69">
        <f t="shared" si="3"/>
        <v>0.3</v>
      </c>
      <c r="AQ8" s="69">
        <f t="shared" si="3"/>
        <v>0.3</v>
      </c>
    </row>
    <row r="9" spans="2:43" s="1" customFormat="1" ht="6.9" customHeight="1" x14ac:dyDescent="0.35">
      <c r="B9" s="11"/>
      <c r="E9" s="68"/>
      <c r="F9" s="68"/>
      <c r="G9" s="68"/>
      <c r="H9" s="68"/>
      <c r="I9" s="68"/>
      <c r="J9" s="28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2"/>
    </row>
    <row r="10" spans="2:43" s="1" customFormat="1" x14ac:dyDescent="0.35">
      <c r="B10" s="10" t="s">
        <v>2</v>
      </c>
      <c r="E10" s="73">
        <v>667</v>
      </c>
      <c r="F10" s="73">
        <v>605</v>
      </c>
      <c r="G10" s="73">
        <v>606</v>
      </c>
      <c r="H10" s="73">
        <v>644</v>
      </c>
      <c r="I10" s="73">
        <v>760</v>
      </c>
      <c r="J10" s="31">
        <v>788</v>
      </c>
      <c r="K10" s="74">
        <f t="shared" ref="K10:AQ10" si="4">K11*K7</f>
        <v>836.33215423907052</v>
      </c>
      <c r="L10" s="74">
        <f t="shared" si="4"/>
        <v>838.72167467975362</v>
      </c>
      <c r="M10" s="74">
        <f t="shared" si="4"/>
        <v>1001.4958070990834</v>
      </c>
      <c r="N10" s="74">
        <f t="shared" si="4"/>
        <v>1023.8617184238771</v>
      </c>
      <c r="O10" s="74">
        <f t="shared" si="4"/>
        <v>1087.2318005107916</v>
      </c>
      <c r="P10" s="74">
        <f t="shared" si="4"/>
        <v>1090.3381770836797</v>
      </c>
      <c r="Q10" s="74">
        <f t="shared" si="4"/>
        <v>1301.9445492288087</v>
      </c>
      <c r="R10" s="74">
        <f t="shared" si="4"/>
        <v>1331.0202339510402</v>
      </c>
      <c r="S10" s="74">
        <f t="shared" si="4"/>
        <v>1413.4013406640292</v>
      </c>
      <c r="T10" s="74">
        <f t="shared" si="4"/>
        <v>1417.4396302087837</v>
      </c>
      <c r="U10" s="74">
        <f t="shared" si="4"/>
        <v>1692.5279139974514</v>
      </c>
      <c r="V10" s="74">
        <f t="shared" si="4"/>
        <v>1730.3263041363523</v>
      </c>
      <c r="W10" s="74">
        <f t="shared" si="4"/>
        <v>1837.421742863238</v>
      </c>
      <c r="X10" s="74">
        <f t="shared" si="4"/>
        <v>1842.6715192714189</v>
      </c>
      <c r="Y10" s="74">
        <f t="shared" si="4"/>
        <v>2200.2862881966871</v>
      </c>
      <c r="Z10" s="74">
        <f t="shared" si="4"/>
        <v>2249.424195377258</v>
      </c>
      <c r="AA10" s="74">
        <f t="shared" si="4"/>
        <v>2388.6482657222095</v>
      </c>
      <c r="AB10" s="74">
        <f t="shared" si="4"/>
        <v>2395.4729750528445</v>
      </c>
      <c r="AC10" s="74">
        <f t="shared" si="4"/>
        <v>2860.372174655693</v>
      </c>
      <c r="AD10" s="74">
        <f t="shared" si="4"/>
        <v>2924.251453990435</v>
      </c>
      <c r="AE10" s="74">
        <f t="shared" si="4"/>
        <v>3105.2427454388721</v>
      </c>
      <c r="AF10" s="74">
        <f t="shared" si="4"/>
        <v>3114.1148675686982</v>
      </c>
      <c r="AG10" s="74">
        <f t="shared" si="4"/>
        <v>3718.483827052401</v>
      </c>
      <c r="AH10" s="74">
        <f t="shared" si="4"/>
        <v>3801.5268901875661</v>
      </c>
      <c r="AI10" s="74">
        <f t="shared" si="4"/>
        <v>4036.8155690705339</v>
      </c>
      <c r="AJ10" s="74">
        <f t="shared" si="4"/>
        <v>4048.349327839308</v>
      </c>
      <c r="AK10" s="74">
        <f t="shared" si="4"/>
        <v>4834.0289751681212</v>
      </c>
      <c r="AL10" s="74">
        <f t="shared" si="4"/>
        <v>4941.9849572438361</v>
      </c>
      <c r="AM10" s="74">
        <f t="shared" si="4"/>
        <v>5247.8602397916939</v>
      </c>
      <c r="AN10" s="74">
        <f t="shared" si="4"/>
        <v>5262.8541261911005</v>
      </c>
      <c r="AO10" s="74">
        <f t="shared" si="4"/>
        <v>6284.2376677185584</v>
      </c>
      <c r="AP10" s="74">
        <f t="shared" si="4"/>
        <v>6424.5804444169871</v>
      </c>
      <c r="AQ10" s="74">
        <f t="shared" si="4"/>
        <v>6822.2183117292034</v>
      </c>
    </row>
    <row r="11" spans="2:43" s="1" customFormat="1" x14ac:dyDescent="0.35">
      <c r="B11" s="33" t="s">
        <v>3</v>
      </c>
      <c r="E11" s="68">
        <f>E10/E7</f>
        <v>0.96387283236994215</v>
      </c>
      <c r="F11" s="68">
        <f>F10/F7</f>
        <v>0.96031746031746035</v>
      </c>
      <c r="G11" s="68">
        <f t="shared" ref="G11:J11" si="5">G10/G7</f>
        <v>0.95734597156398105</v>
      </c>
      <c r="H11" s="68">
        <f t="shared" si="5"/>
        <v>0.95407407407407407</v>
      </c>
      <c r="I11" s="68">
        <f t="shared" si="5"/>
        <v>0.94292803970223327</v>
      </c>
      <c r="J11" s="28">
        <f t="shared" si="5"/>
        <v>0.9563106796116505</v>
      </c>
      <c r="K11" s="96">
        <f>AVERAGE(E11:J11)</f>
        <v>0.95580817627322345</v>
      </c>
      <c r="L11" s="69">
        <f t="shared" ref="L11:AQ11" si="6">K11</f>
        <v>0.95580817627322345</v>
      </c>
      <c r="M11" s="69">
        <f t="shared" si="6"/>
        <v>0.95580817627322345</v>
      </c>
      <c r="N11" s="69">
        <f t="shared" si="6"/>
        <v>0.95580817627322345</v>
      </c>
      <c r="O11" s="69">
        <f t="shared" si="6"/>
        <v>0.95580817627322345</v>
      </c>
      <c r="P11" s="69">
        <f t="shared" si="6"/>
        <v>0.95580817627322345</v>
      </c>
      <c r="Q11" s="69">
        <f t="shared" si="6"/>
        <v>0.95580817627322345</v>
      </c>
      <c r="R11" s="69">
        <f t="shared" si="6"/>
        <v>0.95580817627322345</v>
      </c>
      <c r="S11" s="69">
        <f t="shared" si="6"/>
        <v>0.95580817627322345</v>
      </c>
      <c r="T11" s="69">
        <f t="shared" si="6"/>
        <v>0.95580817627322345</v>
      </c>
      <c r="U11" s="69">
        <f t="shared" si="6"/>
        <v>0.95580817627322345</v>
      </c>
      <c r="V11" s="69">
        <f t="shared" si="6"/>
        <v>0.95580817627322345</v>
      </c>
      <c r="W11" s="69">
        <f t="shared" si="6"/>
        <v>0.95580817627322345</v>
      </c>
      <c r="X11" s="69">
        <f t="shared" si="6"/>
        <v>0.95580817627322345</v>
      </c>
      <c r="Y11" s="69">
        <f t="shared" si="6"/>
        <v>0.95580817627322345</v>
      </c>
      <c r="Z11" s="69">
        <f t="shared" si="6"/>
        <v>0.95580817627322345</v>
      </c>
      <c r="AA11" s="69">
        <f t="shared" si="6"/>
        <v>0.95580817627322345</v>
      </c>
      <c r="AB11" s="69">
        <f t="shared" si="6"/>
        <v>0.95580817627322345</v>
      </c>
      <c r="AC11" s="69">
        <f t="shared" si="6"/>
        <v>0.95580817627322345</v>
      </c>
      <c r="AD11" s="69">
        <f t="shared" si="6"/>
        <v>0.95580817627322345</v>
      </c>
      <c r="AE11" s="69">
        <f t="shared" si="6"/>
        <v>0.95580817627322345</v>
      </c>
      <c r="AF11" s="69">
        <f t="shared" si="6"/>
        <v>0.95580817627322345</v>
      </c>
      <c r="AG11" s="69">
        <f t="shared" si="6"/>
        <v>0.95580817627322345</v>
      </c>
      <c r="AH11" s="69">
        <f t="shared" si="6"/>
        <v>0.95580817627322345</v>
      </c>
      <c r="AI11" s="69">
        <f t="shared" si="6"/>
        <v>0.95580817627322345</v>
      </c>
      <c r="AJ11" s="69">
        <f t="shared" si="6"/>
        <v>0.95580817627322345</v>
      </c>
      <c r="AK11" s="69">
        <f t="shared" si="6"/>
        <v>0.95580817627322345</v>
      </c>
      <c r="AL11" s="69">
        <f t="shared" si="6"/>
        <v>0.95580817627322345</v>
      </c>
      <c r="AM11" s="69">
        <f t="shared" si="6"/>
        <v>0.95580817627322345</v>
      </c>
      <c r="AN11" s="69">
        <f t="shared" si="6"/>
        <v>0.95580817627322345</v>
      </c>
      <c r="AO11" s="69">
        <f t="shared" si="6"/>
        <v>0.95580817627322345</v>
      </c>
      <c r="AP11" s="69">
        <f t="shared" si="6"/>
        <v>0.95580817627322345</v>
      </c>
      <c r="AQ11" s="69">
        <f t="shared" si="6"/>
        <v>0.95580817627322345</v>
      </c>
    </row>
    <row r="12" spans="2:43" s="1" customFormat="1" ht="6.9" customHeight="1" x14ac:dyDescent="0.35">
      <c r="B12" s="10"/>
      <c r="E12" s="73"/>
      <c r="F12" s="73"/>
      <c r="G12" s="73"/>
      <c r="H12" s="73"/>
      <c r="I12" s="73"/>
      <c r="J12" s="31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2:43" s="1" customFormat="1" x14ac:dyDescent="0.35">
      <c r="B13" s="10" t="s">
        <v>62</v>
      </c>
      <c r="E13" s="73">
        <v>-218</v>
      </c>
      <c r="F13" s="73">
        <v>-248</v>
      </c>
      <c r="G13" s="73">
        <v>-381</v>
      </c>
      <c r="H13" s="73">
        <v>-337</v>
      </c>
      <c r="I13" s="73">
        <v>-626</v>
      </c>
      <c r="J13" s="31">
        <v>-432</v>
      </c>
      <c r="K13" s="99">
        <f>K14*K$7</f>
        <v>-385.60728661681816</v>
      </c>
      <c r="L13" s="99">
        <f>L14*L$7</f>
        <v>-386.70902172143764</v>
      </c>
      <c r="M13" s="99">
        <f t="shared" ref="M13:AQ13" si="7">M14*M$7</f>
        <v>-461.75921704811657</v>
      </c>
      <c r="N13" s="99">
        <f t="shared" si="7"/>
        <v>-472.07145762735496</v>
      </c>
      <c r="O13" s="99">
        <f t="shared" si="7"/>
        <v>-501.28947260186357</v>
      </c>
      <c r="P13" s="99">
        <f t="shared" si="7"/>
        <v>-502.72172823786889</v>
      </c>
      <c r="Q13" s="99">
        <f t="shared" si="7"/>
        <v>-600.28698216255168</v>
      </c>
      <c r="R13" s="99">
        <f t="shared" si="7"/>
        <v>-613.69289491556151</v>
      </c>
      <c r="S13" s="99">
        <f t="shared" si="7"/>
        <v>-651.67631438242267</v>
      </c>
      <c r="T13" s="99">
        <f t="shared" si="7"/>
        <v>-653.53824670922961</v>
      </c>
      <c r="U13" s="99">
        <f t="shared" si="7"/>
        <v>-780.37307681131711</v>
      </c>
      <c r="V13" s="99">
        <f t="shared" si="7"/>
        <v>-797.80076339022992</v>
      </c>
      <c r="W13" s="99">
        <f t="shared" si="7"/>
        <v>-847.17920869714942</v>
      </c>
      <c r="X13" s="99">
        <f t="shared" si="7"/>
        <v>-849.59972072199855</v>
      </c>
      <c r="Y13" s="99">
        <f t="shared" si="7"/>
        <v>-1014.4849998547123</v>
      </c>
      <c r="Z13" s="99">
        <f t="shared" si="7"/>
        <v>-1037.1409924072989</v>
      </c>
      <c r="AA13" s="99">
        <f t="shared" si="7"/>
        <v>-1101.3329713062942</v>
      </c>
      <c r="AB13" s="99">
        <f t="shared" si="7"/>
        <v>-1104.4796369385981</v>
      </c>
      <c r="AC13" s="99">
        <f t="shared" si="7"/>
        <v>-1318.8304998111262</v>
      </c>
      <c r="AD13" s="99">
        <f t="shared" si="7"/>
        <v>-1348.2832901294887</v>
      </c>
      <c r="AE13" s="99">
        <f t="shared" si="7"/>
        <v>-1431.7328626981828</v>
      </c>
      <c r="AF13" s="99">
        <f t="shared" si="7"/>
        <v>-1435.8235280201777</v>
      </c>
      <c r="AG13" s="99">
        <f t="shared" si="7"/>
        <v>-1714.4796497544639</v>
      </c>
      <c r="AH13" s="99">
        <f t="shared" si="7"/>
        <v>-1752.7682771683353</v>
      </c>
      <c r="AI13" s="99">
        <f t="shared" si="7"/>
        <v>-1861.2527215076373</v>
      </c>
      <c r="AJ13" s="99">
        <f t="shared" si="7"/>
        <v>-1866.5705864262311</v>
      </c>
      <c r="AK13" s="99">
        <f t="shared" si="7"/>
        <v>-2228.823544680803</v>
      </c>
      <c r="AL13" s="99">
        <f t="shared" si="7"/>
        <v>-2278.598760318836</v>
      </c>
      <c r="AM13" s="99">
        <f t="shared" si="7"/>
        <v>-2419.6285379599285</v>
      </c>
      <c r="AN13" s="99">
        <f t="shared" si="7"/>
        <v>-2426.5417623541007</v>
      </c>
      <c r="AO13" s="99">
        <f t="shared" si="7"/>
        <v>-2897.4706080850442</v>
      </c>
      <c r="AP13" s="99">
        <f t="shared" si="7"/>
        <v>-2962.178388414487</v>
      </c>
      <c r="AQ13" s="99">
        <f t="shared" si="7"/>
        <v>-3145.5170993479073</v>
      </c>
    </row>
    <row r="14" spans="2:43" s="1" customFormat="1" x14ac:dyDescent="0.35">
      <c r="B14" s="33" t="s">
        <v>35</v>
      </c>
      <c r="E14" s="65">
        <f>E13/E$7</f>
        <v>-0.31502890173410403</v>
      </c>
      <c r="F14" s="65">
        <f>F13/F$7</f>
        <v>-0.39365079365079364</v>
      </c>
      <c r="G14" s="65">
        <f t="shared" ref="G14:J14" si="8">G13/G$7</f>
        <v>-0.6018957345971564</v>
      </c>
      <c r="H14" s="65">
        <f t="shared" si="8"/>
        <v>-0.49925925925925924</v>
      </c>
      <c r="I14" s="65">
        <f t="shared" si="8"/>
        <v>-0.77667493796526055</v>
      </c>
      <c r="J14" s="29">
        <f t="shared" si="8"/>
        <v>-0.52427184466019416</v>
      </c>
      <c r="K14" s="106">
        <f>AVERAGE(E14:J14)*0.85</f>
        <v>-0.44069404184779215</v>
      </c>
      <c r="L14" s="80">
        <f>K14</f>
        <v>-0.44069404184779215</v>
      </c>
      <c r="M14" s="80">
        <f t="shared" ref="M14:AQ14" si="9">L14</f>
        <v>-0.44069404184779215</v>
      </c>
      <c r="N14" s="80">
        <f t="shared" si="9"/>
        <v>-0.44069404184779215</v>
      </c>
      <c r="O14" s="80">
        <f t="shared" si="9"/>
        <v>-0.44069404184779215</v>
      </c>
      <c r="P14" s="80">
        <f t="shared" si="9"/>
        <v>-0.44069404184779215</v>
      </c>
      <c r="Q14" s="80">
        <f t="shared" si="9"/>
        <v>-0.44069404184779215</v>
      </c>
      <c r="R14" s="80">
        <f t="shared" si="9"/>
        <v>-0.44069404184779215</v>
      </c>
      <c r="S14" s="80">
        <f t="shared" si="9"/>
        <v>-0.44069404184779215</v>
      </c>
      <c r="T14" s="80">
        <f t="shared" si="9"/>
        <v>-0.44069404184779215</v>
      </c>
      <c r="U14" s="80">
        <f t="shared" si="9"/>
        <v>-0.44069404184779215</v>
      </c>
      <c r="V14" s="80">
        <f t="shared" si="9"/>
        <v>-0.44069404184779215</v>
      </c>
      <c r="W14" s="80">
        <f t="shared" si="9"/>
        <v>-0.44069404184779215</v>
      </c>
      <c r="X14" s="80">
        <f t="shared" si="9"/>
        <v>-0.44069404184779215</v>
      </c>
      <c r="Y14" s="80">
        <f t="shared" si="9"/>
        <v>-0.44069404184779215</v>
      </c>
      <c r="Z14" s="80">
        <f t="shared" si="9"/>
        <v>-0.44069404184779215</v>
      </c>
      <c r="AA14" s="80">
        <f t="shared" si="9"/>
        <v>-0.44069404184779215</v>
      </c>
      <c r="AB14" s="80">
        <f t="shared" si="9"/>
        <v>-0.44069404184779215</v>
      </c>
      <c r="AC14" s="80">
        <f t="shared" si="9"/>
        <v>-0.44069404184779215</v>
      </c>
      <c r="AD14" s="80">
        <f t="shared" si="9"/>
        <v>-0.44069404184779215</v>
      </c>
      <c r="AE14" s="80">
        <f t="shared" si="9"/>
        <v>-0.44069404184779215</v>
      </c>
      <c r="AF14" s="80">
        <f t="shared" si="9"/>
        <v>-0.44069404184779215</v>
      </c>
      <c r="AG14" s="80">
        <f t="shared" si="9"/>
        <v>-0.44069404184779215</v>
      </c>
      <c r="AH14" s="80">
        <f t="shared" si="9"/>
        <v>-0.44069404184779215</v>
      </c>
      <c r="AI14" s="80">
        <f t="shared" si="9"/>
        <v>-0.44069404184779215</v>
      </c>
      <c r="AJ14" s="80">
        <f t="shared" si="9"/>
        <v>-0.44069404184779215</v>
      </c>
      <c r="AK14" s="80">
        <f t="shared" si="9"/>
        <v>-0.44069404184779215</v>
      </c>
      <c r="AL14" s="80">
        <f t="shared" si="9"/>
        <v>-0.44069404184779215</v>
      </c>
      <c r="AM14" s="80">
        <f t="shared" si="9"/>
        <v>-0.44069404184779215</v>
      </c>
      <c r="AN14" s="80">
        <f t="shared" si="9"/>
        <v>-0.44069404184779215</v>
      </c>
      <c r="AO14" s="80">
        <f t="shared" si="9"/>
        <v>-0.44069404184779215</v>
      </c>
      <c r="AP14" s="80">
        <f t="shared" si="9"/>
        <v>-0.44069404184779215</v>
      </c>
      <c r="AQ14" s="80">
        <f t="shared" si="9"/>
        <v>-0.44069404184779215</v>
      </c>
    </row>
    <row r="15" spans="2:43" s="1" customFormat="1" ht="6.9" customHeight="1" x14ac:dyDescent="0.35">
      <c r="B15" s="10"/>
      <c r="E15" s="76"/>
      <c r="F15" s="76"/>
      <c r="G15" s="76"/>
      <c r="H15" s="76"/>
      <c r="I15" s="76"/>
      <c r="J15" s="27"/>
      <c r="K15" s="9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</row>
    <row r="16" spans="2:43" s="1" customFormat="1" x14ac:dyDescent="0.35">
      <c r="B16" s="10" t="s">
        <v>64</v>
      </c>
      <c r="E16" s="73">
        <v>-153</v>
      </c>
      <c r="F16" s="73">
        <v>-172</v>
      </c>
      <c r="G16" s="73">
        <v>-274</v>
      </c>
      <c r="H16" s="73">
        <v>-196</v>
      </c>
      <c r="I16" s="73">
        <v>-290</v>
      </c>
      <c r="J16" s="31">
        <v>-216</v>
      </c>
      <c r="K16" s="99">
        <f>K17*K$7</f>
        <v>-134.11426292615207</v>
      </c>
      <c r="L16" s="99">
        <f>L17*L$7</f>
        <v>-134.49744653451251</v>
      </c>
      <c r="M16" s="99">
        <f t="shared" ref="M16:AQ16" si="10">M17*M$7</f>
        <v>-160.59991393602527</v>
      </c>
      <c r="N16" s="99">
        <f t="shared" si="10"/>
        <v>-164.18651251027896</v>
      </c>
      <c r="O16" s="99">
        <f t="shared" si="10"/>
        <v>-174.34854180399768</v>
      </c>
      <c r="P16" s="99">
        <f t="shared" si="10"/>
        <v>-174.84668049486623</v>
      </c>
      <c r="Q16" s="99">
        <f t="shared" si="10"/>
        <v>-208.77988811683289</v>
      </c>
      <c r="R16" s="99">
        <f t="shared" si="10"/>
        <v>-213.44246626336266</v>
      </c>
      <c r="S16" s="99">
        <f t="shared" si="10"/>
        <v>-226.65310434519699</v>
      </c>
      <c r="T16" s="99">
        <f t="shared" si="10"/>
        <v>-227.30068464332612</v>
      </c>
      <c r="U16" s="99">
        <f t="shared" si="10"/>
        <v>-271.41385455188276</v>
      </c>
      <c r="V16" s="99">
        <f t="shared" si="10"/>
        <v>-277.47520614237146</v>
      </c>
      <c r="W16" s="99">
        <f t="shared" si="10"/>
        <v>-294.64903564875607</v>
      </c>
      <c r="X16" s="99">
        <f t="shared" si="10"/>
        <v>-295.490890036324</v>
      </c>
      <c r="Y16" s="99">
        <f t="shared" si="10"/>
        <v>-352.8380109174476</v>
      </c>
      <c r="Z16" s="99">
        <f t="shared" si="10"/>
        <v>-360.7177679850829</v>
      </c>
      <c r="AA16" s="99">
        <f t="shared" si="10"/>
        <v>-383.04374634338291</v>
      </c>
      <c r="AB16" s="99">
        <f t="shared" si="10"/>
        <v>-384.13815704722123</v>
      </c>
      <c r="AC16" s="99">
        <f t="shared" si="10"/>
        <v>-458.68941419268191</v>
      </c>
      <c r="AD16" s="99">
        <f t="shared" si="10"/>
        <v>-468.93309838060776</v>
      </c>
      <c r="AE16" s="99">
        <f t="shared" si="10"/>
        <v>-497.95687024639778</v>
      </c>
      <c r="AF16" s="99">
        <f t="shared" si="10"/>
        <v>-499.37960416138759</v>
      </c>
      <c r="AG16" s="99">
        <f t="shared" si="10"/>
        <v>-596.2962384504865</v>
      </c>
      <c r="AH16" s="99">
        <f t="shared" si="10"/>
        <v>-609.61302789479009</v>
      </c>
      <c r="AI16" s="99">
        <f t="shared" si="10"/>
        <v>-647.3439313203171</v>
      </c>
      <c r="AJ16" s="99">
        <f t="shared" si="10"/>
        <v>-649.19348540980388</v>
      </c>
      <c r="AK16" s="99">
        <f t="shared" si="10"/>
        <v>-775.18510998563249</v>
      </c>
      <c r="AL16" s="99">
        <f t="shared" si="10"/>
        <v>-792.49693626322721</v>
      </c>
      <c r="AM16" s="99">
        <f t="shared" si="10"/>
        <v>-841.54711071641225</v>
      </c>
      <c r="AN16" s="99">
        <f t="shared" si="10"/>
        <v>-843.95153103274515</v>
      </c>
      <c r="AO16" s="99">
        <f t="shared" si="10"/>
        <v>-1007.7406429813223</v>
      </c>
      <c r="AP16" s="99">
        <f t="shared" si="10"/>
        <v>-1030.2460171421956</v>
      </c>
      <c r="AQ16" s="99">
        <f t="shared" si="10"/>
        <v>-1094.0112439313361</v>
      </c>
    </row>
    <row r="17" spans="2:43" s="1" customFormat="1" x14ac:dyDescent="0.35">
      <c r="B17" s="33" t="s">
        <v>35</v>
      </c>
      <c r="E17" s="65">
        <f>E16/E$7</f>
        <v>-0.22109826589595374</v>
      </c>
      <c r="F17" s="65">
        <f>F16/F$7</f>
        <v>-0.27301587301587299</v>
      </c>
      <c r="G17" s="65">
        <f t="shared" ref="G17:J17" si="11">G16/G$7</f>
        <v>-0.43285939968404424</v>
      </c>
      <c r="H17" s="65">
        <f t="shared" si="11"/>
        <v>-0.29037037037037039</v>
      </c>
      <c r="I17" s="65">
        <f t="shared" si="11"/>
        <v>-0.35980148883374691</v>
      </c>
      <c r="J17" s="29">
        <f t="shared" si="11"/>
        <v>-0.26213592233009708</v>
      </c>
      <c r="K17" s="106">
        <f>AVERAGE(E17:J17)/2</f>
        <v>-0.15327344334417378</v>
      </c>
      <c r="L17" s="80">
        <f>K17</f>
        <v>-0.15327344334417378</v>
      </c>
      <c r="M17" s="80">
        <f t="shared" ref="M17:AQ17" si="12">L17</f>
        <v>-0.15327344334417378</v>
      </c>
      <c r="N17" s="80">
        <f t="shared" si="12"/>
        <v>-0.15327344334417378</v>
      </c>
      <c r="O17" s="80">
        <f t="shared" si="12"/>
        <v>-0.15327344334417378</v>
      </c>
      <c r="P17" s="80">
        <f t="shared" si="12"/>
        <v>-0.15327344334417378</v>
      </c>
      <c r="Q17" s="80">
        <f t="shared" si="12"/>
        <v>-0.15327344334417378</v>
      </c>
      <c r="R17" s="80">
        <f t="shared" si="12"/>
        <v>-0.15327344334417378</v>
      </c>
      <c r="S17" s="80">
        <f t="shared" si="12"/>
        <v>-0.15327344334417378</v>
      </c>
      <c r="T17" s="80">
        <f t="shared" si="12"/>
        <v>-0.15327344334417378</v>
      </c>
      <c r="U17" s="80">
        <f t="shared" si="12"/>
        <v>-0.15327344334417378</v>
      </c>
      <c r="V17" s="80">
        <f t="shared" si="12"/>
        <v>-0.15327344334417378</v>
      </c>
      <c r="W17" s="80">
        <f t="shared" si="12"/>
        <v>-0.15327344334417378</v>
      </c>
      <c r="X17" s="80">
        <f t="shared" si="12"/>
        <v>-0.15327344334417378</v>
      </c>
      <c r="Y17" s="80">
        <f t="shared" si="12"/>
        <v>-0.15327344334417378</v>
      </c>
      <c r="Z17" s="80">
        <f t="shared" si="12"/>
        <v>-0.15327344334417378</v>
      </c>
      <c r="AA17" s="80">
        <f t="shared" si="12"/>
        <v>-0.15327344334417378</v>
      </c>
      <c r="AB17" s="80">
        <f t="shared" si="12"/>
        <v>-0.15327344334417378</v>
      </c>
      <c r="AC17" s="80">
        <f t="shared" si="12"/>
        <v>-0.15327344334417378</v>
      </c>
      <c r="AD17" s="80">
        <f t="shared" si="12"/>
        <v>-0.15327344334417378</v>
      </c>
      <c r="AE17" s="80">
        <f t="shared" si="12"/>
        <v>-0.15327344334417378</v>
      </c>
      <c r="AF17" s="80">
        <f t="shared" si="12"/>
        <v>-0.15327344334417378</v>
      </c>
      <c r="AG17" s="80">
        <f t="shared" si="12"/>
        <v>-0.15327344334417378</v>
      </c>
      <c r="AH17" s="80">
        <f t="shared" si="12"/>
        <v>-0.15327344334417378</v>
      </c>
      <c r="AI17" s="80">
        <f t="shared" si="12"/>
        <v>-0.15327344334417378</v>
      </c>
      <c r="AJ17" s="80">
        <f t="shared" si="12"/>
        <v>-0.15327344334417378</v>
      </c>
      <c r="AK17" s="80">
        <f t="shared" si="12"/>
        <v>-0.15327344334417378</v>
      </c>
      <c r="AL17" s="80">
        <f t="shared" si="12"/>
        <v>-0.15327344334417378</v>
      </c>
      <c r="AM17" s="80">
        <f t="shared" si="12"/>
        <v>-0.15327344334417378</v>
      </c>
      <c r="AN17" s="80">
        <f t="shared" si="12"/>
        <v>-0.15327344334417378</v>
      </c>
      <c r="AO17" s="80">
        <f t="shared" si="12"/>
        <v>-0.15327344334417378</v>
      </c>
      <c r="AP17" s="80">
        <f t="shared" si="12"/>
        <v>-0.15327344334417378</v>
      </c>
      <c r="AQ17" s="80">
        <f t="shared" si="12"/>
        <v>-0.15327344334417378</v>
      </c>
    </row>
    <row r="18" spans="2:43" s="1" customFormat="1" ht="6.9" customHeight="1" x14ac:dyDescent="0.35">
      <c r="B18" s="10"/>
      <c r="E18" s="76"/>
      <c r="F18" s="76"/>
      <c r="G18" s="76"/>
      <c r="H18" s="76"/>
      <c r="I18" s="76"/>
      <c r="J18" s="27"/>
      <c r="K18" s="9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</row>
    <row r="19" spans="2:43" s="1" customFormat="1" x14ac:dyDescent="0.35">
      <c r="B19" s="10" t="s">
        <v>65</v>
      </c>
      <c r="E19" s="73">
        <v>4</v>
      </c>
      <c r="F19" s="73">
        <v>23</v>
      </c>
      <c r="G19" s="73">
        <v>-1</v>
      </c>
      <c r="H19" s="73">
        <v>-1</v>
      </c>
      <c r="I19" s="73">
        <v>14</v>
      </c>
      <c r="J19" s="31">
        <v>-15</v>
      </c>
      <c r="K19" s="99">
        <f>K20*K$7</f>
        <v>5.5989597078772855</v>
      </c>
      <c r="L19" s="99">
        <f>L20*L$7</f>
        <v>5.6149567356140775</v>
      </c>
      <c r="M19" s="99">
        <f t="shared" ref="M19:AQ19" si="13">M20*M$7</f>
        <v>6.7046742650443649</v>
      </c>
      <c r="N19" s="99">
        <f t="shared" si="13"/>
        <v>6.8544064446607411</v>
      </c>
      <c r="O19" s="99">
        <f t="shared" si="13"/>
        <v>7.2786476202404709</v>
      </c>
      <c r="P19" s="99">
        <f t="shared" si="13"/>
        <v>7.2994437562983006</v>
      </c>
      <c r="Q19" s="99">
        <f t="shared" si="13"/>
        <v>8.7160765445576747</v>
      </c>
      <c r="R19" s="99">
        <f t="shared" si="13"/>
        <v>8.9107283780589643</v>
      </c>
      <c r="S19" s="99">
        <f t="shared" si="13"/>
        <v>9.4622419063126113</v>
      </c>
      <c r="T19" s="99">
        <f t="shared" si="13"/>
        <v>9.4892768831877916</v>
      </c>
      <c r="U19" s="99">
        <f t="shared" si="13"/>
        <v>11.330899507924977</v>
      </c>
      <c r="V19" s="99">
        <f t="shared" si="13"/>
        <v>11.583946891476653</v>
      </c>
      <c r="W19" s="99">
        <f t="shared" si="13"/>
        <v>12.300914478206396</v>
      </c>
      <c r="X19" s="99">
        <f t="shared" si="13"/>
        <v>12.336059948144131</v>
      </c>
      <c r="Y19" s="99">
        <f t="shared" si="13"/>
        <v>14.730169360302472</v>
      </c>
      <c r="Z19" s="99">
        <f t="shared" si="13"/>
        <v>15.059130958919649</v>
      </c>
      <c r="AA19" s="99">
        <f t="shared" si="13"/>
        <v>15.991188821668315</v>
      </c>
      <c r="AB19" s="99">
        <f t="shared" si="13"/>
        <v>16.03687793258737</v>
      </c>
      <c r="AC19" s="99">
        <f t="shared" si="13"/>
        <v>19.149220168393214</v>
      </c>
      <c r="AD19" s="99">
        <f t="shared" si="13"/>
        <v>19.576870246595544</v>
      </c>
      <c r="AE19" s="99">
        <f t="shared" si="13"/>
        <v>20.78854546816881</v>
      </c>
      <c r="AF19" s="99">
        <f t="shared" si="13"/>
        <v>20.847941312363581</v>
      </c>
      <c r="AG19" s="99">
        <f t="shared" si="13"/>
        <v>24.893986218911181</v>
      </c>
      <c r="AH19" s="99">
        <f t="shared" si="13"/>
        <v>25.449931320574208</v>
      </c>
      <c r="AI19" s="99">
        <f t="shared" si="13"/>
        <v>27.025109108619453</v>
      </c>
      <c r="AJ19" s="99">
        <f t="shared" si="13"/>
        <v>27.102323706072657</v>
      </c>
      <c r="AK19" s="99">
        <f t="shared" si="13"/>
        <v>32.362182084584532</v>
      </c>
      <c r="AL19" s="99">
        <f t="shared" si="13"/>
        <v>33.084910716746471</v>
      </c>
      <c r="AM19" s="99">
        <f t="shared" si="13"/>
        <v>35.132641841205292</v>
      </c>
      <c r="AN19" s="99">
        <f t="shared" si="13"/>
        <v>35.233020817894456</v>
      </c>
      <c r="AO19" s="99">
        <f t="shared" si="13"/>
        <v>42.070836709959899</v>
      </c>
      <c r="AP19" s="99">
        <f t="shared" si="13"/>
        <v>43.010383931770413</v>
      </c>
      <c r="AQ19" s="99">
        <f t="shared" si="13"/>
        <v>45.672434393566881</v>
      </c>
    </row>
    <row r="20" spans="2:43" s="1" customFormat="1" x14ac:dyDescent="0.35">
      <c r="B20" s="33" t="s">
        <v>35</v>
      </c>
      <c r="E20" s="65">
        <f>E19/E$7</f>
        <v>5.7803468208092483E-3</v>
      </c>
      <c r="F20" s="65">
        <f>F19/F$7</f>
        <v>3.650793650793651E-2</v>
      </c>
      <c r="G20" s="65">
        <f t="shared" ref="G20:J20" si="14">G19/G$7</f>
        <v>-1.5797788309636651E-3</v>
      </c>
      <c r="H20" s="65">
        <f t="shared" si="14"/>
        <v>-1.4814814814814814E-3</v>
      </c>
      <c r="I20" s="65">
        <f t="shared" si="14"/>
        <v>1.7369727047146403E-2</v>
      </c>
      <c r="J20" s="29">
        <f t="shared" si="14"/>
        <v>-1.820388349514563E-2</v>
      </c>
      <c r="K20" s="106">
        <f>AVERAGE(E20:J20)</f>
        <v>6.3988110947168974E-3</v>
      </c>
      <c r="L20" s="69">
        <f>K20</f>
        <v>6.3988110947168974E-3</v>
      </c>
      <c r="M20" s="69">
        <f t="shared" ref="M20:AQ20" si="15">L20</f>
        <v>6.3988110947168974E-3</v>
      </c>
      <c r="N20" s="69">
        <f t="shared" si="15"/>
        <v>6.3988110947168974E-3</v>
      </c>
      <c r="O20" s="69">
        <f t="shared" si="15"/>
        <v>6.3988110947168974E-3</v>
      </c>
      <c r="P20" s="69">
        <f t="shared" si="15"/>
        <v>6.3988110947168974E-3</v>
      </c>
      <c r="Q20" s="69">
        <f t="shared" si="15"/>
        <v>6.3988110947168974E-3</v>
      </c>
      <c r="R20" s="69">
        <f t="shared" si="15"/>
        <v>6.3988110947168974E-3</v>
      </c>
      <c r="S20" s="69">
        <f t="shared" si="15"/>
        <v>6.3988110947168974E-3</v>
      </c>
      <c r="T20" s="69">
        <f t="shared" si="15"/>
        <v>6.3988110947168974E-3</v>
      </c>
      <c r="U20" s="69">
        <f t="shared" si="15"/>
        <v>6.3988110947168974E-3</v>
      </c>
      <c r="V20" s="69">
        <f t="shared" si="15"/>
        <v>6.3988110947168974E-3</v>
      </c>
      <c r="W20" s="69">
        <f t="shared" si="15"/>
        <v>6.3988110947168974E-3</v>
      </c>
      <c r="X20" s="69">
        <f t="shared" si="15"/>
        <v>6.3988110947168974E-3</v>
      </c>
      <c r="Y20" s="69">
        <f t="shared" si="15"/>
        <v>6.3988110947168974E-3</v>
      </c>
      <c r="Z20" s="69">
        <f t="shared" si="15"/>
        <v>6.3988110947168974E-3</v>
      </c>
      <c r="AA20" s="69">
        <f t="shared" si="15"/>
        <v>6.3988110947168974E-3</v>
      </c>
      <c r="AB20" s="69">
        <f t="shared" si="15"/>
        <v>6.3988110947168974E-3</v>
      </c>
      <c r="AC20" s="69">
        <f t="shared" si="15"/>
        <v>6.3988110947168974E-3</v>
      </c>
      <c r="AD20" s="69">
        <f t="shared" si="15"/>
        <v>6.3988110947168974E-3</v>
      </c>
      <c r="AE20" s="69">
        <f t="shared" si="15"/>
        <v>6.3988110947168974E-3</v>
      </c>
      <c r="AF20" s="69">
        <f t="shared" si="15"/>
        <v>6.3988110947168974E-3</v>
      </c>
      <c r="AG20" s="69">
        <f t="shared" si="15"/>
        <v>6.3988110947168974E-3</v>
      </c>
      <c r="AH20" s="69">
        <f t="shared" si="15"/>
        <v>6.3988110947168974E-3</v>
      </c>
      <c r="AI20" s="69">
        <f t="shared" si="15"/>
        <v>6.3988110947168974E-3</v>
      </c>
      <c r="AJ20" s="69">
        <f t="shared" si="15"/>
        <v>6.3988110947168974E-3</v>
      </c>
      <c r="AK20" s="69">
        <f t="shared" si="15"/>
        <v>6.3988110947168974E-3</v>
      </c>
      <c r="AL20" s="69">
        <f t="shared" si="15"/>
        <v>6.3988110947168974E-3</v>
      </c>
      <c r="AM20" s="69">
        <f t="shared" si="15"/>
        <v>6.3988110947168974E-3</v>
      </c>
      <c r="AN20" s="69">
        <f t="shared" si="15"/>
        <v>6.3988110947168974E-3</v>
      </c>
      <c r="AO20" s="69">
        <f t="shared" si="15"/>
        <v>6.3988110947168974E-3</v>
      </c>
      <c r="AP20" s="69">
        <f t="shared" si="15"/>
        <v>6.3988110947168974E-3</v>
      </c>
      <c r="AQ20" s="69">
        <f t="shared" si="15"/>
        <v>6.3988110947168974E-3</v>
      </c>
    </row>
    <row r="21" spans="2:43" s="1" customFormat="1" ht="6.9" customHeight="1" x14ac:dyDescent="0.35">
      <c r="B21" s="10"/>
      <c r="E21" s="76"/>
      <c r="F21" s="76"/>
      <c r="G21" s="76"/>
      <c r="H21" s="76"/>
      <c r="I21" s="76"/>
      <c r="J21" s="27"/>
      <c r="K21" s="9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</row>
    <row r="22" spans="2:43" s="1" customFormat="1" x14ac:dyDescent="0.35">
      <c r="B22" s="101" t="s">
        <v>54</v>
      </c>
      <c r="C22" s="102"/>
      <c r="D22" s="102"/>
      <c r="E22" s="103">
        <f t="shared" ref="E22:L22" si="16">E10+E13+E16+E19</f>
        <v>300</v>
      </c>
      <c r="F22" s="103">
        <f t="shared" si="16"/>
        <v>208</v>
      </c>
      <c r="G22" s="103">
        <f t="shared" si="16"/>
        <v>-50</v>
      </c>
      <c r="H22" s="103">
        <f t="shared" si="16"/>
        <v>110</v>
      </c>
      <c r="I22" s="103">
        <f t="shared" si="16"/>
        <v>-142</v>
      </c>
      <c r="J22" s="104">
        <f t="shared" si="16"/>
        <v>125</v>
      </c>
      <c r="K22" s="105">
        <f t="shared" si="16"/>
        <v>322.20956440397754</v>
      </c>
      <c r="L22" s="105">
        <f t="shared" si="16"/>
        <v>323.13016315941758</v>
      </c>
      <c r="M22" s="105">
        <f t="shared" ref="M22:AQ22" si="17">M10+M13+M16+M19</f>
        <v>385.84135037998607</v>
      </c>
      <c r="N22" s="105">
        <f t="shared" si="17"/>
        <v>394.45815473090386</v>
      </c>
      <c r="O22" s="105">
        <f t="shared" si="17"/>
        <v>418.87243372517082</v>
      </c>
      <c r="P22" s="105">
        <f t="shared" si="17"/>
        <v>420.06921210724289</v>
      </c>
      <c r="Q22" s="105">
        <f t="shared" si="17"/>
        <v>501.59375549398175</v>
      </c>
      <c r="R22" s="105">
        <f t="shared" si="17"/>
        <v>512.79560115017489</v>
      </c>
      <c r="S22" s="105">
        <f t="shared" si="17"/>
        <v>544.53416384272214</v>
      </c>
      <c r="T22" s="105">
        <f t="shared" si="17"/>
        <v>546.08997573941576</v>
      </c>
      <c r="U22" s="105">
        <f t="shared" si="17"/>
        <v>652.07188214217649</v>
      </c>
      <c r="V22" s="105">
        <f t="shared" si="17"/>
        <v>666.63428149522758</v>
      </c>
      <c r="W22" s="105">
        <f t="shared" si="17"/>
        <v>707.89441299553903</v>
      </c>
      <c r="X22" s="105">
        <f t="shared" si="17"/>
        <v>709.91696846124046</v>
      </c>
      <c r="Y22" s="105">
        <f t="shared" si="17"/>
        <v>847.69344678482958</v>
      </c>
      <c r="Z22" s="105">
        <f t="shared" si="17"/>
        <v>866.62456594379591</v>
      </c>
      <c r="AA22" s="105">
        <f t="shared" si="17"/>
        <v>920.26273689420066</v>
      </c>
      <c r="AB22" s="105">
        <f t="shared" si="17"/>
        <v>922.89205899961246</v>
      </c>
      <c r="AC22" s="105">
        <f t="shared" si="17"/>
        <v>1102.0014808202782</v>
      </c>
      <c r="AD22" s="105">
        <f t="shared" si="17"/>
        <v>1126.611935726934</v>
      </c>
      <c r="AE22" s="105">
        <f t="shared" si="17"/>
        <v>1196.3415579624605</v>
      </c>
      <c r="AF22" s="105">
        <f t="shared" si="17"/>
        <v>1199.7596766994966</v>
      </c>
      <c r="AG22" s="105">
        <f t="shared" si="17"/>
        <v>1432.6019250663617</v>
      </c>
      <c r="AH22" s="105">
        <f t="shared" si="17"/>
        <v>1464.5955164450149</v>
      </c>
      <c r="AI22" s="105">
        <f t="shared" si="17"/>
        <v>1555.2440253511988</v>
      </c>
      <c r="AJ22" s="105">
        <f t="shared" si="17"/>
        <v>1559.6875797093458</v>
      </c>
      <c r="AK22" s="105">
        <f t="shared" si="17"/>
        <v>1862.38250258627</v>
      </c>
      <c r="AL22" s="105">
        <f t="shared" si="17"/>
        <v>1903.9741713785193</v>
      </c>
      <c r="AM22" s="105">
        <f t="shared" si="17"/>
        <v>2021.8172329565584</v>
      </c>
      <c r="AN22" s="105">
        <f t="shared" si="17"/>
        <v>2027.593853622149</v>
      </c>
      <c r="AO22" s="105">
        <f t="shared" si="17"/>
        <v>2421.0972533621521</v>
      </c>
      <c r="AP22" s="105">
        <f t="shared" si="17"/>
        <v>2475.1664227920751</v>
      </c>
      <c r="AQ22" s="105">
        <f t="shared" si="17"/>
        <v>2628.362402843527</v>
      </c>
    </row>
    <row r="23" spans="2:43" s="1" customFormat="1" x14ac:dyDescent="0.35">
      <c r="B23" s="33" t="s">
        <v>32</v>
      </c>
      <c r="E23" s="65">
        <f t="shared" ref="E23:L23" si="18">E22/E7</f>
        <v>0.43352601156069365</v>
      </c>
      <c r="F23" s="65">
        <f t="shared" si="18"/>
        <v>0.33015873015873015</v>
      </c>
      <c r="G23" s="65">
        <f t="shared" si="18"/>
        <v>-7.8988941548183256E-2</v>
      </c>
      <c r="H23" s="65">
        <f t="shared" si="18"/>
        <v>0.16296296296296298</v>
      </c>
      <c r="I23" s="65">
        <f t="shared" si="18"/>
        <v>-0.17617866004962779</v>
      </c>
      <c r="J23" s="29">
        <f t="shared" si="18"/>
        <v>0.15169902912621358</v>
      </c>
      <c r="K23" s="68">
        <f t="shared" si="18"/>
        <v>0.36823950217597434</v>
      </c>
      <c r="L23" s="68">
        <f t="shared" si="18"/>
        <v>0.36823950217597445</v>
      </c>
      <c r="M23" s="68">
        <f t="shared" ref="M23:AQ23" si="19">M22/M7</f>
        <v>0.36823950217597451</v>
      </c>
      <c r="N23" s="68">
        <f t="shared" si="19"/>
        <v>0.36823950217597445</v>
      </c>
      <c r="O23" s="68">
        <f t="shared" si="19"/>
        <v>0.36823950217597434</v>
      </c>
      <c r="P23" s="68">
        <f t="shared" si="19"/>
        <v>0.36823950217597451</v>
      </c>
      <c r="Q23" s="68">
        <f t="shared" si="19"/>
        <v>0.36823950217597434</v>
      </c>
      <c r="R23" s="68">
        <f t="shared" si="19"/>
        <v>0.36823950217597434</v>
      </c>
      <c r="S23" s="68">
        <f t="shared" si="19"/>
        <v>0.3682395021759744</v>
      </c>
      <c r="T23" s="68">
        <f t="shared" si="19"/>
        <v>0.36823950217597445</v>
      </c>
      <c r="U23" s="68">
        <f t="shared" si="19"/>
        <v>0.36823950217597445</v>
      </c>
      <c r="V23" s="68">
        <f t="shared" si="19"/>
        <v>0.36823950217597445</v>
      </c>
      <c r="W23" s="68">
        <f t="shared" si="19"/>
        <v>0.36823950217597451</v>
      </c>
      <c r="X23" s="68">
        <f t="shared" si="19"/>
        <v>0.3682395021759744</v>
      </c>
      <c r="Y23" s="68">
        <f t="shared" si="19"/>
        <v>0.36823950217597451</v>
      </c>
      <c r="Z23" s="68">
        <f t="shared" si="19"/>
        <v>0.36823950217597451</v>
      </c>
      <c r="AA23" s="68">
        <f t="shared" si="19"/>
        <v>0.36823950217597445</v>
      </c>
      <c r="AB23" s="68">
        <f t="shared" si="19"/>
        <v>0.36823950217597434</v>
      </c>
      <c r="AC23" s="68">
        <f t="shared" si="19"/>
        <v>0.3682395021759744</v>
      </c>
      <c r="AD23" s="68">
        <f t="shared" si="19"/>
        <v>0.36823950217597429</v>
      </c>
      <c r="AE23" s="68">
        <f t="shared" si="19"/>
        <v>0.36823950217597434</v>
      </c>
      <c r="AF23" s="68">
        <f t="shared" si="19"/>
        <v>0.36823950217597445</v>
      </c>
      <c r="AG23" s="68">
        <f t="shared" si="19"/>
        <v>0.3682395021759744</v>
      </c>
      <c r="AH23" s="68">
        <f t="shared" si="19"/>
        <v>0.36823950217597445</v>
      </c>
      <c r="AI23" s="68">
        <f t="shared" si="19"/>
        <v>0.3682395021759744</v>
      </c>
      <c r="AJ23" s="68">
        <f t="shared" si="19"/>
        <v>0.36823950217597445</v>
      </c>
      <c r="AK23" s="68">
        <f t="shared" si="19"/>
        <v>0.36823950217597434</v>
      </c>
      <c r="AL23" s="68">
        <f t="shared" si="19"/>
        <v>0.3682395021759744</v>
      </c>
      <c r="AM23" s="68">
        <f t="shared" si="19"/>
        <v>0.3682395021759744</v>
      </c>
      <c r="AN23" s="68">
        <f t="shared" si="19"/>
        <v>0.36823950217597434</v>
      </c>
      <c r="AO23" s="68">
        <f t="shared" si="19"/>
        <v>0.36823950217597451</v>
      </c>
      <c r="AP23" s="68">
        <f t="shared" si="19"/>
        <v>0.36823950217597434</v>
      </c>
      <c r="AQ23" s="68">
        <f t="shared" si="19"/>
        <v>0.36823950217597451</v>
      </c>
    </row>
    <row r="24" spans="2:43" s="1" customFormat="1" ht="6.9" customHeight="1" x14ac:dyDescent="0.35">
      <c r="B24" s="10"/>
      <c r="E24" s="76"/>
      <c r="F24" s="76"/>
      <c r="G24" s="76"/>
      <c r="H24" s="76"/>
      <c r="I24" s="76"/>
      <c r="J24" s="27"/>
      <c r="K24" s="9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8"/>
    </row>
    <row r="25" spans="2:43" s="1" customFormat="1" x14ac:dyDescent="0.35">
      <c r="B25" s="10" t="s">
        <v>33</v>
      </c>
      <c r="E25" s="73">
        <v>61</v>
      </c>
      <c r="F25" s="73">
        <v>38</v>
      </c>
      <c r="G25" s="73">
        <v>2</v>
      </c>
      <c r="H25" s="73">
        <v>22</v>
      </c>
      <c r="I25" s="73">
        <v>-9</v>
      </c>
      <c r="J25" s="31">
        <v>59</v>
      </c>
      <c r="K25" s="74">
        <f>K26*K22</f>
        <v>-67.664008524835282</v>
      </c>
      <c r="L25" s="74">
        <f t="shared" ref="L25:AQ25" si="20">L26*L22</f>
        <v>-67.857334263477682</v>
      </c>
      <c r="M25" s="74">
        <f t="shared" si="20"/>
        <v>-81.026683579797066</v>
      </c>
      <c r="N25" s="74">
        <f t="shared" si="20"/>
        <v>-82.836212493489811</v>
      </c>
      <c r="O25" s="74">
        <f t="shared" si="20"/>
        <v>-87.963211082285866</v>
      </c>
      <c r="P25" s="74">
        <f t="shared" si="20"/>
        <v>-88.214534542521008</v>
      </c>
      <c r="Q25" s="74">
        <f t="shared" si="20"/>
        <v>-105.33468865373617</v>
      </c>
      <c r="R25" s="74">
        <f t="shared" si="20"/>
        <v>-107.68707624153673</v>
      </c>
      <c r="S25" s="74">
        <f t="shared" si="20"/>
        <v>-114.35217440697164</v>
      </c>
      <c r="T25" s="74">
        <f t="shared" si="20"/>
        <v>-114.6788949052773</v>
      </c>
      <c r="U25" s="74">
        <f t="shared" si="20"/>
        <v>-136.93509524985706</v>
      </c>
      <c r="V25" s="74">
        <f t="shared" si="20"/>
        <v>-139.99319911399778</v>
      </c>
      <c r="W25" s="74">
        <f t="shared" si="20"/>
        <v>-148.6578267290632</v>
      </c>
      <c r="X25" s="74">
        <f t="shared" si="20"/>
        <v>-149.08256337686049</v>
      </c>
      <c r="Y25" s="74">
        <f t="shared" si="20"/>
        <v>-178.01562382481421</v>
      </c>
      <c r="Z25" s="74">
        <f t="shared" si="20"/>
        <v>-181.99115884819713</v>
      </c>
      <c r="AA25" s="74">
        <f t="shared" si="20"/>
        <v>-193.25517474778212</v>
      </c>
      <c r="AB25" s="74">
        <f t="shared" si="20"/>
        <v>-193.8073323899186</v>
      </c>
      <c r="AC25" s="74">
        <f t="shared" si="20"/>
        <v>-231.42031097225842</v>
      </c>
      <c r="AD25" s="74">
        <f t="shared" si="20"/>
        <v>-236.58850650265614</v>
      </c>
      <c r="AE25" s="74">
        <f t="shared" si="20"/>
        <v>-251.23172717211668</v>
      </c>
      <c r="AF25" s="74">
        <f t="shared" si="20"/>
        <v>-251.94953210689428</v>
      </c>
      <c r="AG25" s="74">
        <f t="shared" si="20"/>
        <v>-300.84640426393594</v>
      </c>
      <c r="AH25" s="74">
        <f t="shared" si="20"/>
        <v>-307.5650584534531</v>
      </c>
      <c r="AI25" s="74">
        <f t="shared" si="20"/>
        <v>-326.60124532375175</v>
      </c>
      <c r="AJ25" s="74">
        <f t="shared" si="20"/>
        <v>-327.5343917389626</v>
      </c>
      <c r="AK25" s="74">
        <f t="shared" si="20"/>
        <v>-391.1003255431167</v>
      </c>
      <c r="AL25" s="74">
        <f t="shared" si="20"/>
        <v>-399.83457598948905</v>
      </c>
      <c r="AM25" s="74">
        <f t="shared" si="20"/>
        <v>-424.58161892087725</v>
      </c>
      <c r="AN25" s="74">
        <f t="shared" si="20"/>
        <v>-425.7947092606513</v>
      </c>
      <c r="AO25" s="74">
        <f t="shared" si="20"/>
        <v>-508.4304232060519</v>
      </c>
      <c r="AP25" s="74">
        <f t="shared" si="20"/>
        <v>-519.7849487863358</v>
      </c>
      <c r="AQ25" s="74">
        <f t="shared" si="20"/>
        <v>-551.95610459714067</v>
      </c>
    </row>
    <row r="26" spans="2:43" s="1" customFormat="1" x14ac:dyDescent="0.35">
      <c r="B26" s="33" t="s">
        <v>34</v>
      </c>
      <c r="E26" s="65">
        <f>E25/E22</f>
        <v>0.20333333333333334</v>
      </c>
      <c r="F26" s="65">
        <f>F25/F22</f>
        <v>0.18269230769230768</v>
      </c>
      <c r="G26" s="65">
        <f t="shared" ref="G26:I26" si="21">G25/G22</f>
        <v>-0.04</v>
      </c>
      <c r="H26" s="65">
        <f t="shared" si="21"/>
        <v>0.2</v>
      </c>
      <c r="I26" s="65">
        <f t="shared" si="21"/>
        <v>6.3380281690140844E-2</v>
      </c>
      <c r="J26" s="29">
        <f>J25/J22</f>
        <v>0.47199999999999998</v>
      </c>
      <c r="K26" s="106">
        <f>-WACC!D7</f>
        <v>-0.21</v>
      </c>
      <c r="L26" s="106">
        <f t="shared" ref="L26:AQ26" si="22">K26</f>
        <v>-0.21</v>
      </c>
      <c r="M26" s="106">
        <f t="shared" si="22"/>
        <v>-0.21</v>
      </c>
      <c r="N26" s="106">
        <f t="shared" si="22"/>
        <v>-0.21</v>
      </c>
      <c r="O26" s="106">
        <f t="shared" si="22"/>
        <v>-0.21</v>
      </c>
      <c r="P26" s="106">
        <f t="shared" si="22"/>
        <v>-0.21</v>
      </c>
      <c r="Q26" s="106">
        <f t="shared" si="22"/>
        <v>-0.21</v>
      </c>
      <c r="R26" s="106">
        <f t="shared" si="22"/>
        <v>-0.21</v>
      </c>
      <c r="S26" s="106">
        <f t="shared" si="22"/>
        <v>-0.21</v>
      </c>
      <c r="T26" s="106">
        <f t="shared" si="22"/>
        <v>-0.21</v>
      </c>
      <c r="U26" s="106">
        <f t="shared" si="22"/>
        <v>-0.21</v>
      </c>
      <c r="V26" s="106">
        <f t="shared" si="22"/>
        <v>-0.21</v>
      </c>
      <c r="W26" s="106">
        <f t="shared" si="22"/>
        <v>-0.21</v>
      </c>
      <c r="X26" s="106">
        <f t="shared" si="22"/>
        <v>-0.21</v>
      </c>
      <c r="Y26" s="106">
        <f t="shared" si="22"/>
        <v>-0.21</v>
      </c>
      <c r="Z26" s="106">
        <f t="shared" si="22"/>
        <v>-0.21</v>
      </c>
      <c r="AA26" s="106">
        <f t="shared" si="22"/>
        <v>-0.21</v>
      </c>
      <c r="AB26" s="106">
        <f t="shared" si="22"/>
        <v>-0.21</v>
      </c>
      <c r="AC26" s="106">
        <f t="shared" si="22"/>
        <v>-0.21</v>
      </c>
      <c r="AD26" s="106">
        <f t="shared" si="22"/>
        <v>-0.21</v>
      </c>
      <c r="AE26" s="106">
        <f t="shared" si="22"/>
        <v>-0.21</v>
      </c>
      <c r="AF26" s="106">
        <f t="shared" si="22"/>
        <v>-0.21</v>
      </c>
      <c r="AG26" s="106">
        <f t="shared" si="22"/>
        <v>-0.21</v>
      </c>
      <c r="AH26" s="106">
        <f t="shared" si="22"/>
        <v>-0.21</v>
      </c>
      <c r="AI26" s="106">
        <f t="shared" si="22"/>
        <v>-0.21</v>
      </c>
      <c r="AJ26" s="106">
        <f t="shared" si="22"/>
        <v>-0.21</v>
      </c>
      <c r="AK26" s="106">
        <f t="shared" si="22"/>
        <v>-0.21</v>
      </c>
      <c r="AL26" s="106">
        <f t="shared" si="22"/>
        <v>-0.21</v>
      </c>
      <c r="AM26" s="106">
        <f t="shared" si="22"/>
        <v>-0.21</v>
      </c>
      <c r="AN26" s="106">
        <f t="shared" si="22"/>
        <v>-0.21</v>
      </c>
      <c r="AO26" s="106">
        <f t="shared" si="22"/>
        <v>-0.21</v>
      </c>
      <c r="AP26" s="106">
        <f t="shared" si="22"/>
        <v>-0.21</v>
      </c>
      <c r="AQ26" s="106">
        <f t="shared" si="22"/>
        <v>-0.21</v>
      </c>
    </row>
    <row r="27" spans="2:43" s="1" customFormat="1" ht="6.9" customHeight="1" x14ac:dyDescent="0.35">
      <c r="B27" s="10"/>
      <c r="J27" s="30"/>
      <c r="AQ27" s="79"/>
    </row>
    <row r="28" spans="2:43" s="1" customFormat="1" x14ac:dyDescent="0.35">
      <c r="B28" s="10" t="s">
        <v>55</v>
      </c>
      <c r="E28" s="76">
        <v>42</v>
      </c>
      <c r="F28" s="76">
        <v>45</v>
      </c>
      <c r="G28" s="76">
        <v>40</v>
      </c>
      <c r="H28" s="76">
        <v>41</v>
      </c>
      <c r="I28" s="76">
        <v>41</v>
      </c>
      <c r="J28" s="27">
        <v>42</v>
      </c>
      <c r="K28" s="74">
        <f t="shared" ref="K28:AQ28" si="23">K29*K7</f>
        <v>52.192797294913476</v>
      </c>
      <c r="L28" s="74">
        <f t="shared" si="23"/>
        <v>52.341919572898938</v>
      </c>
      <c r="M28" s="74">
        <f t="shared" si="23"/>
        <v>62.50012914926895</v>
      </c>
      <c r="N28" s="74">
        <f t="shared" si="23"/>
        <v>63.895913671212931</v>
      </c>
      <c r="O28" s="74">
        <f t="shared" si="23"/>
        <v>67.850636483387518</v>
      </c>
      <c r="P28" s="74">
        <f t="shared" si="23"/>
        <v>68.044495444768614</v>
      </c>
      <c r="Q28" s="74">
        <f t="shared" si="23"/>
        <v>81.250167894049653</v>
      </c>
      <c r="R28" s="74">
        <f t="shared" si="23"/>
        <v>83.064687772576818</v>
      </c>
      <c r="S28" s="74">
        <f t="shared" si="23"/>
        <v>88.205827428403765</v>
      </c>
      <c r="T28" s="74">
        <f t="shared" si="23"/>
        <v>88.457844078199216</v>
      </c>
      <c r="U28" s="74">
        <f t="shared" si="23"/>
        <v>105.62521826226454</v>
      </c>
      <c r="V28" s="74">
        <f t="shared" si="23"/>
        <v>107.98409410434986</v>
      </c>
      <c r="W28" s="74">
        <f t="shared" si="23"/>
        <v>114.6675756569249</v>
      </c>
      <c r="X28" s="74">
        <f t="shared" si="23"/>
        <v>114.99519730165899</v>
      </c>
      <c r="Y28" s="74">
        <f t="shared" si="23"/>
        <v>137.31278374094393</v>
      </c>
      <c r="Z28" s="74">
        <f t="shared" si="23"/>
        <v>140.37932233565482</v>
      </c>
      <c r="AA28" s="74">
        <f t="shared" si="23"/>
        <v>149.06784835400236</v>
      </c>
      <c r="AB28" s="74">
        <f t="shared" si="23"/>
        <v>149.49375649215668</v>
      </c>
      <c r="AC28" s="74">
        <f t="shared" si="23"/>
        <v>178.50661886322709</v>
      </c>
      <c r="AD28" s="74">
        <f t="shared" si="23"/>
        <v>182.49311903635126</v>
      </c>
      <c r="AE28" s="74">
        <f t="shared" si="23"/>
        <v>193.78820286020309</v>
      </c>
      <c r="AF28" s="74">
        <f t="shared" si="23"/>
        <v>194.34188343980369</v>
      </c>
      <c r="AG28" s="74">
        <f t="shared" si="23"/>
        <v>232.05860452219522</v>
      </c>
      <c r="AH28" s="74">
        <f t="shared" si="23"/>
        <v>237.24105474725664</v>
      </c>
      <c r="AI28" s="74">
        <f t="shared" si="23"/>
        <v>251.92466371826401</v>
      </c>
      <c r="AJ28" s="74">
        <f t="shared" si="23"/>
        <v>252.64444847174482</v>
      </c>
      <c r="AK28" s="74">
        <f t="shared" si="23"/>
        <v>301.6761858788538</v>
      </c>
      <c r="AL28" s="74">
        <f t="shared" si="23"/>
        <v>308.41337117143365</v>
      </c>
      <c r="AM28" s="74">
        <f t="shared" si="23"/>
        <v>327.5020628337432</v>
      </c>
      <c r="AN28" s="74">
        <f t="shared" si="23"/>
        <v>328.4377830132683</v>
      </c>
      <c r="AO28" s="74">
        <f t="shared" si="23"/>
        <v>392.17904164250996</v>
      </c>
      <c r="AP28" s="74">
        <f t="shared" si="23"/>
        <v>400.9373825228638</v>
      </c>
      <c r="AQ28" s="75">
        <f t="shared" si="23"/>
        <v>425.75268168386623</v>
      </c>
    </row>
    <row r="29" spans="2:43" s="1" customFormat="1" x14ac:dyDescent="0.35">
      <c r="B29" s="33" t="s">
        <v>35</v>
      </c>
      <c r="E29" s="68">
        <f t="shared" ref="E29:J29" si="24">E28/E7</f>
        <v>6.0693641618497107E-2</v>
      </c>
      <c r="F29" s="68">
        <f t="shared" si="24"/>
        <v>7.1428571428571425E-2</v>
      </c>
      <c r="G29" s="68">
        <f t="shared" si="24"/>
        <v>6.3191153238546599E-2</v>
      </c>
      <c r="H29" s="68">
        <f t="shared" si="24"/>
        <v>6.0740740740740741E-2</v>
      </c>
      <c r="I29" s="68">
        <f t="shared" si="24"/>
        <v>5.0868486352357321E-2</v>
      </c>
      <c r="J29" s="28">
        <f t="shared" si="24"/>
        <v>5.0970873786407765E-2</v>
      </c>
      <c r="K29" s="96">
        <f>AVERAGE(E29:J29)</f>
        <v>5.9648911194186825E-2</v>
      </c>
      <c r="L29" s="69">
        <f t="shared" ref="L29:AQ29" si="25">K29</f>
        <v>5.9648911194186825E-2</v>
      </c>
      <c r="M29" s="69">
        <f t="shared" si="25"/>
        <v>5.9648911194186825E-2</v>
      </c>
      <c r="N29" s="69">
        <f t="shared" si="25"/>
        <v>5.9648911194186825E-2</v>
      </c>
      <c r="O29" s="69">
        <f t="shared" si="25"/>
        <v>5.9648911194186825E-2</v>
      </c>
      <c r="P29" s="69">
        <f t="shared" si="25"/>
        <v>5.9648911194186825E-2</v>
      </c>
      <c r="Q29" s="69">
        <f t="shared" si="25"/>
        <v>5.9648911194186825E-2</v>
      </c>
      <c r="R29" s="69">
        <f t="shared" si="25"/>
        <v>5.9648911194186825E-2</v>
      </c>
      <c r="S29" s="69">
        <f t="shared" si="25"/>
        <v>5.9648911194186825E-2</v>
      </c>
      <c r="T29" s="69">
        <f t="shared" si="25"/>
        <v>5.9648911194186825E-2</v>
      </c>
      <c r="U29" s="69">
        <f t="shared" si="25"/>
        <v>5.9648911194186825E-2</v>
      </c>
      <c r="V29" s="69">
        <f t="shared" si="25"/>
        <v>5.9648911194186825E-2</v>
      </c>
      <c r="W29" s="69">
        <f t="shared" si="25"/>
        <v>5.9648911194186825E-2</v>
      </c>
      <c r="X29" s="69">
        <f t="shared" si="25"/>
        <v>5.9648911194186825E-2</v>
      </c>
      <c r="Y29" s="69">
        <f t="shared" si="25"/>
        <v>5.9648911194186825E-2</v>
      </c>
      <c r="Z29" s="69">
        <f t="shared" si="25"/>
        <v>5.9648911194186825E-2</v>
      </c>
      <c r="AA29" s="69">
        <f t="shared" si="25"/>
        <v>5.9648911194186825E-2</v>
      </c>
      <c r="AB29" s="69">
        <f t="shared" si="25"/>
        <v>5.9648911194186825E-2</v>
      </c>
      <c r="AC29" s="69">
        <f t="shared" si="25"/>
        <v>5.9648911194186825E-2</v>
      </c>
      <c r="AD29" s="69">
        <f t="shared" si="25"/>
        <v>5.9648911194186825E-2</v>
      </c>
      <c r="AE29" s="69">
        <f t="shared" si="25"/>
        <v>5.9648911194186825E-2</v>
      </c>
      <c r="AF29" s="69">
        <f t="shared" si="25"/>
        <v>5.9648911194186825E-2</v>
      </c>
      <c r="AG29" s="69">
        <f t="shared" si="25"/>
        <v>5.9648911194186825E-2</v>
      </c>
      <c r="AH29" s="69">
        <f t="shared" si="25"/>
        <v>5.9648911194186825E-2</v>
      </c>
      <c r="AI29" s="69">
        <f t="shared" si="25"/>
        <v>5.9648911194186825E-2</v>
      </c>
      <c r="AJ29" s="69">
        <f t="shared" si="25"/>
        <v>5.9648911194186825E-2</v>
      </c>
      <c r="AK29" s="69">
        <f t="shared" si="25"/>
        <v>5.9648911194186825E-2</v>
      </c>
      <c r="AL29" s="69">
        <f t="shared" si="25"/>
        <v>5.9648911194186825E-2</v>
      </c>
      <c r="AM29" s="69">
        <f t="shared" si="25"/>
        <v>5.9648911194186825E-2</v>
      </c>
      <c r="AN29" s="69">
        <f t="shared" si="25"/>
        <v>5.9648911194186825E-2</v>
      </c>
      <c r="AO29" s="69">
        <f t="shared" si="25"/>
        <v>5.9648911194186825E-2</v>
      </c>
      <c r="AP29" s="69">
        <f t="shared" si="25"/>
        <v>5.9648911194186825E-2</v>
      </c>
      <c r="AQ29" s="70">
        <f t="shared" si="25"/>
        <v>5.9648911194186825E-2</v>
      </c>
    </row>
    <row r="30" spans="2:43" s="1" customFormat="1" ht="6.9" customHeight="1" x14ac:dyDescent="0.35">
      <c r="B30" s="11"/>
      <c r="E30" s="68"/>
      <c r="F30" s="68"/>
      <c r="G30" s="68"/>
      <c r="H30" s="68"/>
      <c r="I30" s="68"/>
      <c r="J30" s="28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2"/>
    </row>
    <row r="31" spans="2:43" s="1" customFormat="1" x14ac:dyDescent="0.35">
      <c r="B31" s="10" t="s">
        <v>36</v>
      </c>
      <c r="E31" s="73">
        <v>-26</v>
      </c>
      <c r="F31" s="73">
        <v>-34</v>
      </c>
      <c r="G31" s="73">
        <v>-20</v>
      </c>
      <c r="H31" s="73">
        <v>-26</v>
      </c>
      <c r="I31" s="73">
        <v>-47</v>
      </c>
      <c r="J31" s="31">
        <v>-51</v>
      </c>
      <c r="K31" s="74">
        <f t="shared" ref="K31:AQ31" si="26">K32*K7</f>
        <v>-41.10465076836558</v>
      </c>
      <c r="L31" s="74">
        <f t="shared" si="26"/>
        <v>-41.222092627703766</v>
      </c>
      <c r="M31" s="74">
        <f t="shared" si="26"/>
        <v>-49.222232085821084</v>
      </c>
      <c r="N31" s="74">
        <f t="shared" si="26"/>
        <v>-50.321487889226525</v>
      </c>
      <c r="O31" s="74">
        <f t="shared" si="26"/>
        <v>-53.436045998875251</v>
      </c>
      <c r="P31" s="74">
        <f t="shared" si="26"/>
        <v>-53.588720416014894</v>
      </c>
      <c r="Q31" s="74">
        <f t="shared" si="26"/>
        <v>-63.988901711567422</v>
      </c>
      <c r="R31" s="74">
        <f t="shared" si="26"/>
        <v>-65.417934255994481</v>
      </c>
      <c r="S31" s="74">
        <f t="shared" si="26"/>
        <v>-69.466859798537826</v>
      </c>
      <c r="T31" s="74">
        <f t="shared" si="26"/>
        <v>-69.665336540819368</v>
      </c>
      <c r="U31" s="74">
        <f t="shared" si="26"/>
        <v>-83.185572225037646</v>
      </c>
      <c r="V31" s="74">
        <f t="shared" si="26"/>
        <v>-85.043314532792834</v>
      </c>
      <c r="W31" s="74">
        <f t="shared" si="26"/>
        <v>-90.306917738099173</v>
      </c>
      <c r="X31" s="74">
        <f t="shared" si="26"/>
        <v>-90.564937503065181</v>
      </c>
      <c r="Y31" s="74">
        <f t="shared" si="26"/>
        <v>-108.14124389254896</v>
      </c>
      <c r="Z31" s="74">
        <f t="shared" si="26"/>
        <v>-110.55630889263068</v>
      </c>
      <c r="AA31" s="74">
        <f t="shared" si="26"/>
        <v>-117.39899305952893</v>
      </c>
      <c r="AB31" s="74">
        <f t="shared" si="26"/>
        <v>-117.73441875398474</v>
      </c>
      <c r="AC31" s="74">
        <f t="shared" si="26"/>
        <v>-140.58361706031363</v>
      </c>
      <c r="AD31" s="74">
        <f t="shared" si="26"/>
        <v>-143.72320156041988</v>
      </c>
      <c r="AE31" s="74">
        <f t="shared" si="26"/>
        <v>-152.61869097738762</v>
      </c>
      <c r="AF31" s="74">
        <f t="shared" si="26"/>
        <v>-153.05474438018018</v>
      </c>
      <c r="AG31" s="74">
        <f t="shared" si="26"/>
        <v>-182.75870217840773</v>
      </c>
      <c r="AH31" s="74">
        <f t="shared" si="26"/>
        <v>-186.84016202854588</v>
      </c>
      <c r="AI31" s="74">
        <f t="shared" si="26"/>
        <v>-198.4042982706039</v>
      </c>
      <c r="AJ31" s="74">
        <f t="shared" si="26"/>
        <v>-198.97116769423425</v>
      </c>
      <c r="AK31" s="74">
        <f t="shared" si="26"/>
        <v>-237.58631283193006</v>
      </c>
      <c r="AL31" s="74">
        <f t="shared" si="26"/>
        <v>-242.89221063710963</v>
      </c>
      <c r="AM31" s="74">
        <f t="shared" si="26"/>
        <v>-257.92558775178509</v>
      </c>
      <c r="AN31" s="74">
        <f t="shared" si="26"/>
        <v>-258.66251800250456</v>
      </c>
      <c r="AO31" s="74">
        <f t="shared" si="26"/>
        <v>-308.86220668150912</v>
      </c>
      <c r="AP31" s="74">
        <f t="shared" si="26"/>
        <v>-315.75987382824258</v>
      </c>
      <c r="AQ31" s="75">
        <f t="shared" si="26"/>
        <v>-335.30326407732059</v>
      </c>
    </row>
    <row r="32" spans="2:43" s="1" customFormat="1" x14ac:dyDescent="0.35">
      <c r="B32" s="33" t="s">
        <v>35</v>
      </c>
      <c r="E32" s="65">
        <f>E31/E$7</f>
        <v>-3.7572254335260118E-2</v>
      </c>
      <c r="F32" s="65">
        <f>F31/F$7</f>
        <v>-5.3968253968253971E-2</v>
      </c>
      <c r="G32" s="65">
        <f t="shared" ref="G32:H32" si="27">G31/G$7</f>
        <v>-3.15955766192733E-2</v>
      </c>
      <c r="H32" s="65">
        <f t="shared" si="27"/>
        <v>-3.8518518518518521E-2</v>
      </c>
      <c r="I32" s="65">
        <f>I31/I$7</f>
        <v>-5.8312655086848637E-2</v>
      </c>
      <c r="J32" s="29">
        <f>J31/J$7</f>
        <v>-6.1893203883495146E-2</v>
      </c>
      <c r="K32" s="100">
        <f>AVERAGE(E32:J32)</f>
        <v>-4.6976743735274946E-2</v>
      </c>
      <c r="L32" s="80">
        <f t="shared" ref="L32:AQ32" si="28">K32</f>
        <v>-4.6976743735274946E-2</v>
      </c>
      <c r="M32" s="80">
        <f t="shared" si="28"/>
        <v>-4.6976743735274946E-2</v>
      </c>
      <c r="N32" s="80">
        <f t="shared" si="28"/>
        <v>-4.6976743735274946E-2</v>
      </c>
      <c r="O32" s="80">
        <f t="shared" si="28"/>
        <v>-4.6976743735274946E-2</v>
      </c>
      <c r="P32" s="80">
        <f t="shared" si="28"/>
        <v>-4.6976743735274946E-2</v>
      </c>
      <c r="Q32" s="80">
        <f t="shared" si="28"/>
        <v>-4.6976743735274946E-2</v>
      </c>
      <c r="R32" s="80">
        <f t="shared" si="28"/>
        <v>-4.6976743735274946E-2</v>
      </c>
      <c r="S32" s="80">
        <f t="shared" si="28"/>
        <v>-4.6976743735274946E-2</v>
      </c>
      <c r="T32" s="80">
        <f t="shared" si="28"/>
        <v>-4.6976743735274946E-2</v>
      </c>
      <c r="U32" s="80">
        <f t="shared" si="28"/>
        <v>-4.6976743735274946E-2</v>
      </c>
      <c r="V32" s="80">
        <f t="shared" si="28"/>
        <v>-4.6976743735274946E-2</v>
      </c>
      <c r="W32" s="80">
        <f t="shared" si="28"/>
        <v>-4.6976743735274946E-2</v>
      </c>
      <c r="X32" s="80">
        <f t="shared" si="28"/>
        <v>-4.6976743735274946E-2</v>
      </c>
      <c r="Y32" s="80">
        <f t="shared" si="28"/>
        <v>-4.6976743735274946E-2</v>
      </c>
      <c r="Z32" s="80">
        <f t="shared" si="28"/>
        <v>-4.6976743735274946E-2</v>
      </c>
      <c r="AA32" s="80">
        <f t="shared" si="28"/>
        <v>-4.6976743735274946E-2</v>
      </c>
      <c r="AB32" s="80">
        <f t="shared" si="28"/>
        <v>-4.6976743735274946E-2</v>
      </c>
      <c r="AC32" s="80">
        <f t="shared" si="28"/>
        <v>-4.6976743735274946E-2</v>
      </c>
      <c r="AD32" s="80">
        <f t="shared" si="28"/>
        <v>-4.6976743735274946E-2</v>
      </c>
      <c r="AE32" s="80">
        <f t="shared" si="28"/>
        <v>-4.6976743735274946E-2</v>
      </c>
      <c r="AF32" s="80">
        <f t="shared" si="28"/>
        <v>-4.6976743735274946E-2</v>
      </c>
      <c r="AG32" s="80">
        <f t="shared" si="28"/>
        <v>-4.6976743735274946E-2</v>
      </c>
      <c r="AH32" s="80">
        <f t="shared" si="28"/>
        <v>-4.6976743735274946E-2</v>
      </c>
      <c r="AI32" s="80">
        <f t="shared" si="28"/>
        <v>-4.6976743735274946E-2</v>
      </c>
      <c r="AJ32" s="80">
        <f t="shared" si="28"/>
        <v>-4.6976743735274946E-2</v>
      </c>
      <c r="AK32" s="80">
        <f t="shared" si="28"/>
        <v>-4.6976743735274946E-2</v>
      </c>
      <c r="AL32" s="80">
        <f t="shared" si="28"/>
        <v>-4.6976743735274946E-2</v>
      </c>
      <c r="AM32" s="80">
        <f t="shared" si="28"/>
        <v>-4.6976743735274946E-2</v>
      </c>
      <c r="AN32" s="80">
        <f t="shared" si="28"/>
        <v>-4.6976743735274946E-2</v>
      </c>
      <c r="AO32" s="80">
        <f t="shared" si="28"/>
        <v>-4.6976743735274946E-2</v>
      </c>
      <c r="AP32" s="80">
        <f t="shared" si="28"/>
        <v>-4.6976743735274946E-2</v>
      </c>
      <c r="AQ32" s="81">
        <f t="shared" si="28"/>
        <v>-4.6976743735274946E-2</v>
      </c>
    </row>
    <row r="33" spans="2:45" s="1" customFormat="1" ht="6.9" customHeight="1" x14ac:dyDescent="0.35">
      <c r="B33" s="11"/>
      <c r="E33" s="73"/>
      <c r="F33" s="73"/>
      <c r="G33" s="73"/>
      <c r="H33" s="73"/>
      <c r="I33" s="73"/>
      <c r="J33" s="31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3"/>
    </row>
    <row r="34" spans="2:45" s="1" customFormat="1" x14ac:dyDescent="0.35">
      <c r="B34" s="10" t="s">
        <v>37</v>
      </c>
      <c r="E34" s="73">
        <v>-537</v>
      </c>
      <c r="F34" s="73">
        <v>-171</v>
      </c>
      <c r="G34" s="73">
        <v>481</v>
      </c>
      <c r="H34" s="73">
        <v>-402</v>
      </c>
      <c r="I34" s="73">
        <v>-224</v>
      </c>
      <c r="J34" s="31">
        <v>-20</v>
      </c>
      <c r="K34" s="73">
        <f t="shared" ref="K34:AQ34" si="29">K35*K7</f>
        <v>-21.237864077669904</v>
      </c>
      <c r="L34" s="73">
        <f t="shared" si="29"/>
        <v>-21.29854368932039</v>
      </c>
      <c r="M34" s="73">
        <f t="shared" si="29"/>
        <v>-25.432038834951456</v>
      </c>
      <c r="N34" s="73">
        <f t="shared" si="29"/>
        <v>-26</v>
      </c>
      <c r="O34" s="73">
        <f t="shared" si="29"/>
        <v>-27.609223300970875</v>
      </c>
      <c r="P34" s="73">
        <f t="shared" si="29"/>
        <v>-27.688106796116504</v>
      </c>
      <c r="Q34" s="73">
        <f t="shared" si="29"/>
        <v>-33.061650485436893</v>
      </c>
      <c r="R34" s="73">
        <f t="shared" si="29"/>
        <v>-33.800000000000004</v>
      </c>
      <c r="S34" s="73">
        <f t="shared" si="29"/>
        <v>-35.891990291262132</v>
      </c>
      <c r="T34" s="73">
        <f t="shared" si="29"/>
        <v>-35.994538834951456</v>
      </c>
      <c r="U34" s="73">
        <f t="shared" si="29"/>
        <v>-42.980145631067963</v>
      </c>
      <c r="V34" s="73">
        <f t="shared" si="29"/>
        <v>-43.940000000000005</v>
      </c>
      <c r="W34" s="73">
        <f t="shared" si="29"/>
        <v>-46.659587378640779</v>
      </c>
      <c r="X34" s="73">
        <f t="shared" si="29"/>
        <v>-46.792900485436903</v>
      </c>
      <c r="Y34" s="73">
        <f t="shared" si="29"/>
        <v>-55.874189320388361</v>
      </c>
      <c r="Z34" s="73">
        <f t="shared" si="29"/>
        <v>-57.122000000000007</v>
      </c>
      <c r="AA34" s="73">
        <f t="shared" si="29"/>
        <v>-60.657463592233015</v>
      </c>
      <c r="AB34" s="73">
        <f t="shared" si="29"/>
        <v>-60.830770631067971</v>
      </c>
      <c r="AC34" s="73">
        <f t="shared" si="29"/>
        <v>-72.636446116504871</v>
      </c>
      <c r="AD34" s="73">
        <f t="shared" si="29"/>
        <v>-74.258600000000001</v>
      </c>
      <c r="AE34" s="73">
        <f t="shared" si="29"/>
        <v>-78.85470266990292</v>
      </c>
      <c r="AF34" s="73">
        <f t="shared" si="29"/>
        <v>-79.080001820388375</v>
      </c>
      <c r="AG34" s="73">
        <f t="shared" si="29"/>
        <v>-94.427379951456331</v>
      </c>
      <c r="AH34" s="73">
        <f t="shared" si="29"/>
        <v>-96.536180000000016</v>
      </c>
      <c r="AI34" s="73">
        <f t="shared" si="29"/>
        <v>-102.51111347087378</v>
      </c>
      <c r="AJ34" s="73">
        <f t="shared" si="29"/>
        <v>-102.80400236650489</v>
      </c>
      <c r="AK34" s="73">
        <f t="shared" si="29"/>
        <v>-122.75559393689323</v>
      </c>
      <c r="AL34" s="73">
        <f t="shared" si="29"/>
        <v>-125.49703400000003</v>
      </c>
      <c r="AM34" s="73">
        <f t="shared" si="29"/>
        <v>-133.26444751213592</v>
      </c>
      <c r="AN34" s="73">
        <f t="shared" si="29"/>
        <v>-133.64520307645637</v>
      </c>
      <c r="AO34" s="73">
        <f t="shared" si="29"/>
        <v>-159.5822721179612</v>
      </c>
      <c r="AP34" s="73">
        <f t="shared" si="29"/>
        <v>-163.14614420000004</v>
      </c>
      <c r="AQ34" s="84">
        <f t="shared" si="29"/>
        <v>-173.24378176577673</v>
      </c>
    </row>
    <row r="35" spans="2:45" s="1" customFormat="1" x14ac:dyDescent="0.35">
      <c r="B35" s="33" t="s">
        <v>35</v>
      </c>
      <c r="E35" s="65">
        <f>E34/E$7</f>
        <v>-0.77601156069364163</v>
      </c>
      <c r="F35" s="65">
        <f>F34/F$7</f>
        <v>-0.27142857142857141</v>
      </c>
      <c r="G35" s="65">
        <f t="shared" ref="G35:H35" si="30">G34/G$7</f>
        <v>0.75987361769352291</v>
      </c>
      <c r="H35" s="65">
        <f t="shared" si="30"/>
        <v>-0.5955555555555555</v>
      </c>
      <c r="I35" s="65">
        <f>I34/I$7</f>
        <v>-0.27791563275434245</v>
      </c>
      <c r="J35" s="29">
        <f>J34/J$7</f>
        <v>-2.4271844660194174E-2</v>
      </c>
      <c r="K35" s="100">
        <f>J35</f>
        <v>-2.4271844660194174E-2</v>
      </c>
      <c r="L35" s="85">
        <f t="shared" ref="L35:AQ35" si="31">K35</f>
        <v>-2.4271844660194174E-2</v>
      </c>
      <c r="M35" s="85">
        <f t="shared" si="31"/>
        <v>-2.4271844660194174E-2</v>
      </c>
      <c r="N35" s="85">
        <f t="shared" si="31"/>
        <v>-2.4271844660194174E-2</v>
      </c>
      <c r="O35" s="85">
        <f t="shared" si="31"/>
        <v>-2.4271844660194174E-2</v>
      </c>
      <c r="P35" s="85">
        <f t="shared" si="31"/>
        <v>-2.4271844660194174E-2</v>
      </c>
      <c r="Q35" s="85">
        <f t="shared" si="31"/>
        <v>-2.4271844660194174E-2</v>
      </c>
      <c r="R35" s="85">
        <f t="shared" si="31"/>
        <v>-2.4271844660194174E-2</v>
      </c>
      <c r="S35" s="85">
        <f t="shared" si="31"/>
        <v>-2.4271844660194174E-2</v>
      </c>
      <c r="T35" s="85">
        <f t="shared" si="31"/>
        <v>-2.4271844660194174E-2</v>
      </c>
      <c r="U35" s="85">
        <f t="shared" si="31"/>
        <v>-2.4271844660194174E-2</v>
      </c>
      <c r="V35" s="85">
        <f t="shared" si="31"/>
        <v>-2.4271844660194174E-2</v>
      </c>
      <c r="W35" s="85">
        <f t="shared" si="31"/>
        <v>-2.4271844660194174E-2</v>
      </c>
      <c r="X35" s="85">
        <f t="shared" si="31"/>
        <v>-2.4271844660194174E-2</v>
      </c>
      <c r="Y35" s="85">
        <f t="shared" si="31"/>
        <v>-2.4271844660194174E-2</v>
      </c>
      <c r="Z35" s="85">
        <f t="shared" si="31"/>
        <v>-2.4271844660194174E-2</v>
      </c>
      <c r="AA35" s="85">
        <f t="shared" si="31"/>
        <v>-2.4271844660194174E-2</v>
      </c>
      <c r="AB35" s="85">
        <f t="shared" si="31"/>
        <v>-2.4271844660194174E-2</v>
      </c>
      <c r="AC35" s="85">
        <f t="shared" si="31"/>
        <v>-2.4271844660194174E-2</v>
      </c>
      <c r="AD35" s="85">
        <f t="shared" si="31"/>
        <v>-2.4271844660194174E-2</v>
      </c>
      <c r="AE35" s="85">
        <f t="shared" si="31"/>
        <v>-2.4271844660194174E-2</v>
      </c>
      <c r="AF35" s="85">
        <f t="shared" si="31"/>
        <v>-2.4271844660194174E-2</v>
      </c>
      <c r="AG35" s="85">
        <f t="shared" si="31"/>
        <v>-2.4271844660194174E-2</v>
      </c>
      <c r="AH35" s="85">
        <f t="shared" si="31"/>
        <v>-2.4271844660194174E-2</v>
      </c>
      <c r="AI35" s="85">
        <f t="shared" si="31"/>
        <v>-2.4271844660194174E-2</v>
      </c>
      <c r="AJ35" s="85">
        <f t="shared" si="31"/>
        <v>-2.4271844660194174E-2</v>
      </c>
      <c r="AK35" s="85">
        <f t="shared" si="31"/>
        <v>-2.4271844660194174E-2</v>
      </c>
      <c r="AL35" s="85">
        <f t="shared" si="31"/>
        <v>-2.4271844660194174E-2</v>
      </c>
      <c r="AM35" s="85">
        <f t="shared" si="31"/>
        <v>-2.4271844660194174E-2</v>
      </c>
      <c r="AN35" s="85">
        <f t="shared" si="31"/>
        <v>-2.4271844660194174E-2</v>
      </c>
      <c r="AO35" s="85">
        <f t="shared" si="31"/>
        <v>-2.4271844660194174E-2</v>
      </c>
      <c r="AP35" s="85">
        <f t="shared" si="31"/>
        <v>-2.4271844660194174E-2</v>
      </c>
      <c r="AQ35" s="86">
        <f t="shared" si="31"/>
        <v>-2.4271844660194174E-2</v>
      </c>
    </row>
    <row r="36" spans="2:45" x14ac:dyDescent="0.35">
      <c r="B36" s="12"/>
      <c r="D36" s="87"/>
      <c r="E36" s="87"/>
      <c r="F36" s="87"/>
      <c r="G36" s="87"/>
      <c r="H36" s="87"/>
      <c r="I36" s="87"/>
      <c r="J36" s="32"/>
      <c r="K36" s="87"/>
      <c r="L36" s="87"/>
      <c r="M36" s="87"/>
      <c r="N36" s="88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9"/>
    </row>
    <row r="37" spans="2:45" x14ac:dyDescent="0.35">
      <c r="B37" s="13" t="s">
        <v>77</v>
      </c>
      <c r="D37" s="43">
        <f t="shared" ref="D37:J37" si="32">D22+D25+D28+D31+D34</f>
        <v>0</v>
      </c>
      <c r="E37" s="43">
        <f t="shared" si="32"/>
        <v>-160</v>
      </c>
      <c r="F37" s="43">
        <f t="shared" si="32"/>
        <v>86</v>
      </c>
      <c r="G37" s="43">
        <f t="shared" si="32"/>
        <v>453</v>
      </c>
      <c r="H37" s="43">
        <f t="shared" si="32"/>
        <v>-255</v>
      </c>
      <c r="I37" s="43">
        <f t="shared" si="32"/>
        <v>-381</v>
      </c>
      <c r="J37" s="44">
        <f t="shared" si="32"/>
        <v>155</v>
      </c>
      <c r="K37" s="43">
        <f t="shared" ref="K37:AQ37" si="33">K22+K25+K28+K31+K34</f>
        <v>244.39583832802029</v>
      </c>
      <c r="L37" s="43">
        <f t="shared" si="33"/>
        <v>245.09411215181464</v>
      </c>
      <c r="M37" s="43">
        <f t="shared" si="33"/>
        <v>292.66052502868541</v>
      </c>
      <c r="N37" s="43">
        <f t="shared" si="33"/>
        <v>299.19636801940044</v>
      </c>
      <c r="O37" s="43">
        <f t="shared" si="33"/>
        <v>317.71458982642633</v>
      </c>
      <c r="P37" s="43">
        <f t="shared" si="33"/>
        <v>318.62234579735906</v>
      </c>
      <c r="Q37" s="43">
        <f t="shared" si="33"/>
        <v>380.45868253729088</v>
      </c>
      <c r="R37" s="43">
        <f t="shared" si="33"/>
        <v>388.95527842522046</v>
      </c>
      <c r="S37" s="43">
        <f t="shared" si="33"/>
        <v>413.02896677435433</v>
      </c>
      <c r="T37" s="43">
        <f t="shared" si="33"/>
        <v>414.20904953656685</v>
      </c>
      <c r="U37" s="43">
        <f t="shared" si="33"/>
        <v>494.59628729847833</v>
      </c>
      <c r="V37" s="43">
        <f t="shared" si="33"/>
        <v>505.64186195278688</v>
      </c>
      <c r="W37" s="43">
        <f t="shared" si="33"/>
        <v>536.9376568066607</v>
      </c>
      <c r="X37" s="43">
        <f t="shared" si="33"/>
        <v>538.47176439753696</v>
      </c>
      <c r="Y37" s="43">
        <f t="shared" si="33"/>
        <v>642.97517348802205</v>
      </c>
      <c r="Z37" s="43">
        <f t="shared" si="33"/>
        <v>657.33442053862302</v>
      </c>
      <c r="AA37" s="43">
        <f t="shared" si="33"/>
        <v>698.01895384865895</v>
      </c>
      <c r="AB37" s="43">
        <f t="shared" si="33"/>
        <v>700.01329371679788</v>
      </c>
      <c r="AC37" s="43">
        <f t="shared" si="33"/>
        <v>835.86772553442825</v>
      </c>
      <c r="AD37" s="43">
        <f t="shared" si="33"/>
        <v>854.53474670020933</v>
      </c>
      <c r="AE37" s="43">
        <f t="shared" si="33"/>
        <v>907.42464000325617</v>
      </c>
      <c r="AF37" s="43">
        <f t="shared" si="33"/>
        <v>910.01728183183741</v>
      </c>
      <c r="AG37" s="43">
        <f t="shared" si="33"/>
        <v>1086.6280431947571</v>
      </c>
      <c r="AH37" s="43">
        <f t="shared" si="33"/>
        <v>1110.8951707102726</v>
      </c>
      <c r="AI37" s="43">
        <f t="shared" si="33"/>
        <v>1179.6520320042332</v>
      </c>
      <c r="AJ37" s="43">
        <f t="shared" si="33"/>
        <v>1183.022466381389</v>
      </c>
      <c r="AK37" s="43">
        <f t="shared" si="33"/>
        <v>1412.6164561531839</v>
      </c>
      <c r="AL37" s="43">
        <f t="shared" si="33"/>
        <v>1444.1637219233542</v>
      </c>
      <c r="AM37" s="43">
        <f t="shared" si="33"/>
        <v>1533.5476416055035</v>
      </c>
      <c r="AN37" s="43">
        <f t="shared" si="33"/>
        <v>1537.9292062958052</v>
      </c>
      <c r="AO37" s="43">
        <f t="shared" si="33"/>
        <v>1836.4013929991397</v>
      </c>
      <c r="AP37" s="43">
        <f t="shared" si="33"/>
        <v>1877.4128385003601</v>
      </c>
      <c r="AQ37" s="90">
        <f t="shared" si="33"/>
        <v>1993.6119340871553</v>
      </c>
    </row>
    <row r="38" spans="2:45" x14ac:dyDescent="0.35">
      <c r="B38" s="5" t="s">
        <v>39</v>
      </c>
      <c r="C38" s="45"/>
      <c r="D38" s="45"/>
      <c r="E38" s="45"/>
      <c r="F38" s="45"/>
      <c r="G38" s="45"/>
      <c r="H38" s="45"/>
      <c r="I38" s="45"/>
      <c r="J38" s="46"/>
      <c r="K38" s="45" t="e">
        <f t="shared" ref="K38:AQ38" si="34">K37/(1+$C$3)^((_xlfn.NUMBERVALUE(RIGHT(K6,LEN(K6)-3)))-((_xlfn.NUMBERVALUE(RIGHT($K$6,LEN($K$6)-3)))-1)-(1-(MID(K6,2,1)/MID($J$6,2,1))))</f>
        <v>#N/A</v>
      </c>
      <c r="L38" s="45" t="e">
        <f t="shared" si="34"/>
        <v>#N/A</v>
      </c>
      <c r="M38" s="45" t="e">
        <f t="shared" si="34"/>
        <v>#N/A</v>
      </c>
      <c r="N38" s="45" t="e">
        <f t="shared" si="34"/>
        <v>#N/A</v>
      </c>
      <c r="O38" s="45" t="e">
        <f t="shared" si="34"/>
        <v>#N/A</v>
      </c>
      <c r="P38" s="45" t="e">
        <f t="shared" si="34"/>
        <v>#N/A</v>
      </c>
      <c r="Q38" s="45" t="e">
        <f t="shared" si="34"/>
        <v>#N/A</v>
      </c>
      <c r="R38" s="45" t="e">
        <f t="shared" si="34"/>
        <v>#N/A</v>
      </c>
      <c r="S38" s="45" t="e">
        <f t="shared" si="34"/>
        <v>#N/A</v>
      </c>
      <c r="T38" s="45" t="e">
        <f t="shared" si="34"/>
        <v>#N/A</v>
      </c>
      <c r="U38" s="45" t="e">
        <f t="shared" si="34"/>
        <v>#N/A</v>
      </c>
      <c r="V38" s="45" t="e">
        <f t="shared" si="34"/>
        <v>#N/A</v>
      </c>
      <c r="W38" s="45" t="e">
        <f t="shared" si="34"/>
        <v>#N/A</v>
      </c>
      <c r="X38" s="45" t="e">
        <f t="shared" si="34"/>
        <v>#N/A</v>
      </c>
      <c r="Y38" s="45" t="e">
        <f t="shared" si="34"/>
        <v>#N/A</v>
      </c>
      <c r="Z38" s="45" t="e">
        <f t="shared" si="34"/>
        <v>#N/A</v>
      </c>
      <c r="AA38" s="45" t="e">
        <f t="shared" si="34"/>
        <v>#N/A</v>
      </c>
      <c r="AB38" s="45" t="e">
        <f t="shared" si="34"/>
        <v>#N/A</v>
      </c>
      <c r="AC38" s="45" t="e">
        <f t="shared" si="34"/>
        <v>#N/A</v>
      </c>
      <c r="AD38" s="45" t="e">
        <f t="shared" si="34"/>
        <v>#N/A</v>
      </c>
      <c r="AE38" s="45" t="e">
        <f t="shared" si="34"/>
        <v>#N/A</v>
      </c>
      <c r="AF38" s="45" t="e">
        <f t="shared" si="34"/>
        <v>#N/A</v>
      </c>
      <c r="AG38" s="45" t="e">
        <f t="shared" si="34"/>
        <v>#N/A</v>
      </c>
      <c r="AH38" s="45" t="e">
        <f t="shared" si="34"/>
        <v>#N/A</v>
      </c>
      <c r="AI38" s="45" t="e">
        <f t="shared" si="34"/>
        <v>#N/A</v>
      </c>
      <c r="AJ38" s="45" t="e">
        <f t="shared" si="34"/>
        <v>#N/A</v>
      </c>
      <c r="AK38" s="45" t="e">
        <f t="shared" si="34"/>
        <v>#N/A</v>
      </c>
      <c r="AL38" s="45" t="e">
        <f t="shared" si="34"/>
        <v>#N/A</v>
      </c>
      <c r="AM38" s="45" t="e">
        <f t="shared" si="34"/>
        <v>#N/A</v>
      </c>
      <c r="AN38" s="45" t="e">
        <f t="shared" si="34"/>
        <v>#N/A</v>
      </c>
      <c r="AO38" s="45" t="e">
        <f t="shared" si="34"/>
        <v>#N/A</v>
      </c>
      <c r="AP38" s="45" t="e">
        <f t="shared" si="34"/>
        <v>#N/A</v>
      </c>
      <c r="AQ38" s="91" t="e">
        <f t="shared" si="34"/>
        <v>#N/A</v>
      </c>
      <c r="AS38" s="112"/>
    </row>
    <row r="39" spans="2:45" hidden="1" outlineLevel="1" x14ac:dyDescent="0.35">
      <c r="B39" s="9"/>
      <c r="C39" s="43"/>
      <c r="D39" s="43" t="e">
        <f>#REF!+E28+E31+E34</f>
        <v>#REF!</v>
      </c>
      <c r="E39" s="43" t="e">
        <f>#REF!+F28+F31+F34</f>
        <v>#REF!</v>
      </c>
      <c r="F39" s="43" t="e">
        <f>#REF!+#REF!+#REF!+#REF!</f>
        <v>#REF!</v>
      </c>
      <c r="G39" s="43" t="e">
        <f>#REF!+G28+G31+G34</f>
        <v>#REF!</v>
      </c>
      <c r="H39" s="43" t="e">
        <f>#REF!+H28+H31+H34</f>
        <v>#REF!</v>
      </c>
      <c r="I39" s="43" t="e">
        <f>#REF!+I28+I31+I34</f>
        <v>#REF!</v>
      </c>
      <c r="J39" s="43" t="e">
        <f>#REF!+J28+J31+J34</f>
        <v>#REF!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2:45" hidden="1" outlineLevel="1" x14ac:dyDescent="0.35">
      <c r="B40" s="9"/>
      <c r="C40" s="43"/>
      <c r="D40" s="58">
        <f>D37/E22</f>
        <v>0</v>
      </c>
      <c r="E40" s="58">
        <f>E37/F22</f>
        <v>-0.76923076923076927</v>
      </c>
      <c r="F40" s="58" t="e">
        <f>F37/#REF!</f>
        <v>#REF!</v>
      </c>
      <c r="G40" s="58">
        <f>G37/G22</f>
        <v>-9.06</v>
      </c>
      <c r="H40" s="58">
        <f>H37/H22</f>
        <v>-2.3181818181818183</v>
      </c>
      <c r="I40" s="58">
        <f>I37/I22</f>
        <v>2.683098591549296</v>
      </c>
      <c r="J40" s="58">
        <f>J37/J22</f>
        <v>1.24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2:45" hidden="1" outlineLevel="1" x14ac:dyDescent="0.35">
      <c r="B41" s="9"/>
      <c r="C41" s="43"/>
      <c r="D41" s="58" t="s">
        <v>50</v>
      </c>
      <c r="E41" s="58"/>
      <c r="F41" s="58"/>
      <c r="G41" s="58"/>
      <c r="H41" s="58"/>
      <c r="I41" s="58"/>
      <c r="J41" s="58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2:45" ht="24.9" customHeight="1" collapsed="1" x14ac:dyDescent="0.35">
      <c r="J42" s="36"/>
      <c r="M42" s="4"/>
    </row>
    <row r="43" spans="2:45" x14ac:dyDescent="0.35">
      <c r="B43" s="21" t="s">
        <v>40</v>
      </c>
      <c r="C43" s="14" t="e">
        <f>('Best Case'!AQ37*(1+C4))/(C3-C4)</f>
        <v>#N/A</v>
      </c>
      <c r="M43" s="4"/>
    </row>
    <row r="44" spans="2:45" x14ac:dyDescent="0.35">
      <c r="B44" s="47" t="s">
        <v>41</v>
      </c>
      <c r="C44" s="18" t="e">
        <f>C43/(1+C3)^((_xlfn.NUMBERVALUE(RIGHT(AQ6,LEN(AQ6)-3)))-((_xlfn.NUMBERVALUE(RIGHT($K$6,LEN($K$6)-3)))-1))</f>
        <v>#N/A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</row>
    <row r="45" spans="2:45" x14ac:dyDescent="0.35">
      <c r="B45" s="20" t="s">
        <v>42</v>
      </c>
      <c r="C45" s="15" t="e">
        <f>SUM(38:38)</f>
        <v>#N/A</v>
      </c>
      <c r="D45" s="49"/>
      <c r="K45" s="9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</row>
    <row r="46" spans="2:45" x14ac:dyDescent="0.35">
      <c r="B46" s="13" t="s">
        <v>43</v>
      </c>
      <c r="C46" s="16" t="e">
        <f>C44+C45</f>
        <v>#N/A</v>
      </c>
      <c r="D46" s="57"/>
      <c r="E46" s="57"/>
      <c r="F46" s="57"/>
      <c r="G46" s="57"/>
      <c r="H46" s="57"/>
      <c r="J46" s="9"/>
      <c r="K46" s="9"/>
      <c r="L46" s="109"/>
      <c r="M46" s="9"/>
      <c r="N46" s="9"/>
      <c r="O46" s="9"/>
      <c r="P46" s="9"/>
      <c r="Q46" s="9"/>
      <c r="R46" s="9"/>
      <c r="S46" s="9"/>
    </row>
    <row r="47" spans="2:45" x14ac:dyDescent="0.35">
      <c r="B47" s="17" t="s">
        <v>44</v>
      </c>
      <c r="C47" s="114">
        <v>1551</v>
      </c>
      <c r="D47" s="49"/>
      <c r="E47" s="49"/>
      <c r="F47" s="49"/>
      <c r="G47" s="49"/>
      <c r="H47" s="49"/>
      <c r="K47" s="111">
        <f>K22/$C$50</f>
        <v>0.31404440975046544</v>
      </c>
      <c r="L47" s="111">
        <f t="shared" ref="L47:N47" si="35">L22/$C$50</f>
        <v>0.31494167949260971</v>
      </c>
      <c r="M47" s="111">
        <f t="shared" si="35"/>
        <v>0.37606369432747178</v>
      </c>
      <c r="N47" s="111">
        <f t="shared" si="35"/>
        <v>0.38446213911394139</v>
      </c>
    </row>
    <row r="48" spans="2:45" x14ac:dyDescent="0.35">
      <c r="B48" s="19" t="s">
        <v>45</v>
      </c>
      <c r="C48" s="60" t="e">
        <f>WACC!D4</f>
        <v>#N/A</v>
      </c>
      <c r="D48" s="49"/>
      <c r="E48" s="49"/>
      <c r="F48" s="49"/>
      <c r="G48" s="49"/>
      <c r="H48" s="49"/>
    </row>
    <row r="49" spans="2:15" x14ac:dyDescent="0.35">
      <c r="B49" s="13" t="s">
        <v>46</v>
      </c>
      <c r="C49" s="16" t="e">
        <f>C46+C47-C48</f>
        <v>#N/A</v>
      </c>
      <c r="D49" s="57"/>
      <c r="E49" s="57"/>
      <c r="F49" s="57"/>
      <c r="G49" s="57"/>
      <c r="H49" s="57"/>
      <c r="J49" s="9"/>
      <c r="K49" s="9"/>
      <c r="L49" s="9"/>
      <c r="M49" s="9"/>
      <c r="N49" s="9"/>
      <c r="O49" s="9"/>
    </row>
    <row r="50" spans="2:15" x14ac:dyDescent="0.35">
      <c r="B50" s="23" t="s">
        <v>47</v>
      </c>
      <c r="C50" s="59">
        <f>Summary!C6</f>
        <v>1026</v>
      </c>
      <c r="D50" s="49"/>
      <c r="E50" s="61"/>
      <c r="F50" s="49"/>
      <c r="G50" s="49"/>
      <c r="H50" s="49"/>
      <c r="K50" s="113"/>
    </row>
    <row r="51" spans="2:15" ht="15.75" customHeight="1" thickBot="1" x14ac:dyDescent="0.4">
      <c r="B51" s="25" t="s">
        <v>48</v>
      </c>
      <c r="C51" s="26" t="e">
        <f>C49/C50</f>
        <v>#N/A</v>
      </c>
      <c r="D51" s="50"/>
      <c r="E51" s="50"/>
      <c r="F51" s="50"/>
      <c r="G51" s="50"/>
      <c r="H51" s="50"/>
      <c r="J51" s="9"/>
      <c r="K51" s="9"/>
      <c r="L51" s="9"/>
      <c r="M51" s="9"/>
      <c r="N51" s="9"/>
      <c r="O51" s="9"/>
    </row>
    <row r="52" spans="2:15" ht="15.75" customHeight="1" thickTop="1" x14ac:dyDescent="0.35"/>
  </sheetData>
  <mergeCells count="1">
    <mergeCell ref="B2:C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WACC (2)</vt:lpstr>
      <vt:lpstr>WACC</vt:lpstr>
      <vt:lpstr>DCF-Detailed</vt:lpstr>
      <vt:lpstr>Summary</vt:lpstr>
      <vt:lpstr>Working Capital</vt:lpstr>
      <vt:lpstr>IS Detail</vt:lpstr>
      <vt:lpstr>Notes</vt:lpstr>
      <vt:lpstr>Python</vt:lpstr>
      <vt:lpstr>Notes Q3-2024</vt:lpstr>
      <vt:lpstr>Best Case</vt:lpstr>
      <vt:lpstr>'Best Case'!tgr</vt:lpstr>
      <vt:lpstr>'DCF-Detailed'!tgr</vt:lpstr>
      <vt:lpstr>'Best Case'!tgrr</vt:lpstr>
      <vt:lpstr>'DCF-Detailed'!tgrr</vt:lpstr>
      <vt:lpstr>'Best Case'!wacc</vt:lpstr>
      <vt:lpstr>'DCF-Detailed'!wacc</vt:lpstr>
      <vt:lpstr>'Best Case'!waccc</vt:lpstr>
      <vt:lpstr>'DCF-Detailed'!waccc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dcterms:created xsi:type="dcterms:W3CDTF">2022-06-12T18:45:32Z</dcterms:created>
  <dcterms:modified xsi:type="dcterms:W3CDTF">2024-10-12T14:59:57Z</dcterms:modified>
</cp:coreProperties>
</file>