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5" documentId="11_1CDF51273E00D35D7F92245F355B339C229038E4" xr6:coauthVersionLast="47" xr6:coauthVersionMax="47" xr10:uidLastSave="{DFFA6963-D464-4896-A234-0E5EBA22296F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M5" i="3"/>
  <c r="O32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G31" i="5" s="1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F11" i="3" s="1"/>
  <c r="E10" i="3"/>
  <c r="E11" i="3" s="1"/>
  <c r="L5" i="3"/>
  <c r="H4" i="3"/>
  <c r="H5" i="3" s="1"/>
  <c r="G4" i="3"/>
  <c r="G5" i="3" s="1"/>
  <c r="F4" i="3"/>
  <c r="F5" i="3" s="1"/>
  <c r="I3" i="3"/>
  <c r="H3" i="3"/>
  <c r="K1" i="3"/>
  <c r="K10" i="3" s="1"/>
  <c r="J1" i="3"/>
  <c r="J7" i="3" s="1"/>
  <c r="I1" i="3"/>
  <c r="I7" i="3" s="1"/>
  <c r="H1" i="3"/>
  <c r="H7" i="3" s="1"/>
  <c r="G1" i="3"/>
  <c r="G3" i="3" s="1"/>
  <c r="F1" i="3"/>
  <c r="F3" i="3" s="1"/>
  <c r="E1" i="3"/>
  <c r="E4" i="3" s="1"/>
  <c r="D1" i="3"/>
  <c r="D10" i="3" s="1"/>
  <c r="N5" i="3" l="1"/>
  <c r="O5" i="3" s="1"/>
  <c r="P5" i="3" s="1"/>
  <c r="Q5" i="3" s="1"/>
  <c r="R5" i="3" s="1"/>
  <c r="S5" i="3" s="1"/>
  <c r="T5" i="3" s="1"/>
  <c r="U5" i="3" s="1"/>
  <c r="C21" i="3"/>
  <c r="C20" i="3"/>
  <c r="H13" i="3"/>
  <c r="H8" i="3"/>
  <c r="J13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7" i="3"/>
  <c r="K3" i="3"/>
  <c r="I4" i="3"/>
  <c r="I5" i="3" s="1"/>
  <c r="E7" i="3"/>
  <c r="H10" i="3"/>
  <c r="H11" i="3" s="1"/>
  <c r="K31" i="5"/>
  <c r="D3" i="3"/>
  <c r="J4" i="3"/>
  <c r="F7" i="3"/>
  <c r="I10" i="3"/>
  <c r="I11" i="3" s="1"/>
  <c r="D7" i="3"/>
  <c r="E3" i="3"/>
  <c r="K4" i="3"/>
  <c r="G7" i="3"/>
  <c r="J10" i="3"/>
  <c r="L1" i="3"/>
  <c r="J3" i="3"/>
  <c r="D4" i="3"/>
  <c r="E5" i="3" s="1"/>
  <c r="D8" i="3" l="1"/>
  <c r="D13" i="3"/>
  <c r="K13" i="3"/>
  <c r="K8" i="3"/>
  <c r="E8" i="3"/>
  <c r="E13" i="3"/>
  <c r="L3" i="3"/>
  <c r="M1" i="3"/>
  <c r="J5" i="3"/>
  <c r="J11" i="3"/>
  <c r="I8" i="3"/>
  <c r="K11" i="3"/>
  <c r="F8" i="3"/>
  <c r="F13" i="3"/>
  <c r="G8" i="3"/>
  <c r="G13" i="3"/>
  <c r="I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J8" i="3"/>
  <c r="M11" i="3" l="1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L8" i="3"/>
  <c r="M8" i="3" l="1"/>
  <c r="L7" i="3"/>
  <c r="L13" i="3" s="1"/>
  <c r="L14" i="3" s="1"/>
  <c r="N3" i="3"/>
  <c r="O1" i="3"/>
  <c r="O3" i="3" l="1"/>
  <c r="P1" i="3"/>
  <c r="N8" i="3"/>
  <c r="M7" i="3"/>
  <c r="M13" i="3" s="1"/>
  <c r="M14" i="3" s="1"/>
  <c r="O8" i="3" l="1"/>
  <c r="N7" i="3"/>
  <c r="N13" i="3" s="1"/>
  <c r="N14" i="3" s="1"/>
  <c r="Q1" i="3"/>
  <c r="P3" i="3"/>
  <c r="R1" i="3" l="1"/>
  <c r="Q3" i="3"/>
  <c r="P8" i="3"/>
  <c r="O7" i="3"/>
  <c r="O13" i="3" s="1"/>
  <c r="O14" i="3" s="1"/>
  <c r="P7" i="3" l="1"/>
  <c r="P13" i="3" s="1"/>
  <c r="P14" i="3" s="1"/>
  <c r="Q8" i="3"/>
  <c r="R3" i="3"/>
  <c r="S1" i="3"/>
  <c r="T1" i="3" l="1"/>
  <c r="S3" i="3"/>
  <c r="Q7" i="3"/>
  <c r="Q13" i="3" s="1"/>
  <c r="Q14" i="3" s="1"/>
  <c r="R8" i="3"/>
  <c r="R7" i="3" l="1"/>
  <c r="R13" i="3" s="1"/>
  <c r="R14" i="3" s="1"/>
  <c r="S8" i="3"/>
  <c r="T3" i="3"/>
  <c r="U1" i="3"/>
  <c r="U3" i="3" s="1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<sst xmlns="http://schemas.openxmlformats.org/spreadsheetml/2006/main" count="253" uniqueCount="235">
  <si>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</si>
  <si>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LRCX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</si>
  <si>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</si>
  <si>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</si>
  <si>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</si>
  <si>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</si>
  <si>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</si>
  <si>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</si>
  <si>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</si>
  <si>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</si>
  <si>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</si>
  <si>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</si>
  <si>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</si>
  <si>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</si>
  <si>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</si>
  <si>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</si>
  <si>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</si>
  <si>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</si>
  <si>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</si>
  <si>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</si>
  <si>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</si>
  <si>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</si>
  <si>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</si>
  <si>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</si>
  <si>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</si>
  <si>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</si>
  <si>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</si>
  <si>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</si>
  <si>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</si>
  <si>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</si>
  <si>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</si>
  <si>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</si>
  <si>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</si>
  <si>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</si>
  <si>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</si>
  <si>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</si>
  <si>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2023-12-24</t>
  </si>
  <si>
    <t>2023-09-24</t>
  </si>
  <si>
    <t>2023-06-25</t>
  </si>
  <si>
    <t>2023-03-26</t>
  </si>
  <si>
    <t>2022-12-25</t>
  </si>
  <si>
    <t>2022-09-25</t>
  </si>
  <si>
    <t>2022-06-26</t>
  </si>
  <si>
    <t>2022-03-27</t>
  </si>
  <si>
    <t>2021-12-26</t>
  </si>
  <si>
    <t>2021-09-26</t>
  </si>
  <si>
    <t>2021-06-27</t>
  </si>
  <si>
    <t>2021-03-28</t>
  </si>
  <si>
    <t>2020-12-27</t>
  </si>
  <si>
    <t>2020-09-27</t>
  </si>
  <si>
    <t>2020-06-28</t>
  </si>
  <si>
    <t>2020-03-29</t>
  </si>
  <si>
    <t>2019-12-29</t>
  </si>
  <si>
    <t>2019-09-29</t>
  </si>
  <si>
    <t>2019-06-30</t>
  </si>
  <si>
    <t>2019-03-31</t>
  </si>
  <si>
    <t>2018-12-23</t>
  </si>
  <si>
    <t>2018-09-23</t>
  </si>
  <si>
    <t>2018-06-24</t>
  </si>
  <si>
    <t>2018-03-25</t>
  </si>
  <si>
    <t>2017-12-24</t>
  </si>
  <si>
    <t>2017-09-24</t>
  </si>
  <si>
    <t>2017-06-25</t>
  </si>
  <si>
    <t>2017-03-26</t>
  </si>
  <si>
    <t>2016-12-25</t>
  </si>
  <si>
    <t>2016-09-25</t>
  </si>
  <si>
    <t>2016-06-26</t>
  </si>
  <si>
    <t>2016-03-27</t>
  </si>
  <si>
    <t>2015-12-27</t>
  </si>
  <si>
    <t>2015-09-27</t>
  </si>
  <si>
    <t>2015-06-28</t>
  </si>
  <si>
    <t>2015-03-29</t>
  </si>
  <si>
    <t>2014-12-28</t>
  </si>
  <si>
    <t>2014-09-28</t>
  </si>
  <si>
    <t>2014-06-29</t>
  </si>
  <si>
    <t>2014-03-30</t>
  </si>
  <si>
    <t>2013-12-29</t>
  </si>
  <si>
    <t>2013-09-29</t>
  </si>
  <si>
    <t>2013-06-30</t>
  </si>
  <si>
    <t>2013-03-31</t>
  </si>
  <si>
    <t>2012-12-23</t>
  </si>
  <si>
    <t>2012-09-23</t>
  </si>
  <si>
    <t>2012-06-24</t>
  </si>
  <si>
    <t>2012-03-25</t>
  </si>
  <si>
    <t>2011-12-25</t>
  </si>
  <si>
    <t>2011-09-25</t>
  </si>
  <si>
    <t>2011-06-26</t>
  </si>
  <si>
    <t>2011-03-27</t>
  </si>
  <si>
    <t>2010-12-26</t>
  </si>
  <si>
    <t>2010-09-26</t>
  </si>
  <si>
    <t>2010-06-27</t>
  </si>
  <si>
    <t>2010-03-28</t>
  </si>
  <si>
    <t>2009-12-27</t>
  </si>
  <si>
    <t>2009-09-27</t>
  </si>
  <si>
    <t>2009-06-28</t>
  </si>
  <si>
    <t>2009-03-29</t>
  </si>
  <si>
    <t>2008-12-28</t>
  </si>
  <si>
    <t>2008-09-28</t>
  </si>
  <si>
    <t>2008-06-29</t>
  </si>
  <si>
    <t>2008-03-30</t>
  </si>
  <si>
    <t>2007-12-23</t>
  </si>
  <si>
    <t>2007-09-23</t>
  </si>
  <si>
    <t>2007-06-24</t>
  </si>
  <si>
    <t>2007-03-25</t>
  </si>
  <si>
    <t>2006-12-24</t>
  </si>
  <si>
    <t>2006-09-24</t>
  </si>
  <si>
    <t>2006-06-25</t>
  </si>
  <si>
    <t>2006-03-26</t>
  </si>
  <si>
    <t>2005-12-25</t>
  </si>
  <si>
    <t>2005-09-25</t>
  </si>
  <si>
    <t>2005-06-26</t>
  </si>
  <si>
    <t>2005-03-27</t>
  </si>
  <si>
    <t>2004-12-26</t>
  </si>
  <si>
    <t>2004-09-26</t>
  </si>
  <si>
    <t>2004-06-27</t>
  </si>
  <si>
    <t>2004-03-28</t>
  </si>
  <si>
    <t>2003-12-28</t>
  </si>
  <si>
    <t>2003-09-28</t>
  </si>
  <si>
    <t>2003-06-29</t>
  </si>
  <si>
    <t>2003-03-30</t>
  </si>
  <si>
    <t>2002-12-29</t>
  </si>
  <si>
    <t>2002-09-29</t>
  </si>
  <si>
    <t>2002-06-30</t>
  </si>
  <si>
    <t>2002-03-31</t>
  </si>
  <si>
    <t>2001-12-30</t>
  </si>
  <si>
    <t>2001-09-23</t>
  </si>
  <si>
    <t>2001-06-24</t>
  </si>
  <si>
    <t>2001-03-25</t>
  </si>
  <si>
    <t>2000-12-24</t>
  </si>
  <si>
    <t>2000-09-24</t>
  </si>
  <si>
    <t>2000-06-25</t>
  </si>
  <si>
    <t>2000-03-26</t>
  </si>
  <si>
    <t>1999-12-26</t>
  </si>
  <si>
    <t>1999-09-26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</si>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</sst>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14" sqref="A14"/>
    </sheetView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10205274000</v>
      </c>
    </row>
    <row r="3" spans="1:2" x14ac:dyDescent="0.25">
      <c r="A3" s="73" t="s">
        <v>3</v>
      </c>
      <c r="B3">
        <v>4478520000</v>
      </c>
    </row>
    <row r="4" spans="1:2" x14ac:dyDescent="0.25">
      <c r="A4" s="73" t="s">
        <v>4</v>
      </c>
      <c r="B4">
        <v>0.34402588298302023</v>
      </c>
    </row>
    <row r="5" spans="1:2" x14ac:dyDescent="0.25">
      <c r="A5" s="73" t="s">
        <v>5</v>
      </c>
      <c r="B5">
        <v>4.1360985325509317E-2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8539454000</v>
      </c>
    </row>
    <row r="8" spans="1:2" x14ac:dyDescent="0.25">
      <c r="A8" s="73" t="s">
        <v>8</v>
      </c>
      <c r="B8">
        <v>0.65597411701697972</v>
      </c>
    </row>
    <row r="9" spans="1:2" x14ac:dyDescent="0.25">
      <c r="A9" s="73" t="s">
        <v>9</v>
      </c>
      <c r="B9">
        <v>0.16532404251473781</v>
      </c>
    </row>
    <row r="10" spans="1:2" x14ac:dyDescent="0.25">
      <c r="A10" s="73" t="s">
        <v>10</v>
      </c>
      <c r="B10">
        <v>4.0959997177124022E-2</v>
      </c>
    </row>
    <row r="11" spans="1:2" x14ac:dyDescent="0.25">
      <c r="A11" s="73" t="s">
        <v>11</v>
      </c>
      <c r="B11">
        <v>1.8013331438683911</v>
      </c>
    </row>
    <row r="12" spans="1:2" x14ac:dyDescent="0.25">
      <c r="A12" s="73" t="s">
        <v>12</v>
      </c>
      <c r="B12">
        <v>6.9040002822875979E-2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0.119689399913431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5"/>
  <sheetViews>
    <sheetView showGridLines="0" tabSelected="1" topLeftCell="A2" zoomScale="85" zoomScaleNormal="85" workbookViewId="0">
      <selection activeCell="C22" sqref="C22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 t="str">
        <f>Python!A31</f>
        <v>2017-06-25</v>
      </c>
      <c r="E1" s="66" t="str">
        <f>Python!A27</f>
        <v>2018-06-24</v>
      </c>
      <c r="F1" s="66" t="str">
        <f>Python!A23</f>
        <v>2019-06-30</v>
      </c>
      <c r="G1" s="66" t="str">
        <f>Python!A19</f>
        <v>2020-06-28</v>
      </c>
      <c r="H1" s="66" t="str">
        <f>Python!A15</f>
        <v>2021-06-27</v>
      </c>
      <c r="I1" s="66" t="str">
        <f>Python!A11</f>
        <v>2022-06-26</v>
      </c>
      <c r="J1" s="66" t="str">
        <f>Python!A7</f>
        <v>2023-06-25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8013.62</v>
      </c>
      <c r="E4" s="36">
        <f>IFERROR(INDEX(Python!$1:$1048576,MATCH(DCF_Simple!E$1,Python!$A:$A,0),MATCH(DCF_Simple!$B4,Python!$1:$1,0))/1000000,0)</f>
        <v>11076.998</v>
      </c>
      <c r="F4" s="36">
        <f>IFERROR(INDEX(Python!$1:$1048576,MATCH(DCF_Simple!F$1,Python!$A:$A,0),MATCH(DCF_Simple!$B4,Python!$1:$1,0))/1000000,0)</f>
        <v>9653.5589999999993</v>
      </c>
      <c r="G4" s="36">
        <f>IFERROR(INDEX(Python!$1:$1048576,MATCH(DCF_Simple!G$1,Python!$A:$A,0),MATCH(DCF_Simple!$B4,Python!$1:$1,0))/1000000,0)</f>
        <v>10044.736000000001</v>
      </c>
      <c r="H4" s="36">
        <f>IFERROR(INDEX(Python!$1:$1048576,MATCH(DCF_Simple!H$1,Python!$A:$A,0),MATCH(DCF_Simple!$B4,Python!$1:$1,0))/1000000,0)</f>
        <v>14626.15</v>
      </c>
      <c r="I4" s="36">
        <f>IFERROR(INDEX(Python!$1:$1048576,MATCH(DCF_Simple!I$1,Python!$A:$A,0),MATCH(DCF_Simple!$B4,Python!$1:$1,0))/1000000,0)</f>
        <v>17208.733</v>
      </c>
      <c r="J4" s="36">
        <f>IFERROR(INDEX(Python!$1:$1048576,MATCH(DCF_Simple!J$1,Python!$A:$A,0),MATCH(DCF_Simple!$B4,Python!$1:$1,0))/1000000,0)</f>
        <v>17428.516</v>
      </c>
      <c r="K4" s="55">
        <f>IFERROR(INDEX(Python!$1:$1048576,MATCH(DCF_Simple!K$1,Python!$A:$A,0),MATCH(DCF_Simple!$B4,Python!$1:$1,0))/1000000,0)</f>
        <v>14905.386</v>
      </c>
      <c r="L4" s="37">
        <f t="shared" ref="L4:U4" si="2">K4*(1+L5)</f>
        <v>17338.653359130309</v>
      </c>
      <c r="M4" s="36">
        <f t="shared" si="2"/>
        <v>19064.563255958423</v>
      </c>
      <c r="N4" s="36">
        <f t="shared" si="2"/>
        <v>20962.272248729631</v>
      </c>
      <c r="O4" s="36">
        <f t="shared" si="2"/>
        <v>23048.881421006346</v>
      </c>
      <c r="P4" s="36">
        <f t="shared" si="2"/>
        <v>25343.194118271542</v>
      </c>
      <c r="Q4" s="36">
        <f t="shared" si="2"/>
        <v>27865.885393077377</v>
      </c>
      <c r="R4" s="36">
        <f t="shared" si="2"/>
        <v>30639.688316962729</v>
      </c>
      <c r="S4" s="36">
        <f t="shared" si="2"/>
        <v>33689.598838077574</v>
      </c>
      <c r="T4" s="36">
        <f t="shared" si="2"/>
        <v>37043.101030575614</v>
      </c>
      <c r="U4" s="36">
        <f t="shared" si="2"/>
        <v>40730.414765595749</v>
      </c>
      <c r="V4" s="19">
        <f>U4</f>
        <v>40730.414765595749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0.38227143288551235</v>
      </c>
      <c r="F5" s="42">
        <f t="shared" si="3"/>
        <v>-0.12850404053517028</v>
      </c>
      <c r="G5" s="42">
        <f t="shared" si="3"/>
        <v>4.0521532007004035E-2</v>
      </c>
      <c r="H5" s="42">
        <f t="shared" si="3"/>
        <v>0.45610098662622867</v>
      </c>
      <c r="I5" s="42">
        <f t="shared" si="3"/>
        <v>0.17657298742321115</v>
      </c>
      <c r="J5" s="42">
        <f t="shared" si="3"/>
        <v>1.2771596839813881E-2</v>
      </c>
      <c r="K5" s="58">
        <f t="shared" si="3"/>
        <v>-0.14477021451510841</v>
      </c>
      <c r="L5" s="43">
        <f>Python!F2</f>
        <v>0.16324752402455789</v>
      </c>
      <c r="M5" s="43">
        <f>L5/1.64</f>
        <v>9.9541173185706031E-2</v>
      </c>
      <c r="N5" s="38">
        <f t="shared" ref="N5:U5" si="4">M5</f>
        <v>9.9541173185706031E-2</v>
      </c>
      <c r="O5" s="38">
        <f t="shared" si="4"/>
        <v>9.9541173185706031E-2</v>
      </c>
      <c r="P5" s="38">
        <f t="shared" si="4"/>
        <v>9.9541173185706031E-2</v>
      </c>
      <c r="Q5" s="38">
        <f t="shared" si="4"/>
        <v>9.9541173185706031E-2</v>
      </c>
      <c r="R5" s="38">
        <f t="shared" si="4"/>
        <v>9.9541173185706031E-2</v>
      </c>
      <c r="S5" s="38">
        <f t="shared" si="4"/>
        <v>9.9541173185706031E-2</v>
      </c>
      <c r="T5" s="38">
        <f t="shared" si="4"/>
        <v>9.9541173185706031E-2</v>
      </c>
      <c r="U5" s="38">
        <f t="shared" si="4"/>
        <v>9.9541173185706031E-2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1871.8630000000001</v>
      </c>
      <c r="E7" s="52">
        <f>IFERROR(INDEX(Python!$1:$1048576,MATCH(DCF_Simple!E$1,Python!$A:$A,0),MATCH(DCF_Simple!$B7,Python!$1:$1,0))/1000000,0)</f>
        <v>2382.2779999999998</v>
      </c>
      <c r="F7" s="52">
        <f>IFERROR(INDEX(Python!$1:$1048576,MATCH(DCF_Simple!F$1,Python!$A:$A,0),MATCH(DCF_Simple!$B7,Python!$1:$1,0))/1000000,0)</f>
        <v>2872.5219999999999</v>
      </c>
      <c r="G7" s="52">
        <f>IFERROR(INDEX(Python!$1:$1048576,MATCH(DCF_Simple!G$1,Python!$A:$A,0),MATCH(DCF_Simple!$B7,Python!$1:$1,0))/1000000,0)</f>
        <v>1923.212</v>
      </c>
      <c r="H7" s="52">
        <f>IFERROR(INDEX(Python!$1:$1048576,MATCH(DCF_Simple!H$1,Python!$A:$A,0),MATCH(DCF_Simple!$B7,Python!$1:$1,0))/1000000,0)</f>
        <v>3239.067</v>
      </c>
      <c r="I7" s="52">
        <f>IFERROR(INDEX(Python!$1:$1048576,MATCH(DCF_Simple!I$1,Python!$A:$A,0),MATCH(DCF_Simple!$B7,Python!$1:$1,0))/1000000,0)</f>
        <v>2553.64</v>
      </c>
      <c r="J7" s="52">
        <f>IFERROR(INDEX(Python!$1:$1048576,MATCH(DCF_Simple!J$1,Python!$A:$A,0),MATCH(DCF_Simple!$B7,Python!$1:$1,0))/1000000,0)</f>
        <v>4677.37</v>
      </c>
      <c r="K7" s="57">
        <f>IFERROR(INDEX(Python!$1:$1048576,MATCH(DCF_Simple!K$1,Python!$A:$A,0),MATCH(DCF_Simple!$B7,Python!$1:$1,0))/1000000,0)</f>
        <v>4255.5990000000002</v>
      </c>
      <c r="L7" s="64">
        <f t="shared" ref="L7:U7" si="5">L8*L4</f>
        <v>4034.287338562036</v>
      </c>
      <c r="M7" s="64">
        <f t="shared" si="5"/>
        <v>4435.8650332107409</v>
      </c>
      <c r="N7" s="64">
        <f t="shared" si="5"/>
        <v>4877.41624270999</v>
      </c>
      <c r="O7" s="64">
        <f t="shared" si="5"/>
        <v>5362.9199776243604</v>
      </c>
      <c r="P7" s="64">
        <f t="shared" si="5"/>
        <v>5896.7513238981501</v>
      </c>
      <c r="Q7" s="64">
        <f t="shared" si="5"/>
        <v>6483.7208686633367</v>
      </c>
      <c r="R7" s="64">
        <f t="shared" si="5"/>
        <v>7129.118050538731</v>
      </c>
      <c r="S7" s="64">
        <f t="shared" si="5"/>
        <v>7838.7588250687504</v>
      </c>
      <c r="T7" s="64">
        <f t="shared" si="5"/>
        <v>8619.0380748359003</v>
      </c>
      <c r="U7" s="64">
        <f t="shared" si="5"/>
        <v>9476.9872365373358</v>
      </c>
      <c r="V7" s="65">
        <f>U7</f>
        <v>9476.9872365373358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0.2335851962034636</v>
      </c>
      <c r="E8" s="42">
        <f t="shared" si="6"/>
        <v>0.21506530921103351</v>
      </c>
      <c r="F8" s="42">
        <f t="shared" si="6"/>
        <v>0.29756093063708422</v>
      </c>
      <c r="G8" s="42">
        <f t="shared" si="6"/>
        <v>0.19146466368055864</v>
      </c>
      <c r="H8" s="42">
        <f t="shared" si="6"/>
        <v>0.22145725293395735</v>
      </c>
      <c r="I8" s="42">
        <f t="shared" si="6"/>
        <v>0.1483920983607567</v>
      </c>
      <c r="J8" s="42">
        <f t="shared" si="6"/>
        <v>0.26837454204362554</v>
      </c>
      <c r="K8" s="58">
        <f t="shared" si="6"/>
        <v>0.28550746689820711</v>
      </c>
      <c r="L8" s="38">
        <f>AVERAGE(D8:K8)</f>
        <v>0.23267593249608587</v>
      </c>
      <c r="M8" s="38">
        <f t="shared" ref="M8:U8" si="7">L8</f>
        <v>0.23267593249608587</v>
      </c>
      <c r="N8" s="38">
        <f t="shared" si="7"/>
        <v>0.23267593249608587</v>
      </c>
      <c r="O8" s="38">
        <f t="shared" si="7"/>
        <v>0.23267593249608587</v>
      </c>
      <c r="P8" s="38">
        <f t="shared" si="7"/>
        <v>0.23267593249608587</v>
      </c>
      <c r="Q8" s="38">
        <f t="shared" si="7"/>
        <v>0.23267593249608587</v>
      </c>
      <c r="R8" s="38">
        <f t="shared" si="7"/>
        <v>0.23267593249608587</v>
      </c>
      <c r="S8" s="38">
        <f t="shared" si="7"/>
        <v>0.23267593249608587</v>
      </c>
      <c r="T8" s="38">
        <f t="shared" si="7"/>
        <v>0.23267593249608587</v>
      </c>
      <c r="U8" s="38">
        <f t="shared" si="7"/>
        <v>0.23267593249608587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1864.27</v>
      </c>
      <c r="E10" s="17">
        <f>IFERROR(INDEX(Python!$1:$1048576,MATCH(DCF_Simple!E$1,Python!$A:$A,0),MATCH(DCF_Simple!$B10,Python!$1:$1,0))/1000000,0)</f>
        <v>1754.32</v>
      </c>
      <c r="F10" s="17">
        <f>IFERROR(INDEX(Python!$1:$1048576,MATCH(DCF_Simple!F$1,Python!$A:$A,0),MATCH(DCF_Simple!$B10,Python!$1:$1,0))/1000000,0)</f>
        <v>1544.74</v>
      </c>
      <c r="G10" s="17">
        <f>IFERROR(INDEX(Python!$1:$1048576,MATCH(DCF_Simple!G$1,Python!$A:$A,0),MATCH(DCF_Simple!$B10,Python!$1:$1,0))/1000000,0)</f>
        <v>1474.16</v>
      </c>
      <c r="H10" s="17">
        <f>IFERROR(INDEX(Python!$1:$1048576,MATCH(DCF_Simple!H$1,Python!$A:$A,0),MATCH(DCF_Simple!$B10,Python!$1:$1,0))/1000000,0)</f>
        <v>1435.14</v>
      </c>
      <c r="I10" s="17">
        <f>IFERROR(INDEX(Python!$1:$1048576,MATCH(DCF_Simple!I$1,Python!$A:$A,0),MATCH(DCF_Simple!$B10,Python!$1:$1,0))/1000000,0)</f>
        <v>1383.13</v>
      </c>
      <c r="J10" s="17">
        <f>IFERROR(INDEX(Python!$1:$1048576,MATCH(DCF_Simple!J$1,Python!$A:$A,0),MATCH(DCF_Simple!$B10,Python!$1:$1,0))/1000000,0)</f>
        <v>1343.92</v>
      </c>
      <c r="K10" s="69">
        <f>IFERROR(INDEX(Python!$1:$1048576,MATCH(DCF_Simple!K$1,Python!$A:$A,0),MATCH(DCF_Simple!$B10,Python!$1:$1,0))/1000000,0)</f>
        <v>1311.12</v>
      </c>
      <c r="L10" s="17">
        <f t="shared" ref="L10:U10" si="8">K10*(1+L11)</f>
        <v>1277.8094038407046</v>
      </c>
      <c r="M10" s="17">
        <f t="shared" si="8"/>
        <v>1245.3451038377393</v>
      </c>
      <c r="N10" s="17">
        <f t="shared" si="8"/>
        <v>1213.7055988092943</v>
      </c>
      <c r="O10" s="17">
        <f t="shared" si="8"/>
        <v>1182.8699338372001</v>
      </c>
      <c r="P10" s="17">
        <f t="shared" si="8"/>
        <v>1152.817686388436</v>
      </c>
      <c r="Q10" s="17">
        <f t="shared" si="8"/>
        <v>1123.5289527892396</v>
      </c>
      <c r="R10" s="17">
        <f t="shared" si="8"/>
        <v>1094.9843350428559</v>
      </c>
      <c r="S10" s="17">
        <f t="shared" si="8"/>
        <v>1067.1649279822</v>
      </c>
      <c r="T10" s="17">
        <f t="shared" si="8"/>
        <v>1040.0523067489196</v>
      </c>
      <c r="U10" s="17">
        <f t="shared" si="8"/>
        <v>1013.6285145905688</v>
      </c>
      <c r="V10" s="70">
        <f>U10</f>
        <v>1013.6285145905688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-5.8977508622678032E-2</v>
      </c>
      <c r="F11" s="42">
        <f t="shared" si="9"/>
        <v>-0.11946509188745491</v>
      </c>
      <c r="G11" s="42">
        <f t="shared" si="9"/>
        <v>-4.5690536918834179E-2</v>
      </c>
      <c r="H11" s="42">
        <f t="shared" si="9"/>
        <v>-2.6469311336625556E-2</v>
      </c>
      <c r="I11" s="42">
        <f t="shared" si="9"/>
        <v>-3.6240366793483525E-2</v>
      </c>
      <c r="J11" s="42">
        <f t="shared" si="9"/>
        <v>-2.8348745237251727E-2</v>
      </c>
      <c r="K11" s="58">
        <f t="shared" si="9"/>
        <v>-2.4406214655634417E-2</v>
      </c>
      <c r="L11" s="67">
        <f>K11-0.001</f>
        <v>-2.5406214655634418E-2</v>
      </c>
      <c r="M11" s="67">
        <f t="shared" ref="L11:U11" si="10">L11</f>
        <v>-2.5406214655634418E-2</v>
      </c>
      <c r="N11" s="67">
        <f t="shared" si="10"/>
        <v>-2.5406214655634418E-2</v>
      </c>
      <c r="O11" s="67">
        <f t="shared" si="10"/>
        <v>-2.5406214655634418E-2</v>
      </c>
      <c r="P11" s="67">
        <f t="shared" si="10"/>
        <v>-2.5406214655634418E-2</v>
      </c>
      <c r="Q11" s="67">
        <f t="shared" si="10"/>
        <v>-2.5406214655634418E-2</v>
      </c>
      <c r="R11" s="67">
        <f t="shared" si="10"/>
        <v>-2.5406214655634418E-2</v>
      </c>
      <c r="S11" s="67">
        <f t="shared" si="10"/>
        <v>-2.5406214655634418E-2</v>
      </c>
      <c r="T11" s="67">
        <f t="shared" si="10"/>
        <v>-2.5406214655634418E-2</v>
      </c>
      <c r="U11" s="67">
        <f t="shared" si="10"/>
        <v>-2.5406214655634418E-2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1.0040729078942427</v>
      </c>
      <c r="E13" s="53">
        <f t="shared" si="11"/>
        <v>1.3579495189019106</v>
      </c>
      <c r="F13" s="53">
        <f t="shared" si="11"/>
        <v>1.8595504745135103</v>
      </c>
      <c r="G13" s="53">
        <f t="shared" si="11"/>
        <v>1.304615509849677</v>
      </c>
      <c r="H13" s="53">
        <f t="shared" si="11"/>
        <v>2.2569693549061416</v>
      </c>
      <c r="I13" s="53">
        <f t="shared" si="11"/>
        <v>1.8462761996341628</v>
      </c>
      <c r="J13" s="53">
        <f t="shared" si="11"/>
        <v>3.4803931781653668</v>
      </c>
      <c r="K13" s="59">
        <f t="shared" si="11"/>
        <v>3.2457738422112397</v>
      </c>
      <c r="L13" s="53">
        <f t="shared" ref="L13:U13" si="12">L7/L10</f>
        <v>3.1571902088341197</v>
      </c>
      <c r="M13" s="53">
        <f t="shared" si="12"/>
        <v>3.5619564565202695</v>
      </c>
      <c r="N13" s="53">
        <f t="shared" si="12"/>
        <v>4.0186155913715638</v>
      </c>
      <c r="O13" s="53">
        <f t="shared" si="12"/>
        <v>4.5338205192410159</v>
      </c>
      <c r="P13" s="53">
        <f t="shared" si="12"/>
        <v>5.1150770789885938</v>
      </c>
      <c r="Q13" s="53">
        <f t="shared" si="12"/>
        <v>5.7708533923999408</v>
      </c>
      <c r="R13" s="53">
        <f t="shared" si="12"/>
        <v>6.5107032332656232</v>
      </c>
      <c r="S13" s="53">
        <f t="shared" si="12"/>
        <v>7.3454052129414613</v>
      </c>
      <c r="T13" s="53">
        <f t="shared" si="12"/>
        <v>8.2871198101353123</v>
      </c>
      <c r="U13" s="53">
        <f t="shared" si="12"/>
        <v>9.3495665326318687</v>
      </c>
      <c r="V13" s="72">
        <f>U13*(1+WACC!$B$13)/(WACC!$B$14-WACC!$B$13)</f>
        <v>95.662707083861775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2.8197017932635768</v>
      </c>
      <c r="M14" s="62">
        <f>M13/((1+WACC!$B$14)^(M3-$K$3))</f>
        <v>2.841145482223717</v>
      </c>
      <c r="N14" s="62">
        <f>N13/((1+WACC!$B$14)^(N3-$K$3))</f>
        <v>2.862752249349541</v>
      </c>
      <c r="O14" s="62">
        <f>O13/((1+WACC!$B$14)^(O3-$K$3))</f>
        <v>2.8845233348422168</v>
      </c>
      <c r="P14" s="62">
        <f>P13/((1+WACC!$B$14)^(P3-$K$3))</f>
        <v>2.9064599883345812</v>
      </c>
      <c r="Q14" s="62">
        <f>Q13/((1+WACC!$B$14)^(Q3-$K$3))</f>
        <v>2.9285634689628646</v>
      </c>
      <c r="R14" s="62">
        <f>R13/((1+WACC!$B$14)^(R3-$K$3))</f>
        <v>2.950835045438966</v>
      </c>
      <c r="S14" s="62">
        <f>S13/((1+WACC!$B$14)^(S3-$K$3))</f>
        <v>2.9732759961232711</v>
      </c>
      <c r="T14" s="62">
        <f>T13/((1+WACC!$B$14)^(T3-$K$3))</f>
        <v>2.9958876090980322</v>
      </c>
      <c r="U14" s="62">
        <f>U13/((1+WACC!$B$14)^(U3-$K$3))</f>
        <v>3.018671182241305</v>
      </c>
      <c r="V14" s="63">
        <f>V13/((1+WACC!$B$14)^(U3-$K$3))</f>
        <v>30.886379179330337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30.886379179330337</v>
      </c>
      <c r="L17" s="16">
        <f>C17/$C$19</f>
        <v>0.51418856534735458</v>
      </c>
      <c r="O17" s="18"/>
    </row>
    <row r="18" spans="2:22" x14ac:dyDescent="0.25">
      <c r="B18" s="8" t="s">
        <v>26</v>
      </c>
      <c r="C18" s="32">
        <f>SUM(14:14)-V14</f>
        <v>29.18181614987807</v>
      </c>
      <c r="K18" s="3"/>
      <c r="L18" s="16">
        <f>C18/$C$19</f>
        <v>0.48581143465264542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60.068195329208407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3.2457738422112397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3.4157971810360612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59.898171990383588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5" spans="2:22" x14ac:dyDescent="0.25">
      <c r="L25" s="74"/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0.16324752402455789</v>
      </c>
    </row>
    <row r="3" spans="1:6" x14ac:dyDescent="0.25">
      <c r="A3" s="73" t="s">
        <v>34</v>
      </c>
      <c r="B3">
        <v>14905386000</v>
      </c>
      <c r="C3">
        <v>4255599000</v>
      </c>
      <c r="D3">
        <v>1311120000</v>
      </c>
      <c r="E3">
        <v>5847856000</v>
      </c>
      <c r="F3">
        <v>0.19176550959277661</v>
      </c>
    </row>
    <row r="4" spans="1:6" x14ac:dyDescent="0.25">
      <c r="A4" s="73" t="s">
        <v>35</v>
      </c>
      <c r="B4">
        <v>14241136000</v>
      </c>
      <c r="C4">
        <v>4537972000</v>
      </c>
      <c r="D4">
        <v>1315180000</v>
      </c>
      <c r="E4">
        <v>5672232000</v>
      </c>
      <c r="F4">
        <v>-3.8213500521634303E-2</v>
      </c>
    </row>
    <row r="5" spans="1:6" x14ac:dyDescent="0.25">
      <c r="A5" s="73" t="s">
        <v>36</v>
      </c>
      <c r="B5">
        <v>14317147000</v>
      </c>
      <c r="C5">
        <v>4863771000</v>
      </c>
      <c r="D5">
        <v>1322200000</v>
      </c>
      <c r="E5">
        <v>5638009000</v>
      </c>
      <c r="F5">
        <v>-0.29706461440864151</v>
      </c>
    </row>
    <row r="6" spans="1:6" x14ac:dyDescent="0.25">
      <c r="A6" s="73" t="s">
        <v>37</v>
      </c>
      <c r="B6">
        <v>15836457000</v>
      </c>
      <c r="C6">
        <v>4502016000</v>
      </c>
      <c r="D6">
        <v>1331660000</v>
      </c>
      <c r="E6">
        <v>5156707000</v>
      </c>
      <c r="F6">
        <v>-0.30727706335737759</v>
      </c>
    </row>
    <row r="7" spans="1:6" x14ac:dyDescent="0.25">
      <c r="A7" s="73" t="s">
        <v>38</v>
      </c>
      <c r="B7">
        <v>17428516000</v>
      </c>
      <c r="C7">
        <v>4677370000</v>
      </c>
      <c r="D7">
        <v>1343920000</v>
      </c>
      <c r="E7">
        <v>5374697000</v>
      </c>
      <c r="F7">
        <v>-0.32202255542695563</v>
      </c>
    </row>
    <row r="8" spans="1:6" x14ac:dyDescent="0.25">
      <c r="A8" s="73" t="s">
        <v>39</v>
      </c>
      <c r="B8">
        <v>18838507000</v>
      </c>
      <c r="C8">
        <v>3951503000</v>
      </c>
      <c r="D8">
        <v>1353950000</v>
      </c>
      <c r="E8">
        <v>5369497000</v>
      </c>
      <c r="F8">
        <v>-0.22904697449719441</v>
      </c>
    </row>
    <row r="9" spans="1:6" x14ac:dyDescent="0.25">
      <c r="A9" s="73" t="s">
        <v>40</v>
      </c>
      <c r="B9">
        <v>19029354000</v>
      </c>
      <c r="C9">
        <v>2956864000</v>
      </c>
      <c r="D9">
        <v>1363390000</v>
      </c>
      <c r="E9">
        <v>4587846000</v>
      </c>
    </row>
    <row r="10" spans="1:6" x14ac:dyDescent="0.25">
      <c r="A10" s="73" t="s">
        <v>41</v>
      </c>
      <c r="B10">
        <v>17978389000</v>
      </c>
      <c r="C10">
        <v>3282068000</v>
      </c>
      <c r="D10">
        <v>1372080000</v>
      </c>
      <c r="E10">
        <v>4377050000</v>
      </c>
    </row>
    <row r="11" spans="1:6" x14ac:dyDescent="0.25">
      <c r="A11" s="73" t="s">
        <v>42</v>
      </c>
      <c r="B11">
        <v>17208733000</v>
      </c>
      <c r="C11">
        <v>2553640000</v>
      </c>
      <c r="D11">
        <v>1383130000</v>
      </c>
      <c r="E11">
        <v>3657732000</v>
      </c>
      <c r="F11">
        <v>-0.1123875063055179</v>
      </c>
    </row>
    <row r="12" spans="1:6" x14ac:dyDescent="0.25">
      <c r="A12" s="73" t="s">
        <v>43</v>
      </c>
      <c r="B12">
        <v>16736664000</v>
      </c>
      <c r="C12">
        <v>3566765000</v>
      </c>
      <c r="D12">
        <v>1400570000</v>
      </c>
      <c r="E12">
        <v>4354791000</v>
      </c>
      <c r="F12">
        <v>7.0753625455927116E-2</v>
      </c>
    </row>
    <row r="13" spans="1:6" x14ac:dyDescent="0.25">
      <c r="A13" s="73" t="s">
        <v>44</v>
      </c>
      <c r="B13">
        <v>16523902000</v>
      </c>
      <c r="C13">
        <v>4029907000</v>
      </c>
      <c r="D13">
        <v>1415300000</v>
      </c>
      <c r="E13">
        <v>5329134000</v>
      </c>
      <c r="F13">
        <v>0.27644313743530891</v>
      </c>
    </row>
    <row r="14" spans="1:6" x14ac:dyDescent="0.25">
      <c r="A14" s="73" t="s">
        <v>45</v>
      </c>
      <c r="B14">
        <v>15753535000</v>
      </c>
      <c r="C14">
        <v>2980459000</v>
      </c>
      <c r="D14">
        <v>1426120000</v>
      </c>
      <c r="E14">
        <v>4611623000</v>
      </c>
      <c r="F14">
        <v>0.36046621425963471</v>
      </c>
    </row>
    <row r="15" spans="1:6" x14ac:dyDescent="0.25">
      <c r="A15" s="73" t="s">
        <v>46</v>
      </c>
      <c r="B15">
        <v>14626150000</v>
      </c>
      <c r="C15">
        <v>3239067000</v>
      </c>
      <c r="D15">
        <v>1435140000</v>
      </c>
      <c r="E15">
        <v>5729135000</v>
      </c>
      <c r="F15">
        <v>0.548180713673732</v>
      </c>
    </row>
    <row r="16" spans="1:6" x14ac:dyDescent="0.25">
      <c r="A16" s="73" t="s">
        <v>47</v>
      </c>
      <c r="B16">
        <v>13272835000</v>
      </c>
      <c r="C16">
        <v>2670248000</v>
      </c>
      <c r="D16">
        <v>1446090000</v>
      </c>
      <c r="E16">
        <v>5789467000</v>
      </c>
      <c r="F16">
        <v>0.47491736981377008</v>
      </c>
    </row>
    <row r="17" spans="1:6" x14ac:dyDescent="0.25">
      <c r="A17" s="73" t="s">
        <v>48</v>
      </c>
      <c r="B17">
        <v>11928806000</v>
      </c>
      <c r="C17">
        <v>2084817000</v>
      </c>
      <c r="D17">
        <v>1459100000</v>
      </c>
      <c r="E17">
        <v>6042232000</v>
      </c>
      <c r="F17">
        <v>0.26776888532266868</v>
      </c>
    </row>
    <row r="18" spans="1:6" x14ac:dyDescent="0.25">
      <c r="A18" s="73" t="s">
        <v>49</v>
      </c>
      <c r="B18">
        <v>11056070000</v>
      </c>
      <c r="C18">
        <v>2078126000</v>
      </c>
      <c r="D18">
        <v>1472480000</v>
      </c>
      <c r="E18">
        <v>6657908000</v>
      </c>
      <c r="F18">
        <v>0.34536744475113879</v>
      </c>
    </row>
    <row r="19" spans="1:6" x14ac:dyDescent="0.25">
      <c r="A19" s="73" t="s">
        <v>50</v>
      </c>
      <c r="B19">
        <v>10044736000</v>
      </c>
      <c r="C19">
        <v>1923212000</v>
      </c>
      <c r="D19">
        <v>1474160000</v>
      </c>
      <c r="E19">
        <v>6710252000</v>
      </c>
      <c r="F19">
        <v>1.839980314652268E-3</v>
      </c>
    </row>
    <row r="20" spans="1:6" x14ac:dyDescent="0.25">
      <c r="A20" s="73" t="s">
        <v>51</v>
      </c>
      <c r="B20">
        <v>9614019000</v>
      </c>
      <c r="C20">
        <v>1975257000</v>
      </c>
      <c r="D20">
        <v>1481650000</v>
      </c>
      <c r="E20">
        <v>5393136000</v>
      </c>
      <c r="F20">
        <v>2.647631370928338E-2</v>
      </c>
    </row>
    <row r="21" spans="1:6" x14ac:dyDescent="0.25">
      <c r="A21" s="73" t="s">
        <v>52</v>
      </c>
      <c r="B21">
        <v>9549442000</v>
      </c>
      <c r="C21">
        <v>2342503000</v>
      </c>
      <c r="D21">
        <v>1500970000</v>
      </c>
      <c r="E21">
        <v>4683754000</v>
      </c>
      <c r="F21">
        <v>-1.6749826473744341E-2</v>
      </c>
    </row>
    <row r="22" spans="1:6" x14ac:dyDescent="0.25">
      <c r="A22" s="73" t="s">
        <v>53</v>
      </c>
      <c r="B22">
        <v>9488614000</v>
      </c>
      <c r="C22">
        <v>2633125000</v>
      </c>
      <c r="D22">
        <v>1506820000</v>
      </c>
      <c r="E22">
        <v>5590832000</v>
      </c>
      <c r="F22">
        <v>-0.1204466293472622</v>
      </c>
    </row>
    <row r="23" spans="1:6" x14ac:dyDescent="0.25">
      <c r="A23" s="73" t="s">
        <v>54</v>
      </c>
      <c r="B23">
        <v>9653559000</v>
      </c>
      <c r="C23">
        <v>2872522000</v>
      </c>
      <c r="D23">
        <v>1544740000</v>
      </c>
      <c r="E23">
        <v>5431203000</v>
      </c>
      <c r="F23">
        <v>-0.28638890946944401</v>
      </c>
    </row>
    <row r="24" spans="1:6" x14ac:dyDescent="0.25">
      <c r="A24" s="73" t="s">
        <v>55</v>
      </c>
      <c r="B24">
        <v>10418340000</v>
      </c>
      <c r="C24">
        <v>2696686000</v>
      </c>
      <c r="D24">
        <v>1578490000</v>
      </c>
      <c r="E24">
        <v>6140926000</v>
      </c>
      <c r="F24">
        <v>-0.22959380660865841</v>
      </c>
    </row>
    <row r="25" spans="1:6" x14ac:dyDescent="0.25">
      <c r="A25" s="73" t="s">
        <v>56</v>
      </c>
      <c r="B25">
        <v>10871407000</v>
      </c>
      <c r="C25">
        <v>2840709000</v>
      </c>
      <c r="D25">
        <v>1621700000</v>
      </c>
      <c r="E25">
        <v>3635463000</v>
      </c>
      <c r="F25">
        <v>-7.5569629361267654E-2</v>
      </c>
    </row>
    <row r="26" spans="1:6" x14ac:dyDescent="0.25">
      <c r="A26" s="73" t="s">
        <v>57</v>
      </c>
      <c r="B26">
        <v>10929549000</v>
      </c>
      <c r="C26">
        <v>2248224000</v>
      </c>
      <c r="D26">
        <v>1653270000</v>
      </c>
      <c r="E26">
        <v>3618948000</v>
      </c>
      <c r="F26">
        <v>-9.8683891951221514E-2</v>
      </c>
    </row>
    <row r="27" spans="1:6" x14ac:dyDescent="0.25">
      <c r="A27" s="73" t="s">
        <v>58</v>
      </c>
      <c r="B27">
        <v>11076998000</v>
      </c>
      <c r="C27">
        <v>2382278000</v>
      </c>
      <c r="D27">
        <v>1754320000</v>
      </c>
      <c r="E27">
        <v>4949595000</v>
      </c>
      <c r="F27">
        <v>0.24017189509008241</v>
      </c>
    </row>
    <row r="28" spans="1:6" x14ac:dyDescent="0.25">
      <c r="A28" s="73" t="s">
        <v>59</v>
      </c>
      <c r="B28">
        <v>10295977000</v>
      </c>
      <c r="C28">
        <v>2438036000</v>
      </c>
      <c r="D28">
        <v>1797790000</v>
      </c>
      <c r="E28">
        <v>6484971000</v>
      </c>
      <c r="F28">
        <v>0.22774227888179871</v>
      </c>
    </row>
    <row r="29" spans="1:6" x14ac:dyDescent="0.25">
      <c r="A29" s="73" t="s">
        <v>60</v>
      </c>
      <c r="B29">
        <v>9557857000</v>
      </c>
      <c r="C29">
        <v>1815286000</v>
      </c>
      <c r="D29">
        <v>1611350000</v>
      </c>
      <c r="E29">
        <v>5699699000</v>
      </c>
      <c r="F29">
        <v>0.16258262369581031</v>
      </c>
    </row>
    <row r="30" spans="1:6" x14ac:dyDescent="0.25">
      <c r="A30" s="73" t="s">
        <v>61</v>
      </c>
      <c r="B30">
        <v>8859341000</v>
      </c>
      <c r="C30">
        <v>2238860000</v>
      </c>
      <c r="D30">
        <v>1838800000</v>
      </c>
      <c r="E30">
        <v>6182387000</v>
      </c>
      <c r="F30">
        <v>0.43907998007864402</v>
      </c>
    </row>
    <row r="31" spans="1:6" x14ac:dyDescent="0.25">
      <c r="A31" s="73" t="s">
        <v>62</v>
      </c>
      <c r="B31">
        <v>8013620000</v>
      </c>
      <c r="C31">
        <v>1871863000</v>
      </c>
      <c r="D31">
        <v>1864270000</v>
      </c>
      <c r="E31">
        <v>6041162000</v>
      </c>
      <c r="F31">
        <v>0.47748732458491799</v>
      </c>
    </row>
    <row r="32" spans="1:6" x14ac:dyDescent="0.25">
      <c r="A32" s="73" t="s">
        <v>63</v>
      </c>
      <c r="B32">
        <v>7214974000</v>
      </c>
      <c r="C32">
        <v>1549500000</v>
      </c>
      <c r="D32">
        <v>1850940000</v>
      </c>
      <c r="E32">
        <v>5883606000</v>
      </c>
      <c r="F32">
        <v>0.49284358036764048</v>
      </c>
    </row>
    <row r="33" spans="1:6" x14ac:dyDescent="0.25">
      <c r="A33" s="73" t="s">
        <v>64</v>
      </c>
      <c r="B33">
        <v>6375034000</v>
      </c>
      <c r="C33">
        <v>1307832000</v>
      </c>
      <c r="D33">
        <v>1835430000</v>
      </c>
      <c r="E33">
        <v>5833385000</v>
      </c>
      <c r="F33">
        <v>0.29094386664926958</v>
      </c>
    </row>
    <row r="34" spans="1:6" x14ac:dyDescent="0.25">
      <c r="A34" s="73" t="s">
        <v>65</v>
      </c>
      <c r="B34">
        <v>5918269000</v>
      </c>
      <c r="C34">
        <v>1206649000</v>
      </c>
      <c r="D34">
        <v>1800170000</v>
      </c>
      <c r="E34">
        <v>7214476000</v>
      </c>
      <c r="F34">
        <v>3.312814718104518E-3</v>
      </c>
    </row>
    <row r="35" spans="1:6" x14ac:dyDescent="0.25">
      <c r="A35" s="73" t="s">
        <v>66</v>
      </c>
      <c r="B35">
        <v>5885893000</v>
      </c>
      <c r="C35">
        <v>1174947000</v>
      </c>
      <c r="D35">
        <v>1776490000</v>
      </c>
      <c r="E35">
        <v>6827934000</v>
      </c>
      <c r="F35">
        <v>-4.8953933858522869E-2</v>
      </c>
    </row>
    <row r="36" spans="1:6" x14ac:dyDescent="0.25">
      <c r="A36" s="73" t="s">
        <v>67</v>
      </c>
      <c r="B36">
        <v>5821002000</v>
      </c>
      <c r="C36">
        <v>1031782000</v>
      </c>
      <c r="D36">
        <v>1743730000</v>
      </c>
      <c r="E36">
        <v>4538739000</v>
      </c>
      <c r="F36">
        <v>-0.1208071049777764</v>
      </c>
    </row>
    <row r="37" spans="1:6" x14ac:dyDescent="0.25">
      <c r="A37" s="73" t="s">
        <v>68</v>
      </c>
      <c r="B37">
        <v>5900280000</v>
      </c>
      <c r="C37">
        <v>1054017000</v>
      </c>
      <c r="D37">
        <v>1742420000</v>
      </c>
      <c r="E37">
        <v>4475480000</v>
      </c>
      <c r="F37">
        <v>5.3678095437499573E-2</v>
      </c>
    </row>
    <row r="38" spans="1:6" x14ac:dyDescent="0.25">
      <c r="A38" s="73" t="s">
        <v>69</v>
      </c>
      <c r="B38">
        <v>5706987000</v>
      </c>
      <c r="C38">
        <v>887491000</v>
      </c>
      <c r="D38">
        <v>1743740000</v>
      </c>
      <c r="E38">
        <v>4331799000</v>
      </c>
      <c r="F38">
        <v>0.30452833035974608</v>
      </c>
    </row>
    <row r="39" spans="1:6" x14ac:dyDescent="0.25">
      <c r="A39" s="73" t="s">
        <v>70</v>
      </c>
      <c r="B39">
        <v>5259312000</v>
      </c>
      <c r="C39">
        <v>587238000</v>
      </c>
      <c r="D39">
        <v>1765750000</v>
      </c>
      <c r="E39">
        <v>4076486000</v>
      </c>
      <c r="F39">
        <v>0.1625364250554733</v>
      </c>
    </row>
    <row r="40" spans="1:6" x14ac:dyDescent="0.25">
      <c r="A40" s="73" t="s">
        <v>71</v>
      </c>
      <c r="B40">
        <v>5026739000</v>
      </c>
      <c r="C40">
        <v>562432000</v>
      </c>
      <c r="D40">
        <v>1775310000</v>
      </c>
      <c r="E40">
        <v>3949131000</v>
      </c>
      <c r="F40">
        <v>5.4087505051360951E-2</v>
      </c>
    </row>
    <row r="41" spans="1:6" x14ac:dyDescent="0.25">
      <c r="A41" s="73" t="s">
        <v>72</v>
      </c>
      <c r="B41">
        <v>4860798000</v>
      </c>
      <c r="C41">
        <v>651865000</v>
      </c>
      <c r="D41">
        <v>1770460000</v>
      </c>
      <c r="E41">
        <v>2883677000</v>
      </c>
      <c r="F41">
        <v>4.8394548326659459E-2</v>
      </c>
    </row>
    <row r="42" spans="1:6" x14ac:dyDescent="0.25">
      <c r="A42" s="73" t="s">
        <v>73</v>
      </c>
      <c r="B42">
        <v>4744618000</v>
      </c>
      <c r="C42">
        <v>642689000</v>
      </c>
      <c r="D42">
        <v>1771180000</v>
      </c>
      <c r="E42">
        <v>2887346000</v>
      </c>
      <c r="F42">
        <v>9.9825231833814643E-2</v>
      </c>
    </row>
    <row r="43" spans="1:6" x14ac:dyDescent="0.25">
      <c r="A43" s="73" t="s">
        <v>74</v>
      </c>
      <c r="B43">
        <v>4607309000</v>
      </c>
      <c r="C43">
        <v>571546000</v>
      </c>
      <c r="D43">
        <v>1733450000</v>
      </c>
      <c r="E43">
        <v>3065644000</v>
      </c>
      <c r="F43">
        <v>0.245996507857321</v>
      </c>
    </row>
    <row r="44" spans="1:6" x14ac:dyDescent="0.25">
      <c r="A44" s="73" t="s">
        <v>75</v>
      </c>
      <c r="B44">
        <v>4344726000</v>
      </c>
      <c r="C44">
        <v>499267000</v>
      </c>
      <c r="D44">
        <v>1716360000</v>
      </c>
      <c r="E44">
        <v>2754472000</v>
      </c>
      <c r="F44">
        <v>0.34890614466558101</v>
      </c>
    </row>
    <row r="45" spans="1:6" x14ac:dyDescent="0.25">
      <c r="A45" s="73" t="s">
        <v>76</v>
      </c>
      <c r="B45">
        <v>3962262000</v>
      </c>
      <c r="C45">
        <v>318386000</v>
      </c>
      <c r="D45">
        <v>1717570000</v>
      </c>
      <c r="E45">
        <v>2522290000</v>
      </c>
      <c r="F45">
        <v>0.21395336200147291</v>
      </c>
    </row>
    <row r="46" spans="1:6" x14ac:dyDescent="0.25">
      <c r="A46" s="73" t="s">
        <v>77</v>
      </c>
      <c r="B46">
        <v>3707087000</v>
      </c>
      <c r="C46">
        <v>381988000</v>
      </c>
      <c r="D46">
        <v>1713630000</v>
      </c>
      <c r="E46">
        <v>2456215000</v>
      </c>
      <c r="F46">
        <v>-1.8865601926588479E-2</v>
      </c>
    </row>
    <row r="47" spans="1:6" x14ac:dyDescent="0.25">
      <c r="A47" s="73" t="s">
        <v>78</v>
      </c>
      <c r="B47">
        <v>3598916000</v>
      </c>
      <c r="C47">
        <v>559138000</v>
      </c>
      <c r="D47">
        <v>1697220000</v>
      </c>
      <c r="E47">
        <v>2497218000</v>
      </c>
      <c r="F47">
        <v>0.1798813449193464</v>
      </c>
    </row>
    <row r="48" spans="1:6" x14ac:dyDescent="0.25">
      <c r="A48" s="73" t="s">
        <v>79</v>
      </c>
      <c r="B48">
        <v>3354516000</v>
      </c>
      <c r="C48">
        <v>487125000</v>
      </c>
      <c r="D48">
        <v>1685040000</v>
      </c>
      <c r="E48">
        <v>2356928000</v>
      </c>
      <c r="F48">
        <v>7.8188375336324833E-2</v>
      </c>
    </row>
    <row r="49" spans="1:6" x14ac:dyDescent="0.25">
      <c r="A49" s="73" t="s">
        <v>80</v>
      </c>
      <c r="B49">
        <v>3168549000</v>
      </c>
      <c r="C49">
        <v>537853000</v>
      </c>
      <c r="D49">
        <v>1730270000</v>
      </c>
      <c r="E49">
        <v>2520687000</v>
      </c>
      <c r="F49">
        <v>0.44143197809517759</v>
      </c>
    </row>
    <row r="50" spans="1:6" x14ac:dyDescent="0.25">
      <c r="A50" s="73" t="s">
        <v>81</v>
      </c>
      <c r="B50">
        <v>2891644000</v>
      </c>
      <c r="C50">
        <v>525885000</v>
      </c>
      <c r="D50">
        <v>1819260000</v>
      </c>
      <c r="E50">
        <v>2724233000</v>
      </c>
      <c r="F50">
        <v>3.1050899717240069E-2</v>
      </c>
    </row>
    <row r="51" spans="1:6" x14ac:dyDescent="0.25">
      <c r="A51" s="73" t="s">
        <v>82</v>
      </c>
      <c r="B51">
        <v>2665192000</v>
      </c>
      <c r="C51">
        <v>391756000</v>
      </c>
      <c r="D51">
        <v>1358420000</v>
      </c>
      <c r="E51">
        <v>2862683000</v>
      </c>
      <c r="F51">
        <v>5.2173396115518411E-2</v>
      </c>
    </row>
    <row r="52" spans="1:6" x14ac:dyDescent="0.25">
      <c r="A52" s="73" t="s">
        <v>83</v>
      </c>
      <c r="B52">
        <v>2675396000</v>
      </c>
      <c r="C52">
        <v>495458000</v>
      </c>
      <c r="D52">
        <v>1209560000</v>
      </c>
      <c r="E52">
        <v>2403963000</v>
      </c>
      <c r="F52">
        <v>-0.25066154814006403</v>
      </c>
    </row>
    <row r="53" spans="1:6" x14ac:dyDescent="0.25">
      <c r="A53" s="73" t="s">
        <v>84</v>
      </c>
      <c r="B53">
        <v>2825522000</v>
      </c>
      <c r="C53">
        <v>582863000</v>
      </c>
      <c r="D53">
        <v>1208730000</v>
      </c>
      <c r="E53">
        <v>2219784000</v>
      </c>
      <c r="F53">
        <v>-0.40819360088387241</v>
      </c>
    </row>
    <row r="54" spans="1:6" x14ac:dyDescent="0.25">
      <c r="A54" s="73" t="s">
        <v>85</v>
      </c>
      <c r="B54">
        <v>3112255000</v>
      </c>
      <c r="C54">
        <v>588087000</v>
      </c>
      <c r="D54">
        <v>1240490000</v>
      </c>
      <c r="E54">
        <v>2052405000</v>
      </c>
      <c r="F54">
        <v>-0.1288960805287179</v>
      </c>
    </row>
    <row r="55" spans="1:6" x14ac:dyDescent="0.25">
      <c r="A55" s="73" t="s">
        <v>86</v>
      </c>
      <c r="B55">
        <v>3237693000</v>
      </c>
      <c r="C55">
        <v>753533000</v>
      </c>
      <c r="D55">
        <v>1251000000</v>
      </c>
      <c r="E55">
        <v>2122247000</v>
      </c>
      <c r="F55">
        <v>3.4127597301266022E-2</v>
      </c>
    </row>
    <row r="56" spans="1:6" x14ac:dyDescent="0.25">
      <c r="A56" s="73" t="s">
        <v>87</v>
      </c>
      <c r="B56">
        <v>3180964000</v>
      </c>
      <c r="C56">
        <v>743387000</v>
      </c>
      <c r="D56">
        <v>1252930000</v>
      </c>
      <c r="E56">
        <v>1255589000</v>
      </c>
      <c r="F56">
        <v>0.19931159059553091</v>
      </c>
    </row>
    <row r="57" spans="1:6" x14ac:dyDescent="0.25">
      <c r="A57" s="73" t="s">
        <v>88</v>
      </c>
      <c r="B57">
        <v>3004640000</v>
      </c>
      <c r="C57">
        <v>636006000</v>
      </c>
      <c r="D57">
        <v>1247860000</v>
      </c>
      <c r="E57">
        <v>1032098000</v>
      </c>
      <c r="F57">
        <v>0.61262379304399239</v>
      </c>
    </row>
    <row r="58" spans="1:6" x14ac:dyDescent="0.25">
      <c r="A58" s="73" t="s">
        <v>89</v>
      </c>
      <c r="B58">
        <v>2621102000</v>
      </c>
      <c r="C58">
        <v>554865000</v>
      </c>
      <c r="D58">
        <v>1252020000</v>
      </c>
      <c r="E58">
        <v>933273000</v>
      </c>
      <c r="F58">
        <v>1.2968983261549281</v>
      </c>
    </row>
    <row r="59" spans="1:6" x14ac:dyDescent="0.25">
      <c r="A59" s="73" t="s">
        <v>90</v>
      </c>
      <c r="B59">
        <v>2133776000</v>
      </c>
      <c r="C59">
        <v>315123000</v>
      </c>
      <c r="D59">
        <v>1278000000</v>
      </c>
      <c r="E59">
        <v>826457000</v>
      </c>
      <c r="F59">
        <v>1.647110169725023</v>
      </c>
    </row>
    <row r="60" spans="1:6" x14ac:dyDescent="0.25">
      <c r="A60" s="73" t="s">
        <v>91</v>
      </c>
      <c r="B60">
        <v>1656251000</v>
      </c>
      <c r="C60">
        <v>97764000</v>
      </c>
      <c r="D60">
        <v>1285870000</v>
      </c>
      <c r="E60">
        <v>678547000</v>
      </c>
      <c r="F60">
        <v>2.1650174357269001</v>
      </c>
    </row>
    <row r="61" spans="1:6" x14ac:dyDescent="0.25">
      <c r="A61" s="73" t="s">
        <v>92</v>
      </c>
      <c r="B61">
        <v>1197900000</v>
      </c>
      <c r="C61">
        <v>-35697000</v>
      </c>
      <c r="D61">
        <v>1288290000</v>
      </c>
      <c r="E61">
        <v>645733000</v>
      </c>
      <c r="F61">
        <v>0.46303856617115202</v>
      </c>
    </row>
    <row r="62" spans="1:6" x14ac:dyDescent="0.25">
      <c r="A62" s="73" t="s">
        <v>93</v>
      </c>
      <c r="B62">
        <v>994133000</v>
      </c>
      <c r="C62">
        <v>-153520000</v>
      </c>
      <c r="D62">
        <v>1278900000</v>
      </c>
      <c r="E62">
        <v>576194000</v>
      </c>
      <c r="F62">
        <v>0.92872060196066419</v>
      </c>
    </row>
    <row r="63" spans="1:6" x14ac:dyDescent="0.25">
      <c r="A63" s="73" t="s">
        <v>94</v>
      </c>
      <c r="B63">
        <v>1115946000</v>
      </c>
      <c r="C63">
        <v>-122411000</v>
      </c>
      <c r="D63">
        <v>1263000000</v>
      </c>
      <c r="E63">
        <v>579388000</v>
      </c>
      <c r="F63">
        <v>-0.60675427617634592</v>
      </c>
    </row>
    <row r="64" spans="1:6" x14ac:dyDescent="0.25">
      <c r="A64" s="73" t="s">
        <v>95</v>
      </c>
      <c r="B64">
        <v>1464342000</v>
      </c>
      <c r="C64">
        <v>123053000</v>
      </c>
      <c r="D64">
        <v>1255660000</v>
      </c>
      <c r="E64">
        <v>623148000</v>
      </c>
      <c r="F64">
        <v>-0.7358819357781724</v>
      </c>
    </row>
    <row r="65" spans="1:6" x14ac:dyDescent="0.25">
      <c r="A65" s="73" t="s">
        <v>96</v>
      </c>
      <c r="B65">
        <v>1903740000</v>
      </c>
      <c r="C65">
        <v>284765000</v>
      </c>
      <c r="D65">
        <v>1250840000</v>
      </c>
      <c r="E65">
        <v>950312000</v>
      </c>
      <c r="F65">
        <v>-0.65522267007471491</v>
      </c>
    </row>
    <row r="66" spans="1:6" x14ac:dyDescent="0.25">
      <c r="A66" s="73" t="s">
        <v>97</v>
      </c>
      <c r="B66">
        <v>2230651000</v>
      </c>
      <c r="C66">
        <v>333194000</v>
      </c>
      <c r="D66">
        <v>1268190000</v>
      </c>
      <c r="E66">
        <v>1059235000</v>
      </c>
      <c r="F66">
        <v>-0.38146574820229012</v>
      </c>
    </row>
    <row r="67" spans="1:6" x14ac:dyDescent="0.25">
      <c r="A67" s="73" t="s">
        <v>98</v>
      </c>
      <c r="B67">
        <v>2474911000</v>
      </c>
      <c r="C67">
        <v>513516000</v>
      </c>
      <c r="D67">
        <v>1267000000</v>
      </c>
      <c r="E67">
        <v>1058736000</v>
      </c>
      <c r="F67">
        <v>-0.44369035207562357</v>
      </c>
    </row>
    <row r="68" spans="1:6" x14ac:dyDescent="0.25">
      <c r="A68" s="73" t="s">
        <v>99</v>
      </c>
      <c r="B68">
        <v>2587270000</v>
      </c>
      <c r="C68">
        <v>611208000</v>
      </c>
      <c r="D68">
        <v>1265490000</v>
      </c>
      <c r="E68">
        <v>842895000</v>
      </c>
      <c r="F68">
        <v>1.9862835437587378E-2</v>
      </c>
    </row>
    <row r="69" spans="1:6" x14ac:dyDescent="0.25">
      <c r="A69" s="73" t="s">
        <v>100</v>
      </c>
      <c r="B69">
        <v>2623730000</v>
      </c>
      <c r="C69">
        <v>617138000</v>
      </c>
      <c r="D69">
        <v>1266530000</v>
      </c>
      <c r="E69">
        <v>869878000</v>
      </c>
    </row>
    <row r="70" spans="1:6" x14ac:dyDescent="0.25">
      <c r="A70" s="73" t="s">
        <v>101</v>
      </c>
      <c r="B70">
        <v>2646810000</v>
      </c>
      <c r="C70">
        <v>768187000</v>
      </c>
      <c r="D70">
        <v>1263580000</v>
      </c>
      <c r="E70">
        <v>911246000</v>
      </c>
    </row>
    <row r="71" spans="1:6" x14ac:dyDescent="0.25">
      <c r="A71" s="73" t="s">
        <v>102</v>
      </c>
      <c r="B71">
        <v>2566576000</v>
      </c>
      <c r="C71">
        <v>763591000</v>
      </c>
      <c r="D71">
        <v>1328000000</v>
      </c>
      <c r="E71">
        <v>670691000</v>
      </c>
    </row>
    <row r="72" spans="1:6" x14ac:dyDescent="0.25">
      <c r="A72" s="73" t="s">
        <v>103</v>
      </c>
      <c r="B72">
        <v>2413653000</v>
      </c>
      <c r="C72">
        <v>550730000</v>
      </c>
      <c r="D72">
        <v>1430520000</v>
      </c>
      <c r="E72">
        <v>1133685000</v>
      </c>
      <c r="F72">
        <v>0.37031421758800992</v>
      </c>
    </row>
    <row r="73" spans="1:6" x14ac:dyDescent="0.25">
      <c r="A73" s="73" t="s">
        <v>104</v>
      </c>
      <c r="B73">
        <v>2200806000</v>
      </c>
      <c r="C73">
        <v>521294000</v>
      </c>
      <c r="D73">
        <v>1453460000</v>
      </c>
      <c r="E73">
        <v>1203962000</v>
      </c>
      <c r="F73">
        <v>0.70656588368295448</v>
      </c>
    </row>
    <row r="74" spans="1:6" x14ac:dyDescent="0.25">
      <c r="A74" s="73" t="s">
        <v>105</v>
      </c>
      <c r="B74">
        <v>1925651000</v>
      </c>
      <c r="C74">
        <v>479591000</v>
      </c>
      <c r="D74">
        <v>1448500000</v>
      </c>
      <c r="E74">
        <v>1264632000</v>
      </c>
      <c r="F74">
        <v>0.71673810169301388</v>
      </c>
    </row>
    <row r="75" spans="1:6" x14ac:dyDescent="0.25">
      <c r="A75" s="73" t="s">
        <v>106</v>
      </c>
      <c r="B75">
        <v>1642171000</v>
      </c>
      <c r="C75">
        <v>318607000</v>
      </c>
      <c r="D75">
        <v>1447000000</v>
      </c>
      <c r="E75">
        <v>1050339000</v>
      </c>
      <c r="F75">
        <v>0.28453190659388811</v>
      </c>
    </row>
    <row r="76" spans="1:6" x14ac:dyDescent="0.25">
      <c r="A76" s="73" t="s">
        <v>107</v>
      </c>
      <c r="B76">
        <v>1470342000</v>
      </c>
      <c r="C76">
        <v>381938000</v>
      </c>
      <c r="D76">
        <v>1448460000</v>
      </c>
      <c r="E76">
        <v>991373000</v>
      </c>
      <c r="F76">
        <v>0.19429750355673761</v>
      </c>
    </row>
    <row r="77" spans="1:6" x14ac:dyDescent="0.25">
      <c r="A77" s="73" t="s">
        <v>108</v>
      </c>
      <c r="B77">
        <v>1382256000</v>
      </c>
      <c r="C77">
        <v>375409000</v>
      </c>
      <c r="D77">
        <v>1425250000</v>
      </c>
      <c r="E77">
        <v>892245000</v>
      </c>
      <c r="F77">
        <v>-0.34838431806213799</v>
      </c>
    </row>
    <row r="78" spans="1:6" x14ac:dyDescent="0.25">
      <c r="A78" s="73" t="s">
        <v>109</v>
      </c>
      <c r="B78">
        <v>1403811000</v>
      </c>
      <c r="C78">
        <v>410560000</v>
      </c>
      <c r="D78">
        <v>1414300000</v>
      </c>
      <c r="E78">
        <v>788816000</v>
      </c>
      <c r="F78">
        <v>-0.34439805124073708</v>
      </c>
    </row>
    <row r="79" spans="1:6" x14ac:dyDescent="0.25">
      <c r="A79" s="73" t="s">
        <v>110</v>
      </c>
      <c r="B79">
        <v>1502453000</v>
      </c>
      <c r="C79">
        <v>403081000</v>
      </c>
      <c r="D79">
        <v>1425000000</v>
      </c>
      <c r="E79">
        <v>809253000</v>
      </c>
      <c r="F79">
        <v>4.9913857973371556E-3</v>
      </c>
    </row>
    <row r="80" spans="1:6" x14ac:dyDescent="0.25">
      <c r="A80" s="73" t="s">
        <v>111</v>
      </c>
      <c r="B80">
        <v>1478258000</v>
      </c>
      <c r="C80">
        <v>342812000</v>
      </c>
      <c r="D80">
        <v>1447560000</v>
      </c>
      <c r="E80">
        <v>726292000</v>
      </c>
      <c r="F80">
        <v>0.47693642916479168</v>
      </c>
    </row>
    <row r="81" spans="1:6" x14ac:dyDescent="0.25">
      <c r="A81" s="73" t="s">
        <v>112</v>
      </c>
      <c r="B81">
        <v>1360049000</v>
      </c>
      <c r="C81">
        <v>281933000</v>
      </c>
      <c r="D81">
        <v>1422680000</v>
      </c>
      <c r="E81">
        <v>649400000</v>
      </c>
      <c r="F81">
        <v>0.78152490235394856</v>
      </c>
    </row>
    <row r="82" spans="1:6" x14ac:dyDescent="0.25">
      <c r="A82" s="73" t="s">
        <v>113</v>
      </c>
      <c r="B82">
        <v>1171757000</v>
      </c>
      <c r="C82">
        <v>171345000</v>
      </c>
      <c r="D82">
        <v>1398080000</v>
      </c>
      <c r="E82">
        <v>476672000</v>
      </c>
      <c r="F82">
        <v>1.0690977043398751</v>
      </c>
    </row>
    <row r="83" spans="1:6" x14ac:dyDescent="0.25">
      <c r="A83" s="73" t="s">
        <v>114</v>
      </c>
      <c r="B83">
        <v>935946000</v>
      </c>
      <c r="C83">
        <v>133123000</v>
      </c>
      <c r="D83">
        <v>1398000000</v>
      </c>
      <c r="E83">
        <v>429472000</v>
      </c>
      <c r="F83">
        <v>0.68606904871940921</v>
      </c>
    </row>
    <row r="84" spans="1:6" x14ac:dyDescent="0.25">
      <c r="A84" s="73" t="s">
        <v>115</v>
      </c>
      <c r="B84">
        <v>792460000</v>
      </c>
      <c r="C84">
        <v>92696000</v>
      </c>
      <c r="D84">
        <v>1473650000</v>
      </c>
      <c r="E84">
        <v>633070000</v>
      </c>
      <c r="F84">
        <v>-0.11754351300926449</v>
      </c>
    </row>
    <row r="85" spans="1:6" x14ac:dyDescent="0.25">
      <c r="A85" s="73" t="s">
        <v>116</v>
      </c>
      <c r="B85">
        <v>748391000</v>
      </c>
      <c r="C85">
        <v>77122000</v>
      </c>
      <c r="D85">
        <v>1396580000</v>
      </c>
      <c r="E85">
        <v>586009000</v>
      </c>
      <c r="F85">
        <v>-0.25889117890870078</v>
      </c>
    </row>
    <row r="86" spans="1:6" x14ac:dyDescent="0.25">
      <c r="A86" s="73" t="s">
        <v>117</v>
      </c>
      <c r="B86">
        <v>741452000</v>
      </c>
      <c r="C86">
        <v>55976000</v>
      </c>
      <c r="D86">
        <v>1348860000</v>
      </c>
      <c r="E86">
        <v>524472000</v>
      </c>
      <c r="F86">
        <v>-0.3024756986634265</v>
      </c>
    </row>
    <row r="87" spans="1:6" x14ac:dyDescent="0.25">
      <c r="A87" s="73" t="s">
        <v>118</v>
      </c>
      <c r="B87">
        <v>755234000</v>
      </c>
      <c r="C87">
        <v>56978000</v>
      </c>
      <c r="D87">
        <v>1314000000</v>
      </c>
      <c r="E87">
        <v>507413000</v>
      </c>
      <c r="F87">
        <v>3.2420557429433623E-2</v>
      </c>
    </row>
    <row r="88" spans="1:6" x14ac:dyDescent="0.25">
      <c r="A88" s="73" t="s">
        <v>119</v>
      </c>
      <c r="B88">
        <v>749404000</v>
      </c>
      <c r="C88">
        <v>71916000</v>
      </c>
      <c r="D88">
        <v>1295500000</v>
      </c>
      <c r="E88">
        <v>465866000</v>
      </c>
    </row>
    <row r="89" spans="1:6" x14ac:dyDescent="0.25">
      <c r="A89" s="73" t="s">
        <v>120</v>
      </c>
      <c r="B89">
        <v>726450000</v>
      </c>
      <c r="C89">
        <v>1723000</v>
      </c>
      <c r="D89">
        <v>1285370000</v>
      </c>
      <c r="E89">
        <v>552036000</v>
      </c>
    </row>
    <row r="90" spans="1:6" x14ac:dyDescent="0.25">
      <c r="A90" s="73" t="s">
        <v>121</v>
      </c>
      <c r="B90">
        <v>801054000</v>
      </c>
      <c r="C90">
        <v>14066000</v>
      </c>
      <c r="D90">
        <v>1269310000</v>
      </c>
      <c r="E90">
        <v>540459000</v>
      </c>
    </row>
    <row r="91" spans="1:6" x14ac:dyDescent="0.25">
      <c r="A91" s="73" t="s">
        <v>122</v>
      </c>
      <c r="B91">
        <v>943114000</v>
      </c>
      <c r="C91">
        <v>11178000</v>
      </c>
      <c r="D91">
        <v>1269000000</v>
      </c>
      <c r="E91">
        <v>874205000</v>
      </c>
      <c r="F91">
        <v>0.1984737828042189</v>
      </c>
    </row>
    <row r="92" spans="1:6" x14ac:dyDescent="0.25">
      <c r="A92" s="73" t="s">
        <v>123</v>
      </c>
      <c r="B92">
        <v>934749000</v>
      </c>
      <c r="C92">
        <v>45713000</v>
      </c>
      <c r="D92">
        <v>1344200000</v>
      </c>
      <c r="E92">
        <v>830457000</v>
      </c>
      <c r="F92">
        <v>-0.44849059960856419</v>
      </c>
    </row>
    <row r="93" spans="1:6" x14ac:dyDescent="0.25">
      <c r="A93" s="73" t="s">
        <v>124</v>
      </c>
      <c r="B93">
        <v>1192169000</v>
      </c>
      <c r="C93">
        <v>141609000</v>
      </c>
      <c r="D93">
        <v>1256740000</v>
      </c>
      <c r="E93">
        <v>880134000</v>
      </c>
    </row>
    <row r="94" spans="1:6" x14ac:dyDescent="0.25">
      <c r="A94" s="73" t="s">
        <v>125</v>
      </c>
      <c r="B94">
        <v>1427328000</v>
      </c>
      <c r="C94">
        <v>194869000</v>
      </c>
      <c r="D94">
        <v>1253400000</v>
      </c>
      <c r="E94">
        <v>859520000</v>
      </c>
      <c r="F94">
        <v>-0.43854535101992631</v>
      </c>
    </row>
    <row r="95" spans="1:6" x14ac:dyDescent="0.25">
      <c r="A95" s="73" t="s">
        <v>126</v>
      </c>
      <c r="B95">
        <v>1519789000</v>
      </c>
      <c r="C95">
        <v>196892000</v>
      </c>
      <c r="D95">
        <v>1335000000</v>
      </c>
      <c r="E95">
        <v>864559000</v>
      </c>
      <c r="F95">
        <v>7.4379502747076609E-2</v>
      </c>
    </row>
    <row r="96" spans="1:6" x14ac:dyDescent="0.25">
      <c r="A96" s="73" t="s">
        <v>127</v>
      </c>
      <c r="B96">
        <v>1722114000</v>
      </c>
      <c r="C96">
        <v>188508000</v>
      </c>
      <c r="D96">
        <v>1419010000</v>
      </c>
      <c r="E96">
        <v>444868000</v>
      </c>
      <c r="F96">
        <v>0.5979082424030715</v>
      </c>
    </row>
    <row r="97" spans="1:6" x14ac:dyDescent="0.25">
      <c r="A97" s="73" t="s">
        <v>128</v>
      </c>
      <c r="B97">
        <v>1626938000</v>
      </c>
      <c r="C97">
        <v>123890000</v>
      </c>
      <c r="D97">
        <v>1409790000</v>
      </c>
      <c r="E97">
        <v>397189000</v>
      </c>
      <c r="F97">
        <v>0.19314502459981989</v>
      </c>
    </row>
    <row r="98" spans="1:6" x14ac:dyDescent="0.25">
      <c r="A98" s="73" t="s">
        <v>129</v>
      </c>
      <c r="B98">
        <v>1421226000</v>
      </c>
      <c r="C98">
        <v>68483000</v>
      </c>
      <c r="D98">
        <v>1337330000</v>
      </c>
      <c r="E98">
        <v>373769000</v>
      </c>
      <c r="F98">
        <v>0.13099968540702539</v>
      </c>
    </row>
    <row r="99" spans="1:6" x14ac:dyDescent="0.25">
      <c r="A99" s="73" t="s">
        <v>130</v>
      </c>
      <c r="B99">
        <v>1230767000</v>
      </c>
      <c r="C99">
        <v>69490000</v>
      </c>
      <c r="D99">
        <v>1463000000</v>
      </c>
      <c r="E99">
        <v>371722000</v>
      </c>
      <c r="F99">
        <v>0.69189533632074363</v>
      </c>
    </row>
    <row r="100" spans="1:6" x14ac:dyDescent="0.25">
      <c r="A100" s="73" t="s">
        <v>131</v>
      </c>
      <c r="B100">
        <v>1067436000</v>
      </c>
      <c r="C100">
        <v>9855000</v>
      </c>
      <c r="D100">
        <v>1459310000</v>
      </c>
      <c r="E100">
        <v>321478000</v>
      </c>
      <c r="F100">
        <v>1.0753652925949171</v>
      </c>
    </row>
    <row r="101" spans="1:6" x14ac:dyDescent="0.25">
      <c r="A101" s="73" t="s">
        <v>132</v>
      </c>
      <c r="B101">
        <v>894063000</v>
      </c>
      <c r="C101">
        <v>32814000</v>
      </c>
      <c r="D101">
        <v>1321710000</v>
      </c>
      <c r="E101">
        <v>327360000</v>
      </c>
      <c r="F101">
        <v>0.90677964692201973</v>
      </c>
    </row>
    <row r="102" spans="1:6" x14ac:dyDescent="0.25">
      <c r="A102" s="73" t="s">
        <v>133</v>
      </c>
      <c r="B102">
        <v>747338000</v>
      </c>
      <c r="C102">
        <v>-16566000</v>
      </c>
      <c r="D102">
        <v>1278790000</v>
      </c>
      <c r="E102">
        <v>314252000</v>
      </c>
      <c r="F102">
        <v>0.52018242744323095</v>
      </c>
    </row>
    <row r="103" spans="1:6" x14ac:dyDescent="0.25">
      <c r="A103" s="73" t="s">
        <v>134</v>
      </c>
      <c r="B103">
        <v>647955000</v>
      </c>
      <c r="C103">
        <v>-70398000</v>
      </c>
      <c r="D103">
        <v>1278000000</v>
      </c>
      <c r="E103">
        <v>311801000</v>
      </c>
      <c r="F103">
        <v>-0.1511729376458241</v>
      </c>
    </row>
    <row r="104" spans="1:6" x14ac:dyDescent="0.25">
      <c r="A104" s="73" t="s">
        <v>135</v>
      </c>
      <c r="B104">
        <v>667656000</v>
      </c>
      <c r="C104">
        <v>-25183000</v>
      </c>
      <c r="D104">
        <v>1161380000</v>
      </c>
      <c r="E104">
        <v>302812000</v>
      </c>
      <c r="F104">
        <v>-0.16640867351615299</v>
      </c>
    </row>
    <row r="105" spans="1:6" x14ac:dyDescent="0.25">
      <c r="A105" s="73" t="s">
        <v>136</v>
      </c>
      <c r="B105">
        <v>754698000</v>
      </c>
      <c r="C105">
        <v>-69056000</v>
      </c>
      <c r="D105">
        <v>1153150000</v>
      </c>
      <c r="E105">
        <v>311510000</v>
      </c>
      <c r="F105">
        <v>-0.35742604158106661</v>
      </c>
    </row>
    <row r="106" spans="1:6" x14ac:dyDescent="0.25">
      <c r="A106" s="73" t="s">
        <v>137</v>
      </c>
      <c r="B106">
        <v>904859000</v>
      </c>
      <c r="C106">
        <v>-60583000</v>
      </c>
      <c r="D106">
        <v>1153150000</v>
      </c>
      <c r="E106">
        <v>339840000</v>
      </c>
      <c r="F106">
        <v>-0.5095300180045943</v>
      </c>
    </row>
    <row r="107" spans="1:6" x14ac:dyDescent="0.25">
      <c r="A107" s="73" t="s">
        <v>138</v>
      </c>
      <c r="B107">
        <v>1052586000</v>
      </c>
      <c r="C107">
        <v>1038000</v>
      </c>
      <c r="D107">
        <v>1153150000</v>
      </c>
      <c r="E107">
        <v>397156000</v>
      </c>
      <c r="F107">
        <v>-0.1222024690982043</v>
      </c>
    </row>
    <row r="108" spans="1:6" x14ac:dyDescent="0.25">
      <c r="A108" s="73" t="s">
        <v>139</v>
      </c>
      <c r="B108">
        <v>1084687000</v>
      </c>
      <c r="C108">
        <v>-80780000</v>
      </c>
      <c r="D108">
        <v>1141890000</v>
      </c>
      <c r="E108">
        <v>350253000</v>
      </c>
      <c r="F108">
        <v>0.11316221556386299</v>
      </c>
    </row>
    <row r="109" spans="1:6" x14ac:dyDescent="0.25">
      <c r="A109" s="73" t="s">
        <v>140</v>
      </c>
      <c r="B109">
        <v>1060271000</v>
      </c>
      <c r="C109">
        <v>-36048000</v>
      </c>
      <c r="D109">
        <v>1166666670</v>
      </c>
      <c r="E109">
        <v>446718000</v>
      </c>
      <c r="F109">
        <v>0.51257892905086266</v>
      </c>
    </row>
    <row r="110" spans="1:6" x14ac:dyDescent="0.25">
      <c r="A110" s="73" t="s">
        <v>141</v>
      </c>
      <c r="B110">
        <v>1009571000</v>
      </c>
      <c r="C110">
        <v>45569000</v>
      </c>
      <c r="D110">
        <v>1129120000</v>
      </c>
      <c r="E110">
        <v>471575000</v>
      </c>
      <c r="F110">
        <v>2.5254722219275161E-2</v>
      </c>
    </row>
    <row r="111" spans="1:6" x14ac:dyDescent="0.25">
      <c r="A111" s="73" t="s">
        <v>142</v>
      </c>
      <c r="B111">
        <v>1002404000</v>
      </c>
      <c r="C111">
        <v>32630000</v>
      </c>
      <c r="D111">
        <v>1129120000</v>
      </c>
      <c r="E111">
        <v>164245000</v>
      </c>
      <c r="F111">
        <v>-0.41395111589456801</v>
      </c>
    </row>
    <row r="112" spans="1:6" x14ac:dyDescent="0.25">
      <c r="A112" s="73" t="s">
        <v>143</v>
      </c>
      <c r="B112">
        <v>1109510000</v>
      </c>
      <c r="C112">
        <v>13878000</v>
      </c>
      <c r="D112">
        <v>1105000000</v>
      </c>
      <c r="E112">
        <v>163210000</v>
      </c>
    </row>
    <row r="113" spans="1:6" x14ac:dyDescent="0.25">
      <c r="A113" s="73" t="s">
        <v>144</v>
      </c>
      <c r="B113">
        <v>1236243000</v>
      </c>
      <c r="C113">
        <v>5616000</v>
      </c>
      <c r="D113">
        <v>927920000</v>
      </c>
      <c r="E113">
        <v>160367000</v>
      </c>
      <c r="F113">
        <v>-9.1820756874681164E-2</v>
      </c>
    </row>
    <row r="114" spans="1:6" x14ac:dyDescent="0.25">
      <c r="A114" s="73" t="s">
        <v>145</v>
      </c>
      <c r="B114">
        <v>1279082000</v>
      </c>
      <c r="C114">
        <v>-53809000</v>
      </c>
      <c r="D114">
        <v>918910000</v>
      </c>
      <c r="E114">
        <v>130395000</v>
      </c>
      <c r="F114">
        <v>0.2219244763275616</v>
      </c>
    </row>
    <row r="115" spans="1:6" x14ac:dyDescent="0.25">
      <c r="A115" s="73" t="s">
        <v>146</v>
      </c>
      <c r="B115">
        <v>1254070000</v>
      </c>
      <c r="C115">
        <v>-39977000</v>
      </c>
      <c r="D115">
        <v>918910000</v>
      </c>
      <c r="E115">
        <v>130484000</v>
      </c>
      <c r="F115">
        <v>0.50992001110616592</v>
      </c>
    </row>
    <row r="116" spans="1:6" x14ac:dyDescent="0.25">
      <c r="A116" s="73" t="s">
        <v>147</v>
      </c>
      <c r="B116">
        <v>1129186000</v>
      </c>
      <c r="C116">
        <v>10753000</v>
      </c>
      <c r="D116">
        <v>926420000</v>
      </c>
      <c r="E116">
        <v>139485000</v>
      </c>
    </row>
    <row r="117" spans="1:6" x14ac:dyDescent="0.25">
      <c r="A117" s="73" t="s">
        <v>148</v>
      </c>
      <c r="B117">
        <v>1005851000</v>
      </c>
      <c r="C117">
        <v>-2594000</v>
      </c>
      <c r="D117">
        <v>927170000</v>
      </c>
      <c r="E117">
        <v>109592000</v>
      </c>
    </row>
    <row r="118" spans="1:6" x14ac:dyDescent="0.25">
      <c r="A118" s="73" t="s">
        <v>149</v>
      </c>
      <c r="B118">
        <v>894356000</v>
      </c>
      <c r="C118">
        <v>-26161000</v>
      </c>
      <c r="D118">
        <v>934680000</v>
      </c>
      <c r="E118">
        <v>111502000</v>
      </c>
    </row>
    <row r="119" spans="1:6" x14ac:dyDescent="0.25">
      <c r="A119" s="73" t="s">
        <v>150</v>
      </c>
      <c r="B119">
        <v>798109000</v>
      </c>
      <c r="C119">
        <v>-44309000</v>
      </c>
      <c r="D119">
        <v>852850000</v>
      </c>
      <c r="E119">
        <v>101009000</v>
      </c>
    </row>
    <row r="120" spans="1:6" x14ac:dyDescent="0.25">
      <c r="A120" s="73" t="s">
        <v>151</v>
      </c>
      <c r="B120">
        <v>699400000</v>
      </c>
      <c r="C120">
        <v>-46100000</v>
      </c>
      <c r="D120">
        <v>885714290</v>
      </c>
      <c r="E120">
        <v>91700000</v>
      </c>
    </row>
    <row r="121" spans="1:6" x14ac:dyDescent="0.25">
      <c r="A121" s="73" t="s">
        <v>152</v>
      </c>
      <c r="B121">
        <v>606200000</v>
      </c>
      <c r="C121">
        <v>-30400000</v>
      </c>
      <c r="D121">
        <v>900000000</v>
      </c>
      <c r="E121">
        <v>96100000</v>
      </c>
    </row>
    <row r="122" spans="1:6" x14ac:dyDescent="0.25">
      <c r="A122" s="73" t="s">
        <v>153</v>
      </c>
      <c r="B122">
        <v>547400000</v>
      </c>
      <c r="C122">
        <v>-16400000</v>
      </c>
      <c r="D122">
        <v>794736840</v>
      </c>
      <c r="E122">
        <v>112500000</v>
      </c>
    </row>
    <row r="123" spans="1:6" x14ac:dyDescent="0.25">
      <c r="A123" s="73" t="s">
        <v>154</v>
      </c>
      <c r="B123">
        <v>486800000</v>
      </c>
      <c r="C123">
        <v>-12700000</v>
      </c>
      <c r="D123">
        <v>738461540</v>
      </c>
      <c r="E123">
        <v>24100000</v>
      </c>
    </row>
    <row r="124" spans="1:6" x14ac:dyDescent="0.25">
      <c r="A124" s="73" t="s">
        <v>155</v>
      </c>
      <c r="B124">
        <v>423400000</v>
      </c>
      <c r="C124">
        <v>-28500000</v>
      </c>
      <c r="D124">
        <v>738461540</v>
      </c>
      <c r="E124">
        <v>40200000</v>
      </c>
    </row>
    <row r="125" spans="1:6" x14ac:dyDescent="0.25">
      <c r="A125" s="73" t="s">
        <v>156</v>
      </c>
      <c r="B125">
        <v>366800000</v>
      </c>
      <c r="C125">
        <v>-32600000</v>
      </c>
      <c r="D125">
        <v>708333330</v>
      </c>
      <c r="E125">
        <v>48500000</v>
      </c>
    </row>
    <row r="126" spans="1:6" x14ac:dyDescent="0.25">
      <c r="A126" s="73" t="s">
        <v>157</v>
      </c>
      <c r="B126">
        <v>312300000</v>
      </c>
      <c r="C126">
        <v>-27800000</v>
      </c>
      <c r="D126">
        <v>699640000</v>
      </c>
      <c r="E126">
        <v>53000000</v>
      </c>
    </row>
    <row r="127" spans="1:6" x14ac:dyDescent="0.25">
      <c r="A127" s="73" t="s">
        <v>158</v>
      </c>
      <c r="B127">
        <v>260500000</v>
      </c>
      <c r="C127">
        <v>-23800000</v>
      </c>
      <c r="D127">
        <v>687500000</v>
      </c>
      <c r="E127">
        <v>67300000</v>
      </c>
    </row>
    <row r="128" spans="1:6" x14ac:dyDescent="0.25">
      <c r="A128" s="73" t="s">
        <v>159</v>
      </c>
      <c r="B128">
        <v>222100000</v>
      </c>
      <c r="C128">
        <v>-7800000</v>
      </c>
      <c r="D128">
        <v>687500000</v>
      </c>
      <c r="E128">
        <v>14300000</v>
      </c>
    </row>
    <row r="129" spans="1:5" x14ac:dyDescent="0.25">
      <c r="A129" s="73" t="s">
        <v>160</v>
      </c>
      <c r="B129">
        <v>193000000</v>
      </c>
      <c r="C129">
        <v>-10900000</v>
      </c>
      <c r="D129">
        <v>666666670</v>
      </c>
      <c r="E129">
        <v>19800000</v>
      </c>
    </row>
    <row r="130" spans="1:5" x14ac:dyDescent="0.25">
      <c r="A130" s="73" t="s">
        <v>161</v>
      </c>
      <c r="B130">
        <v>175300000</v>
      </c>
      <c r="C130">
        <v>-3600000</v>
      </c>
      <c r="D130">
        <v>775000000</v>
      </c>
      <c r="E130">
        <v>23000000</v>
      </c>
    </row>
    <row r="131" spans="1:5" x14ac:dyDescent="0.25">
      <c r="A131" s="73" t="s">
        <v>162</v>
      </c>
      <c r="B131">
        <v>165600000</v>
      </c>
      <c r="C131">
        <v>-6300000</v>
      </c>
      <c r="D131">
        <v>600000000</v>
      </c>
      <c r="E131">
        <v>25800000</v>
      </c>
    </row>
    <row r="132" spans="1:5" x14ac:dyDescent="0.25">
      <c r="A132" s="73" t="s">
        <v>163</v>
      </c>
      <c r="B132">
        <v>157900000</v>
      </c>
      <c r="C132">
        <v>-10700000</v>
      </c>
      <c r="D132">
        <v>600000000</v>
      </c>
      <c r="E132">
        <v>26300000</v>
      </c>
    </row>
    <row r="133" spans="1:5" x14ac:dyDescent="0.25">
      <c r="A133" s="73" t="s">
        <v>164</v>
      </c>
      <c r="B133">
        <v>152600000</v>
      </c>
      <c r="C133">
        <v>-2100000</v>
      </c>
      <c r="D133">
        <v>575000000</v>
      </c>
      <c r="E133">
        <v>12600000</v>
      </c>
    </row>
    <row r="134" spans="1:5" x14ac:dyDescent="0.25">
      <c r="A134" s="73" t="s">
        <v>165</v>
      </c>
      <c r="B134">
        <v>144000000</v>
      </c>
      <c r="C134">
        <v>-9900000</v>
      </c>
      <c r="D134">
        <v>525000000</v>
      </c>
      <c r="E134">
        <v>11900000</v>
      </c>
    </row>
    <row r="135" spans="1:5" x14ac:dyDescent="0.25">
      <c r="A135" s="73" t="s">
        <v>166</v>
      </c>
      <c r="B135">
        <v>138000000</v>
      </c>
      <c r="C135">
        <v>-13400000</v>
      </c>
      <c r="D135">
        <v>533333330</v>
      </c>
      <c r="E135">
        <v>12100000</v>
      </c>
    </row>
    <row r="136" spans="1:5" x14ac:dyDescent="0.25">
      <c r="A136" s="73" t="s">
        <v>167</v>
      </c>
      <c r="B136">
        <v>130500000</v>
      </c>
      <c r="C136">
        <v>-19600000</v>
      </c>
      <c r="D136">
        <v>533333330</v>
      </c>
      <c r="E136">
        <v>9800000</v>
      </c>
    </row>
    <row r="137" spans="1:5" x14ac:dyDescent="0.25">
      <c r="A137" s="73" t="s">
        <v>168</v>
      </c>
      <c r="B137">
        <v>130600000</v>
      </c>
      <c r="C137">
        <v>-21700000</v>
      </c>
      <c r="D137">
        <v>650000000</v>
      </c>
      <c r="E137">
        <v>10300000</v>
      </c>
    </row>
    <row r="138" spans="1:5" x14ac:dyDescent="0.25">
      <c r="A138" s="73" t="s">
        <v>169</v>
      </c>
      <c r="B138">
        <v>133200000</v>
      </c>
      <c r="C138">
        <v>-20000000</v>
      </c>
      <c r="D138">
        <v>600000000</v>
      </c>
      <c r="E138">
        <v>10400000</v>
      </c>
    </row>
    <row r="139" spans="1:5" x14ac:dyDescent="0.25">
      <c r="A139" s="73" t="s">
        <v>170</v>
      </c>
      <c r="B139">
        <v>137200000</v>
      </c>
      <c r="C139">
        <v>-5900000</v>
      </c>
      <c r="D139">
        <v>600000000</v>
      </c>
      <c r="E139">
        <v>15600000</v>
      </c>
    </row>
    <row r="140" spans="1:5" x14ac:dyDescent="0.25">
      <c r="A140" s="73" t="s">
        <v>171</v>
      </c>
      <c r="B140">
        <v>142200000</v>
      </c>
      <c r="C140">
        <v>500000</v>
      </c>
      <c r="D140">
        <v>600000000</v>
      </c>
      <c r="E140">
        <v>18100000</v>
      </c>
    </row>
    <row r="141" spans="1:5" x14ac:dyDescent="0.25">
      <c r="A141" s="73" t="s">
        <v>172</v>
      </c>
      <c r="B141">
        <v>140900000</v>
      </c>
      <c r="C141">
        <v>2000000</v>
      </c>
      <c r="D141">
        <v>575000000</v>
      </c>
      <c r="E141">
        <v>19800000</v>
      </c>
    </row>
    <row r="142" spans="1:5" x14ac:dyDescent="0.25">
      <c r="A142" s="73" t="s">
        <v>173</v>
      </c>
      <c r="B142">
        <v>137000000</v>
      </c>
      <c r="C142">
        <v>4300000</v>
      </c>
      <c r="D142">
        <v>575000000</v>
      </c>
      <c r="E142">
        <v>20900000</v>
      </c>
    </row>
    <row r="143" spans="1:5" x14ac:dyDescent="0.25">
      <c r="A143" s="73" t="s">
        <v>174</v>
      </c>
      <c r="B143">
        <v>126000000</v>
      </c>
      <c r="C143">
        <v>0</v>
      </c>
      <c r="D143">
        <v>476490000</v>
      </c>
      <c r="E143">
        <v>14600000</v>
      </c>
    </row>
    <row r="144" spans="1:5" x14ac:dyDescent="0.25">
      <c r="A144" s="73" t="s">
        <v>175</v>
      </c>
      <c r="B144">
        <v>116200000</v>
      </c>
      <c r="C144">
        <v>0</v>
      </c>
      <c r="D144">
        <v>476490000</v>
      </c>
    </row>
    <row r="145" spans="1:5" x14ac:dyDescent="0.25">
      <c r="A145" s="73" t="s">
        <v>176</v>
      </c>
      <c r="B145">
        <v>100400000</v>
      </c>
      <c r="C145">
        <v>0</v>
      </c>
      <c r="D145">
        <v>474080000</v>
      </c>
    </row>
    <row r="146" spans="1:5" x14ac:dyDescent="0.25">
      <c r="A146" s="73" t="s">
        <v>177</v>
      </c>
      <c r="B146">
        <v>80400000</v>
      </c>
      <c r="C146">
        <v>0</v>
      </c>
      <c r="D146">
        <v>469280000</v>
      </c>
    </row>
    <row r="147" spans="1:5" x14ac:dyDescent="0.25">
      <c r="A147" s="73" t="s">
        <v>178</v>
      </c>
      <c r="B147">
        <v>64500000</v>
      </c>
      <c r="C147">
        <v>0</v>
      </c>
      <c r="D147">
        <v>469280000</v>
      </c>
      <c r="E147">
        <v>11800000</v>
      </c>
    </row>
    <row r="148" spans="1:5" x14ac:dyDescent="0.25">
      <c r="A148" s="73" t="s">
        <v>179</v>
      </c>
      <c r="B148">
        <v>48300000</v>
      </c>
      <c r="C148">
        <v>0</v>
      </c>
      <c r="D148">
        <v>469280000</v>
      </c>
    </row>
    <row r="149" spans="1:5" x14ac:dyDescent="0.25">
      <c r="A149" s="73" t="s">
        <v>180</v>
      </c>
      <c r="B149">
        <v>37600000</v>
      </c>
      <c r="C149">
        <v>0</v>
      </c>
      <c r="D149">
        <v>341620000</v>
      </c>
    </row>
    <row r="150" spans="1:5" x14ac:dyDescent="0.25">
      <c r="A150" s="73" t="s">
        <v>181</v>
      </c>
      <c r="B150">
        <v>31500000</v>
      </c>
      <c r="C150">
        <v>0</v>
      </c>
      <c r="D150">
        <v>341620000</v>
      </c>
    </row>
    <row r="151" spans="1:5" x14ac:dyDescent="0.25">
      <c r="A151" s="73" t="s">
        <v>182</v>
      </c>
      <c r="B151">
        <v>25600000</v>
      </c>
      <c r="C151">
        <v>0</v>
      </c>
      <c r="D151">
        <v>341320000</v>
      </c>
      <c r="E151">
        <v>25700000</v>
      </c>
    </row>
    <row r="152" spans="1:5" x14ac:dyDescent="0.25">
      <c r="A152" s="73" t="s">
        <v>183</v>
      </c>
      <c r="B152">
        <v>25400000</v>
      </c>
      <c r="C152">
        <v>0</v>
      </c>
      <c r="D152">
        <v>341320000</v>
      </c>
    </row>
    <row r="153" spans="1:5" x14ac:dyDescent="0.25">
      <c r="A153" s="73" t="s">
        <v>184</v>
      </c>
      <c r="B153">
        <v>27800000</v>
      </c>
      <c r="C153">
        <v>0</v>
      </c>
      <c r="D153">
        <v>340870000</v>
      </c>
    </row>
    <row r="154" spans="1:5" x14ac:dyDescent="0.25">
      <c r="A154" s="73" t="s">
        <v>185</v>
      </c>
      <c r="B154">
        <v>31000000</v>
      </c>
      <c r="C154">
        <v>0</v>
      </c>
      <c r="D154">
        <v>339790000</v>
      </c>
    </row>
    <row r="155" spans="1:5" x14ac:dyDescent="0.25">
      <c r="A155" s="73" t="s">
        <v>186</v>
      </c>
      <c r="B155">
        <v>34400000</v>
      </c>
      <c r="C155">
        <v>0</v>
      </c>
      <c r="D155">
        <v>339160000</v>
      </c>
      <c r="E155">
        <v>23400000</v>
      </c>
    </row>
    <row r="156" spans="1:5" x14ac:dyDescent="0.25">
      <c r="A156" s="73" t="s">
        <v>187</v>
      </c>
      <c r="D156">
        <v>339160000</v>
      </c>
    </row>
    <row r="157" spans="1:5" x14ac:dyDescent="0.25">
      <c r="A157" s="73" t="s">
        <v>188</v>
      </c>
      <c r="D157">
        <v>337810000</v>
      </c>
    </row>
    <row r="158" spans="1:5" x14ac:dyDescent="0.25">
      <c r="A158" s="73" t="s">
        <v>189</v>
      </c>
      <c r="D158">
        <v>336310000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230</v>
      </c>
      <c r="C1" s="73" t="s">
        <v>231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232</v>
      </c>
      <c r="D2">
        <v>1.782399921748993</v>
      </c>
      <c r="E2">
        <v>0.16401689280616841</v>
      </c>
    </row>
    <row r="3" spans="1:5" x14ac:dyDescent="0.25">
      <c r="A3" s="73">
        <v>1</v>
      </c>
      <c r="B3">
        <v>3</v>
      </c>
      <c r="C3" t="s">
        <v>233</v>
      </c>
      <c r="D3">
        <v>1.894409190215212</v>
      </c>
      <c r="E3">
        <v>0.17175001301726439</v>
      </c>
    </row>
    <row r="4" spans="1:5" x14ac:dyDescent="0.25">
      <c r="A4" s="73">
        <v>2</v>
      </c>
      <c r="B4">
        <v>3</v>
      </c>
      <c r="C4" t="s">
        <v>234</v>
      </c>
      <c r="D4">
        <v>1.834734957389716</v>
      </c>
      <c r="E4">
        <v>0.16763010381453919</v>
      </c>
    </row>
    <row r="5" spans="1:5" x14ac:dyDescent="0.25">
      <c r="A5" s="73">
        <v>3</v>
      </c>
      <c r="B5">
        <v>5</v>
      </c>
      <c r="C5" t="s">
        <v>232</v>
      </c>
      <c r="D5">
        <v>1.4739898569799721</v>
      </c>
      <c r="E5">
        <v>0.14272426106391181</v>
      </c>
    </row>
    <row r="6" spans="1:5" x14ac:dyDescent="0.25">
      <c r="A6" s="73">
        <v>4</v>
      </c>
      <c r="B6">
        <v>5</v>
      </c>
      <c r="C6" t="s">
        <v>233</v>
      </c>
      <c r="D6">
        <v>1.8202663659877889</v>
      </c>
      <c r="E6">
        <v>0.16663119222330719</v>
      </c>
    </row>
    <row r="7" spans="1:5" x14ac:dyDescent="0.25">
      <c r="A7" s="73">
        <v>5</v>
      </c>
      <c r="B7">
        <v>5</v>
      </c>
      <c r="C7" t="s">
        <v>234</v>
      </c>
      <c r="D7">
        <v>1.6817844786150029</v>
      </c>
      <c r="E7">
        <v>0.1570704023281729</v>
      </c>
    </row>
    <row r="8" spans="1:5" x14ac:dyDescent="0.25">
      <c r="A8" s="73">
        <v>6</v>
      </c>
      <c r="B8" t="s">
        <v>228</v>
      </c>
      <c r="D8">
        <v>1.747930795156114</v>
      </c>
      <c r="E8">
        <v>0.161637144208894</v>
      </c>
    </row>
    <row r="9" spans="1:5" x14ac:dyDescent="0.25">
      <c r="A9" s="73">
        <v>7</v>
      </c>
      <c r="B9" t="s">
        <v>229</v>
      </c>
      <c r="D9">
        <v>1.8013331438683911</v>
      </c>
      <c r="E9">
        <v>0.16532404251473781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2024-10-17T21:19:58Z</dcterms:modified>
</cp:coreProperties>
</file>