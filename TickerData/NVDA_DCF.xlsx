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38" documentId="11_3EDEF1AE7CF486A9E920C0D853E04BFDDB9F6B61" xr6:coauthVersionLast="47" xr6:coauthVersionMax="47" xr10:uidLastSave="{0984F9BD-C36D-4655-B169-607C6A6EC688}"/>
  <bookViews>
    <workbookView xWindow="-120" yWindow="-120" windowWidth="29040" windowHeight="15720" firstSheet="1" activeTab="1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3" l="1"/>
  <c r="N5" i="3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P3" i="5"/>
  <c r="O3" i="5"/>
  <c r="O32" i="5" s="1"/>
  <c r="L3" i="5"/>
  <c r="K3" i="5"/>
  <c r="K32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F10" i="3"/>
  <c r="F11" i="3" s="1"/>
  <c r="M5" i="3"/>
  <c r="L5" i="3"/>
  <c r="G4" i="3"/>
  <c r="I3" i="3"/>
  <c r="K1" i="3"/>
  <c r="K10" i="3" s="1"/>
  <c r="J1" i="3"/>
  <c r="J7" i="3" s="1"/>
  <c r="I1" i="3"/>
  <c r="I7" i="3" s="1"/>
  <c r="H1" i="3"/>
  <c r="H3" i="3" s="1"/>
  <c r="G1" i="3"/>
  <c r="G3" i="3" s="1"/>
  <c r="F1" i="3"/>
  <c r="F4" i="3" s="1"/>
  <c r="E1" i="3"/>
  <c r="E10" i="3" s="1"/>
  <c r="E11" i="3" s="1"/>
  <c r="D1" i="3"/>
  <c r="D10" i="3" s="1"/>
  <c r="P5" i="3" l="1"/>
  <c r="Q5" i="3" s="1"/>
  <c r="R5" i="3" s="1"/>
  <c r="S5" i="3" s="1"/>
  <c r="T5" i="3" s="1"/>
  <c r="U5" i="3" s="1"/>
  <c r="C21" i="3"/>
  <c r="C20" i="3"/>
  <c r="I13" i="3"/>
  <c r="I8" i="3"/>
  <c r="G5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L1" i="3"/>
  <c r="J3" i="3"/>
  <c r="H4" i="3"/>
  <c r="H5" i="3" s="1"/>
  <c r="D7" i="3"/>
  <c r="G10" i="3"/>
  <c r="G11" i="3" s="1"/>
  <c r="G31" i="5"/>
  <c r="K7" i="3"/>
  <c r="K3" i="3"/>
  <c r="I4" i="3"/>
  <c r="E7" i="3"/>
  <c r="H10" i="3"/>
  <c r="K31" i="5"/>
  <c r="D3" i="3"/>
  <c r="J4" i="3"/>
  <c r="J8" i="3" s="1"/>
  <c r="F7" i="3"/>
  <c r="I10" i="3"/>
  <c r="O31" i="5"/>
  <c r="E3" i="3"/>
  <c r="K4" i="3"/>
  <c r="G7" i="3"/>
  <c r="J10" i="3"/>
  <c r="J11" i="3" s="1"/>
  <c r="F3" i="3"/>
  <c r="D4" i="3"/>
  <c r="H7" i="3"/>
  <c r="E4" i="3"/>
  <c r="E5" i="3" s="1"/>
  <c r="G8" i="3" l="1"/>
  <c r="G13" i="3"/>
  <c r="E8" i="3"/>
  <c r="E13" i="3"/>
  <c r="L3" i="3"/>
  <c r="M1" i="3"/>
  <c r="K11" i="3"/>
  <c r="H11" i="3"/>
  <c r="I11" i="3"/>
  <c r="F8" i="3"/>
  <c r="F13" i="3"/>
  <c r="K8" i="3"/>
  <c r="K13" i="3"/>
  <c r="F5" i="3"/>
  <c r="D8" i="3"/>
  <c r="D13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I5" i="3"/>
  <c r="H13" i="3"/>
  <c r="H8" i="3"/>
  <c r="J5" i="3"/>
  <c r="J13" i="3"/>
  <c r="M11" i="3" l="1"/>
  <c r="N11" i="3" s="1"/>
  <c r="O11" i="3" s="1"/>
  <c r="P11" i="3" s="1"/>
  <c r="Q11" i="3" s="1"/>
  <c r="R11" i="3" s="1"/>
  <c r="S11" i="3" s="1"/>
  <c r="T11" i="3" s="1"/>
  <c r="U11" i="3" s="1"/>
  <c r="L10" i="3"/>
  <c r="M3" i="3"/>
  <c r="N1" i="3"/>
  <c r="M8" i="3"/>
  <c r="L7" i="3"/>
  <c r="L13" i="3" l="1"/>
  <c r="L14" i="3" s="1"/>
  <c r="M10" i="3"/>
  <c r="N10" i="3" s="1"/>
  <c r="O10" i="3" s="1"/>
  <c r="P10" i="3" s="1"/>
  <c r="Q10" i="3" s="1"/>
  <c r="R10" i="3" s="1"/>
  <c r="S10" i="3" s="1"/>
  <c r="T10" i="3" s="1"/>
  <c r="U10" i="3" s="1"/>
  <c r="V10" i="3" s="1"/>
  <c r="N8" i="3"/>
  <c r="M7" i="3"/>
  <c r="N3" i="3"/>
  <c r="O1" i="3"/>
  <c r="M13" i="3" l="1"/>
  <c r="M14" i="3" s="1"/>
  <c r="O3" i="3"/>
  <c r="P1" i="3"/>
  <c r="O8" i="3"/>
  <c r="N7" i="3"/>
  <c r="N13" i="3" s="1"/>
  <c r="N14" i="3" s="1"/>
  <c r="P3" i="3" l="1"/>
  <c r="Q1" i="3"/>
  <c r="O7" i="3"/>
  <c r="O13" i="3" s="1"/>
  <c r="O14" i="3" s="1"/>
  <c r="P8" i="3"/>
  <c r="P7" i="3" l="1"/>
  <c r="P13" i="3" s="1"/>
  <c r="P14" i="3" s="1"/>
  <c r="Q8" i="3"/>
  <c r="R1" i="3"/>
  <c r="Q3" i="3"/>
  <c r="S1" i="3" l="1"/>
  <c r="R3" i="3"/>
  <c r="Q7" i="3"/>
  <c r="Q13" i="3" s="1"/>
  <c r="Q14" i="3" s="1"/>
  <c r="R8" i="3"/>
  <c r="R7" i="3" l="1"/>
  <c r="R13" i="3" s="1"/>
  <c r="R14" i="3" s="1"/>
  <c r="S8" i="3"/>
  <c r="S3" i="3"/>
  <c r="T1" i="3"/>
  <c r="T3" i="3" l="1"/>
  <c r="U1" i="3"/>
  <c r="U3" i="3" s="1"/>
  <c r="T8" i="3"/>
  <c r="S7" i="3"/>
  <c r="S13" i="3" s="1"/>
  <c r="S14" i="3" s="1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8" i="3" l="1"/>
  <c r="L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<sst xmlns="http://schemas.openxmlformats.org/spreadsheetml/2006/main" count="199" uniqueCount="177">
  <si>
    <t>This sheet contains FactSet XML data for use with this workbook's =FDS codes.  Modifying the worksheet's contents may damage the workbook's =FDS functionality.</t>
  </si>
  <si>
    <t>NVDA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</si>
  <si>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</si>
  <si>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</si>
  <si>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</si>
  <si>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</si>
  <si>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</si>
  <si>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</si>
  <si>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</si>
  <si>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</si>
  <si>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</si>
  <si>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</si>
  <si>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</si>
  <si>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</si>
  <si>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</si>
  <si>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</si>
  <si>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</si>
  <si>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</si>
  <si>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</si>
  <si>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</si>
  <si>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</si>
  <si>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</si>
  <si>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</si>
  <si>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</si>
  <si>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</si>
  <si>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</si>
  <si>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</si>
  <si>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</si>
  <si>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</si>
  <si>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</si>
  <si>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</si>
  <si>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</si>
  <si>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</si>
  <si>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2024-10-28</t>
  </si>
  <si>
    <t>2024-07-28</t>
  </si>
  <si>
    <t>2024-04-28</t>
  </si>
  <si>
    <t>2024-01-28</t>
  </si>
  <si>
    <t>2023-10-29</t>
  </si>
  <si>
    <t>2023-07-30</t>
  </si>
  <si>
    <t>2023-04-30</t>
  </si>
  <si>
    <t>2023-01-29</t>
  </si>
  <si>
    <t>2022-10-30</t>
  </si>
  <si>
    <t>2022-07-31</t>
  </si>
  <si>
    <t>2022-05-01</t>
  </si>
  <si>
    <t>2022-01-30</t>
  </si>
  <si>
    <t>2021-10-31</t>
  </si>
  <si>
    <t>2021-08-01</t>
  </si>
  <si>
    <t>2021-05-02</t>
  </si>
  <si>
    <t>2021-01-31</t>
  </si>
  <si>
    <t>2020-10-25</t>
  </si>
  <si>
    <t>2020-07-26</t>
  </si>
  <si>
    <t>2020-04-26</t>
  </si>
  <si>
    <t>2020-01-26</t>
  </si>
  <si>
    <t>2019-10-27</t>
  </si>
  <si>
    <t>2019-07-28</t>
  </si>
  <si>
    <t>2019-04-28</t>
  </si>
  <si>
    <t>2019-01-27</t>
  </si>
  <si>
    <t>2018-10-28</t>
  </si>
  <si>
    <t>2018-07-29</t>
  </si>
  <si>
    <t>2018-04-29</t>
  </si>
  <si>
    <t>2018-01-28</t>
  </si>
  <si>
    <t>2017-10-29</t>
  </si>
  <si>
    <t>2017-07-30</t>
  </si>
  <si>
    <t>2017-04-30</t>
  </si>
  <si>
    <t>2017-01-29</t>
  </si>
  <si>
    <t>2016-10-30</t>
  </si>
  <si>
    <t>2016-07-31</t>
  </si>
  <si>
    <t>2016-05-01</t>
  </si>
  <si>
    <t>2016-01-31</t>
  </si>
  <si>
    <t>2015-10-25</t>
  </si>
  <si>
    <t>2015-07-26</t>
  </si>
  <si>
    <t>2015-04-26</t>
  </si>
  <si>
    <t>2015-01-25</t>
  </si>
  <si>
    <t>2014-10-26</t>
  </si>
  <si>
    <t>2014-07-27</t>
  </si>
  <si>
    <t>2014-04-27</t>
  </si>
  <si>
    <t>2014-01-26</t>
  </si>
  <si>
    <t>2013-10-27</t>
  </si>
  <si>
    <t>2013-07-28</t>
  </si>
  <si>
    <t>2013-04-28</t>
  </si>
  <si>
    <t>2013-01-27</t>
  </si>
  <si>
    <t>2012-10-28</t>
  </si>
  <si>
    <t>2012-07-29</t>
  </si>
  <si>
    <t>2012-04-29</t>
  </si>
  <si>
    <t>2012-01-29</t>
  </si>
  <si>
    <t>2011-10-30</t>
  </si>
  <si>
    <t>2011-07-31</t>
  </si>
  <si>
    <t>2011-05-01</t>
  </si>
  <si>
    <t>2011-01-30</t>
  </si>
  <si>
    <t>2010-10-31</t>
  </si>
  <si>
    <t>2010-08-01</t>
  </si>
  <si>
    <t>2010-05-02</t>
  </si>
  <si>
    <t>2010-01-31</t>
  </si>
  <si>
    <t>2009-10-25</t>
  </si>
  <si>
    <t>2009-07-26</t>
  </si>
  <si>
    <t>2009-04-26</t>
  </si>
  <si>
    <t>2009-01-25</t>
  </si>
  <si>
    <t>2008-10-31</t>
  </si>
  <si>
    <t>2008-07-31</t>
  </si>
  <si>
    <t>2008-04-27</t>
  </si>
  <si>
    <t>2008-01-31</t>
  </si>
  <si>
    <t>2007-10-31</t>
  </si>
  <si>
    <t>2007-07-31</t>
  </si>
  <si>
    <t>2007-04-29</t>
  </si>
  <si>
    <t>2007-01-28</t>
  </si>
  <si>
    <t>2006-10-29</t>
  </si>
  <si>
    <t>2006-07-30</t>
  </si>
  <si>
    <t>2006-04-30</t>
  </si>
  <si>
    <t>2006-01-29</t>
  </si>
  <si>
    <t>2005-10-30</t>
  </si>
  <si>
    <t>2005-07-31</t>
  </si>
  <si>
    <t>2005-05-01</t>
  </si>
  <si>
    <t>2005-01-30</t>
  </si>
  <si>
    <t>2004-10-24</t>
  </si>
  <si>
    <t>2004-07-25</t>
  </si>
  <si>
    <t>2004-04-25</t>
  </si>
  <si>
    <t>2004-01-25</t>
  </si>
  <si>
    <t>2003-10-26</t>
  </si>
  <si>
    <t>2003-07-27</t>
  </si>
  <si>
    <t>2003-04-27</t>
  </si>
  <si>
    <t>2003-01-26</t>
  </si>
  <si>
    <t>2002-10-27</t>
  </si>
  <si>
    <t>2002-07-28</t>
  </si>
  <si>
    <t>2002-04-28</t>
  </si>
  <si>
    <t>2002-01-27</t>
  </si>
  <si>
    <t>2001-10-28</t>
  </si>
  <si>
    <t>2001-07-29</t>
  </si>
  <si>
    <t>2001-04-29</t>
  </si>
  <si>
    <t>2001-01-28</t>
  </si>
  <si>
    <t>2000-10-29</t>
  </si>
  <si>
    <t>2000-07-30</t>
  </si>
  <si>
    <t>2000-04-30</t>
  </si>
  <si>
    <t>2000-01-30</t>
  </si>
  <si>
    <t>1999-10-31</t>
  </si>
  <si>
    <t>1999-08-01</t>
  </si>
  <si>
    <t>1999-05-02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</si>
  <si>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</si>
  <si>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</si>
  <si>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</si>
  <si>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</si>
  <si>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</si>
  <si>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</si>
  <si>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</si>
  <si>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</si>
  <si>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</si>
  <si>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</si>
  <si>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</si>
  <si>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</si>
  <si>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</si>
  <si>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</si>
  <si>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</si>
  <si>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</si>
  <si>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</si>
  <si>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2022-04-30</t>
  </si>
  <si>
    <t>2022-01-31</t>
  </si>
  <si>
    <t>add more to show the return, and also the market cap valuations</t>
  </si>
  <si>
    <t>2021-07-31</t>
  </si>
  <si>
    <t>2021-04-30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</si>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</sst>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20.7109375" bestFit="1" customWidth="1"/>
    <col min="2" max="2" width="12" bestFit="1" customWidth="1"/>
  </cols>
  <sheetData>
    <row r="1" spans="1:2" x14ac:dyDescent="0.25">
      <c r="B1" s="73" t="s">
        <v>1</v>
      </c>
    </row>
    <row r="2" spans="1:2" x14ac:dyDescent="0.25">
      <c r="A2" s="73" t="s">
        <v>2</v>
      </c>
      <c r="B2">
        <v>27070000000</v>
      </c>
    </row>
    <row r="3" spans="1:2" x14ac:dyDescent="0.25">
      <c r="A3" s="73" t="s">
        <v>3</v>
      </c>
      <c r="B3">
        <v>8461000000</v>
      </c>
    </row>
    <row r="4" spans="1:2" x14ac:dyDescent="0.25">
      <c r="A4" s="73" t="s">
        <v>4</v>
      </c>
      <c r="B4">
        <v>0.1270077156324117</v>
      </c>
    </row>
    <row r="5" spans="1:2" x14ac:dyDescent="0.25">
      <c r="A5" s="73" t="s">
        <v>5</v>
      </c>
      <c r="B5">
        <v>2.966552416971989E-2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58157000000</v>
      </c>
    </row>
    <row r="8" spans="1:2" x14ac:dyDescent="0.25">
      <c r="A8" s="73" t="s">
        <v>8</v>
      </c>
      <c r="B8">
        <v>0.87299228436758836</v>
      </c>
    </row>
    <row r="9" spans="1:2" x14ac:dyDescent="0.25">
      <c r="A9" s="73" t="s">
        <v>9</v>
      </c>
      <c r="B9">
        <v>0.17738383464088639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1.972770812697954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0.157831241874719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opLeftCell="A2" zoomScale="85" zoomScaleNormal="85" workbookViewId="0">
      <selection activeCell="L4" sqref="L4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hidden="1" customWidth="1" outlineLevel="1"/>
    <col min="12" max="12" width="10.5703125" customWidth="1" collapsed="1"/>
    <col min="13" max="20" width="10.5703125" customWidth="1"/>
    <col min="21" max="22" width="11.5703125" bestFit="1" customWidth="1"/>
  </cols>
  <sheetData>
    <row r="1" spans="2:22" hidden="1" outlineLevel="1" x14ac:dyDescent="0.25">
      <c r="C1" s="28"/>
      <c r="D1" s="66" t="str">
        <f>Python!A31</f>
        <v>2017-07-30</v>
      </c>
      <c r="E1" s="66" t="str">
        <f>Python!A27</f>
        <v>2018-07-29</v>
      </c>
      <c r="F1" s="66" t="str">
        <f>Python!A23</f>
        <v>2019-07-28</v>
      </c>
      <c r="G1" s="66" t="str">
        <f>Python!A19</f>
        <v>2020-07-26</v>
      </c>
      <c r="H1" s="66" t="str">
        <f>Python!A15</f>
        <v>2021-08-01</v>
      </c>
      <c r="I1" s="66" t="str">
        <f>Python!A11</f>
        <v>2022-07-31</v>
      </c>
      <c r="J1" s="66" t="str">
        <f>Python!A7</f>
        <v>2023-07-30</v>
      </c>
      <c r="K1" s="66" t="str">
        <f>Python!A3</f>
        <v>2024-07-28</v>
      </c>
      <c r="L1" s="28">
        <f t="shared" ref="L1:U1" si="0">EDATE(K1, 12)</f>
        <v>45866</v>
      </c>
      <c r="M1" s="28">
        <f t="shared" si="0"/>
        <v>46231</v>
      </c>
      <c r="N1" s="28">
        <f t="shared" si="0"/>
        <v>46596</v>
      </c>
      <c r="O1" s="28">
        <f t="shared" si="0"/>
        <v>46962</v>
      </c>
      <c r="P1" s="28">
        <f t="shared" si="0"/>
        <v>47327</v>
      </c>
      <c r="Q1" s="28">
        <f t="shared" si="0"/>
        <v>47692</v>
      </c>
      <c r="R1" s="28">
        <f t="shared" si="0"/>
        <v>48057</v>
      </c>
      <c r="S1" s="28">
        <f t="shared" si="0"/>
        <v>48423</v>
      </c>
      <c r="T1" s="28">
        <f t="shared" si="0"/>
        <v>48788</v>
      </c>
      <c r="U1" s="28">
        <f t="shared" si="0"/>
        <v>49153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8344</v>
      </c>
      <c r="E4" s="36">
        <f>IFERROR(INDEX(Python!$1:$1048576,MATCH(DCF_Simple!E$1,Python!$A:$A,0),MATCH(DCF_Simple!$B4,Python!$1:$1,0))/1000000,0)</f>
        <v>11877</v>
      </c>
      <c r="F4" s="36">
        <f>IFERROR(INDEX(Python!$1:$1048576,MATCH(DCF_Simple!F$1,Python!$A:$A,0),MATCH(DCF_Simple!$B4,Python!$1:$1,0))/1000000,0)</f>
        <v>10185</v>
      </c>
      <c r="G4" s="36">
        <f>IFERROR(INDEX(Python!$1:$1048576,MATCH(DCF_Simple!G$1,Python!$A:$A,0),MATCH(DCF_Simple!$B4,Python!$1:$1,0))/1000000,0)</f>
        <v>13065</v>
      </c>
      <c r="H4" s="36">
        <f>IFERROR(INDEX(Python!$1:$1048576,MATCH(DCF_Simple!H$1,Python!$A:$A,0),MATCH(DCF_Simple!$B4,Python!$1:$1,0))/1000000,0)</f>
        <v>21897</v>
      </c>
      <c r="I4" s="36">
        <f>IFERROR(INDEX(Python!$1:$1048576,MATCH(DCF_Simple!I$1,Python!$A:$A,0),MATCH(DCF_Simple!$B4,Python!$1:$1,0))/1000000,0)</f>
        <v>29738</v>
      </c>
      <c r="J4" s="36">
        <f>IFERROR(INDEX(Python!$1:$1048576,MATCH(DCF_Simple!J$1,Python!$A:$A,0),MATCH(DCF_Simple!$B4,Python!$1:$1,0))/1000000,0)</f>
        <v>32681</v>
      </c>
      <c r="K4" s="55">
        <f>IFERROR(INDEX(Python!$1:$1048576,MATCH(DCF_Simple!K$1,Python!$A:$A,0),MATCH(DCF_Simple!$B4,Python!$1:$1,0))/1000000,0)</f>
        <v>96307</v>
      </c>
      <c r="L4" s="37">
        <f t="shared" ref="L4:U4" si="2">K4*(1+L5)</f>
        <v>174883.8387803532</v>
      </c>
      <c r="M4" s="36">
        <f t="shared" si="2"/>
        <v>246227.66220509433</v>
      </c>
      <c r="N4" s="36">
        <f t="shared" si="2"/>
        <v>296451.92242593225</v>
      </c>
      <c r="O4" s="36">
        <f t="shared" si="2"/>
        <v>356920.670581799</v>
      </c>
      <c r="P4" s="36">
        <f t="shared" si="2"/>
        <v>429723.52496850392</v>
      </c>
      <c r="Q4" s="36">
        <f t="shared" si="2"/>
        <v>517376.33354310185</v>
      </c>
      <c r="R4" s="36">
        <f t="shared" si="2"/>
        <v>622908.11407200038</v>
      </c>
      <c r="S4" s="36">
        <f t="shared" si="2"/>
        <v>749965.72788618167</v>
      </c>
      <c r="T4" s="36">
        <f t="shared" si="2"/>
        <v>902939.90445409133</v>
      </c>
      <c r="U4" s="36">
        <f t="shared" si="2"/>
        <v>1087116.9718028735</v>
      </c>
      <c r="V4" s="19">
        <f>U4</f>
        <v>1087116.9718028735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0.42341802492809211</v>
      </c>
      <c r="F5" s="42">
        <f t="shared" si="3"/>
        <v>-0.14246021722657232</v>
      </c>
      <c r="G5" s="42">
        <f t="shared" si="3"/>
        <v>0.28276877761413854</v>
      </c>
      <c r="H5" s="42">
        <f t="shared" si="3"/>
        <v>0.67600459242250288</v>
      </c>
      <c r="I5" s="42">
        <f t="shared" si="3"/>
        <v>0.35808558249988587</v>
      </c>
      <c r="J5" s="42">
        <f t="shared" si="3"/>
        <v>9.8964288116214938E-2</v>
      </c>
      <c r="K5" s="58">
        <f t="shared" si="3"/>
        <v>1.9468804504146142</v>
      </c>
      <c r="L5" s="43">
        <f>Python!F2</f>
        <v>0.81589955849889617</v>
      </c>
      <c r="M5" s="43">
        <f>L5/2</f>
        <v>0.40794977924944809</v>
      </c>
      <c r="N5" s="38">
        <f>M5/2</f>
        <v>0.20397488962472404</v>
      </c>
      <c r="O5" s="38">
        <f t="shared" ref="O5:U5" si="4">N5</f>
        <v>0.20397488962472404</v>
      </c>
      <c r="P5" s="38">
        <f t="shared" si="4"/>
        <v>0.20397488962472404</v>
      </c>
      <c r="Q5" s="38">
        <f t="shared" si="4"/>
        <v>0.20397488962472404</v>
      </c>
      <c r="R5" s="38">
        <f t="shared" si="4"/>
        <v>0.20397488962472404</v>
      </c>
      <c r="S5" s="38">
        <f t="shared" si="4"/>
        <v>0.20397488962472404</v>
      </c>
      <c r="T5" s="38">
        <f t="shared" si="4"/>
        <v>0.20397488962472404</v>
      </c>
      <c r="U5" s="38">
        <f t="shared" si="4"/>
        <v>0.20397488962472404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1969</v>
      </c>
      <c r="E7" s="52">
        <f>IFERROR(INDEX(Python!$1:$1048576,MATCH(DCF_Simple!E$1,Python!$A:$A,0),MATCH(DCF_Simple!$B7,Python!$1:$1,0))/1000000,0)</f>
        <v>4141</v>
      </c>
      <c r="F7" s="52">
        <f>IFERROR(INDEX(Python!$1:$1048576,MATCH(DCF_Simple!F$1,Python!$A:$A,0),MATCH(DCF_Simple!$B7,Python!$1:$1,0))/1000000,0)</f>
        <v>2447</v>
      </c>
      <c r="G7" s="52">
        <f>IFERROR(INDEX(Python!$1:$1048576,MATCH(DCF_Simple!G$1,Python!$A:$A,0),MATCH(DCF_Simple!$B7,Python!$1:$1,0))/1000000,0)</f>
        <v>4962</v>
      </c>
      <c r="H7" s="52">
        <f>IFERROR(INDEX(Python!$1:$1048576,MATCH(DCF_Simple!H$1,Python!$A:$A,0),MATCH(DCF_Simple!$B7,Python!$1:$1,0))/1000000,0)</f>
        <v>6665</v>
      </c>
      <c r="I7" s="52">
        <f>IFERROR(INDEX(Python!$1:$1048576,MATCH(DCF_Simple!I$1,Python!$A:$A,0),MATCH(DCF_Simple!$B7,Python!$1:$1,0))/1000000,0)</f>
        <v>6265</v>
      </c>
      <c r="J7" s="52">
        <f>IFERROR(INDEX(Python!$1:$1048576,MATCH(DCF_Simple!J$1,Python!$A:$A,0),MATCH(DCF_Simple!$B7,Python!$1:$1,0))/1000000,0)</f>
        <v>10324</v>
      </c>
      <c r="K7" s="57">
        <f>IFERROR(INDEX(Python!$1:$1048576,MATCH(DCF_Simple!K$1,Python!$A:$A,0),MATCH(DCF_Simple!$B7,Python!$1:$1,0))/1000000,0)</f>
        <v>46786</v>
      </c>
      <c r="L7" s="64">
        <f t="shared" ref="L7:U7" si="5">L8*L4</f>
        <v>61209.343573123617</v>
      </c>
      <c r="M7" s="64">
        <f t="shared" si="5"/>
        <v>86179.681771783013</v>
      </c>
      <c r="N7" s="64">
        <f t="shared" si="5"/>
        <v>103758.17284907628</v>
      </c>
      <c r="O7" s="64">
        <f t="shared" si="5"/>
        <v>124922.23470362964</v>
      </c>
      <c r="P7" s="64">
        <f t="shared" si="5"/>
        <v>150403.23373897636</v>
      </c>
      <c r="Q7" s="64">
        <f t="shared" si="5"/>
        <v>181081.71674008563</v>
      </c>
      <c r="R7" s="64">
        <f t="shared" si="5"/>
        <v>218017.83992520013</v>
      </c>
      <c r="S7" s="64">
        <f t="shared" si="5"/>
        <v>262488.00476016355</v>
      </c>
      <c r="T7" s="64">
        <f t="shared" si="5"/>
        <v>316028.96655893192</v>
      </c>
      <c r="U7" s="64">
        <f t="shared" si="5"/>
        <v>380490.94013100571</v>
      </c>
      <c r="V7" s="65">
        <f>U7</f>
        <v>380490.94013100571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0.23597794822627038</v>
      </c>
      <c r="E8" s="42">
        <f t="shared" si="6"/>
        <v>0.3486570682832365</v>
      </c>
      <c r="F8" s="42">
        <f t="shared" si="6"/>
        <v>0.24025527736867944</v>
      </c>
      <c r="G8" s="42">
        <f t="shared" si="6"/>
        <v>0.37979334098737083</v>
      </c>
      <c r="H8" s="42">
        <f t="shared" si="6"/>
        <v>0.30437959537836234</v>
      </c>
      <c r="I8" s="42">
        <f t="shared" si="6"/>
        <v>0.2106732127244603</v>
      </c>
      <c r="J8" s="42">
        <f t="shared" si="6"/>
        <v>0.31590220617484166</v>
      </c>
      <c r="K8" s="58">
        <f t="shared" si="6"/>
        <v>0.48580061677759662</v>
      </c>
      <c r="L8" s="38">
        <v>0.35</v>
      </c>
      <c r="M8" s="38">
        <f t="shared" ref="M8:U8" si="7">L8</f>
        <v>0.35</v>
      </c>
      <c r="N8" s="38">
        <f t="shared" si="7"/>
        <v>0.35</v>
      </c>
      <c r="O8" s="38">
        <f t="shared" si="7"/>
        <v>0.35</v>
      </c>
      <c r="P8" s="38">
        <f t="shared" si="7"/>
        <v>0.35</v>
      </c>
      <c r="Q8" s="38">
        <f t="shared" si="7"/>
        <v>0.35</v>
      </c>
      <c r="R8" s="38">
        <f t="shared" si="7"/>
        <v>0.35</v>
      </c>
      <c r="S8" s="38">
        <f t="shared" si="7"/>
        <v>0.35</v>
      </c>
      <c r="T8" s="38">
        <f t="shared" si="7"/>
        <v>0.35</v>
      </c>
      <c r="U8" s="38">
        <f t="shared" si="7"/>
        <v>0.35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25320</v>
      </c>
      <c r="E10" s="17">
        <f>IFERROR(INDEX(Python!$1:$1048576,MATCH(DCF_Simple!E$1,Python!$A:$A,0),MATCH(DCF_Simple!$B10,Python!$1:$1,0))/1000000,0)</f>
        <v>25040</v>
      </c>
      <c r="F10" s="17">
        <f>IFERROR(INDEX(Python!$1:$1048576,MATCH(DCF_Simple!F$1,Python!$A:$A,0),MATCH(DCF_Simple!$B10,Python!$1:$1,0))/1000000,0)</f>
        <v>24640</v>
      </c>
      <c r="G10" s="17">
        <f>IFERROR(INDEX(Python!$1:$1048576,MATCH(DCF_Simple!G$1,Python!$A:$A,0),MATCH(DCF_Simple!$B10,Python!$1:$1,0))/1000000,0)</f>
        <v>25040</v>
      </c>
      <c r="H10" s="17">
        <f>IFERROR(INDEX(Python!$1:$1048576,MATCH(DCF_Simple!H$1,Python!$A:$A,0),MATCH(DCF_Simple!$B10,Python!$1:$1,0))/1000000,0)</f>
        <v>25320</v>
      </c>
      <c r="I10" s="17">
        <f>IFERROR(INDEX(Python!$1:$1048576,MATCH(DCF_Simple!I$1,Python!$A:$A,0),MATCH(DCF_Simple!$B10,Python!$1:$1,0))/1000000,0)</f>
        <v>25160</v>
      </c>
      <c r="J10" s="17">
        <f>IFERROR(INDEX(Python!$1:$1048576,MATCH(DCF_Simple!J$1,Python!$A:$A,0),MATCH(DCF_Simple!$B10,Python!$1:$1,0))/1000000,0)</f>
        <v>24990</v>
      </c>
      <c r="K10" s="69">
        <f>IFERROR(INDEX(Python!$1:$1048576,MATCH(DCF_Simple!K$1,Python!$A:$A,0),MATCH(DCF_Simple!$B10,Python!$1:$1,0))/1000000,0)</f>
        <v>24848</v>
      </c>
      <c r="L10" s="17">
        <f t="shared" ref="L10:U10" si="8">K10*(1+L11)</f>
        <v>24599.52</v>
      </c>
      <c r="M10" s="17">
        <f t="shared" si="8"/>
        <v>24353.524799999999</v>
      </c>
      <c r="N10" s="17">
        <f t="shared" si="8"/>
        <v>24109.989551999999</v>
      </c>
      <c r="O10" s="17">
        <f t="shared" si="8"/>
        <v>23868.889656479998</v>
      </c>
      <c r="P10" s="17">
        <f t="shared" si="8"/>
        <v>23630.200759915198</v>
      </c>
      <c r="Q10" s="17">
        <f t="shared" si="8"/>
        <v>23393.898752316047</v>
      </c>
      <c r="R10" s="17">
        <f t="shared" si="8"/>
        <v>23159.959764792886</v>
      </c>
      <c r="S10" s="17">
        <f t="shared" si="8"/>
        <v>22928.360167144958</v>
      </c>
      <c r="T10" s="17">
        <f t="shared" si="8"/>
        <v>22699.076565473508</v>
      </c>
      <c r="U10" s="17">
        <f t="shared" si="8"/>
        <v>22472.085799818771</v>
      </c>
      <c r="V10" s="70">
        <f>U10</f>
        <v>22472.085799818771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-1.1058451816745696E-2</v>
      </c>
      <c r="F11" s="42">
        <f t="shared" si="9"/>
        <v>-1.5974440894568676E-2</v>
      </c>
      <c r="G11" s="42">
        <f t="shared" si="9"/>
        <v>1.6233766233766156E-2</v>
      </c>
      <c r="H11" s="42">
        <f t="shared" si="9"/>
        <v>1.1182108626198062E-2</v>
      </c>
      <c r="I11" s="42">
        <f t="shared" si="9"/>
        <v>-6.3191153238546516E-3</v>
      </c>
      <c r="J11" s="42">
        <f t="shared" si="9"/>
        <v>-6.7567567567567988E-3</v>
      </c>
      <c r="K11" s="58">
        <f t="shared" si="9"/>
        <v>-5.682272909163677E-3</v>
      </c>
      <c r="L11" s="67">
        <v>-0.01</v>
      </c>
      <c r="M11" s="67">
        <f t="shared" ref="L11:U11" si="10">L11</f>
        <v>-0.01</v>
      </c>
      <c r="N11" s="67">
        <f t="shared" si="10"/>
        <v>-0.01</v>
      </c>
      <c r="O11" s="67">
        <f t="shared" si="10"/>
        <v>-0.01</v>
      </c>
      <c r="P11" s="67">
        <f t="shared" si="10"/>
        <v>-0.01</v>
      </c>
      <c r="Q11" s="67">
        <f t="shared" si="10"/>
        <v>-0.01</v>
      </c>
      <c r="R11" s="67">
        <f t="shared" si="10"/>
        <v>-0.01</v>
      </c>
      <c r="S11" s="67">
        <f t="shared" si="10"/>
        <v>-0.01</v>
      </c>
      <c r="T11" s="67">
        <f t="shared" si="10"/>
        <v>-0.01</v>
      </c>
      <c r="U11" s="67">
        <f t="shared" si="10"/>
        <v>-0.01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7.7764612954186407E-2</v>
      </c>
      <c r="E13" s="53">
        <f t="shared" si="11"/>
        <v>0.16537539936102236</v>
      </c>
      <c r="F13" s="53">
        <f t="shared" si="11"/>
        <v>9.9310064935064932E-2</v>
      </c>
      <c r="G13" s="53">
        <f t="shared" si="11"/>
        <v>0.19816293929712461</v>
      </c>
      <c r="H13" s="53">
        <f t="shared" si="11"/>
        <v>0.2632306477093207</v>
      </c>
      <c r="I13" s="53">
        <f t="shared" si="11"/>
        <v>0.24900635930047696</v>
      </c>
      <c r="J13" s="53">
        <f t="shared" si="11"/>
        <v>0.41312525010004003</v>
      </c>
      <c r="K13" s="59">
        <f t="shared" si="11"/>
        <v>1.8828879587894398</v>
      </c>
      <c r="L13" s="53">
        <f t="shared" ref="L13:U13" si="12">L7/L10</f>
        <v>2.4882332489871191</v>
      </c>
      <c r="M13" s="53">
        <f t="shared" si="12"/>
        <v>3.5386943976086376</v>
      </c>
      <c r="N13" s="53">
        <f t="shared" si="12"/>
        <v>4.3035345421984728</v>
      </c>
      <c r="O13" s="53">
        <f t="shared" si="12"/>
        <v>5.2336843691309021</v>
      </c>
      <c r="P13" s="53">
        <f t="shared" si="12"/>
        <v>6.3648732935909305</v>
      </c>
      <c r="Q13" s="53">
        <f t="shared" si="12"/>
        <v>7.7405531526530247</v>
      </c>
      <c r="R13" s="53">
        <f t="shared" si="12"/>
        <v>9.4135673006057914</v>
      </c>
      <c r="S13" s="53">
        <f t="shared" si="12"/>
        <v>11.448180456284614</v>
      </c>
      <c r="T13" s="53">
        <f t="shared" si="12"/>
        <v>13.922547273999182</v>
      </c>
      <c r="U13" s="53">
        <f t="shared" si="12"/>
        <v>16.931714462129467</v>
      </c>
      <c r="V13" s="71">
        <f>U13*(1+WACC!$B$13)/(WACC!$B$14-WACC!$B$13)</f>
        <v>125.30068304158391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2.1490465613609291</v>
      </c>
      <c r="M14" s="62">
        <f>M13/((1+WACC!$B$14)^(M3-$K$3))</f>
        <v>2.6396875889346432</v>
      </c>
      <c r="N14" s="62">
        <f>N13/((1+WACC!$B$14)^(N3-$K$3))</f>
        <v>2.7726145703633849</v>
      </c>
      <c r="O14" s="62">
        <f>O13/((1+WACC!$B$14)^(O3-$K$3))</f>
        <v>2.9122353675549566</v>
      </c>
      <c r="P14" s="62">
        <f>P13/((1+WACC!$B$14)^(P3-$K$3))</f>
        <v>3.0588870615818768</v>
      </c>
      <c r="Q14" s="62">
        <f>Q13/((1+WACC!$B$14)^(Q3-$K$3))</f>
        <v>3.2129237079380539</v>
      </c>
      <c r="R14" s="62">
        <f>R13/((1+WACC!$B$14)^(R3-$K$3))</f>
        <v>3.3747171913212193</v>
      </c>
      <c r="S14" s="62">
        <f>S13/((1+WACC!$B$14)^(S3-$K$3))</f>
        <v>3.5446581234597301</v>
      </c>
      <c r="T14" s="62">
        <f>T13/((1+WACC!$B$14)^(T3-$K$3))</f>
        <v>3.7231567861513009</v>
      </c>
      <c r="U14" s="62">
        <f>U13/((1+WACC!$B$14)^(U3-$K$3))</f>
        <v>3.9106441217904293</v>
      </c>
      <c r="V14" s="63">
        <f>V13/((1+WACC!$B$14)^(U3-$K$3))</f>
        <v>28.9401513762162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28.9401513762162</v>
      </c>
      <c r="L17" s="16">
        <f>C17/$C$19</f>
        <v>0.4804243881007218</v>
      </c>
      <c r="O17" s="18"/>
    </row>
    <row r="18" spans="2:22" x14ac:dyDescent="0.25">
      <c r="B18" s="8" t="s">
        <v>26</v>
      </c>
      <c r="C18" s="32">
        <f>SUM(14:14)-V14</f>
        <v>31.298571080456519</v>
      </c>
      <c r="K18" s="3"/>
      <c r="L18" s="16">
        <f>C18/$C$19</f>
        <v>0.51957561189927826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60.238722456672718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1.4005151320025757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0.3405103026400515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61.298727286035245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4"/>
  <sheetViews>
    <sheetView workbookViewId="0">
      <selection activeCell="B3" sqref="B3"/>
    </sheetView>
  </sheetViews>
  <sheetFormatPr defaultRowHeight="15" x14ac:dyDescent="0.25"/>
  <cols>
    <col min="1" max="1" width="15.85546875" bestFit="1" customWidth="1"/>
    <col min="2" max="2" width="12" bestFit="1" customWidth="1"/>
    <col min="3" max="3" width="19.5703125" bestFit="1" customWidth="1"/>
    <col min="4" max="4" width="26.28515625" bestFit="1" customWidth="1"/>
    <col min="5" max="5" width="19.85546875" bestFit="1" customWidth="1"/>
    <col min="6" max="6" width="27" bestFit="1" customWidth="1"/>
  </cols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0.81589955849889617</v>
      </c>
    </row>
    <row r="3" spans="1:6" x14ac:dyDescent="0.25">
      <c r="A3" s="73" t="s">
        <v>34</v>
      </c>
      <c r="B3">
        <v>96307000000</v>
      </c>
      <c r="C3">
        <v>46786000000</v>
      </c>
      <c r="D3">
        <v>24848000000</v>
      </c>
      <c r="E3">
        <v>34800000000</v>
      </c>
      <c r="F3">
        <v>1.1275550383504851</v>
      </c>
    </row>
    <row r="4" spans="1:6" x14ac:dyDescent="0.25">
      <c r="A4" s="73" t="s">
        <v>35</v>
      </c>
      <c r="B4">
        <v>79774000000</v>
      </c>
      <c r="C4">
        <v>39334000000</v>
      </c>
      <c r="D4">
        <v>24890000000</v>
      </c>
      <c r="E4">
        <v>31438000000</v>
      </c>
      <c r="F4">
        <v>2.4194653930756398</v>
      </c>
    </row>
    <row r="5" spans="1:6" x14ac:dyDescent="0.25">
      <c r="A5" s="73" t="s">
        <v>36</v>
      </c>
      <c r="B5">
        <v>60922000000</v>
      </c>
      <c r="C5">
        <v>27021000000</v>
      </c>
      <c r="D5">
        <v>24900000000</v>
      </c>
      <c r="E5">
        <v>25984000000</v>
      </c>
      <c r="F5">
        <v>2.3447033548173861</v>
      </c>
    </row>
    <row r="6" spans="1:6" x14ac:dyDescent="0.25">
      <c r="A6" s="73" t="s">
        <v>37</v>
      </c>
      <c r="B6">
        <v>44870000000</v>
      </c>
      <c r="C6">
        <v>17516000000</v>
      </c>
      <c r="D6">
        <v>24940000000</v>
      </c>
      <c r="E6">
        <v>18281000000</v>
      </c>
      <c r="F6">
        <v>1.5618951272972521</v>
      </c>
    </row>
    <row r="7" spans="1:6" x14ac:dyDescent="0.25">
      <c r="A7" s="73" t="s">
        <v>38</v>
      </c>
      <c r="B7">
        <v>32681000000</v>
      </c>
      <c r="C7">
        <v>10324000000</v>
      </c>
      <c r="D7">
        <v>24990000000</v>
      </c>
      <c r="E7">
        <v>16023000000</v>
      </c>
      <c r="F7">
        <v>0.67422434367541761</v>
      </c>
    </row>
    <row r="8" spans="1:6" x14ac:dyDescent="0.25">
      <c r="A8" s="73" t="s">
        <v>39</v>
      </c>
      <c r="B8">
        <v>25878000000</v>
      </c>
      <c r="C8">
        <v>5102000000</v>
      </c>
      <c r="D8">
        <v>24900000000</v>
      </c>
      <c r="E8">
        <v>15320000000</v>
      </c>
      <c r="F8">
        <v>-0.21370294401544401</v>
      </c>
    </row>
    <row r="9" spans="1:6" x14ac:dyDescent="0.25">
      <c r="A9" s="73" t="s">
        <v>40</v>
      </c>
      <c r="B9">
        <v>26974000000</v>
      </c>
      <c r="C9">
        <v>3809000000</v>
      </c>
      <c r="D9">
        <v>24770000000</v>
      </c>
      <c r="E9">
        <v>13296000000</v>
      </c>
      <c r="F9">
        <v>-0.2139003009289546</v>
      </c>
    </row>
    <row r="10" spans="1:6" x14ac:dyDescent="0.25">
      <c r="A10" s="73" t="s">
        <v>41</v>
      </c>
      <c r="B10">
        <v>28566000000</v>
      </c>
      <c r="C10">
        <v>4829000000</v>
      </c>
      <c r="D10">
        <v>24990000000</v>
      </c>
      <c r="E10">
        <v>13143000000</v>
      </c>
    </row>
    <row r="11" spans="1:6" x14ac:dyDescent="0.25">
      <c r="A11" s="73" t="s">
        <v>42</v>
      </c>
      <c r="B11">
        <v>29738000000</v>
      </c>
      <c r="C11">
        <v>6265000000</v>
      </c>
      <c r="D11">
        <v>25160000000</v>
      </c>
      <c r="E11">
        <v>17037000000</v>
      </c>
    </row>
    <row r="12" spans="1:6" x14ac:dyDescent="0.25">
      <c r="A12" s="73" t="s">
        <v>43</v>
      </c>
      <c r="B12">
        <v>29541000000</v>
      </c>
      <c r="C12">
        <v>7927000000</v>
      </c>
      <c r="D12">
        <v>25370000000</v>
      </c>
      <c r="E12">
        <v>20338000000</v>
      </c>
    </row>
    <row r="13" spans="1:6" x14ac:dyDescent="0.25">
      <c r="A13" s="73" t="s">
        <v>44</v>
      </c>
      <c r="B13">
        <v>26914000000</v>
      </c>
      <c r="C13">
        <v>8133000000</v>
      </c>
      <c r="D13">
        <v>25450000000</v>
      </c>
      <c r="E13">
        <v>21208000000</v>
      </c>
      <c r="F13">
        <v>0.48178892664401363</v>
      </c>
    </row>
    <row r="14" spans="1:6" x14ac:dyDescent="0.25">
      <c r="A14" s="73" t="s">
        <v>45</v>
      </c>
      <c r="B14">
        <v>24274000000</v>
      </c>
      <c r="C14">
        <v>7157000000</v>
      </c>
      <c r="D14">
        <v>25380000000</v>
      </c>
      <c r="E14">
        <v>19298000000</v>
      </c>
      <c r="F14">
        <v>0.56863944138806599</v>
      </c>
    </row>
    <row r="15" spans="1:6" x14ac:dyDescent="0.25">
      <c r="A15" s="73" t="s">
        <v>46</v>
      </c>
      <c r="B15">
        <v>21897000000</v>
      </c>
      <c r="C15">
        <v>6665000000</v>
      </c>
      <c r="D15">
        <v>25320000000</v>
      </c>
      <c r="E15">
        <v>19654000000</v>
      </c>
      <c r="F15">
        <v>0.76324366270046551</v>
      </c>
    </row>
    <row r="16" spans="1:6" x14ac:dyDescent="0.25">
      <c r="A16" s="73" t="s">
        <v>47</v>
      </c>
      <c r="B16">
        <v>19256000000</v>
      </c>
      <c r="C16">
        <v>5516000000</v>
      </c>
      <c r="D16">
        <v>25280000000</v>
      </c>
      <c r="E16">
        <v>12667000000</v>
      </c>
      <c r="F16">
        <v>0.72676298701298703</v>
      </c>
    </row>
    <row r="17" spans="1:6" x14ac:dyDescent="0.25">
      <c r="A17" s="73" t="s">
        <v>48</v>
      </c>
      <c r="B17">
        <v>16675000000</v>
      </c>
      <c r="C17">
        <v>4694000000</v>
      </c>
      <c r="D17">
        <v>25240000000</v>
      </c>
      <c r="E17">
        <v>11561000000</v>
      </c>
      <c r="F17">
        <v>0.55051529790660236</v>
      </c>
    </row>
    <row r="18" spans="1:6" x14ac:dyDescent="0.25">
      <c r="A18" s="73" t="s">
        <v>49</v>
      </c>
      <c r="B18">
        <v>14777000000</v>
      </c>
      <c r="C18">
        <v>4231000000</v>
      </c>
      <c r="D18">
        <v>25200000000</v>
      </c>
      <c r="E18">
        <v>10139000000</v>
      </c>
      <c r="F18">
        <v>0.36057413005972139</v>
      </c>
    </row>
    <row r="19" spans="1:6" x14ac:dyDescent="0.25">
      <c r="A19" s="73" t="s">
        <v>50</v>
      </c>
      <c r="B19">
        <v>13065000000</v>
      </c>
      <c r="C19">
        <v>4962000000</v>
      </c>
      <c r="D19">
        <v>25040000000</v>
      </c>
      <c r="E19">
        <v>10981000000</v>
      </c>
      <c r="F19">
        <v>0.35462859829391241</v>
      </c>
    </row>
    <row r="20" spans="1:6" x14ac:dyDescent="0.25">
      <c r="A20" s="73" t="s">
        <v>51</v>
      </c>
      <c r="B20">
        <v>11778000000</v>
      </c>
      <c r="C20">
        <v>4435000000</v>
      </c>
      <c r="D20">
        <v>24880000000</v>
      </c>
      <c r="E20">
        <v>16354000000</v>
      </c>
      <c r="F20">
        <v>0.30260260225225227</v>
      </c>
    </row>
    <row r="21" spans="1:6" x14ac:dyDescent="0.25">
      <c r="A21" s="73" t="s">
        <v>52</v>
      </c>
      <c r="B21">
        <v>10918000000</v>
      </c>
      <c r="C21">
        <v>4273000000</v>
      </c>
      <c r="D21">
        <v>24840000000</v>
      </c>
      <c r="E21">
        <v>10897000000</v>
      </c>
      <c r="F21">
        <v>0.2442500807256236</v>
      </c>
    </row>
    <row r="22" spans="1:6" x14ac:dyDescent="0.25">
      <c r="A22" s="73" t="s">
        <v>53</v>
      </c>
      <c r="B22">
        <v>10018000000</v>
      </c>
      <c r="C22">
        <v>3647000000</v>
      </c>
      <c r="D22">
        <v>24720000000</v>
      </c>
      <c r="E22">
        <v>9769000000</v>
      </c>
      <c r="F22">
        <v>-0.16428301477522789</v>
      </c>
    </row>
    <row r="23" spans="1:6" x14ac:dyDescent="0.25">
      <c r="A23" s="73" t="s">
        <v>54</v>
      </c>
      <c r="B23">
        <v>10185000000</v>
      </c>
      <c r="C23">
        <v>2447000000</v>
      </c>
      <c r="D23">
        <v>24640000000</v>
      </c>
      <c r="E23">
        <v>8475000000</v>
      </c>
      <c r="F23">
        <v>-0.2341291975664426</v>
      </c>
    </row>
    <row r="24" spans="1:6" x14ac:dyDescent="0.25">
      <c r="A24" s="73" t="s">
        <v>55</v>
      </c>
      <c r="B24">
        <v>10729000000</v>
      </c>
      <c r="C24">
        <v>2408000000</v>
      </c>
      <c r="D24">
        <v>24640000000</v>
      </c>
      <c r="E24">
        <v>7802000000</v>
      </c>
      <c r="F24">
        <v>-0.36282847209229813</v>
      </c>
    </row>
    <row r="25" spans="1:6" x14ac:dyDescent="0.25">
      <c r="A25" s="73" t="s">
        <v>56</v>
      </c>
      <c r="B25">
        <v>11716000000</v>
      </c>
      <c r="C25">
        <v>3143000000</v>
      </c>
      <c r="D25">
        <v>24760000000</v>
      </c>
      <c r="E25">
        <v>7422000000</v>
      </c>
      <c r="F25">
        <v>-0.2898703194778427</v>
      </c>
    </row>
    <row r="26" spans="1:6" x14ac:dyDescent="0.25">
      <c r="A26" s="73" t="s">
        <v>57</v>
      </c>
      <c r="B26">
        <v>12422000000</v>
      </c>
      <c r="C26">
        <v>3390000000</v>
      </c>
      <c r="D26">
        <v>25000000000</v>
      </c>
      <c r="E26">
        <v>7591000000</v>
      </c>
      <c r="F26">
        <v>0.2264279704097116</v>
      </c>
    </row>
    <row r="27" spans="1:6" x14ac:dyDescent="0.25">
      <c r="A27" s="73" t="s">
        <v>58</v>
      </c>
      <c r="B27">
        <v>11877000000</v>
      </c>
      <c r="C27">
        <v>4141000000</v>
      </c>
      <c r="D27">
        <v>25040000000</v>
      </c>
      <c r="E27">
        <v>7943000000</v>
      </c>
      <c r="F27">
        <v>0.27772872242152458</v>
      </c>
    </row>
    <row r="28" spans="1:6" x14ac:dyDescent="0.25">
      <c r="A28" s="73" t="s">
        <v>59</v>
      </c>
      <c r="B28">
        <v>10984000000</v>
      </c>
      <c r="C28">
        <v>4008000000</v>
      </c>
      <c r="D28">
        <v>25080000000</v>
      </c>
      <c r="E28">
        <v>7300000000</v>
      </c>
      <c r="F28">
        <v>0.28414067475477539</v>
      </c>
    </row>
    <row r="29" spans="1:6" x14ac:dyDescent="0.25">
      <c r="A29" s="73" t="s">
        <v>60</v>
      </c>
      <c r="B29">
        <v>9714000000</v>
      </c>
      <c r="C29">
        <v>2909000000</v>
      </c>
      <c r="D29">
        <v>25120000000</v>
      </c>
      <c r="E29">
        <v>7108000000</v>
      </c>
      <c r="F29">
        <v>-0.1194615223193741</v>
      </c>
    </row>
    <row r="30" spans="1:6" x14ac:dyDescent="0.25">
      <c r="A30" s="73" t="s">
        <v>61</v>
      </c>
      <c r="B30">
        <v>8976000000</v>
      </c>
      <c r="C30">
        <v>2637000000</v>
      </c>
      <c r="D30">
        <v>25120000000</v>
      </c>
      <c r="E30">
        <v>6320000000</v>
      </c>
      <c r="F30">
        <v>-7.0340522455089816E-2</v>
      </c>
    </row>
    <row r="31" spans="1:6" x14ac:dyDescent="0.25">
      <c r="A31" s="73" t="s">
        <v>62</v>
      </c>
      <c r="B31">
        <v>8344000000</v>
      </c>
      <c r="C31">
        <v>1969000000</v>
      </c>
      <c r="D31">
        <v>25320000000</v>
      </c>
      <c r="E31">
        <v>5877000000</v>
      </c>
      <c r="F31">
        <v>0.18819266806722679</v>
      </c>
    </row>
    <row r="32" spans="1:6" x14ac:dyDescent="0.25">
      <c r="A32" s="73" t="s">
        <v>63</v>
      </c>
      <c r="B32">
        <v>7542000000</v>
      </c>
      <c r="C32">
        <v>1470000000</v>
      </c>
      <c r="D32">
        <v>25640000000</v>
      </c>
      <c r="E32">
        <v>6206000000</v>
      </c>
      <c r="F32">
        <v>0.24004073869731801</v>
      </c>
    </row>
    <row r="33" spans="1:6" x14ac:dyDescent="0.25">
      <c r="A33" s="73" t="s">
        <v>64</v>
      </c>
      <c r="B33">
        <v>6910000000</v>
      </c>
      <c r="C33">
        <v>1496000000</v>
      </c>
      <c r="D33">
        <v>26400000000</v>
      </c>
      <c r="E33">
        <v>6798000000</v>
      </c>
      <c r="F33">
        <v>0.30036265524625261</v>
      </c>
    </row>
    <row r="34" spans="1:6" x14ac:dyDescent="0.25">
      <c r="A34" s="73" t="s">
        <v>65</v>
      </c>
      <c r="B34">
        <v>6138000000</v>
      </c>
      <c r="C34">
        <v>1322000000</v>
      </c>
      <c r="D34">
        <v>26120000000</v>
      </c>
      <c r="E34">
        <v>6671000000</v>
      </c>
      <c r="F34">
        <v>5.4590776245210693E-2</v>
      </c>
    </row>
    <row r="35" spans="1:6" x14ac:dyDescent="0.25">
      <c r="A35" s="73" t="s">
        <v>66</v>
      </c>
      <c r="B35">
        <v>5439000000</v>
      </c>
      <c r="C35">
        <v>1140000000</v>
      </c>
      <c r="D35">
        <v>25240000000</v>
      </c>
      <c r="E35">
        <v>4879000000</v>
      </c>
      <c r="F35">
        <v>0.14761077324066019</v>
      </c>
    </row>
    <row r="36" spans="1:6" x14ac:dyDescent="0.25">
      <c r="A36" s="73" t="s">
        <v>67</v>
      </c>
      <c r="B36">
        <v>5164000000</v>
      </c>
      <c r="C36">
        <v>1127000000</v>
      </c>
      <c r="D36">
        <v>23880000000</v>
      </c>
      <c r="E36">
        <v>4754000000</v>
      </c>
      <c r="F36">
        <v>1.194752317846892E-2</v>
      </c>
    </row>
    <row r="37" spans="1:6" x14ac:dyDescent="0.25">
      <c r="A37" s="73" t="s">
        <v>68</v>
      </c>
      <c r="B37">
        <v>5010000000</v>
      </c>
      <c r="C37">
        <v>1089000000</v>
      </c>
      <c r="D37">
        <v>23720000000</v>
      </c>
      <c r="E37">
        <v>5037000000</v>
      </c>
      <c r="F37">
        <v>4.53183456260986E-2</v>
      </c>
    </row>
    <row r="38" spans="1:6" x14ac:dyDescent="0.25">
      <c r="A38" s="73" t="s">
        <v>69</v>
      </c>
      <c r="B38">
        <v>4859514000</v>
      </c>
      <c r="C38">
        <v>1004684000</v>
      </c>
      <c r="D38">
        <v>22600000000</v>
      </c>
      <c r="E38">
        <v>4728000000</v>
      </c>
      <c r="F38">
        <v>0.1032176529246172</v>
      </c>
    </row>
    <row r="39" spans="1:6" x14ac:dyDescent="0.25">
      <c r="A39" s="73" t="s">
        <v>70</v>
      </c>
      <c r="B39">
        <v>4779896000</v>
      </c>
      <c r="C39">
        <v>942566000</v>
      </c>
      <c r="D39">
        <v>22240000000</v>
      </c>
      <c r="E39">
        <v>4505000000</v>
      </c>
    </row>
    <row r="40" spans="1:6" x14ac:dyDescent="0.25">
      <c r="A40" s="73" t="s">
        <v>71</v>
      </c>
      <c r="B40">
        <v>4729720000</v>
      </c>
      <c r="C40">
        <v>877321000</v>
      </c>
      <c r="D40">
        <v>22720000000</v>
      </c>
      <c r="E40">
        <v>4792000000</v>
      </c>
      <c r="F40">
        <v>0.53711090866953981</v>
      </c>
    </row>
    <row r="41" spans="1:6" x14ac:dyDescent="0.25">
      <c r="A41" s="73" t="s">
        <v>72</v>
      </c>
      <c r="B41">
        <v>4681507000</v>
      </c>
      <c r="C41">
        <v>783275000</v>
      </c>
      <c r="D41">
        <v>22262920000</v>
      </c>
      <c r="E41">
        <v>4623339000</v>
      </c>
      <c r="F41">
        <v>0.45508705941217631</v>
      </c>
    </row>
    <row r="42" spans="1:6" x14ac:dyDescent="0.25">
      <c r="A42" s="73" t="s">
        <v>73</v>
      </c>
      <c r="B42">
        <v>4575211000</v>
      </c>
      <c r="C42">
        <v>705929000</v>
      </c>
      <c r="D42">
        <v>22328040000</v>
      </c>
      <c r="E42">
        <v>4240797000</v>
      </c>
      <c r="F42">
        <v>1.2770695168792909</v>
      </c>
    </row>
    <row r="43" spans="1:6" x14ac:dyDescent="0.25">
      <c r="A43" s="73" t="s">
        <v>74</v>
      </c>
      <c r="B43">
        <v>4403796000</v>
      </c>
      <c r="C43">
        <v>654203000</v>
      </c>
      <c r="D43">
        <v>22822880000</v>
      </c>
      <c r="E43">
        <v>4386054000</v>
      </c>
    </row>
    <row r="44" spans="1:6" x14ac:dyDescent="0.25">
      <c r="A44" s="73" t="s">
        <v>75</v>
      </c>
      <c r="B44">
        <v>4278210000</v>
      </c>
      <c r="C44">
        <v>591931000</v>
      </c>
      <c r="D44">
        <v>22816880000</v>
      </c>
      <c r="E44">
        <v>4347817000</v>
      </c>
    </row>
    <row r="45" spans="1:6" x14ac:dyDescent="0.25">
      <c r="A45" s="73" t="s">
        <v>76</v>
      </c>
      <c r="B45">
        <v>4130162000</v>
      </c>
      <c r="C45">
        <v>579960000</v>
      </c>
      <c r="D45">
        <v>23094240000</v>
      </c>
      <c r="E45">
        <v>4671810000</v>
      </c>
    </row>
    <row r="46" spans="1:6" x14ac:dyDescent="0.25">
      <c r="A46" s="73" t="s">
        <v>77</v>
      </c>
      <c r="B46">
        <v>4092846000</v>
      </c>
      <c r="C46">
        <v>648873000</v>
      </c>
      <c r="D46">
        <v>23550080000</v>
      </c>
      <c r="E46">
        <v>3032954000</v>
      </c>
      <c r="F46">
        <v>1.2924306289611851</v>
      </c>
    </row>
    <row r="47" spans="1:6" x14ac:dyDescent="0.25">
      <c r="A47" s="73" t="s">
        <v>78</v>
      </c>
      <c r="B47">
        <v>4242989000</v>
      </c>
      <c r="C47">
        <v>661518000</v>
      </c>
      <c r="D47">
        <v>23680240000</v>
      </c>
      <c r="E47">
        <v>2935893000</v>
      </c>
    </row>
    <row r="48" spans="1:6" x14ac:dyDescent="0.25">
      <c r="A48" s="73" t="s">
        <v>79</v>
      </c>
      <c r="B48">
        <v>4310021000</v>
      </c>
      <c r="C48">
        <v>788977000</v>
      </c>
      <c r="D48">
        <v>24772080000</v>
      </c>
      <c r="E48">
        <v>3713351000</v>
      </c>
    </row>
    <row r="49" spans="1:6" x14ac:dyDescent="0.25">
      <c r="A49" s="73" t="s">
        <v>80</v>
      </c>
      <c r="B49">
        <v>4280159000</v>
      </c>
      <c r="C49">
        <v>640863000</v>
      </c>
      <c r="D49">
        <v>24880720000</v>
      </c>
      <c r="E49">
        <v>3727883000</v>
      </c>
    </row>
    <row r="50" spans="1:6" x14ac:dyDescent="0.25">
      <c r="A50" s="73" t="s">
        <v>81</v>
      </c>
      <c r="B50">
        <v>4126451000</v>
      </c>
      <c r="C50">
        <v>602948000</v>
      </c>
      <c r="D50">
        <v>25153800000</v>
      </c>
      <c r="E50">
        <v>3434772000</v>
      </c>
    </row>
    <row r="51" spans="1:6" x14ac:dyDescent="0.25">
      <c r="A51" s="73" t="s">
        <v>82</v>
      </c>
      <c r="B51">
        <v>3988521000</v>
      </c>
      <c r="C51">
        <v>671529000</v>
      </c>
      <c r="D51">
        <v>24925720000</v>
      </c>
      <c r="E51">
        <v>3278100000</v>
      </c>
    </row>
    <row r="52" spans="1:6" x14ac:dyDescent="0.25">
      <c r="A52" s="73" t="s">
        <v>83</v>
      </c>
      <c r="B52">
        <v>3960768000</v>
      </c>
      <c r="C52">
        <v>591285000</v>
      </c>
      <c r="D52">
        <v>24951440000</v>
      </c>
      <c r="E52">
        <v>3130812000</v>
      </c>
    </row>
    <row r="53" spans="1:6" x14ac:dyDescent="0.25">
      <c r="A53" s="73" t="s">
        <v>84</v>
      </c>
      <c r="B53">
        <v>3997930000</v>
      </c>
      <c r="C53">
        <v>770421000</v>
      </c>
      <c r="D53">
        <v>24743960000</v>
      </c>
      <c r="E53">
        <v>3129576000</v>
      </c>
    </row>
    <row r="54" spans="1:6" x14ac:dyDescent="0.25">
      <c r="A54" s="73" t="s">
        <v>85</v>
      </c>
      <c r="B54">
        <v>3931112000</v>
      </c>
      <c r="C54">
        <v>818415000</v>
      </c>
      <c r="D54">
        <v>24542400000</v>
      </c>
      <c r="E54">
        <v>2748354000</v>
      </c>
    </row>
    <row r="55" spans="1:6" x14ac:dyDescent="0.25">
      <c r="A55" s="73" t="s">
        <v>86</v>
      </c>
      <c r="B55">
        <v>3708844000</v>
      </c>
      <c r="C55">
        <v>803387000</v>
      </c>
      <c r="D55">
        <v>24557360000</v>
      </c>
      <c r="E55">
        <v>2474496000</v>
      </c>
    </row>
    <row r="56" spans="1:6" x14ac:dyDescent="0.25">
      <c r="A56" s="73" t="s">
        <v>87</v>
      </c>
      <c r="B56">
        <v>3503535000</v>
      </c>
      <c r="C56">
        <v>741389000</v>
      </c>
      <c r="D56">
        <v>24538960000</v>
      </c>
      <c r="E56">
        <v>2726541000</v>
      </c>
    </row>
    <row r="57" spans="1:6" x14ac:dyDescent="0.25">
      <c r="A57" s="73" t="s">
        <v>88</v>
      </c>
      <c r="B57">
        <v>3543309000</v>
      </c>
      <c r="C57">
        <v>577907000</v>
      </c>
      <c r="D57">
        <v>24064000000</v>
      </c>
      <c r="E57">
        <v>2490563000</v>
      </c>
    </row>
    <row r="58" spans="1:6" x14ac:dyDescent="0.25">
      <c r="A58" s="73" t="s">
        <v>89</v>
      </c>
      <c r="B58">
        <v>3639421000</v>
      </c>
      <c r="C58">
        <v>211247000</v>
      </c>
      <c r="D58">
        <v>23305920000</v>
      </c>
      <c r="E58">
        <v>451000000</v>
      </c>
    </row>
    <row r="59" spans="1:6" x14ac:dyDescent="0.25">
      <c r="A59" s="73" t="s">
        <v>90</v>
      </c>
      <c r="B59">
        <v>3698715000</v>
      </c>
      <c r="C59">
        <v>145617000</v>
      </c>
      <c r="D59">
        <v>22910560000</v>
      </c>
      <c r="E59">
        <v>1772500000</v>
      </c>
      <c r="F59">
        <v>6.3445058187627632</v>
      </c>
    </row>
    <row r="60" spans="1:6" x14ac:dyDescent="0.25">
      <c r="A60" s="73" t="s">
        <v>91</v>
      </c>
      <c r="B60">
        <v>3664027000</v>
      </c>
      <c r="C60">
        <v>266378000</v>
      </c>
      <c r="D60">
        <v>23639880000</v>
      </c>
      <c r="E60">
        <v>1764896000</v>
      </c>
    </row>
    <row r="61" spans="1:6" x14ac:dyDescent="0.25">
      <c r="A61" s="73" t="s">
        <v>92</v>
      </c>
      <c r="B61">
        <v>3326445000</v>
      </c>
      <c r="C61">
        <v>410206000</v>
      </c>
      <c r="D61">
        <v>22976000000</v>
      </c>
      <c r="E61">
        <v>1728227000</v>
      </c>
    </row>
    <row r="62" spans="1:6" x14ac:dyDescent="0.25">
      <c r="A62" s="73" t="s">
        <v>93</v>
      </c>
      <c r="B62">
        <v>2825097000</v>
      </c>
      <c r="C62">
        <v>300716000</v>
      </c>
      <c r="D62">
        <v>22975240000</v>
      </c>
      <c r="E62">
        <v>1634079000</v>
      </c>
    </row>
    <row r="63" spans="1:6" x14ac:dyDescent="0.25">
      <c r="A63" s="73" t="s">
        <v>94</v>
      </c>
      <c r="B63">
        <v>2819546000</v>
      </c>
      <c r="C63">
        <v>109987000</v>
      </c>
      <c r="D63">
        <v>21865560000</v>
      </c>
      <c r="E63">
        <v>1466105000</v>
      </c>
    </row>
    <row r="64" spans="1:6" x14ac:dyDescent="0.25">
      <c r="A64" s="73" t="s">
        <v>95</v>
      </c>
      <c r="B64">
        <v>2935702000</v>
      </c>
      <c r="C64">
        <v>19969000</v>
      </c>
      <c r="D64">
        <v>21692280000</v>
      </c>
      <c r="E64">
        <v>1338147000</v>
      </c>
    </row>
    <row r="65" spans="1:5" x14ac:dyDescent="0.25">
      <c r="A65" s="73" t="s">
        <v>96</v>
      </c>
      <c r="B65">
        <v>3424859000</v>
      </c>
      <c r="C65">
        <v>-158310000</v>
      </c>
      <c r="D65">
        <v>21752280000</v>
      </c>
      <c r="E65">
        <v>1255390000</v>
      </c>
    </row>
    <row r="66" spans="1:5" x14ac:dyDescent="0.25">
      <c r="A66" s="73" t="s">
        <v>97</v>
      </c>
      <c r="B66">
        <v>4146449000</v>
      </c>
      <c r="C66">
        <v>86642000</v>
      </c>
      <c r="D66">
        <v>22581440000</v>
      </c>
      <c r="E66">
        <v>1304888000</v>
      </c>
    </row>
    <row r="67" spans="1:5" x14ac:dyDescent="0.25">
      <c r="A67" s="73" t="s">
        <v>98</v>
      </c>
      <c r="B67">
        <v>4364391000</v>
      </c>
      <c r="C67">
        <v>483069000</v>
      </c>
      <c r="D67">
        <v>22216680000</v>
      </c>
      <c r="E67">
        <v>1657230000</v>
      </c>
    </row>
    <row r="68" spans="1:5" x14ac:dyDescent="0.25">
      <c r="A68" s="73" t="s">
        <v>99</v>
      </c>
      <c r="B68">
        <v>4406968000</v>
      </c>
      <c r="C68">
        <v>756661000</v>
      </c>
      <c r="D68">
        <v>23679560000</v>
      </c>
      <c r="E68">
        <v>1621639000</v>
      </c>
    </row>
    <row r="69" spans="1:5" x14ac:dyDescent="0.25">
      <c r="A69" s="73" t="s">
        <v>100</v>
      </c>
      <c r="B69">
        <v>4097860000</v>
      </c>
      <c r="C69">
        <v>1082451000</v>
      </c>
      <c r="D69">
        <v>22198640000</v>
      </c>
      <c r="E69">
        <v>1809478000</v>
      </c>
    </row>
    <row r="70" spans="1:5" x14ac:dyDescent="0.25">
      <c r="A70" s="73" t="s">
        <v>101</v>
      </c>
      <c r="B70">
        <v>3774003000</v>
      </c>
      <c r="C70">
        <v>1055022000</v>
      </c>
      <c r="D70">
        <v>24519400000</v>
      </c>
      <c r="E70">
        <v>1852953000</v>
      </c>
    </row>
    <row r="71" spans="1:5" x14ac:dyDescent="0.25">
      <c r="A71" s="73" t="s">
        <v>102</v>
      </c>
      <c r="B71">
        <v>3478978000</v>
      </c>
      <c r="C71">
        <v>985132000</v>
      </c>
      <c r="D71">
        <v>24153180000</v>
      </c>
      <c r="E71">
        <v>1571563000</v>
      </c>
    </row>
    <row r="72" spans="1:5" x14ac:dyDescent="0.25">
      <c r="A72" s="73" t="s">
        <v>103</v>
      </c>
      <c r="B72">
        <v>3231244000</v>
      </c>
      <c r="C72">
        <v>680988000</v>
      </c>
      <c r="D72">
        <v>23931960000</v>
      </c>
      <c r="E72">
        <v>1307024000</v>
      </c>
    </row>
    <row r="73" spans="1:5" x14ac:dyDescent="0.25">
      <c r="A73" s="73" t="s">
        <v>104</v>
      </c>
      <c r="B73">
        <v>3068771000</v>
      </c>
      <c r="C73">
        <v>441855000</v>
      </c>
      <c r="D73">
        <v>23940000000</v>
      </c>
      <c r="E73">
        <v>1117850000</v>
      </c>
    </row>
    <row r="74" spans="1:5" x14ac:dyDescent="0.25">
      <c r="A74" s="73" t="s">
        <v>105</v>
      </c>
      <c r="B74">
        <v>2823512000</v>
      </c>
      <c r="C74">
        <v>489090000</v>
      </c>
      <c r="D74">
        <v>23457571200</v>
      </c>
      <c r="E74">
        <v>1173595000</v>
      </c>
    </row>
    <row r="75" spans="1:5" x14ac:dyDescent="0.25">
      <c r="A75" s="73" t="s">
        <v>106</v>
      </c>
      <c r="B75">
        <v>2586355000</v>
      </c>
      <c r="C75">
        <v>299191000</v>
      </c>
      <c r="D75">
        <v>23135340000</v>
      </c>
      <c r="E75">
        <v>851167000</v>
      </c>
    </row>
    <row r="76" spans="1:5" x14ac:dyDescent="0.25">
      <c r="A76" s="73" t="s">
        <v>107</v>
      </c>
      <c r="B76">
        <v>2473648000</v>
      </c>
      <c r="C76">
        <v>320462000</v>
      </c>
      <c r="D76">
        <v>23422200000</v>
      </c>
      <c r="E76">
        <v>955053000</v>
      </c>
    </row>
    <row r="77" spans="1:5" x14ac:dyDescent="0.25">
      <c r="A77" s="73" t="s">
        <v>108</v>
      </c>
      <c r="B77">
        <v>2375687000</v>
      </c>
      <c r="C77">
        <v>366808000</v>
      </c>
      <c r="D77">
        <v>22312000000</v>
      </c>
      <c r="E77">
        <v>950174000</v>
      </c>
    </row>
    <row r="78" spans="1:5" x14ac:dyDescent="0.25">
      <c r="A78" s="73" t="s">
        <v>109</v>
      </c>
      <c r="B78">
        <v>2308549000</v>
      </c>
      <c r="C78">
        <v>246064000</v>
      </c>
      <c r="D78">
        <v>22000419800</v>
      </c>
      <c r="E78">
        <v>786178000</v>
      </c>
    </row>
    <row r="79" spans="1:5" x14ac:dyDescent="0.25">
      <c r="A79" s="73" t="s">
        <v>110</v>
      </c>
      <c r="B79">
        <v>2240725000</v>
      </c>
      <c r="C79">
        <v>161808000</v>
      </c>
      <c r="D79">
        <v>21700440000</v>
      </c>
      <c r="E79">
        <v>717546000</v>
      </c>
    </row>
    <row r="80" spans="1:5" x14ac:dyDescent="0.25">
      <c r="A80" s="73" t="s">
        <v>111</v>
      </c>
      <c r="B80">
        <v>2121974000</v>
      </c>
      <c r="C80">
        <v>98127000</v>
      </c>
      <c r="D80">
        <v>21659040000</v>
      </c>
      <c r="E80">
        <v>731512000</v>
      </c>
    </row>
    <row r="81" spans="1:6" x14ac:dyDescent="0.25">
      <c r="A81" s="73" t="s">
        <v>112</v>
      </c>
      <c r="B81">
        <v>2010033000</v>
      </c>
      <c r="C81">
        <v>64939000</v>
      </c>
      <c r="D81">
        <v>21296000000</v>
      </c>
      <c r="E81">
        <v>670045000</v>
      </c>
    </row>
    <row r="82" spans="1:6" x14ac:dyDescent="0.25">
      <c r="A82" s="73" t="s">
        <v>113</v>
      </c>
      <c r="B82">
        <v>1915676000</v>
      </c>
      <c r="C82">
        <v>-29560000</v>
      </c>
      <c r="D82">
        <v>20733913040</v>
      </c>
      <c r="E82">
        <v>587850000</v>
      </c>
    </row>
    <row r="83" spans="1:6" x14ac:dyDescent="0.25">
      <c r="A83" s="73" t="s">
        <v>114</v>
      </c>
      <c r="B83">
        <v>1886154000</v>
      </c>
      <c r="C83">
        <v>-47937000</v>
      </c>
      <c r="D83">
        <v>21290280000</v>
      </c>
      <c r="E83">
        <v>613324000</v>
      </c>
    </row>
    <row r="84" spans="1:6" x14ac:dyDescent="0.25">
      <c r="A84" s="73" t="s">
        <v>115</v>
      </c>
      <c r="B84">
        <v>1889867000</v>
      </c>
      <c r="C84">
        <v>-49875000</v>
      </c>
      <c r="D84">
        <v>21417480000</v>
      </c>
      <c r="E84">
        <v>657303000</v>
      </c>
    </row>
    <row r="85" spans="1:6" x14ac:dyDescent="0.25">
      <c r="A85" s="73" t="s">
        <v>116</v>
      </c>
      <c r="B85">
        <v>1822945000</v>
      </c>
      <c r="C85">
        <v>-77926000</v>
      </c>
      <c r="D85">
        <v>19380149920</v>
      </c>
      <c r="E85">
        <v>604043000</v>
      </c>
    </row>
    <row r="86" spans="1:6" x14ac:dyDescent="0.25">
      <c r="A86" s="73" t="s">
        <v>117</v>
      </c>
      <c r="B86">
        <v>1819779000</v>
      </c>
      <c r="C86">
        <v>49764000</v>
      </c>
      <c r="D86">
        <v>20767496240</v>
      </c>
      <c r="E86">
        <v>612126000</v>
      </c>
      <c r="F86">
        <v>-9.6266827638134878E-2</v>
      </c>
    </row>
    <row r="87" spans="1:6" x14ac:dyDescent="0.25">
      <c r="A87" s="73" t="s">
        <v>118</v>
      </c>
      <c r="B87">
        <v>1764014000</v>
      </c>
      <c r="C87">
        <v>168869000</v>
      </c>
      <c r="D87">
        <v>20946120000</v>
      </c>
      <c r="E87">
        <v>1011587000</v>
      </c>
      <c r="F87">
        <v>0.43479566565641198</v>
      </c>
    </row>
    <row r="88" spans="1:6" x14ac:dyDescent="0.25">
      <c r="A88" s="73" t="s">
        <v>119</v>
      </c>
      <c r="B88">
        <v>1731525000</v>
      </c>
      <c r="C88">
        <v>189162000</v>
      </c>
      <c r="D88">
        <v>20151000000</v>
      </c>
      <c r="E88">
        <v>1050338000</v>
      </c>
      <c r="F88">
        <v>0.85594222291470001</v>
      </c>
    </row>
    <row r="89" spans="1:6" x14ac:dyDescent="0.25">
      <c r="A89" s="73" t="s">
        <v>120</v>
      </c>
      <c r="B89">
        <v>1909447000</v>
      </c>
      <c r="C89">
        <v>201909000</v>
      </c>
      <c r="D89">
        <v>20104000000</v>
      </c>
      <c r="E89">
        <v>1028413000</v>
      </c>
      <c r="F89">
        <v>0.95253955037468785</v>
      </c>
    </row>
    <row r="90" spans="1:6" x14ac:dyDescent="0.25">
      <c r="A90" s="73" t="s">
        <v>121</v>
      </c>
      <c r="B90">
        <v>1938533000</v>
      </c>
      <c r="C90">
        <v>50813000</v>
      </c>
      <c r="D90">
        <v>18399760120</v>
      </c>
      <c r="E90">
        <v>911577000</v>
      </c>
      <c r="F90">
        <v>2.7878965715560038</v>
      </c>
    </row>
    <row r="91" spans="1:6" x14ac:dyDescent="0.25">
      <c r="A91" s="73" t="s">
        <v>122</v>
      </c>
      <c r="B91">
        <v>1878470000</v>
      </c>
      <c r="C91">
        <v>-38074000</v>
      </c>
      <c r="D91">
        <v>20252400000</v>
      </c>
      <c r="E91">
        <v>826411000</v>
      </c>
      <c r="F91">
        <v>1.8777705191840139</v>
      </c>
    </row>
    <row r="92" spans="1:6" x14ac:dyDescent="0.25">
      <c r="A92" s="73" t="s">
        <v>123</v>
      </c>
      <c r="B92">
        <v>1711444000</v>
      </c>
      <c r="C92">
        <v>23377000</v>
      </c>
      <c r="D92">
        <v>21907800000</v>
      </c>
      <c r="E92">
        <v>828397000</v>
      </c>
    </row>
    <row r="93" spans="1:6" x14ac:dyDescent="0.25">
      <c r="A93" s="73" t="s">
        <v>124</v>
      </c>
      <c r="B93">
        <v>1369471000</v>
      </c>
      <c r="C93">
        <v>-269000</v>
      </c>
      <c r="D93">
        <v>21268000000</v>
      </c>
      <c r="E93">
        <v>791377000</v>
      </c>
    </row>
    <row r="94" spans="1:6" x14ac:dyDescent="0.25">
      <c r="A94" s="73" t="s">
        <v>125</v>
      </c>
      <c r="B94">
        <v>1089650000</v>
      </c>
      <c r="C94">
        <v>37242000</v>
      </c>
      <c r="D94">
        <v>20408875560</v>
      </c>
      <c r="E94">
        <v>717165000</v>
      </c>
    </row>
    <row r="95" spans="1:6" x14ac:dyDescent="0.25">
      <c r="A95" s="73" t="s">
        <v>126</v>
      </c>
      <c r="B95">
        <v>917574000</v>
      </c>
      <c r="C95">
        <v>50171000</v>
      </c>
      <c r="D95">
        <v>20426027000</v>
      </c>
      <c r="E95">
        <v>681078000</v>
      </c>
    </row>
    <row r="96" spans="1:6" x14ac:dyDescent="0.25">
      <c r="A96" s="73" t="s">
        <v>127</v>
      </c>
      <c r="B96">
        <v>827713000</v>
      </c>
      <c r="C96">
        <v>32342000</v>
      </c>
      <c r="D96">
        <v>19875382320</v>
      </c>
      <c r="E96">
        <v>627301000</v>
      </c>
    </row>
    <row r="97" spans="1:6" x14ac:dyDescent="0.25">
      <c r="A97" s="73" t="s">
        <v>128</v>
      </c>
      <c r="B97">
        <v>735264000</v>
      </c>
      <c r="C97">
        <v>31580000</v>
      </c>
      <c r="D97">
        <v>19412000000</v>
      </c>
      <c r="E97">
        <v>674275000</v>
      </c>
      <c r="F97">
        <v>1.803971962616822</v>
      </c>
    </row>
    <row r="98" spans="1:6" x14ac:dyDescent="0.25">
      <c r="A98" s="73" t="s">
        <v>129</v>
      </c>
      <c r="B98">
        <v>645446000</v>
      </c>
      <c r="C98">
        <v>34380000</v>
      </c>
      <c r="D98">
        <v>19294752640</v>
      </c>
      <c r="E98">
        <v>694883000</v>
      </c>
      <c r="F98">
        <v>0.70274913402061845</v>
      </c>
    </row>
    <row r="99" spans="1:6" x14ac:dyDescent="0.25">
      <c r="A99" s="73" t="s">
        <v>130</v>
      </c>
      <c r="B99">
        <v>544281000</v>
      </c>
      <c r="C99">
        <v>28533000</v>
      </c>
      <c r="D99">
        <v>38153760000</v>
      </c>
      <c r="E99">
        <v>289205000</v>
      </c>
      <c r="F99">
        <v>0.74769230769230766</v>
      </c>
    </row>
    <row r="100" spans="1:6" x14ac:dyDescent="0.25">
      <c r="A100" s="73" t="s">
        <v>131</v>
      </c>
      <c r="B100">
        <v>451883000</v>
      </c>
      <c r="C100">
        <v>6575000</v>
      </c>
      <c r="D100">
        <v>18666720000</v>
      </c>
      <c r="E100">
        <v>269800000</v>
      </c>
      <c r="F100">
        <v>0.56866197183098599</v>
      </c>
    </row>
    <row r="101" spans="1:6" x14ac:dyDescent="0.25">
      <c r="A101" s="73" t="s">
        <v>132</v>
      </c>
      <c r="B101">
        <v>374400000</v>
      </c>
      <c r="C101">
        <v>4300000</v>
      </c>
      <c r="D101">
        <v>18024000000</v>
      </c>
      <c r="E101">
        <v>61600000</v>
      </c>
    </row>
    <row r="102" spans="1:6" x14ac:dyDescent="0.25">
      <c r="A102" s="73" t="s">
        <v>133</v>
      </c>
      <c r="D102">
        <v>16951185380</v>
      </c>
      <c r="E102">
        <v>55200000</v>
      </c>
    </row>
    <row r="103" spans="1:6" x14ac:dyDescent="0.25">
      <c r="A103" s="73" t="s">
        <v>134</v>
      </c>
      <c r="D103">
        <v>16071964020</v>
      </c>
      <c r="E103">
        <v>46800000</v>
      </c>
    </row>
    <row r="104" spans="1:6" x14ac:dyDescent="0.25">
      <c r="A104" s="73" t="s">
        <v>135</v>
      </c>
      <c r="D104">
        <v>17009415280</v>
      </c>
      <c r="E104">
        <v>51800000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136</v>
      </c>
      <c r="B1" s="27" t="s">
        <v>137</v>
      </c>
      <c r="C1" t="s">
        <v>138</v>
      </c>
      <c r="D1" t="s">
        <v>139</v>
      </c>
      <c r="F1" s="27" t="s">
        <v>137</v>
      </c>
      <c r="G1" t="s">
        <v>138</v>
      </c>
      <c r="H1" t="s">
        <v>139</v>
      </c>
      <c r="J1" t="s">
        <v>140</v>
      </c>
      <c r="K1" t="s">
        <v>138</v>
      </c>
      <c r="L1" t="s">
        <v>139</v>
      </c>
      <c r="N1" t="s">
        <v>141</v>
      </c>
      <c r="O1" t="s">
        <v>138</v>
      </c>
      <c r="P1" t="s">
        <v>139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142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143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144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145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146</v>
      </c>
    </row>
    <row r="7" spans="1:46" x14ac:dyDescent="0.25">
      <c r="A7" s="27" t="s">
        <v>147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148</v>
      </c>
    </row>
    <row r="8" spans="1:46" x14ac:dyDescent="0.25">
      <c r="A8" s="27" t="s">
        <v>39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149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150</v>
      </c>
    </row>
    <row r="10" spans="1:46" x14ac:dyDescent="0.25">
      <c r="A10" s="27" t="s">
        <v>151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152</v>
      </c>
    </row>
    <row r="11" spans="1:46" x14ac:dyDescent="0.25">
      <c r="A11" s="27" t="s">
        <v>42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153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154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45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155</v>
      </c>
    </row>
    <row r="15" spans="1:46" x14ac:dyDescent="0.25">
      <c r="A15" s="27" t="s">
        <v>156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157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48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158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159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160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161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162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163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164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165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166</v>
      </c>
      <c r="J26">
        <v>0.61799999999999999</v>
      </c>
      <c r="N26">
        <v>-0.36399999999999999</v>
      </c>
    </row>
    <row r="27" spans="1:17" x14ac:dyDescent="0.25">
      <c r="A27" s="27" t="s">
        <v>167</v>
      </c>
    </row>
    <row r="28" spans="1:17" x14ac:dyDescent="0.25">
      <c r="A28" s="27" t="s">
        <v>168</v>
      </c>
    </row>
    <row r="29" spans="1:17" x14ac:dyDescent="0.25">
      <c r="A29" s="27" t="s">
        <v>169</v>
      </c>
    </row>
    <row r="31" spans="1:17" x14ac:dyDescent="0.25">
      <c r="A31" s="26" t="s">
        <v>170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171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B1" sqref="B1"/>
    </sheetView>
  </sheetViews>
  <sheetFormatPr defaultRowHeight="15" x14ac:dyDescent="0.25"/>
  <sheetData>
    <row r="1" spans="1:5" x14ac:dyDescent="0.25">
      <c r="B1" s="73" t="s">
        <v>172</v>
      </c>
      <c r="C1" s="73" t="s">
        <v>173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174</v>
      </c>
      <c r="D2">
        <v>2.4392129905842328</v>
      </c>
      <c r="E2">
        <v>0.2096942845165892</v>
      </c>
    </row>
    <row r="3" spans="1:5" x14ac:dyDescent="0.25">
      <c r="A3" s="73">
        <v>1</v>
      </c>
      <c r="B3">
        <v>3</v>
      </c>
      <c r="C3" t="s">
        <v>175</v>
      </c>
      <c r="D3">
        <v>2.1813320848024902</v>
      </c>
      <c r="E3">
        <v>0.1918308740550394</v>
      </c>
    </row>
    <row r="4" spans="1:5" x14ac:dyDescent="0.25">
      <c r="A4" s="73">
        <v>2</v>
      </c>
      <c r="B4">
        <v>3</v>
      </c>
      <c r="C4" t="s">
        <v>176</v>
      </c>
      <c r="D4">
        <v>2.3166689738059598</v>
      </c>
      <c r="E4">
        <v>0.2012056604182621</v>
      </c>
    </row>
    <row r="5" spans="1:5" x14ac:dyDescent="0.25">
      <c r="A5" s="73">
        <v>3</v>
      </c>
      <c r="B5">
        <v>5</v>
      </c>
      <c r="C5" t="s">
        <v>174</v>
      </c>
      <c r="D5">
        <v>1.6655061281802761</v>
      </c>
      <c r="E5">
        <v>0.15609960980369231</v>
      </c>
    </row>
    <row r="6" spans="1:5" x14ac:dyDescent="0.25">
      <c r="A6" s="73">
        <v>4</v>
      </c>
      <c r="B6">
        <v>5</v>
      </c>
      <c r="C6" t="s">
        <v>175</v>
      </c>
      <c r="D6">
        <v>1.6290888484452339</v>
      </c>
      <c r="E6">
        <v>0.15357698481977539</v>
      </c>
    </row>
    <row r="7" spans="1:5" x14ac:dyDescent="0.25">
      <c r="A7" s="73">
        <v>5</v>
      </c>
      <c r="B7">
        <v>5</v>
      </c>
      <c r="C7" t="s">
        <v>176</v>
      </c>
      <c r="D7">
        <v>1.7642095405934191</v>
      </c>
      <c r="E7">
        <v>0.16293679522673349</v>
      </c>
    </row>
    <row r="8" spans="1:5" x14ac:dyDescent="0.25">
      <c r="A8" s="73">
        <v>6</v>
      </c>
      <c r="B8" t="s">
        <v>170</v>
      </c>
      <c r="D8">
        <v>1.9993364277352681</v>
      </c>
      <c r="E8">
        <v>0.179224034806682</v>
      </c>
    </row>
    <row r="9" spans="1:5" x14ac:dyDescent="0.25">
      <c r="A9" s="73">
        <v>7</v>
      </c>
      <c r="B9" t="s">
        <v>171</v>
      </c>
      <c r="D9">
        <v>1.972770812697954</v>
      </c>
      <c r="E9">
        <v>0.17738383464088639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2024-10-18T20:28:21Z</dcterms:modified>
</cp:coreProperties>
</file>