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8" documentId="11_DB4C95B8E764CFB84F3C5A056663357DC2798857" xr6:coauthVersionLast="47" xr6:coauthVersionMax="47" xr10:uidLastSave="{4D2270DD-2276-479B-A862-44267BD24B63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H4" i="5"/>
  <c r="G4" i="5"/>
  <c r="G32" i="5" s="1"/>
  <c r="D4" i="5"/>
  <c r="C4" i="5"/>
  <c r="R3" i="5"/>
  <c r="P3" i="5"/>
  <c r="O3" i="5"/>
  <c r="O32" i="5" s="1"/>
  <c r="L3" i="5"/>
  <c r="K3" i="5"/>
  <c r="H3" i="5"/>
  <c r="G3" i="5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G31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K10" i="3"/>
  <c r="K11" i="3" s="1"/>
  <c r="J10" i="3"/>
  <c r="D10" i="3"/>
  <c r="N5" i="3"/>
  <c r="O5" i="3" s="1"/>
  <c r="P5" i="3" s="1"/>
  <c r="Q5" i="3" s="1"/>
  <c r="R5" i="3" s="1"/>
  <c r="S5" i="3" s="1"/>
  <c r="T5" i="3" s="1"/>
  <c r="U5" i="3" s="1"/>
  <c r="L5" i="3"/>
  <c r="K4" i="3"/>
  <c r="L4" i="3" s="1"/>
  <c r="M4" i="3" s="1"/>
  <c r="J4" i="3"/>
  <c r="E4" i="3"/>
  <c r="E5" i="3" s="1"/>
  <c r="D4" i="3"/>
  <c r="F3" i="3"/>
  <c r="E3" i="3"/>
  <c r="D3" i="3"/>
  <c r="K1" i="3"/>
  <c r="K3" i="3" s="1"/>
  <c r="J1" i="3"/>
  <c r="J7" i="3" s="1"/>
  <c r="I1" i="3"/>
  <c r="I10" i="3" s="1"/>
  <c r="H1" i="3"/>
  <c r="H3" i="3" s="1"/>
  <c r="G1" i="3"/>
  <c r="G7" i="3" s="1"/>
  <c r="F1" i="3"/>
  <c r="F4" i="3" s="1"/>
  <c r="F5" i="3" s="1"/>
  <c r="E1" i="3"/>
  <c r="E10" i="3" s="1"/>
  <c r="E11" i="3" s="1"/>
  <c r="D1" i="3"/>
  <c r="D7" i="3" s="1"/>
  <c r="M11" i="3" l="1"/>
  <c r="N11" i="3" s="1"/>
  <c r="O11" i="3" s="1"/>
  <c r="P11" i="3" s="1"/>
  <c r="Q11" i="3" s="1"/>
  <c r="R11" i="3" s="1"/>
  <c r="S11" i="3" s="1"/>
  <c r="T11" i="3" s="1"/>
  <c r="U11" i="3" s="1"/>
  <c r="J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J8" i="3"/>
  <c r="J13" i="3"/>
  <c r="N4" i="3"/>
  <c r="O4" i="3" s="1"/>
  <c r="P4" i="3" s="1"/>
  <c r="Q4" i="3" s="1"/>
  <c r="R4" i="3" s="1"/>
  <c r="S4" i="3" s="1"/>
  <c r="T4" i="3" s="1"/>
  <c r="U4" i="3" s="1"/>
  <c r="V4" i="3" s="1"/>
  <c r="D13" i="3"/>
  <c r="D8" i="3"/>
  <c r="K5" i="3"/>
  <c r="I7" i="3"/>
  <c r="F10" i="3"/>
  <c r="F11" i="3" s="1"/>
  <c r="C31" i="5"/>
  <c r="G3" i="3"/>
  <c r="L10" i="3"/>
  <c r="M10" i="3" s="1"/>
  <c r="I3" i="3"/>
  <c r="G4" i="3"/>
  <c r="G5" i="3" s="1"/>
  <c r="K7" i="3"/>
  <c r="L1" i="3"/>
  <c r="J3" i="3"/>
  <c r="H4" i="3"/>
  <c r="H5" i="3" s="1"/>
  <c r="G10" i="3"/>
  <c r="G11" i="3" s="1"/>
  <c r="C21" i="3"/>
  <c r="I4" i="3"/>
  <c r="E7" i="3"/>
  <c r="H10" i="3"/>
  <c r="K31" i="5"/>
  <c r="F7" i="3"/>
  <c r="O31" i="5"/>
  <c r="H7" i="3"/>
  <c r="C20" i="3"/>
  <c r="N10" i="3" l="1"/>
  <c r="O10" i="3" s="1"/>
  <c r="P10" i="3" s="1"/>
  <c r="Q10" i="3" s="1"/>
  <c r="R10" i="3" s="1"/>
  <c r="S10" i="3" s="1"/>
  <c r="T10" i="3" s="1"/>
  <c r="U10" i="3" s="1"/>
  <c r="V10" i="3" s="1"/>
  <c r="H8" i="3"/>
  <c r="H13" i="3"/>
  <c r="F8" i="3"/>
  <c r="F13" i="3"/>
  <c r="G13" i="3"/>
  <c r="L3" i="3"/>
  <c r="M1" i="3"/>
  <c r="I13" i="3"/>
  <c r="I8" i="3"/>
  <c r="G8" i="3"/>
  <c r="H11" i="3"/>
  <c r="K8" i="3"/>
  <c r="K13" i="3"/>
  <c r="I11" i="3"/>
  <c r="E8" i="3"/>
  <c r="L8" i="3" s="1"/>
  <c r="E13" i="3"/>
  <c r="I5" i="3"/>
  <c r="J5" i="3"/>
  <c r="L7" i="3" l="1"/>
  <c r="L13" i="3" s="1"/>
  <c r="L14" i="3" s="1"/>
  <c r="M8" i="3"/>
  <c r="N1" i="3"/>
  <c r="M3" i="3"/>
  <c r="N3" i="3" l="1"/>
  <c r="O1" i="3"/>
  <c r="M7" i="3"/>
  <c r="M13" i="3" s="1"/>
  <c r="M14" i="3" s="1"/>
  <c r="N8" i="3"/>
  <c r="O8" i="3" l="1"/>
  <c r="N7" i="3"/>
  <c r="N13" i="3" s="1"/>
  <c r="N14" i="3" s="1"/>
  <c r="P1" i="3"/>
  <c r="O3" i="3"/>
  <c r="P3" i="3" l="1"/>
  <c r="Q1" i="3"/>
  <c r="O7" i="3"/>
  <c r="O13" i="3" s="1"/>
  <c r="O14" i="3" s="1"/>
  <c r="P8" i="3"/>
  <c r="R1" i="3" l="1"/>
  <c r="Q3" i="3"/>
  <c r="Q8" i="3"/>
  <c r="P7" i="3"/>
  <c r="P13" i="3" s="1"/>
  <c r="P14" i="3" s="1"/>
  <c r="R8" i="3" l="1"/>
  <c r="Q7" i="3"/>
  <c r="Q13" i="3" s="1"/>
  <c r="Q14" i="3" s="1"/>
  <c r="S1" i="3"/>
  <c r="R3" i="3"/>
  <c r="S3" i="3" l="1"/>
  <c r="T1" i="3"/>
  <c r="R7" i="3"/>
  <c r="R13" i="3" s="1"/>
  <c r="R14" i="3" s="1"/>
  <c r="S8" i="3"/>
  <c r="T3" i="3" l="1"/>
  <c r="U1" i="3"/>
  <c r="U3" i="3" s="1"/>
  <c r="T8" i="3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<sst xmlns="http://schemas.openxmlformats.org/spreadsheetml/2006/main" count="106" uniqueCount="88">
  <si>
    <t>This sheet contains FactSet XML data for use with this workbook's =FDS codes.  Modifying the worksheet's contents may damage the workbook's =FDS functionality.</t>
  </si>
  <si>
    <t>ARM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</si>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</sst>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2217000000</v>
      </c>
    </row>
    <row r="3" spans="1:2" x14ac:dyDescent="0.25">
      <c r="A3" s="73" t="s">
        <v>3</v>
      </c>
      <c r="B3">
        <v>221000000</v>
      </c>
    </row>
    <row r="4" spans="1:2" x14ac:dyDescent="0.25">
      <c r="A4" s="73" t="s">
        <v>4</v>
      </c>
      <c r="B4">
        <v>3.7559483344663497E-2</v>
      </c>
    </row>
    <row r="5" spans="1:2" x14ac:dyDescent="0.25">
      <c r="A5" s="73" t="s">
        <v>5</v>
      </c>
      <c r="B5">
        <v>0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5663000000</v>
      </c>
    </row>
    <row r="8" spans="1:2" x14ac:dyDescent="0.25">
      <c r="A8" s="73" t="s">
        <v>8</v>
      </c>
      <c r="B8">
        <v>0.96244051665533648</v>
      </c>
    </row>
    <row r="9" spans="1:2" x14ac:dyDescent="0.25">
      <c r="A9" s="73" t="s">
        <v>9</v>
      </c>
      <c r="B9">
        <v>0.31999163433562078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4.0314946289578844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0.30797291387536041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1" sqref="L11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>
        <f>Python!A23</f>
        <v>0</v>
      </c>
      <c r="G1" s="66">
        <f>Python!A19</f>
        <v>0</v>
      </c>
      <c r="H1" s="66">
        <f>Python!A15</f>
        <v>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1900</v>
      </c>
      <c r="G3" s="45">
        <f t="shared" si="1"/>
        <v>1900</v>
      </c>
      <c r="H3" s="45">
        <f t="shared" si="1"/>
        <v>1900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0</v>
      </c>
      <c r="H4" s="36">
        <f>IFERROR(INDEX(Python!$1:$1048576,MATCH(DCF_Simple!H$1,Python!$A:$A,0),MATCH(DCF_Simple!$B4,Python!$1:$1,0))/1000000,0)</f>
        <v>0</v>
      </c>
      <c r="I4" s="36">
        <f>IFERROR(INDEX(Python!$1:$1048576,MATCH(DCF_Simple!I$1,Python!$A:$A,0),MATCH(DCF_Simple!$B4,Python!$1:$1,0))/1000000,0)</f>
        <v>0</v>
      </c>
      <c r="J4" s="36">
        <f>IFERROR(INDEX(Python!$1:$1048576,MATCH(DCF_Simple!J$1,Python!$A:$A,0),MATCH(DCF_Simple!$B4,Python!$1:$1,0))/1000000,0)</f>
        <v>2662</v>
      </c>
      <c r="K4" s="55">
        <f>IFERROR(INDEX(Python!$1:$1048576,MATCH(DCF_Simple!K$1,Python!$A:$A,0),MATCH(DCF_Simple!$B4,Python!$1:$1,0))/1000000,0)</f>
        <v>3497</v>
      </c>
      <c r="L4" s="37">
        <f t="shared" ref="L4:U4" si="2">K4*(1+L5)</f>
        <v>3503.6382258064514</v>
      </c>
      <c r="M4" s="36">
        <f t="shared" si="2"/>
        <v>3854.0020483870967</v>
      </c>
      <c r="N4" s="36">
        <f t="shared" si="2"/>
        <v>4239.4022532258068</v>
      </c>
      <c r="O4" s="36">
        <f t="shared" si="2"/>
        <v>4663.3424785483876</v>
      </c>
      <c r="P4" s="36">
        <f t="shared" si="2"/>
        <v>5129.6767264032269</v>
      </c>
      <c r="Q4" s="36">
        <f t="shared" si="2"/>
        <v>5642.64439904355</v>
      </c>
      <c r="R4" s="36">
        <f t="shared" si="2"/>
        <v>6206.9088389479057</v>
      </c>
      <c r="S4" s="36">
        <f t="shared" si="2"/>
        <v>6827.5997228426968</v>
      </c>
      <c r="T4" s="36">
        <f t="shared" si="2"/>
        <v>7510.3596951269674</v>
      </c>
      <c r="U4" s="36">
        <f t="shared" si="2"/>
        <v>8261.3956646396655</v>
      </c>
      <c r="V4" s="19">
        <f>U4</f>
        <v>8261.3956646396655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 t="str">
        <f t="shared" si="3"/>
        <v/>
      </c>
      <c r="I5" s="42" t="str">
        <f t="shared" si="3"/>
        <v/>
      </c>
      <c r="J5" s="42" t="str">
        <f t="shared" si="3"/>
        <v/>
      </c>
      <c r="K5" s="58">
        <f t="shared" si="3"/>
        <v>0.31367392937640881</v>
      </c>
      <c r="L5" s="43">
        <f>Python!F2</f>
        <v>1.898263027295233E-3</v>
      </c>
      <c r="M5" s="43">
        <v>0.1</v>
      </c>
      <c r="N5" s="38">
        <f t="shared" ref="N5:U5" si="4">M5</f>
        <v>0.1</v>
      </c>
      <c r="O5" s="38">
        <f t="shared" si="4"/>
        <v>0.1</v>
      </c>
      <c r="P5" s="38">
        <f t="shared" si="4"/>
        <v>0.1</v>
      </c>
      <c r="Q5" s="38">
        <f t="shared" si="4"/>
        <v>0.1</v>
      </c>
      <c r="R5" s="38">
        <f t="shared" si="4"/>
        <v>0.1</v>
      </c>
      <c r="S5" s="38">
        <f t="shared" si="4"/>
        <v>0.1</v>
      </c>
      <c r="T5" s="38">
        <f t="shared" si="4"/>
        <v>0.1</v>
      </c>
      <c r="U5" s="38">
        <f t="shared" si="4"/>
        <v>0.1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0</v>
      </c>
      <c r="H7" s="52">
        <f>IFERROR(INDEX(Python!$1:$1048576,MATCH(DCF_Simple!H$1,Python!$A:$A,0),MATCH(DCF_Simple!$B7,Python!$1:$1,0))/1000000,0)</f>
        <v>0</v>
      </c>
      <c r="I7" s="52">
        <f>IFERROR(INDEX(Python!$1:$1048576,MATCH(DCF_Simple!I$1,Python!$A:$A,0),MATCH(DCF_Simple!$B7,Python!$1:$1,0))/1000000,0)</f>
        <v>0</v>
      </c>
      <c r="J7" s="52">
        <f>IFERROR(INDEX(Python!$1:$1048576,MATCH(DCF_Simple!J$1,Python!$A:$A,0),MATCH(DCF_Simple!$B7,Python!$1:$1,0))/1000000,0)</f>
        <v>763</v>
      </c>
      <c r="K7" s="57">
        <f>IFERROR(INDEX(Python!$1:$1048576,MATCH(DCF_Simple!K$1,Python!$A:$A,0),MATCH(DCF_Simple!$B7,Python!$1:$1,0))/1000000,0)</f>
        <v>759</v>
      </c>
      <c r="L7" s="64">
        <f t="shared" ref="L7:U7" si="5">L8*L4</f>
        <v>882.33834091095503</v>
      </c>
      <c r="M7" s="64">
        <f t="shared" si="5"/>
        <v>970.57217500205059</v>
      </c>
      <c r="N7" s="64">
        <f t="shared" si="5"/>
        <v>1067.6293925022558</v>
      </c>
      <c r="O7" s="64">
        <f t="shared" si="5"/>
        <v>1174.3923317524814</v>
      </c>
      <c r="P7" s="64">
        <f t="shared" si="5"/>
        <v>1291.8315649277297</v>
      </c>
      <c r="Q7" s="64">
        <f t="shared" si="5"/>
        <v>1421.0147214205026</v>
      </c>
      <c r="R7" s="64">
        <f t="shared" si="5"/>
        <v>1563.116193562553</v>
      </c>
      <c r="S7" s="64">
        <f t="shared" si="5"/>
        <v>1719.4278129188085</v>
      </c>
      <c r="T7" s="64">
        <f t="shared" si="5"/>
        <v>1891.3705942106897</v>
      </c>
      <c r="U7" s="64">
        <f t="shared" si="5"/>
        <v>2080.5076536317588</v>
      </c>
      <c r="V7" s="65">
        <f>U7</f>
        <v>2080.5076536317588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 t="str">
        <f t="shared" si="6"/>
        <v/>
      </c>
      <c r="H8" s="42" t="str">
        <f t="shared" si="6"/>
        <v/>
      </c>
      <c r="I8" s="42" t="str">
        <f t="shared" si="6"/>
        <v/>
      </c>
      <c r="J8" s="42">
        <f t="shared" si="6"/>
        <v>0.28662659654395189</v>
      </c>
      <c r="K8" s="58">
        <f t="shared" si="6"/>
        <v>0.21704317986845867</v>
      </c>
      <c r="L8" s="38">
        <f>AVERAGE(D8:K8)</f>
        <v>0.25183488820620525</v>
      </c>
      <c r="M8" s="38">
        <f t="shared" ref="M8:U8" si="7">L8</f>
        <v>0.25183488820620525</v>
      </c>
      <c r="N8" s="38">
        <f t="shared" si="7"/>
        <v>0.25183488820620525</v>
      </c>
      <c r="O8" s="38">
        <f t="shared" si="7"/>
        <v>0.25183488820620525</v>
      </c>
      <c r="P8" s="38">
        <f t="shared" si="7"/>
        <v>0.25183488820620525</v>
      </c>
      <c r="Q8" s="38">
        <f t="shared" si="7"/>
        <v>0.25183488820620525</v>
      </c>
      <c r="R8" s="38">
        <f t="shared" si="7"/>
        <v>0.25183488820620525</v>
      </c>
      <c r="S8" s="38">
        <f t="shared" si="7"/>
        <v>0.25183488820620525</v>
      </c>
      <c r="T8" s="38">
        <f t="shared" si="7"/>
        <v>0.25183488820620525</v>
      </c>
      <c r="U8" s="38">
        <f t="shared" si="7"/>
        <v>0.25183488820620525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0</v>
      </c>
      <c r="H10" s="17">
        <f>IFERROR(INDEX(Python!$1:$1048576,MATCH(DCF_Simple!H$1,Python!$A:$A,0),MATCH(DCF_Simple!$B10,Python!$1:$1,0))/1000000,0)</f>
        <v>0</v>
      </c>
      <c r="I10" s="17">
        <f>IFERROR(INDEX(Python!$1:$1048576,MATCH(DCF_Simple!I$1,Python!$A:$A,0),MATCH(DCF_Simple!$B10,Python!$1:$1,0))/1000000,0)</f>
        <v>1026.054856</v>
      </c>
      <c r="J10" s="17">
        <f>IFERROR(INDEX(Python!$1:$1048576,MATCH(DCF_Simple!J$1,Python!$A:$A,0),MATCH(DCF_Simple!$B10,Python!$1:$1,0))/1000000,0)</f>
        <v>1026.054856</v>
      </c>
      <c r="K10" s="69">
        <f>IFERROR(INDEX(Python!$1:$1048576,MATCH(DCF_Simple!K$1,Python!$A:$A,0),MATCH(DCF_Simple!$B10,Python!$1:$1,0))/1000000,0)</f>
        <v>1060</v>
      </c>
      <c r="L10" s="17">
        <f t="shared" ref="L10:U10" si="8">K10*(1+L11)</f>
        <v>1077.534078431378</v>
      </c>
      <c r="M10" s="17">
        <f t="shared" si="8"/>
        <v>1095.3581982839237</v>
      </c>
      <c r="N10" s="17">
        <f t="shared" si="8"/>
        <v>1113.4771573020021</v>
      </c>
      <c r="O10" s="17">
        <f t="shared" si="8"/>
        <v>1131.8958325922672</v>
      </c>
      <c r="P10" s="17">
        <f t="shared" si="8"/>
        <v>1150.6191819364394</v>
      </c>
      <c r="Q10" s="17">
        <f t="shared" si="8"/>
        <v>1169.6522451257993</v>
      </c>
      <c r="R10" s="17">
        <f t="shared" si="8"/>
        <v>1189.0001453177549</v>
      </c>
      <c r="S10" s="17">
        <f t="shared" si="8"/>
        <v>1208.6680904148504</v>
      </c>
      <c r="T10" s="17">
        <f t="shared" si="8"/>
        <v>1228.6613744665842</v>
      </c>
      <c r="U10" s="17">
        <f t="shared" si="8"/>
        <v>1248.985379094416</v>
      </c>
      <c r="V10" s="70">
        <f>U10</f>
        <v>1248.985379094416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 t="str">
        <f t="shared" si="9"/>
        <v/>
      </c>
      <c r="I11" s="42" t="str">
        <f t="shared" si="9"/>
        <v/>
      </c>
      <c r="J11" s="42">
        <f t="shared" si="9"/>
        <v>0</v>
      </c>
      <c r="K11" s="58">
        <f t="shared" si="9"/>
        <v>3.3083166851656243E-2</v>
      </c>
      <c r="L11" s="67">
        <f>K11/2</f>
        <v>1.6541583425828121E-2</v>
      </c>
      <c r="M11" s="67">
        <f t="shared" ref="L11:U11" si="10">L11</f>
        <v>1.6541583425828121E-2</v>
      </c>
      <c r="N11" s="67">
        <f t="shared" si="10"/>
        <v>1.6541583425828121E-2</v>
      </c>
      <c r="O11" s="67">
        <f t="shared" si="10"/>
        <v>1.6541583425828121E-2</v>
      </c>
      <c r="P11" s="67">
        <f t="shared" si="10"/>
        <v>1.6541583425828121E-2</v>
      </c>
      <c r="Q11" s="67">
        <f t="shared" si="10"/>
        <v>1.6541583425828121E-2</v>
      </c>
      <c r="R11" s="67">
        <f t="shared" si="10"/>
        <v>1.6541583425828121E-2</v>
      </c>
      <c r="S11" s="67">
        <f t="shared" si="10"/>
        <v>1.6541583425828121E-2</v>
      </c>
      <c r="T11" s="67">
        <f t="shared" si="10"/>
        <v>1.6541583425828121E-2</v>
      </c>
      <c r="U11" s="67">
        <f t="shared" si="10"/>
        <v>1.6541583425828121E-2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0</v>
      </c>
      <c r="G13" s="53">
        <f t="shared" si="11"/>
        <v>0</v>
      </c>
      <c r="H13" s="53">
        <f t="shared" si="11"/>
        <v>0</v>
      </c>
      <c r="I13" s="53">
        <f t="shared" si="11"/>
        <v>0</v>
      </c>
      <c r="J13" s="53">
        <f t="shared" si="11"/>
        <v>0.74362495878095625</v>
      </c>
      <c r="K13" s="59">
        <f t="shared" si="11"/>
        <v>0.71603773584905661</v>
      </c>
      <c r="L13" s="53">
        <f t="shared" ref="L13:U13" si="12">L7/L10</f>
        <v>0.81884959239100863</v>
      </c>
      <c r="M13" s="53">
        <f t="shared" si="12"/>
        <v>0.88607742793419275</v>
      </c>
      <c r="N13" s="53">
        <f t="shared" si="12"/>
        <v>0.958824692092618</v>
      </c>
      <c r="O13" s="53">
        <f t="shared" si="12"/>
        <v>1.0375445318699414</v>
      </c>
      <c r="P13" s="53">
        <f t="shared" si="12"/>
        <v>1.1227272977959886</v>
      </c>
      <c r="Q13" s="53">
        <f t="shared" si="12"/>
        <v>1.2149035983491561</v>
      </c>
      <c r="R13" s="53">
        <f t="shared" si="12"/>
        <v>1.3146476051479516</v>
      </c>
      <c r="S13" s="53">
        <f t="shared" si="12"/>
        <v>1.422580629499907</v>
      </c>
      <c r="T13" s="53">
        <f t="shared" si="12"/>
        <v>1.5393749925863964</v>
      </c>
      <c r="U13" s="53">
        <f t="shared" si="12"/>
        <v>1.6657582133909707</v>
      </c>
      <c r="V13" s="71">
        <f>U13*(1+WACC!$B$13)/(WACC!$B$14-WACC!$B$13)</f>
        <v>5.9001152392901037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0.62604476262804221</v>
      </c>
      <c r="M14" s="62">
        <f>M13/((1+WACC!$B$14)^(M3-$K$3))</f>
        <v>0.5179337030524046</v>
      </c>
      <c r="N14" s="62">
        <f>N13/((1+WACC!$B$14)^(N3-$K$3))</f>
        <v>0.42849223693123928</v>
      </c>
      <c r="O14" s="62">
        <f>O13/((1+WACC!$B$14)^(O3-$K$3))</f>
        <v>0.35449633037639966</v>
      </c>
      <c r="P14" s="62">
        <f>P13/((1+WACC!$B$14)^(P3-$K$3))</f>
        <v>0.29327870476799217</v>
      </c>
      <c r="Q14" s="62">
        <f>Q13/((1+WACC!$B$14)^(Q3-$K$3))</f>
        <v>0.24263269123001713</v>
      </c>
      <c r="R14" s="62">
        <f>R13/((1+WACC!$B$14)^(R3-$K$3))</f>
        <v>0.20073268838285546</v>
      </c>
      <c r="S14" s="62">
        <f>S13/((1+WACC!$B$14)^(S3-$K$3))</f>
        <v>0.16606835616891372</v>
      </c>
      <c r="T14" s="62">
        <f>T13/((1+WACC!$B$14)^(T3-$K$3))</f>
        <v>0.13739017368234818</v>
      </c>
      <c r="U14" s="62">
        <f>U13/((1+WACC!$B$14)^(U3-$K$3))</f>
        <v>0.11366439856408475</v>
      </c>
      <c r="V14" s="63">
        <f>V13/((1+WACC!$B$14)^(U3-$K$3))</f>
        <v>0.40259927565807901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0.40259927565807901</v>
      </c>
      <c r="L17" s="16">
        <f>C17/$C$19</f>
        <v>0.11557873981791984</v>
      </c>
      <c r="O17" s="18"/>
    </row>
    <row r="18" spans="2:22" x14ac:dyDescent="0.25">
      <c r="B18" s="8" t="s">
        <v>26</v>
      </c>
      <c r="C18" s="32">
        <f>SUM(14:14)-V14</f>
        <v>3.0807340457842978</v>
      </c>
      <c r="K18" s="3"/>
      <c r="L18" s="16">
        <f>C18/$C$19</f>
        <v>0.88442126018208012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3.4833333214423767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2.3254716981132075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0.20849056603773586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5.6003144535178482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1.898263027295233E-3</v>
      </c>
    </row>
    <row r="3" spans="1:6" x14ac:dyDescent="0.25">
      <c r="A3" s="73" t="s">
        <v>34</v>
      </c>
      <c r="B3">
        <v>3497000000</v>
      </c>
      <c r="C3">
        <v>759000000</v>
      </c>
      <c r="D3">
        <v>1060000000</v>
      </c>
      <c r="E3">
        <v>2465000000</v>
      </c>
      <c r="F3">
        <v>0.19639999999999991</v>
      </c>
    </row>
    <row r="4" spans="1:6" x14ac:dyDescent="0.25">
      <c r="A4" s="73" t="s">
        <v>35</v>
      </c>
      <c r="B4">
        <v>3233000000</v>
      </c>
      <c r="C4">
        <v>947000000</v>
      </c>
      <c r="D4">
        <v>1057533533</v>
      </c>
      <c r="E4">
        <v>2923000000</v>
      </c>
    </row>
    <row r="5" spans="1:6" x14ac:dyDescent="0.25">
      <c r="A5" s="73" t="s">
        <v>36</v>
      </c>
      <c r="B5">
        <v>2938000000</v>
      </c>
      <c r="C5">
        <v>762000000</v>
      </c>
      <c r="D5">
        <v>1048888488</v>
      </c>
      <c r="E5">
        <v>2401000000</v>
      </c>
    </row>
    <row r="6" spans="1:6" x14ac:dyDescent="0.25">
      <c r="A6" s="73" t="s">
        <v>37</v>
      </c>
      <c r="B6">
        <v>2838000000</v>
      </c>
      <c r="C6">
        <v>901000000</v>
      </c>
      <c r="D6">
        <v>1025312844</v>
      </c>
      <c r="E6">
        <v>2206000000</v>
      </c>
    </row>
    <row r="7" spans="1:6" x14ac:dyDescent="0.25">
      <c r="A7" s="73" t="s">
        <v>38</v>
      </c>
      <c r="B7">
        <v>2662000000</v>
      </c>
      <c r="C7">
        <v>763000000</v>
      </c>
      <c r="D7">
        <v>1026054856</v>
      </c>
      <c r="E7">
        <v>2049000000</v>
      </c>
    </row>
    <row r="8" spans="1:6" x14ac:dyDescent="0.25">
      <c r="A8" s="73" t="s">
        <v>39</v>
      </c>
      <c r="B8">
        <v>2679000000</v>
      </c>
      <c r="C8">
        <v>646000000</v>
      </c>
      <c r="D8">
        <v>1026054856</v>
      </c>
      <c r="E8">
        <v>2215000000</v>
      </c>
    </row>
    <row r="9" spans="1:6" x14ac:dyDescent="0.25">
      <c r="A9" s="73" t="s">
        <v>40</v>
      </c>
      <c r="D9">
        <v>1027918936</v>
      </c>
    </row>
    <row r="10" spans="1:6" x14ac:dyDescent="0.25">
      <c r="A10" s="73" t="s">
        <v>41</v>
      </c>
      <c r="D10">
        <v>1026054856</v>
      </c>
      <c r="E10">
        <v>0</v>
      </c>
    </row>
    <row r="11" spans="1:6" x14ac:dyDescent="0.25">
      <c r="A11" s="73" t="s">
        <v>42</v>
      </c>
      <c r="D11">
        <v>1026054856</v>
      </c>
      <c r="E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43</v>
      </c>
      <c r="B1" s="27" t="s">
        <v>44</v>
      </c>
      <c r="C1" t="s">
        <v>45</v>
      </c>
      <c r="D1" t="s">
        <v>46</v>
      </c>
      <c r="F1" s="27" t="s">
        <v>44</v>
      </c>
      <c r="G1" t="s">
        <v>45</v>
      </c>
      <c r="H1" t="s">
        <v>46</v>
      </c>
      <c r="J1" t="s">
        <v>47</v>
      </c>
      <c r="K1" t="s">
        <v>45</v>
      </c>
      <c r="L1" t="s">
        <v>46</v>
      </c>
      <c r="N1" t="s">
        <v>48</v>
      </c>
      <c r="O1" t="s">
        <v>45</v>
      </c>
      <c r="P1" t="s">
        <v>46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49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50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51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52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53</v>
      </c>
    </row>
    <row r="7" spans="1:46" x14ac:dyDescent="0.25">
      <c r="A7" s="27" t="s">
        <v>54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55</v>
      </c>
    </row>
    <row r="8" spans="1:46" x14ac:dyDescent="0.25">
      <c r="A8" s="27" t="s">
        <v>56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57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58</v>
      </c>
    </row>
    <row r="10" spans="1:46" x14ac:dyDescent="0.25">
      <c r="A10" s="27" t="s">
        <v>59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60</v>
      </c>
    </row>
    <row r="11" spans="1:46" x14ac:dyDescent="0.25">
      <c r="A11" s="27" t="s">
        <v>61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62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63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64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65</v>
      </c>
    </row>
    <row r="15" spans="1:46" x14ac:dyDescent="0.25">
      <c r="A15" s="27" t="s">
        <v>66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67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68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69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70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71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72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73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74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75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76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77</v>
      </c>
      <c r="J26">
        <v>0.61799999999999999</v>
      </c>
      <c r="N26">
        <v>-0.36399999999999999</v>
      </c>
    </row>
    <row r="27" spans="1:17" x14ac:dyDescent="0.25">
      <c r="A27" s="27" t="s">
        <v>78</v>
      </c>
    </row>
    <row r="28" spans="1:17" x14ac:dyDescent="0.25">
      <c r="A28" s="27" t="s">
        <v>79</v>
      </c>
    </row>
    <row r="29" spans="1:17" x14ac:dyDescent="0.25">
      <c r="A29" s="27" t="s">
        <v>80</v>
      </c>
    </row>
    <row r="31" spans="1:17" x14ac:dyDescent="0.25">
      <c r="A31" s="26" t="s">
        <v>81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82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83</v>
      </c>
      <c r="C1" s="73" t="s">
        <v>84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85</v>
      </c>
      <c r="D2">
        <v>4.3701507492348606</v>
      </c>
      <c r="E2">
        <v>0.3434503439422314</v>
      </c>
    </row>
    <row r="3" spans="1:5" x14ac:dyDescent="0.25">
      <c r="A3" s="73">
        <v>1</v>
      </c>
      <c r="B3">
        <v>3</v>
      </c>
      <c r="C3" t="s">
        <v>86</v>
      </c>
      <c r="D3">
        <v>4.0314946289578844</v>
      </c>
      <c r="E3">
        <v>0.31999163433562078</v>
      </c>
    </row>
    <row r="4" spans="1:5" x14ac:dyDescent="0.25">
      <c r="A4" s="73">
        <v>2</v>
      </c>
      <c r="B4">
        <v>3</v>
      </c>
      <c r="C4" t="s">
        <v>87</v>
      </c>
      <c r="D4">
        <v>3.2142247711753269</v>
      </c>
      <c r="E4">
        <v>0.26337935091290648</v>
      </c>
    </row>
    <row r="5" spans="1:5" x14ac:dyDescent="0.25">
      <c r="A5" s="73">
        <v>3</v>
      </c>
      <c r="B5">
        <v>5</v>
      </c>
      <c r="C5" t="s">
        <v>85</v>
      </c>
      <c r="D5">
        <v>4.3701507492348606</v>
      </c>
      <c r="E5">
        <v>0.3434503439422314</v>
      </c>
    </row>
    <row r="6" spans="1:5" x14ac:dyDescent="0.25">
      <c r="A6" s="73">
        <v>4</v>
      </c>
      <c r="B6">
        <v>5</v>
      </c>
      <c r="C6" t="s">
        <v>86</v>
      </c>
      <c r="D6">
        <v>4.0314946289578844</v>
      </c>
      <c r="E6">
        <v>0.31999163433562078</v>
      </c>
    </row>
    <row r="7" spans="1:5" x14ac:dyDescent="0.25">
      <c r="A7" s="73">
        <v>5</v>
      </c>
      <c r="B7">
        <v>5</v>
      </c>
      <c r="C7" t="s">
        <v>87</v>
      </c>
      <c r="D7">
        <v>3.2142247711753269</v>
      </c>
      <c r="E7">
        <v>0.26337935091290648</v>
      </c>
    </row>
    <row r="8" spans="1:5" x14ac:dyDescent="0.25">
      <c r="A8" s="73">
        <v>6</v>
      </c>
      <c r="B8" t="s">
        <v>81</v>
      </c>
      <c r="D8">
        <v>3.8719567164560238</v>
      </c>
      <c r="E8">
        <v>0.30894044306358631</v>
      </c>
    </row>
    <row r="9" spans="1:5" x14ac:dyDescent="0.25">
      <c r="A9" s="73">
        <v>7</v>
      </c>
      <c r="B9" t="s">
        <v>82</v>
      </c>
      <c r="D9">
        <v>4.0314946289578844</v>
      </c>
      <c r="E9">
        <v>0.31999163433562078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2024-10-18T20:33:07Z</dcterms:modified>
</cp:coreProperties>
</file>