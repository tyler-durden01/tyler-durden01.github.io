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4" documentId="11_3EDE3121EBD0C6BEA3B14B8A472157FDDB9F2564" xr6:coauthVersionLast="47" xr6:coauthVersionMax="47" xr10:uidLastSave="{5AEA6880-7308-4FE1-A4EC-8F6BCE8F7D14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3" l="1"/>
  <c r="M5" i="3"/>
  <c r="K32" i="5"/>
  <c r="G32" i="5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O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K31" i="5" s="1"/>
  <c r="H4" i="5"/>
  <c r="G4" i="5"/>
  <c r="D4" i="5"/>
  <c r="C4" i="5"/>
  <c r="R3" i="5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P3" i="5"/>
  <c r="O3" i="5"/>
  <c r="O32" i="5" s="1"/>
  <c r="L3" i="5"/>
  <c r="K3" i="5"/>
  <c r="H3" i="5"/>
  <c r="G3" i="5"/>
  <c r="D3" i="5"/>
  <c r="C3" i="5"/>
  <c r="R2" i="5"/>
  <c r="H2" i="5"/>
  <c r="G2" i="5"/>
  <c r="G31" i="5" s="1"/>
  <c r="D2" i="5"/>
  <c r="C2" i="5"/>
  <c r="C32" i="5" s="1"/>
  <c r="V1" i="5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U1" i="5"/>
  <c r="T1" i="5"/>
  <c r="S1" i="5"/>
  <c r="K10" i="3"/>
  <c r="I10" i="3"/>
  <c r="L5" i="3"/>
  <c r="J4" i="3"/>
  <c r="J5" i="3" s="1"/>
  <c r="D4" i="3"/>
  <c r="L3" i="3"/>
  <c r="K3" i="3"/>
  <c r="J3" i="3"/>
  <c r="G3" i="3"/>
  <c r="D3" i="3"/>
  <c r="L1" i="3"/>
  <c r="M1" i="3" s="1"/>
  <c r="K1" i="3"/>
  <c r="K4" i="3" s="1"/>
  <c r="J1" i="3"/>
  <c r="J7" i="3" s="1"/>
  <c r="I1" i="3"/>
  <c r="I4" i="3" s="1"/>
  <c r="H1" i="3"/>
  <c r="H3" i="3" s="1"/>
  <c r="G1" i="3"/>
  <c r="G7" i="3" s="1"/>
  <c r="F1" i="3"/>
  <c r="F4" i="3" s="1"/>
  <c r="E1" i="3"/>
  <c r="E10" i="3" s="1"/>
  <c r="D1" i="3"/>
  <c r="D7" i="3" s="1"/>
  <c r="N5" i="3" l="1"/>
  <c r="O5" i="3" s="1"/>
  <c r="P5" i="3" s="1"/>
  <c r="Q5" i="3" s="1"/>
  <c r="R5" i="3" s="1"/>
  <c r="S5" i="3" s="1"/>
  <c r="T5" i="3" s="1"/>
  <c r="U5" i="3" s="1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N1" i="3"/>
  <c r="M3" i="3"/>
  <c r="K11" i="3"/>
  <c r="L11" i="3" s="1"/>
  <c r="N11" i="3" s="1"/>
  <c r="O11" i="3" s="1"/>
  <c r="P11" i="3" s="1"/>
  <c r="Q11" i="3" s="1"/>
  <c r="R11" i="3" s="1"/>
  <c r="S11" i="3" s="1"/>
  <c r="T11" i="3" s="1"/>
  <c r="U11" i="3" s="1"/>
  <c r="J8" i="3"/>
  <c r="D8" i="3"/>
  <c r="D13" i="3"/>
  <c r="H7" i="3"/>
  <c r="C20" i="3"/>
  <c r="E4" i="3"/>
  <c r="E5" i="3" s="1"/>
  <c r="I7" i="3"/>
  <c r="D10" i="3"/>
  <c r="E11" i="3" s="1"/>
  <c r="C21" i="3"/>
  <c r="I3" i="3"/>
  <c r="G4" i="3"/>
  <c r="G5" i="3" s="1"/>
  <c r="K7" i="3"/>
  <c r="F10" i="3"/>
  <c r="F11" i="3" s="1"/>
  <c r="C31" i="5"/>
  <c r="F3" i="3"/>
  <c r="H4" i="3"/>
  <c r="I5" i="3" s="1"/>
  <c r="G10" i="3"/>
  <c r="G11" i="3" s="1"/>
  <c r="E7" i="3"/>
  <c r="H10" i="3"/>
  <c r="H11" i="3" s="1"/>
  <c r="F7" i="3"/>
  <c r="E3" i="3"/>
  <c r="J10" i="3"/>
  <c r="J11" i="3" s="1"/>
  <c r="F5" i="3" l="1"/>
  <c r="K8" i="3"/>
  <c r="K13" i="3"/>
  <c r="O1" i="3"/>
  <c r="N3" i="3"/>
  <c r="H5" i="3"/>
  <c r="G13" i="3"/>
  <c r="L8" i="3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I13" i="3"/>
  <c r="I8" i="3"/>
  <c r="G8" i="3"/>
  <c r="F13" i="3"/>
  <c r="F8" i="3"/>
  <c r="E13" i="3"/>
  <c r="E8" i="3"/>
  <c r="J13" i="3"/>
  <c r="I11" i="3"/>
  <c r="H13" i="3"/>
  <c r="H8" i="3"/>
  <c r="O3" i="3" l="1"/>
  <c r="P1" i="3"/>
  <c r="L7" i="3"/>
  <c r="L13" i="3" s="1"/>
  <c r="L14" i="3" s="1"/>
  <c r="M8" i="3"/>
  <c r="N8" i="3" l="1"/>
  <c r="M7" i="3"/>
  <c r="M13" i="3" s="1"/>
  <c r="M14" i="3" s="1"/>
  <c r="P3" i="3"/>
  <c r="Q1" i="3"/>
  <c r="R1" i="3" l="1"/>
  <c r="Q3" i="3"/>
  <c r="O8" i="3"/>
  <c r="N7" i="3"/>
  <c r="N13" i="3" s="1"/>
  <c r="N14" i="3" s="1"/>
  <c r="O7" i="3" l="1"/>
  <c r="O13" i="3" s="1"/>
  <c r="O14" i="3" s="1"/>
  <c r="P8" i="3"/>
  <c r="R3" i="3"/>
  <c r="S1" i="3"/>
  <c r="S3" i="3" l="1"/>
  <c r="T1" i="3"/>
  <c r="Q8" i="3"/>
  <c r="P7" i="3"/>
  <c r="P13" i="3" s="1"/>
  <c r="P14" i="3" s="1"/>
  <c r="U1" i="3" l="1"/>
  <c r="U3" i="3" s="1"/>
  <c r="T3" i="3"/>
  <c r="Q7" i="3"/>
  <c r="Q13" i="3" s="1"/>
  <c r="Q14" i="3" s="1"/>
  <c r="R8" i="3"/>
  <c r="R7" i="3" l="1"/>
  <c r="R13" i="3" s="1"/>
  <c r="R14" i="3" s="1"/>
  <c r="S8" i="3"/>
  <c r="T8" i="3" l="1"/>
  <c r="S7" i="3"/>
  <c r="S13" i="3" s="1"/>
  <c r="S14" i="3" s="1"/>
  <c r="T7" i="3" l="1"/>
  <c r="T13" i="3" s="1"/>
  <c r="T14" i="3" s="1"/>
  <c r="U8" i="3"/>
  <c r="U7" i="3" s="1"/>
  <c r="U13" i="3" l="1"/>
  <c r="V7" i="3"/>
  <c r="U14" i="3" l="1"/>
  <c r="V13" i="3"/>
  <c r="V14" i="3" s="1"/>
  <c r="C18" i="3" l="1"/>
  <c r="C17" i="3"/>
  <c r="C19" i="3" l="1"/>
  <c r="C22" i="3" s="1"/>
  <c r="L17" i="3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<sst xmlns="http://schemas.openxmlformats.org/spreadsheetml/2006/main" count="253" uniqueCount="235">
  <si>
    <t>This sheet contains FactSet XML data for use with this workbook's =FDS codes.  Modifying the worksheet's contents may damage the workbook's =FDS functionality.</t>
  </si>
  <si>
    <t>KLAC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</si>
  <si>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</si>
  <si>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</si>
  <si>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</si>
  <si>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</si>
  <si>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</si>
  <si>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</si>
  <si>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</si>
  <si>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</si>
  <si>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</si>
  <si>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</si>
  <si>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</si>
  <si>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</si>
  <si>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</si>
  <si>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</si>
  <si>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</si>
  <si>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</si>
  <si>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</si>
  <si>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</si>
  <si>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</si>
  <si>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</si>
  <si>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</si>
  <si>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</si>
  <si>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</si>
  <si>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</si>
  <si>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</si>
  <si>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</si>
  <si>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</si>
  <si>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</si>
  <si>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</si>
  <si>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</si>
  <si>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</si>
  <si>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</si>
  <si>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</si>
  <si>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</si>
  <si>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</si>
  <si>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</si>
  <si>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</si>
  <si>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</si>
  <si>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</si>
  <si>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</si>
  <si>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</si>
  <si>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</si>
  <si>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</si>
  <si>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</si>
  <si>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</si>
  <si>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</si>
  <si>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</si>
  <si>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</si>
  <si>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</si>
  <si>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</si>
  <si>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</si>
  <si>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</si>
  <si>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</si>
  <si>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</si>
  <si>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</si>
  <si>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</si>
  <si>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</si>
  <si>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</si>
  <si>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</si>
  <si>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</si>
  <si>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</si>
  <si>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</si>
  <si>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</si>
  <si>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</si>
  <si>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</si>
  <si>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</si>
  <si>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</si>
  <si>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</si>
  <si>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</si>
  <si>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</si>
  <si>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</si>
  <si>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</si>
  <si>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</si>
  <si>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</si>
  <si>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</si>
  <si>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</si>
  <si>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</si>
  <si>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</si>
  <si>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</si>
  <si>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</si>
  <si>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</si>
  <si>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</si>
  <si>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</si>
  <si>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</si>
  <si>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</si>
  <si>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</si>
  <si>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</si>
  <si>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</si>
  <si>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</si>
  <si>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</si>
  <si>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</si>
  <si>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</si>
  <si>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</si>
  <si>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</si>
  <si>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</si>
  <si>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</si>
  <si>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</si>
  <si>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</si>
  <si>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</si>
  <si>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</si>
  <si>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</si>
  <si>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</si>
  <si>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</si>
  <si>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</si>
  <si>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</si>
  <si>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</si>
  <si>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</si>
  <si>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</si>
  <si>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</si>
  <si>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</si>
  <si>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2004-12-31</t>
  </si>
  <si>
    <t>2004-09-30</t>
  </si>
  <si>
    <t>2004-06-30</t>
  </si>
  <si>
    <t>2004-03-31</t>
  </si>
  <si>
    <t>2003-12-31</t>
  </si>
  <si>
    <t>2003-09-30</t>
  </si>
  <si>
    <t>2003-06-30</t>
  </si>
  <si>
    <t>2003-03-31</t>
  </si>
  <si>
    <t>2002-12-31</t>
  </si>
  <si>
    <t>2002-09-30</t>
  </si>
  <si>
    <t>2002-06-30</t>
  </si>
  <si>
    <t>2002-03-31</t>
  </si>
  <si>
    <t>2001-12-31</t>
  </si>
  <si>
    <t>2001-09-30</t>
  </si>
  <si>
    <t>2001-06-30</t>
  </si>
  <si>
    <t>2001-03-31</t>
  </si>
  <si>
    <t>2000-12-31</t>
  </si>
  <si>
    <t>2000-09-30</t>
  </si>
  <si>
    <t>2000-06-30</t>
  </si>
  <si>
    <t>2000-03-31</t>
  </si>
  <si>
    <t>1999-12-31</t>
  </si>
  <si>
    <t>1999-09-30</t>
  </si>
  <si>
    <t>1999-06-30</t>
  </si>
  <si>
    <t>1999-03-31</t>
  </si>
  <si>
    <t>1998-12-31</t>
  </si>
  <si>
    <t>1998-09-30</t>
  </si>
  <si>
    <t>1998-06-30</t>
  </si>
  <si>
    <t>1998-03-31</t>
  </si>
  <si>
    <t>1997-12-31</t>
  </si>
  <si>
    <t>1997-09-30</t>
  </si>
  <si>
    <t>1997-06-30</t>
  </si>
  <si>
    <t>1997-03-31</t>
  </si>
  <si>
    <t>1996-12-31</t>
  </si>
  <si>
    <t>1996-09-30</t>
  </si>
  <si>
    <t>1996-06-30</t>
  </si>
  <si>
    <t>1996-03-31</t>
  </si>
  <si>
    <t>1995-12-31</t>
  </si>
  <si>
    <t>1995-09-30</t>
  </si>
  <si>
    <t>1995-06-30</t>
  </si>
  <si>
    <t>1995-03-31</t>
  </si>
  <si>
    <t>1994-12-31</t>
  </si>
  <si>
    <t>1994-09-30</t>
  </si>
  <si>
    <t>1994-06-30</t>
  </si>
  <si>
    <t>1994-03-31</t>
  </si>
  <si>
    <t>1993-12-31</t>
  </si>
  <si>
    <t>1993-09-30</t>
  </si>
  <si>
    <t>1993-06-30</t>
  </si>
  <si>
    <t>1993-03-31</t>
  </si>
  <si>
    <t>1992-12-31</t>
  </si>
  <si>
    <t>1992-09-30</t>
  </si>
  <si>
    <t>1992-06-30</t>
  </si>
  <si>
    <t>1992-03-31</t>
  </si>
  <si>
    <t>1991-12-31</t>
  </si>
  <si>
    <t>1991-09-30</t>
  </si>
  <si>
    <t>1991-06-30</t>
  </si>
  <si>
    <t>1991-03-31</t>
  </si>
  <si>
    <t>1990-12-31</t>
  </si>
  <si>
    <t>1990-09-30</t>
  </si>
  <si>
    <t>1990-06-30</t>
  </si>
  <si>
    <t>1990-03-31</t>
  </si>
  <si>
    <t>1989-12-31</t>
  </si>
  <si>
    <t>1989-09-30</t>
  </si>
  <si>
    <t>1989-06-30</t>
  </si>
  <si>
    <t>1989-03-31</t>
  </si>
  <si>
    <t>1988-12-31</t>
  </si>
  <si>
    <t>1988-09-30</t>
  </si>
  <si>
    <t>1988-06-30</t>
  </si>
  <si>
    <t>1988-03-31</t>
  </si>
  <si>
    <t>1987-12-31</t>
  </si>
  <si>
    <t>1987-09-30</t>
  </si>
  <si>
    <t>1987-06-30</t>
  </si>
  <si>
    <t>1987-03-31</t>
  </si>
  <si>
    <t>1986-12-31</t>
  </si>
  <si>
    <t>1986-09-30</t>
  </si>
  <si>
    <t>1986-06-30</t>
  </si>
  <si>
    <t>1986-03-31</t>
  </si>
  <si>
    <t>1985-12-31</t>
  </si>
  <si>
    <t>1985-09-30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</si>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</sst>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12065238000</v>
      </c>
    </row>
    <row r="3" spans="1:2" x14ac:dyDescent="0.25">
      <c r="A3" s="73" t="s">
        <v>3</v>
      </c>
      <c r="B3">
        <v>5880199000</v>
      </c>
    </row>
    <row r="4" spans="1:2" x14ac:dyDescent="0.25">
      <c r="A4" s="73" t="s">
        <v>4</v>
      </c>
      <c r="B4">
        <v>0.63579843579415407</v>
      </c>
    </row>
    <row r="5" spans="1:2" x14ac:dyDescent="0.25">
      <c r="A5" s="73" t="s">
        <v>5</v>
      </c>
      <c r="B5">
        <v>5.2932392254071682E-2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3368328000</v>
      </c>
    </row>
    <row r="8" spans="1:2" x14ac:dyDescent="0.25">
      <c r="A8" s="73" t="s">
        <v>8</v>
      </c>
      <c r="B8">
        <v>0.36420156420584598</v>
      </c>
    </row>
    <row r="9" spans="1:2" x14ac:dyDescent="0.25">
      <c r="A9" s="73" t="s">
        <v>9</v>
      </c>
      <c r="B9">
        <v>0.1510972693626533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1.5932910219585139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8.1616784285515678E-2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M8" sqref="M8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 t="str">
        <f>Python!A31</f>
        <v>2017-06-30</v>
      </c>
      <c r="E1" s="66" t="str">
        <f>Python!A27</f>
        <v>2018-06-30</v>
      </c>
      <c r="F1" s="66" t="str">
        <f>Python!A23</f>
        <v>2019-06-30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3480.0140000000001</v>
      </c>
      <c r="E4" s="36">
        <f>IFERROR(INDEX(Python!$1:$1048576,MATCH(DCF_Simple!E$1,Python!$A:$A,0),MATCH(DCF_Simple!$B4,Python!$1:$1,0))/1000000,0)</f>
        <v>4036.701</v>
      </c>
      <c r="F4" s="36">
        <f>IFERROR(INDEX(Python!$1:$1048576,MATCH(DCF_Simple!F$1,Python!$A:$A,0),MATCH(DCF_Simple!$B4,Python!$1:$1,0))/1000000,0)</f>
        <v>4568.9040000000005</v>
      </c>
      <c r="G4" s="36">
        <f>IFERROR(INDEX(Python!$1:$1048576,MATCH(DCF_Simple!G$1,Python!$A:$A,0),MATCH(DCF_Simple!$B4,Python!$1:$1,0))/1000000,0)</f>
        <v>5806.424</v>
      </c>
      <c r="H4" s="36">
        <f>IFERROR(INDEX(Python!$1:$1048576,MATCH(DCF_Simple!H$1,Python!$A:$A,0),MATCH(DCF_Simple!$B4,Python!$1:$1,0))/1000000,0)</f>
        <v>6918.7340000000004</v>
      </c>
      <c r="I4" s="36">
        <f>IFERROR(INDEX(Python!$1:$1048576,MATCH(DCF_Simple!I$1,Python!$A:$A,0),MATCH(DCF_Simple!$B4,Python!$1:$1,0))/1000000,0)</f>
        <v>9211.8829999999998</v>
      </c>
      <c r="J4" s="36">
        <f>IFERROR(INDEX(Python!$1:$1048576,MATCH(DCF_Simple!J$1,Python!$A:$A,0),MATCH(DCF_Simple!$B4,Python!$1:$1,0))/1000000,0)</f>
        <v>10496.056</v>
      </c>
      <c r="K4" s="55">
        <f>IFERROR(INDEX(Python!$1:$1048576,MATCH(DCF_Simple!K$1,Python!$A:$A,0),MATCH(DCF_Simple!$B4,Python!$1:$1,0))/1000000,0)</f>
        <v>9805.3050000000003</v>
      </c>
      <c r="L4" s="37">
        <f t="shared" ref="L4:U4" si="2">K4*(1+L5)</f>
        <v>11280.193936601256</v>
      </c>
      <c r="M4" s="36">
        <f t="shared" si="2"/>
        <v>12467.910511237824</v>
      </c>
      <c r="N4" s="36">
        <f t="shared" si="2"/>
        <v>13780.684391590492</v>
      </c>
      <c r="O4" s="36">
        <f t="shared" si="2"/>
        <v>15231.68313804104</v>
      </c>
      <c r="P4" s="36">
        <f t="shared" si="2"/>
        <v>16835.460752534298</v>
      </c>
      <c r="Q4" s="36">
        <f t="shared" si="2"/>
        <v>18608.103660077533</v>
      </c>
      <c r="R4" s="36">
        <f t="shared" si="2"/>
        <v>20567.392060954851</v>
      </c>
      <c r="S4" s="36">
        <f t="shared" si="2"/>
        <v>22732.978272073215</v>
      </c>
      <c r="T4" s="36">
        <f t="shared" si="2"/>
        <v>25126.583846263333</v>
      </c>
      <c r="U4" s="36">
        <f t="shared" si="2"/>
        <v>27772.217446707818</v>
      </c>
      <c r="V4" s="19">
        <f>U4</f>
        <v>27772.217446707818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0.15996688519069169</v>
      </c>
      <c r="F5" s="42">
        <f t="shared" si="3"/>
        <v>0.13184107517500077</v>
      </c>
      <c r="G5" s="42">
        <f t="shared" si="3"/>
        <v>0.27085708082288429</v>
      </c>
      <c r="H5" s="42">
        <f t="shared" si="3"/>
        <v>0.1915654109999545</v>
      </c>
      <c r="I5" s="42">
        <f t="shared" si="3"/>
        <v>0.33144054967281567</v>
      </c>
      <c r="J5" s="42">
        <f t="shared" si="3"/>
        <v>0.13940396333735472</v>
      </c>
      <c r="K5" s="58">
        <f t="shared" si="3"/>
        <v>-6.5810529212115498E-2</v>
      </c>
      <c r="L5" s="43">
        <f>Python!F2</f>
        <v>0.15041744612750499</v>
      </c>
      <c r="M5" s="43">
        <f>L5*0.7</f>
        <v>0.10529221228925349</v>
      </c>
      <c r="N5" s="38">
        <f t="shared" ref="N5:U5" si="4">M5</f>
        <v>0.10529221228925349</v>
      </c>
      <c r="O5" s="38">
        <f t="shared" si="4"/>
        <v>0.10529221228925349</v>
      </c>
      <c r="P5" s="38">
        <f t="shared" si="4"/>
        <v>0.10529221228925349</v>
      </c>
      <c r="Q5" s="38">
        <f t="shared" si="4"/>
        <v>0.10529221228925349</v>
      </c>
      <c r="R5" s="38">
        <f t="shared" si="4"/>
        <v>0.10529221228925349</v>
      </c>
      <c r="S5" s="38">
        <f t="shared" si="4"/>
        <v>0.10529221228925349</v>
      </c>
      <c r="T5" s="38">
        <f t="shared" si="4"/>
        <v>0.10529221228925349</v>
      </c>
      <c r="U5" s="38">
        <f t="shared" si="4"/>
        <v>0.10529221228925349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1041.0709999999999</v>
      </c>
      <c r="E7" s="52">
        <f>IFERROR(INDEX(Python!$1:$1048576,MATCH(DCF_Simple!E$1,Python!$A:$A,0),MATCH(DCF_Simple!$B7,Python!$1:$1,0))/1000000,0)</f>
        <v>1162.173</v>
      </c>
      <c r="F7" s="52">
        <f>IFERROR(INDEX(Python!$1:$1048576,MATCH(DCF_Simple!F$1,Python!$A:$A,0),MATCH(DCF_Simple!$B7,Python!$1:$1,0))/1000000,0)</f>
        <v>1022.134</v>
      </c>
      <c r="G7" s="52">
        <f>IFERROR(INDEX(Python!$1:$1048576,MATCH(DCF_Simple!G$1,Python!$A:$A,0),MATCH(DCF_Simple!$B7,Python!$1:$1,0))/1000000,0)</f>
        <v>1626.175</v>
      </c>
      <c r="H7" s="52">
        <f>IFERROR(INDEX(Python!$1:$1048576,MATCH(DCF_Simple!H$1,Python!$A:$A,0),MATCH(DCF_Simple!$B7,Python!$1:$1,0))/1000000,0)</f>
        <v>1953.3969999999999</v>
      </c>
      <c r="I7" s="52">
        <f>IFERROR(INDEX(Python!$1:$1048576,MATCH(DCF_Simple!I$1,Python!$A:$A,0),MATCH(DCF_Simple!$B7,Python!$1:$1,0))/1000000,0)</f>
        <v>511.90899999999999</v>
      </c>
      <c r="J7" s="52">
        <f>IFERROR(INDEX(Python!$1:$1048576,MATCH(DCF_Simple!J$1,Python!$A:$A,0),MATCH(DCF_Simple!$B7,Python!$1:$1,0))/1000000,0)</f>
        <v>3328.2139999999999</v>
      </c>
      <c r="K7" s="57">
        <f>IFERROR(INDEX(Python!$1:$1048576,MATCH(DCF_Simple!K$1,Python!$A:$A,0),MATCH(DCF_Simple!$B7,Python!$1:$1,0))/1000000,0)</f>
        <v>3031.1909999999998</v>
      </c>
      <c r="L7" s="64">
        <f t="shared" ref="L7:U7" si="5">L8*L4</f>
        <v>2897.5626810561862</v>
      </c>
      <c r="M7" s="64">
        <f t="shared" si="5"/>
        <v>3202.6534659913723</v>
      </c>
      <c r="N7" s="64">
        <f t="shared" si="5"/>
        <v>3539.8679346214494</v>
      </c>
      <c r="O7" s="64">
        <f t="shared" si="5"/>
        <v>3912.5884606695322</v>
      </c>
      <c r="P7" s="64">
        <f t="shared" si="5"/>
        <v>4324.5535554708313</v>
      </c>
      <c r="Q7" s="64">
        <f t="shared" si="5"/>
        <v>4779.8953664897117</v>
      </c>
      <c r="R7" s="64">
        <f t="shared" si="5"/>
        <v>5283.1811241385658</v>
      </c>
      <c r="S7" s="64">
        <f t="shared" si="5"/>
        <v>5839.4589526239397</v>
      </c>
      <c r="T7" s="64">
        <f t="shared" si="5"/>
        <v>6454.3085043180008</v>
      </c>
      <c r="U7" s="64">
        <f t="shared" si="5"/>
        <v>7133.8969255349866</v>
      </c>
      <c r="V7" s="65">
        <f>U7</f>
        <v>7133.8969255349866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0.29915712982763859</v>
      </c>
      <c r="E8" s="42">
        <f t="shared" si="6"/>
        <v>0.28790168010957462</v>
      </c>
      <c r="F8" s="42">
        <f t="shared" si="6"/>
        <v>0.22371535930717737</v>
      </c>
      <c r="G8" s="42">
        <f t="shared" si="6"/>
        <v>0.28006480408595719</v>
      </c>
      <c r="H8" s="42">
        <f t="shared" si="6"/>
        <v>0.28233445598573376</v>
      </c>
      <c r="I8" s="42">
        <f t="shared" si="6"/>
        <v>5.5570506051802873E-2</v>
      </c>
      <c r="J8" s="42">
        <f t="shared" si="6"/>
        <v>0.31709186765009634</v>
      </c>
      <c r="K8" s="58">
        <f t="shared" si="6"/>
        <v>0.30913785955663792</v>
      </c>
      <c r="L8" s="38">
        <f>AVERAGE(D8:K8)</f>
        <v>0.25687170782182733</v>
      </c>
      <c r="M8" s="38">
        <f t="shared" ref="M8:U8" si="7">L8</f>
        <v>0.25687170782182733</v>
      </c>
      <c r="N8" s="38">
        <f t="shared" si="7"/>
        <v>0.25687170782182733</v>
      </c>
      <c r="O8" s="38">
        <f t="shared" si="7"/>
        <v>0.25687170782182733</v>
      </c>
      <c r="P8" s="38">
        <f t="shared" si="7"/>
        <v>0.25687170782182733</v>
      </c>
      <c r="Q8" s="38">
        <f t="shared" si="7"/>
        <v>0.25687170782182733</v>
      </c>
      <c r="R8" s="38">
        <f t="shared" si="7"/>
        <v>0.25687170782182733</v>
      </c>
      <c r="S8" s="38">
        <f t="shared" si="7"/>
        <v>0.25687170782182733</v>
      </c>
      <c r="T8" s="38">
        <f t="shared" si="7"/>
        <v>0.25687170782182733</v>
      </c>
      <c r="U8" s="38">
        <f t="shared" si="7"/>
        <v>0.25687170782182733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157.93100000000001</v>
      </c>
      <c r="E10" s="17">
        <f>IFERROR(INDEX(Python!$1:$1048576,MATCH(DCF_Simple!E$1,Python!$A:$A,0),MATCH(DCF_Simple!$B10,Python!$1:$1,0))/1000000,0)</f>
        <v>156.822</v>
      </c>
      <c r="F10" s="17">
        <f>IFERROR(INDEX(Python!$1:$1048576,MATCH(DCF_Simple!F$1,Python!$A:$A,0),MATCH(DCF_Simple!$B10,Python!$1:$1,0))/1000000,0)</f>
        <v>161.93700000000001</v>
      </c>
      <c r="G10" s="17">
        <f>IFERROR(INDEX(Python!$1:$1048576,MATCH(DCF_Simple!G$1,Python!$A:$A,0),MATCH(DCF_Simple!$B10,Python!$1:$1,0))/1000000,0)</f>
        <v>156.18299999999999</v>
      </c>
      <c r="H10" s="17">
        <f>IFERROR(INDEX(Python!$1:$1048576,MATCH(DCF_Simple!H$1,Python!$A:$A,0),MATCH(DCF_Simple!$B10,Python!$1:$1,0))/1000000,0)</f>
        <v>154.28299999999999</v>
      </c>
      <c r="I10" s="17">
        <f>IFERROR(INDEX(Python!$1:$1048576,MATCH(DCF_Simple!I$1,Python!$A:$A,0),MATCH(DCF_Simple!$B10,Python!$1:$1,0))/1000000,0)</f>
        <v>149.18199999999999</v>
      </c>
      <c r="J10" s="17">
        <f>IFERROR(INDEX(Python!$1:$1048576,MATCH(DCF_Simple!J$1,Python!$A:$A,0),MATCH(DCF_Simple!$B10,Python!$1:$1,0))/1000000,0)</f>
        <v>137.654</v>
      </c>
      <c r="K10" s="69">
        <f>IFERROR(INDEX(Python!$1:$1048576,MATCH(DCF_Simple!K$1,Python!$A:$A,0),MATCH(DCF_Simple!$B10,Python!$1:$1,0))/1000000,0)</f>
        <v>135.34200000000001</v>
      </c>
      <c r="L10" s="17">
        <f t="shared" ref="L10:U10" si="8">K10*(1+L11)</f>
        <v>133.06883173754488</v>
      </c>
      <c r="M10" s="17">
        <f t="shared" si="8"/>
        <v>130.23187836359901</v>
      </c>
      <c r="N10" s="17">
        <f t="shared" si="8"/>
        <v>127.45540725541629</v>
      </c>
      <c r="O10" s="17">
        <f t="shared" si="8"/>
        <v>124.73812896477898</v>
      </c>
      <c r="P10" s="17">
        <f t="shared" si="8"/>
        <v>122.07878153378714</v>
      </c>
      <c r="Q10" s="17">
        <f t="shared" si="8"/>
        <v>119.47612990878032</v>
      </c>
      <c r="R10" s="17">
        <f t="shared" si="8"/>
        <v>116.92896536675423</v>
      </c>
      <c r="S10" s="17">
        <f t="shared" si="8"/>
        <v>114.43610495400574</v>
      </c>
      <c r="T10" s="17">
        <f t="shared" si="8"/>
        <v>111.99639093674581</v>
      </c>
      <c r="U10" s="17">
        <f t="shared" si="8"/>
        <v>109.6086902634249</v>
      </c>
      <c r="V10" s="70">
        <f>U10</f>
        <v>109.6086902634249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-7.0220539349463706E-3</v>
      </c>
      <c r="F11" s="42">
        <f t="shared" si="9"/>
        <v>3.2616597161112759E-2</v>
      </c>
      <c r="G11" s="42">
        <f t="shared" si="9"/>
        <v>-3.553233664943789E-2</v>
      </c>
      <c r="H11" s="42">
        <f t="shared" si="9"/>
        <v>-1.2165216444811611E-2</v>
      </c>
      <c r="I11" s="42">
        <f t="shared" si="9"/>
        <v>-3.3062618694217782E-2</v>
      </c>
      <c r="J11" s="42">
        <f t="shared" si="9"/>
        <v>-7.7274738239197727E-2</v>
      </c>
      <c r="K11" s="58">
        <f t="shared" si="9"/>
        <v>-1.6795734232205262E-2</v>
      </c>
      <c r="L11" s="67">
        <f t="shared" ref="L11:U11" si="10">K11</f>
        <v>-1.6795734232205262E-2</v>
      </c>
      <c r="M11" s="67">
        <f>AVERAGE(E11:K11)</f>
        <v>-2.131944300481484E-2</v>
      </c>
      <c r="N11" s="67">
        <f t="shared" si="10"/>
        <v>-2.131944300481484E-2</v>
      </c>
      <c r="O11" s="67">
        <f t="shared" si="10"/>
        <v>-2.131944300481484E-2</v>
      </c>
      <c r="P11" s="67">
        <f t="shared" si="10"/>
        <v>-2.131944300481484E-2</v>
      </c>
      <c r="Q11" s="67">
        <f t="shared" si="10"/>
        <v>-2.131944300481484E-2</v>
      </c>
      <c r="R11" s="67">
        <f t="shared" si="10"/>
        <v>-2.131944300481484E-2</v>
      </c>
      <c r="S11" s="67">
        <f t="shared" si="10"/>
        <v>-2.131944300481484E-2</v>
      </c>
      <c r="T11" s="67">
        <f t="shared" si="10"/>
        <v>-2.131944300481484E-2</v>
      </c>
      <c r="U11" s="67">
        <f t="shared" si="10"/>
        <v>-2.131944300481484E-2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6.5919357187632563</v>
      </c>
      <c r="E13" s="53">
        <f t="shared" si="11"/>
        <v>7.4107778245399238</v>
      </c>
      <c r="F13" s="53">
        <f t="shared" si="11"/>
        <v>6.3119237728252342</v>
      </c>
      <c r="G13" s="53">
        <f t="shared" si="11"/>
        <v>10.411984659021789</v>
      </c>
      <c r="H13" s="53">
        <f t="shared" si="11"/>
        <v>12.661129223569674</v>
      </c>
      <c r="I13" s="53">
        <f t="shared" si="11"/>
        <v>3.4314394497995737</v>
      </c>
      <c r="J13" s="53">
        <f t="shared" si="11"/>
        <v>24.17811324044343</v>
      </c>
      <c r="K13" s="59">
        <f t="shared" si="11"/>
        <v>22.396528793722567</v>
      </c>
      <c r="L13" s="53">
        <f t="shared" ref="L13:U13" si="12">L7/L10</f>
        <v>21.774916358859485</v>
      </c>
      <c r="M13" s="53">
        <f t="shared" si="12"/>
        <v>24.591931762281508</v>
      </c>
      <c r="N13" s="53">
        <f t="shared" si="12"/>
        <v>27.773383733556905</v>
      </c>
      <c r="O13" s="53">
        <f t="shared" si="12"/>
        <v>31.36641933898407</v>
      </c>
      <c r="P13" s="53">
        <f t="shared" si="12"/>
        <v>35.42428504886368</v>
      </c>
      <c r="Q13" s="53">
        <f t="shared" si="12"/>
        <v>40.007115815846632</v>
      </c>
      <c r="R13" s="53">
        <f t="shared" si="12"/>
        <v>45.182826236147505</v>
      </c>
      <c r="S13" s="53">
        <f t="shared" si="12"/>
        <v>51.028117000058153</v>
      </c>
      <c r="T13" s="53">
        <f t="shared" si="12"/>
        <v>57.629611546708816</v>
      </c>
      <c r="U13" s="53">
        <f t="shared" si="12"/>
        <v>65.085139767567156</v>
      </c>
      <c r="V13" s="71">
        <f>U13*(1+WACC!$B$13)/(WACC!$B$14-WACC!$B$13)</f>
        <v>1077.4149175864104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20.131821801603564</v>
      </c>
      <c r="M14" s="62">
        <f>M13/((1+WACC!$B$14)^(M3-$K$3))</f>
        <v>21.020633933808806</v>
      </c>
      <c r="N14" s="62">
        <f>N13/((1+WACC!$B$14)^(N3-$K$3))</f>
        <v>21.948686777269124</v>
      </c>
      <c r="O14" s="62">
        <f>O13/((1+WACC!$B$14)^(O3-$K$3))</f>
        <v>22.917712794182094</v>
      </c>
      <c r="P14" s="62">
        <f>P13/((1+WACC!$B$14)^(P3-$K$3))</f>
        <v>23.92952093428007</v>
      </c>
      <c r="Q14" s="62">
        <f>Q13/((1+WACC!$B$14)^(Q3-$K$3))</f>
        <v>24.986000011725181</v>
      </c>
      <c r="R14" s="62">
        <f>R13/((1+WACC!$B$14)^(R3-$K$3))</f>
        <v>26.089122231092976</v>
      </c>
      <c r="S14" s="62">
        <f>S13/((1+WACC!$B$14)^(S3-$K$3))</f>
        <v>27.240946869026828</v>
      </c>
      <c r="T14" s="62">
        <f>T13/((1+WACC!$B$14)^(T3-$K$3))</f>
        <v>28.44362411843607</v>
      </c>
      <c r="U14" s="62">
        <f>U13/((1+WACC!$B$14)^(U3-$K$3))</f>
        <v>29.699399102413828</v>
      </c>
      <c r="V14" s="63">
        <f>V13/((1+WACC!$B$14)^(U3-$K$3))</f>
        <v>491.64180564975055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491.64180564975055</v>
      </c>
      <c r="L17" s="16">
        <f>C17/$C$19</f>
        <v>0.66613683235031484</v>
      </c>
      <c r="O17" s="18"/>
    </row>
    <row r="18" spans="2:22" x14ac:dyDescent="0.25">
      <c r="B18" s="8" t="s">
        <v>26</v>
      </c>
      <c r="C18" s="32">
        <f>SUM(14:14)-V14</f>
        <v>246.40746857383857</v>
      </c>
      <c r="K18" s="3"/>
      <c r="L18" s="16">
        <f>C18/$C$19</f>
        <v>0.33386316764968516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738.04927422358912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33.278620088368719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43.446963987527887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727.88093032442998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8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0.15041744612750499</v>
      </c>
    </row>
    <row r="3" spans="1:6" x14ac:dyDescent="0.25">
      <c r="A3" s="73" t="s">
        <v>34</v>
      </c>
      <c r="B3">
        <v>9805305000</v>
      </c>
      <c r="C3">
        <v>3031191000</v>
      </c>
      <c r="D3">
        <v>135342000</v>
      </c>
      <c r="E3">
        <v>4503995000</v>
      </c>
      <c r="F3">
        <v>7.0117615238519004E-2</v>
      </c>
    </row>
    <row r="4" spans="1:6" x14ac:dyDescent="0.25">
      <c r="A4" s="73" t="s">
        <v>35</v>
      </c>
      <c r="B4">
        <v>9594210000</v>
      </c>
      <c r="C4">
        <v>3079753000</v>
      </c>
      <c r="D4">
        <v>135856000</v>
      </c>
      <c r="E4">
        <v>4294301999</v>
      </c>
      <c r="F4">
        <v>-5.1708061882555723E-2</v>
      </c>
    </row>
    <row r="5" spans="1:6" x14ac:dyDescent="0.25">
      <c r="A5" s="73" t="s">
        <v>36</v>
      </c>
      <c r="B5">
        <v>9671427000</v>
      </c>
      <c r="C5">
        <v>3167509000</v>
      </c>
      <c r="D5">
        <v>136254000</v>
      </c>
      <c r="E5">
        <v>3342994000</v>
      </c>
      <c r="F5">
        <v>-0.1749989191949963</v>
      </c>
    </row>
    <row r="6" spans="1:6" x14ac:dyDescent="0.25">
      <c r="A6" s="73" t="s">
        <v>37</v>
      </c>
      <c r="B6">
        <v>10168588000</v>
      </c>
      <c r="C6">
        <v>3216716000</v>
      </c>
      <c r="D6">
        <v>137104000</v>
      </c>
      <c r="E6">
        <v>3349321000</v>
      </c>
      <c r="F6">
        <v>-0.1330424339236477</v>
      </c>
    </row>
    <row r="7" spans="1:6" x14ac:dyDescent="0.25">
      <c r="A7" s="73" t="s">
        <v>38</v>
      </c>
      <c r="B7">
        <v>10496056000</v>
      </c>
      <c r="C7">
        <v>3328214000</v>
      </c>
      <c r="D7">
        <v>137654000</v>
      </c>
      <c r="E7">
        <v>3243159000</v>
      </c>
      <c r="F7">
        <v>-9.214034926866066E-2</v>
      </c>
    </row>
    <row r="8" spans="1:6" x14ac:dyDescent="0.25">
      <c r="A8" s="73" t="s">
        <v>39</v>
      </c>
      <c r="B8">
        <v>10627658000</v>
      </c>
      <c r="C8">
        <v>700378000</v>
      </c>
      <c r="D8">
        <v>138645000</v>
      </c>
      <c r="E8">
        <v>2890209000</v>
      </c>
      <c r="F8">
        <v>3.7534364846749879E-2</v>
      </c>
    </row>
    <row r="9" spans="1:6" x14ac:dyDescent="0.25">
      <c r="A9" s="73" t="s">
        <v>40</v>
      </c>
      <c r="B9">
        <v>10483726000</v>
      </c>
      <c r="C9">
        <v>493011000</v>
      </c>
      <c r="D9">
        <v>141966000</v>
      </c>
      <c r="E9">
        <v>2866350000</v>
      </c>
    </row>
    <row r="10" spans="1:6" x14ac:dyDescent="0.25">
      <c r="A10" s="73" t="s">
        <v>41</v>
      </c>
      <c r="B10">
        <v>9852469000</v>
      </c>
      <c r="C10">
        <v>644260000</v>
      </c>
      <c r="D10">
        <v>142563000</v>
      </c>
      <c r="E10">
        <v>2953520000</v>
      </c>
    </row>
    <row r="11" spans="1:6" x14ac:dyDescent="0.25">
      <c r="A11" s="73" t="s">
        <v>42</v>
      </c>
      <c r="B11">
        <v>9211883000</v>
      </c>
      <c r="C11">
        <v>511909000</v>
      </c>
      <c r="D11">
        <v>149182000</v>
      </c>
      <c r="E11">
        <v>2708008000</v>
      </c>
      <c r="F11">
        <v>0.21870303266058011</v>
      </c>
    </row>
    <row r="12" spans="1:6" x14ac:dyDescent="0.25">
      <c r="A12" s="73" t="s">
        <v>43</v>
      </c>
      <c r="B12">
        <v>8650615000</v>
      </c>
      <c r="C12">
        <v>2669560000</v>
      </c>
      <c r="D12">
        <v>151186000</v>
      </c>
      <c r="E12">
        <v>2577896000</v>
      </c>
      <c r="F12">
        <v>0.18722200354479199</v>
      </c>
    </row>
    <row r="13" spans="1:6" x14ac:dyDescent="0.25">
      <c r="A13" s="73" t="s">
        <v>44</v>
      </c>
      <c r="B13">
        <v>8165712000</v>
      </c>
      <c r="C13">
        <v>2535953000</v>
      </c>
      <c r="D13">
        <v>152331000</v>
      </c>
      <c r="E13">
        <v>2810461000</v>
      </c>
      <c r="F13">
        <v>0.33834281318335191</v>
      </c>
    </row>
    <row r="14" spans="1:6" x14ac:dyDescent="0.25">
      <c r="A14" s="73" t="s">
        <v>45</v>
      </c>
      <c r="B14">
        <v>7463952000</v>
      </c>
      <c r="C14">
        <v>2291993000</v>
      </c>
      <c r="D14">
        <v>153410000</v>
      </c>
      <c r="E14">
        <v>2624813000</v>
      </c>
      <c r="F14">
        <v>0.32805371046782178</v>
      </c>
    </row>
    <row r="15" spans="1:6" x14ac:dyDescent="0.25">
      <c r="A15" s="73" t="s">
        <v>46</v>
      </c>
      <c r="B15">
        <v>6918734000</v>
      </c>
      <c r="C15">
        <v>1953397000</v>
      </c>
      <c r="D15">
        <v>154283000</v>
      </c>
      <c r="E15">
        <v>2494522000</v>
      </c>
      <c r="F15">
        <v>0.31918281329110232</v>
      </c>
    </row>
    <row r="16" spans="1:6" x14ac:dyDescent="0.25">
      <c r="A16" s="73" t="s">
        <v>47</v>
      </c>
      <c r="B16">
        <v>6452856000</v>
      </c>
      <c r="C16">
        <v>1954206000</v>
      </c>
      <c r="D16">
        <v>155159000</v>
      </c>
      <c r="E16">
        <v>2442725000</v>
      </c>
      <c r="F16">
        <v>0.22382307417884159</v>
      </c>
    </row>
    <row r="17" spans="1:6" x14ac:dyDescent="0.25">
      <c r="A17" s="73" t="s">
        <v>48</v>
      </c>
      <c r="B17">
        <v>6073047000</v>
      </c>
      <c r="C17">
        <v>1767822000</v>
      </c>
      <c r="D17">
        <v>155560000</v>
      </c>
      <c r="E17">
        <v>2296530000</v>
      </c>
      <c r="F17">
        <v>5.752878691817509E-2</v>
      </c>
    </row>
    <row r="18" spans="1:6" x14ac:dyDescent="0.25">
      <c r="A18" s="73" t="s">
        <v>49</v>
      </c>
      <c r="B18">
        <v>5931630000</v>
      </c>
      <c r="C18">
        <v>1618742000</v>
      </c>
      <c r="D18">
        <v>156442000</v>
      </c>
      <c r="E18">
        <v>2043453000</v>
      </c>
      <c r="F18">
        <v>-0.25909768899982599</v>
      </c>
    </row>
    <row r="19" spans="1:6" x14ac:dyDescent="0.25">
      <c r="A19" s="73" t="s">
        <v>50</v>
      </c>
      <c r="B19">
        <v>5806424000</v>
      </c>
      <c r="C19">
        <v>1626175000</v>
      </c>
      <c r="D19">
        <v>156183000</v>
      </c>
      <c r="E19">
        <v>1980472000</v>
      </c>
      <c r="F19">
        <v>2.814342417367599E-2</v>
      </c>
    </row>
    <row r="20" spans="1:6" x14ac:dyDescent="0.25">
      <c r="A20" s="73" t="s">
        <v>51</v>
      </c>
      <c r="B20">
        <v>5605266000</v>
      </c>
      <c r="C20">
        <v>1484734000</v>
      </c>
      <c r="D20">
        <v>157172000</v>
      </c>
      <c r="E20">
        <v>1634531000</v>
      </c>
      <c r="F20">
        <v>0.19786305523229061</v>
      </c>
    </row>
    <row r="21" spans="1:6" x14ac:dyDescent="0.25">
      <c r="A21" s="73" t="s">
        <v>52</v>
      </c>
      <c r="B21">
        <v>5278613000</v>
      </c>
      <c r="C21">
        <v>1223789000</v>
      </c>
      <c r="D21">
        <v>158620000</v>
      </c>
      <c r="E21">
        <v>1677522000</v>
      </c>
      <c r="F21">
        <v>0.31237894165361491</v>
      </c>
    </row>
    <row r="22" spans="1:6" x14ac:dyDescent="0.25">
      <c r="A22" s="73" t="s">
        <v>53</v>
      </c>
      <c r="B22">
        <v>4889058000</v>
      </c>
      <c r="C22">
        <v>1126738000</v>
      </c>
      <c r="D22">
        <v>160131000</v>
      </c>
      <c r="E22">
        <v>1751522000</v>
      </c>
      <c r="F22">
        <v>0.14687722957027599</v>
      </c>
    </row>
    <row r="23" spans="1:6" x14ac:dyDescent="0.25">
      <c r="A23" s="73" t="s">
        <v>54</v>
      </c>
      <c r="B23">
        <v>4568904000</v>
      </c>
      <c r="C23">
        <v>1022134000</v>
      </c>
      <c r="D23">
        <v>161937000</v>
      </c>
      <c r="E23">
        <v>1739385000</v>
      </c>
      <c r="F23">
        <v>0.14967379654655491</v>
      </c>
    </row>
    <row r="24" spans="1:6" x14ac:dyDescent="0.25">
      <c r="A24" s="73" t="s">
        <v>55</v>
      </c>
      <c r="B24">
        <v>4380473000</v>
      </c>
      <c r="C24">
        <v>1103204000</v>
      </c>
      <c r="D24">
        <v>157182000</v>
      </c>
      <c r="E24">
        <v>1897268000</v>
      </c>
      <c r="F24">
        <v>-3.1658259032169012E-3</v>
      </c>
    </row>
    <row r="25" spans="1:6" x14ac:dyDescent="0.25">
      <c r="A25" s="73" t="s">
        <v>56</v>
      </c>
      <c r="B25">
        <v>4304456000</v>
      </c>
      <c r="C25">
        <v>1303179000</v>
      </c>
      <c r="D25">
        <v>152648000</v>
      </c>
      <c r="E25">
        <v>2694094000</v>
      </c>
      <c r="F25">
        <v>3.4762587849013427E-2</v>
      </c>
    </row>
    <row r="26" spans="1:6" x14ac:dyDescent="0.25">
      <c r="A26" s="73" t="s">
        <v>57</v>
      </c>
      <c r="B26">
        <v>4160380000</v>
      </c>
      <c r="C26">
        <v>1163375000</v>
      </c>
      <c r="D26">
        <v>156083000</v>
      </c>
      <c r="E26">
        <v>2780308000</v>
      </c>
      <c r="F26">
        <v>1.300693392300389E-2</v>
      </c>
    </row>
    <row r="27" spans="1:6" x14ac:dyDescent="0.25">
      <c r="A27" s="73" t="s">
        <v>58</v>
      </c>
      <c r="B27">
        <v>4036701000</v>
      </c>
      <c r="C27">
        <v>1162173000</v>
      </c>
      <c r="D27">
        <v>156822000</v>
      </c>
      <c r="E27">
        <v>2880318000</v>
      </c>
      <c r="F27">
        <v>9.8859785414538104E-2</v>
      </c>
    </row>
    <row r="28" spans="1:6" x14ac:dyDescent="0.25">
      <c r="A28" s="73" t="s">
        <v>59</v>
      </c>
      <c r="B28">
        <v>3905344000</v>
      </c>
      <c r="C28">
        <v>1263457000</v>
      </c>
      <c r="D28">
        <v>157201000</v>
      </c>
      <c r="E28">
        <v>2889982000</v>
      </c>
      <c r="F28">
        <v>0.1010311542127513</v>
      </c>
    </row>
    <row r="29" spans="1:6" x14ac:dyDescent="0.25">
      <c r="A29" s="73" t="s">
        <v>60</v>
      </c>
      <c r="B29">
        <v>3797859000</v>
      </c>
      <c r="C29">
        <v>1141268000</v>
      </c>
      <c r="D29">
        <v>156587000</v>
      </c>
      <c r="E29">
        <v>2758190000</v>
      </c>
      <c r="F29">
        <v>-2.27671678726401E-2</v>
      </c>
    </row>
    <row r="30" spans="1:6" x14ac:dyDescent="0.25">
      <c r="A30" s="73" t="s">
        <v>61</v>
      </c>
      <c r="B30">
        <v>3698922000</v>
      </c>
      <c r="C30">
        <v>1239050000</v>
      </c>
      <c r="D30">
        <v>157846000</v>
      </c>
      <c r="E30">
        <v>3056484000</v>
      </c>
      <c r="F30">
        <v>0.17682843661620959</v>
      </c>
    </row>
    <row r="31" spans="1:6" x14ac:dyDescent="0.25">
      <c r="A31" s="73" t="s">
        <v>62</v>
      </c>
      <c r="B31">
        <v>3480014000</v>
      </c>
      <c r="C31">
        <v>1041071000</v>
      </c>
      <c r="D31">
        <v>157931000</v>
      </c>
      <c r="E31">
        <v>3016740000</v>
      </c>
      <c r="F31">
        <v>-9.9947169786688272E-3</v>
      </c>
    </row>
    <row r="32" spans="1:6" x14ac:dyDescent="0.25">
      <c r="A32" s="73" t="s">
        <v>63</v>
      </c>
      <c r="B32">
        <v>3460538000</v>
      </c>
      <c r="C32">
        <v>935687000</v>
      </c>
      <c r="D32">
        <v>157746000</v>
      </c>
      <c r="E32">
        <v>2703514000</v>
      </c>
      <c r="F32">
        <v>0.22722391298550179</v>
      </c>
    </row>
    <row r="33" spans="1:6" x14ac:dyDescent="0.25">
      <c r="A33" s="73" t="s">
        <v>64</v>
      </c>
      <c r="B33">
        <v>3259162000</v>
      </c>
      <c r="C33">
        <v>822806000</v>
      </c>
      <c r="D33">
        <v>157123000</v>
      </c>
      <c r="E33">
        <v>2592977000</v>
      </c>
      <c r="F33">
        <v>0.1290497969010693</v>
      </c>
    </row>
    <row r="34" spans="1:6" x14ac:dyDescent="0.25">
      <c r="A34" s="73" t="s">
        <v>65</v>
      </c>
      <c r="B34">
        <v>3092522000</v>
      </c>
      <c r="C34">
        <v>701408000</v>
      </c>
      <c r="D34">
        <v>157021000</v>
      </c>
      <c r="E34">
        <v>2494621000</v>
      </c>
      <c r="F34">
        <v>3.723029702292413E-2</v>
      </c>
    </row>
    <row r="35" spans="1:6" x14ac:dyDescent="0.25">
      <c r="A35" s="73" t="s">
        <v>66</v>
      </c>
      <c r="B35">
        <v>2984493000</v>
      </c>
      <c r="C35">
        <v>727955000</v>
      </c>
      <c r="D35">
        <v>156618000</v>
      </c>
      <c r="E35">
        <v>2491294000</v>
      </c>
      <c r="F35">
        <v>-2.4982034344705809E-2</v>
      </c>
    </row>
    <row r="36" spans="1:6" x14ac:dyDescent="0.25">
      <c r="A36" s="73" t="s">
        <v>67</v>
      </c>
      <c r="B36">
        <v>2821654000</v>
      </c>
      <c r="C36">
        <v>689612000</v>
      </c>
      <c r="D36">
        <v>156429000</v>
      </c>
      <c r="E36">
        <v>2241310000</v>
      </c>
      <c r="F36">
        <v>-0.17789789954486299</v>
      </c>
    </row>
    <row r="37" spans="1:6" x14ac:dyDescent="0.25">
      <c r="A37" s="73" t="s">
        <v>68</v>
      </c>
      <c r="B37">
        <v>2847680000</v>
      </c>
      <c r="C37">
        <v>819160000</v>
      </c>
      <c r="D37">
        <v>155996000</v>
      </c>
      <c r="E37">
        <v>2241425000</v>
      </c>
      <c r="F37">
        <v>-0.13170002084697871</v>
      </c>
    </row>
    <row r="38" spans="1:6" x14ac:dyDescent="0.25">
      <c r="A38" s="73" t="s">
        <v>69</v>
      </c>
      <c r="B38">
        <v>2813792000</v>
      </c>
      <c r="C38">
        <v>725075000</v>
      </c>
      <c r="D38">
        <v>157984000</v>
      </c>
      <c r="E38">
        <v>2269447000</v>
      </c>
      <c r="F38">
        <v>-0.2116368834392853</v>
      </c>
    </row>
    <row r="39" spans="1:6" x14ac:dyDescent="0.25">
      <c r="A39" s="73" t="s">
        <v>70</v>
      </c>
      <c r="B39">
        <v>2814049000</v>
      </c>
      <c r="C39">
        <v>560115000</v>
      </c>
      <c r="D39">
        <v>159965000</v>
      </c>
      <c r="E39">
        <v>2387111000</v>
      </c>
      <c r="F39">
        <v>-5.3324062461274857E-2</v>
      </c>
    </row>
    <row r="40" spans="1:6" x14ac:dyDescent="0.25">
      <c r="A40" s="73" t="s">
        <v>71</v>
      </c>
      <c r="B40">
        <v>2792060000</v>
      </c>
      <c r="C40">
        <v>487447000</v>
      </c>
      <c r="D40">
        <v>162794000</v>
      </c>
      <c r="E40">
        <v>2339785000</v>
      </c>
      <c r="F40">
        <v>-0.19652781448751139</v>
      </c>
    </row>
    <row r="41" spans="1:6" x14ac:dyDescent="0.25">
      <c r="A41" s="73" t="s">
        <v>72</v>
      </c>
      <c r="B41">
        <v>2885200000</v>
      </c>
      <c r="C41">
        <v>474863000</v>
      </c>
      <c r="D41">
        <v>165317000</v>
      </c>
      <c r="E41">
        <v>2366833000</v>
      </c>
      <c r="F41">
        <v>-0.26645045374676118</v>
      </c>
    </row>
    <row r="42" spans="1:6" x14ac:dyDescent="0.25">
      <c r="A42" s="73" t="s">
        <v>73</v>
      </c>
      <c r="B42">
        <v>2913972000</v>
      </c>
      <c r="C42">
        <v>577368000</v>
      </c>
      <c r="D42">
        <v>166580000</v>
      </c>
      <c r="E42">
        <v>2942492000</v>
      </c>
      <c r="F42">
        <v>-4.4226169879560177E-2</v>
      </c>
    </row>
    <row r="43" spans="1:6" x14ac:dyDescent="0.25">
      <c r="A43" s="73" t="s">
        <v>74</v>
      </c>
      <c r="B43">
        <v>2929408000</v>
      </c>
      <c r="C43">
        <v>711384000</v>
      </c>
      <c r="D43">
        <v>167345000</v>
      </c>
      <c r="E43">
        <v>3152637000</v>
      </c>
      <c r="F43">
        <v>9.6301969912448326E-2</v>
      </c>
    </row>
    <row r="44" spans="1:6" x14ac:dyDescent="0.25">
      <c r="A44" s="73" t="s">
        <v>75</v>
      </c>
      <c r="B44">
        <v>2915097000</v>
      </c>
      <c r="C44">
        <v>632469000</v>
      </c>
      <c r="D44">
        <v>167989000</v>
      </c>
      <c r="E44">
        <v>3026824000</v>
      </c>
      <c r="F44">
        <v>3.8681956410513203E-2</v>
      </c>
    </row>
    <row r="45" spans="1:6" x14ac:dyDescent="0.25">
      <c r="A45" s="73" t="s">
        <v>76</v>
      </c>
      <c r="B45">
        <v>2812527000</v>
      </c>
      <c r="C45">
        <v>809445000</v>
      </c>
      <c r="D45">
        <v>168206000</v>
      </c>
      <c r="E45">
        <v>2950661000</v>
      </c>
      <c r="F45">
        <v>-1.394846592403398E-2</v>
      </c>
    </row>
    <row r="46" spans="1:6" x14ac:dyDescent="0.25">
      <c r="A46" s="73" t="s">
        <v>77</v>
      </c>
      <c r="B46">
        <v>2780409000</v>
      </c>
      <c r="C46">
        <v>768991000</v>
      </c>
      <c r="D46">
        <v>168734000</v>
      </c>
      <c r="E46">
        <v>2951875000</v>
      </c>
      <c r="F46">
        <v>-0.1134587815609351</v>
      </c>
    </row>
    <row r="47" spans="1:6" x14ac:dyDescent="0.25">
      <c r="A47" s="73" t="s">
        <v>78</v>
      </c>
      <c r="B47">
        <v>2842781000</v>
      </c>
      <c r="C47">
        <v>838615000</v>
      </c>
      <c r="D47">
        <v>168685000</v>
      </c>
      <c r="E47">
        <v>2918881000</v>
      </c>
      <c r="F47">
        <v>-0.22276107634473061</v>
      </c>
    </row>
    <row r="48" spans="1:6" x14ac:dyDescent="0.25">
      <c r="A48" s="73" t="s">
        <v>79</v>
      </c>
      <c r="B48">
        <v>3015214000</v>
      </c>
      <c r="C48">
        <v>938990000</v>
      </c>
      <c r="D48">
        <v>169180000</v>
      </c>
      <c r="E48">
        <v>2879503000</v>
      </c>
      <c r="F48">
        <v>-0.26149058381646623</v>
      </c>
    </row>
    <row r="49" spans="1:6" x14ac:dyDescent="0.25">
      <c r="A49" s="73" t="s">
        <v>80</v>
      </c>
      <c r="B49">
        <v>3126706000</v>
      </c>
      <c r="C49">
        <v>790323000</v>
      </c>
      <c r="D49">
        <v>169076000</v>
      </c>
      <c r="E49">
        <v>2578253000</v>
      </c>
      <c r="F49">
        <v>-6.8888743964811483E-2</v>
      </c>
    </row>
    <row r="50" spans="1:6" x14ac:dyDescent="0.25">
      <c r="A50" s="73" t="s">
        <v>81</v>
      </c>
      <c r="B50">
        <v>3096177000</v>
      </c>
      <c r="C50">
        <v>902285000</v>
      </c>
      <c r="D50">
        <v>169824000</v>
      </c>
      <c r="E50">
        <v>2638077000</v>
      </c>
      <c r="F50">
        <v>-4.1278319748492047E-2</v>
      </c>
    </row>
    <row r="51" spans="1:6" x14ac:dyDescent="0.25">
      <c r="A51" s="73" t="s">
        <v>82</v>
      </c>
      <c r="B51">
        <v>3171944000</v>
      </c>
      <c r="C51">
        <v>884021000</v>
      </c>
      <c r="D51">
        <v>170178000</v>
      </c>
      <c r="E51">
        <v>2534444000</v>
      </c>
      <c r="F51">
        <v>-0.1207452744669384</v>
      </c>
    </row>
    <row r="52" spans="1:6" x14ac:dyDescent="0.25">
      <c r="A52" s="73" t="s">
        <v>83</v>
      </c>
      <c r="B52">
        <v>3171918000</v>
      </c>
      <c r="C52">
        <v>902182000</v>
      </c>
      <c r="D52">
        <v>170146000</v>
      </c>
      <c r="E52">
        <v>2369738000</v>
      </c>
      <c r="F52">
        <v>-0.12716951079000399</v>
      </c>
    </row>
    <row r="53" spans="1:6" x14ac:dyDescent="0.25">
      <c r="A53" s="73" t="s">
        <v>84</v>
      </c>
      <c r="B53">
        <v>3165456000</v>
      </c>
      <c r="C53">
        <v>884448000</v>
      </c>
      <c r="D53">
        <v>169103000</v>
      </c>
      <c r="E53">
        <v>2176645000</v>
      </c>
      <c r="F53">
        <v>-0.23145297895023931</v>
      </c>
    </row>
    <row r="54" spans="1:6" x14ac:dyDescent="0.25">
      <c r="A54" s="73" t="s">
        <v>85</v>
      </c>
      <c r="B54">
        <v>3289301000</v>
      </c>
      <c r="C54">
        <v>894507000</v>
      </c>
      <c r="D54">
        <v>169835000</v>
      </c>
      <c r="E54">
        <v>2100151000</v>
      </c>
      <c r="F54">
        <v>0.16730319986165301</v>
      </c>
    </row>
    <row r="55" spans="1:6" x14ac:dyDescent="0.25">
      <c r="A55" s="73" t="s">
        <v>86</v>
      </c>
      <c r="B55">
        <v>3175167000</v>
      </c>
      <c r="C55">
        <v>772015000</v>
      </c>
      <c r="D55">
        <v>170884000</v>
      </c>
      <c r="E55">
        <v>2038535000</v>
      </c>
      <c r="F55">
        <v>0.45697351359178012</v>
      </c>
    </row>
    <row r="56" spans="1:6" x14ac:dyDescent="0.25">
      <c r="A56" s="73" t="s">
        <v>87</v>
      </c>
      <c r="B56">
        <v>2842147000</v>
      </c>
      <c r="C56">
        <v>574307000</v>
      </c>
      <c r="D56">
        <v>171313000</v>
      </c>
      <c r="E56">
        <v>1839574000</v>
      </c>
      <c r="F56">
        <v>0.65070336755878655</v>
      </c>
    </row>
    <row r="57" spans="1:6" x14ac:dyDescent="0.25">
      <c r="A57" s="73" t="s">
        <v>88</v>
      </c>
      <c r="B57">
        <v>2486387000</v>
      </c>
      <c r="C57">
        <v>461856000</v>
      </c>
      <c r="D57">
        <v>169513000</v>
      </c>
      <c r="E57">
        <v>1636400000</v>
      </c>
      <c r="F57">
        <v>0.66108748850359378</v>
      </c>
    </row>
    <row r="58" spans="1:6" x14ac:dyDescent="0.25">
      <c r="A58" s="73" t="s">
        <v>89</v>
      </c>
      <c r="B58">
        <v>2160415000</v>
      </c>
      <c r="C58">
        <v>432349000</v>
      </c>
      <c r="D58">
        <v>169839000</v>
      </c>
      <c r="E58">
        <v>1518992000</v>
      </c>
      <c r="F58">
        <v>0.72958136725349965</v>
      </c>
    </row>
    <row r="59" spans="1:6" x14ac:dyDescent="0.25">
      <c r="A59" s="73" t="s">
        <v>90</v>
      </c>
      <c r="B59">
        <v>1820760000</v>
      </c>
      <c r="C59">
        <v>417598000</v>
      </c>
      <c r="D59">
        <v>167187000</v>
      </c>
      <c r="E59">
        <v>1534044000</v>
      </c>
      <c r="F59">
        <v>0.70331192673586695</v>
      </c>
    </row>
    <row r="60" spans="1:6" x14ac:dyDescent="0.25">
      <c r="A60" s="73" t="s">
        <v>91</v>
      </c>
      <c r="B60">
        <v>1542843000</v>
      </c>
      <c r="C60">
        <v>411569000</v>
      </c>
      <c r="D60">
        <v>173357000</v>
      </c>
      <c r="E60">
        <v>1553524000</v>
      </c>
      <c r="F60">
        <v>0.31876309057788471</v>
      </c>
    </row>
    <row r="61" spans="1:6" x14ac:dyDescent="0.25">
      <c r="A61" s="73" t="s">
        <v>92</v>
      </c>
      <c r="B61">
        <v>1374156000</v>
      </c>
      <c r="C61">
        <v>367280000</v>
      </c>
      <c r="D61">
        <v>173808000</v>
      </c>
      <c r="E61">
        <v>1522344000</v>
      </c>
      <c r="F61">
        <v>7.0809901434482514E-2</v>
      </c>
    </row>
    <row r="62" spans="1:6" x14ac:dyDescent="0.25">
      <c r="A62" s="73" t="s">
        <v>93</v>
      </c>
      <c r="B62">
        <v>1330390000</v>
      </c>
      <c r="C62">
        <v>171847000</v>
      </c>
      <c r="D62">
        <v>172718000</v>
      </c>
      <c r="E62">
        <v>1387232000</v>
      </c>
      <c r="F62">
        <v>-0.91419301876198333</v>
      </c>
    </row>
    <row r="63" spans="1:6" x14ac:dyDescent="0.25">
      <c r="A63" s="73" t="s">
        <v>94</v>
      </c>
      <c r="B63">
        <v>1520216000</v>
      </c>
      <c r="C63">
        <v>173458000</v>
      </c>
      <c r="D63">
        <v>170698000</v>
      </c>
      <c r="E63">
        <v>1329884000</v>
      </c>
      <c r="F63">
        <v>-0.2057365302508575</v>
      </c>
    </row>
    <row r="64" spans="1:6" x14ac:dyDescent="0.25">
      <c r="A64" s="73" t="s">
        <v>95</v>
      </c>
      <c r="B64">
        <v>1829408000</v>
      </c>
      <c r="C64">
        <v>280745000</v>
      </c>
      <c r="D64">
        <v>169934000</v>
      </c>
      <c r="E64">
        <v>1218643000</v>
      </c>
      <c r="F64">
        <v>-0.60686570666153017</v>
      </c>
    </row>
    <row r="65" spans="1:6" x14ac:dyDescent="0.25">
      <c r="A65" s="73" t="s">
        <v>96</v>
      </c>
      <c r="B65">
        <v>2122015000</v>
      </c>
      <c r="C65">
        <v>345413000</v>
      </c>
      <c r="D65">
        <v>169022000</v>
      </c>
      <c r="E65">
        <v>1187937000</v>
      </c>
      <c r="F65">
        <v>-0.55889811775401355</v>
      </c>
    </row>
    <row r="66" spans="1:6" x14ac:dyDescent="0.25">
      <c r="A66" s="73" t="s">
        <v>97</v>
      </c>
      <c r="B66">
        <v>2361209000</v>
      </c>
      <c r="C66">
        <v>491798000</v>
      </c>
      <c r="D66">
        <v>174386000</v>
      </c>
      <c r="E66">
        <v>1265092000</v>
      </c>
      <c r="F66">
        <v>-0.18360040114282419</v>
      </c>
    </row>
    <row r="67" spans="1:6" x14ac:dyDescent="0.25">
      <c r="A67" s="73" t="s">
        <v>98</v>
      </c>
      <c r="B67">
        <v>2521716000</v>
      </c>
      <c r="C67">
        <v>610852000</v>
      </c>
      <c r="D67">
        <v>172088000</v>
      </c>
      <c r="E67">
        <v>1537236000</v>
      </c>
      <c r="F67">
        <v>-0.23794928760381751</v>
      </c>
    </row>
    <row r="68" spans="1:6" x14ac:dyDescent="0.25">
      <c r="A68" s="73" t="s">
        <v>99</v>
      </c>
      <c r="B68">
        <v>2667410000</v>
      </c>
      <c r="C68">
        <v>558436000</v>
      </c>
      <c r="D68">
        <v>180617000</v>
      </c>
      <c r="E68">
        <v>647874000</v>
      </c>
      <c r="F68">
        <v>-0.20938084885954919</v>
      </c>
    </row>
    <row r="69" spans="1:6" x14ac:dyDescent="0.25">
      <c r="A69" s="73" t="s">
        <v>100</v>
      </c>
      <c r="B69">
        <v>2781399000</v>
      </c>
      <c r="C69">
        <v>596200000</v>
      </c>
      <c r="D69">
        <v>185199000</v>
      </c>
      <c r="E69">
        <v>1297204000</v>
      </c>
      <c r="F69">
        <v>-8.6029952100050822E-2</v>
      </c>
    </row>
    <row r="70" spans="1:6" x14ac:dyDescent="0.25">
      <c r="A70" s="73" t="s">
        <v>101</v>
      </c>
      <c r="B70">
        <v>2794886000</v>
      </c>
      <c r="C70">
        <v>622528000</v>
      </c>
      <c r="D70">
        <v>193043000</v>
      </c>
      <c r="E70">
        <v>1282933000</v>
      </c>
      <c r="F70">
        <v>0.1011133479406956</v>
      </c>
    </row>
    <row r="71" spans="1:6" x14ac:dyDescent="0.25">
      <c r="A71" s="73" t="s">
        <v>102</v>
      </c>
      <c r="B71">
        <v>2731229000</v>
      </c>
      <c r="C71">
        <v>526904000</v>
      </c>
      <c r="D71">
        <v>187789000</v>
      </c>
      <c r="E71">
        <v>1710629000</v>
      </c>
      <c r="F71">
        <v>0.19800132634904341</v>
      </c>
    </row>
    <row r="72" spans="1:6" x14ac:dyDescent="0.25">
      <c r="A72" s="73" t="s">
        <v>103</v>
      </c>
      <c r="B72">
        <v>2575382000</v>
      </c>
      <c r="C72">
        <v>519675000</v>
      </c>
      <c r="D72">
        <v>203474000</v>
      </c>
      <c r="E72">
        <v>1585234000</v>
      </c>
      <c r="F72">
        <v>0.28323233498502681</v>
      </c>
    </row>
    <row r="73" spans="1:6" x14ac:dyDescent="0.25">
      <c r="A73" s="73" t="s">
        <v>104</v>
      </c>
      <c r="B73">
        <v>2377430000</v>
      </c>
      <c r="C73">
        <v>433939000</v>
      </c>
      <c r="D73">
        <v>204955000</v>
      </c>
      <c r="E73">
        <v>2142890000</v>
      </c>
      <c r="F73">
        <v>0.2487306104883498</v>
      </c>
    </row>
    <row r="74" spans="1:6" x14ac:dyDescent="0.25">
      <c r="A74" s="73" t="s">
        <v>105</v>
      </c>
      <c r="B74">
        <v>2216130000</v>
      </c>
      <c r="C74">
        <v>342101000</v>
      </c>
      <c r="D74">
        <v>203323000</v>
      </c>
      <c r="E74">
        <v>2425783000</v>
      </c>
    </row>
    <row r="75" spans="1:6" x14ac:dyDescent="0.25">
      <c r="A75" s="73" t="s">
        <v>106</v>
      </c>
      <c r="B75">
        <v>2070627000</v>
      </c>
      <c r="C75">
        <v>241359000</v>
      </c>
      <c r="D75">
        <v>199416000</v>
      </c>
      <c r="E75">
        <v>2325796000</v>
      </c>
    </row>
    <row r="76" spans="1:6" x14ac:dyDescent="0.25">
      <c r="A76" s="73" t="s">
        <v>107</v>
      </c>
      <c r="B76">
        <v>1982002000</v>
      </c>
      <c r="C76">
        <v>270591000</v>
      </c>
      <c r="D76">
        <v>205361000</v>
      </c>
      <c r="E76">
        <v>2285295000</v>
      </c>
      <c r="F76">
        <v>-0.1472354401960079</v>
      </c>
    </row>
    <row r="77" spans="1:6" x14ac:dyDescent="0.25">
      <c r="A77" s="73" t="s">
        <v>108</v>
      </c>
      <c r="B77">
        <v>2005357000</v>
      </c>
      <c r="C77">
        <v>354884000</v>
      </c>
      <c r="D77">
        <v>203926000</v>
      </c>
      <c r="E77">
        <v>2227230000</v>
      </c>
      <c r="F77">
        <v>-0.13965390079440301</v>
      </c>
    </row>
    <row r="78" spans="1:6" x14ac:dyDescent="0.25">
      <c r="A78" s="73" t="s">
        <v>109</v>
      </c>
      <c r="B78">
        <v>2050240000</v>
      </c>
      <c r="C78">
        <v>365636000</v>
      </c>
      <c r="D78">
        <v>203292000</v>
      </c>
      <c r="E78">
        <v>2182746000</v>
      </c>
      <c r="F78">
        <v>-0.1037929884554516</v>
      </c>
    </row>
    <row r="79" spans="1:6" x14ac:dyDescent="0.25">
      <c r="A79" s="73" t="s">
        <v>110</v>
      </c>
      <c r="B79">
        <v>2085153000</v>
      </c>
      <c r="C79">
        <v>447060000</v>
      </c>
      <c r="D79">
        <v>197408000</v>
      </c>
      <c r="E79">
        <v>2195186000</v>
      </c>
      <c r="F79">
        <v>1.076729760810524E-3</v>
      </c>
    </row>
    <row r="80" spans="1:6" x14ac:dyDescent="0.25">
      <c r="A80" s="73" t="s">
        <v>111</v>
      </c>
      <c r="B80">
        <v>2043675000</v>
      </c>
      <c r="C80">
        <v>477720000</v>
      </c>
      <c r="D80">
        <v>202329000</v>
      </c>
      <c r="E80">
        <v>2108344000</v>
      </c>
      <c r="F80">
        <v>0.27563436316615858</v>
      </c>
    </row>
    <row r="81" spans="1:6" x14ac:dyDescent="0.25">
      <c r="A81" s="73" t="s">
        <v>112</v>
      </c>
      <c r="B81">
        <v>1891836000</v>
      </c>
      <c r="C81">
        <v>378498000</v>
      </c>
      <c r="D81">
        <v>200946000</v>
      </c>
      <c r="E81">
        <v>1324412000</v>
      </c>
      <c r="F81">
        <v>0.52251111544346562</v>
      </c>
    </row>
    <row r="82" spans="1:6" x14ac:dyDescent="0.25">
      <c r="A82" s="73" t="s">
        <v>113</v>
      </c>
      <c r="B82">
        <v>1697521000</v>
      </c>
      <c r="C82">
        <v>349670000</v>
      </c>
      <c r="D82">
        <v>199969000</v>
      </c>
      <c r="E82">
        <v>1234115000</v>
      </c>
      <c r="F82">
        <v>0.60346942164355122</v>
      </c>
    </row>
    <row r="83" spans="1:6" x14ac:dyDescent="0.25">
      <c r="A83" s="73" t="s">
        <v>114</v>
      </c>
      <c r="B83">
        <v>1496718000</v>
      </c>
      <c r="C83">
        <v>294149000</v>
      </c>
      <c r="D83">
        <v>196110000</v>
      </c>
      <c r="E83">
        <v>1133154000</v>
      </c>
      <c r="F83">
        <v>0.36954977571493908</v>
      </c>
    </row>
    <row r="84" spans="1:6" x14ac:dyDescent="0.25">
      <c r="A84" s="73" t="s">
        <v>115</v>
      </c>
      <c r="B84">
        <v>1354593000</v>
      </c>
      <c r="C84">
        <v>166429000</v>
      </c>
      <c r="D84">
        <v>203150000</v>
      </c>
      <c r="E84">
        <v>1169132000</v>
      </c>
      <c r="F84">
        <v>0.1257107013519643</v>
      </c>
    </row>
    <row r="85" spans="1:6" x14ac:dyDescent="0.25">
      <c r="A85" s="73" t="s">
        <v>116</v>
      </c>
      <c r="B85">
        <v>1269119000</v>
      </c>
      <c r="C85">
        <v>180785000</v>
      </c>
      <c r="D85">
        <v>202450000</v>
      </c>
      <c r="E85">
        <v>1061894000</v>
      </c>
      <c r="F85">
        <v>-0.127126911661959</v>
      </c>
    </row>
    <row r="86" spans="1:6" x14ac:dyDescent="0.25">
      <c r="A86" s="73" t="s">
        <v>117</v>
      </c>
      <c r="B86">
        <v>1265499000</v>
      </c>
      <c r="C86">
        <v>74347000</v>
      </c>
      <c r="D86">
        <v>200334000</v>
      </c>
      <c r="E86">
        <v>1002206000</v>
      </c>
      <c r="F86">
        <v>-0.20022014007243291</v>
      </c>
    </row>
    <row r="87" spans="1:6" x14ac:dyDescent="0.25">
      <c r="A87" s="73" t="s">
        <v>118</v>
      </c>
      <c r="B87">
        <v>1323049000</v>
      </c>
      <c r="C87">
        <v>112491000</v>
      </c>
      <c r="D87">
        <v>192699000</v>
      </c>
      <c r="E87">
        <v>956964000</v>
      </c>
      <c r="F87">
        <v>-0.17385327738388079</v>
      </c>
    </row>
    <row r="88" spans="1:6" x14ac:dyDescent="0.25">
      <c r="A88" s="73" t="s">
        <v>119</v>
      </c>
      <c r="B88">
        <v>1387930000</v>
      </c>
      <c r="C88">
        <v>158677000</v>
      </c>
      <c r="D88">
        <v>194393000</v>
      </c>
      <c r="E88">
        <v>905468000</v>
      </c>
      <c r="F88">
        <v>-0.26960871501058498</v>
      </c>
    </row>
    <row r="89" spans="1:6" x14ac:dyDescent="0.25">
      <c r="A89" s="73" t="s">
        <v>120</v>
      </c>
      <c r="B89">
        <v>1440740000</v>
      </c>
      <c r="C89">
        <v>182575000</v>
      </c>
      <c r="D89">
        <v>193519000</v>
      </c>
      <c r="E89">
        <v>805647000</v>
      </c>
      <c r="F89">
        <v>-0.230491589714659</v>
      </c>
    </row>
    <row r="90" spans="1:6" x14ac:dyDescent="0.25">
      <c r="A90" s="73" t="s">
        <v>121</v>
      </c>
      <c r="B90">
        <v>1509970000</v>
      </c>
      <c r="C90">
        <v>285124000</v>
      </c>
      <c r="D90">
        <v>194090000</v>
      </c>
      <c r="E90">
        <v>751852000</v>
      </c>
      <c r="F90">
        <v>-0.25322970693989238</v>
      </c>
    </row>
    <row r="91" spans="1:6" x14ac:dyDescent="0.25">
      <c r="A91" s="73" t="s">
        <v>122</v>
      </c>
      <c r="B91">
        <v>1637282000</v>
      </c>
      <c r="C91">
        <v>215389000</v>
      </c>
      <c r="D91">
        <v>189279000</v>
      </c>
      <c r="E91">
        <v>673346000</v>
      </c>
      <c r="F91">
        <v>-0.32120555250031568</v>
      </c>
    </row>
    <row r="92" spans="1:6" x14ac:dyDescent="0.25">
      <c r="A92" s="73" t="s">
        <v>123</v>
      </c>
      <c r="B92">
        <v>1731409000</v>
      </c>
      <c r="C92">
        <v>297420000</v>
      </c>
      <c r="D92">
        <v>197669000</v>
      </c>
      <c r="E92">
        <v>580443000</v>
      </c>
      <c r="F92">
        <v>-0.40413352181395262</v>
      </c>
    </row>
    <row r="93" spans="1:6" x14ac:dyDescent="0.25">
      <c r="A93" s="73" t="s">
        <v>124</v>
      </c>
      <c r="B93">
        <v>1903091000</v>
      </c>
      <c r="C93">
        <v>280967000</v>
      </c>
      <c r="D93">
        <v>194637000</v>
      </c>
      <c r="E93">
        <v>551091000</v>
      </c>
      <c r="F93">
        <v>-0.32303998213089119</v>
      </c>
    </row>
    <row r="94" spans="1:6" x14ac:dyDescent="0.25">
      <c r="A94" s="73" t="s">
        <v>125</v>
      </c>
      <c r="B94">
        <v>2071999000</v>
      </c>
      <c r="C94">
        <v>251696000</v>
      </c>
      <c r="D94">
        <v>195079000</v>
      </c>
      <c r="E94">
        <v>585041000</v>
      </c>
      <c r="F94">
        <v>-8.0841903140724702E-2</v>
      </c>
    </row>
    <row r="95" spans="1:6" x14ac:dyDescent="0.25">
      <c r="A95" s="73" t="s">
        <v>126</v>
      </c>
      <c r="B95">
        <v>2103757000</v>
      </c>
      <c r="C95">
        <v>245723000</v>
      </c>
      <c r="D95">
        <v>187717000</v>
      </c>
      <c r="E95">
        <v>697095000</v>
      </c>
      <c r="F95">
        <v>-0.14241219046196549</v>
      </c>
    </row>
    <row r="96" spans="1:6" x14ac:dyDescent="0.25">
      <c r="A96" s="73" t="s">
        <v>127</v>
      </c>
      <c r="B96">
        <v>2118485000</v>
      </c>
      <c r="C96">
        <v>169130000</v>
      </c>
      <c r="D96">
        <v>191717000</v>
      </c>
      <c r="E96">
        <v>510839000</v>
      </c>
      <c r="F96">
        <v>0.37072646646506069</v>
      </c>
    </row>
    <row r="97" spans="1:6" x14ac:dyDescent="0.25">
      <c r="A97" s="73" t="s">
        <v>128</v>
      </c>
      <c r="B97">
        <v>2002712000</v>
      </c>
      <c r="C97">
        <v>86222000</v>
      </c>
      <c r="D97">
        <v>190893000</v>
      </c>
      <c r="E97">
        <v>398719000</v>
      </c>
      <c r="F97">
        <v>0.46078618500604601</v>
      </c>
    </row>
    <row r="98" spans="1:6" x14ac:dyDescent="0.25">
      <c r="A98" s="73" t="s">
        <v>129</v>
      </c>
      <c r="B98">
        <v>1760456000</v>
      </c>
      <c r="C98">
        <v>141950000</v>
      </c>
      <c r="D98">
        <v>195975000</v>
      </c>
      <c r="E98">
        <v>526788000</v>
      </c>
      <c r="F98">
        <v>0.32395197069597059</v>
      </c>
    </row>
    <row r="99" spans="1:6" x14ac:dyDescent="0.25">
      <c r="A99" s="73" t="s">
        <v>130</v>
      </c>
      <c r="B99">
        <v>1498866000</v>
      </c>
      <c r="C99">
        <v>153898000</v>
      </c>
      <c r="D99">
        <v>187282000</v>
      </c>
      <c r="E99">
        <v>598144000</v>
      </c>
      <c r="F99">
        <v>0.87080544287548145</v>
      </c>
    </row>
    <row r="100" spans="1:6" x14ac:dyDescent="0.25">
      <c r="A100" s="73" t="s">
        <v>131</v>
      </c>
      <c r="B100">
        <v>1250517000</v>
      </c>
      <c r="C100">
        <v>30002000</v>
      </c>
      <c r="D100">
        <v>195236000</v>
      </c>
      <c r="E100">
        <v>478681000</v>
      </c>
      <c r="F100">
        <v>0.64907289236605026</v>
      </c>
    </row>
    <row r="101" spans="1:6" x14ac:dyDescent="0.25">
      <c r="A101" s="73" t="s">
        <v>132</v>
      </c>
      <c r="B101">
        <v>1048400000</v>
      </c>
      <c r="C101">
        <v>47900000</v>
      </c>
      <c r="D101">
        <v>381560000</v>
      </c>
      <c r="E101">
        <v>446100000</v>
      </c>
      <c r="F101">
        <v>0.5679076163391934</v>
      </c>
    </row>
    <row r="102" spans="1:6" x14ac:dyDescent="0.25">
      <c r="A102" s="73" t="s">
        <v>133</v>
      </c>
      <c r="B102">
        <v>911000000</v>
      </c>
      <c r="C102">
        <v>1100000</v>
      </c>
      <c r="D102">
        <v>375868000</v>
      </c>
      <c r="E102">
        <v>399900000</v>
      </c>
      <c r="F102">
        <v>0.12034471734892779</v>
      </c>
    </row>
    <row r="103" spans="1:6" x14ac:dyDescent="0.25">
      <c r="A103" s="73" t="s">
        <v>134</v>
      </c>
      <c r="B103">
        <v>843200000</v>
      </c>
      <c r="C103">
        <v>51500000</v>
      </c>
      <c r="D103">
        <v>355984000</v>
      </c>
      <c r="E103">
        <v>331100000</v>
      </c>
      <c r="F103">
        <v>-0.1486855722178374</v>
      </c>
    </row>
    <row r="104" spans="1:6" x14ac:dyDescent="0.25">
      <c r="A104" s="73" t="s">
        <v>135</v>
      </c>
      <c r="B104">
        <v>862900000</v>
      </c>
      <c r="C104">
        <v>54000000</v>
      </c>
      <c r="D104">
        <v>371856000</v>
      </c>
      <c r="E104">
        <v>281600000</v>
      </c>
      <c r="F104">
        <v>-0.4561034719183078</v>
      </c>
    </row>
    <row r="105" spans="1:6" x14ac:dyDescent="0.25">
      <c r="A105" s="73" t="s">
        <v>136</v>
      </c>
      <c r="B105">
        <v>926200000</v>
      </c>
      <c r="C105">
        <v>47200000</v>
      </c>
      <c r="D105">
        <v>349852000</v>
      </c>
      <c r="E105">
        <v>247600000</v>
      </c>
      <c r="F105">
        <v>-0.52598039215686276</v>
      </c>
    </row>
    <row r="106" spans="1:6" x14ac:dyDescent="0.25">
      <c r="A106" s="73" t="s">
        <v>137</v>
      </c>
      <c r="B106">
        <v>1059200000</v>
      </c>
      <c r="C106">
        <v>38000000</v>
      </c>
      <c r="D106">
        <v>174820000</v>
      </c>
      <c r="E106">
        <v>293200000</v>
      </c>
      <c r="F106">
        <v>-0.23367477592829711</v>
      </c>
    </row>
    <row r="107" spans="1:6" x14ac:dyDescent="0.25">
      <c r="A107" s="73" t="s">
        <v>138</v>
      </c>
      <c r="B107">
        <v>1166400000</v>
      </c>
      <c r="C107">
        <v>-32900000</v>
      </c>
      <c r="D107">
        <v>349368000</v>
      </c>
      <c r="E107">
        <v>308300000</v>
      </c>
      <c r="F107">
        <v>-0.54604084557506272</v>
      </c>
    </row>
    <row r="108" spans="1:6" x14ac:dyDescent="0.25">
      <c r="A108" s="73" t="s">
        <v>139</v>
      </c>
      <c r="B108">
        <v>1471200000</v>
      </c>
      <c r="C108">
        <v>12500000</v>
      </c>
      <c r="D108">
        <v>351140000</v>
      </c>
      <c r="E108">
        <v>264800000</v>
      </c>
      <c r="F108">
        <v>0.64110688212927758</v>
      </c>
    </row>
    <row r="109" spans="1:6" x14ac:dyDescent="0.25">
      <c r="A109" s="73" t="s">
        <v>140</v>
      </c>
      <c r="B109">
        <v>1354800000</v>
      </c>
      <c r="C109">
        <v>27800000</v>
      </c>
      <c r="D109">
        <v>352420000</v>
      </c>
      <c r="E109">
        <v>280900000</v>
      </c>
      <c r="F109">
        <v>1.1516150296638099</v>
      </c>
    </row>
    <row r="110" spans="1:6" x14ac:dyDescent="0.25">
      <c r="A110" s="73" t="s">
        <v>141</v>
      </c>
      <c r="B110">
        <v>1180100000</v>
      </c>
      <c r="C110">
        <v>132600000</v>
      </c>
      <c r="D110">
        <v>355132000</v>
      </c>
      <c r="E110">
        <v>324900000</v>
      </c>
      <c r="F110">
        <v>0.76666086479902562</v>
      </c>
    </row>
    <row r="111" spans="1:6" x14ac:dyDescent="0.25">
      <c r="A111" s="73" t="s">
        <v>142</v>
      </c>
      <c r="B111">
        <v>1031900000</v>
      </c>
      <c r="C111">
        <v>179500000</v>
      </c>
      <c r="D111">
        <v>355132000</v>
      </c>
      <c r="E111">
        <v>348800000</v>
      </c>
      <c r="F111">
        <v>1.772224475597092</v>
      </c>
    </row>
    <row r="112" spans="1:6" x14ac:dyDescent="0.25">
      <c r="A112" s="73" t="s">
        <v>143</v>
      </c>
      <c r="B112">
        <v>666300000</v>
      </c>
      <c r="C112">
        <v>191700000</v>
      </c>
      <c r="D112">
        <v>215320000</v>
      </c>
      <c r="E112">
        <v>160600000</v>
      </c>
      <c r="F112">
        <v>0.28443636266666661</v>
      </c>
    </row>
    <row r="113" spans="1:6" x14ac:dyDescent="0.25">
      <c r="A113" s="73" t="s">
        <v>144</v>
      </c>
      <c r="B113">
        <v>696000000</v>
      </c>
      <c r="C113">
        <v>141200000</v>
      </c>
      <c r="D113">
        <v>102862000</v>
      </c>
      <c r="E113">
        <v>161200000</v>
      </c>
      <c r="F113">
        <v>0.46079613992762369</v>
      </c>
    </row>
    <row r="114" spans="1:6" x14ac:dyDescent="0.25">
      <c r="A114" s="73" t="s">
        <v>145</v>
      </c>
      <c r="B114">
        <v>710100000</v>
      </c>
      <c r="C114">
        <v>27300000</v>
      </c>
      <c r="D114">
        <v>102130000</v>
      </c>
      <c r="E114">
        <v>107100000</v>
      </c>
      <c r="F114">
        <v>0.82731169014084505</v>
      </c>
    </row>
    <row r="115" spans="1:6" x14ac:dyDescent="0.25">
      <c r="A115" s="73" t="s">
        <v>146</v>
      </c>
      <c r="B115">
        <v>695000000</v>
      </c>
      <c r="C115">
        <v>25600000</v>
      </c>
      <c r="D115">
        <v>102130000</v>
      </c>
      <c r="E115">
        <v>109400000</v>
      </c>
    </row>
    <row r="116" spans="1:6" x14ac:dyDescent="0.25">
      <c r="A116" s="73" t="s">
        <v>147</v>
      </c>
      <c r="B116">
        <v>638800000</v>
      </c>
      <c r="C116">
        <v>-7900000</v>
      </c>
      <c r="D116">
        <v>101650000</v>
      </c>
      <c r="E116">
        <v>46600000</v>
      </c>
    </row>
    <row r="117" spans="1:6" x14ac:dyDescent="0.25">
      <c r="A117" s="73" t="s">
        <v>148</v>
      </c>
      <c r="B117">
        <v>569400000</v>
      </c>
      <c r="C117">
        <v>-16700000</v>
      </c>
      <c r="D117">
        <v>101226000</v>
      </c>
      <c r="E117">
        <v>58200000</v>
      </c>
    </row>
    <row r="118" spans="1:6" x14ac:dyDescent="0.25">
      <c r="A118" s="73" t="s">
        <v>149</v>
      </c>
      <c r="B118">
        <v>508300000</v>
      </c>
      <c r="C118">
        <v>16500000</v>
      </c>
      <c r="D118">
        <v>100544260</v>
      </c>
      <c r="E118">
        <v>65800000</v>
      </c>
    </row>
    <row r="119" spans="1:6" x14ac:dyDescent="0.25">
      <c r="A119" s="73" t="s">
        <v>150</v>
      </c>
      <c r="B119">
        <v>442400000</v>
      </c>
      <c r="C119">
        <v>3300000</v>
      </c>
      <c r="D119">
        <v>100544260</v>
      </c>
      <c r="E119">
        <v>92100000</v>
      </c>
    </row>
    <row r="120" spans="1:6" x14ac:dyDescent="0.25">
      <c r="A120" s="73" t="s">
        <v>151</v>
      </c>
      <c r="B120">
        <v>378000000</v>
      </c>
      <c r="C120">
        <v>13600000</v>
      </c>
      <c r="D120">
        <v>93772000</v>
      </c>
      <c r="E120">
        <v>59700000</v>
      </c>
    </row>
    <row r="121" spans="1:6" x14ac:dyDescent="0.25">
      <c r="A121" s="73" t="s">
        <v>152</v>
      </c>
      <c r="B121">
        <v>322600000</v>
      </c>
      <c r="C121">
        <v>25500000</v>
      </c>
      <c r="D121">
        <v>92896000</v>
      </c>
      <c r="E121">
        <v>119800000</v>
      </c>
    </row>
    <row r="122" spans="1:6" x14ac:dyDescent="0.25">
      <c r="A122" s="73" t="s">
        <v>153</v>
      </c>
      <c r="B122">
        <v>275000000</v>
      </c>
      <c r="C122">
        <v>23700000</v>
      </c>
      <c r="D122">
        <v>92216000</v>
      </c>
      <c r="E122">
        <v>144100000</v>
      </c>
    </row>
    <row r="123" spans="1:6" x14ac:dyDescent="0.25">
      <c r="A123" s="73" t="s">
        <v>154</v>
      </c>
      <c r="B123">
        <v>243700000</v>
      </c>
      <c r="C123">
        <v>5500000</v>
      </c>
      <c r="D123">
        <v>92216000</v>
      </c>
      <c r="E123">
        <v>139100000</v>
      </c>
    </row>
    <row r="124" spans="1:6" x14ac:dyDescent="0.25">
      <c r="A124" s="73" t="s">
        <v>155</v>
      </c>
      <c r="B124">
        <v>219500000</v>
      </c>
      <c r="C124">
        <v>7400000</v>
      </c>
      <c r="D124">
        <v>90496000</v>
      </c>
      <c r="E124">
        <v>113900000</v>
      </c>
    </row>
    <row r="125" spans="1:6" x14ac:dyDescent="0.25">
      <c r="A125" s="73" t="s">
        <v>156</v>
      </c>
      <c r="B125">
        <v>199000000</v>
      </c>
      <c r="C125">
        <v>28300000</v>
      </c>
      <c r="D125">
        <v>79320000</v>
      </c>
      <c r="E125">
        <v>47100000</v>
      </c>
    </row>
    <row r="126" spans="1:6" x14ac:dyDescent="0.25">
      <c r="A126" s="73" t="s">
        <v>157</v>
      </c>
      <c r="B126">
        <v>180600000</v>
      </c>
      <c r="C126">
        <v>15300000</v>
      </c>
      <c r="D126">
        <v>78628000</v>
      </c>
      <c r="E126">
        <v>37600000</v>
      </c>
    </row>
    <row r="127" spans="1:6" x14ac:dyDescent="0.25">
      <c r="A127" s="73" t="s">
        <v>158</v>
      </c>
      <c r="B127">
        <v>167200000</v>
      </c>
      <c r="C127">
        <v>27100000</v>
      </c>
      <c r="D127">
        <v>76576000</v>
      </c>
      <c r="E127">
        <v>52400000</v>
      </c>
    </row>
    <row r="128" spans="1:6" x14ac:dyDescent="0.25">
      <c r="A128" s="73" t="s">
        <v>159</v>
      </c>
      <c r="B128">
        <v>152100000</v>
      </c>
      <c r="C128">
        <v>10100000</v>
      </c>
      <c r="D128">
        <v>76576000</v>
      </c>
      <c r="E128">
        <v>31500000</v>
      </c>
    </row>
    <row r="129" spans="1:5" x14ac:dyDescent="0.25">
      <c r="A129" s="73" t="s">
        <v>160</v>
      </c>
      <c r="B129">
        <v>152600000</v>
      </c>
      <c r="C129">
        <v>-7800000</v>
      </c>
      <c r="D129">
        <v>74784000</v>
      </c>
      <c r="E129">
        <v>19100000</v>
      </c>
    </row>
    <row r="130" spans="1:5" x14ac:dyDescent="0.25">
      <c r="A130" s="73" t="s">
        <v>161</v>
      </c>
      <c r="B130">
        <v>153500000</v>
      </c>
      <c r="C130">
        <v>-8200000</v>
      </c>
      <c r="D130">
        <v>74824000</v>
      </c>
      <c r="E130">
        <v>22600000</v>
      </c>
    </row>
    <row r="131" spans="1:5" x14ac:dyDescent="0.25">
      <c r="A131" s="73" t="s">
        <v>162</v>
      </c>
      <c r="B131">
        <v>156000000</v>
      </c>
      <c r="C131">
        <v>-9500000</v>
      </c>
      <c r="D131">
        <v>74232000</v>
      </c>
      <c r="E131">
        <v>23700000</v>
      </c>
    </row>
    <row r="132" spans="1:5" x14ac:dyDescent="0.25">
      <c r="A132" s="73" t="s">
        <v>163</v>
      </c>
      <c r="B132">
        <v>164200000</v>
      </c>
      <c r="C132">
        <v>-4600000</v>
      </c>
      <c r="D132">
        <v>74232000</v>
      </c>
      <c r="E132">
        <v>22100000</v>
      </c>
    </row>
    <row r="133" spans="1:5" x14ac:dyDescent="0.25">
      <c r="A133" s="73" t="s">
        <v>164</v>
      </c>
      <c r="B133">
        <v>158100000</v>
      </c>
      <c r="C133">
        <v>-7400000</v>
      </c>
      <c r="D133">
        <v>73596000</v>
      </c>
      <c r="E133">
        <v>26100000</v>
      </c>
    </row>
    <row r="134" spans="1:5" x14ac:dyDescent="0.25">
      <c r="A134" s="73" t="s">
        <v>165</v>
      </c>
      <c r="B134">
        <v>153300000</v>
      </c>
      <c r="C134">
        <v>-4100000</v>
      </c>
      <c r="D134">
        <v>73216000</v>
      </c>
      <c r="E134">
        <v>28800000</v>
      </c>
    </row>
    <row r="135" spans="1:5" x14ac:dyDescent="0.25">
      <c r="A135" s="73" t="s">
        <v>166</v>
      </c>
      <c r="B135">
        <v>150000000</v>
      </c>
      <c r="C135">
        <v>-35400000</v>
      </c>
      <c r="D135">
        <v>72556000</v>
      </c>
      <c r="E135">
        <v>31300000</v>
      </c>
    </row>
    <row r="136" spans="1:5" x14ac:dyDescent="0.25">
      <c r="A136" s="73" t="s">
        <v>167</v>
      </c>
      <c r="B136">
        <v>152000000</v>
      </c>
      <c r="C136">
        <v>-35800000</v>
      </c>
      <c r="D136">
        <v>72556000</v>
      </c>
      <c r="E136">
        <v>20600000</v>
      </c>
    </row>
    <row r="137" spans="1:5" x14ac:dyDescent="0.25">
      <c r="A137" s="73" t="s">
        <v>168</v>
      </c>
      <c r="B137">
        <v>157000000</v>
      </c>
      <c r="C137">
        <v>-27300000</v>
      </c>
      <c r="D137">
        <v>72256000</v>
      </c>
      <c r="E137">
        <v>26500000</v>
      </c>
    </row>
    <row r="138" spans="1:5" x14ac:dyDescent="0.25">
      <c r="A138" s="73" t="s">
        <v>169</v>
      </c>
      <c r="B138">
        <v>162400000</v>
      </c>
      <c r="C138">
        <v>-26300000</v>
      </c>
      <c r="D138">
        <v>72124000</v>
      </c>
      <c r="E138">
        <v>15000000</v>
      </c>
    </row>
    <row r="139" spans="1:5" x14ac:dyDescent="0.25">
      <c r="A139" s="73" t="s">
        <v>170</v>
      </c>
      <c r="B139">
        <v>167900000</v>
      </c>
      <c r="C139">
        <v>7000000</v>
      </c>
      <c r="D139">
        <v>71728000</v>
      </c>
      <c r="E139">
        <v>32300000</v>
      </c>
    </row>
    <row r="140" spans="1:5" x14ac:dyDescent="0.25">
      <c r="A140" s="73" t="s">
        <v>171</v>
      </c>
      <c r="B140">
        <v>168200000</v>
      </c>
      <c r="C140">
        <v>1700000</v>
      </c>
      <c r="D140">
        <v>71728000</v>
      </c>
      <c r="E140">
        <v>13200000</v>
      </c>
    </row>
    <row r="141" spans="1:5" x14ac:dyDescent="0.25">
      <c r="A141" s="73" t="s">
        <v>172</v>
      </c>
      <c r="B141">
        <v>168700000</v>
      </c>
      <c r="C141">
        <v>0</v>
      </c>
      <c r="D141">
        <v>71512000</v>
      </c>
      <c r="E141">
        <v>26000000</v>
      </c>
    </row>
    <row r="142" spans="1:5" x14ac:dyDescent="0.25">
      <c r="A142" s="73" t="s">
        <v>173</v>
      </c>
      <c r="B142">
        <v>170000000</v>
      </c>
      <c r="C142">
        <v>0</v>
      </c>
      <c r="D142">
        <v>71384000</v>
      </c>
    </row>
    <row r="143" spans="1:5" x14ac:dyDescent="0.25">
      <c r="A143" s="73" t="s">
        <v>174</v>
      </c>
      <c r="B143">
        <v>165600000</v>
      </c>
      <c r="C143">
        <v>0</v>
      </c>
      <c r="D143">
        <v>71132000</v>
      </c>
      <c r="E143">
        <v>26900000</v>
      </c>
    </row>
    <row r="144" spans="1:5" x14ac:dyDescent="0.25">
      <c r="A144" s="73" t="s">
        <v>175</v>
      </c>
      <c r="B144">
        <v>156100000</v>
      </c>
      <c r="C144">
        <v>0</v>
      </c>
      <c r="D144">
        <v>71132000</v>
      </c>
    </row>
    <row r="145" spans="1:5" x14ac:dyDescent="0.25">
      <c r="A145" s="73" t="s">
        <v>176</v>
      </c>
      <c r="B145">
        <v>144300000</v>
      </c>
      <c r="C145">
        <v>0</v>
      </c>
      <c r="D145">
        <v>70756000</v>
      </c>
    </row>
    <row r="146" spans="1:5" x14ac:dyDescent="0.25">
      <c r="A146" s="73" t="s">
        <v>177</v>
      </c>
      <c r="B146">
        <v>128300000</v>
      </c>
      <c r="C146">
        <v>0</v>
      </c>
      <c r="D146">
        <v>70844000</v>
      </c>
    </row>
    <row r="147" spans="1:5" x14ac:dyDescent="0.25">
      <c r="A147" s="73" t="s">
        <v>178</v>
      </c>
      <c r="B147">
        <v>113000000</v>
      </c>
      <c r="C147">
        <v>0</v>
      </c>
      <c r="D147">
        <v>70224000</v>
      </c>
      <c r="E147">
        <v>24400000</v>
      </c>
    </row>
    <row r="148" spans="1:5" x14ac:dyDescent="0.25">
      <c r="A148" s="73" t="s">
        <v>179</v>
      </c>
      <c r="B148">
        <v>101900000</v>
      </c>
      <c r="C148">
        <v>0</v>
      </c>
      <c r="D148">
        <v>70224000</v>
      </c>
    </row>
    <row r="149" spans="1:5" x14ac:dyDescent="0.25">
      <c r="A149" s="73" t="s">
        <v>180</v>
      </c>
      <c r="B149">
        <v>93700000</v>
      </c>
      <c r="C149">
        <v>0</v>
      </c>
      <c r="D149">
        <v>72008000</v>
      </c>
    </row>
    <row r="150" spans="1:5" x14ac:dyDescent="0.25">
      <c r="A150" s="73" t="s">
        <v>181</v>
      </c>
      <c r="B150">
        <v>89400000</v>
      </c>
      <c r="C150">
        <v>0</v>
      </c>
      <c r="D150">
        <v>69388000</v>
      </c>
    </row>
    <row r="151" spans="1:5" x14ac:dyDescent="0.25">
      <c r="A151" s="73" t="s">
        <v>182</v>
      </c>
      <c r="B151">
        <v>88100000</v>
      </c>
      <c r="C151">
        <v>0</v>
      </c>
      <c r="D151">
        <v>68768000</v>
      </c>
      <c r="E151">
        <v>25900000</v>
      </c>
    </row>
    <row r="152" spans="1:5" x14ac:dyDescent="0.25">
      <c r="A152" s="73" t="s">
        <v>183</v>
      </c>
      <c r="B152">
        <v>88900000</v>
      </c>
      <c r="C152">
        <v>0</v>
      </c>
      <c r="D152">
        <v>68768000</v>
      </c>
    </row>
    <row r="153" spans="1:5" x14ac:dyDescent="0.25">
      <c r="A153" s="73" t="s">
        <v>184</v>
      </c>
      <c r="B153">
        <v>87000000</v>
      </c>
      <c r="C153">
        <v>0</v>
      </c>
      <c r="D153">
        <v>68508000</v>
      </c>
    </row>
    <row r="154" spans="1:5" x14ac:dyDescent="0.25">
      <c r="A154" s="73" t="s">
        <v>185</v>
      </c>
      <c r="B154">
        <v>85900000</v>
      </c>
      <c r="C154">
        <v>0</v>
      </c>
      <c r="D154">
        <v>68268000</v>
      </c>
    </row>
    <row r="155" spans="1:5" x14ac:dyDescent="0.25">
      <c r="A155" s="73" t="s">
        <v>186</v>
      </c>
      <c r="B155">
        <v>82600000</v>
      </c>
      <c r="C155">
        <v>0</v>
      </c>
      <c r="D155">
        <v>67604000</v>
      </c>
      <c r="E155">
        <v>25500000</v>
      </c>
    </row>
    <row r="156" spans="1:5" x14ac:dyDescent="0.25">
      <c r="A156" s="73" t="s">
        <v>187</v>
      </c>
      <c r="D156">
        <v>67604000</v>
      </c>
    </row>
    <row r="157" spans="1:5" x14ac:dyDescent="0.25">
      <c r="A157" s="73" t="s">
        <v>188</v>
      </c>
      <c r="D157">
        <v>67412000</v>
      </c>
    </row>
    <row r="158" spans="1:5" x14ac:dyDescent="0.25">
      <c r="A158" s="73" t="s">
        <v>189</v>
      </c>
      <c r="D158">
        <v>67480000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190</v>
      </c>
      <c r="B1" s="27" t="s">
        <v>191</v>
      </c>
      <c r="C1" t="s">
        <v>192</v>
      </c>
      <c r="D1" t="s">
        <v>193</v>
      </c>
      <c r="F1" s="27" t="s">
        <v>191</v>
      </c>
      <c r="G1" t="s">
        <v>192</v>
      </c>
      <c r="H1" t="s">
        <v>193</v>
      </c>
      <c r="J1" t="s">
        <v>194</v>
      </c>
      <c r="K1" t="s">
        <v>192</v>
      </c>
      <c r="L1" t="s">
        <v>193</v>
      </c>
      <c r="N1" t="s">
        <v>195</v>
      </c>
      <c r="O1" t="s">
        <v>192</v>
      </c>
      <c r="P1" t="s">
        <v>193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196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197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198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199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200</v>
      </c>
    </row>
    <row r="7" spans="1:46" x14ac:dyDescent="0.25">
      <c r="A7" s="27" t="s">
        <v>201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202</v>
      </c>
    </row>
    <row r="8" spans="1:46" x14ac:dyDescent="0.25">
      <c r="A8" s="27" t="s">
        <v>203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204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205</v>
      </c>
    </row>
    <row r="10" spans="1:46" x14ac:dyDescent="0.25">
      <c r="A10" s="27" t="s">
        <v>206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207</v>
      </c>
    </row>
    <row r="11" spans="1:46" x14ac:dyDescent="0.25">
      <c r="A11" s="27" t="s">
        <v>208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209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210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211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212</v>
      </c>
    </row>
    <row r="15" spans="1:46" x14ac:dyDescent="0.25">
      <c r="A15" s="27" t="s">
        <v>213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214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215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216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217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218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219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220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221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222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223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224</v>
      </c>
      <c r="J26">
        <v>0.61799999999999999</v>
      </c>
      <c r="N26">
        <v>-0.36399999999999999</v>
      </c>
    </row>
    <row r="27" spans="1:17" x14ac:dyDescent="0.25">
      <c r="A27" s="27" t="s">
        <v>225</v>
      </c>
    </row>
    <row r="28" spans="1:17" x14ac:dyDescent="0.25">
      <c r="A28" s="27" t="s">
        <v>226</v>
      </c>
    </row>
    <row r="29" spans="1:17" x14ac:dyDescent="0.25">
      <c r="A29" s="27" t="s">
        <v>227</v>
      </c>
    </row>
    <row r="31" spans="1:17" x14ac:dyDescent="0.25">
      <c r="A31" s="26" t="s">
        <v>228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229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230</v>
      </c>
      <c r="C1" s="73" t="s">
        <v>231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232</v>
      </c>
      <c r="D2">
        <v>1.5153995095369299</v>
      </c>
      <c r="E2">
        <v>0.14570172426155431</v>
      </c>
    </row>
    <row r="3" spans="1:5" x14ac:dyDescent="0.25">
      <c r="A3" s="73">
        <v>1</v>
      </c>
      <c r="B3">
        <v>3</v>
      </c>
      <c r="C3" t="s">
        <v>233</v>
      </c>
      <c r="D3">
        <v>1.7522486549669649</v>
      </c>
      <c r="E3">
        <v>0.16210826467391379</v>
      </c>
    </row>
    <row r="4" spans="1:5" x14ac:dyDescent="0.25">
      <c r="A4" s="73">
        <v>2</v>
      </c>
      <c r="B4">
        <v>3</v>
      </c>
      <c r="C4" t="s">
        <v>234</v>
      </c>
      <c r="D4">
        <v>1.77639420343804</v>
      </c>
      <c r="E4">
        <v>0.1637808268275581</v>
      </c>
    </row>
    <row r="5" spans="1:5" x14ac:dyDescent="0.25">
      <c r="A5" s="73">
        <v>3</v>
      </c>
      <c r="B5">
        <v>5</v>
      </c>
      <c r="C5" t="s">
        <v>232</v>
      </c>
      <c r="D5">
        <v>1.2700588882814161</v>
      </c>
      <c r="E5">
        <v>0.12870697931487679</v>
      </c>
    </row>
    <row r="6" spans="1:5" x14ac:dyDescent="0.25">
      <c r="A6" s="73">
        <v>4</v>
      </c>
      <c r="B6">
        <v>5</v>
      </c>
      <c r="C6" t="s">
        <v>233</v>
      </c>
      <c r="D6">
        <v>1.5706878068703709</v>
      </c>
      <c r="E6">
        <v>0.1495315446431508</v>
      </c>
    </row>
    <row r="7" spans="1:5" x14ac:dyDescent="0.25">
      <c r="A7" s="73">
        <v>5</v>
      </c>
      <c r="B7">
        <v>5</v>
      </c>
      <c r="C7" t="s">
        <v>234</v>
      </c>
      <c r="D7">
        <v>1.6158942370466569</v>
      </c>
      <c r="E7">
        <v>0.15266299408215589</v>
      </c>
    </row>
    <row r="8" spans="1:5" x14ac:dyDescent="0.25">
      <c r="A8" s="73">
        <v>6</v>
      </c>
      <c r="B8" t="s">
        <v>228</v>
      </c>
      <c r="D8">
        <v>1.5834472166900631</v>
      </c>
      <c r="E8">
        <v>0.15041538896720161</v>
      </c>
    </row>
    <row r="9" spans="1:5" x14ac:dyDescent="0.25">
      <c r="A9" s="73">
        <v>7</v>
      </c>
      <c r="B9" t="s">
        <v>229</v>
      </c>
      <c r="D9">
        <v>1.5932910219585139</v>
      </c>
      <c r="E9">
        <v>0.1510972693626533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2024-10-18T21:00:57Z</dcterms:modified>
</cp:coreProperties>
</file>