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7" documentId="11_CED6E47086DF889D990C5B6051CE04DE349B3ABA" xr6:coauthVersionLast="47" xr6:coauthVersionMax="47" xr10:uidLastSave="{1FBA6228-D834-4A86-A57F-A2C5DBF427F0}"/>
  <bookViews>
    <workbookView xWindow="-14505" yWindow="0" windowWidth="14610" windowHeight="15585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M5" i="3"/>
  <c r="Q11" i="3"/>
  <c r="O11" i="3"/>
  <c r="N11" i="3"/>
  <c r="O8" i="3"/>
  <c r="P8" i="3" s="1"/>
  <c r="Q8" i="3" s="1"/>
  <c r="R8" i="3" s="1"/>
  <c r="S8" i="3" s="1"/>
  <c r="T8" i="3" s="1"/>
  <c r="U8" i="3" s="1"/>
  <c r="N8" i="3"/>
  <c r="M8" i="3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H10" i="3"/>
  <c r="N5" i="3"/>
  <c r="O5" i="3" s="1"/>
  <c r="P5" i="3" s="1"/>
  <c r="Q5" i="3" s="1"/>
  <c r="R5" i="3" s="1"/>
  <c r="S5" i="3" s="1"/>
  <c r="T5" i="3" s="1"/>
  <c r="U5" i="3" s="1"/>
  <c r="L5" i="3"/>
  <c r="I4" i="3"/>
  <c r="K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E11" i="3" s="1"/>
  <c r="D1" i="3"/>
  <c r="D10" i="3" s="1"/>
  <c r="I8" i="3" l="1"/>
  <c r="C21" i="3"/>
  <c r="C20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E7" i="3"/>
  <c r="I3" i="3"/>
  <c r="G5" i="3"/>
  <c r="K7" i="3"/>
  <c r="F10" i="3"/>
  <c r="F11" i="3" s="1"/>
  <c r="C31" i="5"/>
  <c r="L1" i="3"/>
  <c r="J3" i="3"/>
  <c r="H4" i="3"/>
  <c r="H5" i="3" s="1"/>
  <c r="D7" i="3"/>
  <c r="G11" i="3"/>
  <c r="G31" i="5"/>
  <c r="D3" i="3"/>
  <c r="J4" i="3"/>
  <c r="J5" i="3" s="1"/>
  <c r="F7" i="3"/>
  <c r="I10" i="3"/>
  <c r="I11" i="3" s="1"/>
  <c r="O31" i="5"/>
  <c r="E3" i="3"/>
  <c r="K4" i="3"/>
  <c r="J10" i="3"/>
  <c r="J13" i="3" s="1"/>
  <c r="F3" i="3"/>
  <c r="D4" i="3"/>
  <c r="H7" i="3"/>
  <c r="E4" i="3"/>
  <c r="E5" i="3" s="1"/>
  <c r="K5" i="3" l="1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D8" i="3"/>
  <c r="D13" i="3"/>
  <c r="E8" i="3"/>
  <c r="E13" i="3"/>
  <c r="K11" i="3"/>
  <c r="L11" i="3" s="1"/>
  <c r="K8" i="3"/>
  <c r="K13" i="3"/>
  <c r="J8" i="3"/>
  <c r="G8" i="3"/>
  <c r="G13" i="3"/>
  <c r="F8" i="3"/>
  <c r="F13" i="3"/>
  <c r="M1" i="3"/>
  <c r="L3" i="3"/>
  <c r="F5" i="3"/>
  <c r="H11" i="3"/>
  <c r="H13" i="3"/>
  <c r="H8" i="3"/>
  <c r="J11" i="3"/>
  <c r="I5" i="3"/>
  <c r="I13" i="3"/>
  <c r="M11" i="3" l="1"/>
  <c r="P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/>
  <c r="N1" i="3"/>
  <c r="N3" i="3" l="1"/>
  <c r="O1" i="3"/>
  <c r="L7" i="3"/>
  <c r="L13" i="3" s="1"/>
  <c r="L14" i="3" s="1"/>
  <c r="M7" i="3" l="1"/>
  <c r="M13" i="3" s="1"/>
  <c r="M14" i="3" s="1"/>
  <c r="O3" i="3"/>
  <c r="P1" i="3"/>
  <c r="P3" i="3" l="1"/>
  <c r="Q1" i="3"/>
  <c r="N7" i="3"/>
  <c r="N13" i="3" s="1"/>
  <c r="N14" i="3" s="1"/>
  <c r="O7" i="3" l="1"/>
  <c r="O13" i="3" s="1"/>
  <c r="O14" i="3" s="1"/>
  <c r="R1" i="3"/>
  <c r="Q3" i="3"/>
  <c r="R3" i="3" l="1"/>
  <c r="S1" i="3"/>
  <c r="P7" i="3"/>
  <c r="P13" i="3" s="1"/>
  <c r="P14" i="3" s="1"/>
  <c r="T1" i="3" l="1"/>
  <c r="S3" i="3"/>
  <c r="Q7" i="3"/>
  <c r="Q13" i="3" s="1"/>
  <c r="Q14" i="3" s="1"/>
  <c r="R7" i="3" l="1"/>
  <c r="R13" i="3" s="1"/>
  <c r="R14" i="3" s="1"/>
  <c r="T3" i="3"/>
  <c r="U1" i="3"/>
  <c r="U3" i="3" s="1"/>
  <c r="S7" i="3" l="1"/>
  <c r="S13" i="3" s="1"/>
  <c r="S14" i="3" s="1"/>
  <c r="U7" i="3" l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<sst xmlns="http://schemas.openxmlformats.org/spreadsheetml/2006/main" count="124" uniqueCount="106">
  <si>
    <t>This sheet contains FactSet XML data for use with this workbook's =FDS codes.  Modifying the worksheet's contents may damage the workbook's =FDS functionality.</t>
  </si>
  <si>
    <t>SG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</si>
  <si>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</si>
  <si>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</si>
  <si>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</si>
  <si>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</si>
  <si>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</si>
  <si>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</si>
  <si>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</si>
  <si>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</si>
  <si>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</si>
  <si>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</si>
  <si>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</si>
  <si>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</si>
  <si>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</si>
  <si>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</si>
  <si>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</si>
  <si>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</si>
  <si>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</si>
  <si>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</si>
  <si>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</si>
  <si>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</si>
  <si>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</si>
  <si>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</si>
  <si>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</si>
  <si>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</si>
  <si>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</si>
  <si>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</si>
  <si>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</si>
  <si>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</si>
  <si>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</si>
  <si>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</si>
  <si>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</si>
  <si>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</si>
  <si>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</si>
  <si>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</si>
  <si>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</si>
  <si>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2023-09-24</t>
  </si>
  <si>
    <t>2023-06-25</t>
  </si>
  <si>
    <t>2023-03-26</t>
  </si>
  <si>
    <t>2022-12-25</t>
  </si>
  <si>
    <t>2022-09-25</t>
  </si>
  <si>
    <t>2022-06-26</t>
  </si>
  <si>
    <t>2022-03-27</t>
  </si>
  <si>
    <t>2021-12-26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</si>
  <si>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</si>
  <si>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</si>
  <si>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</si>
  <si>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</si>
  <si>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</si>
  <si>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</si>
  <si>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</si>
  <si>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</si>
  <si>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</si>
  <si>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</si>
  <si>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</si>
  <si>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</si>
  <si>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</si>
  <si>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</si>
  <si>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</si>
  <si>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</si>
  <si>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</si>
  <si>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</si>
  <si>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</si>
  <si>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</si>
  <si>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</si>
  <si>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</si>
  <si>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</si>
  <si>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</si>
  <si>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</si>
  <si>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</si>
  <si>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</si>
  <si>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</si>
  <si>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</si>
  <si>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</si>
  <si>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</si>
  <si>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</si>
  <si>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</si>
  <si>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</si>
  <si>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</si>
  <si>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</si>
  <si>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</si>
  <si>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</si>
  <si>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</si>
  <si>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</si>
  <si>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</si>
  <si>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</si>
  <si>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</si>
  <si>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</si>
  <si>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</si>
  <si>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</si>
  <si>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</si>
  <si>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</si>
  <si>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</si>
  <si>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</si>
  <si>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</si>
  <si>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</si>
  <si>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</si>
  <si>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</si>
  <si>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</si>
  <si>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</si>
  <si>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</si>
  <si>
    <t>=IFERROR(INDEX(Python!$1:$1048576,MATCH(DCF_Simple!G$1,Python!$A:$A,0),MATCH(DCF_Simple!$B4,Python!$1:$1,0))/1000000,0)</t>
  </si>
  <si>
    <t>=IFERROR(INDEX(Python!$1:$1048576,MATCH(DCF_Simple!G$1,Python!$A:$A,0),MATCH(DCF_Simple!$B7,Python!$1:$1,0))/1000000,0)</t>
  </si>
  <si>
    <t>=IFERROR(INDEX(Python!$1:$1048576,MATCH(DCF_Simple!G$1,Python!$A:$A,0),MATCH(DCF_Simple!$B10,Python!$1:$1,0))/1000000,0)</t>
  </si>
  <si>
    <t>3.98B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</si>
</sst>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8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165" fontId="5" fillId="3" borderId="0" xfId="4" quotePrefix="1" applyNumberFormat="1" applyFont="1" applyFill="1"/>
    <xf numFmtId="37" fontId="5" fillId="3" borderId="3" xfId="0" quotePrefix="1" applyNumberFormat="1" applyFont="1" applyFill="1" applyBorder="1"/>
    <xf numFmtId="166" fontId="1" fillId="0" borderId="0" xfId="3" quotePrefix="1" applyNumberFormat="1"/>
    <xf numFmtId="2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389039000</v>
      </c>
    </row>
    <row r="3" spans="1:2" x14ac:dyDescent="0.25">
      <c r="A3" s="73" t="s">
        <v>3</v>
      </c>
      <c r="B3">
        <v>277398000</v>
      </c>
    </row>
    <row r="4" spans="1:2" x14ac:dyDescent="0.25">
      <c r="A4" s="73" t="s">
        <v>4</v>
      </c>
      <c r="B4">
        <v>0.37108462101338668</v>
      </c>
    </row>
    <row r="5" spans="1:2" x14ac:dyDescent="0.25">
      <c r="A5" s="73" t="s">
        <v>5</v>
      </c>
      <c r="B5">
        <v>4.2500000000000003E-2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470135000</v>
      </c>
    </row>
    <row r="8" spans="1:2" x14ac:dyDescent="0.25">
      <c r="A8" s="73" t="s">
        <v>8</v>
      </c>
      <c r="B8">
        <v>0.62891537898661332</v>
      </c>
    </row>
    <row r="9" spans="1:2" x14ac:dyDescent="0.25">
      <c r="A9" s="73" t="s">
        <v>9</v>
      </c>
      <c r="B9">
        <v>0.18228108871130269</v>
      </c>
    </row>
    <row r="10" spans="1:2" x14ac:dyDescent="0.25">
      <c r="A10" s="73" t="s">
        <v>10</v>
      </c>
      <c r="B10">
        <v>4.0669999122619628E-2</v>
      </c>
    </row>
    <row r="11" spans="1:2" x14ac:dyDescent="0.25">
      <c r="A11" s="73" t="s">
        <v>11</v>
      </c>
      <c r="B11">
        <v>2.0425658127300732</v>
      </c>
    </row>
    <row r="12" spans="1:2" x14ac:dyDescent="0.25">
      <c r="A12" s="73" t="s">
        <v>12</v>
      </c>
      <c r="B12">
        <v>6.9330000877380366E-2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0.1270985461394859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6"/>
  <sheetViews>
    <sheetView showGridLines="0" tabSelected="1" topLeftCell="A2" zoomScale="85" zoomScaleNormal="85" workbookViewId="0">
      <selection activeCell="O28" sqref="O2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2022-06-26</v>
      </c>
      <c r="J1" s="66" t="str">
        <f>Python!A7</f>
        <v>2023-06-25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74" t="s">
        <v>102</v>
      </c>
      <c r="H4" s="36">
        <f>IFERROR(INDEX(Python!$1:$1048576,MATCH(DCF_Simple!H$1,Python!$A:$A,0),MATCH(DCF_Simple!$B4,Python!$1:$1,0))/1000000,0)</f>
        <v>262.33300000000003</v>
      </c>
      <c r="I4" s="36">
        <f>IFERROR(INDEX(Python!$1:$1048576,MATCH(DCF_Simple!I$1,Python!$A:$A,0),MATCH(DCF_Simple!$B4,Python!$1:$1,0))/1000000,0)</f>
        <v>419.779</v>
      </c>
      <c r="J4" s="36">
        <f>IFERROR(INDEX(Python!$1:$1048576,MATCH(DCF_Simple!J$1,Python!$A:$A,0),MATCH(DCF_Simple!$B4,Python!$1:$1,0))/1000000,0)</f>
        <v>520.18299999999999</v>
      </c>
      <c r="K4" s="55">
        <f>IFERROR(INDEX(Python!$1:$1048576,MATCH(DCF_Simple!K$1,Python!$A:$A,0),MATCH(DCF_Simple!$B4,Python!$1:$1,0))/1000000,0)</f>
        <v>648.94500000000005</v>
      </c>
      <c r="L4" s="37">
        <f t="shared" ref="L4:U4" si="2">K4*(1+L5)</f>
        <v>744.37410739891027</v>
      </c>
      <c r="M4" s="36">
        <f t="shared" si="2"/>
        <v>963.29853594043084</v>
      </c>
      <c r="N4" s="36">
        <f t="shared" si="2"/>
        <v>1246.6098163832182</v>
      </c>
      <c r="O4" s="36">
        <f t="shared" si="2"/>
        <v>1613.244468170873</v>
      </c>
      <c r="P4" s="36">
        <f t="shared" si="2"/>
        <v>2087.7083429638865</v>
      </c>
      <c r="Q4" s="36">
        <f t="shared" si="2"/>
        <v>2701.7145951988264</v>
      </c>
      <c r="R4" s="36">
        <f t="shared" si="2"/>
        <v>3496.3033885986738</v>
      </c>
      <c r="S4" s="36">
        <f t="shared" si="2"/>
        <v>4524.5850197685158</v>
      </c>
      <c r="T4" s="36">
        <f t="shared" si="2"/>
        <v>5855.2898091943989</v>
      </c>
      <c r="U4" s="36">
        <f t="shared" si="2"/>
        <v>7577.3620342777467</v>
      </c>
      <c r="V4" s="19">
        <f>U4</f>
        <v>7577.3620342777467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 t="str">
        <f t="shared" si="3"/>
        <v/>
      </c>
      <c r="I5" s="42">
        <f t="shared" si="3"/>
        <v>0.6001761120408029</v>
      </c>
      <c r="J5" s="42">
        <f t="shared" si="3"/>
        <v>0.23918299867311132</v>
      </c>
      <c r="K5" s="58">
        <f t="shared" si="3"/>
        <v>0.24753211850444945</v>
      </c>
      <c r="L5" s="43">
        <f>Python!F2</f>
        <v>0.1470526892092707</v>
      </c>
      <c r="M5" s="43">
        <f>L5*2</f>
        <v>0.2941053784185414</v>
      </c>
      <c r="N5" s="38">
        <f t="shared" ref="N5:U5" si="4">M5</f>
        <v>0.2941053784185414</v>
      </c>
      <c r="O5" s="38">
        <f t="shared" si="4"/>
        <v>0.2941053784185414</v>
      </c>
      <c r="P5" s="38">
        <f t="shared" si="4"/>
        <v>0.2941053784185414</v>
      </c>
      <c r="Q5" s="38">
        <f t="shared" si="4"/>
        <v>0.2941053784185414</v>
      </c>
      <c r="R5" s="38">
        <f t="shared" si="4"/>
        <v>0.2941053784185414</v>
      </c>
      <c r="S5" s="38">
        <f t="shared" si="4"/>
        <v>0.2941053784185414</v>
      </c>
      <c r="T5" s="38">
        <f t="shared" si="4"/>
        <v>0.2941053784185414</v>
      </c>
      <c r="U5" s="38">
        <f t="shared" si="4"/>
        <v>0.2941053784185414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75" t="s">
        <v>103</v>
      </c>
      <c r="H7" s="52">
        <f>IFERROR(INDEX(Python!$1:$1048576,MATCH(DCF_Simple!H$1,Python!$A:$A,0),MATCH(DCF_Simple!$B7,Python!$1:$1,0))/1000000,0)</f>
        <v>-64.364000000000004</v>
      </c>
      <c r="I7" s="52">
        <f>IFERROR(INDEX(Python!$1:$1048576,MATCH(DCF_Simple!I$1,Python!$A:$A,0),MATCH(DCF_Simple!$B7,Python!$1:$1,0))/1000000,0)</f>
        <v>-155.76400000000001</v>
      </c>
      <c r="J7" s="52">
        <f>IFERROR(INDEX(Python!$1:$1048576,MATCH(DCF_Simple!J$1,Python!$A:$A,0),MATCH(DCF_Simple!$B7,Python!$1:$1,0))/1000000,0)</f>
        <v>-131.845</v>
      </c>
      <c r="K7" s="57">
        <f>IFERROR(INDEX(Python!$1:$1048576,MATCH(DCF_Simple!K$1,Python!$A:$A,0),MATCH(DCF_Simple!$B7,Python!$1:$1,0))/1000000,0)</f>
        <v>-29.524000000000001</v>
      </c>
      <c r="L7" s="64">
        <f t="shared" ref="L7:U7" si="5">L8*L4</f>
        <v>18.609352684972759</v>
      </c>
      <c r="M7" s="64">
        <f t="shared" si="5"/>
        <v>24.082463398510772</v>
      </c>
      <c r="N7" s="64">
        <f t="shared" si="5"/>
        <v>56.097441737244822</v>
      </c>
      <c r="O7" s="64">
        <f t="shared" si="5"/>
        <v>104.86089043110675</v>
      </c>
      <c r="P7" s="64">
        <f t="shared" si="5"/>
        <v>177.45520915193038</v>
      </c>
      <c r="Q7" s="64">
        <f t="shared" si="5"/>
        <v>283.68003249587679</v>
      </c>
      <c r="R7" s="64">
        <f t="shared" si="5"/>
        <v>437.03792357483422</v>
      </c>
      <c r="S7" s="64">
        <f t="shared" si="5"/>
        <v>656.06482786643471</v>
      </c>
      <c r="T7" s="64">
        <f t="shared" si="5"/>
        <v>966.12281851707576</v>
      </c>
      <c r="U7" s="64">
        <f t="shared" si="5"/>
        <v>1401.8119763413829</v>
      </c>
      <c r="V7" s="65">
        <f>U7</f>
        <v>1401.8119763413829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 t="str">
        <f t="shared" si="6"/>
        <v/>
      </c>
      <c r="H8" s="42">
        <f t="shared" si="6"/>
        <v>-0.24535228126084022</v>
      </c>
      <c r="I8" s="42">
        <f t="shared" si="6"/>
        <v>-0.37106191591289706</v>
      </c>
      <c r="J8" s="42">
        <f t="shared" si="6"/>
        <v>-0.25345887889454288</v>
      </c>
      <c r="K8" s="58">
        <f t="shared" si="6"/>
        <v>-4.5495380964488512E-2</v>
      </c>
      <c r="L8" s="38">
        <v>2.5000000000000001E-2</v>
      </c>
      <c r="M8" s="38">
        <f>L8</f>
        <v>2.5000000000000001E-2</v>
      </c>
      <c r="N8" s="38">
        <f>M8+0.02</f>
        <v>4.4999999999999998E-2</v>
      </c>
      <c r="O8" s="38">
        <f t="shared" ref="O8:U8" si="7">N8+0.02</f>
        <v>6.5000000000000002E-2</v>
      </c>
      <c r="P8" s="38">
        <f t="shared" si="7"/>
        <v>8.5000000000000006E-2</v>
      </c>
      <c r="Q8" s="38">
        <f t="shared" si="7"/>
        <v>0.10500000000000001</v>
      </c>
      <c r="R8" s="38">
        <f t="shared" si="7"/>
        <v>0.125</v>
      </c>
      <c r="S8" s="38">
        <f t="shared" si="7"/>
        <v>0.14499999999999999</v>
      </c>
      <c r="T8" s="38">
        <f t="shared" si="7"/>
        <v>0.16499999999999998</v>
      </c>
      <c r="U8" s="38">
        <f t="shared" si="7"/>
        <v>0.18499999999999997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115.796367</v>
      </c>
      <c r="G10" s="76" t="s">
        <v>104</v>
      </c>
      <c r="H10" s="17">
        <f>IFERROR(INDEX(Python!$1:$1048576,MATCH(DCF_Simple!H$1,Python!$A:$A,0),MATCH(DCF_Simple!$B10,Python!$1:$1,0))/1000000,0)</f>
        <v>89.761808000000002</v>
      </c>
      <c r="I10" s="17">
        <f>IFERROR(INDEX(Python!$1:$1048576,MATCH(DCF_Simple!I$1,Python!$A:$A,0),MATCH(DCF_Simple!$B10,Python!$1:$1,0))/1000000,0)</f>
        <v>109.679467</v>
      </c>
      <c r="J10" s="17">
        <f>IFERROR(INDEX(Python!$1:$1048576,MATCH(DCF_Simple!J$1,Python!$A:$A,0),MATCH(DCF_Simple!$B10,Python!$1:$1,0))/1000000,0)</f>
        <v>111.58528200000001</v>
      </c>
      <c r="K10" s="69">
        <f>IFERROR(INDEX(Python!$1:$1048576,MATCH(DCF_Simple!K$1,Python!$A:$A,0),MATCH(DCF_Simple!$B10,Python!$1:$1,0))/1000000,0)</f>
        <v>113.580674</v>
      </c>
      <c r="L10" s="17">
        <f t="shared" ref="L10:U10" si="8">K10*(1+L11)</f>
        <v>115.61174802868963</v>
      </c>
      <c r="M10" s="17">
        <f t="shared" si="8"/>
        <v>117.67914215977642</v>
      </c>
      <c r="N10" s="17">
        <f t="shared" si="8"/>
        <v>118.73132401845776</v>
      </c>
      <c r="O10" s="17">
        <f t="shared" si="8"/>
        <v>119.26211878334404</v>
      </c>
      <c r="P10" s="17">
        <f t="shared" si="8"/>
        <v>119.79528649475273</v>
      </c>
      <c r="Q10" s="17">
        <f t="shared" si="8"/>
        <v>119.79528649475273</v>
      </c>
      <c r="R10" s="17">
        <f t="shared" si="8"/>
        <v>119.79528649475273</v>
      </c>
      <c r="S10" s="17">
        <f t="shared" si="8"/>
        <v>119.79528649475273</v>
      </c>
      <c r="T10" s="17">
        <f t="shared" si="8"/>
        <v>119.79528649475273</v>
      </c>
      <c r="U10" s="17">
        <f t="shared" si="8"/>
        <v>119.79528649475273</v>
      </c>
      <c r="V10" s="70">
        <f>U10</f>
        <v>119.79528649475273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 t="str">
        <f t="shared" si="9"/>
        <v/>
      </c>
      <c r="H11" s="42" t="str">
        <f t="shared" si="9"/>
        <v/>
      </c>
      <c r="I11" s="42">
        <f t="shared" si="9"/>
        <v>0.22189458349591185</v>
      </c>
      <c r="J11" s="42">
        <f t="shared" si="9"/>
        <v>1.737622412041806E-2</v>
      </c>
      <c r="K11" s="58">
        <f t="shared" si="9"/>
        <v>1.7882214968099497E-2</v>
      </c>
      <c r="L11" s="67">
        <f t="shared" ref="L11:U11" si="10">K11</f>
        <v>1.7882214968099497E-2</v>
      </c>
      <c r="M11" s="67">
        <f t="shared" si="10"/>
        <v>1.7882214968099497E-2</v>
      </c>
      <c r="N11" s="67">
        <f>M11/2</f>
        <v>8.9411074840497484E-3</v>
      </c>
      <c r="O11" s="67">
        <f>N11/2</f>
        <v>4.4705537420248742E-3</v>
      </c>
      <c r="P11" s="67">
        <f t="shared" si="10"/>
        <v>4.4705537420248742E-3</v>
      </c>
      <c r="Q11" s="67">
        <f>P110</f>
        <v>0</v>
      </c>
      <c r="R11" s="67">
        <f t="shared" si="10"/>
        <v>0</v>
      </c>
      <c r="S11" s="67">
        <f t="shared" si="10"/>
        <v>0</v>
      </c>
      <c r="T11" s="67">
        <f t="shared" si="10"/>
        <v>0</v>
      </c>
      <c r="U11" s="67">
        <f t="shared" si="10"/>
        <v>0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0</v>
      </c>
      <c r="G13" s="53">
        <f t="shared" si="11"/>
        <v>0</v>
      </c>
      <c r="H13" s="53">
        <f t="shared" si="11"/>
        <v>-0.717053292865937</v>
      </c>
      <c r="I13" s="53">
        <f t="shared" si="11"/>
        <v>-1.420174662227343</v>
      </c>
      <c r="J13" s="53">
        <f t="shared" si="11"/>
        <v>-1.1815626365491463</v>
      </c>
      <c r="K13" s="59">
        <f t="shared" si="11"/>
        <v>-0.2599385877917928</v>
      </c>
      <c r="L13" s="53">
        <f t="shared" ref="L13:U13" si="12">L7/L10</f>
        <v>0.16096420132281675</v>
      </c>
      <c r="M13" s="53">
        <f t="shared" si="12"/>
        <v>0.20464513044982352</v>
      </c>
      <c r="N13" s="53">
        <f t="shared" si="12"/>
        <v>0.47247381599588678</v>
      </c>
      <c r="O13" s="53">
        <f t="shared" si="12"/>
        <v>0.87924725387112157</v>
      </c>
      <c r="P13" s="53">
        <f t="shared" si="12"/>
        <v>1.4813204621344034</v>
      </c>
      <c r="Q13" s="53">
        <f t="shared" si="12"/>
        <v>2.3680400189059401</v>
      </c>
      <c r="R13" s="53">
        <f t="shared" si="12"/>
        <v>3.6482063390196688</v>
      </c>
      <c r="S13" s="53">
        <f t="shared" si="12"/>
        <v>5.4765495960909254</v>
      </c>
      <c r="T13" s="53">
        <f t="shared" si="12"/>
        <v>8.06478156850849</v>
      </c>
      <c r="U13" s="53">
        <f t="shared" si="12"/>
        <v>11.70172898582938</v>
      </c>
      <c r="V13" s="72">
        <f>U13*(1+WACC!$B$13)/(WACC!$B$14-WACC!$B$13)</f>
        <v>111.44655082432907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0.14281289056236293</v>
      </c>
      <c r="M14" s="62">
        <f>M13/((1+WACC!$B$14)^(M3-$K$3))</f>
        <v>0.16109335850577156</v>
      </c>
      <c r="N14" s="62">
        <f>N13/((1+WACC!$B$14)^(N3-$K$3))</f>
        <v>0.32998338755772716</v>
      </c>
      <c r="O14" s="62">
        <f>O13/((1+WACC!$B$14)^(O3-$K$3))</f>
        <v>0.54483307245652468</v>
      </c>
      <c r="P14" s="62">
        <f>P13/((1+WACC!$B$14)^(P3-$K$3))</f>
        <v>0.81440339244484228</v>
      </c>
      <c r="Q14" s="62">
        <f>Q13/((1+WACC!$B$14)^(Q3-$K$3))</f>
        <v>1.1550949895654976</v>
      </c>
      <c r="R14" s="62">
        <f>R13/((1+WACC!$B$14)^(R3-$K$3))</f>
        <v>1.5788692501655892</v>
      </c>
      <c r="S14" s="62">
        <f>S13/((1+WACC!$B$14)^(S3-$K$3))</f>
        <v>2.1028674970174688</v>
      </c>
      <c r="T14" s="62">
        <f>T13/((1+WACC!$B$14)^(T3-$K$3))</f>
        <v>2.7474867264827432</v>
      </c>
      <c r="U14" s="62">
        <f>U13/((1+WACC!$B$14)^(U3-$K$3))</f>
        <v>3.536968074137476</v>
      </c>
      <c r="V14" s="63">
        <f>V13/((1+WACC!$B$14)^(U3-$K$3))</f>
        <v>33.685867508616987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33.685867508616987</v>
      </c>
      <c r="L17" s="16">
        <f>C17/$C$19</f>
        <v>0.71977918513393946</v>
      </c>
      <c r="O17" s="18"/>
    </row>
    <row r="18" spans="2:22" x14ac:dyDescent="0.25">
      <c r="B18" s="8" t="s">
        <v>26</v>
      </c>
      <c r="C18" s="32">
        <f>SUM(14:14)-V14</f>
        <v>13.114412638896006</v>
      </c>
      <c r="K18" s="3"/>
      <c r="L18" s="16">
        <f>C18/$C$19</f>
        <v>0.28022081486606054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46.800280147512993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-0.2599385877917928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2.4422992946845872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44.098042265036611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  <row r="25" spans="2:22" x14ac:dyDescent="0.25">
      <c r="C25">
        <v>34.880000000000003</v>
      </c>
    </row>
    <row r="26" spans="2:22" x14ac:dyDescent="0.25">
      <c r="C26" t="s">
        <v>105</v>
      </c>
      <c r="L26" s="77">
        <f>4000/L4</f>
        <v>5.3736420440218229</v>
      </c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B19" sqref="B19"/>
    </sheetView>
  </sheetViews>
  <sheetFormatPr defaultRowHeight="15" x14ac:dyDescent="0.25"/>
  <cols>
    <col min="1" max="1" width="15.85546875" bestFit="1" customWidth="1"/>
    <col min="2" max="2" width="11" bestFit="1" customWidth="1"/>
    <col min="3" max="3" width="19.5703125" bestFit="1" customWidth="1"/>
    <col min="4" max="4" width="26.28515625" bestFit="1" customWidth="1"/>
    <col min="5" max="5" width="19.85546875" bestFit="1" customWidth="1"/>
    <col min="6" max="6" width="27" bestFit="1" customWidth="1"/>
  </cols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0.1470526892092707</v>
      </c>
    </row>
    <row r="3" spans="1:6" x14ac:dyDescent="0.25">
      <c r="A3" s="73" t="s">
        <v>34</v>
      </c>
      <c r="B3">
        <v>648945000</v>
      </c>
      <c r="C3">
        <v>-29524000</v>
      </c>
      <c r="D3">
        <v>113580674</v>
      </c>
      <c r="E3">
        <v>244583000</v>
      </c>
      <c r="F3">
        <v>0.1550893296180953</v>
      </c>
    </row>
    <row r="4" spans="1:6" x14ac:dyDescent="0.25">
      <c r="A4" s="73" t="s">
        <v>35</v>
      </c>
      <c r="B4">
        <v>616829000</v>
      </c>
      <c r="C4">
        <v>-45388000</v>
      </c>
      <c r="D4">
        <v>112772776</v>
      </c>
      <c r="E4">
        <v>243756000</v>
      </c>
      <c r="F4">
        <v>0.2151572819881338</v>
      </c>
    </row>
    <row r="5" spans="1:6" x14ac:dyDescent="0.25">
      <c r="A5" s="73" t="s">
        <v>36</v>
      </c>
      <c r="B5">
        <v>584041000</v>
      </c>
      <c r="C5">
        <v>-69307000</v>
      </c>
      <c r="D5">
        <v>112519663</v>
      </c>
      <c r="E5">
        <v>257230000</v>
      </c>
      <c r="F5">
        <v>0.28228050940372768</v>
      </c>
    </row>
    <row r="6" spans="1:6" x14ac:dyDescent="0.25">
      <c r="A6" s="73" t="s">
        <v>37</v>
      </c>
      <c r="B6">
        <v>549585000</v>
      </c>
      <c r="C6">
        <v>-113611000</v>
      </c>
      <c r="D6">
        <v>112179722</v>
      </c>
      <c r="E6">
        <v>274743000</v>
      </c>
      <c r="F6">
        <v>0.21474529534129941</v>
      </c>
    </row>
    <row r="7" spans="1:6" x14ac:dyDescent="0.25">
      <c r="A7" s="73" t="s">
        <v>38</v>
      </c>
      <c r="B7">
        <v>520183000</v>
      </c>
      <c r="C7">
        <v>-131845000</v>
      </c>
      <c r="D7">
        <v>111585282</v>
      </c>
      <c r="E7">
        <v>280333000</v>
      </c>
      <c r="F7">
        <v>0.23513024544100941</v>
      </c>
    </row>
    <row r="8" spans="1:6" x14ac:dyDescent="0.25">
      <c r="A8" s="73" t="s">
        <v>39</v>
      </c>
      <c r="B8">
        <v>492576000</v>
      </c>
      <c r="C8">
        <v>-144950000</v>
      </c>
      <c r="D8">
        <v>111297064</v>
      </c>
      <c r="E8">
        <v>296828000</v>
      </c>
      <c r="F8">
        <v>0.51290074178046807</v>
      </c>
    </row>
    <row r="9" spans="1:6" x14ac:dyDescent="0.25">
      <c r="A9" s="73" t="s">
        <v>40</v>
      </c>
      <c r="B9">
        <v>470105000</v>
      </c>
      <c r="C9">
        <v>-145434000</v>
      </c>
      <c r="D9">
        <v>110934445</v>
      </c>
      <c r="E9">
        <v>331614000</v>
      </c>
      <c r="F9">
        <v>0.30732375085557839</v>
      </c>
    </row>
    <row r="10" spans="1:6" x14ac:dyDescent="0.25">
      <c r="A10" s="73" t="s">
        <v>41</v>
      </c>
      <c r="B10">
        <v>447961000</v>
      </c>
      <c r="C10">
        <v>-149193000</v>
      </c>
      <c r="D10">
        <v>110375126</v>
      </c>
      <c r="E10">
        <v>381035000</v>
      </c>
    </row>
    <row r="11" spans="1:6" x14ac:dyDescent="0.25">
      <c r="A11" s="73" t="s">
        <v>42</v>
      </c>
      <c r="B11">
        <v>419779000</v>
      </c>
      <c r="C11">
        <v>-155764000</v>
      </c>
      <c r="D11">
        <v>109679467</v>
      </c>
      <c r="E11">
        <v>406976000</v>
      </c>
    </row>
    <row r="12" spans="1:6" x14ac:dyDescent="0.25">
      <c r="A12" s="73" t="s">
        <v>43</v>
      </c>
      <c r="B12">
        <v>381073000</v>
      </c>
      <c r="C12">
        <v>-159310000</v>
      </c>
      <c r="D12">
        <v>109472050</v>
      </c>
      <c r="E12">
        <v>436517000</v>
      </c>
    </row>
    <row r="13" spans="1:6" x14ac:dyDescent="0.25">
      <c r="A13" s="73" t="s">
        <v>44</v>
      </c>
      <c r="B13">
        <v>339874000</v>
      </c>
      <c r="C13">
        <v>-157304000</v>
      </c>
      <c r="D13">
        <v>57905700</v>
      </c>
      <c r="E13">
        <v>471971000</v>
      </c>
      <c r="F13">
        <v>0.71493747887799941</v>
      </c>
    </row>
    <row r="14" spans="1:6" x14ac:dyDescent="0.25">
      <c r="A14" s="73" t="s">
        <v>45</v>
      </c>
      <c r="B14">
        <v>302628000</v>
      </c>
      <c r="C14">
        <v>-140542000</v>
      </c>
      <c r="D14">
        <v>106311529</v>
      </c>
      <c r="E14">
        <v>137031000</v>
      </c>
    </row>
    <row r="15" spans="1:6" x14ac:dyDescent="0.25">
      <c r="A15" s="73" t="s">
        <v>46</v>
      </c>
      <c r="B15">
        <v>262333000</v>
      </c>
      <c r="C15">
        <v>-64364000</v>
      </c>
      <c r="D15">
        <v>89761808</v>
      </c>
      <c r="E15">
        <v>149561000</v>
      </c>
    </row>
    <row r="16" spans="1:6" x14ac:dyDescent="0.25">
      <c r="A16" s="73" t="s">
        <v>47</v>
      </c>
      <c r="B16">
        <v>570621000</v>
      </c>
      <c r="C16">
        <v>-72512000</v>
      </c>
      <c r="D16">
        <v>89761808</v>
      </c>
    </row>
    <row r="17" spans="1:6" x14ac:dyDescent="0.25">
      <c r="A17" s="73" t="s">
        <v>48</v>
      </c>
      <c r="B17">
        <v>956729000</v>
      </c>
      <c r="C17">
        <v>76681000</v>
      </c>
      <c r="D17">
        <v>89761808</v>
      </c>
      <c r="E17">
        <v>102640000</v>
      </c>
    </row>
    <row r="18" spans="1:6" x14ac:dyDescent="0.25">
      <c r="A18" s="73" t="s">
        <v>49</v>
      </c>
      <c r="B18">
        <v>1249549000</v>
      </c>
      <c r="C18">
        <v>137400000</v>
      </c>
      <c r="D18">
        <v>89761808</v>
      </c>
      <c r="E18">
        <v>1301000000</v>
      </c>
      <c r="F18">
        <v>-0.80422304883052931</v>
      </c>
    </row>
    <row r="19" spans="1:6" x14ac:dyDescent="0.25">
      <c r="A19" s="73" t="s">
        <v>50</v>
      </c>
      <c r="B19">
        <v>1681400000</v>
      </c>
      <c r="C19">
        <v>167200000</v>
      </c>
      <c r="D19">
        <v>127163972</v>
      </c>
      <c r="E19">
        <v>1225500000</v>
      </c>
      <c r="F19">
        <v>-0.64096749886621307</v>
      </c>
    </row>
    <row r="20" spans="1:6" x14ac:dyDescent="0.25">
      <c r="A20" s="73" t="s">
        <v>51</v>
      </c>
      <c r="B20">
        <v>1727900000</v>
      </c>
      <c r="C20">
        <v>200400000</v>
      </c>
      <c r="D20">
        <v>127163972</v>
      </c>
      <c r="E20">
        <v>1182300000</v>
      </c>
      <c r="F20">
        <v>-0.56978688878780992</v>
      </c>
    </row>
    <row r="21" spans="1:6" x14ac:dyDescent="0.25">
      <c r="A21" s="73" t="s">
        <v>52</v>
      </c>
      <c r="B21">
        <v>1720100000</v>
      </c>
      <c r="C21">
        <v>109800000</v>
      </c>
      <c r="D21">
        <v>115258327</v>
      </c>
      <c r="E21">
        <v>1221500000</v>
      </c>
      <c r="F21">
        <v>-0.77257031175771973</v>
      </c>
    </row>
    <row r="22" spans="1:6" x14ac:dyDescent="0.25">
      <c r="A22" s="73" t="s">
        <v>53</v>
      </c>
      <c r="B22">
        <v>1704900000</v>
      </c>
      <c r="C22">
        <v>88600000</v>
      </c>
      <c r="D22">
        <v>115251853</v>
      </c>
      <c r="E22">
        <v>1135100000</v>
      </c>
    </row>
    <row r="23" spans="1:6" x14ac:dyDescent="0.25">
      <c r="A23" s="73" t="s">
        <v>54</v>
      </c>
      <c r="D23">
        <v>115796367</v>
      </c>
      <c r="E23">
        <v>999700000</v>
      </c>
    </row>
    <row r="24" spans="1:6" x14ac:dyDescent="0.25">
      <c r="A24" s="73" t="s">
        <v>55</v>
      </c>
      <c r="D24">
        <v>127335314</v>
      </c>
      <c r="E24">
        <v>949600000</v>
      </c>
    </row>
    <row r="25" spans="1:6" x14ac:dyDescent="0.25">
      <c r="A25" s="73" t="s">
        <v>56</v>
      </c>
      <c r="D25">
        <v>117040026</v>
      </c>
      <c r="E25">
        <v>834900000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57</v>
      </c>
      <c r="B1" s="27" t="s">
        <v>58</v>
      </c>
      <c r="C1" t="s">
        <v>59</v>
      </c>
      <c r="D1" t="s">
        <v>60</v>
      </c>
      <c r="F1" s="27" t="s">
        <v>58</v>
      </c>
      <c r="G1" t="s">
        <v>59</v>
      </c>
      <c r="H1" t="s">
        <v>60</v>
      </c>
      <c r="J1" t="s">
        <v>61</v>
      </c>
      <c r="K1" t="s">
        <v>59</v>
      </c>
      <c r="L1" t="s">
        <v>60</v>
      </c>
      <c r="N1" t="s">
        <v>62</v>
      </c>
      <c r="O1" t="s">
        <v>59</v>
      </c>
      <c r="P1" t="s">
        <v>60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63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64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65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66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67</v>
      </c>
    </row>
    <row r="7" spans="1:46" x14ac:dyDescent="0.25">
      <c r="A7" s="27" t="s">
        <v>68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69</v>
      </c>
    </row>
    <row r="8" spans="1:46" x14ac:dyDescent="0.25">
      <c r="A8" s="27" t="s">
        <v>70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71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72</v>
      </c>
    </row>
    <row r="10" spans="1:46" x14ac:dyDescent="0.25">
      <c r="A10" s="27" t="s">
        <v>73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74</v>
      </c>
    </row>
    <row r="11" spans="1:46" x14ac:dyDescent="0.25">
      <c r="A11" s="27" t="s">
        <v>75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76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77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78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79</v>
      </c>
    </row>
    <row r="15" spans="1:46" x14ac:dyDescent="0.25">
      <c r="A15" s="27" t="s">
        <v>80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81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82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83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84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85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86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87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88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89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90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91</v>
      </c>
      <c r="J26">
        <v>0.61799999999999999</v>
      </c>
      <c r="N26">
        <v>-0.36399999999999999</v>
      </c>
    </row>
    <row r="27" spans="1:17" x14ac:dyDescent="0.25">
      <c r="A27" s="27" t="s">
        <v>92</v>
      </c>
    </row>
    <row r="28" spans="1:17" x14ac:dyDescent="0.25">
      <c r="A28" s="27" t="s">
        <v>93</v>
      </c>
    </row>
    <row r="29" spans="1:17" x14ac:dyDescent="0.25">
      <c r="A29" s="27" t="s">
        <v>94</v>
      </c>
    </row>
    <row r="31" spans="1:17" x14ac:dyDescent="0.25">
      <c r="A31" s="26" t="s">
        <v>95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96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97</v>
      </c>
      <c r="C1" s="73" t="s">
        <v>98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99</v>
      </c>
      <c r="D2">
        <v>2.4044985538837151</v>
      </c>
      <c r="E2">
        <v>0.20737388597303741</v>
      </c>
    </row>
    <row r="3" spans="1:5" x14ac:dyDescent="0.25">
      <c r="A3" s="73">
        <v>1</v>
      </c>
      <c r="B3">
        <v>3</v>
      </c>
      <c r="C3" t="s">
        <v>100</v>
      </c>
      <c r="D3">
        <v>1.759566273151828</v>
      </c>
      <c r="E3">
        <v>0.1626607303840448</v>
      </c>
    </row>
    <row r="4" spans="1:5" x14ac:dyDescent="0.25">
      <c r="A4" s="73">
        <v>2</v>
      </c>
      <c r="B4">
        <v>3</v>
      </c>
      <c r="C4" t="s">
        <v>101</v>
      </c>
      <c r="D4">
        <v>2.0425658127300732</v>
      </c>
      <c r="E4">
        <v>0.18228108871130269</v>
      </c>
    </row>
    <row r="5" spans="1:5" x14ac:dyDescent="0.25">
      <c r="A5" s="73">
        <v>3</v>
      </c>
      <c r="B5">
        <v>5</v>
      </c>
      <c r="C5" t="s">
        <v>99</v>
      </c>
      <c r="D5">
        <v>2.4044985538837151</v>
      </c>
      <c r="E5">
        <v>0.20737388597303741</v>
      </c>
    </row>
    <row r="6" spans="1:5" x14ac:dyDescent="0.25">
      <c r="A6" s="73">
        <v>4</v>
      </c>
      <c r="B6">
        <v>5</v>
      </c>
      <c r="C6" t="s">
        <v>100</v>
      </c>
      <c r="D6">
        <v>1.759566273151828</v>
      </c>
      <c r="E6">
        <v>0.1626607303840448</v>
      </c>
    </row>
    <row r="7" spans="1:5" x14ac:dyDescent="0.25">
      <c r="A7" s="73">
        <v>5</v>
      </c>
      <c r="B7">
        <v>5</v>
      </c>
      <c r="C7" t="s">
        <v>101</v>
      </c>
      <c r="D7">
        <v>2.0425658127300732</v>
      </c>
      <c r="E7">
        <v>0.18228108871130269</v>
      </c>
    </row>
    <row r="8" spans="1:5" x14ac:dyDescent="0.25">
      <c r="A8" s="73">
        <v>6</v>
      </c>
      <c r="B8" t="s">
        <v>95</v>
      </c>
      <c r="D8">
        <v>2.0688768799218722</v>
      </c>
      <c r="E8">
        <v>0.18410523502279491</v>
      </c>
    </row>
    <row r="9" spans="1:5" x14ac:dyDescent="0.25">
      <c r="A9" s="73">
        <v>7</v>
      </c>
      <c r="B9" t="s">
        <v>96</v>
      </c>
      <c r="D9">
        <v>2.0425658127300732</v>
      </c>
      <c r="E9">
        <v>0.18228108871130269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2024-10-18T17:31:52Z</dcterms:modified>
</cp:coreProperties>
</file>