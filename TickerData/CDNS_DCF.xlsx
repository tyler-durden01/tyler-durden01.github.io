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3" documentId="11_3EDE51256F7402B48150CCFC3FA241FDDB9F2253" xr6:coauthVersionLast="47" xr6:coauthVersionMax="47" xr10:uidLastSave="{F5EE2980-B7D8-4A85-B21C-147DDF1A61E7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M5" i="3"/>
  <c r="N5" i="3" s="1"/>
  <c r="O5" i="3" s="1"/>
  <c r="P5" i="3" s="1"/>
  <c r="Q5" i="3" s="1"/>
  <c r="R5" i="3" s="1"/>
  <c r="S5" i="3" s="1"/>
  <c r="T5" i="3" s="1"/>
  <c r="U5" i="3" s="1"/>
  <c r="K32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G31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2" i="5" s="1"/>
  <c r="L3" i="5"/>
  <c r="K3" i="5"/>
  <c r="K31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J10" i="3"/>
  <c r="F10" i="3"/>
  <c r="L5" i="3"/>
  <c r="J4" i="3"/>
  <c r="H4" i="3"/>
  <c r="H5" i="3" s="1"/>
  <c r="G4" i="3"/>
  <c r="G5" i="3" s="1"/>
  <c r="E4" i="3"/>
  <c r="J3" i="3"/>
  <c r="I3" i="3"/>
  <c r="G3" i="3"/>
  <c r="E3" i="3"/>
  <c r="K1" i="3"/>
  <c r="K10" i="3" s="1"/>
  <c r="J1" i="3"/>
  <c r="J7" i="3" s="1"/>
  <c r="I1" i="3"/>
  <c r="I7" i="3" s="1"/>
  <c r="H1" i="3"/>
  <c r="H3" i="3" s="1"/>
  <c r="G1" i="3"/>
  <c r="G7" i="3" s="1"/>
  <c r="F1" i="3"/>
  <c r="F4" i="3" s="1"/>
  <c r="F5" i="3" s="1"/>
  <c r="E1" i="3"/>
  <c r="E10" i="3" s="1"/>
  <c r="D1" i="3"/>
  <c r="D10" i="3" s="1"/>
  <c r="J13" i="3" l="1"/>
  <c r="J8" i="3"/>
  <c r="K11" i="3"/>
  <c r="L11" i="3" s="1"/>
  <c r="N11" i="3" s="1"/>
  <c r="O11" i="3" s="1"/>
  <c r="P11" i="3" s="1"/>
  <c r="Q11" i="3" s="1"/>
  <c r="R11" i="3" s="1"/>
  <c r="S11" i="3" s="1"/>
  <c r="T11" i="3" s="1"/>
  <c r="U11" i="3" s="1"/>
  <c r="C21" i="3"/>
  <c r="L10" i="3"/>
  <c r="M10" i="3" s="1"/>
  <c r="C20" i="3"/>
  <c r="E11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F11" i="3"/>
  <c r="G8" i="3"/>
  <c r="G13" i="3"/>
  <c r="L1" i="3"/>
  <c r="D7" i="3"/>
  <c r="G10" i="3"/>
  <c r="G11" i="3" s="1"/>
  <c r="K3" i="3"/>
  <c r="I4" i="3"/>
  <c r="I5" i="3" s="1"/>
  <c r="E7" i="3"/>
  <c r="H10" i="3"/>
  <c r="H11" i="3" s="1"/>
  <c r="F7" i="3"/>
  <c r="I10" i="3"/>
  <c r="I11" i="3" s="1"/>
  <c r="O31" i="5"/>
  <c r="K7" i="3"/>
  <c r="D3" i="3"/>
  <c r="K4" i="3"/>
  <c r="F3" i="3"/>
  <c r="D4" i="3"/>
  <c r="E5" i="3" s="1"/>
  <c r="H7" i="3"/>
  <c r="N10" i="3" l="1"/>
  <c r="O10" i="3" s="1"/>
  <c r="P10" i="3" s="1"/>
  <c r="Q10" i="3" s="1"/>
  <c r="R10" i="3" s="1"/>
  <c r="S10" i="3" s="1"/>
  <c r="T10" i="3" s="1"/>
  <c r="U10" i="3" s="1"/>
  <c r="V10" i="3" s="1"/>
  <c r="F8" i="3"/>
  <c r="F13" i="3"/>
  <c r="E8" i="3"/>
  <c r="E13" i="3"/>
  <c r="L3" i="3"/>
  <c r="M1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H13" i="3"/>
  <c r="H8" i="3"/>
  <c r="J11" i="3"/>
  <c r="K8" i="3"/>
  <c r="K13" i="3"/>
  <c r="I8" i="3"/>
  <c r="D8" i="3"/>
  <c r="L8" i="3" s="1"/>
  <c r="D13" i="3"/>
  <c r="J5" i="3"/>
  <c r="I13" i="3"/>
  <c r="M8" i="3" l="1"/>
  <c r="L7" i="3"/>
  <c r="L13" i="3" s="1"/>
  <c r="L14" i="3" s="1"/>
  <c r="M3" i="3"/>
  <c r="N1" i="3"/>
  <c r="N3" i="3" l="1"/>
  <c r="O1" i="3"/>
  <c r="N8" i="3"/>
  <c r="M7" i="3"/>
  <c r="M13" i="3" s="1"/>
  <c r="M14" i="3" s="1"/>
  <c r="O3" i="3" l="1"/>
  <c r="P1" i="3"/>
  <c r="O8" i="3"/>
  <c r="N7" i="3"/>
  <c r="N13" i="3" s="1"/>
  <c r="N14" i="3" s="1"/>
  <c r="P3" i="3" l="1"/>
  <c r="Q1" i="3"/>
  <c r="O7" i="3"/>
  <c r="O13" i="3" s="1"/>
  <c r="O14" i="3" s="1"/>
  <c r="P8" i="3"/>
  <c r="P7" i="3" l="1"/>
  <c r="P13" i="3" s="1"/>
  <c r="P14" i="3" s="1"/>
  <c r="Q8" i="3"/>
  <c r="R1" i="3"/>
  <c r="Q3" i="3"/>
  <c r="S1" i="3" l="1"/>
  <c r="R3" i="3"/>
  <c r="Q7" i="3"/>
  <c r="Q13" i="3" s="1"/>
  <c r="Q14" i="3" s="1"/>
  <c r="R8" i="3"/>
  <c r="R7" i="3" l="1"/>
  <c r="R13" i="3" s="1"/>
  <c r="R14" i="3" s="1"/>
  <c r="S8" i="3"/>
  <c r="S3" i="3"/>
  <c r="T1" i="3"/>
  <c r="T3" i="3" l="1"/>
  <c r="U1" i="3"/>
  <c r="U3" i="3" s="1"/>
  <c r="T8" i="3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7" i="3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<sst xmlns="http://schemas.openxmlformats.org/spreadsheetml/2006/main" count="251" uniqueCount="233">
  <si>
    <t>This sheet contains FactSet XML data for use with this workbook's =FDS codes.  Modifying the worksheet's contents may damage the workbook's =FDS functionality.</t>
  </si>
  <si>
    <t>CDNS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</si>
  <si>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</si>
  <si>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</si>
  <si>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</si>
  <si>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</si>
  <si>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</si>
  <si>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</si>
  <si>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</si>
  <si>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</si>
  <si>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</si>
  <si>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</si>
  <si>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</si>
  <si>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</si>
  <si>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</si>
  <si>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</si>
  <si>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</si>
  <si>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</si>
  <si>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</si>
  <si>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</si>
  <si>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</si>
  <si>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</si>
  <si>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</si>
  <si>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</si>
  <si>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</si>
  <si>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</si>
  <si>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</si>
  <si>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</si>
  <si>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</si>
  <si>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</si>
  <si>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</si>
  <si>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</si>
  <si>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</si>
  <si>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</si>
  <si>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</si>
  <si>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</si>
  <si>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</si>
  <si>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</si>
  <si>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</si>
  <si>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</si>
  <si>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</si>
  <si>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2022-10-01</t>
  </si>
  <si>
    <t>2022-07-02</t>
  </si>
  <si>
    <t>2022-04-02</t>
  </si>
  <si>
    <t>2022-01-01</t>
  </si>
  <si>
    <t>2021-10-02</t>
  </si>
  <si>
    <t>2021-07-03</t>
  </si>
  <si>
    <t>2021-04-03</t>
  </si>
  <si>
    <t>2021-01-02</t>
  </si>
  <si>
    <t>2020-09-26</t>
  </si>
  <si>
    <t>2020-06-27</t>
  </si>
  <si>
    <t>2020-03-28</t>
  </si>
  <si>
    <t>2019-12-28</t>
  </si>
  <si>
    <t>2019-09-28</t>
  </si>
  <si>
    <t>2019-06-29</t>
  </si>
  <si>
    <t>2019-03-30</t>
  </si>
  <si>
    <t>2018-12-29</t>
  </si>
  <si>
    <t>2018-09-29</t>
  </si>
  <si>
    <t>2018-06-30</t>
  </si>
  <si>
    <t>2018-03-31</t>
  </si>
  <si>
    <t>2017-12-30</t>
  </si>
  <si>
    <t>2017-09-30</t>
  </si>
  <si>
    <t>2017-07-01</t>
  </si>
  <si>
    <t>2017-04-01</t>
  </si>
  <si>
    <t>2016-12-31</t>
  </si>
  <si>
    <t>2016-10-01</t>
  </si>
  <si>
    <t>2016-07-02</t>
  </si>
  <si>
    <t>2016-04-02</t>
  </si>
  <si>
    <t>2016-01-02</t>
  </si>
  <si>
    <t>2015-10-03</t>
  </si>
  <si>
    <t>2015-07-04</t>
  </si>
  <si>
    <t>2015-04-04</t>
  </si>
  <si>
    <t>2015-01-03</t>
  </si>
  <si>
    <t>2014-09-27</t>
  </si>
  <si>
    <t>2014-06-28</t>
  </si>
  <si>
    <t>2014-03-29</t>
  </si>
  <si>
    <t>2013-12-28</t>
  </si>
  <si>
    <t>2013-09-28</t>
  </si>
  <si>
    <t>2013-06-29</t>
  </si>
  <si>
    <t>2013-03-30</t>
  </si>
  <si>
    <t>2012-12-29</t>
  </si>
  <si>
    <t>2012-09-29</t>
  </si>
  <si>
    <t>2012-06-30</t>
  </si>
  <si>
    <t>2012-03-31</t>
  </si>
  <si>
    <t>2011-12-31</t>
  </si>
  <si>
    <t>2011-10-01</t>
  </si>
  <si>
    <t>2011-07-02</t>
  </si>
  <si>
    <t>2011-04-02</t>
  </si>
  <si>
    <t>2011-01-01</t>
  </si>
  <si>
    <t>2010-10-02</t>
  </si>
  <si>
    <t>2010-07-03</t>
  </si>
  <si>
    <t>2010-04-03</t>
  </si>
  <si>
    <t>2010-01-02</t>
  </si>
  <si>
    <t>2009-10-03</t>
  </si>
  <si>
    <t>2009-07-04</t>
  </si>
  <si>
    <t>2009-04-04</t>
  </si>
  <si>
    <t>2009-01-03</t>
  </si>
  <si>
    <t>2008-09-27</t>
  </si>
  <si>
    <t>2008-06-28</t>
  </si>
  <si>
    <t>2008-03-29</t>
  </si>
  <si>
    <t>2007-12-29</t>
  </si>
  <si>
    <t>2007-09-29</t>
  </si>
  <si>
    <t>2007-06-30</t>
  </si>
  <si>
    <t>2007-03-31</t>
  </si>
  <si>
    <t>2006-12-30</t>
  </si>
  <si>
    <t>2006-09-30</t>
  </si>
  <si>
    <t>2006-07-01</t>
  </si>
  <si>
    <t>2006-04-01</t>
  </si>
  <si>
    <t>2005-12-31</t>
  </si>
  <si>
    <t>2005-10-01</t>
  </si>
  <si>
    <t>2005-07-02</t>
  </si>
  <si>
    <t>2005-04-02</t>
  </si>
  <si>
    <t>2005-01-01</t>
  </si>
  <si>
    <t>2004-10-02</t>
  </si>
  <si>
    <t>2004-07-03</t>
  </si>
  <si>
    <t>2004-04-03</t>
  </si>
  <si>
    <t>2004-01-03</t>
  </si>
  <si>
    <t>2003-09-27</t>
  </si>
  <si>
    <t>2003-06-28</t>
  </si>
  <si>
    <t>2003-03-29</t>
  </si>
  <si>
    <t>2002-12-28</t>
  </si>
  <si>
    <t>2002-09-28</t>
  </si>
  <si>
    <t>2002-06-29</t>
  </si>
  <si>
    <t>2002-03-30</t>
  </si>
  <si>
    <t>2001-12-29</t>
  </si>
  <si>
    <t>2001-09-29</t>
  </si>
  <si>
    <t>2001-06-30</t>
  </si>
  <si>
    <t>2001-03-31</t>
  </si>
  <si>
    <t>2000-12-30</t>
  </si>
  <si>
    <t>2000-09-30</t>
  </si>
  <si>
    <t>2000-07-01</t>
  </si>
  <si>
    <t>2000-04-01</t>
  </si>
  <si>
    <t>2000-01-01</t>
  </si>
  <si>
    <t>1999-10-02</t>
  </si>
  <si>
    <t>1999-07-03</t>
  </si>
  <si>
    <t>1999-04-03</t>
  </si>
  <si>
    <t>1999-01-02</t>
  </si>
  <si>
    <t>1998-10-03</t>
  </si>
  <si>
    <t>1998-07-04</t>
  </si>
  <si>
    <t>1998-04-04</t>
  </si>
  <si>
    <t>1998-01-03</t>
  </si>
  <si>
    <t>1997-09-27</t>
  </si>
  <si>
    <t>1997-06-28</t>
  </si>
  <si>
    <t>1997-03-29</t>
  </si>
  <si>
    <t>1996-12-28</t>
  </si>
  <si>
    <t>1996-09-28</t>
  </si>
  <si>
    <t>1996-06-29</t>
  </si>
  <si>
    <t>1996-03-30</t>
  </si>
  <si>
    <t>1995-12-30</t>
  </si>
  <si>
    <t>1995-09-30</t>
  </si>
  <si>
    <t>1995-07-01</t>
  </si>
  <si>
    <t>1995-04-01</t>
  </si>
  <si>
    <t>1994-12-31</t>
  </si>
  <si>
    <t>1994-09-30</t>
  </si>
  <si>
    <t>1994-06-30</t>
  </si>
  <si>
    <t>1994-03-31</t>
  </si>
  <si>
    <t>1993-12-31</t>
  </si>
  <si>
    <t>1993-09-30</t>
  </si>
  <si>
    <t>1993-06-30</t>
  </si>
  <si>
    <t>1993-03-31</t>
  </si>
  <si>
    <t>1992-12-31</t>
  </si>
  <si>
    <t>1992-09-30</t>
  </si>
  <si>
    <t>1992-06-30</t>
  </si>
  <si>
    <t>1992-03-31</t>
  </si>
  <si>
    <t>1991-12-31</t>
  </si>
  <si>
    <t>1991-09-30</t>
  </si>
  <si>
    <t>1991-06-30</t>
  </si>
  <si>
    <t>1991-03-31</t>
  </si>
  <si>
    <t>1990-12-31</t>
  </si>
  <si>
    <t>1990-09-30</t>
  </si>
  <si>
    <t>1990-06-30</t>
  </si>
  <si>
    <t>1990-03-31</t>
  </si>
  <si>
    <t>1989-12-31</t>
  </si>
  <si>
    <t>1989-09-30</t>
  </si>
  <si>
    <t>1989-06-30</t>
  </si>
  <si>
    <t>1989-03-31</t>
  </si>
  <si>
    <t>1988-12-31</t>
  </si>
  <si>
    <t>1988-09-30</t>
  </si>
  <si>
    <t>1988-06-30</t>
  </si>
  <si>
    <t>1988-03-31</t>
  </si>
  <si>
    <t>1987-12-31</t>
  </si>
  <si>
    <t>1987-09-30</t>
  </si>
  <si>
    <t>1987-06-30</t>
  </si>
  <si>
    <t>1987-03-31</t>
  </si>
  <si>
    <t>1986-12-31</t>
  </si>
  <si>
    <t>1986-09-30</t>
  </si>
  <si>
    <t>1986-06-30</t>
  </si>
  <si>
    <t>1986-03-31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</si>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</sst>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2964849000</v>
      </c>
    </row>
    <row r="3" spans="1:2" x14ac:dyDescent="0.25">
      <c r="A3" s="73" t="s">
        <v>3</v>
      </c>
      <c r="B3">
        <v>998935000</v>
      </c>
    </row>
    <row r="4" spans="1:2" x14ac:dyDescent="0.25">
      <c r="A4" s="73" t="s">
        <v>4</v>
      </c>
      <c r="B4">
        <v>0.18991784330549269</v>
      </c>
    </row>
    <row r="5" spans="1:2" x14ac:dyDescent="0.25">
      <c r="A5" s="73" t="s">
        <v>5</v>
      </c>
      <c r="B5">
        <v>3.9687266939290353E-2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4260892000</v>
      </c>
    </row>
    <row r="8" spans="1:2" x14ac:dyDescent="0.25">
      <c r="A8" s="73" t="s">
        <v>8</v>
      </c>
      <c r="B8">
        <v>0.81008215669450723</v>
      </c>
    </row>
    <row r="9" spans="1:2" x14ac:dyDescent="0.25">
      <c r="A9" s="73" t="s">
        <v>9</v>
      </c>
      <c r="B9">
        <v>0.1248215182416528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1.213967347245652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0.1070701676126824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13" sqref="L13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2017-07-01</v>
      </c>
      <c r="E1" s="66" t="str">
        <f>Python!A27</f>
        <v>2018-06-30</v>
      </c>
      <c r="F1" s="66" t="str">
        <f>Python!A23</f>
        <v>2019-06-29</v>
      </c>
      <c r="G1" s="66" t="str">
        <f>Python!A19</f>
        <v>2020-06-27</v>
      </c>
      <c r="H1" s="66" t="str">
        <f>Python!A15</f>
        <v>2021-07-03</v>
      </c>
      <c r="I1" s="66" t="str">
        <f>Python!A11</f>
        <v>2022-07-02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1871.1120000000001</v>
      </c>
      <c r="E4" s="36">
        <f>IFERROR(INDEX(Python!$1:$1048576,MATCH(DCF_Simple!E$1,Python!$A:$A,0),MATCH(DCF_Simple!$B4,Python!$1:$1,0))/1000000,0)</f>
        <v>2022.8240000000001</v>
      </c>
      <c r="F4" s="36">
        <f>IFERROR(INDEX(Python!$1:$1048576,MATCH(DCF_Simple!F$1,Python!$A:$A,0),MATCH(DCF_Simple!$B4,Python!$1:$1,0))/1000000,0)</f>
        <v>2259.4789999999998</v>
      </c>
      <c r="G4" s="36">
        <f>IFERROR(INDEX(Python!$1:$1048576,MATCH(DCF_Simple!G$1,Python!$A:$A,0),MATCH(DCF_Simple!$B4,Python!$1:$1,0))/1000000,0)</f>
        <v>2435.5329999999999</v>
      </c>
      <c r="H4" s="36">
        <f>IFERROR(INDEX(Python!$1:$1048576,MATCH(DCF_Simple!H$1,Python!$A:$A,0),MATCH(DCF_Simple!$B4,Python!$1:$1,0))/1000000,0)</f>
        <v>2890.8290000000002</v>
      </c>
      <c r="I4" s="36">
        <f>IFERROR(INDEX(Python!$1:$1048576,MATCH(DCF_Simple!I$1,Python!$A:$A,0),MATCH(DCF_Simple!$B4,Python!$1:$1,0))/1000000,0)</f>
        <v>3283.2179999999998</v>
      </c>
      <c r="J4" s="36">
        <f>IFERROR(INDEX(Python!$1:$1048576,MATCH(DCF_Simple!J$1,Python!$A:$A,0),MATCH(DCF_Simple!$B4,Python!$1:$1,0))/1000000,0)</f>
        <v>3800.7</v>
      </c>
      <c r="K4" s="55">
        <f>IFERROR(INDEX(Python!$1:$1048576,MATCH(DCF_Simple!K$1,Python!$A:$A,0),MATCH(DCF_Simple!$B4,Python!$1:$1,0))/1000000,0)</f>
        <v>4161.5010000000002</v>
      </c>
      <c r="L4" s="37">
        <f t="shared" ref="L4:U4" si="2">K4*(1+L5)</f>
        <v>4804.1192706437541</v>
      </c>
      <c r="M4" s="36">
        <f t="shared" si="2"/>
        <v>5360.5077259752716</v>
      </c>
      <c r="N4" s="36">
        <f t="shared" si="2"/>
        <v>5981.3342386876393</v>
      </c>
      <c r="O4" s="36">
        <f t="shared" si="2"/>
        <v>6674.0616941071603</v>
      </c>
      <c r="P4" s="36">
        <f t="shared" si="2"/>
        <v>7447.0172906641828</v>
      </c>
      <c r="Q4" s="36">
        <f t="shared" si="2"/>
        <v>8309.4926402040619</v>
      </c>
      <c r="R4" s="36">
        <f t="shared" si="2"/>
        <v>9271.855461402758</v>
      </c>
      <c r="S4" s="36">
        <f t="shared" si="2"/>
        <v>10345.674208940993</v>
      </c>
      <c r="T4" s="36">
        <f t="shared" si="2"/>
        <v>11543.857136590175</v>
      </c>
      <c r="U4" s="36">
        <f t="shared" si="2"/>
        <v>12880.807465871749</v>
      </c>
      <c r="V4" s="19">
        <f>U4</f>
        <v>12880.807465871749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8.1081196636010988E-2</v>
      </c>
      <c r="F5" s="42">
        <f t="shared" si="3"/>
        <v>0.11699238292604774</v>
      </c>
      <c r="G5" s="42">
        <f t="shared" si="3"/>
        <v>7.7917962503745386E-2</v>
      </c>
      <c r="H5" s="42">
        <f t="shared" si="3"/>
        <v>0.18693895750950618</v>
      </c>
      <c r="I5" s="42">
        <f t="shared" si="3"/>
        <v>0.13573580450452094</v>
      </c>
      <c r="J5" s="42">
        <f t="shared" si="3"/>
        <v>0.15761426746563889</v>
      </c>
      <c r="K5" s="58">
        <f t="shared" si="3"/>
        <v>9.4930144447075593E-2</v>
      </c>
      <c r="L5" s="43">
        <f>Python!F2</f>
        <v>0.15441982848105851</v>
      </c>
      <c r="M5" s="43">
        <f>L5*0.75</f>
        <v>0.11581487136079388</v>
      </c>
      <c r="N5" s="38">
        <f t="shared" ref="N5:U5" si="4">M5</f>
        <v>0.11581487136079388</v>
      </c>
      <c r="O5" s="38">
        <f t="shared" si="4"/>
        <v>0.11581487136079388</v>
      </c>
      <c r="P5" s="38">
        <f t="shared" si="4"/>
        <v>0.11581487136079388</v>
      </c>
      <c r="Q5" s="38">
        <f t="shared" si="4"/>
        <v>0.11581487136079388</v>
      </c>
      <c r="R5" s="38">
        <f t="shared" si="4"/>
        <v>0.11581487136079388</v>
      </c>
      <c r="S5" s="38">
        <f t="shared" si="4"/>
        <v>0.11581487136079388</v>
      </c>
      <c r="T5" s="38">
        <f t="shared" si="4"/>
        <v>0.11581487136079388</v>
      </c>
      <c r="U5" s="38">
        <f t="shared" si="4"/>
        <v>0.11581487136079388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482.97899999999998</v>
      </c>
      <c r="E7" s="52">
        <f>IFERROR(INDEX(Python!$1:$1048576,MATCH(DCF_Simple!E$1,Python!$A:$A,0),MATCH(DCF_Simple!$B7,Python!$1:$1,0))/1000000,0)</f>
        <v>517.56500000000005</v>
      </c>
      <c r="F7" s="52">
        <f>IFERROR(INDEX(Python!$1:$1048576,MATCH(DCF_Simple!F$1,Python!$A:$A,0),MATCH(DCF_Simple!$B7,Python!$1:$1,0))/1000000,0)</f>
        <v>612.65200000000004</v>
      </c>
      <c r="G7" s="52">
        <f>IFERROR(INDEX(Python!$1:$1048576,MATCH(DCF_Simple!G$1,Python!$A:$A,0),MATCH(DCF_Simple!$B7,Python!$1:$1,0))/1000000,0)</f>
        <v>773.09100000000001</v>
      </c>
      <c r="H7" s="52">
        <f>IFERROR(INDEX(Python!$1:$1048576,MATCH(DCF_Simple!H$1,Python!$A:$A,0),MATCH(DCF_Simple!$B7,Python!$1:$1,0))/1000000,0)</f>
        <v>848.48</v>
      </c>
      <c r="I7" s="52">
        <f>IFERROR(INDEX(Python!$1:$1048576,MATCH(DCF_Simple!I$1,Python!$A:$A,0),MATCH(DCF_Simple!$B7,Python!$1:$1,0))/1000000,0)</f>
        <v>1094.595</v>
      </c>
      <c r="J7" s="52">
        <f>IFERROR(INDEX(Python!$1:$1048576,MATCH(DCF_Simple!J$1,Python!$A:$A,0),MATCH(DCF_Simple!$B7,Python!$1:$1,0))/1000000,0)</f>
        <v>1133.998</v>
      </c>
      <c r="K7" s="57">
        <f>IFERROR(INDEX(Python!$1:$1048576,MATCH(DCF_Simple!K$1,Python!$A:$A,0),MATCH(DCF_Simple!$B7,Python!$1:$1,0))/1000000,0)</f>
        <v>942.55399999999997</v>
      </c>
      <c r="L7" s="64">
        <f t="shared" ref="L7:U7" si="5">L8*L4</f>
        <v>1353.7488772225872</v>
      </c>
      <c r="M7" s="64">
        <f t="shared" si="5"/>
        <v>1510.5331292929402</v>
      </c>
      <c r="N7" s="64">
        <f t="shared" si="5"/>
        <v>1685.4753293482195</v>
      </c>
      <c r="O7" s="64">
        <f t="shared" si="5"/>
        <v>1880.6784377984752</v>
      </c>
      <c r="P7" s="64">
        <f t="shared" si="5"/>
        <v>2098.4889691431245</v>
      </c>
      <c r="Q7" s="64">
        <f t="shared" si="5"/>
        <v>2341.5251991564801</v>
      </c>
      <c r="R7" s="64">
        <f t="shared" si="5"/>
        <v>2612.7086388848447</v>
      </c>
      <c r="S7" s="64">
        <f t="shared" si="5"/>
        <v>2915.2991538005281</v>
      </c>
      <c r="T7" s="64">
        <f t="shared" si="5"/>
        <v>3252.9341502761667</v>
      </c>
      <c r="U7" s="64">
        <f t="shared" si="5"/>
        <v>3629.6723004355345</v>
      </c>
      <c r="V7" s="65">
        <f>U7</f>
        <v>3629.6723004355345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0.25812404602183087</v>
      </c>
      <c r="E8" s="42">
        <f t="shared" si="6"/>
        <v>0.25586259605383366</v>
      </c>
      <c r="F8" s="42">
        <f t="shared" si="6"/>
        <v>0.27114746364095443</v>
      </c>
      <c r="G8" s="42">
        <f t="shared" si="6"/>
        <v>0.317421689626049</v>
      </c>
      <c r="H8" s="42">
        <f t="shared" si="6"/>
        <v>0.29350750251917357</v>
      </c>
      <c r="I8" s="42">
        <f t="shared" si="6"/>
        <v>0.33339089880720685</v>
      </c>
      <c r="J8" s="42">
        <f t="shared" si="6"/>
        <v>0.29836556423816668</v>
      </c>
      <c r="K8" s="58">
        <f t="shared" si="6"/>
        <v>0.22649375790129569</v>
      </c>
      <c r="L8" s="38">
        <f>AVERAGE(D8:K8)</f>
        <v>0.28178918985106383</v>
      </c>
      <c r="M8" s="38">
        <f t="shared" ref="M8:U8" si="7">L8</f>
        <v>0.28178918985106383</v>
      </c>
      <c r="N8" s="38">
        <f t="shared" si="7"/>
        <v>0.28178918985106383</v>
      </c>
      <c r="O8" s="38">
        <f t="shared" si="7"/>
        <v>0.28178918985106383</v>
      </c>
      <c r="P8" s="38">
        <f t="shared" si="7"/>
        <v>0.28178918985106383</v>
      </c>
      <c r="Q8" s="38">
        <f t="shared" si="7"/>
        <v>0.28178918985106383</v>
      </c>
      <c r="R8" s="38">
        <f t="shared" si="7"/>
        <v>0.28178918985106383</v>
      </c>
      <c r="S8" s="38">
        <f t="shared" si="7"/>
        <v>0.28178918985106383</v>
      </c>
      <c r="T8" s="38">
        <f t="shared" si="7"/>
        <v>0.28178918985106383</v>
      </c>
      <c r="U8" s="38">
        <f t="shared" si="7"/>
        <v>0.28178918985106383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279.52600000000001</v>
      </c>
      <c r="E10" s="17">
        <f>IFERROR(INDEX(Python!$1:$1048576,MATCH(DCF_Simple!E$1,Python!$A:$A,0),MATCH(DCF_Simple!$B10,Python!$1:$1,0))/1000000,0)</f>
        <v>280.774</v>
      </c>
      <c r="F10" s="17">
        <f>IFERROR(INDEX(Python!$1:$1048576,MATCH(DCF_Simple!F$1,Python!$A:$A,0),MATCH(DCF_Simple!$B10,Python!$1:$1,0))/1000000,0)</f>
        <v>281.05399999999997</v>
      </c>
      <c r="G10" s="17">
        <f>IFERROR(INDEX(Python!$1:$1048576,MATCH(DCF_Simple!G$1,Python!$A:$A,0),MATCH(DCF_Simple!$B10,Python!$1:$1,0))/1000000,0)</f>
        <v>279.08</v>
      </c>
      <c r="H10" s="17">
        <f>IFERROR(INDEX(Python!$1:$1048576,MATCH(DCF_Simple!H$1,Python!$A:$A,0),MATCH(DCF_Simple!$B10,Python!$1:$1,0))/1000000,0)</f>
        <v>278.55799999999999</v>
      </c>
      <c r="I10" s="17">
        <f>IFERROR(INDEX(Python!$1:$1048576,MATCH(DCF_Simple!I$1,Python!$A:$A,0),MATCH(DCF_Simple!$B10,Python!$1:$1,0))/1000000,0)</f>
        <v>275.17200000000003</v>
      </c>
      <c r="J10" s="17">
        <f>IFERROR(INDEX(Python!$1:$1048576,MATCH(DCF_Simple!J$1,Python!$A:$A,0),MATCH(DCF_Simple!$B10,Python!$1:$1,0))/1000000,0)</f>
        <v>272.99599999999998</v>
      </c>
      <c r="K10" s="69">
        <f>IFERROR(INDEX(Python!$1:$1048576,MATCH(DCF_Simple!K$1,Python!$A:$A,0),MATCH(DCF_Simple!$B10,Python!$1:$1,0))/1000000,0)</f>
        <v>273.52</v>
      </c>
      <c r="L10" s="17">
        <f t="shared" ref="L10:U10" si="8">K10*(1+L11)</f>
        <v>274.04500578763054</v>
      </c>
      <c r="M10" s="17">
        <f t="shared" si="8"/>
        <v>273.20032683152323</v>
      </c>
      <c r="N10" s="17">
        <f t="shared" si="8"/>
        <v>272.35825139864681</v>
      </c>
      <c r="O10" s="17">
        <f t="shared" si="8"/>
        <v>271.51877146425636</v>
      </c>
      <c r="P10" s="17">
        <f t="shared" si="8"/>
        <v>270.68187902834126</v>
      </c>
      <c r="Q10" s="17">
        <f t="shared" si="8"/>
        <v>269.84756611554906</v>
      </c>
      <c r="R10" s="17">
        <f t="shared" si="8"/>
        <v>269.01582477510942</v>
      </c>
      <c r="S10" s="17">
        <f t="shared" si="8"/>
        <v>268.18664708075846</v>
      </c>
      <c r="T10" s="17">
        <f t="shared" si="8"/>
        <v>267.36002513066296</v>
      </c>
      <c r="U10" s="17">
        <f t="shared" si="8"/>
        <v>266.53595104734541</v>
      </c>
      <c r="V10" s="70">
        <f>U10</f>
        <v>266.53595104734541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4.4647009580502939E-3</v>
      </c>
      <c r="F11" s="42">
        <f t="shared" si="9"/>
        <v>9.9724333449668912E-4</v>
      </c>
      <c r="G11" s="42">
        <f t="shared" si="9"/>
        <v>-7.0235613085029014E-3</v>
      </c>
      <c r="H11" s="42">
        <f t="shared" si="9"/>
        <v>-1.8704314175146397E-3</v>
      </c>
      <c r="I11" s="42">
        <f t="shared" si="9"/>
        <v>-1.2155457750270937E-2</v>
      </c>
      <c r="J11" s="42">
        <f t="shared" si="9"/>
        <v>-7.9077813149595055E-3</v>
      </c>
      <c r="K11" s="58">
        <f t="shared" si="9"/>
        <v>1.9194420431067893E-3</v>
      </c>
      <c r="L11" s="67">
        <f t="shared" ref="L11:U11" si="10">K11</f>
        <v>1.9194420431067893E-3</v>
      </c>
      <c r="M11" s="67">
        <f>AVERAGE(E11:K11)</f>
        <v>-3.0822636365134587E-3</v>
      </c>
      <c r="N11" s="67">
        <f t="shared" si="10"/>
        <v>-3.0822636365134587E-3</v>
      </c>
      <c r="O11" s="67">
        <f t="shared" si="10"/>
        <v>-3.0822636365134587E-3</v>
      </c>
      <c r="P11" s="67">
        <f t="shared" si="10"/>
        <v>-3.0822636365134587E-3</v>
      </c>
      <c r="Q11" s="67">
        <f t="shared" si="10"/>
        <v>-3.0822636365134587E-3</v>
      </c>
      <c r="R11" s="67">
        <f t="shared" si="10"/>
        <v>-3.0822636365134587E-3</v>
      </c>
      <c r="S11" s="67">
        <f t="shared" si="10"/>
        <v>-3.0822636365134587E-3</v>
      </c>
      <c r="T11" s="67">
        <f t="shared" si="10"/>
        <v>-3.0822636365134587E-3</v>
      </c>
      <c r="U11" s="67">
        <f t="shared" si="10"/>
        <v>-3.0822636365134587E-3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1.7278500032197361</v>
      </c>
      <c r="E13" s="53">
        <f t="shared" si="11"/>
        <v>1.8433508800672429</v>
      </c>
      <c r="F13" s="53">
        <f t="shared" si="11"/>
        <v>2.1798373266347397</v>
      </c>
      <c r="G13" s="53">
        <f t="shared" si="11"/>
        <v>2.7701411781568011</v>
      </c>
      <c r="H13" s="53">
        <f t="shared" si="11"/>
        <v>3.0459724725191881</v>
      </c>
      <c r="I13" s="53">
        <f t="shared" si="11"/>
        <v>3.9778574854999778</v>
      </c>
      <c r="J13" s="53">
        <f t="shared" si="11"/>
        <v>4.1538996908379611</v>
      </c>
      <c r="K13" s="59">
        <f t="shared" si="11"/>
        <v>3.4460149166422931</v>
      </c>
      <c r="L13" s="53">
        <f t="shared" ref="L13:U13" si="12">L7/L10</f>
        <v>4.9398779347639943</v>
      </c>
      <c r="M13" s="53">
        <f t="shared" si="12"/>
        <v>5.529031194111468</v>
      </c>
      <c r="N13" s="53">
        <f t="shared" si="12"/>
        <v>6.1884496639729623</v>
      </c>
      <c r="O13" s="53">
        <f t="shared" si="12"/>
        <v>6.926513506437451</v>
      </c>
      <c r="P13" s="53">
        <f t="shared" si="12"/>
        <v>7.7526023414497054</v>
      </c>
      <c r="Q13" s="53">
        <f t="shared" si="12"/>
        <v>8.677214446891977</v>
      </c>
      <c r="R13" s="53">
        <f t="shared" si="12"/>
        <v>9.7121001750324716</v>
      </c>
      <c r="S13" s="53">
        <f t="shared" si="12"/>
        <v>10.870411280851915</v>
      </c>
      <c r="T13" s="53">
        <f t="shared" si="12"/>
        <v>12.166868059974215</v>
      </c>
      <c r="U13" s="53">
        <f t="shared" si="12"/>
        <v>13.617946420259035</v>
      </c>
      <c r="V13" s="71">
        <f>U13*(1+WACC!$B$13)/(WACC!$B$14-WACC!$B$13)</f>
        <v>159.53001733559304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4.4621181920351871</v>
      </c>
      <c r="M14" s="62">
        <f>M13/((1+WACC!$B$14)^(M3-$K$3))</f>
        <v>4.5112692093192823</v>
      </c>
      <c r="N14" s="62">
        <f>N13/((1+WACC!$B$14)^(N3-$K$3))</f>
        <v>4.5609616337100682</v>
      </c>
      <c r="O14" s="62">
        <f>O13/((1+WACC!$B$14)^(O3-$K$3))</f>
        <v>4.6112014289021213</v>
      </c>
      <c r="P14" s="62">
        <f>P13/((1+WACC!$B$14)^(P3-$K$3))</f>
        <v>4.6619946242811618</v>
      </c>
      <c r="Q14" s="62">
        <f>Q13/((1+WACC!$B$14)^(Q3-$K$3))</f>
        <v>4.7133473156476571</v>
      </c>
      <c r="R14" s="62">
        <f>R13/((1+WACC!$B$14)^(R3-$K$3))</f>
        <v>4.7652656659483856</v>
      </c>
      <c r="S14" s="62">
        <f>S13/((1+WACC!$B$14)^(S3-$K$3))</f>
        <v>4.8177559060160764</v>
      </c>
      <c r="T14" s="62">
        <f>T13/((1+WACC!$B$14)^(T3-$K$3))</f>
        <v>4.8708243353171703</v>
      </c>
      <c r="U14" s="62">
        <f>U13/((1+WACC!$B$14)^(U3-$K$3))</f>
        <v>4.9244773227078467</v>
      </c>
      <c r="V14" s="63">
        <f>V13/((1+WACC!$B$14)^(U3-$K$3))</f>
        <v>57.688724012865826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57.688724012865826</v>
      </c>
      <c r="L17" s="16">
        <f>C17/$C$19</f>
        <v>0.55158103513379642</v>
      </c>
      <c r="O17" s="18"/>
    </row>
    <row r="18" spans="2:22" x14ac:dyDescent="0.25">
      <c r="B18" s="8" t="s">
        <v>26</v>
      </c>
      <c r="C18" s="32">
        <f>SUM(14:14)-V14</f>
        <v>46.899215633884957</v>
      </c>
      <c r="K18" s="3"/>
      <c r="L18" s="16">
        <f>C18/$C$19</f>
        <v>0.44841896486620353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104.58793964675078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3.8715815991517992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3.6521460953495173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104.80737515055306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6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0.15441982848105851</v>
      </c>
    </row>
    <row r="3" spans="1:6" x14ac:dyDescent="0.25">
      <c r="A3" s="73" t="s">
        <v>34</v>
      </c>
      <c r="B3">
        <v>4161501000</v>
      </c>
      <c r="C3">
        <v>942554000</v>
      </c>
      <c r="D3">
        <v>273520000</v>
      </c>
      <c r="E3">
        <v>1058954999</v>
      </c>
      <c r="F3">
        <v>6.7581549470140168E-2</v>
      </c>
    </row>
    <row r="4" spans="1:6" x14ac:dyDescent="0.25">
      <c r="A4" s="73" t="s">
        <v>35</v>
      </c>
      <c r="B4">
        <v>4077399000</v>
      </c>
      <c r="C4">
        <v>1209622000</v>
      </c>
      <c r="D4">
        <v>273544000</v>
      </c>
      <c r="E4">
        <v>1012418000</v>
      </c>
      <c r="F4">
        <v>-1.9024435004747039E-2</v>
      </c>
    </row>
    <row r="5" spans="1:6" x14ac:dyDescent="0.25">
      <c r="A5" s="73" t="s">
        <v>36</v>
      </c>
      <c r="B5">
        <v>4089986000</v>
      </c>
      <c r="C5">
        <v>1246673000</v>
      </c>
      <c r="D5">
        <v>272419000</v>
      </c>
      <c r="E5">
        <v>1138511000</v>
      </c>
      <c r="F5">
        <v>0.17905002572573811</v>
      </c>
    </row>
    <row r="6" spans="1:6" x14ac:dyDescent="0.25">
      <c r="A6" s="73" t="s">
        <v>37</v>
      </c>
      <c r="B6">
        <v>3921240000</v>
      </c>
      <c r="C6">
        <v>1235166000</v>
      </c>
      <c r="D6">
        <v>272427000</v>
      </c>
      <c r="E6">
        <v>961982000</v>
      </c>
      <c r="F6">
        <v>0.1099058892875109</v>
      </c>
    </row>
    <row r="7" spans="1:6" x14ac:dyDescent="0.25">
      <c r="A7" s="73" t="s">
        <v>38</v>
      </c>
      <c r="B7">
        <v>3800700000</v>
      </c>
      <c r="C7">
        <v>1133998000</v>
      </c>
      <c r="D7">
        <v>272996000</v>
      </c>
      <c r="E7">
        <v>873925000</v>
      </c>
      <c r="F7">
        <v>0.13683513290053531</v>
      </c>
    </row>
    <row r="8" spans="1:6" x14ac:dyDescent="0.25">
      <c r="A8" s="73" t="s">
        <v>39</v>
      </c>
      <c r="B8">
        <v>3681642000</v>
      </c>
      <c r="C8">
        <v>1040633000</v>
      </c>
      <c r="D8">
        <v>273159000</v>
      </c>
      <c r="E8">
        <v>916963000</v>
      </c>
      <c r="F8">
        <v>0.1189044608024699</v>
      </c>
    </row>
    <row r="9" spans="1:6" x14ac:dyDescent="0.25">
      <c r="A9" s="73" t="s">
        <v>40</v>
      </c>
      <c r="B9">
        <v>3561718000</v>
      </c>
      <c r="C9">
        <v>1117679000</v>
      </c>
      <c r="D9">
        <v>272997000</v>
      </c>
      <c r="E9">
        <v>882325000</v>
      </c>
      <c r="F9">
        <v>0.14332320875095081</v>
      </c>
    </row>
    <row r="10" spans="1:6" x14ac:dyDescent="0.25">
      <c r="A10" s="73" t="s">
        <v>41</v>
      </c>
      <c r="B10">
        <v>3434877000</v>
      </c>
      <c r="C10">
        <v>1089917000</v>
      </c>
      <c r="D10">
        <v>274957000</v>
      </c>
      <c r="E10">
        <v>1026051000</v>
      </c>
    </row>
    <row r="11" spans="1:6" x14ac:dyDescent="0.25">
      <c r="A11" s="73" t="s">
        <v>42</v>
      </c>
      <c r="B11">
        <v>3283218000</v>
      </c>
      <c r="C11">
        <v>1094595000</v>
      </c>
      <c r="D11">
        <v>275172000</v>
      </c>
      <c r="E11">
        <v>1029544000</v>
      </c>
    </row>
    <row r="12" spans="1:6" x14ac:dyDescent="0.25">
      <c r="A12" s="73" t="s">
        <v>43</v>
      </c>
      <c r="B12">
        <v>3153982000</v>
      </c>
      <c r="C12">
        <v>1160331000</v>
      </c>
      <c r="D12">
        <v>276918000</v>
      </c>
      <c r="E12">
        <v>1134752000</v>
      </c>
    </row>
    <row r="13" spans="1:6" x14ac:dyDescent="0.25">
      <c r="A13" s="73" t="s">
        <v>44</v>
      </c>
      <c r="B13">
        <v>2988244000</v>
      </c>
      <c r="C13">
        <v>1034077000</v>
      </c>
      <c r="D13">
        <v>278253000</v>
      </c>
      <c r="E13">
        <v>1088940000</v>
      </c>
      <c r="F13">
        <v>-3.3280300667579699E-3</v>
      </c>
    </row>
    <row r="14" spans="1:6" x14ac:dyDescent="0.25">
      <c r="A14" s="73" t="s">
        <v>45</v>
      </c>
      <c r="B14">
        <v>2975117000</v>
      </c>
      <c r="C14">
        <v>939578000</v>
      </c>
      <c r="D14">
        <v>278311000</v>
      </c>
      <c r="E14">
        <v>1013819000</v>
      </c>
      <c r="F14">
        <v>0.1164899258483634</v>
      </c>
    </row>
    <row r="15" spans="1:6" x14ac:dyDescent="0.25">
      <c r="A15" s="73" t="s">
        <v>46</v>
      </c>
      <c r="B15">
        <v>2890829000</v>
      </c>
      <c r="C15">
        <v>848480000</v>
      </c>
      <c r="D15">
        <v>278558000</v>
      </c>
      <c r="E15">
        <v>847160000</v>
      </c>
      <c r="F15">
        <v>0.16285881663737539</v>
      </c>
    </row>
    <row r="16" spans="1:6" x14ac:dyDescent="0.25">
      <c r="A16" s="73" t="s">
        <v>47</v>
      </c>
      <c r="B16">
        <v>2800962000</v>
      </c>
      <c r="C16">
        <v>806043000</v>
      </c>
      <c r="D16">
        <v>280140000</v>
      </c>
      <c r="E16">
        <v>742981000</v>
      </c>
      <c r="F16">
        <v>0.18456462181025551</v>
      </c>
    </row>
    <row r="17" spans="1:6" x14ac:dyDescent="0.25">
      <c r="A17" s="73" t="s">
        <v>48</v>
      </c>
      <c r="B17">
        <v>2682891000</v>
      </c>
      <c r="C17">
        <v>810109000</v>
      </c>
      <c r="D17">
        <v>280173000</v>
      </c>
      <c r="E17">
        <v>928432000</v>
      </c>
    </row>
    <row r="18" spans="1:6" x14ac:dyDescent="0.25">
      <c r="A18" s="73" t="s">
        <v>49</v>
      </c>
      <c r="B18">
        <v>2522537000</v>
      </c>
      <c r="C18">
        <v>837873000</v>
      </c>
      <c r="D18">
        <v>280024000</v>
      </c>
      <c r="E18">
        <v>1306564000</v>
      </c>
      <c r="F18">
        <v>-5.2305284824267662E-2</v>
      </c>
    </row>
    <row r="19" spans="1:6" x14ac:dyDescent="0.25">
      <c r="A19" s="73" t="s">
        <v>50</v>
      </c>
      <c r="B19">
        <v>2435533000</v>
      </c>
      <c r="C19">
        <v>773091000</v>
      </c>
      <c r="D19">
        <v>279080000</v>
      </c>
      <c r="E19">
        <v>1189186000</v>
      </c>
      <c r="F19">
        <v>-0.1333915671265069</v>
      </c>
    </row>
    <row r="20" spans="1:6" x14ac:dyDescent="0.25">
      <c r="A20" s="73" t="s">
        <v>51</v>
      </c>
      <c r="B20">
        <v>2377534000</v>
      </c>
      <c r="C20">
        <v>680396000</v>
      </c>
      <c r="D20">
        <v>279265000</v>
      </c>
      <c r="E20">
        <v>946285000</v>
      </c>
      <c r="F20">
        <v>-3.5684413481244633E-2</v>
      </c>
    </row>
    <row r="21" spans="1:6" x14ac:dyDescent="0.25">
      <c r="A21" s="73" t="s">
        <v>52</v>
      </c>
      <c r="B21">
        <v>2336319000</v>
      </c>
      <c r="C21">
        <v>654995000</v>
      </c>
      <c r="D21">
        <v>279557000</v>
      </c>
      <c r="E21">
        <v>705210000</v>
      </c>
      <c r="F21">
        <v>3.264390453628141E-2</v>
      </c>
    </row>
    <row r="22" spans="1:6" x14ac:dyDescent="0.25">
      <c r="A22" s="73" t="s">
        <v>53</v>
      </c>
      <c r="B22">
        <v>2306614000</v>
      </c>
      <c r="C22">
        <v>634919000</v>
      </c>
      <c r="D22">
        <v>280666000</v>
      </c>
      <c r="E22">
        <v>655216000</v>
      </c>
      <c r="F22">
        <v>2.8048320274645541E-2</v>
      </c>
    </row>
    <row r="23" spans="1:6" x14ac:dyDescent="0.25">
      <c r="A23" s="73" t="s">
        <v>54</v>
      </c>
      <c r="B23">
        <v>2259479000</v>
      </c>
      <c r="C23">
        <v>612652000</v>
      </c>
      <c r="D23">
        <v>281054000</v>
      </c>
      <c r="E23">
        <v>633415000</v>
      </c>
      <c r="F23">
        <v>4.1082584381287417E-2</v>
      </c>
    </row>
    <row r="24" spans="1:6" x14ac:dyDescent="0.25">
      <c r="A24" s="73" t="s">
        <v>55</v>
      </c>
      <c r="B24">
        <v>2197451000</v>
      </c>
      <c r="C24">
        <v>568868000</v>
      </c>
      <c r="D24">
        <v>280615000</v>
      </c>
      <c r="E24">
        <v>538898000</v>
      </c>
      <c r="F24">
        <v>1.16505133255882E-2</v>
      </c>
    </row>
    <row r="25" spans="1:6" x14ac:dyDescent="0.25">
      <c r="A25" s="73" t="s">
        <v>56</v>
      </c>
      <c r="B25">
        <v>2138022000</v>
      </c>
      <c r="C25">
        <v>543248000</v>
      </c>
      <c r="D25">
        <v>280321000</v>
      </c>
      <c r="E25">
        <v>533298000</v>
      </c>
      <c r="F25">
        <v>2.6577925624150511E-2</v>
      </c>
    </row>
    <row r="26" spans="1:6" x14ac:dyDescent="0.25">
      <c r="A26" s="73" t="s">
        <v>57</v>
      </c>
      <c r="B26">
        <v>2069894000</v>
      </c>
      <c r="C26">
        <v>539737000</v>
      </c>
      <c r="D26">
        <v>281646000</v>
      </c>
      <c r="E26">
        <v>550031000</v>
      </c>
      <c r="F26">
        <v>-8.2125497014820859E-2</v>
      </c>
    </row>
    <row r="27" spans="1:6" x14ac:dyDescent="0.25">
      <c r="A27" s="73" t="s">
        <v>58</v>
      </c>
      <c r="B27">
        <v>2022824000</v>
      </c>
      <c r="C27">
        <v>517565000</v>
      </c>
      <c r="D27">
        <v>280774000</v>
      </c>
      <c r="E27">
        <v>825382000</v>
      </c>
      <c r="F27">
        <v>-3.7997832989910219E-2</v>
      </c>
    </row>
    <row r="28" spans="1:6" x14ac:dyDescent="0.25">
      <c r="A28" s="73" t="s">
        <v>59</v>
      </c>
      <c r="B28">
        <v>1983434000</v>
      </c>
      <c r="C28">
        <v>479771000</v>
      </c>
      <c r="D28">
        <v>281651000</v>
      </c>
      <c r="E28">
        <v>752434000</v>
      </c>
      <c r="F28">
        <v>3.337098536204897E-3</v>
      </c>
    </row>
    <row r="29" spans="1:6" x14ac:dyDescent="0.25">
      <c r="A29" s="73" t="s">
        <v>60</v>
      </c>
      <c r="B29">
        <v>1943032000</v>
      </c>
      <c r="C29">
        <v>412839000</v>
      </c>
      <c r="D29">
        <v>273157000</v>
      </c>
      <c r="E29">
        <v>692542000</v>
      </c>
      <c r="F29">
        <v>6.9768433621902881E-2</v>
      </c>
    </row>
    <row r="30" spans="1:6" x14ac:dyDescent="0.25">
      <c r="A30" s="73" t="s">
        <v>61</v>
      </c>
      <c r="B30">
        <v>1910290000</v>
      </c>
      <c r="C30">
        <v>489810000</v>
      </c>
      <c r="D30">
        <v>281400000</v>
      </c>
      <c r="E30">
        <v>682419000</v>
      </c>
      <c r="F30">
        <v>5.6724100219622597E-2</v>
      </c>
    </row>
    <row r="31" spans="1:6" x14ac:dyDescent="0.25">
      <c r="A31" s="73" t="s">
        <v>62</v>
      </c>
      <c r="B31">
        <v>1871112000</v>
      </c>
      <c r="C31">
        <v>482979000</v>
      </c>
      <c r="D31">
        <v>279526000</v>
      </c>
      <c r="E31">
        <v>659227000</v>
      </c>
      <c r="F31">
        <v>-4.850704492727731E-3</v>
      </c>
    </row>
    <row r="32" spans="1:6" x14ac:dyDescent="0.25">
      <c r="A32" s="73" t="s">
        <v>63</v>
      </c>
      <c r="B32">
        <v>1845132000</v>
      </c>
      <c r="C32">
        <v>397679000</v>
      </c>
      <c r="D32">
        <v>277736000</v>
      </c>
      <c r="E32">
        <v>547607000</v>
      </c>
      <c r="F32">
        <v>6.4836936377723475E-2</v>
      </c>
    </row>
    <row r="33" spans="1:6" x14ac:dyDescent="0.25">
      <c r="A33" s="73" t="s">
        <v>64</v>
      </c>
      <c r="B33">
        <v>1816083000</v>
      </c>
      <c r="C33">
        <v>391167000</v>
      </c>
      <c r="D33">
        <v>278917000</v>
      </c>
      <c r="E33">
        <v>468289000</v>
      </c>
      <c r="F33">
        <v>3.2028008588030683E-2</v>
      </c>
    </row>
    <row r="34" spans="1:6" x14ac:dyDescent="0.25">
      <c r="A34" s="73" t="s">
        <v>65</v>
      </c>
      <c r="B34">
        <v>1788182000</v>
      </c>
      <c r="C34">
        <v>317701000</v>
      </c>
      <c r="D34">
        <v>287473000</v>
      </c>
      <c r="E34">
        <v>532836000</v>
      </c>
      <c r="F34">
        <v>-3.9905817231990708E-2</v>
      </c>
    </row>
    <row r="35" spans="1:6" x14ac:dyDescent="0.25">
      <c r="A35" s="73" t="s">
        <v>66</v>
      </c>
      <c r="B35">
        <v>1775725000</v>
      </c>
      <c r="C35">
        <v>324287000</v>
      </c>
      <c r="D35">
        <v>295201000</v>
      </c>
      <c r="E35">
        <v>704318000</v>
      </c>
      <c r="F35">
        <v>5.1688359466484528E-2</v>
      </c>
    </row>
    <row r="36" spans="1:6" x14ac:dyDescent="0.25">
      <c r="A36" s="73" t="s">
        <v>67</v>
      </c>
      <c r="B36">
        <v>1738587000</v>
      </c>
      <c r="C36">
        <v>365299000</v>
      </c>
      <c r="D36">
        <v>303434000</v>
      </c>
      <c r="E36">
        <v>906717000</v>
      </c>
      <c r="F36">
        <v>4.9925300097723113E-2</v>
      </c>
    </row>
    <row r="37" spans="1:6" x14ac:dyDescent="0.25">
      <c r="A37" s="73" t="s">
        <v>68</v>
      </c>
      <c r="B37">
        <v>1702091000</v>
      </c>
      <c r="C37">
        <v>333392000</v>
      </c>
      <c r="D37">
        <v>310512000</v>
      </c>
      <c r="E37">
        <v>711184000</v>
      </c>
      <c r="F37">
        <v>-2.471310429262252E-2</v>
      </c>
    </row>
    <row r="38" spans="1:6" x14ac:dyDescent="0.25">
      <c r="A38" s="73" t="s">
        <v>69</v>
      </c>
      <c r="B38">
        <v>1684110000</v>
      </c>
      <c r="C38">
        <v>341471000</v>
      </c>
      <c r="D38">
        <v>313186000</v>
      </c>
      <c r="E38">
        <v>711195000</v>
      </c>
      <c r="F38">
        <v>5.7885347169510659E-3</v>
      </c>
    </row>
    <row r="39" spans="1:6" x14ac:dyDescent="0.25">
      <c r="A39" s="73" t="s">
        <v>70</v>
      </c>
      <c r="B39">
        <v>1650843000</v>
      </c>
      <c r="C39">
        <v>342039000</v>
      </c>
      <c r="D39">
        <v>313665000</v>
      </c>
      <c r="E39">
        <v>744411000</v>
      </c>
      <c r="F39">
        <v>-2.40216479930726E-2</v>
      </c>
    </row>
    <row r="40" spans="1:6" x14ac:dyDescent="0.25">
      <c r="A40" s="73" t="s">
        <v>71</v>
      </c>
      <c r="B40">
        <v>1613748000</v>
      </c>
      <c r="C40">
        <v>294234000</v>
      </c>
      <c r="D40">
        <v>311847000</v>
      </c>
      <c r="E40">
        <v>980376000</v>
      </c>
      <c r="F40">
        <v>-7.7239836217144484E-3</v>
      </c>
    </row>
    <row r="41" spans="1:6" x14ac:dyDescent="0.25">
      <c r="A41" s="73" t="s">
        <v>72</v>
      </c>
      <c r="B41">
        <v>1580932000</v>
      </c>
      <c r="C41">
        <v>276912000</v>
      </c>
      <c r="D41">
        <v>310273000</v>
      </c>
      <c r="E41">
        <v>1022606000</v>
      </c>
      <c r="F41">
        <v>0.1231093485381793</v>
      </c>
    </row>
    <row r="42" spans="1:6" x14ac:dyDescent="0.25">
      <c r="A42" s="73" t="s">
        <v>73</v>
      </c>
      <c r="B42">
        <v>1534556000</v>
      </c>
      <c r="C42">
        <v>266882000</v>
      </c>
      <c r="D42">
        <v>309995000</v>
      </c>
      <c r="E42">
        <v>595453000</v>
      </c>
      <c r="F42">
        <v>8.3058282216954549E-3</v>
      </c>
    </row>
    <row r="43" spans="1:6" x14ac:dyDescent="0.25">
      <c r="A43" s="73" t="s">
        <v>74</v>
      </c>
      <c r="B43">
        <v>1500707000</v>
      </c>
      <c r="C43">
        <v>275432000</v>
      </c>
      <c r="D43">
        <v>305755000</v>
      </c>
      <c r="E43">
        <v>655326000</v>
      </c>
      <c r="F43">
        <v>-4.7425823698346026E-3</v>
      </c>
    </row>
    <row r="44" spans="1:6" x14ac:dyDescent="0.25">
      <c r="A44" s="73" t="s">
        <v>75</v>
      </c>
      <c r="B44">
        <v>1484400000</v>
      </c>
      <c r="C44">
        <v>275755000</v>
      </c>
      <c r="D44">
        <v>301034000</v>
      </c>
      <c r="E44">
        <v>629767000</v>
      </c>
      <c r="F44">
        <v>1.525407462189432E-2</v>
      </c>
    </row>
    <row r="45" spans="1:6" x14ac:dyDescent="0.25">
      <c r="A45" s="73" t="s">
        <v>76</v>
      </c>
      <c r="B45">
        <v>1460116000</v>
      </c>
      <c r="C45">
        <v>322676000</v>
      </c>
      <c r="D45">
        <v>294663000</v>
      </c>
      <c r="E45">
        <v>633048000</v>
      </c>
      <c r="F45">
        <v>9.0035736504767261E-2</v>
      </c>
    </row>
    <row r="46" spans="1:6" x14ac:dyDescent="0.25">
      <c r="A46" s="73" t="s">
        <v>77</v>
      </c>
      <c r="B46">
        <v>1428979000</v>
      </c>
      <c r="C46">
        <v>298333000</v>
      </c>
      <c r="D46">
        <v>296958000</v>
      </c>
      <c r="E46">
        <v>716422000</v>
      </c>
      <c r="F46">
        <v>8.2907722437694398E-2</v>
      </c>
    </row>
    <row r="47" spans="1:6" x14ac:dyDescent="0.25">
      <c r="A47" s="73" t="s">
        <v>78</v>
      </c>
      <c r="B47">
        <v>1400865000</v>
      </c>
      <c r="C47">
        <v>296601000</v>
      </c>
      <c r="D47">
        <v>294443000</v>
      </c>
      <c r="E47">
        <v>678484000</v>
      </c>
      <c r="F47">
        <v>5.7468527548732551E-2</v>
      </c>
    </row>
    <row r="48" spans="1:6" x14ac:dyDescent="0.25">
      <c r="A48" s="73" t="s">
        <v>79</v>
      </c>
      <c r="B48">
        <v>1364860000</v>
      </c>
      <c r="C48">
        <v>296287000</v>
      </c>
      <c r="D48">
        <v>292151000</v>
      </c>
      <c r="E48">
        <v>911144000</v>
      </c>
      <c r="F48">
        <v>1.4967362188519131E-2</v>
      </c>
    </row>
    <row r="49" spans="1:6" x14ac:dyDescent="0.25">
      <c r="A49" s="73" t="s">
        <v>80</v>
      </c>
      <c r="B49">
        <v>1326424000</v>
      </c>
      <c r="C49">
        <v>280028000</v>
      </c>
      <c r="D49">
        <v>286289000</v>
      </c>
      <c r="E49">
        <v>827061000</v>
      </c>
      <c r="F49">
        <v>6.5953260650766454E-2</v>
      </c>
    </row>
    <row r="50" spans="1:6" x14ac:dyDescent="0.25">
      <c r="A50" s="73" t="s">
        <v>81</v>
      </c>
      <c r="B50">
        <v>1288845000</v>
      </c>
      <c r="C50">
        <v>242605000</v>
      </c>
      <c r="D50">
        <v>283328000</v>
      </c>
      <c r="E50">
        <v>744918000</v>
      </c>
      <c r="F50">
        <v>-7.912763243827281E-3</v>
      </c>
    </row>
    <row r="51" spans="1:6" x14ac:dyDescent="0.25">
      <c r="A51" s="73" t="s">
        <v>82</v>
      </c>
      <c r="B51">
        <v>1242769000</v>
      </c>
      <c r="C51">
        <v>204374000</v>
      </c>
      <c r="D51">
        <v>275318000</v>
      </c>
      <c r="E51">
        <v>712962000</v>
      </c>
      <c r="F51">
        <v>9.1946866946729378E-2</v>
      </c>
    </row>
    <row r="52" spans="1:6" x14ac:dyDescent="0.25">
      <c r="A52" s="73" t="s">
        <v>83</v>
      </c>
      <c r="B52">
        <v>1199563000</v>
      </c>
      <c r="C52">
        <v>210245000</v>
      </c>
      <c r="D52">
        <v>277733000</v>
      </c>
      <c r="E52">
        <v>662974000</v>
      </c>
      <c r="F52">
        <v>4.7143794484821637E-2</v>
      </c>
    </row>
    <row r="53" spans="1:6" x14ac:dyDescent="0.25">
      <c r="A53" s="73" t="s">
        <v>84</v>
      </c>
      <c r="B53">
        <v>1149835000</v>
      </c>
      <c r="C53">
        <v>208921000</v>
      </c>
      <c r="D53">
        <v>270700000</v>
      </c>
      <c r="E53">
        <v>604639000</v>
      </c>
      <c r="F53">
        <v>9.1345625617425208E-2</v>
      </c>
    </row>
    <row r="54" spans="1:6" x14ac:dyDescent="0.25">
      <c r="A54" s="73" t="s">
        <v>85</v>
      </c>
      <c r="B54">
        <v>1090847000</v>
      </c>
      <c r="C54">
        <v>211674000</v>
      </c>
      <c r="D54">
        <v>270741000</v>
      </c>
      <c r="E54">
        <v>699060000</v>
      </c>
      <c r="F54">
        <v>5.3713571830843909E-2</v>
      </c>
    </row>
    <row r="55" spans="1:6" x14ac:dyDescent="0.25">
      <c r="A55" s="73" t="s">
        <v>86</v>
      </c>
      <c r="B55">
        <v>1036324000</v>
      </c>
      <c r="C55">
        <v>192562000</v>
      </c>
      <c r="D55">
        <v>270885000</v>
      </c>
      <c r="E55">
        <v>668572000</v>
      </c>
      <c r="F55">
        <v>3.9721545467357178E-2</v>
      </c>
    </row>
    <row r="56" spans="1:6" x14ac:dyDescent="0.25">
      <c r="A56" s="73" t="s">
        <v>87</v>
      </c>
      <c r="B56">
        <v>980118000</v>
      </c>
      <c r="C56">
        <v>176522000</v>
      </c>
      <c r="D56">
        <v>268578000</v>
      </c>
      <c r="E56">
        <v>623125000</v>
      </c>
      <c r="F56">
        <v>6.5763109517072316E-2</v>
      </c>
    </row>
    <row r="57" spans="1:6" x14ac:dyDescent="0.25">
      <c r="A57" s="73" t="s">
        <v>88</v>
      </c>
      <c r="B57">
        <v>935954000</v>
      </c>
      <c r="C57">
        <v>161655000</v>
      </c>
      <c r="D57">
        <v>259800000</v>
      </c>
      <c r="E57">
        <v>570124000</v>
      </c>
      <c r="F57">
        <v>4.9138233785335883E-2</v>
      </c>
    </row>
    <row r="58" spans="1:6" x14ac:dyDescent="0.25">
      <c r="A58" s="73" t="s">
        <v>89</v>
      </c>
      <c r="B58">
        <v>907215000</v>
      </c>
      <c r="C58">
        <v>100587000</v>
      </c>
      <c r="D58">
        <v>263302000</v>
      </c>
      <c r="E58">
        <v>511676000</v>
      </c>
      <c r="F58">
        <v>-0.1744246305327547</v>
      </c>
    </row>
    <row r="59" spans="1:6" x14ac:dyDescent="0.25">
      <c r="A59" s="73" t="s">
        <v>90</v>
      </c>
      <c r="B59">
        <v>885403000</v>
      </c>
      <c r="C59">
        <v>86784000</v>
      </c>
      <c r="D59">
        <v>266423000</v>
      </c>
      <c r="E59">
        <v>478463000</v>
      </c>
      <c r="F59">
        <v>-0.53637386449704416</v>
      </c>
    </row>
    <row r="60" spans="1:6" x14ac:dyDescent="0.25">
      <c r="A60" s="73" t="s">
        <v>91</v>
      </c>
      <c r="B60">
        <v>868268000</v>
      </c>
      <c r="C60">
        <v>42028000</v>
      </c>
      <c r="D60">
        <v>262597000</v>
      </c>
      <c r="E60">
        <v>622491000</v>
      </c>
      <c r="F60">
        <v>-0.46219619780709831</v>
      </c>
    </row>
    <row r="61" spans="1:6" x14ac:dyDescent="0.25">
      <c r="A61" s="73" t="s">
        <v>92</v>
      </c>
      <c r="B61">
        <v>852632000</v>
      </c>
      <c r="C61">
        <v>-16445000</v>
      </c>
      <c r="D61">
        <v>265100000</v>
      </c>
      <c r="E61">
        <v>571299000</v>
      </c>
      <c r="F61">
        <v>-0.51547276046363288</v>
      </c>
    </row>
    <row r="62" spans="1:6" x14ac:dyDescent="0.25">
      <c r="A62" s="73" t="s">
        <v>93</v>
      </c>
      <c r="B62">
        <v>859688000</v>
      </c>
      <c r="C62">
        <v>8642000</v>
      </c>
      <c r="D62">
        <v>259193000</v>
      </c>
      <c r="E62">
        <v>575373000</v>
      </c>
      <c r="F62">
        <v>-0.69016322132755237</v>
      </c>
    </row>
    <row r="63" spans="1:6" x14ac:dyDescent="0.25">
      <c r="A63" s="73" t="s">
        <v>94</v>
      </c>
      <c r="B63">
        <v>876054000</v>
      </c>
      <c r="C63">
        <v>-45393000</v>
      </c>
      <c r="D63">
        <v>256883000</v>
      </c>
      <c r="E63">
        <v>562406000</v>
      </c>
      <c r="F63">
        <v>1.930933173079841E-2</v>
      </c>
    </row>
    <row r="64" spans="1:6" x14ac:dyDescent="0.25">
      <c r="A64" s="73" t="s">
        <v>95</v>
      </c>
      <c r="B64">
        <v>995603000</v>
      </c>
      <c r="C64">
        <v>-7497000</v>
      </c>
      <c r="D64">
        <v>254302000</v>
      </c>
      <c r="E64">
        <v>558038000</v>
      </c>
      <c r="F64">
        <v>-0.13798926839119879</v>
      </c>
    </row>
    <row r="65" spans="1:6" x14ac:dyDescent="0.25">
      <c r="A65" s="73" t="s">
        <v>96</v>
      </c>
      <c r="B65">
        <v>1076490000</v>
      </c>
      <c r="C65">
        <v>-29392000</v>
      </c>
      <c r="D65">
        <v>249500000</v>
      </c>
      <c r="E65">
        <v>572095000</v>
      </c>
      <c r="F65">
        <v>-0.25547502636791042</v>
      </c>
    </row>
    <row r="66" spans="1:6" x14ac:dyDescent="0.25">
      <c r="A66" s="73" t="s">
        <v>97</v>
      </c>
      <c r="B66">
        <v>1307098000</v>
      </c>
      <c r="C66">
        <v>122537000</v>
      </c>
      <c r="D66">
        <v>252915000</v>
      </c>
      <c r="E66">
        <v>557821000</v>
      </c>
      <c r="F66">
        <v>-0.29122061537847582</v>
      </c>
    </row>
    <row r="67" spans="1:6" x14ac:dyDescent="0.25">
      <c r="A67" s="73" t="s">
        <v>98</v>
      </c>
      <c r="B67">
        <v>1475534000</v>
      </c>
      <c r="C67">
        <v>232825000</v>
      </c>
      <c r="D67">
        <v>252629000</v>
      </c>
      <c r="E67">
        <v>889264000</v>
      </c>
      <c r="F67">
        <v>-0.2121976360813482</v>
      </c>
    </row>
    <row r="68" spans="1:6" x14ac:dyDescent="0.25">
      <c r="A68" s="73" t="s">
        <v>99</v>
      </c>
      <c r="B68">
        <v>1537017000</v>
      </c>
      <c r="C68">
        <v>276023000</v>
      </c>
      <c r="D68">
        <v>262825000</v>
      </c>
      <c r="E68">
        <v>836702000</v>
      </c>
      <c r="F68">
        <v>-0.25845804181442278</v>
      </c>
    </row>
    <row r="69" spans="1:6" x14ac:dyDescent="0.25">
      <c r="A69" s="73" t="s">
        <v>100</v>
      </c>
      <c r="B69">
        <v>1615013000</v>
      </c>
      <c r="C69">
        <v>318643000</v>
      </c>
      <c r="D69">
        <v>291000000</v>
      </c>
      <c r="E69">
        <v>1078113000</v>
      </c>
      <c r="F69">
        <v>6.2363695420166072E-2</v>
      </c>
    </row>
    <row r="70" spans="1:6" x14ac:dyDescent="0.25">
      <c r="A70" s="73" t="s">
        <v>101</v>
      </c>
      <c r="B70">
        <v>1588090000</v>
      </c>
      <c r="C70">
        <v>334880000</v>
      </c>
      <c r="D70">
        <v>299506000</v>
      </c>
      <c r="E70">
        <v>951241000</v>
      </c>
      <c r="F70">
        <v>6.1733274522870467E-2</v>
      </c>
    </row>
    <row r="71" spans="1:6" x14ac:dyDescent="0.25">
      <c r="A71" s="73" t="s">
        <v>102</v>
      </c>
      <c r="B71">
        <v>1553314000</v>
      </c>
      <c r="C71">
        <v>312322000</v>
      </c>
      <c r="D71">
        <v>302746000</v>
      </c>
      <c r="E71">
        <v>1148774000</v>
      </c>
      <c r="F71">
        <v>5.4262093703715042E-2</v>
      </c>
    </row>
    <row r="72" spans="1:6" x14ac:dyDescent="0.25">
      <c r="A72" s="73" t="s">
        <v>103</v>
      </c>
      <c r="B72">
        <v>1520866000</v>
      </c>
      <c r="C72">
        <v>317625000</v>
      </c>
      <c r="D72">
        <v>293603000</v>
      </c>
      <c r="E72">
        <v>969256000</v>
      </c>
      <c r="F72">
        <v>2.7097235340357129E-2</v>
      </c>
    </row>
    <row r="73" spans="1:6" x14ac:dyDescent="0.25">
      <c r="A73" s="73" t="s">
        <v>104</v>
      </c>
      <c r="B73">
        <v>1483895000</v>
      </c>
      <c r="C73">
        <v>345171000</v>
      </c>
      <c r="D73">
        <v>307500000</v>
      </c>
      <c r="E73">
        <v>958431000</v>
      </c>
      <c r="F73">
        <v>4.918737825844488E-2</v>
      </c>
    </row>
    <row r="74" spans="1:6" x14ac:dyDescent="0.25">
      <c r="A74" s="73" t="s">
        <v>105</v>
      </c>
      <c r="B74">
        <v>1431238000</v>
      </c>
      <c r="C74">
        <v>316784000</v>
      </c>
      <c r="D74">
        <v>312266000</v>
      </c>
      <c r="E74">
        <v>782138000</v>
      </c>
      <c r="F74">
        <v>4.3387831561350509E-2</v>
      </c>
    </row>
    <row r="75" spans="1:6" x14ac:dyDescent="0.25">
      <c r="A75" s="73" t="s">
        <v>106</v>
      </c>
      <c r="B75">
        <v>1402471000</v>
      </c>
      <c r="C75">
        <v>306904000</v>
      </c>
      <c r="D75">
        <v>317000000</v>
      </c>
      <c r="E75">
        <v>856776000</v>
      </c>
      <c r="F75">
        <v>6.8561199210996238E-2</v>
      </c>
    </row>
    <row r="76" spans="1:6" x14ac:dyDescent="0.25">
      <c r="A76" s="73" t="s">
        <v>107</v>
      </c>
      <c r="B76">
        <v>1364869000</v>
      </c>
      <c r="C76">
        <v>333336000</v>
      </c>
      <c r="D76">
        <v>315354000</v>
      </c>
      <c r="E76">
        <v>904940000</v>
      </c>
      <c r="F76">
        <v>6.8485107866697259E-2</v>
      </c>
    </row>
    <row r="77" spans="1:6" x14ac:dyDescent="0.25">
      <c r="A77" s="73" t="s">
        <v>108</v>
      </c>
      <c r="B77">
        <v>1329192000</v>
      </c>
      <c r="C77">
        <v>354627000</v>
      </c>
      <c r="D77">
        <v>317700000</v>
      </c>
      <c r="E77">
        <v>894591000</v>
      </c>
      <c r="F77">
        <v>6.4867337421596227E-2</v>
      </c>
    </row>
    <row r="78" spans="1:6" x14ac:dyDescent="0.25">
      <c r="A78" s="73" t="s">
        <v>109</v>
      </c>
      <c r="B78">
        <v>1293925000</v>
      </c>
      <c r="C78">
        <v>323244000</v>
      </c>
      <c r="D78">
        <v>317741000</v>
      </c>
      <c r="E78">
        <v>649349000</v>
      </c>
      <c r="F78">
        <v>6.5495946362668755E-2</v>
      </c>
    </row>
    <row r="79" spans="1:6" x14ac:dyDescent="0.25">
      <c r="A79" s="73" t="s">
        <v>110</v>
      </c>
      <c r="B79">
        <v>1258125000</v>
      </c>
      <c r="C79">
        <v>346132000</v>
      </c>
      <c r="D79">
        <v>310822000</v>
      </c>
      <c r="E79">
        <v>566506000</v>
      </c>
      <c r="F79">
        <v>5.2057200282848992E-2</v>
      </c>
    </row>
    <row r="80" spans="1:6" x14ac:dyDescent="0.25">
      <c r="A80" s="73" t="s">
        <v>111</v>
      </c>
      <c r="B80">
        <v>1224293000</v>
      </c>
      <c r="C80">
        <v>316318000</v>
      </c>
      <c r="D80">
        <v>307354000</v>
      </c>
      <c r="E80">
        <v>683327000</v>
      </c>
      <c r="F80">
        <v>2.738179464406687E-2</v>
      </c>
    </row>
    <row r="81" spans="1:6" x14ac:dyDescent="0.25">
      <c r="A81" s="73" t="s">
        <v>112</v>
      </c>
      <c r="B81">
        <v>1197480000</v>
      </c>
      <c r="C81">
        <v>310743000</v>
      </c>
      <c r="D81">
        <v>303900000</v>
      </c>
      <c r="E81">
        <v>593008000</v>
      </c>
      <c r="F81">
        <v>3.517107579347023E-2</v>
      </c>
    </row>
    <row r="82" spans="1:6" x14ac:dyDescent="0.25">
      <c r="A82" s="73" t="s">
        <v>113</v>
      </c>
      <c r="B82">
        <v>1173079000</v>
      </c>
      <c r="C82">
        <v>219308000</v>
      </c>
      <c r="D82">
        <v>301714000</v>
      </c>
      <c r="E82">
        <v>452500000</v>
      </c>
      <c r="F82">
        <v>0.12337788107689331</v>
      </c>
    </row>
    <row r="83" spans="1:6" x14ac:dyDescent="0.25">
      <c r="A83" s="73" t="s">
        <v>114</v>
      </c>
      <c r="B83">
        <v>1139974000</v>
      </c>
      <c r="C83">
        <v>214996000</v>
      </c>
      <c r="D83">
        <v>278645000</v>
      </c>
      <c r="E83">
        <v>411710000</v>
      </c>
      <c r="F83">
        <v>3.8572984079555228E-2</v>
      </c>
    </row>
    <row r="84" spans="1:6" x14ac:dyDescent="0.25">
      <c r="A84" s="73" t="s">
        <v>115</v>
      </c>
      <c r="B84">
        <v>1129332000</v>
      </c>
      <c r="C84">
        <v>160224000</v>
      </c>
      <c r="D84">
        <v>271477000</v>
      </c>
      <c r="E84">
        <v>494133000</v>
      </c>
      <c r="F84">
        <v>3.8393596898497639E-2</v>
      </c>
    </row>
    <row r="85" spans="1:6" x14ac:dyDescent="0.25">
      <c r="A85" s="73" t="s">
        <v>116</v>
      </c>
      <c r="B85">
        <v>1119484000</v>
      </c>
      <c r="C85">
        <v>75816000</v>
      </c>
      <c r="D85">
        <v>301200000</v>
      </c>
      <c r="E85">
        <v>418423000</v>
      </c>
    </row>
    <row r="86" spans="1:6" x14ac:dyDescent="0.25">
      <c r="A86" s="73" t="s">
        <v>117</v>
      </c>
      <c r="B86">
        <v>1077086000</v>
      </c>
      <c r="C86">
        <v>291749000</v>
      </c>
      <c r="D86">
        <v>266755000</v>
      </c>
      <c r="E86">
        <v>424349000</v>
      </c>
      <c r="F86">
        <v>-0.17857448446992391</v>
      </c>
    </row>
    <row r="87" spans="1:6" x14ac:dyDescent="0.25">
      <c r="A87" s="73" t="s">
        <v>118</v>
      </c>
      <c r="B87">
        <v>1135846000</v>
      </c>
      <c r="C87">
        <v>348561000</v>
      </c>
      <c r="D87">
        <v>267887000</v>
      </c>
      <c r="E87">
        <v>241418000</v>
      </c>
      <c r="F87">
        <v>-0.19784235253175569</v>
      </c>
    </row>
    <row r="88" spans="1:6" x14ac:dyDescent="0.25">
      <c r="A88" s="73" t="s">
        <v>119</v>
      </c>
      <c r="B88">
        <v>1204229000</v>
      </c>
      <c r="C88">
        <v>282878000</v>
      </c>
      <c r="D88">
        <v>268358000</v>
      </c>
      <c r="E88">
        <v>261248000</v>
      </c>
      <c r="F88">
        <v>-0.42756894120923428</v>
      </c>
    </row>
    <row r="89" spans="1:6" x14ac:dyDescent="0.25">
      <c r="A89" s="73" t="s">
        <v>120</v>
      </c>
      <c r="B89">
        <v>1293067000</v>
      </c>
      <c r="C89">
        <v>222494000</v>
      </c>
      <c r="D89">
        <v>272500000</v>
      </c>
      <c r="E89">
        <v>395613000</v>
      </c>
      <c r="F89">
        <v>-0.27630883130618722</v>
      </c>
    </row>
    <row r="90" spans="1:6" x14ac:dyDescent="0.25">
      <c r="A90" s="73" t="s">
        <v>121</v>
      </c>
      <c r="B90">
        <v>1394970000</v>
      </c>
      <c r="C90">
        <v>-72803000</v>
      </c>
      <c r="D90">
        <v>271437000</v>
      </c>
      <c r="E90">
        <v>185107000</v>
      </c>
      <c r="F90">
        <v>-9.4464567454056625E-2</v>
      </c>
    </row>
    <row r="91" spans="1:6" x14ac:dyDescent="0.25">
      <c r="A91" s="73" t="s">
        <v>122</v>
      </c>
      <c r="B91">
        <v>1427742000</v>
      </c>
      <c r="C91">
        <v>-48429000</v>
      </c>
      <c r="D91">
        <v>251250000</v>
      </c>
      <c r="E91">
        <v>279055000</v>
      </c>
      <c r="F91">
        <v>-1.028554988132058E-2</v>
      </c>
    </row>
    <row r="92" spans="1:6" x14ac:dyDescent="0.25">
      <c r="A92" s="73" t="s">
        <v>123</v>
      </c>
      <c r="B92">
        <v>1430497000</v>
      </c>
      <c r="C92">
        <v>-18892000</v>
      </c>
      <c r="D92">
        <v>260871000</v>
      </c>
      <c r="E92">
        <v>225265000</v>
      </c>
      <c r="F92">
        <v>-4.4469040234203838E-2</v>
      </c>
    </row>
    <row r="93" spans="1:6" x14ac:dyDescent="0.25">
      <c r="A93" s="73" t="s">
        <v>124</v>
      </c>
      <c r="B93">
        <v>1430440000</v>
      </c>
      <c r="C93">
        <v>96602000</v>
      </c>
      <c r="D93">
        <v>265200000</v>
      </c>
      <c r="E93">
        <v>274794000</v>
      </c>
      <c r="F93">
        <v>-6.9734401940068635E-2</v>
      </c>
    </row>
    <row r="94" spans="1:6" x14ac:dyDescent="0.25">
      <c r="A94" s="73" t="s">
        <v>125</v>
      </c>
      <c r="B94">
        <v>1443154000</v>
      </c>
      <c r="C94">
        <v>99745000</v>
      </c>
      <c r="D94">
        <v>256978000</v>
      </c>
      <c r="E94">
        <v>175893000</v>
      </c>
      <c r="F94">
        <v>-2.544960160740661E-2</v>
      </c>
    </row>
    <row r="95" spans="1:6" x14ac:dyDescent="0.25">
      <c r="A95" s="73" t="s">
        <v>126</v>
      </c>
      <c r="B95">
        <v>1415607000</v>
      </c>
      <c r="C95">
        <v>-12012000</v>
      </c>
      <c r="D95">
        <v>248020000</v>
      </c>
      <c r="E95">
        <v>141063000</v>
      </c>
      <c r="F95">
        <v>9.524313818710195E-2</v>
      </c>
    </row>
    <row r="96" spans="1:6" x14ac:dyDescent="0.25">
      <c r="A96" s="73" t="s">
        <v>127</v>
      </c>
      <c r="B96">
        <v>1366714000</v>
      </c>
      <c r="C96">
        <v>5793000</v>
      </c>
      <c r="D96">
        <v>260451000</v>
      </c>
      <c r="E96">
        <v>111547000</v>
      </c>
      <c r="F96">
        <v>0.2492761589635446</v>
      </c>
    </row>
    <row r="97" spans="1:6" x14ac:dyDescent="0.25">
      <c r="A97" s="73" t="s">
        <v>128</v>
      </c>
      <c r="B97">
        <v>1279550000</v>
      </c>
      <c r="C97">
        <v>22629000</v>
      </c>
      <c r="D97">
        <v>245994000</v>
      </c>
      <c r="E97">
        <v>136969000</v>
      </c>
      <c r="F97">
        <v>0.32592236085097492</v>
      </c>
    </row>
    <row r="98" spans="1:6" x14ac:dyDescent="0.25">
      <c r="A98" s="73" t="s">
        <v>129</v>
      </c>
      <c r="B98">
        <v>1156658000</v>
      </c>
      <c r="C98">
        <v>81691000</v>
      </c>
      <c r="D98">
        <v>262823000</v>
      </c>
      <c r="E98">
        <v>127978000</v>
      </c>
      <c r="F98">
        <v>0.22644759779899681</v>
      </c>
    </row>
    <row r="99" spans="1:6" x14ac:dyDescent="0.25">
      <c r="A99" s="73" t="s">
        <v>130</v>
      </c>
      <c r="B99">
        <v>1050094000</v>
      </c>
      <c r="C99">
        <v>8712000</v>
      </c>
      <c r="D99">
        <v>258583000</v>
      </c>
      <c r="E99">
        <v>119443000</v>
      </c>
    </row>
    <row r="100" spans="1:6" x14ac:dyDescent="0.25">
      <c r="A100" s="73" t="s">
        <v>131</v>
      </c>
      <c r="B100">
        <v>1015605000</v>
      </c>
      <c r="C100">
        <v>25749000</v>
      </c>
      <c r="D100">
        <v>244629000</v>
      </c>
      <c r="E100">
        <v>118234000</v>
      </c>
    </row>
    <row r="101" spans="1:6" x14ac:dyDescent="0.25">
      <c r="A101" s="73" t="s">
        <v>132</v>
      </c>
      <c r="B101">
        <v>1063346000</v>
      </c>
      <c r="C101">
        <v>16778000</v>
      </c>
      <c r="D101">
        <v>243200000</v>
      </c>
      <c r="E101">
        <v>118758000</v>
      </c>
    </row>
    <row r="102" spans="1:6" x14ac:dyDescent="0.25">
      <c r="A102" s="73" t="s">
        <v>133</v>
      </c>
      <c r="B102">
        <v>1140776000</v>
      </c>
      <c r="C102">
        <v>-47018000</v>
      </c>
      <c r="D102">
        <v>243529412</v>
      </c>
      <c r="E102">
        <v>120463000</v>
      </c>
    </row>
    <row r="103" spans="1:6" x14ac:dyDescent="0.25">
      <c r="A103" s="73" t="s">
        <v>134</v>
      </c>
      <c r="B103">
        <v>1223486000</v>
      </c>
      <c r="C103">
        <v>85175000</v>
      </c>
      <c r="D103">
        <v>300000000</v>
      </c>
      <c r="E103">
        <v>225988000</v>
      </c>
    </row>
    <row r="104" spans="1:6" x14ac:dyDescent="0.25">
      <c r="A104" s="73" t="s">
        <v>135</v>
      </c>
      <c r="B104">
        <v>1251081000</v>
      </c>
      <c r="C104">
        <v>82658000</v>
      </c>
      <c r="D104">
        <v>259253000</v>
      </c>
      <c r="E104">
        <v>216908000</v>
      </c>
    </row>
    <row r="105" spans="1:6" x14ac:dyDescent="0.25">
      <c r="A105" s="73" t="s">
        <v>136</v>
      </c>
      <c r="B105">
        <v>1216070000</v>
      </c>
      <c r="C105">
        <v>78876000</v>
      </c>
      <c r="D105">
        <v>236100000</v>
      </c>
      <c r="E105">
        <v>209752000</v>
      </c>
    </row>
    <row r="106" spans="1:6" x14ac:dyDescent="0.25">
      <c r="A106" s="73" t="s">
        <v>137</v>
      </c>
      <c r="B106">
        <v>1153630000</v>
      </c>
      <c r="C106">
        <v>98613000</v>
      </c>
      <c r="D106">
        <v>235601000</v>
      </c>
      <c r="E106">
        <v>245958000</v>
      </c>
    </row>
    <row r="107" spans="1:6" x14ac:dyDescent="0.25">
      <c r="A107" s="73" t="s">
        <v>138</v>
      </c>
      <c r="B107">
        <v>1079889000</v>
      </c>
      <c r="C107">
        <v>69592000</v>
      </c>
      <c r="D107">
        <v>260869565</v>
      </c>
      <c r="E107">
        <v>260740000</v>
      </c>
    </row>
    <row r="108" spans="1:6" x14ac:dyDescent="0.25">
      <c r="A108" s="73" t="s">
        <v>139</v>
      </c>
      <c r="B108">
        <v>998567000</v>
      </c>
      <c r="C108">
        <v>89513000</v>
      </c>
      <c r="D108">
        <v>212052000</v>
      </c>
      <c r="E108">
        <v>292473000</v>
      </c>
    </row>
    <row r="109" spans="1:6" x14ac:dyDescent="0.25">
      <c r="A109" s="73" t="s">
        <v>140</v>
      </c>
      <c r="B109">
        <v>915892000</v>
      </c>
      <c r="C109">
        <v>105931000</v>
      </c>
      <c r="D109">
        <v>243300000</v>
      </c>
      <c r="E109">
        <v>304204000</v>
      </c>
    </row>
    <row r="110" spans="1:6" x14ac:dyDescent="0.25">
      <c r="A110" s="73" t="s">
        <v>141</v>
      </c>
      <c r="B110">
        <v>845142000</v>
      </c>
      <c r="C110">
        <v>147172000</v>
      </c>
      <c r="D110">
        <v>231388000</v>
      </c>
      <c r="E110">
        <v>381660000</v>
      </c>
      <c r="F110">
        <v>0.19045123211172979</v>
      </c>
    </row>
    <row r="111" spans="1:6" x14ac:dyDescent="0.25">
      <c r="A111" s="73" t="s">
        <v>142</v>
      </c>
      <c r="B111">
        <v>799017000</v>
      </c>
      <c r="C111">
        <v>113965000</v>
      </c>
      <c r="D111">
        <v>106458000</v>
      </c>
      <c r="E111">
        <v>361325000</v>
      </c>
      <c r="F111">
        <v>6.392340673121466E-2</v>
      </c>
    </row>
    <row r="112" spans="1:6" x14ac:dyDescent="0.25">
      <c r="A112" s="73" t="s">
        <v>143</v>
      </c>
      <c r="B112">
        <v>765577000</v>
      </c>
      <c r="C112">
        <v>104218000</v>
      </c>
      <c r="D112">
        <v>99652000</v>
      </c>
      <c r="E112">
        <v>327928000</v>
      </c>
      <c r="F112">
        <v>8.3542391237838798E-2</v>
      </c>
    </row>
    <row r="113" spans="1:6" x14ac:dyDescent="0.25">
      <c r="A113" s="73" t="s">
        <v>144</v>
      </c>
      <c r="B113">
        <v>741459000</v>
      </c>
      <c r="C113">
        <v>113223000</v>
      </c>
      <c r="D113">
        <v>186200000</v>
      </c>
      <c r="E113">
        <v>285527000</v>
      </c>
      <c r="F113">
        <v>0.23470575734629559</v>
      </c>
    </row>
    <row r="114" spans="1:6" x14ac:dyDescent="0.25">
      <c r="A114" s="73" t="s">
        <v>145</v>
      </c>
      <c r="B114">
        <v>692953000</v>
      </c>
      <c r="C114">
        <v>153448000</v>
      </c>
      <c r="D114">
        <v>90171000</v>
      </c>
      <c r="E114">
        <v>85234000</v>
      </c>
    </row>
    <row r="115" spans="1:6" x14ac:dyDescent="0.25">
      <c r="A115" s="73" t="s">
        <v>146</v>
      </c>
      <c r="B115">
        <v>644302000</v>
      </c>
      <c r="C115">
        <v>168484000</v>
      </c>
      <c r="D115">
        <v>91841000</v>
      </c>
      <c r="E115">
        <v>99079000</v>
      </c>
    </row>
    <row r="116" spans="1:6" x14ac:dyDescent="0.25">
      <c r="A116" s="73" t="s">
        <v>147</v>
      </c>
      <c r="B116">
        <v>595815000</v>
      </c>
      <c r="C116">
        <v>164981000</v>
      </c>
      <c r="D116">
        <v>91272000</v>
      </c>
      <c r="E116">
        <v>83158000</v>
      </c>
    </row>
    <row r="117" spans="1:6" x14ac:dyDescent="0.25">
      <c r="A117" s="73" t="s">
        <v>148</v>
      </c>
      <c r="B117">
        <v>548418000</v>
      </c>
      <c r="C117">
        <v>168758000</v>
      </c>
      <c r="D117">
        <v>182500000</v>
      </c>
      <c r="E117">
        <v>96641000</v>
      </c>
    </row>
    <row r="118" spans="1:6" x14ac:dyDescent="0.25">
      <c r="A118" s="73" t="s">
        <v>149</v>
      </c>
      <c r="B118">
        <v>506315000</v>
      </c>
      <c r="C118">
        <v>161254000</v>
      </c>
      <c r="D118">
        <v>61263000</v>
      </c>
      <c r="E118">
        <v>125207000</v>
      </c>
    </row>
    <row r="119" spans="1:6" x14ac:dyDescent="0.25">
      <c r="A119" s="73" t="s">
        <v>150</v>
      </c>
      <c r="B119">
        <v>475823000</v>
      </c>
      <c r="C119">
        <v>149514000</v>
      </c>
      <c r="D119">
        <v>41280000</v>
      </c>
      <c r="E119">
        <v>76471000</v>
      </c>
    </row>
    <row r="120" spans="1:6" x14ac:dyDescent="0.25">
      <c r="A120" s="73" t="s">
        <v>151</v>
      </c>
      <c r="B120">
        <v>448327000</v>
      </c>
      <c r="C120">
        <v>156766000</v>
      </c>
      <c r="D120">
        <v>42103000</v>
      </c>
      <c r="E120">
        <v>111195000</v>
      </c>
    </row>
    <row r="121" spans="1:6" x14ac:dyDescent="0.25">
      <c r="A121" s="73" t="s">
        <v>152</v>
      </c>
      <c r="B121">
        <v>429072000</v>
      </c>
      <c r="C121">
        <v>139242000</v>
      </c>
      <c r="D121">
        <v>43044000</v>
      </c>
      <c r="E121">
        <v>96876000</v>
      </c>
    </row>
    <row r="122" spans="1:6" x14ac:dyDescent="0.25">
      <c r="A122" s="73" t="s">
        <v>153</v>
      </c>
      <c r="B122">
        <v>404519000</v>
      </c>
      <c r="C122">
        <v>116246000</v>
      </c>
      <c r="D122">
        <v>43044000</v>
      </c>
      <c r="E122">
        <v>76315000</v>
      </c>
    </row>
    <row r="123" spans="1:6" x14ac:dyDescent="0.25">
      <c r="A123" s="73" t="s">
        <v>154</v>
      </c>
      <c r="B123">
        <v>395421000</v>
      </c>
      <c r="C123">
        <v>104723000</v>
      </c>
      <c r="D123">
        <v>44576000</v>
      </c>
      <c r="E123">
        <v>96799000</v>
      </c>
    </row>
    <row r="124" spans="1:6" x14ac:dyDescent="0.25">
      <c r="A124" s="73" t="s">
        <v>155</v>
      </c>
      <c r="B124">
        <v>386078000</v>
      </c>
      <c r="C124">
        <v>78892000</v>
      </c>
      <c r="D124">
        <v>41208000</v>
      </c>
      <c r="E124">
        <v>105809000</v>
      </c>
    </row>
    <row r="125" spans="1:6" x14ac:dyDescent="0.25">
      <c r="A125" s="73" t="s">
        <v>156</v>
      </c>
      <c r="B125">
        <v>368600000</v>
      </c>
      <c r="C125">
        <v>71400000</v>
      </c>
      <c r="D125">
        <v>41208000</v>
      </c>
      <c r="E125">
        <v>61400000</v>
      </c>
    </row>
    <row r="126" spans="1:6" x14ac:dyDescent="0.25">
      <c r="A126" s="73" t="s">
        <v>157</v>
      </c>
      <c r="B126">
        <v>392300000</v>
      </c>
      <c r="C126">
        <v>61900000</v>
      </c>
      <c r="D126">
        <v>185000000</v>
      </c>
      <c r="E126">
        <v>53200000</v>
      </c>
    </row>
    <row r="127" spans="1:6" x14ac:dyDescent="0.25">
      <c r="A127" s="73" t="s">
        <v>158</v>
      </c>
      <c r="B127">
        <v>398300000</v>
      </c>
      <c r="C127">
        <v>41600000</v>
      </c>
      <c r="D127">
        <v>181111111</v>
      </c>
      <c r="E127">
        <v>56400000</v>
      </c>
    </row>
    <row r="128" spans="1:6" x14ac:dyDescent="0.25">
      <c r="A128" s="73" t="s">
        <v>159</v>
      </c>
      <c r="B128">
        <v>412500000</v>
      </c>
      <c r="C128">
        <v>35000000</v>
      </c>
      <c r="D128">
        <v>181111111</v>
      </c>
      <c r="E128">
        <v>92800000</v>
      </c>
    </row>
    <row r="129" spans="1:5" x14ac:dyDescent="0.25">
      <c r="A129" s="73" t="s">
        <v>160</v>
      </c>
      <c r="B129">
        <v>434600000</v>
      </c>
      <c r="C129">
        <v>11100000</v>
      </c>
      <c r="D129">
        <v>181111111</v>
      </c>
      <c r="E129">
        <v>81300000</v>
      </c>
    </row>
    <row r="130" spans="1:5" x14ac:dyDescent="0.25">
      <c r="A130" s="73" t="s">
        <v>161</v>
      </c>
      <c r="B130">
        <v>535100000</v>
      </c>
      <c r="C130">
        <v>40300000</v>
      </c>
      <c r="D130">
        <v>180000000</v>
      </c>
      <c r="E130">
        <v>79000000</v>
      </c>
    </row>
    <row r="131" spans="1:5" x14ac:dyDescent="0.25">
      <c r="A131" s="73" t="s">
        <v>162</v>
      </c>
      <c r="B131">
        <v>486500000</v>
      </c>
      <c r="C131">
        <v>46500000</v>
      </c>
      <c r="D131">
        <v>181428571</v>
      </c>
      <c r="E131">
        <v>79600000</v>
      </c>
    </row>
    <row r="132" spans="1:5" x14ac:dyDescent="0.25">
      <c r="A132" s="73" t="s">
        <v>163</v>
      </c>
      <c r="B132">
        <v>434300000</v>
      </c>
      <c r="C132">
        <v>42600000</v>
      </c>
      <c r="D132">
        <v>188000000</v>
      </c>
      <c r="E132">
        <v>100500000</v>
      </c>
    </row>
    <row r="133" spans="1:5" x14ac:dyDescent="0.25">
      <c r="A133" s="73" t="s">
        <v>164</v>
      </c>
      <c r="B133">
        <v>392300000</v>
      </c>
      <c r="C133">
        <v>46400000</v>
      </c>
      <c r="D133">
        <v>188000000</v>
      </c>
      <c r="E133">
        <v>87900000</v>
      </c>
    </row>
    <row r="134" spans="1:5" x14ac:dyDescent="0.25">
      <c r="A134" s="73" t="s">
        <v>165</v>
      </c>
      <c r="B134">
        <v>240300000</v>
      </c>
      <c r="C134">
        <v>18500000</v>
      </c>
      <c r="D134">
        <v>153333333</v>
      </c>
      <c r="E134">
        <v>45500000</v>
      </c>
    </row>
    <row r="135" spans="1:5" x14ac:dyDescent="0.25">
      <c r="A135" s="73" t="s">
        <v>166</v>
      </c>
      <c r="B135">
        <v>242000000</v>
      </c>
      <c r="C135">
        <v>23500000</v>
      </c>
      <c r="D135">
        <v>115000000</v>
      </c>
      <c r="E135">
        <v>33200000</v>
      </c>
    </row>
    <row r="136" spans="1:5" x14ac:dyDescent="0.25">
      <c r="A136" s="73" t="s">
        <v>167</v>
      </c>
      <c r="B136">
        <v>237400000</v>
      </c>
      <c r="C136">
        <v>25100000</v>
      </c>
      <c r="D136">
        <v>130000000</v>
      </c>
      <c r="E136">
        <v>52700000</v>
      </c>
    </row>
    <row r="137" spans="1:5" x14ac:dyDescent="0.25">
      <c r="A137" s="73" t="s">
        <v>168</v>
      </c>
      <c r="B137">
        <v>224100000</v>
      </c>
      <c r="C137">
        <v>29800000</v>
      </c>
      <c r="D137">
        <v>131250000</v>
      </c>
      <c r="E137">
        <v>61400000</v>
      </c>
    </row>
    <row r="138" spans="1:5" x14ac:dyDescent="0.25">
      <c r="A138" s="73" t="s">
        <v>169</v>
      </c>
      <c r="B138">
        <v>211100000</v>
      </c>
      <c r="C138">
        <v>39800000</v>
      </c>
      <c r="D138">
        <v>131250000</v>
      </c>
      <c r="E138">
        <v>44900000</v>
      </c>
    </row>
    <row r="139" spans="1:5" x14ac:dyDescent="0.25">
      <c r="A139" s="73" t="s">
        <v>170</v>
      </c>
      <c r="B139">
        <v>183500000</v>
      </c>
      <c r="C139">
        <v>35200000</v>
      </c>
      <c r="D139">
        <v>141428571</v>
      </c>
      <c r="E139">
        <v>29400000</v>
      </c>
    </row>
    <row r="140" spans="1:5" x14ac:dyDescent="0.25">
      <c r="A140" s="73" t="s">
        <v>171</v>
      </c>
      <c r="B140">
        <v>164100000</v>
      </c>
      <c r="C140">
        <v>29100000</v>
      </c>
      <c r="D140">
        <v>128571429</v>
      </c>
      <c r="E140">
        <v>37400000</v>
      </c>
    </row>
    <row r="141" spans="1:5" x14ac:dyDescent="0.25">
      <c r="A141" s="73" t="s">
        <v>172</v>
      </c>
      <c r="B141">
        <v>142800000</v>
      </c>
      <c r="C141">
        <v>23700000</v>
      </c>
      <c r="D141">
        <v>111666667</v>
      </c>
      <c r="E141">
        <v>40900000</v>
      </c>
    </row>
    <row r="142" spans="1:5" x14ac:dyDescent="0.25">
      <c r="A142" s="73" t="s">
        <v>173</v>
      </c>
      <c r="B142">
        <v>107200000</v>
      </c>
      <c r="C142">
        <v>0</v>
      </c>
      <c r="D142">
        <v>111666667</v>
      </c>
      <c r="E142">
        <v>15500000</v>
      </c>
    </row>
    <row r="143" spans="1:5" x14ac:dyDescent="0.25">
      <c r="A143" s="73" t="s">
        <v>174</v>
      </c>
      <c r="B143">
        <v>93300000</v>
      </c>
      <c r="C143">
        <v>0</v>
      </c>
      <c r="D143">
        <v>104984000</v>
      </c>
    </row>
    <row r="144" spans="1:5" x14ac:dyDescent="0.25">
      <c r="A144" s="73" t="s">
        <v>175</v>
      </c>
      <c r="B144">
        <v>78800000</v>
      </c>
      <c r="C144">
        <v>0</v>
      </c>
      <c r="D144">
        <v>96684000</v>
      </c>
    </row>
    <row r="145" spans="1:5" x14ac:dyDescent="0.25">
      <c r="A145" s="73" t="s">
        <v>176</v>
      </c>
      <c r="B145">
        <v>67100000</v>
      </c>
      <c r="C145">
        <v>0</v>
      </c>
      <c r="D145">
        <v>100284000</v>
      </c>
      <c r="E145">
        <v>36800000</v>
      </c>
    </row>
    <row r="146" spans="1:5" x14ac:dyDescent="0.25">
      <c r="A146" s="73" t="s">
        <v>177</v>
      </c>
      <c r="B146">
        <v>53500000</v>
      </c>
      <c r="C146">
        <v>0</v>
      </c>
      <c r="D146">
        <v>100284000</v>
      </c>
    </row>
    <row r="147" spans="1:5" x14ac:dyDescent="0.25">
      <c r="A147" s="73" t="s">
        <v>178</v>
      </c>
      <c r="B147">
        <v>41500000</v>
      </c>
      <c r="C147">
        <v>0</v>
      </c>
      <c r="D147">
        <v>99404000</v>
      </c>
    </row>
    <row r="148" spans="1:5" x14ac:dyDescent="0.25">
      <c r="A148" s="73" t="s">
        <v>179</v>
      </c>
      <c r="B148">
        <v>32000000</v>
      </c>
      <c r="C148">
        <v>0</v>
      </c>
      <c r="D148">
        <v>99404000</v>
      </c>
    </row>
    <row r="149" spans="1:5" x14ac:dyDescent="0.25">
      <c r="A149" s="73" t="s">
        <v>180</v>
      </c>
      <c r="B149">
        <v>23800000</v>
      </c>
      <c r="C149">
        <v>0</v>
      </c>
      <c r="D149">
        <v>45250000</v>
      </c>
      <c r="E149">
        <v>15700000</v>
      </c>
    </row>
    <row r="150" spans="1:5" x14ac:dyDescent="0.25">
      <c r="A150" s="73" t="s">
        <v>181</v>
      </c>
      <c r="B150">
        <v>20900000</v>
      </c>
      <c r="C150">
        <v>0</v>
      </c>
      <c r="D150">
        <v>45250000</v>
      </c>
    </row>
    <row r="151" spans="1:5" x14ac:dyDescent="0.25">
      <c r="A151" s="73" t="s">
        <v>182</v>
      </c>
      <c r="B151">
        <v>19000000</v>
      </c>
      <c r="C151">
        <v>0</v>
      </c>
      <c r="D151">
        <v>44956000</v>
      </c>
    </row>
    <row r="152" spans="1:5" x14ac:dyDescent="0.25">
      <c r="A152" s="73" t="s">
        <v>183</v>
      </c>
      <c r="B152">
        <v>17400000</v>
      </c>
      <c r="C152">
        <v>0</v>
      </c>
      <c r="D152">
        <v>44956000</v>
      </c>
    </row>
    <row r="153" spans="1:5" x14ac:dyDescent="0.25">
      <c r="A153" s="73" t="s">
        <v>184</v>
      </c>
      <c r="B153">
        <v>16600000</v>
      </c>
      <c r="C153">
        <v>0</v>
      </c>
      <c r="D153">
        <v>38608000</v>
      </c>
      <c r="E153">
        <v>5000000</v>
      </c>
    </row>
    <row r="154" spans="1:5" x14ac:dyDescent="0.25">
      <c r="A154" s="73" t="s">
        <v>185</v>
      </c>
      <c r="D154">
        <v>38608000</v>
      </c>
    </row>
    <row r="155" spans="1:5" x14ac:dyDescent="0.25">
      <c r="A155" s="73" t="s">
        <v>186</v>
      </c>
      <c r="D155">
        <v>38608000</v>
      </c>
    </row>
    <row r="156" spans="1:5" x14ac:dyDescent="0.25">
      <c r="A156" s="73" t="s">
        <v>187</v>
      </c>
      <c r="D156">
        <v>38608000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188</v>
      </c>
      <c r="B1" s="27" t="s">
        <v>189</v>
      </c>
      <c r="C1" t="s">
        <v>190</v>
      </c>
      <c r="D1" t="s">
        <v>191</v>
      </c>
      <c r="F1" s="27" t="s">
        <v>189</v>
      </c>
      <c r="G1" t="s">
        <v>190</v>
      </c>
      <c r="H1" t="s">
        <v>191</v>
      </c>
      <c r="J1" t="s">
        <v>192</v>
      </c>
      <c r="K1" t="s">
        <v>190</v>
      </c>
      <c r="L1" t="s">
        <v>191</v>
      </c>
      <c r="N1" t="s">
        <v>193</v>
      </c>
      <c r="O1" t="s">
        <v>190</v>
      </c>
      <c r="P1" t="s">
        <v>191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194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195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196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197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198</v>
      </c>
    </row>
    <row r="7" spans="1:46" x14ac:dyDescent="0.25">
      <c r="A7" s="27" t="s">
        <v>199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200</v>
      </c>
    </row>
    <row r="8" spans="1:46" x14ac:dyDescent="0.25">
      <c r="A8" s="27" t="s">
        <v>201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202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203</v>
      </c>
    </row>
    <row r="10" spans="1:46" x14ac:dyDescent="0.25">
      <c r="A10" s="27" t="s">
        <v>204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205</v>
      </c>
    </row>
    <row r="11" spans="1:46" x14ac:dyDescent="0.25">
      <c r="A11" s="27" t="s">
        <v>206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207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208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209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210</v>
      </c>
    </row>
    <row r="15" spans="1:46" x14ac:dyDescent="0.25">
      <c r="A15" s="27" t="s">
        <v>211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212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213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214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215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216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217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218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219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220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221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222</v>
      </c>
      <c r="J26">
        <v>0.61799999999999999</v>
      </c>
      <c r="N26">
        <v>-0.36399999999999999</v>
      </c>
    </row>
    <row r="27" spans="1:17" x14ac:dyDescent="0.25">
      <c r="A27" s="27" t="s">
        <v>223</v>
      </c>
    </row>
    <row r="28" spans="1:17" x14ac:dyDescent="0.25">
      <c r="A28" s="27" t="s">
        <v>224</v>
      </c>
    </row>
    <row r="29" spans="1:17" x14ac:dyDescent="0.25">
      <c r="A29" s="27" t="s">
        <v>225</v>
      </c>
    </row>
    <row r="31" spans="1:17" x14ac:dyDescent="0.25">
      <c r="A31" s="26" t="s">
        <v>226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227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228</v>
      </c>
      <c r="C1" s="73" t="s">
        <v>229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230</v>
      </c>
      <c r="D2">
        <v>1.1120234869286789</v>
      </c>
      <c r="E2">
        <v>0.1177598669908299</v>
      </c>
    </row>
    <row r="3" spans="1:5" x14ac:dyDescent="0.25">
      <c r="A3" s="73">
        <v>1</v>
      </c>
      <c r="B3">
        <v>3</v>
      </c>
      <c r="C3" t="s">
        <v>231</v>
      </c>
      <c r="D3">
        <v>1.4091776995359659</v>
      </c>
      <c r="E3">
        <v>0.13834373943416309</v>
      </c>
    </row>
    <row r="4" spans="1:5" x14ac:dyDescent="0.25">
      <c r="A4" s="73">
        <v>2</v>
      </c>
      <c r="B4">
        <v>3</v>
      </c>
      <c r="C4" t="s">
        <v>232</v>
      </c>
      <c r="D4">
        <v>1.439780525077321</v>
      </c>
      <c r="E4">
        <v>0.14046359717342161</v>
      </c>
    </row>
    <row r="5" spans="1:5" x14ac:dyDescent="0.25">
      <c r="A5" s="73">
        <v>3</v>
      </c>
      <c r="B5">
        <v>5</v>
      </c>
      <c r="C5" t="s">
        <v>230</v>
      </c>
      <c r="D5">
        <v>1.0212311760749639</v>
      </c>
      <c r="E5">
        <v>0.1114706835764316</v>
      </c>
    </row>
    <row r="6" spans="1:5" x14ac:dyDescent="0.25">
      <c r="A6" s="73">
        <v>4</v>
      </c>
      <c r="B6">
        <v>5</v>
      </c>
      <c r="C6" t="s">
        <v>231</v>
      </c>
      <c r="D6">
        <v>1.164715144430611</v>
      </c>
      <c r="E6">
        <v>0.121409818130109</v>
      </c>
    </row>
    <row r="7" spans="1:5" x14ac:dyDescent="0.25">
      <c r="A7" s="73">
        <v>5</v>
      </c>
      <c r="B7">
        <v>5</v>
      </c>
      <c r="C7" t="s">
        <v>232</v>
      </c>
      <c r="D7">
        <v>1.2632195500606931</v>
      </c>
      <c r="E7">
        <v>0.12823321835319651</v>
      </c>
    </row>
    <row r="8" spans="1:5" x14ac:dyDescent="0.25">
      <c r="A8" s="73">
        <v>6</v>
      </c>
      <c r="B8" t="s">
        <v>226</v>
      </c>
      <c r="D8">
        <v>1.2350245970180389</v>
      </c>
      <c r="E8">
        <v>0.1262801539430253</v>
      </c>
    </row>
    <row r="9" spans="1:5" x14ac:dyDescent="0.25">
      <c r="A9" s="73">
        <v>7</v>
      </c>
      <c r="B9" t="s">
        <v>227</v>
      </c>
      <c r="D9">
        <v>1.213967347245652</v>
      </c>
      <c r="E9">
        <v>0.1248215182416528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2024-10-18T21:05:57Z</dcterms:modified>
</cp:coreProperties>
</file>