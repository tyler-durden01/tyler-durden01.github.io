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arcadianholdings-my.sharepoint.com/personal/kylejennings_arcadianholdings_io/Documents/3.  Arcadian Financial/Vista_v0.03/TickerData/"/>
    </mc:Choice>
  </mc:AlternateContent>
  <xr:revisionPtr revIDLastSave="15" documentId="11_1CDF1122FDAC135C49D3AD271D18369C2290666C" xr6:coauthVersionLast="47" xr6:coauthVersionMax="47" xr10:uidLastSave="{079CFD6A-A3F5-4A57-92CB-3A69C31A3BA5}"/>
  <bookViews>
    <workbookView xWindow="-120" yWindow="-120" windowWidth="29040" windowHeight="15720" firstSheet="1" activeTab="2" xr2:uid="{00000000-000D-0000-FFFF-FFFF00000000}"/>
  </bookViews>
  <sheets>
    <sheet name="__FDSCACHE__" sheetId="1" state="veryHidden" r:id="rId1"/>
    <sheet name="WACC" sheetId="2" r:id="rId2"/>
    <sheet name="DCF_Simple" sheetId="3" r:id="rId3"/>
    <sheet name="Python" sheetId="4" r:id="rId4"/>
    <sheet name="Sheet3" sheetId="5" r:id="rId5"/>
    <sheet name="Beta" sheetId="6" r:id="rId6"/>
  </sheet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8" i="3" l="1"/>
  <c r="L8" i="3"/>
  <c r="O11" i="3"/>
  <c r="P11" i="3" s="1"/>
  <c r="N11" i="3"/>
  <c r="M5" i="3"/>
  <c r="N5" i="3" s="1"/>
  <c r="O5" i="3" s="1"/>
  <c r="P5" i="3" s="1"/>
  <c r="Q5" i="3" s="1"/>
  <c r="R5" i="3" s="1"/>
  <c r="S5" i="3" s="1"/>
  <c r="T5" i="3" s="1"/>
  <c r="U5" i="3" s="1"/>
  <c r="K31" i="5"/>
  <c r="C31" i="5"/>
  <c r="D24" i="5"/>
  <c r="C24" i="5"/>
  <c r="D23" i="5"/>
  <c r="C23" i="5"/>
  <c r="D22" i="5"/>
  <c r="C22" i="5"/>
  <c r="P21" i="5"/>
  <c r="O21" i="5"/>
  <c r="L21" i="5"/>
  <c r="K21" i="5"/>
  <c r="H21" i="5"/>
  <c r="G21" i="5"/>
  <c r="D21" i="5"/>
  <c r="C21" i="5"/>
  <c r="P20" i="5"/>
  <c r="O20" i="5"/>
  <c r="L20" i="5"/>
  <c r="K20" i="5"/>
  <c r="H20" i="5"/>
  <c r="G20" i="5"/>
  <c r="D20" i="5"/>
  <c r="C20" i="5"/>
  <c r="P19" i="5"/>
  <c r="O19" i="5"/>
  <c r="L19" i="5"/>
  <c r="K19" i="5"/>
  <c r="H19" i="5"/>
  <c r="G19" i="5"/>
  <c r="D19" i="5"/>
  <c r="C19" i="5"/>
  <c r="P18" i="5"/>
  <c r="O18" i="5"/>
  <c r="L18" i="5"/>
  <c r="K18" i="5"/>
  <c r="H18" i="5"/>
  <c r="G18" i="5"/>
  <c r="D18" i="5"/>
  <c r="C18" i="5"/>
  <c r="P17" i="5"/>
  <c r="O17" i="5"/>
  <c r="L17" i="5"/>
  <c r="K17" i="5"/>
  <c r="H17" i="5"/>
  <c r="G17" i="5"/>
  <c r="D17" i="5"/>
  <c r="C17" i="5"/>
  <c r="P16" i="5"/>
  <c r="O16" i="5"/>
  <c r="L16" i="5"/>
  <c r="K16" i="5"/>
  <c r="H16" i="5"/>
  <c r="G16" i="5"/>
  <c r="D16" i="5"/>
  <c r="C16" i="5"/>
  <c r="P15" i="5"/>
  <c r="O15" i="5"/>
  <c r="L15" i="5"/>
  <c r="K15" i="5"/>
  <c r="H15" i="5"/>
  <c r="G15" i="5"/>
  <c r="D15" i="5"/>
  <c r="C15" i="5"/>
  <c r="P14" i="5"/>
  <c r="O14" i="5"/>
  <c r="L14" i="5"/>
  <c r="K14" i="5"/>
  <c r="H14" i="5"/>
  <c r="G14" i="5"/>
  <c r="D14" i="5"/>
  <c r="C14" i="5"/>
  <c r="P13" i="5"/>
  <c r="O13" i="5"/>
  <c r="L13" i="5"/>
  <c r="K13" i="5"/>
  <c r="H13" i="5"/>
  <c r="G13" i="5"/>
  <c r="D13" i="5"/>
  <c r="C13" i="5"/>
  <c r="P12" i="5"/>
  <c r="O12" i="5"/>
  <c r="L12" i="5"/>
  <c r="K12" i="5"/>
  <c r="H12" i="5"/>
  <c r="G12" i="5"/>
  <c r="D12" i="5"/>
  <c r="C12" i="5"/>
  <c r="P11" i="5"/>
  <c r="O11" i="5"/>
  <c r="L11" i="5"/>
  <c r="K11" i="5"/>
  <c r="H11" i="5"/>
  <c r="G11" i="5"/>
  <c r="D11" i="5"/>
  <c r="C11" i="5"/>
  <c r="P10" i="5"/>
  <c r="O10" i="5"/>
  <c r="L10" i="5"/>
  <c r="K10" i="5"/>
  <c r="H10" i="5"/>
  <c r="G10" i="5"/>
  <c r="D10" i="5"/>
  <c r="C10" i="5"/>
  <c r="P9" i="5"/>
  <c r="O9" i="5"/>
  <c r="L9" i="5"/>
  <c r="K9" i="5"/>
  <c r="H9" i="5"/>
  <c r="G9" i="5"/>
  <c r="D9" i="5"/>
  <c r="C9" i="5"/>
  <c r="P8" i="5"/>
  <c r="O8" i="5"/>
  <c r="L8" i="5"/>
  <c r="K8" i="5"/>
  <c r="H8" i="5"/>
  <c r="G8" i="5"/>
  <c r="D8" i="5"/>
  <c r="C8" i="5"/>
  <c r="P7" i="5"/>
  <c r="O7" i="5"/>
  <c r="L7" i="5"/>
  <c r="K7" i="5"/>
  <c r="H7" i="5"/>
  <c r="G7" i="5"/>
  <c r="D7" i="5"/>
  <c r="C7" i="5"/>
  <c r="P6" i="5"/>
  <c r="O6" i="5"/>
  <c r="L6" i="5"/>
  <c r="K6" i="5"/>
  <c r="H6" i="5"/>
  <c r="G6" i="5"/>
  <c r="D6" i="5"/>
  <c r="C6" i="5"/>
  <c r="P5" i="5"/>
  <c r="O5" i="5"/>
  <c r="L5" i="5"/>
  <c r="K5" i="5"/>
  <c r="H5" i="5"/>
  <c r="G5" i="5"/>
  <c r="D5" i="5"/>
  <c r="C5" i="5"/>
  <c r="P4" i="5"/>
  <c r="O4" i="5"/>
  <c r="L4" i="5"/>
  <c r="K4" i="5"/>
  <c r="H4" i="5"/>
  <c r="G4" i="5"/>
  <c r="D4" i="5"/>
  <c r="C4" i="5"/>
  <c r="R3" i="5"/>
  <c r="P3" i="5"/>
  <c r="O3" i="5"/>
  <c r="O32" i="5" s="1"/>
  <c r="L3" i="5"/>
  <c r="K3" i="5"/>
  <c r="K32" i="5" s="1"/>
  <c r="S3" i="5" s="1"/>
  <c r="T3" i="5" s="1"/>
  <c r="U3" i="5" s="1"/>
  <c r="V3" i="5" s="1"/>
  <c r="W3" i="5" s="1"/>
  <c r="X3" i="5" s="1"/>
  <c r="Y3" i="5" s="1"/>
  <c r="Z3" i="5" s="1"/>
  <c r="AA3" i="5" s="1"/>
  <c r="AB3" i="5" s="1"/>
  <c r="AC3" i="5" s="1"/>
  <c r="AD3" i="5" s="1"/>
  <c r="AE3" i="5" s="1"/>
  <c r="AF3" i="5" s="1"/>
  <c r="AG3" i="5" s="1"/>
  <c r="AH3" i="5" s="1"/>
  <c r="AI3" i="5" s="1"/>
  <c r="AJ3" i="5" s="1"/>
  <c r="AK3" i="5" s="1"/>
  <c r="AL3" i="5" s="1"/>
  <c r="AM3" i="5" s="1"/>
  <c r="AN3" i="5" s="1"/>
  <c r="AO3" i="5" s="1"/>
  <c r="AP3" i="5" s="1"/>
  <c r="AQ3" i="5" s="1"/>
  <c r="AR3" i="5" s="1"/>
  <c r="AS3" i="5" s="1"/>
  <c r="AT3" i="5" s="1"/>
  <c r="H3" i="5"/>
  <c r="G3" i="5"/>
  <c r="D3" i="5"/>
  <c r="C3" i="5"/>
  <c r="R2" i="5"/>
  <c r="H2" i="5"/>
  <c r="G2" i="5"/>
  <c r="G32" i="5" s="1"/>
  <c r="D2" i="5"/>
  <c r="C2" i="5"/>
  <c r="C32" i="5" s="1"/>
  <c r="S1" i="5"/>
  <c r="T1" i="5" s="1"/>
  <c r="U1" i="5" s="1"/>
  <c r="V1" i="5" s="1"/>
  <c r="W1" i="5" s="1"/>
  <c r="X1" i="5" s="1"/>
  <c r="Y1" i="5" s="1"/>
  <c r="Z1" i="5" s="1"/>
  <c r="AA1" i="5" s="1"/>
  <c r="AB1" i="5" s="1"/>
  <c r="AC1" i="5" s="1"/>
  <c r="AD1" i="5" s="1"/>
  <c r="AE1" i="5" s="1"/>
  <c r="AF1" i="5" s="1"/>
  <c r="AG1" i="5" s="1"/>
  <c r="AH1" i="5" s="1"/>
  <c r="AI1" i="5" s="1"/>
  <c r="AJ1" i="5" s="1"/>
  <c r="AK1" i="5" s="1"/>
  <c r="AL1" i="5" s="1"/>
  <c r="AM1" i="5" s="1"/>
  <c r="AN1" i="5" s="1"/>
  <c r="AO1" i="5" s="1"/>
  <c r="AP1" i="5" s="1"/>
  <c r="AQ1" i="5" s="1"/>
  <c r="AR1" i="5" s="1"/>
  <c r="AS1" i="5" s="1"/>
  <c r="AT1" i="5" s="1"/>
  <c r="I10" i="3"/>
  <c r="L5" i="3"/>
  <c r="J4" i="3"/>
  <c r="G4" i="3"/>
  <c r="I3" i="3"/>
  <c r="D3" i="3"/>
  <c r="K1" i="3"/>
  <c r="K10" i="3" s="1"/>
  <c r="J1" i="3"/>
  <c r="J7" i="3" s="1"/>
  <c r="I1" i="3"/>
  <c r="I7" i="3" s="1"/>
  <c r="H1" i="3"/>
  <c r="H3" i="3" s="1"/>
  <c r="G1" i="3"/>
  <c r="G3" i="3" s="1"/>
  <c r="F1" i="3"/>
  <c r="F4" i="3" s="1"/>
  <c r="E1" i="3"/>
  <c r="E10" i="3" s="1"/>
  <c r="D1" i="3"/>
  <c r="D10" i="3" s="1"/>
  <c r="J8" i="3" l="1"/>
  <c r="E11" i="3"/>
  <c r="G5" i="3"/>
  <c r="I11" i="3"/>
  <c r="C21" i="3"/>
  <c r="C20" i="3"/>
  <c r="S2" i="5"/>
  <c r="T2" i="5" s="1"/>
  <c r="U2" i="5" s="1"/>
  <c r="V2" i="5" s="1"/>
  <c r="W2" i="5" s="1"/>
  <c r="X2" i="5" s="1"/>
  <c r="Y2" i="5" s="1"/>
  <c r="Z2" i="5" s="1"/>
  <c r="AA2" i="5" s="1"/>
  <c r="AB2" i="5" s="1"/>
  <c r="AC2" i="5" s="1"/>
  <c r="AD2" i="5" s="1"/>
  <c r="AE2" i="5" s="1"/>
  <c r="AF2" i="5" s="1"/>
  <c r="AG2" i="5" s="1"/>
  <c r="AH2" i="5" s="1"/>
  <c r="AI2" i="5" s="1"/>
  <c r="AJ2" i="5" s="1"/>
  <c r="AK2" i="5" s="1"/>
  <c r="AL2" i="5" s="1"/>
  <c r="AM2" i="5" s="1"/>
  <c r="AN2" i="5" s="1"/>
  <c r="AO2" i="5" s="1"/>
  <c r="AP2" i="5" s="1"/>
  <c r="AQ2" i="5" s="1"/>
  <c r="AR2" i="5" s="1"/>
  <c r="AS2" i="5" s="1"/>
  <c r="AT2" i="5" s="1"/>
  <c r="I13" i="3"/>
  <c r="L1" i="3"/>
  <c r="J3" i="3"/>
  <c r="H4" i="3"/>
  <c r="H5" i="3" s="1"/>
  <c r="D7" i="3"/>
  <c r="G10" i="3"/>
  <c r="G31" i="5"/>
  <c r="K7" i="3"/>
  <c r="F10" i="3"/>
  <c r="F11" i="3" s="1"/>
  <c r="K3" i="3"/>
  <c r="I4" i="3"/>
  <c r="I5" i="3" s="1"/>
  <c r="E7" i="3"/>
  <c r="H10" i="3"/>
  <c r="F7" i="3"/>
  <c r="O31" i="5"/>
  <c r="E3" i="3"/>
  <c r="K4" i="3"/>
  <c r="G7" i="3"/>
  <c r="J10" i="3"/>
  <c r="J11" i="3" s="1"/>
  <c r="F3" i="3"/>
  <c r="D4" i="3"/>
  <c r="H7" i="3"/>
  <c r="E4" i="3"/>
  <c r="E5" i="3" s="1"/>
  <c r="G8" i="3" l="1"/>
  <c r="G13" i="3"/>
  <c r="K5" i="3"/>
  <c r="L4" i="3"/>
  <c r="M4" i="3" s="1"/>
  <c r="N4" i="3" s="1"/>
  <c r="O4" i="3" s="1"/>
  <c r="P4" i="3" s="1"/>
  <c r="Q4" i="3" s="1"/>
  <c r="R4" i="3" s="1"/>
  <c r="S4" i="3" s="1"/>
  <c r="T4" i="3" s="1"/>
  <c r="U4" i="3" s="1"/>
  <c r="V4" i="3" s="1"/>
  <c r="J5" i="3"/>
  <c r="K11" i="3"/>
  <c r="L11" i="3" s="1"/>
  <c r="L3" i="3"/>
  <c r="M1" i="3"/>
  <c r="I8" i="3"/>
  <c r="G11" i="3"/>
  <c r="K8" i="3"/>
  <c r="K13" i="3"/>
  <c r="F5" i="3"/>
  <c r="H13" i="3"/>
  <c r="H8" i="3"/>
  <c r="F8" i="3"/>
  <c r="F13" i="3"/>
  <c r="H11" i="3"/>
  <c r="D8" i="3"/>
  <c r="D13" i="3"/>
  <c r="J13" i="3"/>
  <c r="E8" i="3"/>
  <c r="E13" i="3"/>
  <c r="N1" i="3" l="1"/>
  <c r="M3" i="3"/>
  <c r="M11" i="3"/>
  <c r="R11" i="3" s="1"/>
  <c r="T11" i="3" s="1"/>
  <c r="U11" i="3" s="1"/>
  <c r="L10" i="3"/>
  <c r="M10" i="3" s="1"/>
  <c r="N10" i="3" s="1"/>
  <c r="O10" i="3" s="1"/>
  <c r="P10" i="3" l="1"/>
  <c r="Q10" i="3" s="1"/>
  <c r="R10" i="3" s="1"/>
  <c r="S10" i="3" s="1"/>
  <c r="T10" i="3" s="1"/>
  <c r="U10" i="3" s="1"/>
  <c r="V10" i="3" s="1"/>
  <c r="M8" i="3"/>
  <c r="L7" i="3"/>
  <c r="L13" i="3" s="1"/>
  <c r="L14" i="3" s="1"/>
  <c r="N3" i="3"/>
  <c r="O1" i="3"/>
  <c r="N8" i="3" l="1"/>
  <c r="M7" i="3"/>
  <c r="M13" i="3" s="1"/>
  <c r="M14" i="3" s="1"/>
  <c r="O3" i="3"/>
  <c r="P1" i="3"/>
  <c r="P3" i="3" l="1"/>
  <c r="Q1" i="3"/>
  <c r="O8" i="3"/>
  <c r="N7" i="3"/>
  <c r="N13" i="3" s="1"/>
  <c r="N14" i="3" s="1"/>
  <c r="O7" i="3" l="1"/>
  <c r="O13" i="3" s="1"/>
  <c r="O14" i="3" s="1"/>
  <c r="P8" i="3"/>
  <c r="R1" i="3"/>
  <c r="Q3" i="3"/>
  <c r="R3" i="3" l="1"/>
  <c r="S1" i="3"/>
  <c r="P7" i="3"/>
  <c r="P13" i="3" s="1"/>
  <c r="P14" i="3" s="1"/>
  <c r="Q8" i="3"/>
  <c r="Q7" i="3" l="1"/>
  <c r="Q13" i="3" s="1"/>
  <c r="Q14" i="3" s="1"/>
  <c r="R8" i="3"/>
  <c r="S3" i="3"/>
  <c r="T1" i="3"/>
  <c r="T3" i="3" l="1"/>
  <c r="U1" i="3"/>
  <c r="U3" i="3" s="1"/>
  <c r="R7" i="3"/>
  <c r="R13" i="3" s="1"/>
  <c r="R14" i="3" s="1"/>
  <c r="S8" i="3"/>
  <c r="T8" i="3" l="1"/>
  <c r="S7" i="3"/>
  <c r="S13" i="3" s="1"/>
  <c r="S14" i="3" s="1"/>
  <c r="U8" i="3" l="1"/>
  <c r="U7" i="3" s="1"/>
  <c r="T7" i="3"/>
  <c r="T13" i="3" s="1"/>
  <c r="T14" i="3" s="1"/>
  <c r="U13" i="3" l="1"/>
  <c r="V7" i="3"/>
  <c r="U14" i="3" l="1"/>
  <c r="V13" i="3"/>
  <c r="V14" i="3" s="1"/>
  <c r="C18" i="3" l="1"/>
  <c r="C17" i="3"/>
  <c r="C19" i="3" l="1"/>
  <c r="C22" i="3" s="1"/>
  <c r="L17" i="3" l="1"/>
  <c r="L18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Ben Chon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&lt;?xml version="1.0" encoding="utf-8"?&gt;&lt;Schema xmlns:xsd="http://www.w3.org/2001/XMLSchema" xmlns:xsi="http://www.w3.org/2001/XMLSchema-instance" Version="2" Timestamp="1658677764"&gt;&lt;FQL&gt;&lt;Q&gt;AMZN^FE_ESTIMATE(DEP_AMORT_EXP,MEAN,ANN_ROLL,2022,NOW,,,'')&lt;/Q&gt;&lt;R&gt;1&lt;/R&gt;&lt;C&gt;1&lt;/C&gt;&lt;D xsi:type="xsd:double"&gt;38716.438&lt;/D&gt;&lt;/FQL&gt;&lt;FQL&gt;&lt;Q&gt;AMZN^FE_ESTIMATE(DEP_AMORT_EXP,MEAN,ANN_ROLL,2023,NOW,,,'')&lt;/Q&gt;&lt;R&gt;1&lt;/R&gt;&lt;C&gt;1&lt;/C&gt;&lt;D xsi:type="xsd:double"&gt;44728.72&lt;/D&gt;&lt;/FQL&gt;&lt;FQL&gt;&lt;Q&gt;AMZN^FE_ESTIMATE(DEP_AMORT_EXP,MEAN,ANN_ROLL,2024,NOW,,,'')&lt;/Q&gt;&lt;R&gt;1&lt;/R&gt;&lt;C&gt;1&lt;/C&gt;&lt;D xsi:type="xsd:double"&gt;52136.97&lt;/D&gt;&lt;/FQL&gt;&lt;FQL&gt;&lt;Q&gt;AMZN^FE_ESTIMATE(DEP_AMORT_EXP,MEAN,ANN_ROLL,2025,NOW,,,'')&lt;/Q&gt;&lt;R&gt;1&lt;/R&gt;&lt;C&gt;1&lt;/C&gt;&lt;D xsi:type="xsd:double"&gt;55507.54&lt;/D&gt;&lt;/FQL&gt;&lt;FQL&gt;&lt;Q&gt;AMZN^FE_ESTIMATE(DEP_AMORT_EXP,MEAN,ANN_ROLL,2026,NOW,,,'')&lt;/Q&gt;&lt;R&gt;1&lt;/R&gt;&lt;C&gt;1&lt;/C&gt;&lt;D xsi:type="xsd:double"&gt;58234.55&lt;/D&gt;&lt;/FQL&gt;&lt;FQL&gt;&lt;Q&gt;AMZN^FE_ESTIMATE(DEP_AMORT_EXP,MEAN,ANN_ROLL,2027,NOW,,,'')&lt;/Q&gt;&lt;R&gt;1&lt;/R&gt;&lt;C&gt;1&lt;/C&gt;&lt;D xsi:type="xsd:double"&gt;64625&lt;/D&gt;&lt;/FQL&gt;&lt;FQL&gt;&lt;Q&gt;AMZN^FE_ESTIMATE(CAPEX,MEAN,ANN_ROLL,2022,NOW,,,'')&lt;/Q&gt;&lt;R&gt;1&lt;/R&gt;&lt;C&gt;1&lt;/C&gt;&lt;D xsi:type="xsd:double"&gt;61050.723&lt;/D&gt;&lt;/FQL&gt;&lt;FQL&gt;&lt;Q&gt;AMZN^FE_ESTIMATE(CAPEX,MEAN,ANN_ROLL,2023,NOW,,,'')&lt;/Q&gt;&lt;R&gt;1&lt;/R&gt;&lt;C&gt;1&lt;/C&gt;&lt;D xsi:type="xsd:double"&gt;62598.887&lt;/D&gt;&lt;/FQL&gt;&lt;FQL&gt;&lt;Q&gt;AMZN^FE_ESTIMATE(CAPEX,MEAN,ANN_ROLL,2024,NOW,,,'')&lt;/Q&gt;&lt;R&gt;1&lt;/R&gt;&lt;C&gt;1&lt;/C&gt;&lt;D xsi:type="xsd:double"&gt;64481.453&lt;/D&gt;&lt;/FQL&gt;&lt;FQL&gt;&lt;Q&gt;AMZN^FE_ESTIMATE(CAPEX,MEAN,ANN_ROLL,2025,NOW,,,'')&lt;/Q&gt;&lt;R&gt;1&lt;/R&gt;&lt;C&gt;1&lt;/C&gt;&lt;D xsi:type="xsd:double"&gt;69493.41&lt;/D&gt;&lt;/FQL&gt;&lt;FQL&gt;&lt;Q&gt;AMZN^FE_ESTIMATE(CAPEX,MEAN,ANN_ROLL,2026,NOW,,,'')&lt;/Q&gt;&lt;R&gt;1&lt;/R&gt;&lt;C&gt;1&lt;/C&gt;&lt;D xsi:type="xsd:double"&gt;65697&lt;/D&gt;&lt;/FQL&gt;&lt;FQL&gt;&lt;Q&gt;AMZN^FE_ESTIMATE(CAPEX,MEAN,ANN_ROLL,2027,NOW,,,'')&lt;/Q&gt;&lt;R&gt;1&lt;/R&gt;&lt;C&gt;1&lt;/C&gt;&lt;D xsi:type="xsd:double"&gt;69051.93&lt;/D&gt;&lt;/FQL&gt;&lt;/Schema&gt;</t>
        </r>
      </text>
    </comment>
  </commentList>
</comments>
</file>

<file path=xl/sharedStrings.xml><?xml version="1.0" encoding="utf-8"?>
<sst xmlns="http://schemas.openxmlformats.org/spreadsheetml/2006/main" count="211" uniqueCount="193">
  <si>
    <t>This sheet contains FactSet XML data for use with this workbook's =FDS codes.  Modifying the worksheet's contents may damage the workbook's =FDS functionality.</t>
  </si>
  <si>
    <t>AMZN</t>
  </si>
  <si>
    <t>Total Liabilities</t>
  </si>
  <si>
    <t>Long-Term Debt</t>
  </si>
  <si>
    <t>% Debt</t>
  </si>
  <si>
    <t>Cost of Debt</t>
  </si>
  <si>
    <t>Tax Rate</t>
  </si>
  <si>
    <t>Total Equity</t>
  </si>
  <si>
    <t>% Equity</t>
  </si>
  <si>
    <t>CAPM</t>
  </si>
  <si>
    <t>Risk-Free Rate</t>
  </si>
  <si>
    <t>Beta</t>
  </si>
  <si>
    <t>Market Risk Premium</t>
  </si>
  <si>
    <t>Terminal Growth Rate</t>
  </si>
  <si>
    <t>WACC</t>
  </si>
  <si>
    <t>Figures in millions</t>
  </si>
  <si>
    <t>Terminal</t>
  </si>
  <si>
    <t>Revenue</t>
  </si>
  <si>
    <t>Growth (y/y)</t>
  </si>
  <si>
    <t>Free Cash Flow (FCF)</t>
  </si>
  <si>
    <t>FCF Margin</t>
  </si>
  <si>
    <t>Shares Outstanding, Diluted</t>
  </si>
  <si>
    <t>Change (y/y)</t>
  </si>
  <si>
    <t>FCF per share</t>
  </si>
  <si>
    <t>Discounted FCF per share</t>
  </si>
  <si>
    <t>Terminal Value (TV)</t>
  </si>
  <si>
    <t>Total Discounted FCF</t>
  </si>
  <si>
    <t>Enterprise Value</t>
  </si>
  <si>
    <t>Cash and Equivalents</t>
  </si>
  <si>
    <t>Debt</t>
  </si>
  <si>
    <t>Equity Value</t>
  </si>
  <si>
    <t>fiscalDateEnding</t>
  </si>
  <si>
    <t>estimatedRevGrowth_yearly</t>
  </si>
  <si>
    <t>2024-09-30</t>
  </si>
  <si>
    <t>2024-06-30</t>
  </si>
  <si>
    <t>2024-03-31</t>
  </si>
  <si>
    <t>2023-12-31</t>
  </si>
  <si>
    <t>2023-09-30</t>
  </si>
  <si>
    <t>2023-06-30</t>
  </si>
  <si>
    <t>2023-03-31</t>
  </si>
  <si>
    <t>2022-12-31</t>
  </si>
  <si>
    <t>2022-09-30</t>
  </si>
  <si>
    <t>2022-06-30</t>
  </si>
  <si>
    <t>2022-03-31</t>
  </si>
  <si>
    <t>2021-12-31</t>
  </si>
  <si>
    <t>2021-09-30</t>
  </si>
  <si>
    <t>2021-06-30</t>
  </si>
  <si>
    <t>2021-03-31</t>
  </si>
  <si>
    <t>2020-12-31</t>
  </si>
  <si>
    <t>2020-09-30</t>
  </si>
  <si>
    <t>2020-06-30</t>
  </si>
  <si>
    <t>2020-03-31</t>
  </si>
  <si>
    <t>2019-12-31</t>
  </si>
  <si>
    <t>2019-09-30</t>
  </si>
  <si>
    <t>2019-06-30</t>
  </si>
  <si>
    <t>2019-03-31</t>
  </si>
  <si>
    <t>2018-12-31</t>
  </si>
  <si>
    <t>2018-09-30</t>
  </si>
  <si>
    <t>2018-06-30</t>
  </si>
  <si>
    <t>2018-03-31</t>
  </si>
  <si>
    <t>2017-12-31</t>
  </si>
  <si>
    <t>2017-09-30</t>
  </si>
  <si>
    <t>2017-06-30</t>
  </si>
  <si>
    <t>2017-03-31</t>
  </si>
  <si>
    <t>2016-12-31</t>
  </si>
  <si>
    <t>2016-09-30</t>
  </si>
  <si>
    <t>2016-06-30</t>
  </si>
  <si>
    <t>2016-03-31</t>
  </si>
  <si>
    <t>2015-12-31</t>
  </si>
  <si>
    <t>2015-09-30</t>
  </si>
  <si>
    <t>2015-06-30</t>
  </si>
  <si>
    <t>2015-03-31</t>
  </si>
  <si>
    <t>2014-12-31</t>
  </si>
  <si>
    <t>2014-09-30</t>
  </si>
  <si>
    <t>2014-06-30</t>
  </si>
  <si>
    <t>2014-03-31</t>
  </si>
  <si>
    <t>2013-12-31</t>
  </si>
  <si>
    <t>2013-09-30</t>
  </si>
  <si>
    <t>2013-06-30</t>
  </si>
  <si>
    <t>2013-03-31</t>
  </si>
  <si>
    <t>2012-12-31</t>
  </si>
  <si>
    <t>2012-09-30</t>
  </si>
  <si>
    <t>2012-06-30</t>
  </si>
  <si>
    <t>2012-03-31</t>
  </si>
  <si>
    <t>2011-12-31</t>
  </si>
  <si>
    <t>2011-09-30</t>
  </si>
  <si>
    <t>2011-06-30</t>
  </si>
  <si>
    <t>2011-03-31</t>
  </si>
  <si>
    <t>2010-12-31</t>
  </si>
  <si>
    <t>2010-09-30</t>
  </si>
  <si>
    <t>2010-06-30</t>
  </si>
  <si>
    <t>2010-03-31</t>
  </si>
  <si>
    <t>2009-12-31</t>
  </si>
  <si>
    <t>2009-09-30</t>
  </si>
  <si>
    <t>2009-06-30</t>
  </si>
  <si>
    <t>2009-03-31</t>
  </si>
  <si>
    <t>2008-12-31</t>
  </si>
  <si>
    <t>2008-09-30</t>
  </si>
  <si>
    <t>2008-06-30</t>
  </si>
  <si>
    <t>2008-03-31</t>
  </si>
  <si>
    <t>2007-12-31</t>
  </si>
  <si>
    <t>2007-09-30</t>
  </si>
  <si>
    <t>2007-06-30</t>
  </si>
  <si>
    <t>2007-03-31</t>
  </si>
  <si>
    <t>2006-12-31</t>
  </si>
  <si>
    <t>2006-09-30</t>
  </si>
  <si>
    <t>2006-06-30</t>
  </si>
  <si>
    <t>2006-03-31</t>
  </si>
  <si>
    <t>2005-12-31</t>
  </si>
  <si>
    <t>2005-09-30</t>
  </si>
  <si>
    <t>2005-06-30</t>
  </si>
  <si>
    <t>2005-03-31</t>
  </si>
  <si>
    <t>2004-12-31</t>
  </si>
  <si>
    <t>2004-09-30</t>
  </si>
  <si>
    <t>2004-06-30</t>
  </si>
  <si>
    <t>2004-03-31</t>
  </si>
  <si>
    <t>2003-12-31</t>
  </si>
  <si>
    <t>2003-09-30</t>
  </si>
  <si>
    <t>2003-06-30</t>
  </si>
  <si>
    <t>2003-03-31</t>
  </si>
  <si>
    <t>2002-12-31</t>
  </si>
  <si>
    <t>2002-09-30</t>
  </si>
  <si>
    <t>2002-06-30</t>
  </si>
  <si>
    <t>2002-03-31</t>
  </si>
  <si>
    <t>2001-12-31</t>
  </si>
  <si>
    <t>2001-09-30</t>
  </si>
  <si>
    <t>2001-06-30</t>
  </si>
  <si>
    <t>2001-03-31</t>
  </si>
  <si>
    <t>2000-12-31</t>
  </si>
  <si>
    <t>2000-09-30</t>
  </si>
  <si>
    <t>2000-06-30</t>
  </si>
  <si>
    <t>2000-03-31</t>
  </si>
  <si>
    <t>1999-12-31</t>
  </si>
  <si>
    <t>1999-09-30</t>
  </si>
  <si>
    <t>1999-06-30</t>
  </si>
  <si>
    <t>1999-03-31</t>
  </si>
  <si>
    <t>1998-12-31</t>
  </si>
  <si>
    <t>1998-09-30</t>
  </si>
  <si>
    <t>1998-06-30</t>
  </si>
  <si>
    <t>1998-03-31</t>
  </si>
  <si>
    <t>1997-12-31</t>
  </si>
  <si>
    <t>1997-09-30</t>
  </si>
  <si>
    <t>1997-06-30</t>
  </si>
  <si>
    <t>1997-03-31</t>
  </si>
  <si>
    <t>1996-12-31</t>
  </si>
  <si>
    <t>1996-09-30</t>
  </si>
  <si>
    <t>1996-06-30</t>
  </si>
  <si>
    <t>1996-03-31</t>
  </si>
  <si>
    <t>date</t>
  </si>
  <si>
    <t>revenue</t>
  </si>
  <si>
    <t>Deriv1</t>
  </si>
  <si>
    <t>Static1</t>
  </si>
  <si>
    <t>grossProfit_margin</t>
  </si>
  <si>
    <t>FCF_margin</t>
  </si>
  <si>
    <t>2024-07-31</t>
  </si>
  <si>
    <t>2024-04-30</t>
  </si>
  <si>
    <t>2024-01-31</t>
  </si>
  <si>
    <t>2023-10-31</t>
  </si>
  <si>
    <t># Get a mathematical function written to get the first derivative. Maybe start with a graph, and go from there?</t>
  </si>
  <si>
    <t>2023-07-31</t>
  </si>
  <si>
    <t>calculus functions in python/r, to start, do a static program maybe, just to get a foundation going. Might be a little bit of a detour for now</t>
  </si>
  <si>
    <t>2023-04-30</t>
  </si>
  <si>
    <t>2023-01-31</t>
  </si>
  <si>
    <t>I am leaving off by trying to determine a systematic way to project revenue growth. Keep it as simple as can be, for now</t>
  </si>
  <si>
    <t>2022-10-31</t>
  </si>
  <si>
    <t>Current figures are quarterly. I need annual</t>
  </si>
  <si>
    <t>2022-07-31</t>
  </si>
  <si>
    <t>2022-04-30</t>
  </si>
  <si>
    <t>2022-01-31</t>
  </si>
  <si>
    <t>2021-10-31</t>
  </si>
  <si>
    <t>add more to show the return, and also the market cap valuations</t>
  </si>
  <si>
    <t>2021-07-31</t>
  </si>
  <si>
    <t>2021-04-30</t>
  </si>
  <si>
    <t>2021-01-31</t>
  </si>
  <si>
    <t>2020-10-31</t>
  </si>
  <si>
    <t>2020-07-31</t>
  </si>
  <si>
    <t>2020-04-30</t>
  </si>
  <si>
    <t>2020-01-31</t>
  </si>
  <si>
    <t>2019-10-31</t>
  </si>
  <si>
    <t>2019-07-31</t>
  </si>
  <si>
    <t>2019-04-30</t>
  </si>
  <si>
    <t>2019-01-31</t>
  </si>
  <si>
    <t>2018-10-31</t>
  </si>
  <si>
    <t>2018-07-31</t>
  </si>
  <si>
    <t>2018-04-30</t>
  </si>
  <si>
    <t>2018-01-31</t>
  </si>
  <si>
    <t>Mean</t>
  </si>
  <si>
    <t>Median</t>
  </si>
  <si>
    <t>Years</t>
  </si>
  <si>
    <t>Timing Standard</t>
  </si>
  <si>
    <t>M</t>
  </si>
  <si>
    <t>W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</si>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</sst>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_(&quot;$&quot;* #,##0_);_(&quot;$&quot;* \(#,##0\);_(&quot;$&quot;* &quot;-&quot;??_);_(@_)"/>
    <numFmt numFmtId="166" formatCode="_(* #,##0_);_(* \(#,##0\);_(* &quot;-&quot;??_);_(@_)"/>
    <numFmt numFmtId="167" formatCode="0.000"/>
    <numFmt numFmtId="168" formatCode="0.0000"/>
    <numFmt numFmtId="169" formatCode="yyyy\-mm\-dd;@"/>
    <numFmt numFmtId="170" formatCode="0.0%;\(0.0%\)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0"/>
      <name val="Arial"/>
      <family val="2"/>
    </font>
    <font>
      <i/>
      <sz val="11"/>
      <color rgb="FF0005C6"/>
      <name val="Calibri"/>
      <family val="2"/>
      <scheme val="minor"/>
    </font>
    <font>
      <sz val="11"/>
      <color rgb="FF0005C6"/>
      <name val="Calibri"/>
      <family val="2"/>
      <scheme val="minor"/>
    </font>
    <font>
      <sz val="11"/>
      <color rgb="FF388127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18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1" fillId="0" borderId="0"/>
    <xf numFmtId="0" fontId="4" fillId="0" borderId="0"/>
    <xf numFmtId="43" fontId="1" fillId="0" borderId="0"/>
    <xf numFmtId="44" fontId="1" fillId="0" borderId="0"/>
    <xf numFmtId="0" fontId="10" fillId="0" borderId="0">
      <alignment vertical="top"/>
    </xf>
  </cellStyleXfs>
  <cellXfs count="74">
    <xf numFmtId="0" fontId="0" fillId="0" borderId="0" xfId="0"/>
    <xf numFmtId="0" fontId="5" fillId="3" borderId="0" xfId="0" applyFont="1" applyFill="1"/>
    <xf numFmtId="14" fontId="0" fillId="0" borderId="0" xfId="0" applyNumberFormat="1"/>
    <xf numFmtId="0" fontId="3" fillId="0" borderId="0" xfId="0" applyFont="1"/>
    <xf numFmtId="0" fontId="5" fillId="3" borderId="6" xfId="0" applyFont="1" applyFill="1" applyBorder="1"/>
    <xf numFmtId="0" fontId="3" fillId="0" borderId="6" xfId="0" applyFont="1" applyBorder="1"/>
    <xf numFmtId="0" fontId="0" fillId="0" borderId="6" xfId="0" quotePrefix="1" applyBorder="1"/>
    <xf numFmtId="0" fontId="0" fillId="0" borderId="7" xfId="0" quotePrefix="1" applyBorder="1"/>
    <xf numFmtId="0" fontId="0" fillId="0" borderId="7" xfId="0" applyBorder="1"/>
    <xf numFmtId="0" fontId="0" fillId="0" borderId="4" xfId="0" applyBorder="1"/>
    <xf numFmtId="0" fontId="7" fillId="3" borderId="6" xfId="0" applyFont="1" applyFill="1" applyBorder="1" applyAlignment="1">
      <alignment horizontal="left" indent="1"/>
    </xf>
    <xf numFmtId="164" fontId="0" fillId="0" borderId="0" xfId="0" applyNumberFormat="1"/>
    <xf numFmtId="164" fontId="12" fillId="0" borderId="0" xfId="0" applyNumberFormat="1" applyFont="1" applyAlignment="1">
      <alignment horizontal="right"/>
    </xf>
    <xf numFmtId="165" fontId="3" fillId="0" borderId="0" xfId="4" applyNumberFormat="1" applyFont="1"/>
    <xf numFmtId="37" fontId="5" fillId="0" borderId="0" xfId="0" applyNumberFormat="1" applyFont="1"/>
    <xf numFmtId="37" fontId="6" fillId="0" borderId="0" xfId="0" applyNumberFormat="1" applyFont="1"/>
    <xf numFmtId="164" fontId="1" fillId="0" borderId="0" xfId="1" applyNumberFormat="1"/>
    <xf numFmtId="166" fontId="1" fillId="0" borderId="0" xfId="3" applyNumberFormat="1"/>
    <xf numFmtId="43" fontId="0" fillId="0" borderId="0" xfId="0" applyNumberFormat="1"/>
    <xf numFmtId="165" fontId="5" fillId="3" borderId="2" xfId="4" applyNumberFormat="1" applyFont="1" applyFill="1" applyBorder="1"/>
    <xf numFmtId="164" fontId="11" fillId="3" borderId="2" xfId="1" applyNumberFormat="1" applyFont="1" applyFill="1" applyBorder="1"/>
    <xf numFmtId="166" fontId="8" fillId="3" borderId="2" xfId="3" applyNumberFormat="1" applyFont="1" applyFill="1" applyBorder="1"/>
    <xf numFmtId="0" fontId="6" fillId="3" borderId="4" xfId="0" applyFont="1" applyFill="1" applyBorder="1"/>
    <xf numFmtId="167" fontId="0" fillId="0" borderId="0" xfId="0" applyNumberFormat="1"/>
    <xf numFmtId="168" fontId="0" fillId="0" borderId="0" xfId="0" applyNumberFormat="1"/>
    <xf numFmtId="164" fontId="7" fillId="3" borderId="2" xfId="1" applyNumberFormat="1" applyFont="1" applyFill="1" applyBorder="1"/>
    <xf numFmtId="0" fontId="14" fillId="0" borderId="0" xfId="0" applyFont="1" applyAlignment="1">
      <alignment horizontal="center" vertical="top"/>
    </xf>
    <xf numFmtId="0" fontId="14" fillId="0" borderId="10" xfId="0" applyFont="1" applyBorder="1" applyAlignment="1">
      <alignment horizontal="center" vertical="top"/>
    </xf>
    <xf numFmtId="169" fontId="0" fillId="0" borderId="0" xfId="0" applyNumberFormat="1"/>
    <xf numFmtId="14" fontId="14" fillId="0" borderId="10" xfId="0" applyNumberFormat="1" applyFont="1" applyBorder="1" applyAlignment="1">
      <alignment horizontal="center" vertical="top"/>
    </xf>
    <xf numFmtId="164" fontId="7" fillId="3" borderId="0" xfId="1" applyNumberFormat="1" applyFont="1" applyFill="1"/>
    <xf numFmtId="39" fontId="5" fillId="0" borderId="5" xfId="0" applyNumberFormat="1" applyFont="1" applyBorder="1"/>
    <xf numFmtId="39" fontId="5" fillId="0" borderId="1" xfId="0" applyNumberFormat="1" applyFont="1" applyBorder="1"/>
    <xf numFmtId="39" fontId="6" fillId="0" borderId="2" xfId="0" applyNumberFormat="1" applyFont="1" applyBorder="1"/>
    <xf numFmtId="0" fontId="3" fillId="0" borderId="11" xfId="0" applyFont="1" applyBorder="1"/>
    <xf numFmtId="2" fontId="5" fillId="0" borderId="0" xfId="1" applyNumberFormat="1" applyFont="1"/>
    <xf numFmtId="165" fontId="5" fillId="3" borderId="0" xfId="4" applyNumberFormat="1" applyFont="1" applyFill="1"/>
    <xf numFmtId="165" fontId="5" fillId="0" borderId="0" xfId="1" applyNumberFormat="1" applyFont="1"/>
    <xf numFmtId="164" fontId="11" fillId="3" borderId="0" xfId="1" applyNumberFormat="1" applyFont="1" applyFill="1"/>
    <xf numFmtId="3" fontId="5" fillId="3" borderId="0" xfId="0" applyNumberFormat="1" applyFont="1" applyFill="1"/>
    <xf numFmtId="166" fontId="13" fillId="3" borderId="0" xfId="3" applyNumberFormat="1" applyFont="1" applyFill="1"/>
    <xf numFmtId="166" fontId="8" fillId="3" borderId="0" xfId="3" applyNumberFormat="1" applyFont="1" applyFill="1"/>
    <xf numFmtId="170" fontId="7" fillId="0" borderId="0" xfId="1" applyNumberFormat="1" applyFont="1"/>
    <xf numFmtId="164" fontId="11" fillId="0" borderId="0" xfId="1" applyNumberFormat="1" applyFont="1"/>
    <xf numFmtId="0" fontId="9" fillId="2" borderId="4" xfId="0" applyFont="1" applyFill="1" applyBorder="1"/>
    <xf numFmtId="0" fontId="2" fillId="2" borderId="3" xfId="0" applyFont="1" applyFill="1" applyBorder="1" applyAlignment="1">
      <alignment horizontal="right"/>
    </xf>
    <xf numFmtId="0" fontId="2" fillId="2" borderId="5" xfId="0" applyFont="1" applyFill="1" applyBorder="1" applyAlignment="1">
      <alignment horizontal="right"/>
    </xf>
    <xf numFmtId="0" fontId="0" fillId="0" borderId="6" xfId="0" applyBorder="1"/>
    <xf numFmtId="0" fontId="6" fillId="3" borderId="6" xfId="0" applyFont="1" applyFill="1" applyBorder="1"/>
    <xf numFmtId="0" fontId="3" fillId="0" borderId="4" xfId="0" applyFont="1" applyBorder="1"/>
    <xf numFmtId="0" fontId="3" fillId="0" borderId="8" xfId="0" applyFont="1" applyBorder="1" applyAlignment="1">
      <alignment horizontal="left" indent="1"/>
    </xf>
    <xf numFmtId="165" fontId="3" fillId="0" borderId="13" xfId="4" applyNumberFormat="1" applyFont="1" applyBorder="1"/>
    <xf numFmtId="37" fontId="5" fillId="3" borderId="3" xfId="0" applyNumberFormat="1" applyFont="1" applyFill="1" applyBorder="1"/>
    <xf numFmtId="44" fontId="1" fillId="0" borderId="3" xfId="4" applyBorder="1"/>
    <xf numFmtId="0" fontId="2" fillId="2" borderId="14" xfId="0" applyFont="1" applyFill="1" applyBorder="1" applyAlignment="1">
      <alignment horizontal="right"/>
    </xf>
    <xf numFmtId="165" fontId="5" fillId="0" borderId="15" xfId="4" applyNumberFormat="1" applyFont="1" applyBorder="1"/>
    <xf numFmtId="3" fontId="5" fillId="3" borderId="15" xfId="0" applyNumberFormat="1" applyFont="1" applyFill="1" applyBorder="1"/>
    <xf numFmtId="37" fontId="5" fillId="3" borderId="14" xfId="0" applyNumberFormat="1" applyFont="1" applyFill="1" applyBorder="1"/>
    <xf numFmtId="170" fontId="7" fillId="0" borderId="15" xfId="1" applyNumberFormat="1" applyFont="1" applyBorder="1"/>
    <xf numFmtId="44" fontId="1" fillId="0" borderId="14" xfId="4" applyBorder="1"/>
    <xf numFmtId="165" fontId="3" fillId="0" borderId="16" xfId="4" applyNumberFormat="1" applyFont="1" applyBorder="1"/>
    <xf numFmtId="44" fontId="6" fillId="4" borderId="12" xfId="0" applyNumberFormat="1" applyFont="1" applyFill="1" applyBorder="1"/>
    <xf numFmtId="44" fontId="1" fillId="0" borderId="13" xfId="4" applyBorder="1"/>
    <xf numFmtId="44" fontId="1" fillId="0" borderId="9" xfId="4" applyBorder="1"/>
    <xf numFmtId="37" fontId="5" fillId="3" borderId="3" xfId="1" applyNumberFormat="1" applyFont="1" applyFill="1" applyBorder="1"/>
    <xf numFmtId="37" fontId="5" fillId="3" borderId="5" xfId="1" applyNumberFormat="1" applyFont="1" applyFill="1" applyBorder="1"/>
    <xf numFmtId="14" fontId="15" fillId="0" borderId="0" xfId="0" applyNumberFormat="1" applyFont="1" applyAlignment="1">
      <alignment horizontal="center" vertical="top"/>
    </xf>
    <xf numFmtId="170" fontId="11" fillId="0" borderId="0" xfId="1" applyNumberFormat="1" applyFont="1"/>
    <xf numFmtId="170" fontId="11" fillId="0" borderId="2" xfId="1" applyNumberFormat="1" applyFont="1" applyBorder="1"/>
    <xf numFmtId="166" fontId="1" fillId="0" borderId="15" xfId="3" applyNumberFormat="1" applyBorder="1"/>
    <xf numFmtId="166" fontId="1" fillId="0" borderId="2" xfId="3" applyNumberFormat="1" applyBorder="1"/>
    <xf numFmtId="39" fontId="5" fillId="0" borderId="2" xfId="0" applyNumberFormat="1" applyFont="1" applyBorder="1"/>
    <xf numFmtId="44" fontId="1" fillId="0" borderId="5" xfId="4" applyBorder="1"/>
    <xf numFmtId="0" fontId="16" fillId="0" borderId="17" xfId="0" applyFont="1" applyBorder="1" applyAlignment="1">
      <alignment horizontal="center" vertical="top"/>
    </xf>
  </cellXfs>
  <cellStyles count="6">
    <cellStyle name="Comma" xfId="3" builtinId="3"/>
    <cellStyle name="Currency" xfId="4" builtinId="4"/>
    <cellStyle name="Normal" xfId="0" builtinId="0"/>
    <cellStyle name="Normal 2" xfId="2" xr:uid="{00000000-0005-0000-0000-000002000000}"/>
    <cellStyle name="Normal 3" xfId="5" xr:uid="{00000000-0005-0000-0000-000005000000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1"/>
  <sheetViews>
    <sheetView workbookViewId="0"/>
  </sheetViews>
  <sheetFormatPr defaultColWidth="8.85546875" defaultRowHeight="15" x14ac:dyDescent="0.25"/>
  <sheetData>
    <row r="1" spans="1:2" x14ac:dyDescent="0.25">
      <c r="B1" t="s">
        <v>0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>
      <selection activeCell="I14" sqref="I14"/>
    </sheetView>
  </sheetViews>
  <sheetFormatPr defaultRowHeight="15" x14ac:dyDescent="0.25"/>
  <sheetData>
    <row r="1" spans="1:2" x14ac:dyDescent="0.25">
      <c r="B1" s="73" t="s">
        <v>1</v>
      </c>
    </row>
    <row r="2" spans="1:2" x14ac:dyDescent="0.25">
      <c r="A2" s="73" t="s">
        <v>2</v>
      </c>
      <c r="B2">
        <v>318371000000</v>
      </c>
    </row>
    <row r="3" spans="1:2" x14ac:dyDescent="0.25">
      <c r="A3" s="73" t="s">
        <v>3</v>
      </c>
      <c r="B3">
        <v>54889000000</v>
      </c>
    </row>
    <row r="4" spans="1:2" x14ac:dyDescent="0.25">
      <c r="A4" s="73" t="s">
        <v>4</v>
      </c>
      <c r="B4">
        <v>0.18840445396380809</v>
      </c>
    </row>
    <row r="5" spans="1:2" x14ac:dyDescent="0.25">
      <c r="A5" s="73" t="s">
        <v>5</v>
      </c>
      <c r="B5">
        <v>4.2500000000000003E-2</v>
      </c>
    </row>
    <row r="6" spans="1:2" x14ac:dyDescent="0.25">
      <c r="A6" s="73" t="s">
        <v>6</v>
      </c>
      <c r="B6">
        <v>0.21</v>
      </c>
    </row>
    <row r="7" spans="1:2" x14ac:dyDescent="0.25">
      <c r="A7" s="73" t="s">
        <v>7</v>
      </c>
      <c r="B7">
        <v>236447000000</v>
      </c>
    </row>
    <row r="8" spans="1:2" x14ac:dyDescent="0.25">
      <c r="A8" s="73" t="s">
        <v>8</v>
      </c>
      <c r="B8">
        <v>0.81159554603619188</v>
      </c>
    </row>
    <row r="9" spans="1:2" x14ac:dyDescent="0.25">
      <c r="A9" s="73" t="s">
        <v>9</v>
      </c>
      <c r="B9">
        <v>0.12701111896707901</v>
      </c>
    </row>
    <row r="10" spans="1:2" x14ac:dyDescent="0.25">
      <c r="A10" s="73" t="s">
        <v>10</v>
      </c>
      <c r="B10">
        <v>4.0710000991821288E-2</v>
      </c>
    </row>
    <row r="11" spans="1:2" x14ac:dyDescent="0.25">
      <c r="A11" s="73" t="s">
        <v>11</v>
      </c>
      <c r="B11">
        <v>1.245506122248192</v>
      </c>
    </row>
    <row r="12" spans="1:2" x14ac:dyDescent="0.25">
      <c r="A12" s="73" t="s">
        <v>12</v>
      </c>
      <c r="B12">
        <v>6.9289999008178713E-2</v>
      </c>
    </row>
    <row r="13" spans="1:2" x14ac:dyDescent="0.25">
      <c r="A13" s="73" t="s">
        <v>13</v>
      </c>
      <c r="B13">
        <v>0.02</v>
      </c>
    </row>
    <row r="14" spans="1:2" x14ac:dyDescent="0.25">
      <c r="A14" s="73" t="s">
        <v>14</v>
      </c>
      <c r="B14">
        <v>0.1094073379925891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9" tint="0.39997558519241921"/>
    <pageSetUpPr fitToPage="1"/>
  </sheetPr>
  <dimension ref="B1:V23"/>
  <sheetViews>
    <sheetView showGridLines="0" tabSelected="1" topLeftCell="A2" zoomScale="85" zoomScaleNormal="85" workbookViewId="0">
      <selection activeCell="U18" sqref="U18"/>
    </sheetView>
  </sheetViews>
  <sheetFormatPr defaultColWidth="9.5703125" defaultRowHeight="15" outlineLevelRow="1" outlineLevelCol="1" x14ac:dyDescent="0.25"/>
  <cols>
    <col min="1" max="1" width="4.140625" customWidth="1"/>
    <col min="2" max="2" width="21.140625" customWidth="1"/>
    <col min="3" max="3" width="10.5703125" customWidth="1"/>
    <col min="4" max="11" width="10.5703125" customWidth="1" outlineLevel="1"/>
    <col min="12" max="16" width="10.5703125" customWidth="1"/>
    <col min="17" max="22" width="11.5703125" bestFit="1" customWidth="1"/>
  </cols>
  <sheetData>
    <row r="1" spans="2:22" hidden="1" outlineLevel="1" x14ac:dyDescent="0.25">
      <c r="C1" s="28"/>
      <c r="D1" s="66" t="str">
        <f>Python!A31</f>
        <v>2017-06-30</v>
      </c>
      <c r="E1" s="66" t="str">
        <f>Python!A27</f>
        <v>2018-06-30</v>
      </c>
      <c r="F1" s="66" t="str">
        <f>Python!A23</f>
        <v>2019-06-30</v>
      </c>
      <c r="G1" s="66" t="str">
        <f>Python!A19</f>
        <v>2020-06-30</v>
      </c>
      <c r="H1" s="66" t="str">
        <f>Python!A15</f>
        <v>2021-06-30</v>
      </c>
      <c r="I1" s="66" t="str">
        <f>Python!A11</f>
        <v>2022-06-30</v>
      </c>
      <c r="J1" s="66" t="str">
        <f>Python!A7</f>
        <v>2023-06-30</v>
      </c>
      <c r="K1" s="66" t="str">
        <f>Python!A3</f>
        <v>2024-06-30</v>
      </c>
      <c r="L1" s="28">
        <f t="shared" ref="L1:U1" si="0">EDATE(K1, 12)</f>
        <v>45838</v>
      </c>
      <c r="M1" s="28">
        <f t="shared" si="0"/>
        <v>46203</v>
      </c>
      <c r="N1" s="28">
        <f t="shared" si="0"/>
        <v>46568</v>
      </c>
      <c r="O1" s="28">
        <f t="shared" si="0"/>
        <v>46934</v>
      </c>
      <c r="P1" s="28">
        <f t="shared" si="0"/>
        <v>47299</v>
      </c>
      <c r="Q1" s="28">
        <f t="shared" si="0"/>
        <v>47664</v>
      </c>
      <c r="R1" s="28">
        <f t="shared" si="0"/>
        <v>48029</v>
      </c>
      <c r="S1" s="28">
        <f t="shared" si="0"/>
        <v>48395</v>
      </c>
      <c r="T1" s="28">
        <f t="shared" si="0"/>
        <v>48760</v>
      </c>
      <c r="U1" s="28">
        <f t="shared" si="0"/>
        <v>49125</v>
      </c>
    </row>
    <row r="2" spans="2:22" ht="15.95" customHeight="1" collapsed="1" x14ac:dyDescent="0.25">
      <c r="C2" s="12"/>
      <c r="D2" s="12"/>
      <c r="E2" s="12"/>
      <c r="F2" s="12"/>
      <c r="G2" s="12"/>
      <c r="H2" s="12"/>
      <c r="J2" s="2"/>
    </row>
    <row r="3" spans="2:22" x14ac:dyDescent="0.25">
      <c r="B3" s="44" t="s">
        <v>15</v>
      </c>
      <c r="C3" s="45"/>
      <c r="D3" s="45">
        <f t="shared" ref="D3:U3" si="1">YEAR(D1)</f>
        <v>2017</v>
      </c>
      <c r="E3" s="45">
        <f t="shared" si="1"/>
        <v>2018</v>
      </c>
      <c r="F3" s="45">
        <f t="shared" si="1"/>
        <v>2019</v>
      </c>
      <c r="G3" s="45">
        <f t="shared" si="1"/>
        <v>2020</v>
      </c>
      <c r="H3" s="45">
        <f t="shared" si="1"/>
        <v>2021</v>
      </c>
      <c r="I3" s="45">
        <f t="shared" si="1"/>
        <v>2022</v>
      </c>
      <c r="J3" s="45">
        <f t="shared" si="1"/>
        <v>2023</v>
      </c>
      <c r="K3" s="54">
        <f t="shared" si="1"/>
        <v>2024</v>
      </c>
      <c r="L3" s="45">
        <f t="shared" si="1"/>
        <v>2025</v>
      </c>
      <c r="M3" s="45">
        <f t="shared" si="1"/>
        <v>2026</v>
      </c>
      <c r="N3" s="45">
        <f t="shared" si="1"/>
        <v>2027</v>
      </c>
      <c r="O3" s="45">
        <f t="shared" si="1"/>
        <v>2028</v>
      </c>
      <c r="P3" s="45">
        <f t="shared" si="1"/>
        <v>2029</v>
      </c>
      <c r="Q3" s="45">
        <f t="shared" si="1"/>
        <v>2030</v>
      </c>
      <c r="R3" s="45">
        <f t="shared" si="1"/>
        <v>2031</v>
      </c>
      <c r="S3" s="45">
        <f t="shared" si="1"/>
        <v>2032</v>
      </c>
      <c r="T3" s="45">
        <f t="shared" si="1"/>
        <v>2033</v>
      </c>
      <c r="U3" s="45">
        <f t="shared" si="1"/>
        <v>2034</v>
      </c>
      <c r="V3" s="46" t="s">
        <v>16</v>
      </c>
    </row>
    <row r="4" spans="2:22" s="1" customFormat="1" x14ac:dyDescent="0.25">
      <c r="B4" s="48" t="s">
        <v>17</v>
      </c>
      <c r="C4" s="36"/>
      <c r="D4" s="36">
        <f>IFERROR(INDEX(Python!$1:$1048576,MATCH(DCF_Simple!D$1,Python!$A:$A,0),MATCH(DCF_Simple!$B4,Python!$1:$1,0))/1000000,0)</f>
        <v>150124</v>
      </c>
      <c r="E4" s="36">
        <f>IFERROR(INDEX(Python!$1:$1048576,MATCH(DCF_Simple!E$1,Python!$A:$A,0),MATCH(DCF_Simple!$B4,Python!$1:$1,0))/1000000,0)</f>
        <v>208125</v>
      </c>
      <c r="F4" s="36">
        <f>IFERROR(INDEX(Python!$1:$1048576,MATCH(DCF_Simple!F$1,Python!$A:$A,0),MATCH(DCF_Simple!$B4,Python!$1:$1,0))/1000000,0)</f>
        <v>252063</v>
      </c>
      <c r="G4" s="36">
        <f>IFERROR(INDEX(Python!$1:$1048576,MATCH(DCF_Simple!G$1,Python!$A:$A,0),MATCH(DCF_Simple!$B4,Python!$1:$1,0))/1000000,0)</f>
        <v>321781</v>
      </c>
      <c r="H4" s="36">
        <f>IFERROR(INDEX(Python!$1:$1048576,MATCH(DCF_Simple!H$1,Python!$A:$A,0),MATCH(DCF_Simple!$B4,Python!$1:$1,0))/1000000,0)</f>
        <v>443298</v>
      </c>
      <c r="I4" s="36">
        <f>IFERROR(INDEX(Python!$1:$1048576,MATCH(DCF_Simple!I$1,Python!$A:$A,0),MATCH(DCF_Simple!$B4,Python!$1:$1,0))/1000000,0)</f>
        <v>485902</v>
      </c>
      <c r="J4" s="36">
        <f>IFERROR(INDEX(Python!$1:$1048576,MATCH(DCF_Simple!J$1,Python!$A:$A,0),MATCH(DCF_Simple!$B4,Python!$1:$1,0))/1000000,0)</f>
        <v>538046</v>
      </c>
      <c r="K4" s="55">
        <f>IFERROR(INDEX(Python!$1:$1048576,MATCH(DCF_Simple!K$1,Python!$A:$A,0),MATCH(DCF_Simple!$B4,Python!$1:$1,0))/1000000,0)</f>
        <v>604334</v>
      </c>
      <c r="L4" s="37">
        <f t="shared" ref="L4:U4" si="2">K4*(1+L5)</f>
        <v>663811.58565308247</v>
      </c>
      <c r="M4" s="36">
        <f t="shared" si="2"/>
        <v>729142.86015226622</v>
      </c>
      <c r="N4" s="36">
        <f t="shared" si="2"/>
        <v>800903.93419086072</v>
      </c>
      <c r="O4" s="36">
        <f t="shared" si="2"/>
        <v>879727.61835512694</v>
      </c>
      <c r="P4" s="36">
        <f t="shared" si="2"/>
        <v>966309.00343705073</v>
      </c>
      <c r="Q4" s="36">
        <f t="shared" si="2"/>
        <v>1061411.5899525734</v>
      </c>
      <c r="R4" s="36">
        <f t="shared" si="2"/>
        <v>1165874.0209172033</v>
      </c>
      <c r="S4" s="36">
        <f t="shared" si="2"/>
        <v>1280617.4772506326</v>
      </c>
      <c r="T4" s="36">
        <f t="shared" si="2"/>
        <v>1406653.8010252488</v>
      </c>
      <c r="U4" s="36">
        <f t="shared" si="2"/>
        <v>1545094.4181917715</v>
      </c>
      <c r="V4" s="19">
        <f>U4</f>
        <v>1545094.4181917715</v>
      </c>
    </row>
    <row r="5" spans="2:22" s="1" customFormat="1" x14ac:dyDescent="0.25">
      <c r="B5" s="10" t="s">
        <v>18</v>
      </c>
      <c r="C5" s="30"/>
      <c r="D5" s="30"/>
      <c r="E5" s="42">
        <f t="shared" ref="E5:K5" si="3">IFERROR(E4/D4-1,"")</f>
        <v>0.38635394740347984</v>
      </c>
      <c r="F5" s="42">
        <f t="shared" si="3"/>
        <v>0.2111135135135136</v>
      </c>
      <c r="G5" s="42">
        <f t="shared" si="3"/>
        <v>0.27658958276303935</v>
      </c>
      <c r="H5" s="42">
        <f t="shared" si="3"/>
        <v>0.37763882889294265</v>
      </c>
      <c r="I5" s="42">
        <f t="shared" si="3"/>
        <v>9.6106907768588989E-2</v>
      </c>
      <c r="J5" s="42">
        <f t="shared" si="3"/>
        <v>0.10731382048231941</v>
      </c>
      <c r="K5" s="58">
        <f t="shared" si="3"/>
        <v>0.12320136196533382</v>
      </c>
      <c r="L5" s="43">
        <f>Python!F2</f>
        <v>9.8418400508795578E-2</v>
      </c>
      <c r="M5" s="43">
        <f>L5</f>
        <v>9.8418400508795578E-2</v>
      </c>
      <c r="N5" s="38">
        <f t="shared" ref="N5:U5" si="4">M5</f>
        <v>9.8418400508795578E-2</v>
      </c>
      <c r="O5" s="38">
        <f t="shared" si="4"/>
        <v>9.8418400508795578E-2</v>
      </c>
      <c r="P5" s="38">
        <f t="shared" si="4"/>
        <v>9.8418400508795578E-2</v>
      </c>
      <c r="Q5" s="38">
        <f t="shared" si="4"/>
        <v>9.8418400508795578E-2</v>
      </c>
      <c r="R5" s="38">
        <f t="shared" si="4"/>
        <v>9.8418400508795578E-2</v>
      </c>
      <c r="S5" s="38">
        <f t="shared" si="4"/>
        <v>9.8418400508795578E-2</v>
      </c>
      <c r="T5" s="38">
        <f t="shared" si="4"/>
        <v>9.8418400508795578E-2</v>
      </c>
      <c r="U5" s="38">
        <f t="shared" si="4"/>
        <v>9.8418400508795578E-2</v>
      </c>
      <c r="V5" s="20"/>
    </row>
    <row r="6" spans="2:22" s="1" customFormat="1" ht="7.5" customHeight="1" x14ac:dyDescent="0.25">
      <c r="B6" s="4"/>
      <c r="C6" s="39"/>
      <c r="D6" s="39"/>
      <c r="E6" s="39"/>
      <c r="F6" s="39"/>
      <c r="G6" s="39"/>
      <c r="H6" s="39"/>
      <c r="I6" s="39"/>
      <c r="J6" s="39"/>
      <c r="K6" s="56"/>
      <c r="L6" s="40"/>
      <c r="M6" s="41"/>
      <c r="N6" s="41"/>
      <c r="O6" s="41"/>
      <c r="P6" s="41"/>
      <c r="Q6" s="41"/>
      <c r="R6" s="41"/>
      <c r="S6" s="41"/>
      <c r="T6" s="41"/>
      <c r="U6" s="41"/>
      <c r="V6" s="21"/>
    </row>
    <row r="7" spans="2:22" s="1" customFormat="1" x14ac:dyDescent="0.25">
      <c r="B7" s="22" t="s">
        <v>19</v>
      </c>
      <c r="C7" s="52"/>
      <c r="D7" s="52">
        <f>IFERROR(INDEX(Python!$1:$1048576,MATCH(DCF_Simple!D$1,Python!$A:$A,0),MATCH(DCF_Simple!$B7,Python!$1:$1,0))/1000000,0)</f>
        <v>9168</v>
      </c>
      <c r="E7" s="52">
        <f>IFERROR(INDEX(Python!$1:$1048576,MATCH(DCF_Simple!E$1,Python!$A:$A,0),MATCH(DCF_Simple!$B7,Python!$1:$1,0))/1000000,0)</f>
        <v>9234</v>
      </c>
      <c r="F7" s="52">
        <f>IFERROR(INDEX(Python!$1:$1048576,MATCH(DCF_Simple!F$1,Python!$A:$A,0),MATCH(DCF_Simple!$B7,Python!$1:$1,0))/1000000,0)</f>
        <v>22093</v>
      </c>
      <c r="G7" s="52">
        <f>IFERROR(INDEX(Python!$1:$1048576,MATCH(DCF_Simple!G$1,Python!$A:$A,0),MATCH(DCF_Simple!$B7,Python!$1:$1,0))/1000000,0)</f>
        <v>26958</v>
      </c>
      <c r="H7" s="52">
        <f>IFERROR(INDEX(Python!$1:$1048576,MATCH(DCF_Simple!H$1,Python!$A:$A,0),MATCH(DCF_Simple!$B7,Python!$1:$1,0))/1000000,0)</f>
        <v>7065</v>
      </c>
      <c r="I7" s="52">
        <f>IFERROR(INDEX(Python!$1:$1048576,MATCH(DCF_Simple!I$1,Python!$A:$A,0),MATCH(DCF_Simple!$B7,Python!$1:$1,0))/1000000,0)</f>
        <v>-29784</v>
      </c>
      <c r="J7" s="52">
        <f>IFERROR(INDEX(Python!$1:$1048576,MATCH(DCF_Simple!J$1,Python!$A:$A,0),MATCH(DCF_Simple!$B7,Python!$1:$1,0))/1000000,0)</f>
        <v>3209</v>
      </c>
      <c r="K7" s="57">
        <f>IFERROR(INDEX(Python!$1:$1048576,MATCH(DCF_Simple!K$1,Python!$A:$A,0),MATCH(DCF_Simple!$B7,Python!$1:$1,0))/1000000,0)</f>
        <v>48340</v>
      </c>
      <c r="L7" s="64">
        <f t="shared" ref="L7:U7" si="5">L8*L4</f>
        <v>26341.48636302153</v>
      </c>
      <c r="M7" s="64">
        <f t="shared" si="5"/>
        <v>28933.973317894361</v>
      </c>
      <c r="N7" s="64">
        <f t="shared" si="5"/>
        <v>31781.608692205693</v>
      </c>
      <c r="O7" s="64">
        <f t="shared" si="5"/>
        <v>34909.503785289016</v>
      </c>
      <c r="P7" s="64">
        <f t="shared" si="5"/>
        <v>38345.241310392907</v>
      </c>
      <c r="Q7" s="64">
        <f t="shared" si="5"/>
        <v>42119.118627285563</v>
      </c>
      <c r="R7" s="64">
        <f t="shared" si="5"/>
        <v>46264.414913423221</v>
      </c>
      <c r="S7" s="64">
        <f t="shared" si="5"/>
        <v>50817.684629677613</v>
      </c>
      <c r="T7" s="64">
        <f t="shared" si="5"/>
        <v>55819.079868490888</v>
      </c>
      <c r="U7" s="64">
        <f t="shared" si="5"/>
        <v>61312.704427020479</v>
      </c>
      <c r="V7" s="65">
        <f>U7</f>
        <v>61312.704427020479</v>
      </c>
    </row>
    <row r="8" spans="2:22" s="1" customFormat="1" x14ac:dyDescent="0.25">
      <c r="B8" s="10" t="s">
        <v>20</v>
      </c>
      <c r="C8" s="42"/>
      <c r="D8" s="42">
        <f t="shared" ref="D8:K8" si="6">IFERROR(D7/D$4,"")</f>
        <v>6.1069515866883375E-2</v>
      </c>
      <c r="E8" s="42">
        <f t="shared" si="6"/>
        <v>4.4367567567567566E-2</v>
      </c>
      <c r="F8" s="42">
        <f t="shared" si="6"/>
        <v>8.7648722739949933E-2</v>
      </c>
      <c r="G8" s="42">
        <f t="shared" si="6"/>
        <v>8.3777475985219757E-2</v>
      </c>
      <c r="H8" s="42">
        <f t="shared" si="6"/>
        <v>1.5937360421206501E-2</v>
      </c>
      <c r="I8" s="42">
        <f t="shared" si="6"/>
        <v>-6.1296310778716695E-2</v>
      </c>
      <c r="J8" s="42">
        <f t="shared" si="6"/>
        <v>5.964174066901343E-3</v>
      </c>
      <c r="K8" s="58">
        <f t="shared" si="6"/>
        <v>7.9988880321146913E-2</v>
      </c>
      <c r="L8" s="38">
        <f>AVERAGE(D8:K8)</f>
        <v>3.9682173273769841E-2</v>
      </c>
      <c r="M8" s="38">
        <f t="shared" ref="M8:U8" si="7">L8</f>
        <v>3.9682173273769841E-2</v>
      </c>
      <c r="N8" s="38">
        <f t="shared" si="7"/>
        <v>3.9682173273769841E-2</v>
      </c>
      <c r="O8" s="38">
        <f t="shared" si="7"/>
        <v>3.9682173273769841E-2</v>
      </c>
      <c r="P8" s="38">
        <f t="shared" si="7"/>
        <v>3.9682173273769841E-2</v>
      </c>
      <c r="Q8" s="38">
        <f t="shared" si="7"/>
        <v>3.9682173273769841E-2</v>
      </c>
      <c r="R8" s="38">
        <f t="shared" si="7"/>
        <v>3.9682173273769841E-2</v>
      </c>
      <c r="S8" s="38">
        <f t="shared" si="7"/>
        <v>3.9682173273769841E-2</v>
      </c>
      <c r="T8" s="38">
        <f t="shared" si="7"/>
        <v>3.9682173273769841E-2</v>
      </c>
      <c r="U8" s="38">
        <f t="shared" si="7"/>
        <v>3.9682173273769841E-2</v>
      </c>
      <c r="V8" s="20"/>
    </row>
    <row r="9" spans="2:22" s="1" customFormat="1" ht="7.5" customHeight="1" x14ac:dyDescent="0.25">
      <c r="B9" s="10"/>
      <c r="C9" s="42"/>
      <c r="D9" s="42"/>
      <c r="E9" s="42"/>
      <c r="F9" s="42"/>
      <c r="G9" s="42"/>
      <c r="H9" s="42"/>
      <c r="I9" s="42"/>
      <c r="J9" s="42"/>
      <c r="K9" s="58"/>
      <c r="L9" s="30"/>
      <c r="M9" s="30"/>
      <c r="N9" s="30"/>
      <c r="O9" s="30"/>
      <c r="P9" s="30"/>
      <c r="Q9" s="30"/>
      <c r="R9" s="30"/>
      <c r="S9" s="30"/>
      <c r="T9" s="30"/>
      <c r="U9" s="30"/>
      <c r="V9" s="25"/>
    </row>
    <row r="10" spans="2:22" s="1" customFormat="1" x14ac:dyDescent="0.25">
      <c r="B10" s="47" t="s">
        <v>21</v>
      </c>
      <c r="C10" s="35"/>
      <c r="D10" s="17">
        <f>IFERROR(INDEX(Python!$1:$1048576,MATCH(DCF_Simple!D$1,Python!$A:$A,0),MATCH(DCF_Simple!$B10,Python!$1:$1,0))/1000000,0)</f>
        <v>9840</v>
      </c>
      <c r="E10" s="17">
        <f>IFERROR(INDEX(Python!$1:$1048576,MATCH(DCF_Simple!E$1,Python!$A:$A,0),MATCH(DCF_Simple!$B10,Python!$1:$1,0))/1000000,0)</f>
        <v>10000</v>
      </c>
      <c r="F10" s="17">
        <f>IFERROR(INDEX(Python!$1:$1048576,MATCH(DCF_Simple!F$1,Python!$A:$A,0),MATCH(DCF_Simple!$B10,Python!$1:$1,0))/1000000,0)</f>
        <v>10060</v>
      </c>
      <c r="G10" s="17">
        <f>IFERROR(INDEX(Python!$1:$1048576,MATCH(DCF_Simple!G$1,Python!$A:$A,0),MATCH(DCF_Simple!$B10,Python!$1:$1,0))/1000000,0)</f>
        <v>10180</v>
      </c>
      <c r="H10" s="17">
        <f>IFERROR(INDEX(Python!$1:$1048576,MATCH(DCF_Simple!H$1,Python!$A:$A,0),MATCH(DCF_Simple!$B10,Python!$1:$1,0))/1000000,0)</f>
        <v>10280</v>
      </c>
      <c r="I10" s="17">
        <f>IFERROR(INDEX(Python!$1:$1048576,MATCH(DCF_Simple!I$1,Python!$A:$A,0),MATCH(DCF_Simple!$B10,Python!$1:$1,0))/1000000,0)</f>
        <v>10175</v>
      </c>
      <c r="J10" s="17">
        <f>IFERROR(INDEX(Python!$1:$1048576,MATCH(DCF_Simple!J$1,Python!$A:$A,0),MATCH(DCF_Simple!$B10,Python!$1:$1,0))/1000000,0)</f>
        <v>10449</v>
      </c>
      <c r="K10" s="69">
        <f>IFERROR(INDEX(Python!$1:$1048576,MATCH(DCF_Simple!K$1,Python!$A:$A,0),MATCH(DCF_Simple!$B10,Python!$1:$1,0))/1000000,0)</f>
        <v>10708</v>
      </c>
      <c r="L10" s="17">
        <f t="shared" ref="L10:U10" si="8">K10*(1+L11)</f>
        <v>10973.419848789359</v>
      </c>
      <c r="M10" s="17">
        <f t="shared" si="8"/>
        <v>11245.418675551389</v>
      </c>
      <c r="N10" s="17">
        <f t="shared" si="8"/>
        <v>11384.789114682781</v>
      </c>
      <c r="O10" s="17">
        <f t="shared" si="8"/>
        <v>11455.337980141267</v>
      </c>
      <c r="P10" s="17">
        <f t="shared" si="8"/>
        <v>11490.831000249133</v>
      </c>
      <c r="Q10" s="17">
        <f t="shared" si="8"/>
        <v>11490.831000249133</v>
      </c>
      <c r="R10" s="17">
        <f t="shared" si="8"/>
        <v>11490.831000249133</v>
      </c>
      <c r="S10" s="17">
        <f t="shared" si="8"/>
        <v>11375.922690246642</v>
      </c>
      <c r="T10" s="17">
        <f t="shared" si="8"/>
        <v>11262.163463344175</v>
      </c>
      <c r="U10" s="17">
        <f t="shared" si="8"/>
        <v>11149.541828710733</v>
      </c>
      <c r="V10" s="70">
        <f>U10</f>
        <v>11149.541828710733</v>
      </c>
    </row>
    <row r="11" spans="2:22" s="1" customFormat="1" x14ac:dyDescent="0.25">
      <c r="B11" s="10" t="s">
        <v>22</v>
      </c>
      <c r="C11" s="42"/>
      <c r="D11" s="42"/>
      <c r="E11" s="42">
        <f t="shared" ref="E11:K11" si="9">IFERROR(E10/D10-1,"")</f>
        <v>1.6260162601626105E-2</v>
      </c>
      <c r="F11" s="42">
        <f t="shared" si="9"/>
        <v>6.0000000000000053E-3</v>
      </c>
      <c r="G11" s="42">
        <f t="shared" si="9"/>
        <v>1.1928429423459175E-2</v>
      </c>
      <c r="H11" s="42">
        <f t="shared" si="9"/>
        <v>9.8231827111985304E-3</v>
      </c>
      <c r="I11" s="42">
        <f t="shared" si="9"/>
        <v>-1.0214007782101131E-2</v>
      </c>
      <c r="J11" s="42">
        <f t="shared" si="9"/>
        <v>2.6928746928746916E-2</v>
      </c>
      <c r="K11" s="58">
        <f t="shared" si="9"/>
        <v>2.4787060962771612E-2</v>
      </c>
      <c r="L11" s="67">
        <f t="shared" ref="L11:U11" si="10">K11</f>
        <v>2.4787060962771612E-2</v>
      </c>
      <c r="M11" s="67">
        <f t="shared" si="10"/>
        <v>2.4787060962771612E-2</v>
      </c>
      <c r="N11" s="67">
        <f>M11/2</f>
        <v>1.2393530481385806E-2</v>
      </c>
      <c r="O11" s="67">
        <f t="shared" ref="O11:P11" si="11">N11/2</f>
        <v>6.196765240692903E-3</v>
      </c>
      <c r="P11" s="67">
        <f t="shared" si="11"/>
        <v>3.0983826203464515E-3</v>
      </c>
      <c r="Q11" s="67">
        <v>0</v>
      </c>
      <c r="R11" s="67">
        <f t="shared" si="10"/>
        <v>0</v>
      </c>
      <c r="S11" s="67">
        <v>-0.01</v>
      </c>
      <c r="T11" s="67">
        <f t="shared" si="10"/>
        <v>-0.01</v>
      </c>
      <c r="U11" s="67">
        <f t="shared" si="10"/>
        <v>-0.01</v>
      </c>
      <c r="V11" s="68"/>
    </row>
    <row r="12" spans="2:22" s="1" customFormat="1" ht="7.5" customHeight="1" x14ac:dyDescent="0.25">
      <c r="B12" s="10"/>
      <c r="C12" s="42"/>
      <c r="D12" s="42"/>
      <c r="E12" s="42"/>
      <c r="F12" s="42"/>
      <c r="G12" s="42"/>
      <c r="H12" s="42"/>
      <c r="I12" s="42"/>
      <c r="J12" s="42"/>
      <c r="K12" s="58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25"/>
    </row>
    <row r="13" spans="2:22" x14ac:dyDescent="0.25">
      <c r="B13" s="49" t="s">
        <v>23</v>
      </c>
      <c r="C13" s="53"/>
      <c r="D13" s="53">
        <f t="shared" ref="D13:K13" si="12">IFERROR(D7/D10,0)</f>
        <v>0.93170731707317078</v>
      </c>
      <c r="E13" s="53">
        <f t="shared" si="12"/>
        <v>0.9234</v>
      </c>
      <c r="F13" s="53">
        <f t="shared" si="12"/>
        <v>2.1961232604373757</v>
      </c>
      <c r="G13" s="53">
        <f t="shared" si="12"/>
        <v>2.6481335952848721</v>
      </c>
      <c r="H13" s="53">
        <f t="shared" si="12"/>
        <v>0.6872568093385214</v>
      </c>
      <c r="I13" s="53">
        <f t="shared" si="12"/>
        <v>-2.9271744471744472</v>
      </c>
      <c r="J13" s="53">
        <f t="shared" si="12"/>
        <v>0.30711072829935882</v>
      </c>
      <c r="K13" s="59">
        <f t="shared" si="12"/>
        <v>4.5143817706387743</v>
      </c>
      <c r="L13" s="53">
        <f t="shared" ref="L13:U13" si="13">L7/L10</f>
        <v>2.4004810465652282</v>
      </c>
      <c r="M13" s="53">
        <f t="shared" si="13"/>
        <v>2.5729565214676775</v>
      </c>
      <c r="N13" s="53">
        <f t="shared" si="13"/>
        <v>2.791585190736424</v>
      </c>
      <c r="O13" s="53">
        <f t="shared" si="13"/>
        <v>3.0474442435314786</v>
      </c>
      <c r="P13" s="53">
        <f t="shared" si="13"/>
        <v>3.3370294376065179</v>
      </c>
      <c r="Q13" s="53">
        <f t="shared" si="13"/>
        <v>3.6654545373065166</v>
      </c>
      <c r="R13" s="53">
        <f t="shared" si="13"/>
        <v>4.026202710005931</v>
      </c>
      <c r="S13" s="53">
        <f t="shared" si="13"/>
        <v>4.467126404897872</v>
      </c>
      <c r="T13" s="53">
        <f t="shared" si="13"/>
        <v>4.9563372126651792</v>
      </c>
      <c r="U13" s="53">
        <f t="shared" si="13"/>
        <v>5.4991232257756657</v>
      </c>
      <c r="V13" s="72">
        <f>U13*(1+WACC!$B$13)/(WACC!$B$14-WACC!$B$13)</f>
        <v>62.736524945593544</v>
      </c>
    </row>
    <row r="14" spans="2:22" ht="15.75" customHeight="1" thickBot="1" x14ac:dyDescent="0.3">
      <c r="B14" s="50" t="s">
        <v>24</v>
      </c>
      <c r="C14" s="51"/>
      <c r="D14" s="51"/>
      <c r="E14" s="51"/>
      <c r="F14" s="51"/>
      <c r="G14" s="51"/>
      <c r="H14" s="51"/>
      <c r="I14" s="51"/>
      <c r="J14" s="51"/>
      <c r="K14" s="60"/>
      <c r="L14" s="62">
        <f>L13/((1+WACC!$B$14)^(L3-$K$3))</f>
        <v>2.1637508283555844</v>
      </c>
      <c r="M14" s="62">
        <f>M13/((1+WACC!$B$14)^(M3-$K$3))</f>
        <v>2.0905009979162661</v>
      </c>
      <c r="N14" s="62">
        <f>N13/((1+WACC!$B$14)^(N3-$K$3))</f>
        <v>2.0444560711119455</v>
      </c>
      <c r="O14" s="62">
        <f>O13/((1+WACC!$B$14)^(O3-$K$3))</f>
        <v>2.011738984430528</v>
      </c>
      <c r="P14" s="62">
        <f>P13/((1+WACC!$B$14)^(P3-$K$3))</f>
        <v>1.9856599081581039</v>
      </c>
      <c r="Q14" s="62">
        <f>Q13/((1+WACC!$B$14)^(Q3-$K$3))</f>
        <v>1.9659914853456972</v>
      </c>
      <c r="R14" s="62">
        <f>R13/((1+WACC!$B$14)^(R3-$K$3))</f>
        <v>1.9465178828317411</v>
      </c>
      <c r="S14" s="62">
        <f>S13/((1+WACC!$B$14)^(S3-$K$3))</f>
        <v>1.9467042130059664</v>
      </c>
      <c r="T14" s="62">
        <f>T13/((1+WACC!$B$14)^(T3-$K$3))</f>
        <v>1.9468905610166238</v>
      </c>
      <c r="U14" s="62">
        <f>U13/((1+WACC!$B$14)^(U3-$K$3))</f>
        <v>1.9470769268654209</v>
      </c>
      <c r="V14" s="63">
        <f>V13/((1+WACC!$B$14)^(U3-$K$3))</f>
        <v>22.213148383495646</v>
      </c>
    </row>
    <row r="15" spans="2:22" ht="15.75" customHeight="1" thickTop="1" x14ac:dyDescent="0.25">
      <c r="B15" s="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</row>
    <row r="16" spans="2:22" x14ac:dyDescent="0.25">
      <c r="B16" s="3"/>
      <c r="C16" s="13"/>
      <c r="D16" s="13"/>
      <c r="E16" s="13"/>
      <c r="F16" s="13"/>
      <c r="G16" s="13"/>
      <c r="H16" s="13"/>
      <c r="I16" s="13"/>
      <c r="J16" s="13"/>
      <c r="L16" s="3"/>
      <c r="M16" s="13"/>
      <c r="N16" s="13"/>
      <c r="O16" s="13"/>
      <c r="P16" s="13"/>
      <c r="Q16" s="13"/>
      <c r="R16" s="13"/>
      <c r="S16" s="13"/>
      <c r="T16" s="13"/>
      <c r="U16" s="13"/>
      <c r="V16" s="13"/>
    </row>
    <row r="17" spans="2:22" x14ac:dyDescent="0.25">
      <c r="B17" s="9" t="s">
        <v>25</v>
      </c>
      <c r="C17" s="31">
        <f>V14</f>
        <v>22.213148383495646</v>
      </c>
      <c r="L17" s="16">
        <f>C17/$C$19</f>
        <v>0.52560028144189219</v>
      </c>
      <c r="O17" s="18"/>
    </row>
    <row r="18" spans="2:22" x14ac:dyDescent="0.25">
      <c r="B18" s="8" t="s">
        <v>26</v>
      </c>
      <c r="C18" s="32">
        <f>SUM(14:14)-V14</f>
        <v>20.049287859037879</v>
      </c>
      <c r="K18" s="3"/>
      <c r="L18" s="16">
        <f>C18/$C$19</f>
        <v>0.47439971855810781</v>
      </c>
      <c r="O18" s="24"/>
      <c r="P18" s="24"/>
      <c r="Q18" s="24"/>
      <c r="R18" s="24"/>
      <c r="S18" s="24"/>
      <c r="T18" s="24"/>
      <c r="U18" s="24">
        <f>U13*20</f>
        <v>109.98246451551331</v>
      </c>
      <c r="V18" s="24"/>
    </row>
    <row r="19" spans="2:22" x14ac:dyDescent="0.25">
      <c r="B19" s="5" t="s">
        <v>27</v>
      </c>
      <c r="C19" s="33">
        <f>C17+C18</f>
        <v>42.262436242533525</v>
      </c>
      <c r="G19" s="15"/>
      <c r="H19" s="15"/>
      <c r="J19" s="3"/>
      <c r="K19" s="3"/>
      <c r="L19" s="23"/>
      <c r="M19" s="15"/>
      <c r="N19" s="15"/>
      <c r="O19" s="3"/>
      <c r="P19" s="3"/>
      <c r="Q19" s="3"/>
      <c r="R19" s="3"/>
      <c r="S19" s="3"/>
    </row>
    <row r="20" spans="2:22" x14ac:dyDescent="0.25">
      <c r="B20" s="6" t="s">
        <v>28</v>
      </c>
      <c r="C20" s="71">
        <f>Python!C3/1000000/K10</f>
        <v>4.5143817706387743</v>
      </c>
      <c r="G20" s="14"/>
      <c r="H20" s="14"/>
      <c r="N20" s="14"/>
    </row>
    <row r="21" spans="2:22" x14ac:dyDescent="0.25">
      <c r="B21" s="7" t="s">
        <v>29</v>
      </c>
      <c r="C21" s="32">
        <f>WACC!B3/1000000/K10</f>
        <v>5.1259805752708258</v>
      </c>
      <c r="F21" s="14"/>
      <c r="G21" s="14"/>
      <c r="H21" s="14"/>
    </row>
    <row r="22" spans="2:22" ht="15.75" customHeight="1" thickBot="1" x14ac:dyDescent="0.3">
      <c r="B22" s="34" t="s">
        <v>30</v>
      </c>
      <c r="C22" s="61">
        <f>C19+C20-C21</f>
        <v>41.65083743790148</v>
      </c>
      <c r="F22" s="15"/>
      <c r="G22" s="15"/>
      <c r="H22" s="15"/>
      <c r="J22" s="3"/>
      <c r="K22" s="3"/>
      <c r="L22" s="3"/>
      <c r="M22" s="3"/>
      <c r="N22" s="3"/>
      <c r="O22" s="3"/>
    </row>
    <row r="23" spans="2:22" ht="15.75" customHeight="1" thickTop="1" x14ac:dyDescent="0.25"/>
  </sheetData>
  <pageMargins left="0.7" right="0.7" top="0.75" bottom="0.75" header="0.3" footer="0.3"/>
  <pageSetup scale="54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16"/>
  <sheetViews>
    <sheetView workbookViewId="0">
      <selection activeCell="B12" sqref="B12"/>
    </sheetView>
  </sheetViews>
  <sheetFormatPr defaultRowHeight="15" x14ac:dyDescent="0.25"/>
  <cols>
    <col min="1" max="1" width="15.85546875" bestFit="1" customWidth="1"/>
    <col min="2" max="2" width="12" bestFit="1" customWidth="1"/>
    <col min="3" max="3" width="19.5703125" bestFit="1" customWidth="1"/>
    <col min="4" max="4" width="26.28515625" bestFit="1" customWidth="1"/>
    <col min="5" max="5" width="19.85546875" bestFit="1" customWidth="1"/>
    <col min="6" max="6" width="27" bestFit="1" customWidth="1"/>
    <col min="7" max="7" width="9.28515625" customWidth="1"/>
  </cols>
  <sheetData>
    <row r="1" spans="1:6" x14ac:dyDescent="0.25">
      <c r="A1" s="73" t="s">
        <v>31</v>
      </c>
      <c r="B1" s="73" t="s">
        <v>17</v>
      </c>
      <c r="C1" s="73" t="s">
        <v>19</v>
      </c>
      <c r="D1" s="73" t="s">
        <v>21</v>
      </c>
      <c r="E1" s="73" t="s">
        <v>28</v>
      </c>
      <c r="F1" s="73" t="s">
        <v>32</v>
      </c>
    </row>
    <row r="2" spans="1:6" x14ac:dyDescent="0.25">
      <c r="A2" s="73" t="s">
        <v>33</v>
      </c>
      <c r="F2">
        <v>9.8418400508795578E-2</v>
      </c>
    </row>
    <row r="3" spans="1:6" x14ac:dyDescent="0.25">
      <c r="A3" s="73" t="s">
        <v>34</v>
      </c>
      <c r="B3">
        <v>604334000000</v>
      </c>
      <c r="C3">
        <v>48340000000</v>
      </c>
      <c r="D3">
        <v>10708000000</v>
      </c>
      <c r="E3">
        <v>89587000000</v>
      </c>
      <c r="F3">
        <v>0.106280907875252</v>
      </c>
    </row>
    <row r="4" spans="1:6" x14ac:dyDescent="0.25">
      <c r="A4" s="73" t="s">
        <v>35</v>
      </c>
      <c r="B4">
        <v>590740000000</v>
      </c>
      <c r="C4">
        <v>45700000000</v>
      </c>
      <c r="D4">
        <v>10670000000</v>
      </c>
      <c r="E4">
        <v>85074000000</v>
      </c>
      <c r="F4">
        <v>0.1201036528525887</v>
      </c>
    </row>
    <row r="5" spans="1:6" x14ac:dyDescent="0.25">
      <c r="A5" s="73" t="s">
        <v>36</v>
      </c>
      <c r="B5">
        <v>574785000000</v>
      </c>
      <c r="C5">
        <v>32217000000</v>
      </c>
      <c r="D5">
        <v>10610000000</v>
      </c>
      <c r="E5">
        <v>86780000000</v>
      </c>
      <c r="F5">
        <v>0.1137234926677568</v>
      </c>
    </row>
    <row r="6" spans="1:6" x14ac:dyDescent="0.25">
      <c r="A6" s="73" t="s">
        <v>37</v>
      </c>
      <c r="B6">
        <v>554028000000</v>
      </c>
      <c r="C6">
        <v>16921000000</v>
      </c>
      <c r="D6">
        <v>10558000000</v>
      </c>
      <c r="E6">
        <v>64169000000</v>
      </c>
      <c r="F6">
        <v>4.9503937813235137E-2</v>
      </c>
    </row>
    <row r="7" spans="1:6" x14ac:dyDescent="0.25">
      <c r="A7" s="73" t="s">
        <v>38</v>
      </c>
      <c r="B7">
        <v>538046000000</v>
      </c>
      <c r="C7">
        <v>3209000000</v>
      </c>
      <c r="D7">
        <v>10449000000</v>
      </c>
      <c r="E7">
        <v>63970000000</v>
      </c>
      <c r="F7">
        <v>-1.37007770097497E-2</v>
      </c>
    </row>
    <row r="8" spans="1:6" x14ac:dyDescent="0.25">
      <c r="A8" s="73" t="s">
        <v>39</v>
      </c>
      <c r="B8">
        <v>524897000000</v>
      </c>
      <c r="C8">
        <v>-8571000000</v>
      </c>
      <c r="D8">
        <v>10347000000</v>
      </c>
      <c r="E8">
        <v>64405000000</v>
      </c>
      <c r="F8">
        <v>6.962144893682809E-2</v>
      </c>
    </row>
    <row r="9" spans="1:6" x14ac:dyDescent="0.25">
      <c r="A9" s="73" t="s">
        <v>40</v>
      </c>
      <c r="B9">
        <v>513983000000</v>
      </c>
      <c r="C9">
        <v>-16893000000</v>
      </c>
      <c r="D9">
        <v>10308000000</v>
      </c>
      <c r="E9">
        <v>70026000000</v>
      </c>
      <c r="F9">
        <v>0.12908625156463779</v>
      </c>
    </row>
    <row r="10" spans="1:6" x14ac:dyDescent="0.25">
      <c r="A10" s="73" t="s">
        <v>41</v>
      </c>
      <c r="B10">
        <v>502191000000</v>
      </c>
      <c r="C10">
        <v>-26323000000</v>
      </c>
      <c r="D10">
        <v>10331000000</v>
      </c>
      <c r="E10">
        <v>58662000000</v>
      </c>
    </row>
    <row r="11" spans="1:6" x14ac:dyDescent="0.25">
      <c r="A11" s="73" t="s">
        <v>42</v>
      </c>
      <c r="B11">
        <v>485902000000</v>
      </c>
      <c r="C11">
        <v>-29784000000</v>
      </c>
      <c r="D11">
        <v>10175000000</v>
      </c>
      <c r="E11">
        <v>60710000000</v>
      </c>
      <c r="F11">
        <v>2.3082197180226389</v>
      </c>
    </row>
    <row r="12" spans="1:6" x14ac:dyDescent="0.25">
      <c r="A12" s="73" t="s">
        <v>43</v>
      </c>
      <c r="B12">
        <v>477748000000</v>
      </c>
      <c r="C12">
        <v>-24598000000</v>
      </c>
      <c r="D12">
        <v>10180000000</v>
      </c>
      <c r="E12">
        <v>66385000000</v>
      </c>
      <c r="F12">
        <v>1.8047893450211021</v>
      </c>
    </row>
    <row r="13" spans="1:6" x14ac:dyDescent="0.25">
      <c r="A13" s="73" t="s">
        <v>44</v>
      </c>
      <c r="B13">
        <v>469822000000</v>
      </c>
      <c r="C13">
        <v>-14726000000</v>
      </c>
      <c r="D13">
        <v>10320000000</v>
      </c>
      <c r="E13">
        <v>96049000000</v>
      </c>
      <c r="F13">
        <v>-7.3481741069650774E-2</v>
      </c>
    </row>
    <row r="14" spans="1:6" x14ac:dyDescent="0.25">
      <c r="A14" s="73" t="s">
        <v>45</v>
      </c>
      <c r="B14">
        <v>457965000000</v>
      </c>
      <c r="C14">
        <v>-2271000000</v>
      </c>
      <c r="D14">
        <v>10300000000</v>
      </c>
      <c r="E14">
        <v>78988000000</v>
      </c>
      <c r="F14">
        <v>0.43152530032762998</v>
      </c>
    </row>
    <row r="15" spans="1:6" x14ac:dyDescent="0.25">
      <c r="A15" s="73" t="s">
        <v>46</v>
      </c>
      <c r="B15">
        <v>443298000000</v>
      </c>
      <c r="C15">
        <v>7065000000</v>
      </c>
      <c r="D15">
        <v>10280000000</v>
      </c>
      <c r="E15">
        <v>89894000000</v>
      </c>
      <c r="F15">
        <v>0.25605092675904267</v>
      </c>
    </row>
    <row r="16" spans="1:6" x14ac:dyDescent="0.25">
      <c r="A16" s="73" t="s">
        <v>47</v>
      </c>
      <c r="B16">
        <v>419130000000</v>
      </c>
      <c r="C16">
        <v>21785000000</v>
      </c>
      <c r="D16">
        <v>10260000000</v>
      </c>
      <c r="E16">
        <v>73270000000</v>
      </c>
      <c r="F16">
        <v>0.22759115753061551</v>
      </c>
    </row>
    <row r="17" spans="1:6" x14ac:dyDescent="0.25">
      <c r="A17" s="73" t="s">
        <v>48</v>
      </c>
      <c r="B17">
        <v>386064000000</v>
      </c>
      <c r="C17">
        <v>25923000000</v>
      </c>
      <c r="D17">
        <v>10260000000</v>
      </c>
      <c r="E17">
        <v>84396000000</v>
      </c>
      <c r="F17">
        <v>0.38114303051374709</v>
      </c>
    </row>
    <row r="18" spans="1:6" x14ac:dyDescent="0.25">
      <c r="A18" s="73" t="s">
        <v>49</v>
      </c>
      <c r="B18">
        <v>347945000000</v>
      </c>
      <c r="C18">
        <v>24664000000</v>
      </c>
      <c r="D18">
        <v>10240000000</v>
      </c>
      <c r="E18">
        <v>68402000000</v>
      </c>
      <c r="F18">
        <v>0.12426745586659239</v>
      </c>
    </row>
    <row r="19" spans="1:6" x14ac:dyDescent="0.25">
      <c r="A19" s="73" t="s">
        <v>50</v>
      </c>
      <c r="B19">
        <v>321781000000</v>
      </c>
      <c r="C19">
        <v>26958000000</v>
      </c>
      <c r="D19">
        <v>10180000000</v>
      </c>
      <c r="E19">
        <v>71391000000</v>
      </c>
      <c r="F19">
        <v>-0.80122610254873505</v>
      </c>
    </row>
    <row r="20" spans="1:6" x14ac:dyDescent="0.25">
      <c r="A20" s="73" t="s">
        <v>51</v>
      </c>
      <c r="B20">
        <v>296273000000</v>
      </c>
      <c r="C20">
        <v>19367000000</v>
      </c>
      <c r="D20">
        <v>10120000000</v>
      </c>
      <c r="E20">
        <v>49292000000</v>
      </c>
      <c r="F20">
        <v>0.57666242053601335</v>
      </c>
    </row>
    <row r="21" spans="1:6" x14ac:dyDescent="0.25">
      <c r="A21" s="73" t="s">
        <v>52</v>
      </c>
      <c r="B21">
        <v>280521000000</v>
      </c>
      <c r="C21">
        <v>21654000000</v>
      </c>
      <c r="D21">
        <v>10100000000</v>
      </c>
      <c r="E21">
        <v>55021000000</v>
      </c>
      <c r="F21">
        <v>-0.24759015781329871</v>
      </c>
    </row>
    <row r="22" spans="1:6" x14ac:dyDescent="0.25">
      <c r="A22" s="73" t="s">
        <v>53</v>
      </c>
      <c r="B22">
        <v>265468000000</v>
      </c>
      <c r="C22">
        <v>20052000000</v>
      </c>
      <c r="D22">
        <v>10080000000</v>
      </c>
      <c r="E22">
        <v>43401000000</v>
      </c>
      <c r="F22">
        <v>0.35098184629524898</v>
      </c>
    </row>
    <row r="23" spans="1:6" x14ac:dyDescent="0.25">
      <c r="A23" s="73" t="s">
        <v>54</v>
      </c>
      <c r="B23">
        <v>252063000000</v>
      </c>
      <c r="C23">
        <v>22093000000</v>
      </c>
      <c r="D23">
        <v>10060000000</v>
      </c>
      <c r="E23">
        <v>41463000000</v>
      </c>
      <c r="F23">
        <v>0.27926532641909008</v>
      </c>
    </row>
    <row r="24" spans="1:6" x14ac:dyDescent="0.25">
      <c r="A24" s="73" t="s">
        <v>55</v>
      </c>
      <c r="B24">
        <v>241545000000</v>
      </c>
      <c r="C24">
        <v>20743000000</v>
      </c>
      <c r="D24">
        <v>10040000000</v>
      </c>
      <c r="E24">
        <v>37020000000</v>
      </c>
      <c r="F24">
        <v>-0.22134977865287411</v>
      </c>
    </row>
    <row r="25" spans="1:6" x14ac:dyDescent="0.25">
      <c r="A25" s="73" t="s">
        <v>56</v>
      </c>
      <c r="B25">
        <v>232887000000</v>
      </c>
      <c r="C25">
        <v>17298000000</v>
      </c>
      <c r="D25">
        <v>10020000000</v>
      </c>
      <c r="E25">
        <v>41250000000</v>
      </c>
      <c r="F25">
        <v>0.12597855285924611</v>
      </c>
    </row>
    <row r="26" spans="1:6" x14ac:dyDescent="0.25">
      <c r="A26" s="73" t="s">
        <v>57</v>
      </c>
      <c r="B26">
        <v>220957000000</v>
      </c>
      <c r="C26">
        <v>13278000000</v>
      </c>
      <c r="D26">
        <v>10020000000</v>
      </c>
      <c r="E26">
        <v>29765000000</v>
      </c>
      <c r="F26">
        <v>0.21567556922092179</v>
      </c>
    </row>
    <row r="27" spans="1:6" x14ac:dyDescent="0.25">
      <c r="A27" s="73" t="s">
        <v>58</v>
      </c>
      <c r="B27">
        <v>208125000000</v>
      </c>
      <c r="C27">
        <v>9234000000</v>
      </c>
      <c r="D27">
        <v>10000000000</v>
      </c>
      <c r="E27">
        <v>27050000000</v>
      </c>
      <c r="F27">
        <v>0.1744027530496641</v>
      </c>
    </row>
    <row r="28" spans="1:6" x14ac:dyDescent="0.25">
      <c r="A28" s="73" t="s">
        <v>59</v>
      </c>
      <c r="B28">
        <v>193194000000</v>
      </c>
      <c r="C28">
        <v>6356000000</v>
      </c>
      <c r="D28">
        <v>9960000000</v>
      </c>
      <c r="E28">
        <v>24963000000</v>
      </c>
      <c r="F28">
        <v>-0.44930392470739772</v>
      </c>
    </row>
    <row r="29" spans="1:6" x14ac:dyDescent="0.25">
      <c r="A29" s="73" t="s">
        <v>60</v>
      </c>
      <c r="B29">
        <v>177866000000</v>
      </c>
      <c r="C29">
        <v>7794000000</v>
      </c>
      <c r="D29">
        <v>9920000000</v>
      </c>
      <c r="E29">
        <v>30986000000</v>
      </c>
      <c r="F29">
        <v>0.17731647653231519</v>
      </c>
    </row>
    <row r="30" spans="1:6" x14ac:dyDescent="0.25">
      <c r="A30" s="73" t="s">
        <v>61</v>
      </c>
      <c r="B30">
        <v>161154000000</v>
      </c>
      <c r="C30">
        <v>7715000000</v>
      </c>
      <c r="D30">
        <v>9880000000</v>
      </c>
      <c r="E30">
        <v>24310000000</v>
      </c>
      <c r="F30">
        <v>-0.92285589328727757</v>
      </c>
    </row>
    <row r="31" spans="1:6" x14ac:dyDescent="0.25">
      <c r="A31" s="73" t="s">
        <v>62</v>
      </c>
      <c r="B31">
        <v>150124000000</v>
      </c>
      <c r="C31">
        <v>9168000000</v>
      </c>
      <c r="D31">
        <v>9840000000</v>
      </c>
      <c r="E31">
        <v>21451000000</v>
      </c>
      <c r="F31">
        <v>3.4316619523746881</v>
      </c>
    </row>
    <row r="32" spans="1:6" x14ac:dyDescent="0.25">
      <c r="A32" s="73" t="s">
        <v>63</v>
      </c>
      <c r="B32">
        <v>142573000000</v>
      </c>
      <c r="C32">
        <v>9594000000</v>
      </c>
      <c r="D32">
        <v>9800000000</v>
      </c>
      <c r="E32">
        <v>21531000000</v>
      </c>
      <c r="F32">
        <v>-9.6989893641856617E-2</v>
      </c>
    </row>
    <row r="33" spans="1:6" x14ac:dyDescent="0.25">
      <c r="A33" s="73" t="s">
        <v>64</v>
      </c>
      <c r="B33">
        <v>135987000000</v>
      </c>
      <c r="C33">
        <v>9706000000</v>
      </c>
      <c r="D33">
        <v>9720000000</v>
      </c>
      <c r="E33">
        <v>25981000000</v>
      </c>
      <c r="F33">
        <v>7.2660170531792856E-2</v>
      </c>
    </row>
    <row r="34" spans="1:6" x14ac:dyDescent="0.25">
      <c r="A34" s="73" t="s">
        <v>65</v>
      </c>
      <c r="B34">
        <v>127993000000</v>
      </c>
      <c r="C34">
        <v>8563000000</v>
      </c>
      <c r="D34">
        <v>9700000000</v>
      </c>
      <c r="E34">
        <v>18347000000</v>
      </c>
      <c r="F34">
        <v>0.93512895338749114</v>
      </c>
    </row>
    <row r="35" spans="1:6" x14ac:dyDescent="0.25">
      <c r="A35" s="73" t="s">
        <v>66</v>
      </c>
      <c r="B35">
        <v>120637000000</v>
      </c>
      <c r="C35">
        <v>7333000000</v>
      </c>
      <c r="D35">
        <v>9660000000</v>
      </c>
      <c r="E35">
        <v>16540000000</v>
      </c>
      <c r="F35">
        <v>-0.18223861324131979</v>
      </c>
    </row>
    <row r="36" spans="1:6" x14ac:dyDescent="0.25">
      <c r="A36" s="73" t="s">
        <v>67</v>
      </c>
      <c r="B36">
        <v>113418000000</v>
      </c>
      <c r="C36">
        <v>6363000000</v>
      </c>
      <c r="D36">
        <v>9620000000</v>
      </c>
      <c r="E36">
        <v>15859000000</v>
      </c>
      <c r="F36">
        <v>0.10798001021261611</v>
      </c>
    </row>
    <row r="37" spans="1:6" x14ac:dyDescent="0.25">
      <c r="A37" s="73" t="s">
        <v>68</v>
      </c>
      <c r="B37">
        <v>107007000000</v>
      </c>
      <c r="C37">
        <v>7332000000</v>
      </c>
      <c r="D37">
        <v>9620000000</v>
      </c>
      <c r="E37">
        <v>19808000000</v>
      </c>
      <c r="F37">
        <v>0.90137133894779908</v>
      </c>
    </row>
    <row r="38" spans="1:6" x14ac:dyDescent="0.25">
      <c r="A38" s="73" t="s">
        <v>69</v>
      </c>
      <c r="B38">
        <v>100589000000</v>
      </c>
      <c r="C38">
        <v>5400000000</v>
      </c>
      <c r="D38">
        <v>9560000000</v>
      </c>
      <c r="E38">
        <v>14428000000</v>
      </c>
      <c r="F38">
        <v>1.477519913504066E-2</v>
      </c>
    </row>
    <row r="39" spans="1:6" x14ac:dyDescent="0.25">
      <c r="A39" s="73" t="s">
        <v>70</v>
      </c>
      <c r="B39">
        <v>95810000000</v>
      </c>
      <c r="C39">
        <v>4373000000</v>
      </c>
      <c r="D39">
        <v>9520000000</v>
      </c>
      <c r="E39">
        <v>14001000000</v>
      </c>
      <c r="F39">
        <v>-0.11666575956566699</v>
      </c>
    </row>
    <row r="40" spans="1:6" x14ac:dyDescent="0.25">
      <c r="A40" s="73" t="s">
        <v>71</v>
      </c>
      <c r="B40">
        <v>91965000000</v>
      </c>
      <c r="C40">
        <v>3161000000</v>
      </c>
      <c r="D40">
        <v>9300000000</v>
      </c>
      <c r="E40">
        <v>13781000000</v>
      </c>
      <c r="F40">
        <v>0.15075224152778491</v>
      </c>
    </row>
    <row r="41" spans="1:6" x14ac:dyDescent="0.25">
      <c r="A41" s="73" t="s">
        <v>72</v>
      </c>
      <c r="B41">
        <v>88989000000</v>
      </c>
      <c r="C41">
        <v>1949000000</v>
      </c>
      <c r="D41">
        <v>9440000000</v>
      </c>
      <c r="E41">
        <v>17416000000</v>
      </c>
      <c r="F41">
        <v>-0.56697368022824091</v>
      </c>
    </row>
    <row r="42" spans="1:6" x14ac:dyDescent="0.25">
      <c r="A42" s="73" t="s">
        <v>73</v>
      </c>
      <c r="B42">
        <v>85247000000</v>
      </c>
      <c r="C42">
        <v>1076000000</v>
      </c>
      <c r="D42">
        <v>9260000000</v>
      </c>
      <c r="E42">
        <v>6883000000</v>
      </c>
      <c r="F42">
        <v>-7.4810622396442761E-2</v>
      </c>
    </row>
    <row r="43" spans="1:6" x14ac:dyDescent="0.25">
      <c r="A43" s="73" t="s">
        <v>74</v>
      </c>
      <c r="B43">
        <v>81760000000</v>
      </c>
      <c r="C43">
        <v>1038000000</v>
      </c>
      <c r="D43">
        <v>9220000000</v>
      </c>
      <c r="E43">
        <v>7986000000</v>
      </c>
      <c r="F43">
        <v>-8.5586475038206822E-2</v>
      </c>
    </row>
    <row r="44" spans="1:6" x14ac:dyDescent="0.25">
      <c r="A44" s="73" t="s">
        <v>75</v>
      </c>
      <c r="B44">
        <v>78124000000</v>
      </c>
      <c r="C44">
        <v>1491000000</v>
      </c>
      <c r="D44">
        <v>9360000000</v>
      </c>
      <c r="E44">
        <v>8666000000</v>
      </c>
      <c r="F44">
        <v>0.22843808338518981</v>
      </c>
    </row>
    <row r="45" spans="1:6" x14ac:dyDescent="0.25">
      <c r="A45" s="73" t="s">
        <v>76</v>
      </c>
      <c r="B45">
        <v>74453000000</v>
      </c>
      <c r="C45">
        <v>2031000000</v>
      </c>
      <c r="D45">
        <v>9340000000</v>
      </c>
      <c r="E45">
        <v>12447000000</v>
      </c>
      <c r="F45">
        <v>0.55692064298476573</v>
      </c>
    </row>
    <row r="46" spans="1:6" x14ac:dyDescent="0.25">
      <c r="A46" s="73" t="s">
        <v>77</v>
      </c>
      <c r="B46">
        <v>70134000000</v>
      </c>
      <c r="C46">
        <v>389000000</v>
      </c>
      <c r="D46">
        <v>9140000000</v>
      </c>
      <c r="E46">
        <v>7689000000</v>
      </c>
      <c r="F46">
        <v>0.23801245835144141</v>
      </c>
    </row>
    <row r="47" spans="1:6" x14ac:dyDescent="0.25">
      <c r="A47" s="73" t="s">
        <v>78</v>
      </c>
      <c r="B47">
        <v>66848000000</v>
      </c>
      <c r="C47">
        <v>266000000</v>
      </c>
      <c r="D47">
        <v>9120000000</v>
      </c>
      <c r="E47">
        <v>7463000000</v>
      </c>
      <c r="F47">
        <v>2.059061866916005</v>
      </c>
    </row>
    <row r="48" spans="1:6" x14ac:dyDescent="0.25">
      <c r="A48" s="73" t="s">
        <v>79</v>
      </c>
      <c r="B48">
        <v>63978000000</v>
      </c>
      <c r="C48">
        <v>178000000</v>
      </c>
      <c r="D48">
        <v>9260000000</v>
      </c>
      <c r="E48">
        <v>7895000000</v>
      </c>
      <c r="F48">
        <v>0.131207337580584</v>
      </c>
    </row>
    <row r="49" spans="1:6" x14ac:dyDescent="0.25">
      <c r="A49" s="73" t="s">
        <v>80</v>
      </c>
      <c r="B49">
        <v>61093000000</v>
      </c>
      <c r="C49">
        <v>396000000</v>
      </c>
      <c r="D49">
        <v>9220000000</v>
      </c>
      <c r="E49">
        <v>11448000000</v>
      </c>
      <c r="F49">
        <v>0.62683341936779291</v>
      </c>
    </row>
    <row r="50" spans="1:6" x14ac:dyDescent="0.25">
      <c r="A50" s="73" t="s">
        <v>81</v>
      </c>
      <c r="B50">
        <v>57256000000</v>
      </c>
      <c r="C50">
        <v>1059000000</v>
      </c>
      <c r="D50">
        <v>9200000000</v>
      </c>
      <c r="E50">
        <v>5248000000</v>
      </c>
      <c r="F50">
        <v>-0.55846938617138653</v>
      </c>
    </row>
    <row r="51" spans="1:6" x14ac:dyDescent="0.25">
      <c r="A51" s="73" t="s">
        <v>82</v>
      </c>
      <c r="B51">
        <v>54326000000</v>
      </c>
      <c r="C51">
        <v>1100000000</v>
      </c>
      <c r="D51">
        <v>9160000000</v>
      </c>
      <c r="E51">
        <v>4970000000</v>
      </c>
      <c r="F51">
        <v>-0.83816705346514675</v>
      </c>
    </row>
    <row r="52" spans="1:6" x14ac:dyDescent="0.25">
      <c r="A52" s="73" t="s">
        <v>83</v>
      </c>
      <c r="B52">
        <v>51405000000</v>
      </c>
      <c r="C52">
        <v>1153000000</v>
      </c>
      <c r="D52">
        <v>9200000000</v>
      </c>
      <c r="E52">
        <v>5715000000</v>
      </c>
      <c r="F52">
        <v>-0.66559297960840014</v>
      </c>
    </row>
    <row r="53" spans="1:6" x14ac:dyDescent="0.25">
      <c r="A53" s="73" t="s">
        <v>84</v>
      </c>
      <c r="B53">
        <v>48077000000</v>
      </c>
      <c r="C53">
        <v>2093000000</v>
      </c>
      <c r="D53">
        <v>9240000000</v>
      </c>
      <c r="E53">
        <v>9576000000</v>
      </c>
      <c r="F53">
        <v>0.1760632714142272</v>
      </c>
    </row>
    <row r="54" spans="1:6" x14ac:dyDescent="0.25">
      <c r="A54" s="73" t="s">
        <v>85</v>
      </c>
      <c r="B54">
        <v>43593000000</v>
      </c>
      <c r="C54">
        <v>1526000000</v>
      </c>
      <c r="D54">
        <v>9220000000</v>
      </c>
      <c r="E54">
        <v>6326000000</v>
      </c>
      <c r="F54">
        <v>1.466213151851852</v>
      </c>
    </row>
    <row r="55" spans="1:6" x14ac:dyDescent="0.25">
      <c r="A55" s="73" t="s">
        <v>86</v>
      </c>
      <c r="B55">
        <v>40277000000</v>
      </c>
      <c r="C55">
        <v>1798000000</v>
      </c>
      <c r="D55">
        <v>9200000000</v>
      </c>
      <c r="E55">
        <v>6355000000</v>
      </c>
      <c r="F55">
        <v>0.28880857036247343</v>
      </c>
    </row>
    <row r="56" spans="1:6" x14ac:dyDescent="0.25">
      <c r="A56" s="73" t="s">
        <v>87</v>
      </c>
      <c r="B56">
        <v>36930000000</v>
      </c>
      <c r="C56">
        <v>1862000000</v>
      </c>
      <c r="D56">
        <v>9180000000</v>
      </c>
      <c r="E56">
        <v>6881000000</v>
      </c>
      <c r="F56">
        <v>0.91633520726405826</v>
      </c>
    </row>
    <row r="57" spans="1:6" x14ac:dyDescent="0.25">
      <c r="A57" s="73" t="s">
        <v>88</v>
      </c>
      <c r="B57">
        <v>34204000000</v>
      </c>
      <c r="C57">
        <v>2508000000</v>
      </c>
      <c r="D57">
        <v>9160000000</v>
      </c>
      <c r="E57">
        <v>8762000000</v>
      </c>
      <c r="F57">
        <v>0.31514451932773108</v>
      </c>
    </row>
    <row r="58" spans="1:6" x14ac:dyDescent="0.25">
      <c r="A58" s="73" t="s">
        <v>89</v>
      </c>
      <c r="B58">
        <v>30777000000</v>
      </c>
      <c r="C58">
        <v>1829000000</v>
      </c>
      <c r="D58">
        <v>9120000000</v>
      </c>
      <c r="E58">
        <v>5885000000</v>
      </c>
      <c r="F58">
        <v>0.30579814956872831</v>
      </c>
    </row>
    <row r="59" spans="1:6" x14ac:dyDescent="0.25">
      <c r="A59" s="73" t="s">
        <v>90</v>
      </c>
      <c r="B59">
        <v>28666000000</v>
      </c>
      <c r="C59">
        <v>1985000000</v>
      </c>
      <c r="D59">
        <v>9100000000</v>
      </c>
      <c r="E59">
        <v>5108000000</v>
      </c>
      <c r="F59">
        <v>0.69408729305525685</v>
      </c>
    </row>
    <row r="60" spans="1:6" x14ac:dyDescent="0.25">
      <c r="A60" s="73" t="s">
        <v>91</v>
      </c>
      <c r="B60">
        <v>26751000000</v>
      </c>
      <c r="C60">
        <v>2321000000</v>
      </c>
      <c r="D60">
        <v>9080000000</v>
      </c>
      <c r="E60">
        <v>5063000000</v>
      </c>
      <c r="F60">
        <v>0.34808196502352229</v>
      </c>
    </row>
    <row r="61" spans="1:6" x14ac:dyDescent="0.25">
      <c r="A61" s="73" t="s">
        <v>92</v>
      </c>
      <c r="B61">
        <v>24509000000</v>
      </c>
      <c r="C61">
        <v>2919000000</v>
      </c>
      <c r="D61">
        <v>9000000000</v>
      </c>
      <c r="E61">
        <v>6366000000</v>
      </c>
      <c r="F61">
        <v>0.20286396181384261</v>
      </c>
    </row>
    <row r="62" spans="1:6" x14ac:dyDescent="0.25">
      <c r="A62" s="73" t="s">
        <v>93</v>
      </c>
      <c r="B62">
        <v>21693000000</v>
      </c>
      <c r="C62">
        <v>1915000000</v>
      </c>
      <c r="D62">
        <v>8820000000</v>
      </c>
      <c r="E62">
        <v>4001000000</v>
      </c>
      <c r="F62">
        <v>-6.286741721388367E-2</v>
      </c>
    </row>
    <row r="63" spans="1:6" x14ac:dyDescent="0.25">
      <c r="A63" s="73" t="s">
        <v>94</v>
      </c>
      <c r="B63">
        <v>20508000000</v>
      </c>
      <c r="C63">
        <v>1541000000</v>
      </c>
      <c r="D63">
        <v>8800000000</v>
      </c>
      <c r="E63">
        <v>3212000000</v>
      </c>
      <c r="F63">
        <v>0.10894812946098929</v>
      </c>
    </row>
    <row r="64" spans="1:6" x14ac:dyDescent="0.25">
      <c r="A64" s="73" t="s">
        <v>95</v>
      </c>
      <c r="B64">
        <v>19920000000</v>
      </c>
      <c r="C64">
        <v>1429000000</v>
      </c>
      <c r="D64">
        <v>8740000000</v>
      </c>
      <c r="E64">
        <v>2730000000</v>
      </c>
      <c r="F64">
        <v>-0.1060312031438936</v>
      </c>
    </row>
    <row r="65" spans="1:6" x14ac:dyDescent="0.25">
      <c r="A65" s="73" t="s">
        <v>96</v>
      </c>
      <c r="B65">
        <v>19166000000</v>
      </c>
      <c r="C65">
        <v>1363000000</v>
      </c>
      <c r="D65">
        <v>8700000000</v>
      </c>
      <c r="E65">
        <v>3727000000</v>
      </c>
      <c r="F65">
        <v>-0.1136724259520452</v>
      </c>
    </row>
    <row r="66" spans="1:6" x14ac:dyDescent="0.25">
      <c r="A66" s="73" t="s">
        <v>97</v>
      </c>
      <c r="B66">
        <v>18134000000</v>
      </c>
      <c r="C66">
        <v>969000000</v>
      </c>
      <c r="D66">
        <v>8720000000</v>
      </c>
      <c r="E66">
        <v>2324000000</v>
      </c>
      <c r="F66">
        <v>0.21034584549356231</v>
      </c>
    </row>
    <row r="67" spans="1:6" x14ac:dyDescent="0.25">
      <c r="A67" s="73" t="s">
        <v>98</v>
      </c>
      <c r="B67">
        <v>17132000000</v>
      </c>
      <c r="C67">
        <v>815000000</v>
      </c>
      <c r="D67">
        <v>8600000000</v>
      </c>
      <c r="E67">
        <v>2380000000</v>
      </c>
      <c r="F67">
        <v>-1.071341614691612E-2</v>
      </c>
    </row>
    <row r="68" spans="1:6" x14ac:dyDescent="0.25">
      <c r="A68" s="73" t="s">
        <v>99</v>
      </c>
      <c r="B68">
        <v>15955000000</v>
      </c>
      <c r="C68">
        <v>789000000</v>
      </c>
      <c r="D68">
        <v>8520000000</v>
      </c>
      <c r="E68">
        <v>2151000000</v>
      </c>
      <c r="F68">
        <v>0.29080089718076302</v>
      </c>
    </row>
    <row r="69" spans="1:6" x14ac:dyDescent="0.25">
      <c r="A69" s="73" t="s">
        <v>100</v>
      </c>
      <c r="B69">
        <v>14835000000</v>
      </c>
      <c r="C69">
        <v>1182000000</v>
      </c>
      <c r="D69">
        <v>8540000000</v>
      </c>
      <c r="E69">
        <v>3112000000</v>
      </c>
      <c r="F69">
        <v>0.42298043151028608</v>
      </c>
    </row>
    <row r="70" spans="1:6" x14ac:dyDescent="0.25">
      <c r="A70" s="73" t="s">
        <v>101</v>
      </c>
      <c r="B70">
        <v>13149000000</v>
      </c>
      <c r="C70">
        <v>801000000</v>
      </c>
      <c r="D70">
        <v>8500000000</v>
      </c>
      <c r="E70">
        <v>1909000000</v>
      </c>
      <c r="F70">
        <v>0.33953870351105331</v>
      </c>
    </row>
    <row r="71" spans="1:6" x14ac:dyDescent="0.25">
      <c r="A71" s="73" t="s">
        <v>102</v>
      </c>
      <c r="B71">
        <v>12194000000</v>
      </c>
      <c r="C71">
        <v>701000000</v>
      </c>
      <c r="D71">
        <v>8460000000</v>
      </c>
      <c r="E71">
        <v>1665000000</v>
      </c>
      <c r="F71">
        <v>0.1361925147265077</v>
      </c>
    </row>
    <row r="72" spans="1:6" x14ac:dyDescent="0.25">
      <c r="A72" s="73" t="s">
        <v>103</v>
      </c>
      <c r="B72">
        <v>11447000000</v>
      </c>
      <c r="C72">
        <v>521000000</v>
      </c>
      <c r="D72">
        <v>8400000000</v>
      </c>
      <c r="E72">
        <v>1420000000</v>
      </c>
      <c r="F72">
        <v>0.30971917507678798</v>
      </c>
    </row>
    <row r="73" spans="1:6" x14ac:dyDescent="0.25">
      <c r="A73" s="73" t="s">
        <v>104</v>
      </c>
      <c r="B73">
        <v>10711000000</v>
      </c>
      <c r="C73">
        <v>485000000</v>
      </c>
      <c r="D73">
        <v>8420000000</v>
      </c>
      <c r="E73">
        <v>2019000000</v>
      </c>
      <c r="F73">
        <v>0.2225029573396036</v>
      </c>
    </row>
    <row r="74" spans="1:6" x14ac:dyDescent="0.25">
      <c r="A74" s="73" t="s">
        <v>105</v>
      </c>
      <c r="B74">
        <v>9702000000</v>
      </c>
      <c r="C74">
        <v>366000000</v>
      </c>
      <c r="D74">
        <v>8480000000</v>
      </c>
      <c r="E74">
        <v>1219000000</v>
      </c>
      <c r="F74">
        <v>2.4367599569429469E-2</v>
      </c>
    </row>
    <row r="75" spans="1:6" x14ac:dyDescent="0.25">
      <c r="A75" s="73" t="s">
        <v>106</v>
      </c>
      <c r="B75">
        <v>9253000000</v>
      </c>
      <c r="C75">
        <v>375000000</v>
      </c>
      <c r="D75">
        <v>8520000000</v>
      </c>
      <c r="E75">
        <v>1419000000</v>
      </c>
      <c r="F75">
        <v>0.46423274386765551</v>
      </c>
    </row>
    <row r="76" spans="1:6" x14ac:dyDescent="0.25">
      <c r="A76" s="73" t="s">
        <v>107</v>
      </c>
      <c r="B76">
        <v>8867000000</v>
      </c>
      <c r="C76">
        <v>501000000</v>
      </c>
      <c r="D76">
        <v>8520000000</v>
      </c>
      <c r="E76">
        <v>1334000000</v>
      </c>
      <c r="F76">
        <v>0.1982124079915879</v>
      </c>
    </row>
    <row r="77" spans="1:6" x14ac:dyDescent="0.25">
      <c r="A77" s="73" t="s">
        <v>108</v>
      </c>
      <c r="B77">
        <v>8490000000</v>
      </c>
      <c r="C77">
        <v>530000000</v>
      </c>
      <c r="D77">
        <v>8520000000</v>
      </c>
      <c r="E77">
        <v>2000000000</v>
      </c>
      <c r="F77">
        <v>3.5615039833385653E-2</v>
      </c>
    </row>
    <row r="78" spans="1:6" x14ac:dyDescent="0.25">
      <c r="A78" s="73" t="s">
        <v>109</v>
      </c>
      <c r="B78">
        <v>8053959000</v>
      </c>
      <c r="C78">
        <v>475812000</v>
      </c>
      <c r="D78">
        <v>8560000000</v>
      </c>
      <c r="E78">
        <v>1419000000</v>
      </c>
      <c r="F78">
        <v>0.81492723909810416</v>
      </c>
    </row>
    <row r="79" spans="1:6" x14ac:dyDescent="0.25">
      <c r="A79" s="73" t="s">
        <v>110</v>
      </c>
      <c r="B79">
        <v>7658434000</v>
      </c>
      <c r="C79">
        <v>486735000</v>
      </c>
      <c r="D79">
        <v>8500000000</v>
      </c>
      <c r="E79">
        <v>1325000000</v>
      </c>
      <c r="F79">
        <v>0.15827086923834879</v>
      </c>
    </row>
    <row r="80" spans="1:6" x14ac:dyDescent="0.25">
      <c r="A80" s="73" t="s">
        <v>111</v>
      </c>
      <c r="B80">
        <v>7292775000</v>
      </c>
      <c r="C80">
        <v>417628000</v>
      </c>
      <c r="D80">
        <v>8480000000</v>
      </c>
      <c r="E80">
        <v>1151000000</v>
      </c>
      <c r="F80">
        <v>0.58809090802163433</v>
      </c>
    </row>
    <row r="81" spans="1:6" x14ac:dyDescent="0.25">
      <c r="A81" s="73" t="s">
        <v>112</v>
      </c>
      <c r="B81">
        <v>6921124000</v>
      </c>
      <c r="C81">
        <v>477427000</v>
      </c>
      <c r="D81">
        <v>8560000000</v>
      </c>
      <c r="E81">
        <v>1779000000</v>
      </c>
      <c r="F81">
        <v>0.49244266131900338</v>
      </c>
    </row>
    <row r="82" spans="1:6" x14ac:dyDescent="0.25">
      <c r="A82" s="73" t="s">
        <v>113</v>
      </c>
      <c r="B82">
        <v>6325937000</v>
      </c>
      <c r="C82">
        <v>420342000</v>
      </c>
      <c r="D82">
        <v>8500000000</v>
      </c>
      <c r="E82">
        <v>1184700000</v>
      </c>
      <c r="F82">
        <v>0.36497399722862772</v>
      </c>
    </row>
    <row r="83" spans="1:6" x14ac:dyDescent="0.25">
      <c r="A83" s="73" t="s">
        <v>114</v>
      </c>
      <c r="B83">
        <v>5997918000</v>
      </c>
      <c r="C83">
        <v>354044000</v>
      </c>
      <c r="D83">
        <v>8500000000</v>
      </c>
      <c r="E83">
        <v>1151351000</v>
      </c>
      <c r="F83">
        <v>0.33139332964819013</v>
      </c>
    </row>
    <row r="84" spans="1:6" x14ac:dyDescent="0.25">
      <c r="A84" s="73" t="s">
        <v>115</v>
      </c>
      <c r="B84">
        <v>5710489000</v>
      </c>
      <c r="C84">
        <v>344034000</v>
      </c>
      <c r="D84">
        <v>8500000000</v>
      </c>
      <c r="E84">
        <v>998141000</v>
      </c>
      <c r="F84">
        <v>0.22811795204506621</v>
      </c>
    </row>
    <row r="85" spans="1:6" x14ac:dyDescent="0.25">
      <c r="A85" s="73" t="s">
        <v>116</v>
      </c>
      <c r="B85">
        <v>5263699000</v>
      </c>
      <c r="C85">
        <v>346059000</v>
      </c>
      <c r="D85">
        <v>9911380000</v>
      </c>
      <c r="E85">
        <v>1394823000</v>
      </c>
      <c r="F85">
        <v>0.36200362590210072</v>
      </c>
    </row>
    <row r="86" spans="1:6" x14ac:dyDescent="0.25">
      <c r="A86" s="73" t="s">
        <v>117</v>
      </c>
      <c r="B86">
        <v>4746537000</v>
      </c>
      <c r="C86">
        <v>239395000</v>
      </c>
      <c r="D86">
        <v>8456040000</v>
      </c>
      <c r="E86">
        <v>1064660000</v>
      </c>
      <c r="F86">
        <v>0.21147051271057521</v>
      </c>
    </row>
    <row r="87" spans="1:6" x14ac:dyDescent="0.25">
      <c r="A87" s="73" t="s">
        <v>118</v>
      </c>
      <c r="B87">
        <v>4463380000</v>
      </c>
      <c r="C87">
        <v>244525000</v>
      </c>
      <c r="D87">
        <v>7877520000</v>
      </c>
      <c r="E87">
        <v>988772000</v>
      </c>
      <c r="F87">
        <v>0.12639246032484899</v>
      </c>
    </row>
    <row r="88" spans="1:6" x14ac:dyDescent="0.25">
      <c r="A88" s="73" t="s">
        <v>119</v>
      </c>
      <c r="B88">
        <v>4169073000</v>
      </c>
      <c r="C88">
        <v>122839000</v>
      </c>
      <c r="D88">
        <v>7770820000</v>
      </c>
      <c r="E88">
        <v>1082552000</v>
      </c>
      <c r="F88">
        <v>-0.48853865016485298</v>
      </c>
    </row>
    <row r="89" spans="1:6" x14ac:dyDescent="0.25">
      <c r="A89" s="73" t="s">
        <v>120</v>
      </c>
      <c r="B89">
        <v>3932936000</v>
      </c>
      <c r="C89">
        <v>135128000</v>
      </c>
      <c r="D89">
        <v>7675200000</v>
      </c>
      <c r="E89">
        <v>1300969000</v>
      </c>
      <c r="F89">
        <v>-5.6055080341938623E-2</v>
      </c>
    </row>
    <row r="90" spans="1:6" x14ac:dyDescent="0.25">
      <c r="A90" s="73" t="s">
        <v>121</v>
      </c>
      <c r="B90">
        <v>3619497000</v>
      </c>
      <c r="C90">
        <v>119651000</v>
      </c>
      <c r="D90">
        <v>7593000000</v>
      </c>
      <c r="E90">
        <v>865802000</v>
      </c>
      <c r="F90">
        <v>-0.32015783785737212</v>
      </c>
    </row>
    <row r="91" spans="1:6" x14ac:dyDescent="0.25">
      <c r="A91" s="73" t="s">
        <v>122</v>
      </c>
      <c r="B91">
        <v>3930397000</v>
      </c>
      <c r="C91">
        <v>15568000</v>
      </c>
      <c r="D91">
        <v>7538740000</v>
      </c>
      <c r="E91">
        <v>823579000</v>
      </c>
      <c r="F91">
        <v>6.2400374446732823</v>
      </c>
    </row>
    <row r="92" spans="1:6" x14ac:dyDescent="0.25">
      <c r="A92" s="73" t="s">
        <v>123</v>
      </c>
      <c r="B92">
        <v>3792417000</v>
      </c>
      <c r="C92">
        <v>10431000</v>
      </c>
      <c r="D92">
        <v>7460620000</v>
      </c>
      <c r="E92">
        <v>745258000</v>
      </c>
      <c r="F92">
        <v>9.8898874286791294</v>
      </c>
    </row>
    <row r="93" spans="1:6" x14ac:dyDescent="0.25">
      <c r="A93" s="73" t="s">
        <v>124</v>
      </c>
      <c r="B93">
        <v>3645351000</v>
      </c>
      <c r="C93">
        <v>-170103000</v>
      </c>
      <c r="D93">
        <v>7429960000</v>
      </c>
      <c r="E93">
        <v>996585000</v>
      </c>
      <c r="F93">
        <v>-0.1079896108437204</v>
      </c>
    </row>
    <row r="94" spans="1:6" x14ac:dyDescent="0.25">
      <c r="A94" s="73" t="s">
        <v>125</v>
      </c>
      <c r="B94">
        <v>3502540000</v>
      </c>
      <c r="C94">
        <v>-301367000</v>
      </c>
      <c r="D94">
        <v>7361040000</v>
      </c>
      <c r="E94">
        <v>668100000</v>
      </c>
      <c r="F94">
        <v>2.23090405701587E-3</v>
      </c>
    </row>
    <row r="95" spans="1:6" x14ac:dyDescent="0.25">
      <c r="A95" s="73" t="s">
        <v>126</v>
      </c>
      <c r="B95">
        <v>2978199000</v>
      </c>
      <c r="C95">
        <v>-269675000</v>
      </c>
      <c r="D95">
        <v>7195040000</v>
      </c>
      <c r="E95">
        <v>608969000</v>
      </c>
      <c r="F95">
        <v>0.58854905723719275</v>
      </c>
    </row>
    <row r="96" spans="1:6" x14ac:dyDescent="0.25">
      <c r="A96" s="73" t="s">
        <v>127</v>
      </c>
      <c r="B96">
        <v>2888450000</v>
      </c>
      <c r="C96">
        <v>-344642000</v>
      </c>
      <c r="D96">
        <v>7148480000</v>
      </c>
      <c r="E96">
        <v>642973000</v>
      </c>
      <c r="F96">
        <v>0.45281952084810828</v>
      </c>
    </row>
    <row r="97" spans="1:6" x14ac:dyDescent="0.25">
      <c r="A97" s="73" t="s">
        <v>128</v>
      </c>
      <c r="B97">
        <v>2761983000</v>
      </c>
      <c r="C97">
        <v>-265336000</v>
      </c>
      <c r="D97">
        <v>7114360000</v>
      </c>
      <c r="E97">
        <v>1100522000</v>
      </c>
      <c r="F97">
        <v>0.49363273435674099</v>
      </c>
    </row>
    <row r="98" spans="1:6" x14ac:dyDescent="0.25">
      <c r="A98" s="73" t="s">
        <v>129</v>
      </c>
      <c r="B98">
        <v>2465665000</v>
      </c>
      <c r="C98">
        <v>-549348000</v>
      </c>
      <c r="D98">
        <v>7079080000</v>
      </c>
      <c r="E98">
        <v>900024000</v>
      </c>
      <c r="F98">
        <v>1.07971645159749</v>
      </c>
    </row>
    <row r="99" spans="1:6" x14ac:dyDescent="0.25">
      <c r="A99" s="73" t="s">
        <v>130</v>
      </c>
      <c r="B99">
        <v>2183584000</v>
      </c>
      <c r="C99">
        <v>-650047000</v>
      </c>
      <c r="D99">
        <v>6997720000</v>
      </c>
      <c r="E99">
        <v>907621000</v>
      </c>
      <c r="F99">
        <v>0.94956624371375775</v>
      </c>
    </row>
    <row r="100" spans="1:6" x14ac:dyDescent="0.25">
      <c r="A100" s="73" t="s">
        <v>131</v>
      </c>
      <c r="B100">
        <v>1920085000</v>
      </c>
      <c r="C100">
        <v>-688789000</v>
      </c>
      <c r="D100">
        <v>6877680000</v>
      </c>
      <c r="E100">
        <v>1008881000</v>
      </c>
      <c r="F100">
        <v>1.010215901622038</v>
      </c>
    </row>
    <row r="101" spans="1:6" x14ac:dyDescent="0.25">
      <c r="A101" s="73" t="s">
        <v>132</v>
      </c>
      <c r="B101">
        <v>1639839000</v>
      </c>
      <c r="C101">
        <v>-377930000</v>
      </c>
      <c r="D101">
        <v>6756400000</v>
      </c>
      <c r="E101">
        <v>706188000</v>
      </c>
      <c r="F101">
        <v>1.3816078855484339</v>
      </c>
    </row>
    <row r="102" spans="1:6" x14ac:dyDescent="0.25">
      <c r="A102" s="73" t="s">
        <v>133</v>
      </c>
      <c r="B102">
        <v>1216690000</v>
      </c>
      <c r="C102">
        <v>-275096000</v>
      </c>
      <c r="D102">
        <v>6649760000</v>
      </c>
      <c r="E102">
        <v>905685000</v>
      </c>
      <c r="F102">
        <v>1.492839601035798</v>
      </c>
    </row>
    <row r="103" spans="1:6" x14ac:dyDescent="0.25">
      <c r="A103" s="73" t="s">
        <v>134</v>
      </c>
      <c r="B103">
        <v>1014611000</v>
      </c>
      <c r="C103">
        <v>-143069000</v>
      </c>
      <c r="D103">
        <v>6446800000</v>
      </c>
      <c r="E103">
        <v>1144237000</v>
      </c>
      <c r="F103">
        <v>1.819111375531355</v>
      </c>
    </row>
    <row r="104" spans="1:6" x14ac:dyDescent="0.25">
      <c r="A104" s="73" t="s">
        <v>135</v>
      </c>
      <c r="B104">
        <v>816211000</v>
      </c>
      <c r="C104">
        <v>-24928000</v>
      </c>
      <c r="D104">
        <v>6275880000</v>
      </c>
      <c r="E104">
        <v>1442965000</v>
      </c>
      <c r="F104">
        <v>3.2772813047210301</v>
      </c>
    </row>
    <row r="105" spans="1:6" x14ac:dyDescent="0.25">
      <c r="A105" s="73" t="s">
        <v>136</v>
      </c>
      <c r="B105">
        <v>609943000</v>
      </c>
      <c r="C105">
        <v>2702000</v>
      </c>
      <c r="D105">
        <v>6351964444</v>
      </c>
      <c r="E105">
        <v>373445000</v>
      </c>
      <c r="F105">
        <v>3.6761186686838121</v>
      </c>
    </row>
    <row r="106" spans="1:6" x14ac:dyDescent="0.25">
      <c r="A106" s="73" t="s">
        <v>137</v>
      </c>
      <c r="B106">
        <v>423150000</v>
      </c>
      <c r="C106">
        <v>-22242000</v>
      </c>
      <c r="D106">
        <v>6026666667</v>
      </c>
      <c r="E106">
        <v>337260000</v>
      </c>
      <c r="F106">
        <v>4.0691952506596314</v>
      </c>
    </row>
    <row r="107" spans="1:6" x14ac:dyDescent="0.25">
      <c r="A107" s="73" t="s">
        <v>138</v>
      </c>
      <c r="B107">
        <v>307352000</v>
      </c>
      <c r="C107">
        <v>-16234000</v>
      </c>
      <c r="D107">
        <v>5300000000</v>
      </c>
      <c r="E107">
        <v>339919000</v>
      </c>
      <c r="F107">
        <v>3.1568817204301078</v>
      </c>
    </row>
    <row r="108" spans="1:6" x14ac:dyDescent="0.25">
      <c r="A108" s="73" t="s">
        <v>139</v>
      </c>
      <c r="B108">
        <v>219275000</v>
      </c>
      <c r="C108">
        <v>-12626000</v>
      </c>
      <c r="D108">
        <v>5200000000</v>
      </c>
      <c r="E108">
        <v>116820000</v>
      </c>
      <c r="F108">
        <v>6.28125</v>
      </c>
    </row>
    <row r="109" spans="1:6" x14ac:dyDescent="0.25">
      <c r="A109" s="73" t="s">
        <v>140</v>
      </c>
      <c r="B109">
        <v>147900000</v>
      </c>
      <c r="C109">
        <v>-3700000</v>
      </c>
      <c r="D109">
        <v>3540274286</v>
      </c>
      <c r="E109">
        <v>125375000</v>
      </c>
      <c r="F109">
        <v>8.8363095238095237</v>
      </c>
    </row>
    <row r="110" spans="1:6" x14ac:dyDescent="0.25">
      <c r="A110" s="73" t="s">
        <v>141</v>
      </c>
      <c r="B110">
        <v>90200000</v>
      </c>
      <c r="C110">
        <v>-7900000</v>
      </c>
      <c r="D110">
        <v>5666666667</v>
      </c>
      <c r="E110">
        <v>44700000</v>
      </c>
      <c r="F110">
        <v>8.0238095238095237</v>
      </c>
    </row>
    <row r="111" spans="1:6" x14ac:dyDescent="0.25">
      <c r="A111" s="73" t="s">
        <v>142</v>
      </c>
      <c r="B111">
        <v>56500000</v>
      </c>
      <c r="C111">
        <v>400000</v>
      </c>
      <c r="D111">
        <v>4466666667</v>
      </c>
      <c r="E111">
        <v>47700000</v>
      </c>
      <c r="F111">
        <v>15.90909090909091</v>
      </c>
    </row>
    <row r="112" spans="1:6" x14ac:dyDescent="0.25">
      <c r="A112" s="73" t="s">
        <v>143</v>
      </c>
      <c r="B112">
        <v>30800000</v>
      </c>
      <c r="C112">
        <v>300000</v>
      </c>
      <c r="D112">
        <v>5731880000</v>
      </c>
      <c r="E112">
        <v>7200000</v>
      </c>
    </row>
    <row r="113" spans="1:5" x14ac:dyDescent="0.25">
      <c r="A113" s="73" t="s">
        <v>144</v>
      </c>
      <c r="B113">
        <v>15700000</v>
      </c>
      <c r="C113">
        <v>0</v>
      </c>
      <c r="D113">
        <v>3500000000</v>
      </c>
      <c r="E113">
        <v>6200000</v>
      </c>
    </row>
    <row r="114" spans="1:5" x14ac:dyDescent="0.25">
      <c r="A114" s="73" t="s">
        <v>145</v>
      </c>
      <c r="D114">
        <v>4800000000</v>
      </c>
    </row>
    <row r="115" spans="1:5" x14ac:dyDescent="0.25">
      <c r="A115" s="73" t="s">
        <v>146</v>
      </c>
      <c r="D115">
        <v>1600000000</v>
      </c>
    </row>
    <row r="116" spans="1:5" x14ac:dyDescent="0.25">
      <c r="A116" s="73" t="s">
        <v>147</v>
      </c>
      <c r="D116">
        <v>3500000000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T32"/>
  <sheetViews>
    <sheetView workbookViewId="0">
      <selection activeCell="R14" sqref="R14"/>
    </sheetView>
  </sheetViews>
  <sheetFormatPr defaultRowHeight="15" x14ac:dyDescent="0.25"/>
  <cols>
    <col min="1" max="1" width="10.42578125" bestFit="1" customWidth="1"/>
    <col min="2" max="2" width="7.5703125" bestFit="1" customWidth="1"/>
    <col min="18" max="18" width="20" bestFit="1" customWidth="1"/>
  </cols>
  <sheetData>
    <row r="1" spans="1:46" x14ac:dyDescent="0.25">
      <c r="A1" s="27" t="s">
        <v>148</v>
      </c>
      <c r="B1" s="27" t="s">
        <v>149</v>
      </c>
      <c r="C1" t="s">
        <v>150</v>
      </c>
      <c r="D1" t="s">
        <v>151</v>
      </c>
      <c r="F1" s="27" t="s">
        <v>149</v>
      </c>
      <c r="G1" t="s">
        <v>150</v>
      </c>
      <c r="H1" t="s">
        <v>151</v>
      </c>
      <c r="J1" t="s">
        <v>152</v>
      </c>
      <c r="K1" t="s">
        <v>150</v>
      </c>
      <c r="L1" t="s">
        <v>151</v>
      </c>
      <c r="N1" t="s">
        <v>153</v>
      </c>
      <c r="O1" t="s">
        <v>150</v>
      </c>
      <c r="P1" t="s">
        <v>151</v>
      </c>
      <c r="R1">
        <v>2025</v>
      </c>
      <c r="S1">
        <f t="shared" ref="S1:AT1" si="0">R1+1</f>
        <v>2026</v>
      </c>
      <c r="T1">
        <f t="shared" si="0"/>
        <v>2027</v>
      </c>
      <c r="U1">
        <f t="shared" si="0"/>
        <v>2028</v>
      </c>
      <c r="V1">
        <f t="shared" si="0"/>
        <v>2029</v>
      </c>
      <c r="W1">
        <f t="shared" si="0"/>
        <v>2030</v>
      </c>
      <c r="X1">
        <f t="shared" si="0"/>
        <v>2031</v>
      </c>
      <c r="Y1">
        <f t="shared" si="0"/>
        <v>2032</v>
      </c>
      <c r="Z1">
        <f t="shared" si="0"/>
        <v>2033</v>
      </c>
      <c r="AA1">
        <f t="shared" si="0"/>
        <v>2034</v>
      </c>
      <c r="AB1">
        <f t="shared" si="0"/>
        <v>2035</v>
      </c>
      <c r="AC1">
        <f t="shared" si="0"/>
        <v>2036</v>
      </c>
      <c r="AD1">
        <f t="shared" si="0"/>
        <v>2037</v>
      </c>
      <c r="AE1">
        <f t="shared" si="0"/>
        <v>2038</v>
      </c>
      <c r="AF1">
        <f t="shared" si="0"/>
        <v>2039</v>
      </c>
      <c r="AG1">
        <f t="shared" si="0"/>
        <v>2040</v>
      </c>
      <c r="AH1">
        <f t="shared" si="0"/>
        <v>2041</v>
      </c>
      <c r="AI1">
        <f t="shared" si="0"/>
        <v>2042</v>
      </c>
      <c r="AJ1">
        <f t="shared" si="0"/>
        <v>2043</v>
      </c>
      <c r="AK1">
        <f t="shared" si="0"/>
        <v>2044</v>
      </c>
      <c r="AL1">
        <f t="shared" si="0"/>
        <v>2045</v>
      </c>
      <c r="AM1">
        <f t="shared" si="0"/>
        <v>2046</v>
      </c>
      <c r="AN1">
        <f t="shared" si="0"/>
        <v>2047</v>
      </c>
      <c r="AO1">
        <f t="shared" si="0"/>
        <v>2048</v>
      </c>
      <c r="AP1">
        <f t="shared" si="0"/>
        <v>2049</v>
      </c>
      <c r="AQ1">
        <f t="shared" si="0"/>
        <v>2050</v>
      </c>
      <c r="AR1">
        <f t="shared" si="0"/>
        <v>2051</v>
      </c>
      <c r="AS1">
        <f t="shared" si="0"/>
        <v>2052</v>
      </c>
      <c r="AT1">
        <f t="shared" si="0"/>
        <v>2053</v>
      </c>
    </row>
    <row r="2" spans="1:46" x14ac:dyDescent="0.25">
      <c r="A2" s="29">
        <v>45596</v>
      </c>
      <c r="B2" s="16">
        <v>0.24979962188968649</v>
      </c>
      <c r="C2" s="16">
        <f t="shared" ref="C2:C24" si="1">B2/B3-1</f>
        <v>-0.21198857448048425</v>
      </c>
      <c r="D2" s="16">
        <f t="shared" ref="D2:D24" si="2">B2-B3</f>
        <v>-6.7200378110313513E-2</v>
      </c>
      <c r="E2" s="16"/>
      <c r="F2" s="16">
        <v>0.24979962188968649</v>
      </c>
      <c r="G2" s="16">
        <f t="shared" ref="G2:G21" si="3">F2/F6-1</f>
        <v>-0.292352345921568</v>
      </c>
      <c r="H2" s="16">
        <f t="shared" ref="H2:H21" si="4">F2-F6</f>
        <v>-0.10320037811031349</v>
      </c>
      <c r="I2" s="16"/>
      <c r="K2" s="16"/>
      <c r="L2" s="16"/>
      <c r="M2" s="16"/>
      <c r="O2" s="16"/>
      <c r="P2" s="16"/>
      <c r="Q2" s="16"/>
      <c r="R2" s="16">
        <f>F2</f>
        <v>0.24979962188968649</v>
      </c>
      <c r="S2" s="16">
        <f t="shared" ref="S2:AT2" si="5">R2*(1+$G$32)</f>
        <v>0.2064695043567529</v>
      </c>
      <c r="T2" s="16">
        <f t="shared" si="5"/>
        <v>0.17065540734945067</v>
      </c>
      <c r="U2" s="16">
        <f t="shared" si="5"/>
        <v>0.14105360570481953</v>
      </c>
      <c r="V2" s="16">
        <f t="shared" si="5"/>
        <v>0.11658651777490683</v>
      </c>
      <c r="W2" s="16">
        <f t="shared" si="5"/>
        <v>9.6363478685708215E-2</v>
      </c>
      <c r="X2" s="16">
        <f t="shared" si="5"/>
        <v>7.9648317847002117E-2</v>
      </c>
      <c r="Y2" s="16">
        <f t="shared" si="5"/>
        <v>6.5832560451119751E-2</v>
      </c>
      <c r="Z2" s="16">
        <f t="shared" si="5"/>
        <v>5.4413277426341292E-2</v>
      </c>
      <c r="AA2" s="16">
        <f t="shared" si="5"/>
        <v>4.4974777526302676E-2</v>
      </c>
      <c r="AB2" s="16">
        <f t="shared" si="5"/>
        <v>3.7173475100421405E-2</v>
      </c>
      <c r="AC2" s="16">
        <f t="shared" si="5"/>
        <v>3.0725382693299382E-2</v>
      </c>
      <c r="AD2" s="16">
        <f t="shared" si="5"/>
        <v>2.5395773171580593E-2</v>
      </c>
      <c r="AE2" s="16">
        <f t="shared" si="5"/>
        <v>2.0990635053115967E-2</v>
      </c>
      <c r="AF2" s="16">
        <f t="shared" si="5"/>
        <v>1.7349609990459609E-2</v>
      </c>
      <c r="AG2" s="16">
        <f t="shared" si="5"/>
        <v>1.43401553149471E-2</v>
      </c>
      <c r="AH2" s="16">
        <f t="shared" si="5"/>
        <v>1.1852719142959706E-2</v>
      </c>
      <c r="AI2" s="16">
        <f t="shared" si="5"/>
        <v>9.7967524058439198E-3</v>
      </c>
      <c r="AJ2" s="16">
        <f t="shared" si="5"/>
        <v>8.0974126311274992E-3</v>
      </c>
      <c r="AK2" s="16">
        <f t="shared" si="5"/>
        <v>6.6928394841979212E-3</v>
      </c>
      <c r="AL2" s="16">
        <f t="shared" si="5"/>
        <v>5.5319028931592783E-3</v>
      </c>
      <c r="AM2" s="16">
        <f t="shared" si="5"/>
        <v>4.5723417828257345E-3</v>
      </c>
      <c r="AN2" s="16">
        <f t="shared" si="5"/>
        <v>3.7792256629859949E-3</v>
      </c>
      <c r="AO2" s="16">
        <f t="shared" si="5"/>
        <v>3.1236830687983333E-3</v>
      </c>
      <c r="AP2" s="16">
        <f t="shared" si="5"/>
        <v>2.5818505652790208E-3</v>
      </c>
      <c r="AQ2" s="16">
        <f t="shared" si="5"/>
        <v>2.1340040569467764E-3</v>
      </c>
      <c r="AR2" s="16">
        <f t="shared" si="5"/>
        <v>1.7638407800620141E-3</v>
      </c>
      <c r="AS2" s="16">
        <f t="shared" si="5"/>
        <v>1.4578858401333248E-3</v>
      </c>
      <c r="AT2" s="16">
        <f t="shared" si="5"/>
        <v>1.2050016911313974E-3</v>
      </c>
    </row>
    <row r="3" spans="1:46" x14ac:dyDescent="0.25">
      <c r="A3" s="27" t="s">
        <v>154</v>
      </c>
      <c r="B3" s="16">
        <v>0.317</v>
      </c>
      <c r="C3" s="16">
        <f t="shared" si="1"/>
        <v>-3.9393939393939426E-2</v>
      </c>
      <c r="D3" s="16">
        <f t="shared" si="2"/>
        <v>-1.3000000000000012E-2</v>
      </c>
      <c r="E3" s="16"/>
      <c r="F3" s="16">
        <v>0.317</v>
      </c>
      <c r="G3" s="16">
        <f t="shared" si="3"/>
        <v>-0.13623978201634879</v>
      </c>
      <c r="H3" s="16">
        <f t="shared" si="4"/>
        <v>-4.9999999999999989E-2</v>
      </c>
      <c r="I3" s="16"/>
      <c r="J3">
        <v>0.753</v>
      </c>
      <c r="K3" s="16">
        <f t="shared" ref="K3:K21" si="6">J3/J7-1</f>
        <v>1.7567567567567499E-2</v>
      </c>
      <c r="L3" s="16">
        <f t="shared" ref="L3:L21" si="7">J3-J7</f>
        <v>1.3000000000000012E-2</v>
      </c>
      <c r="M3" s="16"/>
      <c r="N3">
        <v>0.315</v>
      </c>
      <c r="O3" s="16">
        <f t="shared" ref="O3:O21" si="8">N3/N7-1</f>
        <v>4.3046357615894149E-2</v>
      </c>
      <c r="P3" s="16">
        <f t="shared" ref="P3:P21" si="9">N3-N7</f>
        <v>1.3000000000000012E-2</v>
      </c>
      <c r="Q3" s="16"/>
      <c r="R3">
        <f>J3</f>
        <v>0.753</v>
      </c>
      <c r="S3" s="23">
        <f t="shared" ref="S3:AT3" si="10">R3*(1+($K$32/2))</f>
        <v>0.75961418918918922</v>
      </c>
      <c r="T3" s="23">
        <f t="shared" si="10"/>
        <v>0.76628647598612132</v>
      </c>
      <c r="U3" s="23">
        <f t="shared" si="10"/>
        <v>0.77301737070762111</v>
      </c>
      <c r="V3" s="23">
        <f t="shared" si="10"/>
        <v>0.77980738815302597</v>
      </c>
      <c r="W3" s="23">
        <f t="shared" si="10"/>
        <v>0.78665704764355937</v>
      </c>
      <c r="X3" s="23">
        <f t="shared" si="10"/>
        <v>0.7935668730620502</v>
      </c>
      <c r="Y3" s="23">
        <f t="shared" si="10"/>
        <v>0.80053739289300074</v>
      </c>
      <c r="Z3" s="23">
        <f t="shared" si="10"/>
        <v>0.80756914026300686</v>
      </c>
      <c r="AA3" s="23">
        <f t="shared" si="10"/>
        <v>0.81466265298153329</v>
      </c>
      <c r="AB3" s="23">
        <f t="shared" si="10"/>
        <v>0.82181847358204685</v>
      </c>
      <c r="AC3" s="23">
        <f t="shared" si="10"/>
        <v>0.82903714936351081</v>
      </c>
      <c r="AD3" s="23">
        <f t="shared" si="10"/>
        <v>0.83631923243224437</v>
      </c>
      <c r="AE3" s="23">
        <f t="shared" si="10"/>
        <v>0.84366527974414929</v>
      </c>
      <c r="AF3" s="23">
        <f t="shared" si="10"/>
        <v>0.85107585314730738</v>
      </c>
      <c r="AG3" s="23">
        <f t="shared" si="10"/>
        <v>0.85855151942495267</v>
      </c>
      <c r="AH3" s="23">
        <f t="shared" si="10"/>
        <v>0.86609285033882055</v>
      </c>
      <c r="AI3" s="23">
        <f t="shared" si="10"/>
        <v>0.87370042267287784</v>
      </c>
      <c r="AJ3" s="23">
        <f t="shared" si="10"/>
        <v>0.88137481827743702</v>
      </c>
      <c r="AK3" s="23">
        <f t="shared" si="10"/>
        <v>0.88911662411365777</v>
      </c>
      <c r="AL3" s="23">
        <f t="shared" si="10"/>
        <v>0.89692643229843994</v>
      </c>
      <c r="AM3" s="23">
        <f t="shared" si="10"/>
        <v>0.90480484014971008</v>
      </c>
      <c r="AN3" s="23">
        <f t="shared" si="10"/>
        <v>0.91275245023210627</v>
      </c>
      <c r="AO3" s="23">
        <f t="shared" si="10"/>
        <v>0.92076987040306402</v>
      </c>
      <c r="AP3" s="23">
        <f t="shared" si="10"/>
        <v>0.92885771385930727</v>
      </c>
      <c r="AQ3" s="23">
        <f t="shared" si="10"/>
        <v>0.93701659918374725</v>
      </c>
      <c r="AR3" s="23">
        <f t="shared" si="10"/>
        <v>0.94524715039279372</v>
      </c>
      <c r="AS3" s="23">
        <f t="shared" si="10"/>
        <v>0.95354999698408183</v>
      </c>
      <c r="AT3" s="23">
        <f t="shared" si="10"/>
        <v>0.96192577398461776</v>
      </c>
    </row>
    <row r="4" spans="1:46" x14ac:dyDescent="0.25">
      <c r="A4" s="27" t="s">
        <v>155</v>
      </c>
      <c r="B4" s="16">
        <v>0.33</v>
      </c>
      <c r="C4" s="16">
        <f t="shared" si="1"/>
        <v>1.2269938650306678E-2</v>
      </c>
      <c r="D4" s="16">
        <f t="shared" si="2"/>
        <v>4.0000000000000036E-3</v>
      </c>
      <c r="E4" s="16"/>
      <c r="F4" s="16">
        <v>0.33</v>
      </c>
      <c r="G4" s="16">
        <f t="shared" si="3"/>
        <v>-0.21428571428571419</v>
      </c>
      <c r="H4" s="16">
        <f t="shared" si="4"/>
        <v>-8.9999999999999969E-2</v>
      </c>
      <c r="I4" s="16"/>
      <c r="J4">
        <v>0.753</v>
      </c>
      <c r="K4" s="16">
        <f t="shared" si="6"/>
        <v>2.1709633649932281E-2</v>
      </c>
      <c r="L4" s="16">
        <f t="shared" si="7"/>
        <v>1.6000000000000014E-2</v>
      </c>
      <c r="M4" s="16"/>
      <c r="N4">
        <v>0.312</v>
      </c>
      <c r="O4" s="16">
        <f t="shared" si="8"/>
        <v>2.2950819672131084E-2</v>
      </c>
      <c r="P4" s="16">
        <f t="shared" si="9"/>
        <v>7.0000000000000062E-3</v>
      </c>
      <c r="Q4" s="16"/>
    </row>
    <row r="5" spans="1:46" x14ac:dyDescent="0.25">
      <c r="A5" s="27" t="s">
        <v>156</v>
      </c>
      <c r="B5" s="16">
        <v>0.32600000000000001</v>
      </c>
      <c r="C5" s="16">
        <f t="shared" si="1"/>
        <v>-7.6487252124645799E-2</v>
      </c>
      <c r="D5" s="16">
        <f t="shared" si="2"/>
        <v>-2.6999999999999968E-2</v>
      </c>
      <c r="E5" s="16"/>
      <c r="F5" s="16">
        <v>0.32600000000000001</v>
      </c>
      <c r="G5" s="16">
        <f t="shared" si="3"/>
        <v>-0.31941544885177453</v>
      </c>
      <c r="H5" s="16">
        <f t="shared" si="4"/>
        <v>-0.15299999999999997</v>
      </c>
      <c r="I5" s="16"/>
      <c r="J5">
        <v>0.752</v>
      </c>
      <c r="K5" s="16">
        <f t="shared" si="6"/>
        <v>2.732240437158473E-2</v>
      </c>
      <c r="L5" s="16">
        <f t="shared" si="7"/>
        <v>2.0000000000000018E-2</v>
      </c>
      <c r="M5" s="16"/>
      <c r="N5">
        <v>0.30399999999999999</v>
      </c>
      <c r="O5" s="16">
        <f t="shared" si="8"/>
        <v>9.966777408637828E-3</v>
      </c>
      <c r="P5" s="16">
        <f t="shared" si="9"/>
        <v>3.0000000000000027E-3</v>
      </c>
      <c r="Q5" s="16"/>
    </row>
    <row r="6" spans="1:46" x14ac:dyDescent="0.25">
      <c r="A6" s="27" t="s">
        <v>157</v>
      </c>
      <c r="B6" s="16">
        <v>0.35299999999999998</v>
      </c>
      <c r="C6" s="16">
        <f t="shared" si="1"/>
        <v>-3.8147138964577665E-2</v>
      </c>
      <c r="D6" s="16">
        <f t="shared" si="2"/>
        <v>-1.4000000000000012E-2</v>
      </c>
      <c r="E6" s="16"/>
      <c r="F6" s="16">
        <v>0.35299999999999998</v>
      </c>
      <c r="G6" s="16">
        <f t="shared" si="3"/>
        <v>-0.33143939393939403</v>
      </c>
      <c r="H6" s="16">
        <f t="shared" si="4"/>
        <v>-0.17500000000000004</v>
      </c>
      <c r="I6" s="16"/>
      <c r="J6">
        <v>0.746</v>
      </c>
      <c r="K6" s="16">
        <f t="shared" si="6"/>
        <v>1.4965986394557929E-2</v>
      </c>
      <c r="L6" s="16">
        <f t="shared" si="7"/>
        <v>1.100000000000001E-2</v>
      </c>
      <c r="M6" s="16"/>
      <c r="N6">
        <v>0.30299999999999999</v>
      </c>
      <c r="O6" s="16">
        <f t="shared" si="8"/>
        <v>3.7671232876712368E-2</v>
      </c>
      <c r="P6" s="16">
        <f t="shared" si="9"/>
        <v>1.100000000000001E-2</v>
      </c>
      <c r="Q6" s="16"/>
      <c r="R6" t="s">
        <v>158</v>
      </c>
    </row>
    <row r="7" spans="1:46" x14ac:dyDescent="0.25">
      <c r="A7" s="27" t="s">
        <v>159</v>
      </c>
      <c r="B7" s="16">
        <v>0.36699999999999999</v>
      </c>
      <c r="C7" s="16">
        <f t="shared" si="1"/>
        <v>-0.12619047619047619</v>
      </c>
      <c r="D7" s="16">
        <f t="shared" si="2"/>
        <v>-5.2999999999999992E-2</v>
      </c>
      <c r="E7" s="16"/>
      <c r="F7" s="16">
        <v>0.36699999999999999</v>
      </c>
      <c r="G7" s="16">
        <f t="shared" si="3"/>
        <v>-0.37264957264957266</v>
      </c>
      <c r="H7" s="16">
        <f t="shared" si="4"/>
        <v>-0.21799999999999997</v>
      </c>
      <c r="I7" s="16"/>
      <c r="J7">
        <v>0.74</v>
      </c>
      <c r="K7" s="16">
        <f t="shared" si="6"/>
        <v>4.070556309362372E-3</v>
      </c>
      <c r="L7" s="16">
        <f t="shared" si="7"/>
        <v>3.0000000000000027E-3</v>
      </c>
      <c r="M7" s="16"/>
      <c r="N7">
        <v>0.30199999999999999</v>
      </c>
      <c r="O7" s="16">
        <f t="shared" si="8"/>
        <v>2.0270270270270396E-2</v>
      </c>
      <c r="P7" s="16">
        <f t="shared" si="9"/>
        <v>6.0000000000000053E-3</v>
      </c>
      <c r="Q7" s="16"/>
      <c r="S7" t="s">
        <v>160</v>
      </c>
    </row>
    <row r="8" spans="1:46" x14ac:dyDescent="0.25">
      <c r="A8" s="27" t="s">
        <v>161</v>
      </c>
      <c r="B8" s="16">
        <v>0.42</v>
      </c>
      <c r="C8" s="16">
        <f t="shared" si="1"/>
        <v>-0.12317327766179542</v>
      </c>
      <c r="D8" s="16">
        <f t="shared" si="2"/>
        <v>-5.8999999999999997E-2</v>
      </c>
      <c r="E8" s="16"/>
      <c r="F8" s="16">
        <v>0.42</v>
      </c>
      <c r="G8" s="16">
        <f t="shared" si="3"/>
        <v>-0.31260229132569561</v>
      </c>
      <c r="H8" s="16">
        <f t="shared" si="4"/>
        <v>-0.191</v>
      </c>
      <c r="I8" s="16"/>
      <c r="J8">
        <v>0.73699999999999999</v>
      </c>
      <c r="K8" s="16">
        <f t="shared" si="6"/>
        <v>1.3586956521738358E-3</v>
      </c>
      <c r="L8" s="16">
        <f t="shared" si="7"/>
        <v>1.0000000000000009E-3</v>
      </c>
      <c r="M8" s="16"/>
      <c r="N8">
        <v>0.30499999999999999</v>
      </c>
      <c r="O8" s="16">
        <f t="shared" si="8"/>
        <v>3.7414965986394488E-2</v>
      </c>
      <c r="P8" s="16">
        <f t="shared" si="9"/>
        <v>1.100000000000001E-2</v>
      </c>
      <c r="Q8" s="16"/>
    </row>
    <row r="9" spans="1:46" x14ac:dyDescent="0.25">
      <c r="A9" s="27" t="s">
        <v>162</v>
      </c>
      <c r="B9" s="16">
        <v>0.47899999999999998</v>
      </c>
      <c r="C9" s="16">
        <f t="shared" si="1"/>
        <v>-9.2803030303030387E-2</v>
      </c>
      <c r="D9" s="16">
        <f t="shared" si="2"/>
        <v>-4.9000000000000044E-2</v>
      </c>
      <c r="E9" s="16"/>
      <c r="F9" s="16">
        <v>0.47899999999999998</v>
      </c>
      <c r="G9" s="16">
        <f t="shared" si="3"/>
        <v>-0.23604465709728872</v>
      </c>
      <c r="H9" s="16">
        <f t="shared" si="4"/>
        <v>-0.14800000000000002</v>
      </c>
      <c r="I9" s="16"/>
      <c r="J9">
        <v>0.73199999999999998</v>
      </c>
      <c r="K9" s="16">
        <f t="shared" si="6"/>
        <v>-5.4347826086956763E-3</v>
      </c>
      <c r="L9" s="16">
        <f t="shared" si="7"/>
        <v>-4.0000000000000036E-3</v>
      </c>
      <c r="M9" s="16"/>
      <c r="N9">
        <v>0.30099999999999999</v>
      </c>
      <c r="O9" s="16">
        <f t="shared" si="8"/>
        <v>-9.8684210526316374E-3</v>
      </c>
      <c r="P9" s="16">
        <f t="shared" si="9"/>
        <v>-3.0000000000000027E-3</v>
      </c>
      <c r="Q9" s="16"/>
      <c r="R9" s="3" t="s">
        <v>163</v>
      </c>
    </row>
    <row r="10" spans="1:46" x14ac:dyDescent="0.25">
      <c r="A10" s="27" t="s">
        <v>164</v>
      </c>
      <c r="B10" s="16">
        <v>0.52800000000000002</v>
      </c>
      <c r="C10" s="16">
        <f t="shared" si="1"/>
        <v>-9.7435897435897312E-2</v>
      </c>
      <c r="D10" s="16">
        <f t="shared" si="2"/>
        <v>-5.699999999999994E-2</v>
      </c>
      <c r="E10" s="16"/>
      <c r="F10" s="16">
        <v>0.52800000000000002</v>
      </c>
      <c r="G10" s="16">
        <f t="shared" si="3"/>
        <v>-0.16850393700787403</v>
      </c>
      <c r="H10" s="16">
        <f t="shared" si="4"/>
        <v>-0.10699999999999998</v>
      </c>
      <c r="I10" s="16"/>
      <c r="J10">
        <v>0.73499999999999999</v>
      </c>
      <c r="K10" s="16">
        <f t="shared" si="6"/>
        <v>-4.0650406504064707E-3</v>
      </c>
      <c r="L10" s="16">
        <f t="shared" si="7"/>
        <v>-3.0000000000000027E-3</v>
      </c>
      <c r="M10" s="16"/>
      <c r="N10">
        <v>0.29199999999999998</v>
      </c>
      <c r="O10" s="16">
        <f t="shared" si="8"/>
        <v>-8.7500000000000022E-2</v>
      </c>
      <c r="P10" s="16">
        <f t="shared" si="9"/>
        <v>-2.8000000000000025E-2</v>
      </c>
      <c r="Q10" s="16"/>
      <c r="R10" t="s">
        <v>165</v>
      </c>
    </row>
    <row r="11" spans="1:46" x14ac:dyDescent="0.25">
      <c r="A11" s="27" t="s">
        <v>166</v>
      </c>
      <c r="B11" s="16">
        <v>0.58499999999999996</v>
      </c>
      <c r="C11" s="16">
        <f t="shared" si="1"/>
        <v>-4.2553191489361764E-2</v>
      </c>
      <c r="D11" s="16">
        <f t="shared" si="2"/>
        <v>-2.6000000000000023E-2</v>
      </c>
      <c r="E11" s="16"/>
      <c r="F11" s="16">
        <v>0.58499999999999996</v>
      </c>
      <c r="G11" s="16">
        <f t="shared" si="3"/>
        <v>-0.16068866571018647</v>
      </c>
      <c r="H11" s="16">
        <f t="shared" si="4"/>
        <v>-0.11199999999999999</v>
      </c>
      <c r="I11" s="16"/>
      <c r="J11">
        <v>0.73699999999999999</v>
      </c>
      <c r="K11" s="16">
        <f t="shared" si="6"/>
        <v>-2.7063599458727605E-3</v>
      </c>
      <c r="L11" s="16">
        <f t="shared" si="7"/>
        <v>-2.0000000000000018E-3</v>
      </c>
      <c r="M11" s="16"/>
      <c r="N11">
        <v>0.29599999999999999</v>
      </c>
      <c r="O11" s="16">
        <f t="shared" si="8"/>
        <v>-7.5000000000000067E-2</v>
      </c>
      <c r="P11" s="16">
        <f t="shared" si="9"/>
        <v>-2.4000000000000021E-2</v>
      </c>
      <c r="Q11" s="16"/>
    </row>
    <row r="12" spans="1:46" x14ac:dyDescent="0.25">
      <c r="A12" s="27" t="s">
        <v>167</v>
      </c>
      <c r="B12" s="16">
        <v>0.61099999999999999</v>
      </c>
      <c r="C12" s="16">
        <f t="shared" si="1"/>
        <v>-2.5518341307815051E-2</v>
      </c>
      <c r="D12" s="16">
        <f t="shared" si="2"/>
        <v>-1.6000000000000014E-2</v>
      </c>
      <c r="E12" s="16"/>
      <c r="F12" s="16">
        <v>0.61099999999999999</v>
      </c>
      <c r="G12" s="16">
        <f t="shared" si="3"/>
        <v>-0.1283880171184022</v>
      </c>
      <c r="H12" s="16">
        <f t="shared" si="4"/>
        <v>-8.9999999999999969E-2</v>
      </c>
      <c r="I12" s="16"/>
      <c r="J12">
        <v>0.73599999999999999</v>
      </c>
      <c r="K12" s="16">
        <f t="shared" si="6"/>
        <v>-4.0595399188092518E-3</v>
      </c>
      <c r="L12" s="16">
        <f t="shared" si="7"/>
        <v>-3.0000000000000027E-3</v>
      </c>
      <c r="M12" s="16"/>
      <c r="N12">
        <v>0.29399999999999998</v>
      </c>
      <c r="O12" s="16">
        <f t="shared" si="8"/>
        <v>-8.9783281733746167E-2</v>
      </c>
      <c r="P12" s="16">
        <f t="shared" si="9"/>
        <v>-2.9000000000000026E-2</v>
      </c>
      <c r="Q12" s="16"/>
    </row>
    <row r="13" spans="1:46" x14ac:dyDescent="0.25">
      <c r="A13" s="27" t="s">
        <v>168</v>
      </c>
      <c r="B13" s="16">
        <v>0.627</v>
      </c>
      <c r="C13" s="16">
        <f t="shared" si="1"/>
        <v>-1.2598425196850394E-2</v>
      </c>
      <c r="D13" s="16">
        <f t="shared" si="2"/>
        <v>-8.0000000000000071E-3</v>
      </c>
      <c r="E13" s="16"/>
      <c r="F13" s="16">
        <v>0.627</v>
      </c>
      <c r="G13" s="16">
        <f t="shared" si="3"/>
        <v>-0.15498652291105119</v>
      </c>
      <c r="H13" s="16">
        <f t="shared" si="4"/>
        <v>-0.11499999999999999</v>
      </c>
      <c r="I13" s="16"/>
      <c r="J13">
        <v>0.73599999999999999</v>
      </c>
      <c r="K13" s="16">
        <f t="shared" si="6"/>
        <v>-1.3568521031207537E-3</v>
      </c>
      <c r="L13" s="16">
        <f t="shared" si="7"/>
        <v>-1.0000000000000009E-3</v>
      </c>
      <c r="M13" s="16"/>
      <c r="N13">
        <v>0.30399999999999999</v>
      </c>
      <c r="O13" s="16">
        <f t="shared" si="8"/>
        <v>-9.2537313432835888E-2</v>
      </c>
      <c r="P13" s="16">
        <f t="shared" si="9"/>
        <v>-3.1000000000000028E-2</v>
      </c>
      <c r="Q13" s="16"/>
    </row>
    <row r="14" spans="1:46" x14ac:dyDescent="0.25">
      <c r="A14" s="27" t="s">
        <v>169</v>
      </c>
      <c r="B14" s="16">
        <v>0.63500000000000001</v>
      </c>
      <c r="C14" s="16">
        <f t="shared" si="1"/>
        <v>-8.8952654232424599E-2</v>
      </c>
      <c r="D14" s="16">
        <f t="shared" si="2"/>
        <v>-6.1999999999999944E-2</v>
      </c>
      <c r="E14" s="16"/>
      <c r="F14" s="16">
        <v>0.63500000000000001</v>
      </c>
      <c r="G14" s="16">
        <f t="shared" si="3"/>
        <v>-0.25990675990675993</v>
      </c>
      <c r="H14" s="16">
        <f t="shared" si="4"/>
        <v>-0.22299999999999998</v>
      </c>
      <c r="I14" s="16"/>
      <c r="J14">
        <v>0.73799999999999999</v>
      </c>
      <c r="K14" s="16">
        <f t="shared" si="6"/>
        <v>1.2345679012345734E-2</v>
      </c>
      <c r="L14" s="16">
        <f t="shared" si="7"/>
        <v>9.000000000000008E-3</v>
      </c>
      <c r="M14" s="16"/>
      <c r="N14">
        <v>0.32</v>
      </c>
      <c r="O14" s="16">
        <f t="shared" si="8"/>
        <v>-9.2879256965944235E-3</v>
      </c>
      <c r="P14" s="16">
        <f t="shared" si="9"/>
        <v>-3.0000000000000027E-3</v>
      </c>
      <c r="Q14" s="16"/>
      <c r="R14" t="s">
        <v>170</v>
      </c>
    </row>
    <row r="15" spans="1:46" x14ac:dyDescent="0.25">
      <c r="A15" s="27" t="s">
        <v>171</v>
      </c>
      <c r="B15" s="16">
        <v>0.69699999999999995</v>
      </c>
      <c r="C15" s="16">
        <f t="shared" si="1"/>
        <v>-5.7061340941512162E-3</v>
      </c>
      <c r="D15" s="16">
        <f t="shared" si="2"/>
        <v>-4.0000000000000036E-3</v>
      </c>
      <c r="E15" s="16"/>
      <c r="F15" s="16">
        <v>0.69699999999999995</v>
      </c>
      <c r="G15" s="16">
        <f t="shared" si="3"/>
        <v>-0.1702380952380953</v>
      </c>
      <c r="H15" s="16">
        <f t="shared" si="4"/>
        <v>-0.14300000000000002</v>
      </c>
      <c r="I15" s="16"/>
      <c r="J15">
        <v>0.73899999999999999</v>
      </c>
      <c r="K15" s="16">
        <f t="shared" si="6"/>
        <v>2.3545706371191244E-2</v>
      </c>
      <c r="L15" s="16">
        <f t="shared" si="7"/>
        <v>1.7000000000000015E-2</v>
      </c>
      <c r="M15" s="16"/>
      <c r="N15">
        <v>0.32</v>
      </c>
      <c r="O15" s="16">
        <f t="shared" si="8"/>
        <v>0.18081180811808117</v>
      </c>
      <c r="P15" s="16">
        <f t="shared" si="9"/>
        <v>4.8999999999999988E-2</v>
      </c>
      <c r="Q15" s="16"/>
    </row>
    <row r="16" spans="1:46" x14ac:dyDescent="0.25">
      <c r="A16" s="27" t="s">
        <v>172</v>
      </c>
      <c r="B16" s="16">
        <v>0.70099999999999996</v>
      </c>
      <c r="C16" s="16">
        <f t="shared" si="1"/>
        <v>-5.5256064690026974E-2</v>
      </c>
      <c r="D16" s="16">
        <f t="shared" si="2"/>
        <v>-4.1000000000000036E-2</v>
      </c>
      <c r="E16" s="16"/>
      <c r="F16" s="16">
        <v>0.70099999999999996</v>
      </c>
      <c r="G16" s="16">
        <f t="shared" si="3"/>
        <v>-0.17819460726846426</v>
      </c>
      <c r="H16" s="16">
        <f t="shared" si="4"/>
        <v>-0.15200000000000002</v>
      </c>
      <c r="I16" s="16"/>
      <c r="J16">
        <v>0.73899999999999999</v>
      </c>
      <c r="K16" s="16">
        <f t="shared" si="6"/>
        <v>3.0683403068340276E-2</v>
      </c>
      <c r="L16" s="16">
        <f t="shared" si="7"/>
        <v>2.200000000000002E-2</v>
      </c>
      <c r="M16" s="16"/>
      <c r="N16">
        <v>0.32300000000000001</v>
      </c>
      <c r="O16" s="16">
        <f t="shared" si="8"/>
        <v>0.57560975609756104</v>
      </c>
      <c r="P16" s="16">
        <f t="shared" si="9"/>
        <v>0.11800000000000002</v>
      </c>
      <c r="Q16" s="16"/>
    </row>
    <row r="17" spans="1:17" x14ac:dyDescent="0.25">
      <c r="A17" s="27" t="s">
        <v>173</v>
      </c>
      <c r="B17" s="16">
        <v>0.74199999999999999</v>
      </c>
      <c r="C17" s="16">
        <f t="shared" si="1"/>
        <v>-0.13519813519813517</v>
      </c>
      <c r="D17" s="16">
        <f t="shared" si="2"/>
        <v>-0.11599999999999999</v>
      </c>
      <c r="E17" s="16"/>
      <c r="F17" s="16">
        <v>0.74199999999999999</v>
      </c>
      <c r="G17" s="16">
        <f t="shared" si="3"/>
        <v>-0.16722783389450058</v>
      </c>
      <c r="H17" s="16">
        <f t="shared" si="4"/>
        <v>-0.14900000000000002</v>
      </c>
      <c r="I17" s="16"/>
      <c r="J17">
        <v>0.73699999999999999</v>
      </c>
      <c r="K17" s="16">
        <f t="shared" si="6"/>
        <v>4.3909348441926399E-2</v>
      </c>
      <c r="L17" s="16">
        <f t="shared" si="7"/>
        <v>3.1000000000000028E-2</v>
      </c>
      <c r="M17" s="16"/>
      <c r="N17">
        <v>0.33500000000000002</v>
      </c>
      <c r="O17" s="16">
        <f t="shared" si="8"/>
        <v>11.884615384615387</v>
      </c>
      <c r="P17" s="16">
        <f t="shared" si="9"/>
        <v>0.309</v>
      </c>
      <c r="Q17" s="16"/>
    </row>
    <row r="18" spans="1:17" x14ac:dyDescent="0.25">
      <c r="A18" s="27" t="s">
        <v>174</v>
      </c>
      <c r="B18" s="16">
        <v>0.85799999999999998</v>
      </c>
      <c r="C18" s="16">
        <f t="shared" si="1"/>
        <v>2.1428571428571352E-2</v>
      </c>
      <c r="D18" s="16">
        <f t="shared" si="2"/>
        <v>1.8000000000000016E-2</v>
      </c>
      <c r="E18" s="16"/>
      <c r="F18" s="16">
        <v>0.85799999999999998</v>
      </c>
      <c r="G18" s="16">
        <f t="shared" si="3"/>
        <v>-3.0508474576271261E-2</v>
      </c>
      <c r="H18" s="16">
        <f t="shared" si="4"/>
        <v>-2.7000000000000024E-2</v>
      </c>
      <c r="I18" s="16"/>
      <c r="J18">
        <v>0.72899999999999998</v>
      </c>
      <c r="K18" s="16">
        <f t="shared" si="6"/>
        <v>5.0432276657060626E-2</v>
      </c>
      <c r="L18" s="16">
        <f t="shared" si="7"/>
        <v>3.5000000000000031E-2</v>
      </c>
      <c r="M18" s="16"/>
      <c r="N18">
        <v>0.32300000000000001</v>
      </c>
      <c r="O18" s="16">
        <f t="shared" si="8"/>
        <v>-4.4361702127659575</v>
      </c>
      <c r="P18" s="16">
        <f t="shared" si="9"/>
        <v>0.41700000000000004</v>
      </c>
      <c r="Q18" s="16"/>
    </row>
    <row r="19" spans="1:17" x14ac:dyDescent="0.25">
      <c r="A19" s="27" t="s">
        <v>175</v>
      </c>
      <c r="B19" s="16">
        <v>0.84</v>
      </c>
      <c r="C19" s="16">
        <f t="shared" si="1"/>
        <v>-1.5240328253223967E-2</v>
      </c>
      <c r="D19" s="16">
        <f t="shared" si="2"/>
        <v>-1.3000000000000012E-2</v>
      </c>
      <c r="E19" s="16"/>
      <c r="F19" s="16">
        <v>0.84</v>
      </c>
      <c r="G19" s="16">
        <f t="shared" si="3"/>
        <v>-0.10733262486716255</v>
      </c>
      <c r="H19" s="16">
        <f t="shared" si="4"/>
        <v>-0.10099999999999998</v>
      </c>
      <c r="I19" s="16"/>
      <c r="J19">
        <v>0.72199999999999998</v>
      </c>
      <c r="K19" s="16">
        <f t="shared" si="6"/>
        <v>5.2478134110786945E-2</v>
      </c>
      <c r="L19" s="16">
        <f t="shared" si="7"/>
        <v>3.5999999999999921E-2</v>
      </c>
      <c r="M19" s="16"/>
      <c r="N19">
        <v>0.27100000000000002</v>
      </c>
      <c r="O19" s="16">
        <f t="shared" si="8"/>
        <v>-2.6227544910179641</v>
      </c>
      <c r="P19" s="16">
        <f t="shared" si="9"/>
        <v>0.43800000000000006</v>
      </c>
      <c r="Q19" s="16"/>
    </row>
    <row r="20" spans="1:17" x14ac:dyDescent="0.25">
      <c r="A20" s="27" t="s">
        <v>176</v>
      </c>
      <c r="B20" s="16">
        <v>0.85299999999999998</v>
      </c>
      <c r="C20" s="16">
        <f t="shared" si="1"/>
        <v>-4.264870931537601E-2</v>
      </c>
      <c r="D20" s="16">
        <f t="shared" si="2"/>
        <v>-3.8000000000000034E-2</v>
      </c>
      <c r="E20" s="16"/>
      <c r="F20" s="16">
        <v>0.85299999999999998</v>
      </c>
      <c r="G20" s="16">
        <f t="shared" si="3"/>
        <v>-0.17344961240310086</v>
      </c>
      <c r="H20" s="16">
        <f t="shared" si="4"/>
        <v>-0.17900000000000005</v>
      </c>
      <c r="I20" s="16"/>
      <c r="J20">
        <v>0.71699999999999997</v>
      </c>
      <c r="K20" s="16">
        <f t="shared" si="6"/>
        <v>6.2222222222222179E-2</v>
      </c>
      <c r="L20" s="16">
        <f t="shared" si="7"/>
        <v>4.1999999999999926E-2</v>
      </c>
      <c r="M20" s="16"/>
      <c r="N20">
        <v>0.20499999999999999</v>
      </c>
      <c r="O20" s="16">
        <f t="shared" si="8"/>
        <v>-1.9403669724770642</v>
      </c>
      <c r="P20" s="16">
        <f t="shared" si="9"/>
        <v>0.42299999999999999</v>
      </c>
      <c r="Q20" s="16"/>
    </row>
    <row r="21" spans="1:17" x14ac:dyDescent="0.25">
      <c r="A21" s="27" t="s">
        <v>177</v>
      </c>
      <c r="B21" s="16">
        <v>0.89100000000000001</v>
      </c>
      <c r="C21" s="16">
        <f t="shared" si="1"/>
        <v>6.7796610169492677E-3</v>
      </c>
      <c r="D21" s="16">
        <f t="shared" si="2"/>
        <v>6.0000000000000053E-3</v>
      </c>
      <c r="E21" s="16"/>
      <c r="F21" s="16">
        <v>0.89100000000000001</v>
      </c>
      <c r="G21" s="16">
        <f t="shared" si="3"/>
        <v>-0.17346938775510212</v>
      </c>
      <c r="H21" s="16">
        <f t="shared" si="4"/>
        <v>-0.18700000000000006</v>
      </c>
      <c r="I21" s="16"/>
      <c r="J21">
        <v>0.70599999999999996</v>
      </c>
      <c r="K21" s="16">
        <f t="shared" si="6"/>
        <v>8.4485407066052121E-2</v>
      </c>
      <c r="L21" s="16">
        <f t="shared" si="7"/>
        <v>5.4999999999999938E-2</v>
      </c>
      <c r="M21" s="16"/>
      <c r="N21">
        <v>2.5999999999999999E-2</v>
      </c>
      <c r="O21" s="16">
        <f t="shared" si="8"/>
        <v>-1.0988593155893536</v>
      </c>
      <c r="P21" s="16">
        <f t="shared" si="9"/>
        <v>0.28900000000000003</v>
      </c>
      <c r="Q21" s="16"/>
    </row>
    <row r="22" spans="1:17" x14ac:dyDescent="0.25">
      <c r="A22" s="27" t="s">
        <v>178</v>
      </c>
      <c r="B22" s="16">
        <v>0.88500000000000001</v>
      </c>
      <c r="C22" s="16">
        <f t="shared" si="1"/>
        <v>-5.9511158342189119E-2</v>
      </c>
      <c r="D22" s="16">
        <f t="shared" si="2"/>
        <v>-5.5999999999999939E-2</v>
      </c>
      <c r="E22" s="16"/>
      <c r="F22" s="16">
        <v>0.88500000000000001</v>
      </c>
      <c r="G22" s="16"/>
      <c r="H22" s="16"/>
      <c r="I22" s="16"/>
      <c r="J22">
        <v>0.69399999999999995</v>
      </c>
      <c r="K22" s="16"/>
      <c r="L22" s="16"/>
      <c r="M22" s="16"/>
      <c r="N22">
        <v>-9.4E-2</v>
      </c>
      <c r="O22" s="16"/>
      <c r="P22" s="16"/>
      <c r="Q22" s="16"/>
    </row>
    <row r="23" spans="1:17" x14ac:dyDescent="0.25">
      <c r="A23" s="27" t="s">
        <v>179</v>
      </c>
      <c r="B23" s="16">
        <v>0.94099999999999995</v>
      </c>
      <c r="C23" s="16">
        <f t="shared" si="1"/>
        <v>-8.8178294573643456E-2</v>
      </c>
      <c r="D23" s="16">
        <f t="shared" si="2"/>
        <v>-9.1000000000000081E-2</v>
      </c>
      <c r="E23" s="16"/>
      <c r="F23" s="16">
        <v>0.94099999999999995</v>
      </c>
      <c r="G23" s="16"/>
      <c r="H23" s="16"/>
      <c r="I23" s="16"/>
      <c r="J23">
        <v>0.68600000000000005</v>
      </c>
      <c r="K23" s="16"/>
      <c r="L23" s="16"/>
      <c r="M23" s="16"/>
      <c r="N23">
        <v>-0.16700000000000001</v>
      </c>
      <c r="O23" s="16"/>
      <c r="P23" s="16"/>
      <c r="Q23" s="16"/>
    </row>
    <row r="24" spans="1:17" x14ac:dyDescent="0.25">
      <c r="A24" s="27" t="s">
        <v>180</v>
      </c>
      <c r="B24" s="16">
        <v>1.032</v>
      </c>
      <c r="C24" s="16">
        <f t="shared" si="1"/>
        <v>-4.2671614100185606E-2</v>
      </c>
      <c r="D24" s="16">
        <f t="shared" si="2"/>
        <v>-4.6000000000000041E-2</v>
      </c>
      <c r="E24" s="16"/>
      <c r="F24" s="16">
        <v>1.032</v>
      </c>
      <c r="G24" s="16"/>
      <c r="H24" s="16"/>
      <c r="I24" s="16"/>
      <c r="J24">
        <v>0.67500000000000004</v>
      </c>
      <c r="K24" s="16"/>
      <c r="L24" s="16"/>
      <c r="M24" s="16"/>
      <c r="N24">
        <v>-0.218</v>
      </c>
      <c r="O24" s="16"/>
      <c r="P24" s="16"/>
      <c r="Q24" s="16"/>
    </row>
    <row r="25" spans="1:17" x14ac:dyDescent="0.25">
      <c r="A25" s="27" t="s">
        <v>181</v>
      </c>
      <c r="B25" s="16">
        <v>1.0780000000000001</v>
      </c>
      <c r="C25" s="16"/>
      <c r="D25" s="16"/>
      <c r="E25" s="16"/>
      <c r="F25" s="16">
        <v>1.0780000000000001</v>
      </c>
      <c r="G25" s="16"/>
      <c r="H25" s="16"/>
      <c r="I25" s="16"/>
      <c r="J25">
        <v>0.65100000000000002</v>
      </c>
      <c r="K25" s="16"/>
      <c r="L25" s="16"/>
      <c r="M25" s="16"/>
      <c r="N25">
        <v>-0.26300000000000001</v>
      </c>
      <c r="O25" s="16"/>
      <c r="P25" s="16"/>
      <c r="Q25" s="16"/>
    </row>
    <row r="26" spans="1:17" x14ac:dyDescent="0.25">
      <c r="A26" s="27" t="s">
        <v>182</v>
      </c>
      <c r="J26">
        <v>0.61799999999999999</v>
      </c>
      <c r="N26">
        <v>-0.36399999999999999</v>
      </c>
    </row>
    <row r="27" spans="1:17" x14ac:dyDescent="0.25">
      <c r="A27" s="27" t="s">
        <v>183</v>
      </c>
    </row>
    <row r="28" spans="1:17" x14ac:dyDescent="0.25">
      <c r="A28" s="27" t="s">
        <v>184</v>
      </c>
    </row>
    <row r="29" spans="1:17" x14ac:dyDescent="0.25">
      <c r="A29" s="27" t="s">
        <v>185</v>
      </c>
    </row>
    <row r="31" spans="1:17" x14ac:dyDescent="0.25">
      <c r="A31" s="26" t="s">
        <v>186</v>
      </c>
      <c r="C31" s="11">
        <f>AVERAGE(C2:C24)</f>
        <v>-5.9964107228365322E-2</v>
      </c>
      <c r="G31" s="11">
        <f>AVERAGE(G2:G24)</f>
        <v>-0.20439618723721636</v>
      </c>
      <c r="K31" s="11">
        <f>AVERAGE(K2:K24)</f>
        <v>2.2603918193063118E-2</v>
      </c>
      <c r="O31" s="11">
        <f>AVERAGE(O2:O8)</f>
        <v>2.8553403971673386E-2</v>
      </c>
    </row>
    <row r="32" spans="1:17" x14ac:dyDescent="0.25">
      <c r="A32" s="26" t="s">
        <v>187</v>
      </c>
      <c r="C32" s="11">
        <f>MEDIAN(C2:C24)</f>
        <v>-4.2671614100185606E-2</v>
      </c>
      <c r="G32" s="11">
        <f>MEDIAN(G2:G24)</f>
        <v>-0.17345950007910149</v>
      </c>
      <c r="K32" s="11">
        <f>MEDIAN(K2:K24)</f>
        <v>1.7567567567567499E-2</v>
      </c>
      <c r="O32" s="11">
        <f>MEDIAN(O2:O8)</f>
        <v>3.0182892829262786E-2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9"/>
  <sheetViews>
    <sheetView workbookViewId="0"/>
  </sheetViews>
  <sheetFormatPr defaultRowHeight="15" x14ac:dyDescent="0.25"/>
  <sheetData>
    <row r="1" spans="1:5" x14ac:dyDescent="0.25">
      <c r="B1" s="73" t="s">
        <v>188</v>
      </c>
      <c r="C1" s="73" t="s">
        <v>189</v>
      </c>
      <c r="D1" s="73" t="s">
        <v>11</v>
      </c>
      <c r="E1" s="73" t="s">
        <v>9</v>
      </c>
    </row>
    <row r="2" spans="1:5" x14ac:dyDescent="0.25">
      <c r="A2" s="73">
        <v>0</v>
      </c>
      <c r="B2">
        <v>3</v>
      </c>
      <c r="C2" t="s">
        <v>190</v>
      </c>
      <c r="D2">
        <v>1.344432055727198</v>
      </c>
      <c r="E2">
        <v>0.13386569679972249</v>
      </c>
    </row>
    <row r="3" spans="1:5" x14ac:dyDescent="0.25">
      <c r="A3" s="73">
        <v>1</v>
      </c>
      <c r="B3">
        <v>3</v>
      </c>
      <c r="C3" t="s">
        <v>191</v>
      </c>
      <c r="D3">
        <v>1.4519058396661531</v>
      </c>
      <c r="E3">
        <v>0.14131255518225791</v>
      </c>
    </row>
    <row r="4" spans="1:5" x14ac:dyDescent="0.25">
      <c r="A4" s="73">
        <v>2</v>
      </c>
      <c r="B4">
        <v>3</v>
      </c>
      <c r="C4" t="s">
        <v>192</v>
      </c>
      <c r="D4">
        <v>1.5768290846163311</v>
      </c>
      <c r="E4">
        <v>0.1499684867009542</v>
      </c>
    </row>
    <row r="5" spans="1:5" x14ac:dyDescent="0.25">
      <c r="A5" s="73">
        <v>3</v>
      </c>
      <c r="B5">
        <v>5</v>
      </c>
      <c r="C5" t="s">
        <v>190</v>
      </c>
      <c r="D5">
        <v>1.146580188769186</v>
      </c>
      <c r="E5">
        <v>0.12015654113443559</v>
      </c>
    </row>
    <row r="6" spans="1:5" x14ac:dyDescent="0.25">
      <c r="A6" s="73">
        <v>4</v>
      </c>
      <c r="B6">
        <v>5</v>
      </c>
      <c r="C6" t="s">
        <v>191</v>
      </c>
      <c r="D6">
        <v>0.94565346838336839</v>
      </c>
      <c r="E6">
        <v>0.1062343288781856</v>
      </c>
    </row>
    <row r="7" spans="1:5" x14ac:dyDescent="0.25">
      <c r="A7" s="73">
        <v>5</v>
      </c>
      <c r="B7">
        <v>5</v>
      </c>
      <c r="C7" t="s">
        <v>192</v>
      </c>
      <c r="D7">
        <v>1.073012583591709</v>
      </c>
      <c r="E7">
        <v>0.1150590418446541</v>
      </c>
    </row>
    <row r="8" spans="1:5" x14ac:dyDescent="0.25">
      <c r="A8" s="73">
        <v>6</v>
      </c>
      <c r="B8" t="s">
        <v>186</v>
      </c>
      <c r="D8">
        <v>1.256402203458991</v>
      </c>
      <c r="E8">
        <v>0.1277661084233683</v>
      </c>
    </row>
    <row r="9" spans="1:5" x14ac:dyDescent="0.25">
      <c r="A9" s="73">
        <v>7</v>
      </c>
      <c r="B9" t="s">
        <v>187</v>
      </c>
      <c r="D9">
        <v>1.245506122248192</v>
      </c>
      <c r="E9">
        <v>0.12701111896707901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WACC</vt:lpstr>
      <vt:lpstr>DCF_Simple</vt:lpstr>
      <vt:lpstr>Python</vt:lpstr>
      <vt:lpstr>Sheet3</vt:lpstr>
      <vt:lpstr>Beta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Chon</dc:creator>
  <cp:lastModifiedBy>Kyle Jennings</cp:lastModifiedBy>
  <cp:lastPrinted>2024-10-14T23:30:42Z</cp:lastPrinted>
  <dcterms:created xsi:type="dcterms:W3CDTF">2022-06-12T18:45:32Z</dcterms:created>
  <dcterms:modified xsi:type="dcterms:W3CDTF">2024-10-18T16:57:49Z</dcterms:modified>
</cp:coreProperties>
</file>