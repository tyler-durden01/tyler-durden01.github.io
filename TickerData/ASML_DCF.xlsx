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6" documentId="11_1CDFC1AA53287049B7522E0C51FB389C22906331" xr6:coauthVersionLast="47" xr6:coauthVersionMax="47" xr10:uidLastSave="{900BF0AC-331D-46A8-B2E8-75FBDAFBE670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3" l="1"/>
  <c r="U17" i="3"/>
  <c r="L8" i="3"/>
  <c r="M5" i="3"/>
  <c r="L11" i="3"/>
  <c r="N5" i="3"/>
  <c r="O5" i="3" s="1"/>
  <c r="P5" i="3" s="1"/>
  <c r="Q5" i="3" s="1"/>
  <c r="R5" i="3" s="1"/>
  <c r="S5" i="3" s="1"/>
  <c r="T5" i="3" s="1"/>
  <c r="U5" i="3" s="1"/>
  <c r="L5" i="3"/>
  <c r="O32" i="5"/>
  <c r="G3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K31" i="5"/>
  <c r="G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2" i="5" s="1"/>
  <c r="H3" i="5"/>
  <c r="G3" i="5"/>
  <c r="D3" i="5"/>
  <c r="C3" i="5"/>
  <c r="R2" i="5"/>
  <c r="H2" i="5"/>
  <c r="G2" i="5"/>
  <c r="D2" i="5"/>
  <c r="C2" i="5"/>
  <c r="C32" i="5" s="1"/>
  <c r="T1" i="5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S1" i="5"/>
  <c r="K10" i="3"/>
  <c r="C21" i="3" s="1"/>
  <c r="G10" i="3"/>
  <c r="F5" i="3"/>
  <c r="I4" i="3"/>
  <c r="H4" i="3"/>
  <c r="F4" i="3"/>
  <c r="K3" i="3"/>
  <c r="J3" i="3"/>
  <c r="G3" i="3"/>
  <c r="F3" i="3"/>
  <c r="L1" i="3"/>
  <c r="K1" i="3"/>
  <c r="K4" i="3" s="1"/>
  <c r="J1" i="3"/>
  <c r="J10" i="3" s="1"/>
  <c r="I1" i="3"/>
  <c r="I7" i="3" s="1"/>
  <c r="H1" i="3"/>
  <c r="H10" i="3" s="1"/>
  <c r="H11" i="3" s="1"/>
  <c r="G1" i="3"/>
  <c r="G7" i="3" s="1"/>
  <c r="F1" i="3"/>
  <c r="F7" i="3" s="1"/>
  <c r="E1" i="3"/>
  <c r="E4" i="3" s="1"/>
  <c r="D1" i="3"/>
  <c r="I8" i="3" l="1"/>
  <c r="G13" i="3"/>
  <c r="G8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F8" i="3"/>
  <c r="M1" i="3"/>
  <c r="L3" i="3"/>
  <c r="H5" i="3"/>
  <c r="D10" i="3"/>
  <c r="D3" i="3"/>
  <c r="D7" i="3"/>
  <c r="D4" i="3"/>
  <c r="E5" i="3" s="1"/>
  <c r="I5" i="3"/>
  <c r="H7" i="3"/>
  <c r="H3" i="3"/>
  <c r="J7" i="3"/>
  <c r="E10" i="3"/>
  <c r="E11" i="3" s="1"/>
  <c r="K11" i="3"/>
  <c r="M11" i="3" s="1"/>
  <c r="N11" i="3" s="1"/>
  <c r="O11" i="3" s="1"/>
  <c r="P11" i="3" s="1"/>
  <c r="Q11" i="3" s="1"/>
  <c r="R11" i="3" s="1"/>
  <c r="S11" i="3" s="1"/>
  <c r="T11" i="3" s="1"/>
  <c r="U11" i="3" s="1"/>
  <c r="I3" i="3"/>
  <c r="G4" i="3"/>
  <c r="G5" i="3" s="1"/>
  <c r="K7" i="3"/>
  <c r="F10" i="3"/>
  <c r="G11" i="3" s="1"/>
  <c r="C31" i="5"/>
  <c r="E7" i="3"/>
  <c r="J4" i="3"/>
  <c r="J5" i="3" s="1"/>
  <c r="I10" i="3"/>
  <c r="I11" i="3" s="1"/>
  <c r="E3" i="3"/>
  <c r="C20" i="3"/>
  <c r="E13" i="3" l="1"/>
  <c r="E8" i="3"/>
  <c r="J8" i="3"/>
  <c r="J13" i="3"/>
  <c r="K5" i="3"/>
  <c r="H13" i="3"/>
  <c r="H8" i="3"/>
  <c r="K13" i="3"/>
  <c r="K8" i="3"/>
  <c r="M3" i="3"/>
  <c r="N1" i="3"/>
  <c r="F11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F13" i="3"/>
  <c r="J11" i="3"/>
  <c r="I13" i="3"/>
  <c r="D8" i="3"/>
  <c r="D13" i="3"/>
  <c r="O1" i="3" l="1"/>
  <c r="N3" i="3"/>
  <c r="L7" i="3" l="1"/>
  <c r="L13" i="3" s="1"/>
  <c r="L14" i="3" s="1"/>
  <c r="M8" i="3"/>
  <c r="O3" i="3"/>
  <c r="P1" i="3"/>
  <c r="Q1" i="3" l="1"/>
  <c r="P3" i="3"/>
  <c r="N8" i="3"/>
  <c r="M7" i="3"/>
  <c r="M13" i="3" s="1"/>
  <c r="M14" i="3" s="1"/>
  <c r="N7" i="3" l="1"/>
  <c r="N13" i="3" s="1"/>
  <c r="N14" i="3" s="1"/>
  <c r="O8" i="3"/>
  <c r="Q3" i="3"/>
  <c r="R1" i="3"/>
  <c r="O7" i="3" l="1"/>
  <c r="O13" i="3" s="1"/>
  <c r="O14" i="3" s="1"/>
  <c r="P8" i="3"/>
  <c r="S1" i="3"/>
  <c r="R3" i="3"/>
  <c r="Q8" i="3" l="1"/>
  <c r="P7" i="3"/>
  <c r="P13" i="3" s="1"/>
  <c r="P14" i="3" s="1"/>
  <c r="S3" i="3"/>
  <c r="T1" i="3"/>
  <c r="U1" i="3" l="1"/>
  <c r="U3" i="3" s="1"/>
  <c r="T3" i="3"/>
  <c r="Q7" i="3"/>
  <c r="Q13" i="3" s="1"/>
  <c r="Q14" i="3" s="1"/>
  <c r="R8" i="3"/>
  <c r="S8" i="3" l="1"/>
  <c r="R7" i="3"/>
  <c r="R13" i="3" s="1"/>
  <c r="R14" i="3" s="1"/>
  <c r="T8" i="3" l="1"/>
  <c r="S7" i="3"/>
  <c r="S13" i="3" s="1"/>
  <c r="S14" i="3" s="1"/>
  <c r="T7" i="3" l="1"/>
  <c r="T13" i="3" s="1"/>
  <c r="T14" i="3" s="1"/>
  <c r="U8" i="3"/>
  <c r="U7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<sst xmlns="http://schemas.openxmlformats.org/spreadsheetml/2006/main" count="217" uniqueCount="197">
  <si>
    <t>This sheet contains FactSet XML data for use with this workbook's =FDS codes.  Modifying the worksheet's contents may damage the workbook's =FDS functionality.</t>
  </si>
  <si>
    <t>ASML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</si>
  <si>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</si>
  <si>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</si>
  <si>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</si>
  <si>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</si>
  <si>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</si>
  <si>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</si>
  <si>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</si>
  <si>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</si>
  <si>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</si>
  <si>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</si>
  <si>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</si>
  <si>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</si>
  <si>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</si>
  <si>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</si>
  <si>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</si>
  <si>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</si>
  <si>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</si>
  <si>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</si>
  <si>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</si>
  <si>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</si>
  <si>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</si>
  <si>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</si>
  <si>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</si>
  <si>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</si>
  <si>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</si>
  <si>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</si>
  <si>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</si>
  <si>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</si>
  <si>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</si>
  <si>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</si>
  <si>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</si>
  <si>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2024-09-29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</si>
  <si>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</si>
  <si>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</si>
  <si>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</si>
  <si>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</si>
  <si>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</si>
  <si>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</si>
  <si>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</si>
  <si>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2022-10-02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</si>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</sst>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5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  <xf numFmtId="44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4" sqref="B14"/>
    </sheetView>
  </sheetViews>
  <sheetFormatPr defaultRowHeight="15" x14ac:dyDescent="0.25"/>
  <cols>
    <col min="1" max="1" width="20.7109375" bestFit="1" customWidth="1"/>
    <col min="2" max="2" width="12" bestFit="1" customWidth="1"/>
  </cols>
  <sheetData>
    <row r="1" spans="1:2" x14ac:dyDescent="0.25">
      <c r="B1" s="73" t="s">
        <v>1</v>
      </c>
    </row>
    <row r="2" spans="1:2" x14ac:dyDescent="0.25">
      <c r="A2" s="73" t="s">
        <v>2</v>
      </c>
      <c r="B2">
        <v>25614500000</v>
      </c>
    </row>
    <row r="3" spans="1:2" x14ac:dyDescent="0.25">
      <c r="A3" s="73" t="s">
        <v>3</v>
      </c>
      <c r="B3">
        <v>4692200000</v>
      </c>
    </row>
    <row r="4" spans="1:2" x14ac:dyDescent="0.25">
      <c r="A4" s="73" t="s">
        <v>4</v>
      </c>
      <c r="B4">
        <v>0.22511250347825251</v>
      </c>
    </row>
    <row r="5" spans="1:2" x14ac:dyDescent="0.25">
      <c r="A5" s="73" t="s">
        <v>5</v>
      </c>
      <c r="B5">
        <v>2.706619496185158E-3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16151600000</v>
      </c>
    </row>
    <row r="8" spans="1:2" x14ac:dyDescent="0.25">
      <c r="A8" s="73" t="s">
        <v>8</v>
      </c>
      <c r="B8">
        <v>0.77488749652174749</v>
      </c>
    </row>
    <row r="9" spans="1:2" x14ac:dyDescent="0.25">
      <c r="A9" s="73" t="s">
        <v>9</v>
      </c>
      <c r="B9">
        <v>0.158981032541574</v>
      </c>
    </row>
    <row r="10" spans="1:2" x14ac:dyDescent="0.25">
      <c r="A10" s="73" t="s">
        <v>10</v>
      </c>
      <c r="B10">
        <v>4.0850000381469728E-2</v>
      </c>
    </row>
    <row r="11" spans="1:2" x14ac:dyDescent="0.25">
      <c r="A11" s="73" t="s">
        <v>11</v>
      </c>
      <c r="B11">
        <v>1.708330192505864</v>
      </c>
    </row>
    <row r="12" spans="1:2" x14ac:dyDescent="0.25">
      <c r="A12" s="73" t="s">
        <v>12</v>
      </c>
      <c r="B12">
        <v>6.9149999618530272E-2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0.1236737564742747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U18" sqref="U18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7767</v>
      </c>
      <c r="E4" s="36">
        <f>IFERROR(INDEX(Python!$1:$1048576,MATCH(DCF_Simple!E$1,Python!$A:$A,0),MATCH(DCF_Simple!$B4,Python!$1:$1,0))/1000000,0)</f>
        <v>10033.200000000001</v>
      </c>
      <c r="F4" s="36">
        <f>IFERROR(INDEX(Python!$1:$1048576,MATCH(DCF_Simple!F$1,Python!$A:$A,0),MATCH(DCF_Simple!$B4,Python!$1:$1,0))/1000000,0)</f>
        <v>10715.6</v>
      </c>
      <c r="G4" s="36">
        <f>IFERROR(INDEX(Python!$1:$1048576,MATCH(DCF_Simple!G$1,Python!$A:$A,0),MATCH(DCF_Simple!$B4,Python!$1:$1,0))/1000000,0)</f>
        <v>12789.2</v>
      </c>
      <c r="H4" s="36">
        <f>IFERROR(INDEX(Python!$1:$1048576,MATCH(DCF_Simple!H$1,Python!$A:$A,0),MATCH(DCF_Simple!$B4,Python!$1:$1,0))/1000000,0)</f>
        <v>16596.2</v>
      </c>
      <c r="I4" s="36">
        <f>IFERROR(INDEX(Python!$1:$1048576,MATCH(DCF_Simple!I$1,Python!$A:$A,0),MATCH(DCF_Simple!$B4,Python!$1:$1,0))/1000000,0)</f>
        <v>19191.8</v>
      </c>
      <c r="J4" s="36">
        <f>IFERROR(INDEX(Python!$1:$1048576,MATCH(DCF_Simple!J$1,Python!$A:$A,0),MATCH(DCF_Simple!$B4,Python!$1:$1,0))/1000000,0)</f>
        <v>25857</v>
      </c>
      <c r="K4" s="55">
        <f>IFERROR(INDEX(Python!$1:$1048576,MATCH(DCF_Simple!K$1,Python!$A:$A,0),MATCH(DCF_Simple!$B4,Python!$1:$1,0))/1000000,0)</f>
        <v>25442.799999999999</v>
      </c>
      <c r="L4" s="37">
        <f t="shared" ref="L4:U4" si="2">K4*(1+L5)</f>
        <v>35083.932474470334</v>
      </c>
      <c r="M4" s="36">
        <f t="shared" si="2"/>
        <v>41731.173358173</v>
      </c>
      <c r="N4" s="36">
        <f t="shared" si="2"/>
        <v>49637.845789297586</v>
      </c>
      <c r="O4" s="36">
        <f t="shared" si="2"/>
        <v>59042.570249693999</v>
      </c>
      <c r="P4" s="36">
        <f t="shared" si="2"/>
        <v>70229.177883494543</v>
      </c>
      <c r="Q4" s="36">
        <f t="shared" si="2"/>
        <v>83535.276417223402</v>
      </c>
      <c r="R4" s="36">
        <f t="shared" si="2"/>
        <v>99362.439037492179</v>
      </c>
      <c r="S4" s="36">
        <f t="shared" si="2"/>
        <v>118188.32372288343</v>
      </c>
      <c r="T4" s="36">
        <f t="shared" si="2"/>
        <v>140581.08878702545</v>
      </c>
      <c r="U4" s="36">
        <f t="shared" si="2"/>
        <v>167216.5396886752</v>
      </c>
      <c r="V4" s="19">
        <f>U4</f>
        <v>167216.5396886752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0.29177288528389345</v>
      </c>
      <c r="F5" s="42">
        <f t="shared" si="3"/>
        <v>6.8014192879639612E-2</v>
      </c>
      <c r="G5" s="42">
        <f t="shared" si="3"/>
        <v>0.19351226249580056</v>
      </c>
      <c r="H5" s="42">
        <f t="shared" si="3"/>
        <v>0.29767303662465205</v>
      </c>
      <c r="I5" s="42">
        <f t="shared" si="3"/>
        <v>0.15639724756269491</v>
      </c>
      <c r="J5" s="42">
        <f t="shared" si="3"/>
        <v>0.34729415687950072</v>
      </c>
      <c r="K5" s="58">
        <f t="shared" si="3"/>
        <v>-1.6018873032447756E-2</v>
      </c>
      <c r="L5" s="43">
        <f>Python!F2*0.65</f>
        <v>0.37893362658474455</v>
      </c>
      <c r="M5" s="43">
        <f>L5/2</f>
        <v>0.18946681329237228</v>
      </c>
      <c r="N5" s="38">
        <f t="shared" ref="N5:U5" si="4">M5</f>
        <v>0.18946681329237228</v>
      </c>
      <c r="O5" s="38">
        <f t="shared" si="4"/>
        <v>0.18946681329237228</v>
      </c>
      <c r="P5" s="38">
        <f t="shared" si="4"/>
        <v>0.18946681329237228</v>
      </c>
      <c r="Q5" s="38">
        <f t="shared" si="4"/>
        <v>0.18946681329237228</v>
      </c>
      <c r="R5" s="38">
        <f t="shared" si="4"/>
        <v>0.18946681329237228</v>
      </c>
      <c r="S5" s="38">
        <f t="shared" si="4"/>
        <v>0.18946681329237228</v>
      </c>
      <c r="T5" s="38">
        <f t="shared" si="4"/>
        <v>0.18946681329237228</v>
      </c>
      <c r="U5" s="38">
        <f t="shared" si="4"/>
        <v>0.18946681329237228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1495.3</v>
      </c>
      <c r="E7" s="52">
        <f>IFERROR(INDEX(Python!$1:$1048576,MATCH(DCF_Simple!E$1,Python!$A:$A,0),MATCH(DCF_Simple!$B7,Python!$1:$1,0))/1000000,0)</f>
        <v>1897.2000009999999</v>
      </c>
      <c r="F7" s="52">
        <f>IFERROR(INDEX(Python!$1:$1048576,MATCH(DCF_Simple!F$1,Python!$A:$A,0),MATCH(DCF_Simple!$B7,Python!$1:$1,0))/1000000,0)</f>
        <v>1157.3</v>
      </c>
      <c r="G7" s="52">
        <f>IFERROR(INDEX(Python!$1:$1048576,MATCH(DCF_Simple!G$1,Python!$A:$A,0),MATCH(DCF_Simple!$B7,Python!$1:$1,0))/1000000,0)</f>
        <v>2475.9</v>
      </c>
      <c r="H7" s="52">
        <f>IFERROR(INDEX(Python!$1:$1048576,MATCH(DCF_Simple!H$1,Python!$A:$A,0),MATCH(DCF_Simple!$B7,Python!$1:$1,0))/1000000,0)</f>
        <v>6552.8</v>
      </c>
      <c r="I7" s="52">
        <f>IFERROR(INDEX(Python!$1:$1048576,MATCH(DCF_Simple!I$1,Python!$A:$A,0),MATCH(DCF_Simple!$B7,Python!$1:$1,0))/1000000,0)</f>
        <v>9237.6</v>
      </c>
      <c r="J7" s="52">
        <f>IFERROR(INDEX(Python!$1:$1048576,MATCH(DCF_Simple!J$1,Python!$A:$A,0),MATCH(DCF_Simple!$B7,Python!$1:$1,0))/1000000,0)</f>
        <v>5758.3</v>
      </c>
      <c r="K7" s="57">
        <f>IFERROR(INDEX(Python!$1:$1048576,MATCH(DCF_Simple!K$1,Python!$A:$A,0),MATCH(DCF_Simple!$B7,Python!$1:$1,0))/1000000,0)</f>
        <v>2930.7</v>
      </c>
      <c r="L7" s="64">
        <f t="shared" ref="L7:U7" si="5">L8*L4</f>
        <v>8320.4174892671435</v>
      </c>
      <c r="M7" s="64">
        <f t="shared" si="5"/>
        <v>9896.8604762207106</v>
      </c>
      <c r="N7" s="64">
        <f t="shared" si="5"/>
        <v>11771.987092249479</v>
      </c>
      <c r="O7" s="64">
        <f t="shared" si="5"/>
        <v>14002.387972736928</v>
      </c>
      <c r="P7" s="64">
        <f t="shared" si="5"/>
        <v>16655.375800414833</v>
      </c>
      <c r="Q7" s="64">
        <f t="shared" si="5"/>
        <v>19811.016777506327</v>
      </c>
      <c r="R7" s="64">
        <f t="shared" si="5"/>
        <v>23564.546994422173</v>
      </c>
      <c r="S7" s="64">
        <f t="shared" si="5"/>
        <v>28029.24662013369</v>
      </c>
      <c r="T7" s="64">
        <f t="shared" si="5"/>
        <v>33339.858656236422</v>
      </c>
      <c r="U7" s="64">
        <f t="shared" si="5"/>
        <v>39656.655431451647</v>
      </c>
      <c r="V7" s="65">
        <f>U7</f>
        <v>39656.655431451647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0.19251963435045705</v>
      </c>
      <c r="E8" s="42">
        <f t="shared" si="6"/>
        <v>0.189092213949687</v>
      </c>
      <c r="F8" s="42">
        <f t="shared" si="6"/>
        <v>0.1080014184926649</v>
      </c>
      <c r="G8" s="42">
        <f t="shared" si="6"/>
        <v>0.19359303162042973</v>
      </c>
      <c r="H8" s="42">
        <f t="shared" si="6"/>
        <v>0.39483737241055178</v>
      </c>
      <c r="I8" s="42">
        <f t="shared" si="6"/>
        <v>0.48133056826352927</v>
      </c>
      <c r="J8" s="42">
        <f t="shared" si="6"/>
        <v>0.22269791545809647</v>
      </c>
      <c r="K8" s="58">
        <f t="shared" si="6"/>
        <v>0.11518779379628027</v>
      </c>
      <c r="L8" s="38">
        <f>AVERAGE(D8:K8)</f>
        <v>0.23715749354271207</v>
      </c>
      <c r="M8" s="38">
        <f t="shared" ref="M8:U8" si="7">L8</f>
        <v>0.23715749354271207</v>
      </c>
      <c r="N8" s="38">
        <f t="shared" si="7"/>
        <v>0.23715749354271207</v>
      </c>
      <c r="O8" s="38">
        <f t="shared" si="7"/>
        <v>0.23715749354271207</v>
      </c>
      <c r="P8" s="38">
        <f t="shared" si="7"/>
        <v>0.23715749354271207</v>
      </c>
      <c r="Q8" s="38">
        <f t="shared" si="7"/>
        <v>0.23715749354271207</v>
      </c>
      <c r="R8" s="38">
        <f t="shared" si="7"/>
        <v>0.23715749354271207</v>
      </c>
      <c r="S8" s="38">
        <f t="shared" si="7"/>
        <v>0.23715749354271207</v>
      </c>
      <c r="T8" s="38">
        <f t="shared" si="7"/>
        <v>0.23715749354271207</v>
      </c>
      <c r="U8" s="38">
        <f t="shared" si="7"/>
        <v>0.23715749354271207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434.83304099999998</v>
      </c>
      <c r="E10" s="17">
        <f>IFERROR(INDEX(Python!$1:$1048576,MATCH(DCF_Simple!E$1,Python!$A:$A,0),MATCH(DCF_Simple!$B10,Python!$1:$1,0))/1000000,0)</f>
        <v>427.6</v>
      </c>
      <c r="F10" s="17">
        <f>IFERROR(INDEX(Python!$1:$1048576,MATCH(DCF_Simple!F$1,Python!$A:$A,0),MATCH(DCF_Simple!$B10,Python!$1:$1,0))/1000000,0)</f>
        <v>421.8</v>
      </c>
      <c r="G10" s="17">
        <f>IFERROR(INDEX(Python!$1:$1048576,MATCH(DCF_Simple!G$1,Python!$A:$A,0),MATCH(DCF_Simple!$B10,Python!$1:$1,0))/1000000,0)</f>
        <v>419.55307199999999</v>
      </c>
      <c r="H10" s="17">
        <f>IFERROR(INDEX(Python!$1:$1048576,MATCH(DCF_Simple!H$1,Python!$A:$A,0),MATCH(DCF_Simple!$B10,Python!$1:$1,0))/1000000,0)</f>
        <v>412</v>
      </c>
      <c r="I10" s="17">
        <f>IFERROR(INDEX(Python!$1:$1048576,MATCH(DCF_Simple!I$1,Python!$A:$A,0),MATCH(DCF_Simple!$B10,Python!$1:$1,0))/1000000,0)</f>
        <v>401.6</v>
      </c>
      <c r="J10" s="17">
        <f>IFERROR(INDEX(Python!$1:$1048576,MATCH(DCF_Simple!J$1,Python!$A:$A,0),MATCH(DCF_Simple!$B10,Python!$1:$1,0))/1000000,0)</f>
        <v>394</v>
      </c>
      <c r="K10" s="69">
        <f>IFERROR(INDEX(Python!$1:$1048576,MATCH(DCF_Simple!K$1,Python!$A:$A,0),MATCH(DCF_Simple!$B10,Python!$1:$1,0))/1000000,0)</f>
        <v>393.5</v>
      </c>
      <c r="L10" s="17">
        <f t="shared" ref="L10:U10" si="8">K10*(1+L11)</f>
        <v>387.93681727503349</v>
      </c>
      <c r="M10" s="17">
        <f t="shared" si="8"/>
        <v>382.4522851270209</v>
      </c>
      <c r="N10" s="17">
        <f t="shared" si="8"/>
        <v>377.04529161814514</v>
      </c>
      <c r="O10" s="17">
        <f t="shared" si="8"/>
        <v>371.71474053082613</v>
      </c>
      <c r="P10" s="17">
        <f t="shared" si="8"/>
        <v>366.45955114547291</v>
      </c>
      <c r="Q10" s="17">
        <f t="shared" si="8"/>
        <v>361.27865802137768</v>
      </c>
      <c r="R10" s="17">
        <f t="shared" si="8"/>
        <v>356.17101078070777</v>
      </c>
      <c r="S10" s="17">
        <f t="shared" si="8"/>
        <v>351.13557389555126</v>
      </c>
      <c r="T10" s="17">
        <f t="shared" si="8"/>
        <v>346.17132647797331</v>
      </c>
      <c r="U10" s="17">
        <f t="shared" si="8"/>
        <v>341.27726207304067</v>
      </c>
      <c r="V10" s="70">
        <f>U10</f>
        <v>341.27726207304067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-1.6634064843292218E-2</v>
      </c>
      <c r="F11" s="42">
        <f t="shared" si="9"/>
        <v>-1.3564078578110372E-2</v>
      </c>
      <c r="G11" s="42">
        <f t="shared" si="9"/>
        <v>-5.326998577524944E-3</v>
      </c>
      <c r="H11" s="42">
        <f t="shared" si="9"/>
        <v>-1.8002661651348784E-2</v>
      </c>
      <c r="I11" s="42">
        <f t="shared" si="9"/>
        <v>-2.5242718446601864E-2</v>
      </c>
      <c r="J11" s="42">
        <f t="shared" si="9"/>
        <v>-1.8924302788844716E-2</v>
      </c>
      <c r="K11" s="58">
        <f t="shared" si="9"/>
        <v>-1.2690355329949554E-3</v>
      </c>
      <c r="L11" s="67">
        <f>AVERAGE(E11:K11)</f>
        <v>-1.4137694345531122E-2</v>
      </c>
      <c r="M11" s="67">
        <f t="shared" ref="L11:U11" si="10">L11</f>
        <v>-1.4137694345531122E-2</v>
      </c>
      <c r="N11" s="67">
        <f t="shared" si="10"/>
        <v>-1.4137694345531122E-2</v>
      </c>
      <c r="O11" s="67">
        <f t="shared" si="10"/>
        <v>-1.4137694345531122E-2</v>
      </c>
      <c r="P11" s="67">
        <f t="shared" si="10"/>
        <v>-1.4137694345531122E-2</v>
      </c>
      <c r="Q11" s="67">
        <f t="shared" si="10"/>
        <v>-1.4137694345531122E-2</v>
      </c>
      <c r="R11" s="67">
        <f t="shared" si="10"/>
        <v>-1.4137694345531122E-2</v>
      </c>
      <c r="S11" s="67">
        <f t="shared" si="10"/>
        <v>-1.4137694345531122E-2</v>
      </c>
      <c r="T11" s="67">
        <f t="shared" si="10"/>
        <v>-1.4137694345531122E-2</v>
      </c>
      <c r="U11" s="67">
        <f t="shared" si="10"/>
        <v>-1.4137694345531122E-2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3.4387911198312091</v>
      </c>
      <c r="E13" s="53">
        <f t="shared" si="11"/>
        <v>4.436856877923292</v>
      </c>
      <c r="F13" s="53">
        <f t="shared" si="11"/>
        <v>2.7437174016121384</v>
      </c>
      <c r="G13" s="53">
        <f t="shared" si="11"/>
        <v>5.9012796359646256</v>
      </c>
      <c r="H13" s="53">
        <f t="shared" si="11"/>
        <v>15.904854368932039</v>
      </c>
      <c r="I13" s="53">
        <f t="shared" si="11"/>
        <v>23.001992031872511</v>
      </c>
      <c r="J13" s="53">
        <f t="shared" si="11"/>
        <v>14.61497461928934</v>
      </c>
      <c r="K13" s="59">
        <f t="shared" si="11"/>
        <v>7.4477763659466323</v>
      </c>
      <c r="L13" s="53">
        <f t="shared" ref="L13:U13" si="12">L7/L10</f>
        <v>21.44786758759291</v>
      </c>
      <c r="M13" s="53">
        <f t="shared" si="12"/>
        <v>25.877373102722458</v>
      </c>
      <c r="N13" s="53">
        <f t="shared" si="12"/>
        <v>31.221679076612443</v>
      </c>
      <c r="O13" s="53">
        <f t="shared" si="12"/>
        <v>37.66971401979071</v>
      </c>
      <c r="P13" s="53">
        <f t="shared" si="12"/>
        <v>45.449424768310031</v>
      </c>
      <c r="Q13" s="53">
        <f t="shared" si="12"/>
        <v>54.835834715523283</v>
      </c>
      <c r="R13" s="53">
        <f t="shared" si="12"/>
        <v>66.160766264413127</v>
      </c>
      <c r="S13" s="53">
        <f t="shared" si="12"/>
        <v>79.82457120243609</v>
      </c>
      <c r="T13" s="53">
        <f t="shared" si="12"/>
        <v>96.310283683642467</v>
      </c>
      <c r="U13" s="53">
        <f t="shared" si="12"/>
        <v>116.20069614530684</v>
      </c>
      <c r="V13" s="72">
        <f>U13*(1+WACC!$B$13)/(WACC!$B$14-WACC!$B$13)</f>
        <v>1143.2469903569411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19.087272853011527</v>
      </c>
      <c r="M14" s="62">
        <f>M13/((1+WACC!$B$14)^(M3-$K$3))</f>
        <v>20.494612511922021</v>
      </c>
      <c r="N14" s="62">
        <f>N13/((1+WACC!$B$14)^(N3-$K$3))</f>
        <v>22.005717906817676</v>
      </c>
      <c r="O14" s="62">
        <f>O13/((1+WACC!$B$14)^(O3-$K$3))</f>
        <v>23.628239875857119</v>
      </c>
      <c r="P14" s="62">
        <f>P13/((1+WACC!$B$14)^(P3-$K$3))</f>
        <v>25.370393367538227</v>
      </c>
      <c r="Q14" s="62">
        <f>Q13/((1+WACC!$B$14)^(Q3-$K$3))</f>
        <v>27.240999033588782</v>
      </c>
      <c r="R14" s="62">
        <f>R13/((1+WACC!$B$14)^(R3-$K$3))</f>
        <v>29.249527888577266</v>
      </c>
      <c r="S14" s="62">
        <f>S13/((1+WACC!$B$14)^(S3-$K$3))</f>
        <v>31.406149262358717</v>
      </c>
      <c r="T14" s="62">
        <f>T13/((1+WACC!$B$14)^(T3-$K$3))</f>
        <v>33.721782288142521</v>
      </c>
      <c r="U14" s="62">
        <f>U13/((1+WACC!$B$14)^(U3-$K$3))</f>
        <v>36.208151186869742</v>
      </c>
      <c r="V14" s="63">
        <f>V13/((1+WACC!$B$14)^(U3-$K$3))</f>
        <v>356.23590257165432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356.23590257165432</v>
      </c>
      <c r="L17" s="16">
        <f>C17/$C$19</f>
        <v>0.57029795270800621</v>
      </c>
      <c r="O17" s="18"/>
      <c r="U17" s="74">
        <f>U14*20</f>
        <v>724.16302373739484</v>
      </c>
    </row>
    <row r="18" spans="2:22" x14ac:dyDescent="0.25">
      <c r="B18" s="8" t="s">
        <v>26</v>
      </c>
      <c r="C18" s="32">
        <f>SUM(14:14)-V14</f>
        <v>268.41284617468369</v>
      </c>
      <c r="K18" s="3"/>
      <c r="L18" s="16">
        <f>C18/$C$19</f>
        <v>0.42970204729199379</v>
      </c>
      <c r="O18" s="24"/>
      <c r="P18" s="24"/>
      <c r="Q18" s="24"/>
      <c r="R18" s="24"/>
      <c r="S18" s="24"/>
      <c r="T18" s="24"/>
      <c r="U18" s="24">
        <f>U13*20</f>
        <v>2324.0139229061369</v>
      </c>
      <c r="V18" s="24"/>
    </row>
    <row r="19" spans="2:22" x14ac:dyDescent="0.25">
      <c r="B19" s="5" t="s">
        <v>27</v>
      </c>
      <c r="C19" s="33">
        <f>C17+C18</f>
        <v>624.64874874633801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7.4477763659466323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11.924269377382464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620.17225573490225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2"/>
  <sheetViews>
    <sheetView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9.5703125" bestFit="1" customWidth="1"/>
    <col min="4" max="4" width="26.28515625" bestFit="1" customWidth="1"/>
    <col min="5" max="5" width="19.85546875" bestFit="1" customWidth="1"/>
    <col min="6" max="6" width="27" bestFit="1" customWidth="1"/>
  </cols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B2" s="17">
        <v>26237100000</v>
      </c>
      <c r="C2">
        <v>2839400000</v>
      </c>
      <c r="D2">
        <v>393600000</v>
      </c>
      <c r="E2">
        <v>4984500000</v>
      </c>
      <c r="F2">
        <v>0.58297481013037622</v>
      </c>
    </row>
    <row r="3" spans="1:6" x14ac:dyDescent="0.25">
      <c r="A3" s="73" t="s">
        <v>34</v>
      </c>
      <c r="B3" s="17">
        <v>25442800000</v>
      </c>
      <c r="C3">
        <v>2930700000</v>
      </c>
      <c r="D3">
        <v>393500000</v>
      </c>
      <c r="E3">
        <v>5018900000</v>
      </c>
      <c r="F3">
        <v>-4.8104255103371352E-2</v>
      </c>
    </row>
    <row r="4" spans="1:6" x14ac:dyDescent="0.25">
      <c r="A4" s="73" t="s">
        <v>35</v>
      </c>
      <c r="B4" s="17">
        <v>26102300000</v>
      </c>
      <c r="C4">
        <v>2392200000</v>
      </c>
      <c r="D4">
        <v>393700000</v>
      </c>
      <c r="E4">
        <v>5406100000</v>
      </c>
    </row>
    <row r="5" spans="1:6" x14ac:dyDescent="0.25">
      <c r="A5" s="73" t="s">
        <v>36</v>
      </c>
      <c r="B5" s="17">
        <v>27558500000</v>
      </c>
      <c r="C5">
        <v>3269500000</v>
      </c>
      <c r="D5">
        <v>393800000</v>
      </c>
      <c r="E5">
        <v>7010100000</v>
      </c>
    </row>
    <row r="6" spans="1:6" x14ac:dyDescent="0.25">
      <c r="A6" s="73" t="s">
        <v>37</v>
      </c>
      <c r="B6" s="17">
        <v>26751700000</v>
      </c>
      <c r="C6">
        <v>5571700000</v>
      </c>
      <c r="D6">
        <v>393700000</v>
      </c>
      <c r="E6">
        <v>4980900000</v>
      </c>
    </row>
    <row r="7" spans="1:6" x14ac:dyDescent="0.25">
      <c r="A7" s="73" t="s">
        <v>38</v>
      </c>
      <c r="B7" s="17">
        <v>25857000000</v>
      </c>
      <c r="C7">
        <v>5758300000</v>
      </c>
      <c r="D7">
        <v>394000000</v>
      </c>
      <c r="E7">
        <v>6346400000</v>
      </c>
    </row>
    <row r="8" spans="1:6" x14ac:dyDescent="0.25">
      <c r="A8" s="73" t="s">
        <v>39</v>
      </c>
      <c r="B8" s="17">
        <v>24385200000</v>
      </c>
      <c r="C8">
        <v>8226800000</v>
      </c>
      <c r="D8">
        <v>394800000</v>
      </c>
      <c r="E8">
        <v>6652500000</v>
      </c>
    </row>
    <row r="9" spans="1:6" x14ac:dyDescent="0.25">
      <c r="A9" s="73" t="s">
        <v>40</v>
      </c>
      <c r="B9" s="17">
        <v>21173400000</v>
      </c>
      <c r="C9">
        <v>7199000000</v>
      </c>
      <c r="D9">
        <v>395200000</v>
      </c>
      <c r="E9">
        <v>7376000000</v>
      </c>
      <c r="F9">
        <v>0.30445683568677778</v>
      </c>
    </row>
    <row r="10" spans="1:6" x14ac:dyDescent="0.25">
      <c r="A10" s="73" t="s">
        <v>41</v>
      </c>
      <c r="B10" s="17">
        <v>19728800000</v>
      </c>
      <c r="C10">
        <v>8445900000</v>
      </c>
      <c r="D10">
        <v>396600000</v>
      </c>
      <c r="E10">
        <v>3362800000</v>
      </c>
    </row>
    <row r="11" spans="1:6" x14ac:dyDescent="0.25">
      <c r="A11" s="73" t="s">
        <v>42</v>
      </c>
      <c r="B11" s="17">
        <v>19191800000</v>
      </c>
      <c r="C11">
        <v>9237600000</v>
      </c>
      <c r="D11">
        <v>401600000</v>
      </c>
      <c r="E11">
        <v>4401900000</v>
      </c>
      <c r="F11">
        <v>0.39058007064325162</v>
      </c>
    </row>
    <row r="12" spans="1:6" x14ac:dyDescent="0.25">
      <c r="A12" s="73" t="s">
        <v>43</v>
      </c>
      <c r="B12" s="17">
        <v>17781500000</v>
      </c>
      <c r="C12">
        <v>10250000000</v>
      </c>
      <c r="D12">
        <v>401500000</v>
      </c>
      <c r="E12">
        <v>4722600000</v>
      </c>
      <c r="F12">
        <v>-0.31988604596805609</v>
      </c>
    </row>
    <row r="13" spans="1:6" x14ac:dyDescent="0.25">
      <c r="A13" s="73" t="s">
        <v>44</v>
      </c>
      <c r="B13" s="17">
        <v>18611000000</v>
      </c>
      <c r="C13">
        <v>9945100000</v>
      </c>
      <c r="D13">
        <v>405000000</v>
      </c>
      <c r="E13">
        <v>7590300000</v>
      </c>
      <c r="F13">
        <v>0.39689240967537209</v>
      </c>
    </row>
    <row r="14" spans="1:6" x14ac:dyDescent="0.25">
      <c r="A14" s="73" t="s">
        <v>45</v>
      </c>
      <c r="B14" s="17">
        <v>17879500000</v>
      </c>
      <c r="C14">
        <v>8178800000</v>
      </c>
      <c r="D14">
        <v>408600000</v>
      </c>
      <c r="E14">
        <v>4455700000</v>
      </c>
      <c r="F14">
        <v>0.60378979282465894</v>
      </c>
    </row>
    <row r="15" spans="1:6" x14ac:dyDescent="0.25">
      <c r="A15" s="73" t="s">
        <v>46</v>
      </c>
      <c r="B15" s="17">
        <v>16596200000</v>
      </c>
      <c r="C15">
        <v>6552800000</v>
      </c>
      <c r="D15">
        <v>412000000</v>
      </c>
      <c r="E15">
        <v>5373300000</v>
      </c>
      <c r="F15">
        <v>0.90871094807108288</v>
      </c>
    </row>
    <row r="16" spans="1:6" x14ac:dyDescent="0.25">
      <c r="A16" s="73" t="s">
        <v>47</v>
      </c>
      <c r="B16" s="17">
        <v>15901700000</v>
      </c>
      <c r="C16">
        <v>3371800000</v>
      </c>
      <c r="D16">
        <v>416062500</v>
      </c>
      <c r="E16">
        <v>4655400000</v>
      </c>
      <c r="F16">
        <v>0.29070720314676718</v>
      </c>
    </row>
    <row r="17" spans="1:6" x14ac:dyDescent="0.25">
      <c r="A17" s="73" t="s">
        <v>48</v>
      </c>
      <c r="B17" s="17">
        <v>13978400000</v>
      </c>
      <c r="C17">
        <v>3665600000</v>
      </c>
      <c r="D17">
        <v>418400000</v>
      </c>
      <c r="E17">
        <v>7351600000</v>
      </c>
      <c r="F17">
        <v>-8.2418841046476565E-3</v>
      </c>
    </row>
    <row r="18" spans="1:6" x14ac:dyDescent="0.25">
      <c r="A18" s="73" t="s">
        <v>49</v>
      </c>
      <c r="B18" s="17">
        <v>13760700000</v>
      </c>
      <c r="C18">
        <v>2570900000</v>
      </c>
      <c r="D18">
        <v>419565217</v>
      </c>
      <c r="E18">
        <v>4407800000</v>
      </c>
    </row>
    <row r="19" spans="1:6" x14ac:dyDescent="0.25">
      <c r="A19" s="73" t="s">
        <v>50</v>
      </c>
      <c r="B19" s="17">
        <v>12789200000</v>
      </c>
      <c r="C19">
        <v>2475900000</v>
      </c>
      <c r="D19">
        <v>419553072</v>
      </c>
      <c r="E19">
        <v>4440300000</v>
      </c>
      <c r="F19">
        <v>0.28188959227384253</v>
      </c>
    </row>
    <row r="20" spans="1:6" x14ac:dyDescent="0.25">
      <c r="A20" s="73" t="s">
        <v>51</v>
      </c>
      <c r="B20" s="17">
        <v>12031400000</v>
      </c>
      <c r="C20">
        <v>2300300000</v>
      </c>
      <c r="D20">
        <v>420000000</v>
      </c>
      <c r="E20">
        <v>4111800000</v>
      </c>
      <c r="F20">
        <v>0.35440877125297199</v>
      </c>
    </row>
    <row r="21" spans="1:6" x14ac:dyDescent="0.25">
      <c r="A21" s="73" t="s">
        <v>52</v>
      </c>
      <c r="B21" s="17">
        <v>11819900000</v>
      </c>
      <c r="C21">
        <v>2509800000</v>
      </c>
      <c r="D21">
        <v>421355724</v>
      </c>
      <c r="E21">
        <v>4718100000</v>
      </c>
      <c r="F21">
        <v>0.1353235662688943</v>
      </c>
    </row>
    <row r="22" spans="1:6" x14ac:dyDescent="0.25">
      <c r="A22" s="73" t="s">
        <v>53</v>
      </c>
      <c r="B22" s="17">
        <v>10926000000</v>
      </c>
      <c r="C22">
        <v>683300000</v>
      </c>
      <c r="D22">
        <v>421700000</v>
      </c>
      <c r="E22">
        <v>2069900000</v>
      </c>
      <c r="F22">
        <v>4.9227066388098477E-2</v>
      </c>
    </row>
    <row r="23" spans="1:6" x14ac:dyDescent="0.25">
      <c r="A23" s="73" t="s">
        <v>54</v>
      </c>
      <c r="B23" s="17">
        <v>10715600000</v>
      </c>
      <c r="C23">
        <v>1157300000</v>
      </c>
      <c r="D23">
        <v>421800000</v>
      </c>
      <c r="E23">
        <v>2334600000</v>
      </c>
      <c r="F23">
        <v>-0.1790420752444899</v>
      </c>
    </row>
    <row r="24" spans="1:6" x14ac:dyDescent="0.25">
      <c r="A24" s="73" t="s">
        <v>55</v>
      </c>
      <c r="B24" s="17">
        <v>10888100000</v>
      </c>
      <c r="C24">
        <v>1815000000</v>
      </c>
      <c r="D24">
        <v>423095238</v>
      </c>
      <c r="E24">
        <v>3275100000</v>
      </c>
      <c r="F24">
        <v>0.241643882713348</v>
      </c>
    </row>
    <row r="25" spans="1:6" x14ac:dyDescent="0.25">
      <c r="A25" s="73" t="s">
        <v>56</v>
      </c>
      <c r="B25" s="17">
        <v>10944000000</v>
      </c>
      <c r="C25">
        <v>2498700001</v>
      </c>
      <c r="D25">
        <v>423600000</v>
      </c>
      <c r="E25">
        <v>4034400000</v>
      </c>
      <c r="F25">
        <v>0.18081279487580071</v>
      </c>
    </row>
    <row r="26" spans="1:6" x14ac:dyDescent="0.25">
      <c r="A26" s="73" t="s">
        <v>57</v>
      </c>
      <c r="B26" s="17">
        <v>10361900000</v>
      </c>
      <c r="C26">
        <v>1950500001</v>
      </c>
      <c r="D26">
        <v>425900000</v>
      </c>
      <c r="E26">
        <v>2947500000</v>
      </c>
      <c r="F26">
        <v>0.1029713794230611</v>
      </c>
    </row>
    <row r="27" spans="1:6" x14ac:dyDescent="0.25">
      <c r="A27" s="73" t="s">
        <v>58</v>
      </c>
      <c r="B27" s="17">
        <v>10033200000</v>
      </c>
      <c r="C27">
        <v>1897200001</v>
      </c>
      <c r="D27">
        <v>427600000</v>
      </c>
      <c r="E27">
        <v>2980000000</v>
      </c>
      <c r="F27">
        <v>0.11122564813933571</v>
      </c>
    </row>
    <row r="28" spans="1:6" x14ac:dyDescent="0.25">
      <c r="A28" s="73" t="s">
        <v>59</v>
      </c>
      <c r="B28" s="17">
        <v>9394200000</v>
      </c>
      <c r="C28">
        <v>1660800001</v>
      </c>
      <c r="D28">
        <v>428900000</v>
      </c>
      <c r="E28">
        <v>3194100000</v>
      </c>
      <c r="F28">
        <v>0.1080273441037249</v>
      </c>
    </row>
    <row r="29" spans="1:6" x14ac:dyDescent="0.25">
      <c r="A29" s="73" t="s">
        <v>60</v>
      </c>
      <c r="B29" s="17">
        <v>9052800000</v>
      </c>
      <c r="C29">
        <v>1479400000</v>
      </c>
      <c r="D29">
        <v>430300000</v>
      </c>
      <c r="E29">
        <v>3288300000</v>
      </c>
      <c r="F29">
        <v>0.30104774037957438</v>
      </c>
    </row>
    <row r="30" spans="1:6" x14ac:dyDescent="0.25">
      <c r="A30" s="73" t="s">
        <v>61</v>
      </c>
      <c r="B30" s="17">
        <v>8399800000</v>
      </c>
      <c r="C30">
        <v>1767300000</v>
      </c>
      <c r="D30">
        <v>432000000</v>
      </c>
      <c r="E30">
        <v>2677600000</v>
      </c>
      <c r="F30">
        <v>0.10825628788713761</v>
      </c>
    </row>
    <row r="31" spans="1:6" x14ac:dyDescent="0.25">
      <c r="A31" s="73" t="s">
        <v>62</v>
      </c>
      <c r="B31" s="17">
        <v>7767000000</v>
      </c>
      <c r="C31">
        <v>1495300000</v>
      </c>
      <c r="D31">
        <v>434833041</v>
      </c>
      <c r="E31">
        <v>2514200000</v>
      </c>
      <c r="F31">
        <v>3.2059595884111218E-2</v>
      </c>
    </row>
    <row r="32" spans="1:6" x14ac:dyDescent="0.25">
      <c r="A32" s="73" t="s">
        <v>63</v>
      </c>
      <c r="B32" s="17">
        <v>7405200000</v>
      </c>
      <c r="C32">
        <v>1607100000</v>
      </c>
      <c r="D32">
        <v>432300000</v>
      </c>
      <c r="E32">
        <v>3835600000</v>
      </c>
      <c r="F32">
        <v>0.29907050105010491</v>
      </c>
    </row>
    <row r="33" spans="1:6" x14ac:dyDescent="0.25">
      <c r="A33" s="73" t="s">
        <v>64</v>
      </c>
      <c r="B33" s="17">
        <v>6794800000</v>
      </c>
      <c r="C33">
        <v>1750200000</v>
      </c>
      <c r="D33">
        <v>429258561</v>
      </c>
      <c r="E33">
        <v>4056900000</v>
      </c>
      <c r="F33">
        <v>0.3233561741737554</v>
      </c>
    </row>
    <row r="34" spans="1:6" x14ac:dyDescent="0.25">
      <c r="A34" s="73" t="s">
        <v>65</v>
      </c>
      <c r="B34" s="17">
        <v>6321600000</v>
      </c>
      <c r="C34">
        <v>1508265000</v>
      </c>
      <c r="D34">
        <v>425800189</v>
      </c>
      <c r="E34">
        <v>4313000000</v>
      </c>
      <c r="F34">
        <v>0.18246959979344179</v>
      </c>
    </row>
    <row r="35" spans="1:6" x14ac:dyDescent="0.25">
      <c r="A35" s="73" t="s">
        <v>66</v>
      </c>
      <c r="B35" s="17">
        <v>6056200000</v>
      </c>
      <c r="C35">
        <v>1896165000</v>
      </c>
      <c r="D35">
        <v>427797110</v>
      </c>
      <c r="E35">
        <v>2926100000</v>
      </c>
      <c r="F35">
        <v>-3.2928974669004241E-2</v>
      </c>
    </row>
    <row r="36" spans="1:6" x14ac:dyDescent="0.25">
      <c r="A36" s="73" t="s">
        <v>67</v>
      </c>
      <c r="B36" s="17">
        <v>5970700000</v>
      </c>
      <c r="C36">
        <v>1691490000</v>
      </c>
      <c r="D36">
        <v>429100000</v>
      </c>
      <c r="E36">
        <v>3138400000</v>
      </c>
      <c r="F36">
        <v>-0.27978243772349842</v>
      </c>
    </row>
    <row r="37" spans="1:6" x14ac:dyDescent="0.25">
      <c r="A37" s="73" t="s">
        <v>68</v>
      </c>
      <c r="B37" s="17">
        <v>6287400000</v>
      </c>
      <c r="C37">
        <v>2027790000</v>
      </c>
      <c r="D37">
        <v>432559734</v>
      </c>
      <c r="E37">
        <v>3408700000</v>
      </c>
      <c r="F37">
        <v>-6.6694597707996794E-2</v>
      </c>
    </row>
    <row r="38" spans="1:6" x14ac:dyDescent="0.25">
      <c r="A38" s="73" t="s">
        <v>69</v>
      </c>
      <c r="B38" s="17">
        <v>6347177000</v>
      </c>
      <c r="C38">
        <v>1477081000</v>
      </c>
      <c r="D38">
        <v>432300346</v>
      </c>
      <c r="E38">
        <v>2680900000</v>
      </c>
      <c r="F38">
        <v>0.1573947337770383</v>
      </c>
    </row>
    <row r="39" spans="1:6" x14ac:dyDescent="0.25">
      <c r="A39" s="73" t="s">
        <v>70</v>
      </c>
      <c r="B39" s="17">
        <v>6120177000</v>
      </c>
      <c r="C39">
        <v>1265481000</v>
      </c>
      <c r="D39">
        <v>431344581</v>
      </c>
      <c r="E39">
        <v>2520000000</v>
      </c>
      <c r="F39">
        <v>-7.3665208688245332E-2</v>
      </c>
    </row>
    <row r="40" spans="1:6" x14ac:dyDescent="0.25">
      <c r="A40" s="73" t="s">
        <v>71</v>
      </c>
      <c r="B40" s="17">
        <v>6109677000</v>
      </c>
      <c r="C40">
        <v>1173633000</v>
      </c>
      <c r="D40">
        <v>435300000</v>
      </c>
      <c r="E40">
        <v>2838500000</v>
      </c>
      <c r="F40">
        <v>-1.9393483709273181E-2</v>
      </c>
    </row>
    <row r="41" spans="1:6" x14ac:dyDescent="0.25">
      <c r="A41" s="73" t="s">
        <v>72</v>
      </c>
      <c r="B41" s="17">
        <v>5856277000</v>
      </c>
      <c r="C41">
        <v>1016133000</v>
      </c>
      <c r="D41">
        <v>436700000</v>
      </c>
      <c r="E41">
        <v>2754351000</v>
      </c>
      <c r="F41">
        <v>-0.36825138235134991</v>
      </c>
    </row>
    <row r="42" spans="1:6" x14ac:dyDescent="0.25">
      <c r="A42" s="73" t="s">
        <v>73</v>
      </c>
      <c r="B42" s="17">
        <v>6210600000</v>
      </c>
      <c r="C42">
        <v>1128328000</v>
      </c>
      <c r="D42">
        <v>439000045</v>
      </c>
      <c r="E42">
        <v>2684600000</v>
      </c>
      <c r="F42">
        <v>-5.4281813078440273E-2</v>
      </c>
    </row>
    <row r="43" spans="1:6" x14ac:dyDescent="0.25">
      <c r="A43" s="73" t="s">
        <v>74</v>
      </c>
      <c r="B43" s="17">
        <v>6206600000</v>
      </c>
      <c r="C43">
        <v>1055928000</v>
      </c>
      <c r="D43">
        <v>438037121</v>
      </c>
      <c r="E43">
        <v>2710700000</v>
      </c>
      <c r="F43">
        <v>0.13198527260470219</v>
      </c>
    </row>
    <row r="44" spans="1:6" x14ac:dyDescent="0.25">
      <c r="A44" s="73" t="s">
        <v>75</v>
      </c>
      <c r="B44" s="17">
        <v>5749700000</v>
      </c>
      <c r="C44">
        <v>1361914000</v>
      </c>
      <c r="D44">
        <v>443500000</v>
      </c>
      <c r="E44">
        <v>2997800000</v>
      </c>
      <c r="F44">
        <v>0.45516750252213872</v>
      </c>
    </row>
    <row r="45" spans="1:6" x14ac:dyDescent="0.25">
      <c r="A45" s="73" t="s">
        <v>76</v>
      </c>
      <c r="B45" s="17">
        <v>5245300000</v>
      </c>
      <c r="C45">
        <v>1170114000</v>
      </c>
      <c r="D45">
        <v>447272914</v>
      </c>
      <c r="E45">
        <v>3010578000</v>
      </c>
      <c r="F45">
        <v>0.58591871273580298</v>
      </c>
    </row>
    <row r="46" spans="1:6" x14ac:dyDescent="0.25">
      <c r="A46" s="73" t="s">
        <v>77</v>
      </c>
      <c r="B46" s="17">
        <v>4420100000</v>
      </c>
      <c r="C46">
        <v>659215000</v>
      </c>
      <c r="D46">
        <v>447100335</v>
      </c>
      <c r="E46">
        <v>2723700000</v>
      </c>
      <c r="F46">
        <v>0.28428284505208329</v>
      </c>
    </row>
    <row r="47" spans="1:6" x14ac:dyDescent="0.25">
      <c r="A47" s="73" t="s">
        <v>78</v>
      </c>
      <c r="B47" s="17">
        <v>4330700000</v>
      </c>
      <c r="C47">
        <v>962115000</v>
      </c>
      <c r="D47">
        <v>433248877</v>
      </c>
      <c r="E47">
        <v>2350600000</v>
      </c>
      <c r="F47">
        <v>-1.9181013276859171E-2</v>
      </c>
    </row>
    <row r="48" spans="1:6" x14ac:dyDescent="0.25">
      <c r="A48" s="73" t="s">
        <v>79</v>
      </c>
      <c r="B48" s="17">
        <v>4371700000</v>
      </c>
      <c r="C48">
        <v>483652000</v>
      </c>
      <c r="D48">
        <v>410600183</v>
      </c>
      <c r="E48">
        <v>2620100000</v>
      </c>
      <c r="F48">
        <v>-7.3624091381100709E-2</v>
      </c>
    </row>
    <row r="49" spans="1:6" x14ac:dyDescent="0.25">
      <c r="A49" s="73" t="s">
        <v>80</v>
      </c>
      <c r="B49" s="17">
        <v>4731500000</v>
      </c>
      <c r="C49">
        <v>824152000</v>
      </c>
      <c r="D49">
        <v>455400000</v>
      </c>
      <c r="E49">
        <v>2697600000</v>
      </c>
      <c r="F49">
        <v>3.4067419274919519E-2</v>
      </c>
    </row>
    <row r="50" spans="1:6" x14ac:dyDescent="0.25">
      <c r="A50" s="73" t="s">
        <v>81</v>
      </c>
      <c r="B50" s="17">
        <v>4919300000</v>
      </c>
      <c r="C50">
        <v>858142000</v>
      </c>
      <c r="D50">
        <v>425700000</v>
      </c>
      <c r="E50">
        <v>6158800000</v>
      </c>
      <c r="F50">
        <v>-0.1119495227973946</v>
      </c>
    </row>
    <row r="51" spans="1:6" x14ac:dyDescent="0.25">
      <c r="A51" s="73" t="s">
        <v>82</v>
      </c>
      <c r="B51" s="17">
        <v>5149000000</v>
      </c>
      <c r="C51">
        <v>677442000</v>
      </c>
      <c r="D51">
        <v>412700000</v>
      </c>
      <c r="E51">
        <v>2701770000</v>
      </c>
      <c r="F51">
        <v>-0.24788971034392571</v>
      </c>
    </row>
    <row r="52" spans="1:6" x14ac:dyDescent="0.25">
      <c r="A52" s="73" t="s">
        <v>83</v>
      </c>
      <c r="B52" s="17">
        <v>5450700000</v>
      </c>
      <c r="C52">
        <v>1080742000</v>
      </c>
      <c r="D52">
        <v>415000000</v>
      </c>
      <c r="E52">
        <v>2953400000</v>
      </c>
      <c r="F52">
        <v>-0.1687169226001928</v>
      </c>
    </row>
    <row r="53" spans="1:6" x14ac:dyDescent="0.25">
      <c r="A53" s="73" t="s">
        <v>84</v>
      </c>
      <c r="B53" s="17">
        <v>5651000000</v>
      </c>
      <c r="C53">
        <v>1769542000</v>
      </c>
      <c r="D53">
        <v>322630000</v>
      </c>
      <c r="E53">
        <v>2731800000</v>
      </c>
      <c r="F53">
        <v>-0.42659902539571121</v>
      </c>
    </row>
    <row r="54" spans="1:6" x14ac:dyDescent="0.25">
      <c r="A54" s="73" t="s">
        <v>85</v>
      </c>
      <c r="B54" s="17">
        <v>5961538000</v>
      </c>
      <c r="C54">
        <v>1964420000</v>
      </c>
      <c r="D54">
        <v>327481000</v>
      </c>
      <c r="E54">
        <v>2838100000</v>
      </c>
      <c r="F54">
        <v>0.12667972108843539</v>
      </c>
    </row>
    <row r="55" spans="1:6" x14ac:dyDescent="0.25">
      <c r="A55" s="73" t="s">
        <v>86</v>
      </c>
      <c r="B55" s="17">
        <v>5679038000</v>
      </c>
      <c r="C55">
        <v>2074920000</v>
      </c>
      <c r="D55">
        <v>333333000</v>
      </c>
      <c r="E55">
        <v>2742100000</v>
      </c>
      <c r="F55">
        <v>0.32416438850940388</v>
      </c>
    </row>
    <row r="56" spans="1:6" x14ac:dyDescent="0.25">
      <c r="A56" s="73" t="s">
        <v>87</v>
      </c>
      <c r="B56" s="17">
        <v>5218338000</v>
      </c>
      <c r="C56">
        <v>1811320000</v>
      </c>
      <c r="D56">
        <v>339262000</v>
      </c>
      <c r="E56">
        <v>2699500000</v>
      </c>
      <c r="F56">
        <v>0.72494046778107313</v>
      </c>
    </row>
    <row r="57" spans="1:6" x14ac:dyDescent="0.25">
      <c r="A57" s="73" t="s">
        <v>88</v>
      </c>
      <c r="B57" s="17">
        <v>4507938000</v>
      </c>
      <c r="C57">
        <v>811320000</v>
      </c>
      <c r="D57">
        <v>339262000</v>
      </c>
      <c r="E57">
        <v>1949834000</v>
      </c>
      <c r="F57">
        <v>0.88356459386185215</v>
      </c>
    </row>
    <row r="58" spans="1:6" x14ac:dyDescent="0.25">
      <c r="A58" s="73" t="s">
        <v>89</v>
      </c>
      <c r="B58" s="17">
        <v>3567066000</v>
      </c>
      <c r="C58">
        <v>589157000</v>
      </c>
      <c r="D58">
        <v>338261000</v>
      </c>
      <c r="E58">
        <v>1548000000</v>
      </c>
      <c r="F58">
        <v>1.0075746661095819</v>
      </c>
    </row>
    <row r="59" spans="1:6" x14ac:dyDescent="0.25">
      <c r="A59" s="73" t="s">
        <v>90</v>
      </c>
      <c r="B59" s="17">
        <v>2946338000</v>
      </c>
      <c r="C59">
        <v>135669000</v>
      </c>
      <c r="D59">
        <v>337953000</v>
      </c>
      <c r="E59">
        <v>1188600000</v>
      </c>
      <c r="F59">
        <v>2.0394456471438902</v>
      </c>
    </row>
    <row r="60" spans="1:6" x14ac:dyDescent="0.25">
      <c r="A60" s="73" t="s">
        <v>91</v>
      </c>
      <c r="B60" s="17">
        <v>2154238000</v>
      </c>
      <c r="C60">
        <v>-11633000</v>
      </c>
      <c r="D60">
        <v>337183000</v>
      </c>
      <c r="E60">
        <v>1087300000</v>
      </c>
      <c r="F60">
        <v>2.6456325010211028</v>
      </c>
    </row>
    <row r="61" spans="1:6" x14ac:dyDescent="0.25">
      <c r="A61" s="73" t="s">
        <v>92</v>
      </c>
      <c r="B61" s="17">
        <v>1596063000</v>
      </c>
      <c r="C61">
        <v>-7195000</v>
      </c>
      <c r="D61">
        <v>337183000</v>
      </c>
      <c r="E61">
        <v>1037074000</v>
      </c>
      <c r="F61">
        <v>-2.0126101952097519E-2</v>
      </c>
    </row>
    <row r="62" spans="1:6" x14ac:dyDescent="0.25">
      <c r="A62" s="73" t="s">
        <v>93</v>
      </c>
      <c r="B62" s="17">
        <v>1519113946</v>
      </c>
      <c r="C62">
        <v>-226737872.18000001</v>
      </c>
      <c r="D62">
        <v>333179000</v>
      </c>
      <c r="E62">
        <v>1018028000</v>
      </c>
      <c r="F62">
        <v>6.9016444451575207</v>
      </c>
    </row>
    <row r="63" spans="1:6" x14ac:dyDescent="0.25">
      <c r="A63" s="73" t="s">
        <v>94</v>
      </c>
      <c r="B63" s="17">
        <v>1659544320</v>
      </c>
      <c r="C63">
        <v>-190076610.5</v>
      </c>
      <c r="D63">
        <v>333025000</v>
      </c>
      <c r="E63">
        <v>1092660000</v>
      </c>
      <c r="F63">
        <v>-0.67262965710143785</v>
      </c>
    </row>
    <row r="64" spans="1:6" x14ac:dyDescent="0.25">
      <c r="A64" s="73" t="s">
        <v>95</v>
      </c>
      <c r="B64" s="17">
        <v>2227858974</v>
      </c>
      <c r="C64">
        <v>-148215873.5</v>
      </c>
      <c r="D64">
        <v>332717000</v>
      </c>
      <c r="E64">
        <v>1151010000</v>
      </c>
      <c r="F64">
        <v>-0.80013381243980519</v>
      </c>
    </row>
    <row r="65" spans="1:6" x14ac:dyDescent="0.25">
      <c r="A65" s="73" t="s">
        <v>96</v>
      </c>
      <c r="B65" s="17">
        <v>2962973668</v>
      </c>
      <c r="C65">
        <v>20990611.5</v>
      </c>
      <c r="D65">
        <v>332726240</v>
      </c>
      <c r="E65">
        <v>1111814326</v>
      </c>
      <c r="F65">
        <v>7.8047067380753781</v>
      </c>
    </row>
    <row r="66" spans="1:6" x14ac:dyDescent="0.25">
      <c r="A66" s="73" t="s">
        <v>97</v>
      </c>
      <c r="B66" s="17">
        <v>3437452874</v>
      </c>
      <c r="C66">
        <v>448166631.68000001</v>
      </c>
      <c r="D66">
        <v>334558070</v>
      </c>
      <c r="E66">
        <v>1311502645</v>
      </c>
      <c r="F66">
        <v>-0.41885644386458071</v>
      </c>
    </row>
    <row r="67" spans="1:6" x14ac:dyDescent="0.25">
      <c r="A67" s="73" t="s">
        <v>98</v>
      </c>
      <c r="B67" s="17">
        <v>3682349922</v>
      </c>
      <c r="C67">
        <v>615463120</v>
      </c>
      <c r="D67">
        <v>334630450</v>
      </c>
      <c r="E67">
        <v>1362118847</v>
      </c>
      <c r="F67">
        <v>-0.17854077908783439</v>
      </c>
    </row>
    <row r="68" spans="1:6" x14ac:dyDescent="0.25">
      <c r="A68" s="73" t="s">
        <v>99</v>
      </c>
      <c r="B68" s="17">
        <v>3772579199</v>
      </c>
      <c r="C68">
        <v>763603281</v>
      </c>
      <c r="D68">
        <v>334918430</v>
      </c>
      <c r="E68">
        <v>1396432160</v>
      </c>
      <c r="F68">
        <v>-2.8212651789311319E-2</v>
      </c>
    </row>
    <row r="69" spans="1:6" x14ac:dyDescent="0.25">
      <c r="A69" s="73" t="s">
        <v>100</v>
      </c>
      <c r="B69" s="17">
        <v>3813796591</v>
      </c>
      <c r="C69">
        <v>491916935</v>
      </c>
      <c r="D69">
        <v>334918430</v>
      </c>
      <c r="E69">
        <v>1273640013</v>
      </c>
      <c r="F69">
        <v>-0.13468656432648579</v>
      </c>
    </row>
    <row r="70" spans="1:6" x14ac:dyDescent="0.25">
      <c r="A70" s="73" t="s">
        <v>101</v>
      </c>
      <c r="B70" s="17">
        <v>3905814958</v>
      </c>
      <c r="C70">
        <v>614154787</v>
      </c>
      <c r="D70">
        <v>370927480</v>
      </c>
      <c r="E70">
        <v>2445909444</v>
      </c>
      <c r="F70">
        <v>-0.1228575384939575</v>
      </c>
    </row>
    <row r="71" spans="1:6" x14ac:dyDescent="0.25">
      <c r="A71" s="73" t="s">
        <v>102</v>
      </c>
      <c r="B71" s="17">
        <v>3922666519</v>
      </c>
      <c r="C71">
        <v>480239379.39999998</v>
      </c>
      <c r="D71">
        <v>384565720</v>
      </c>
      <c r="E71">
        <v>2299086962</v>
      </c>
      <c r="F71">
        <v>-0.14947784602544981</v>
      </c>
    </row>
    <row r="72" spans="1:6" x14ac:dyDescent="0.25">
      <c r="A72" s="73" t="s">
        <v>103</v>
      </c>
      <c r="B72" s="17">
        <v>3929945942</v>
      </c>
      <c r="C72">
        <v>578462820.39999998</v>
      </c>
      <c r="D72">
        <v>387012010</v>
      </c>
      <c r="E72">
        <v>1462776067</v>
      </c>
      <c r="F72">
        <v>0.34795054946343251</v>
      </c>
    </row>
    <row r="73" spans="1:6" x14ac:dyDescent="0.25">
      <c r="A73" s="73" t="s">
        <v>104</v>
      </c>
      <c r="B73" s="17">
        <v>3599063931</v>
      </c>
      <c r="C73">
        <v>406768147.80999988</v>
      </c>
      <c r="D73">
        <v>387012010</v>
      </c>
      <c r="E73">
        <v>1655855726</v>
      </c>
      <c r="F73">
        <v>0.59202144760378217</v>
      </c>
    </row>
    <row r="74" spans="1:6" x14ac:dyDescent="0.25">
      <c r="A74" s="73" t="s">
        <v>105</v>
      </c>
      <c r="B74" s="17">
        <v>3077029287</v>
      </c>
      <c r="C74">
        <v>252422485.81</v>
      </c>
      <c r="D74">
        <v>401448740</v>
      </c>
      <c r="E74">
        <v>1579269617</v>
      </c>
      <c r="F74">
        <v>0.56471940264040432</v>
      </c>
    </row>
    <row r="75" spans="1:6" x14ac:dyDescent="0.25">
      <c r="A75" s="73" t="s">
        <v>106</v>
      </c>
      <c r="B75" s="17">
        <v>2652157478</v>
      </c>
      <c r="C75">
        <v>431163961.41000003</v>
      </c>
      <c r="D75">
        <v>415186310</v>
      </c>
      <c r="E75">
        <v>1732697530</v>
      </c>
      <c r="F75">
        <v>-0.1001916395605599</v>
      </c>
    </row>
    <row r="76" spans="1:6" x14ac:dyDescent="0.25">
      <c r="A76" s="73" t="s">
        <v>107</v>
      </c>
      <c r="B76" s="17">
        <v>2471450544</v>
      </c>
      <c r="C76">
        <v>321436660.41000003</v>
      </c>
      <c r="D76">
        <v>420213640</v>
      </c>
      <c r="E76">
        <v>1670228619</v>
      </c>
      <c r="F76">
        <v>-1.520977796189249E-2</v>
      </c>
    </row>
    <row r="77" spans="1:6" x14ac:dyDescent="0.25">
      <c r="A77" s="73" t="s">
        <v>108</v>
      </c>
      <c r="B77" s="17">
        <v>2526794336</v>
      </c>
      <c r="C77">
        <v>638348172</v>
      </c>
      <c r="D77">
        <v>420213640</v>
      </c>
      <c r="E77">
        <v>1903163392</v>
      </c>
      <c r="F77">
        <v>-0.48708854779809019</v>
      </c>
    </row>
    <row r="78" spans="1:6" x14ac:dyDescent="0.25">
      <c r="A78" s="73" t="s">
        <v>109</v>
      </c>
      <c r="B78" s="17">
        <v>2762329723</v>
      </c>
      <c r="C78">
        <v>390605500.56</v>
      </c>
      <c r="D78">
        <v>374340120</v>
      </c>
      <c r="E78">
        <v>1697934152</v>
      </c>
      <c r="F78">
        <v>-0.23652083705851679</v>
      </c>
    </row>
    <row r="79" spans="1:6" x14ac:dyDescent="0.25">
      <c r="A79" s="73" t="s">
        <v>110</v>
      </c>
      <c r="B79" s="17">
        <v>2840123169</v>
      </c>
      <c r="C79">
        <v>293706443.56</v>
      </c>
      <c r="D79">
        <v>417607960</v>
      </c>
      <c r="E79">
        <v>1540945034</v>
      </c>
      <c r="F79">
        <v>5.5347308286598278E-2</v>
      </c>
    </row>
    <row r="80" spans="1:6" x14ac:dyDescent="0.25">
      <c r="A80" s="73" t="s">
        <v>111</v>
      </c>
      <c r="B80" s="17">
        <v>2694032803</v>
      </c>
      <c r="C80">
        <v>160492901.56</v>
      </c>
      <c r="D80">
        <v>417607960</v>
      </c>
      <c r="E80">
        <v>1319148385</v>
      </c>
      <c r="F80">
        <v>0.39183566353267191</v>
      </c>
    </row>
    <row r="81" spans="1:6" x14ac:dyDescent="0.25">
      <c r="A81" s="73" t="s">
        <v>112</v>
      </c>
      <c r="B81" s="17">
        <v>2462530767</v>
      </c>
      <c r="C81">
        <v>176157242.56</v>
      </c>
      <c r="D81">
        <v>417607960</v>
      </c>
      <c r="E81">
        <v>1227222890</v>
      </c>
      <c r="F81">
        <v>0.41567588508901138</v>
      </c>
    </row>
    <row r="82" spans="1:6" x14ac:dyDescent="0.25">
      <c r="A82" s="73" t="s">
        <v>113</v>
      </c>
      <c r="B82" s="17">
        <v>2202522418</v>
      </c>
      <c r="C82">
        <v>486867227</v>
      </c>
      <c r="D82">
        <v>372837850</v>
      </c>
      <c r="E82">
        <v>1315543586</v>
      </c>
      <c r="F82">
        <v>1.2283621766305151</v>
      </c>
    </row>
    <row r="83" spans="1:6" x14ac:dyDescent="0.25">
      <c r="A83" s="73" t="s">
        <v>114</v>
      </c>
      <c r="B83" s="17">
        <v>1961929471</v>
      </c>
      <c r="C83">
        <v>371211097.33999997</v>
      </c>
      <c r="D83">
        <v>394011310</v>
      </c>
      <c r="E83">
        <v>1234344545</v>
      </c>
      <c r="F83">
        <v>0.69563299896550856</v>
      </c>
    </row>
    <row r="84" spans="1:6" x14ac:dyDescent="0.25">
      <c r="A84" s="73" t="s">
        <v>115</v>
      </c>
      <c r="B84" s="17">
        <v>1674791363</v>
      </c>
      <c r="C84">
        <v>512484017.33999997</v>
      </c>
      <c r="D84">
        <v>373744910</v>
      </c>
      <c r="E84">
        <v>1150579184</v>
      </c>
      <c r="F84">
        <v>0.97722347598275117</v>
      </c>
    </row>
    <row r="85" spans="1:6" x14ac:dyDescent="0.25">
      <c r="A85" s="73" t="s">
        <v>116</v>
      </c>
      <c r="B85" s="17">
        <v>1539044351</v>
      </c>
      <c r="C85">
        <v>437128598.33999997</v>
      </c>
      <c r="D85">
        <v>373744910</v>
      </c>
      <c r="E85">
        <v>1026012216</v>
      </c>
    </row>
    <row r="86" spans="1:6" x14ac:dyDescent="0.25">
      <c r="A86" s="73" t="s">
        <v>117</v>
      </c>
      <c r="B86" s="17">
        <v>1588359865</v>
      </c>
      <c r="C86">
        <v>187278947.34</v>
      </c>
      <c r="D86">
        <v>371313250</v>
      </c>
      <c r="E86">
        <v>1102990931</v>
      </c>
      <c r="F86">
        <v>-0.1780888498715624</v>
      </c>
    </row>
    <row r="87" spans="1:6" x14ac:dyDescent="0.25">
      <c r="A87" s="73" t="s">
        <v>118</v>
      </c>
      <c r="B87" s="17">
        <v>1803453114</v>
      </c>
      <c r="C87">
        <v>235638316</v>
      </c>
      <c r="D87">
        <v>371281680</v>
      </c>
      <c r="E87">
        <v>1247512672</v>
      </c>
      <c r="F87">
        <v>-0.21097696377833289</v>
      </c>
    </row>
    <row r="88" spans="1:6" x14ac:dyDescent="0.25">
      <c r="A88" s="73" t="s">
        <v>119</v>
      </c>
      <c r="B88" s="17">
        <v>1872363801</v>
      </c>
      <c r="C88">
        <v>21383900</v>
      </c>
      <c r="D88">
        <v>371280140</v>
      </c>
      <c r="E88">
        <v>686408212</v>
      </c>
      <c r="F88">
        <v>1.6886240878936289</v>
      </c>
    </row>
    <row r="89" spans="1:6" x14ac:dyDescent="0.25">
      <c r="A89" s="73" t="s">
        <v>120</v>
      </c>
      <c r="B89" s="17">
        <v>2006419040</v>
      </c>
      <c r="C89">
        <v>0</v>
      </c>
      <c r="D89">
        <v>371280140</v>
      </c>
      <c r="E89">
        <v>668318813</v>
      </c>
      <c r="F89">
        <v>15.69211756685595</v>
      </c>
    </row>
    <row r="90" spans="1:6" x14ac:dyDescent="0.25">
      <c r="A90" s="73" t="s">
        <v>121</v>
      </c>
      <c r="B90" s="17">
        <v>1912301524</v>
      </c>
      <c r="C90">
        <v>0</v>
      </c>
      <c r="D90">
        <v>367338889</v>
      </c>
    </row>
    <row r="91" spans="1:6" x14ac:dyDescent="0.25">
      <c r="A91" s="73" t="s">
        <v>122</v>
      </c>
      <c r="B91" s="17">
        <v>1742881707</v>
      </c>
      <c r="C91">
        <v>0</v>
      </c>
      <c r="D91">
        <v>369024040</v>
      </c>
      <c r="E91">
        <v>582050344</v>
      </c>
      <c r="F91">
        <v>-0.29289808107122789</v>
      </c>
    </row>
    <row r="92" spans="1:6" x14ac:dyDescent="0.25">
      <c r="A92" s="73" t="s">
        <v>123</v>
      </c>
      <c r="B92" s="17">
        <v>1856401621</v>
      </c>
      <c r="C92">
        <v>0</v>
      </c>
      <c r="D92">
        <v>362369700</v>
      </c>
    </row>
    <row r="93" spans="1:6" x14ac:dyDescent="0.25">
      <c r="A93" s="73" t="s">
        <v>124</v>
      </c>
      <c r="B93" s="17">
        <v>1900875244</v>
      </c>
      <c r="C93">
        <v>0</v>
      </c>
      <c r="D93">
        <v>362369700</v>
      </c>
      <c r="E93">
        <v>912263136</v>
      </c>
    </row>
    <row r="94" spans="1:6" x14ac:dyDescent="0.25">
      <c r="A94" s="73" t="s">
        <v>125</v>
      </c>
      <c r="B94" s="17">
        <v>1906988055</v>
      </c>
      <c r="C94">
        <v>0</v>
      </c>
      <c r="D94">
        <v>353758811</v>
      </c>
    </row>
    <row r="95" spans="1:6" x14ac:dyDescent="0.25">
      <c r="A95" s="73" t="s">
        <v>126</v>
      </c>
      <c r="B95" s="17">
        <v>2114729391</v>
      </c>
      <c r="C95">
        <v>0</v>
      </c>
      <c r="D95">
        <v>361881520</v>
      </c>
      <c r="E95">
        <v>897970530</v>
      </c>
    </row>
    <row r="96" spans="1:6" x14ac:dyDescent="0.25">
      <c r="A96" s="73" t="s">
        <v>127</v>
      </c>
      <c r="B96" s="17">
        <v>2091215580</v>
      </c>
      <c r="C96">
        <v>0</v>
      </c>
      <c r="D96">
        <v>351445111</v>
      </c>
    </row>
    <row r="97" spans="1:6" x14ac:dyDescent="0.25">
      <c r="A97" s="73" t="s">
        <v>128</v>
      </c>
      <c r="B97" s="17">
        <v>2081292016</v>
      </c>
      <c r="C97">
        <v>0</v>
      </c>
      <c r="D97">
        <v>351445111</v>
      </c>
      <c r="E97">
        <v>711165399</v>
      </c>
    </row>
    <row r="98" spans="1:6" x14ac:dyDescent="0.25">
      <c r="A98" s="73" t="s">
        <v>129</v>
      </c>
      <c r="B98" s="17">
        <v>2061567004</v>
      </c>
      <c r="C98">
        <v>0</v>
      </c>
      <c r="D98">
        <v>322738500</v>
      </c>
    </row>
    <row r="99" spans="1:6" x14ac:dyDescent="0.25">
      <c r="A99" s="73" t="s">
        <v>130</v>
      </c>
      <c r="B99" s="17">
        <v>1776008643</v>
      </c>
      <c r="C99">
        <v>0</v>
      </c>
      <c r="D99">
        <v>335393520</v>
      </c>
      <c r="E99">
        <v>869128250</v>
      </c>
    </row>
    <row r="100" spans="1:6" x14ac:dyDescent="0.25">
      <c r="A100" s="73" t="s">
        <v>131</v>
      </c>
      <c r="B100" s="17">
        <v>1492407841</v>
      </c>
      <c r="C100">
        <v>0</v>
      </c>
      <c r="D100">
        <v>332134688</v>
      </c>
    </row>
    <row r="101" spans="1:6" x14ac:dyDescent="0.25">
      <c r="A101" s="73" t="s">
        <v>132</v>
      </c>
      <c r="B101" s="17">
        <v>1202639064</v>
      </c>
      <c r="C101">
        <v>0</v>
      </c>
      <c r="D101">
        <v>332134688</v>
      </c>
      <c r="E101">
        <v>603031772</v>
      </c>
      <c r="F101">
        <v>1.587061863057418</v>
      </c>
    </row>
    <row r="102" spans="1:6" x14ac:dyDescent="0.25">
      <c r="A102" s="73" t="s">
        <v>133</v>
      </c>
      <c r="B102" s="17">
        <v>917261424</v>
      </c>
      <c r="C102">
        <v>0</v>
      </c>
      <c r="D102">
        <v>335176471</v>
      </c>
    </row>
    <row r="103" spans="1:6" x14ac:dyDescent="0.25">
      <c r="A103" s="73" t="s">
        <v>134</v>
      </c>
      <c r="B103" s="17">
        <v>755697394</v>
      </c>
      <c r="C103">
        <v>0</v>
      </c>
      <c r="D103">
        <v>322121030</v>
      </c>
      <c r="E103">
        <v>97983793</v>
      </c>
      <c r="F103">
        <v>-9.3290371490182822E-2</v>
      </c>
    </row>
    <row r="104" spans="1:6" x14ac:dyDescent="0.25">
      <c r="A104" s="73" t="s">
        <v>135</v>
      </c>
      <c r="B104" s="17">
        <v>776666560</v>
      </c>
      <c r="C104">
        <v>0</v>
      </c>
      <c r="D104">
        <v>319600870</v>
      </c>
    </row>
    <row r="105" spans="1:6" x14ac:dyDescent="0.25">
      <c r="A105" s="73" t="s">
        <v>136</v>
      </c>
      <c r="B105" s="17">
        <v>809816488</v>
      </c>
      <c r="C105">
        <v>0</v>
      </c>
      <c r="D105">
        <v>319600870</v>
      </c>
      <c r="E105">
        <v>150068160</v>
      </c>
      <c r="F105">
        <v>0.2222055096586617</v>
      </c>
    </row>
    <row r="106" spans="1:6" x14ac:dyDescent="0.25">
      <c r="A106" s="73" t="s">
        <v>137</v>
      </c>
      <c r="B106" s="17">
        <v>871443199</v>
      </c>
      <c r="C106">
        <v>0</v>
      </c>
      <c r="D106">
        <v>312529412</v>
      </c>
    </row>
    <row r="107" spans="1:6" x14ac:dyDescent="0.25">
      <c r="A107" s="73" t="s">
        <v>138</v>
      </c>
      <c r="B107" s="17">
        <v>895859073</v>
      </c>
      <c r="C107">
        <v>0</v>
      </c>
      <c r="D107">
        <v>332062500</v>
      </c>
      <c r="E107">
        <v>169035200</v>
      </c>
      <c r="F107">
        <v>0.34904597037394608</v>
      </c>
    </row>
    <row r="108" spans="1:6" x14ac:dyDescent="0.25">
      <c r="A108" s="73" t="s">
        <v>139</v>
      </c>
      <c r="B108" s="17">
        <v>844366965</v>
      </c>
      <c r="C108">
        <v>0</v>
      </c>
      <c r="D108">
        <v>332062500</v>
      </c>
    </row>
    <row r="109" spans="1:6" x14ac:dyDescent="0.25">
      <c r="A109" s="73" t="s">
        <v>140</v>
      </c>
      <c r="B109" s="17">
        <v>783486761</v>
      </c>
      <c r="C109">
        <v>0</v>
      </c>
      <c r="D109">
        <v>332062500</v>
      </c>
      <c r="E109">
        <v>34545420</v>
      </c>
    </row>
    <row r="110" spans="1:6" x14ac:dyDescent="0.25">
      <c r="A110" s="73" t="s">
        <v>140</v>
      </c>
      <c r="B110" s="17">
        <v>783486761</v>
      </c>
      <c r="C110">
        <v>0</v>
      </c>
      <c r="D110">
        <v>332062500</v>
      </c>
      <c r="E110">
        <v>34545420</v>
      </c>
    </row>
    <row r="111" spans="1:6" x14ac:dyDescent="0.25">
      <c r="A111" s="73" t="s">
        <v>141</v>
      </c>
      <c r="B111" s="17">
        <v>698439713</v>
      </c>
      <c r="C111">
        <v>0</v>
      </c>
      <c r="D111">
        <v>320405556</v>
      </c>
    </row>
    <row r="112" spans="1:6" x14ac:dyDescent="0.25">
      <c r="A112" s="73" t="s">
        <v>142</v>
      </c>
      <c r="B112" s="17">
        <v>652285219</v>
      </c>
      <c r="C112">
        <v>0</v>
      </c>
      <c r="D112">
        <v>319977778</v>
      </c>
      <c r="F112">
        <v>0.1206155424191815</v>
      </c>
    </row>
    <row r="113" spans="1:6" x14ac:dyDescent="0.25">
      <c r="A113" s="73" t="s">
        <v>143</v>
      </c>
      <c r="B113" s="17">
        <v>633634415</v>
      </c>
      <c r="C113">
        <v>0</v>
      </c>
      <c r="D113">
        <v>319977778</v>
      </c>
    </row>
    <row r="114" spans="1:6" x14ac:dyDescent="0.25">
      <c r="A114" s="73" t="s">
        <v>144</v>
      </c>
      <c r="B114" s="17">
        <v>618734062</v>
      </c>
      <c r="C114">
        <v>0</v>
      </c>
      <c r="D114">
        <v>319977778</v>
      </c>
      <c r="E114">
        <v>61224414</v>
      </c>
      <c r="F114">
        <v>0.32957646471105728</v>
      </c>
    </row>
    <row r="115" spans="1:6" x14ac:dyDescent="0.25">
      <c r="A115" s="73" t="s">
        <v>145</v>
      </c>
      <c r="B115" s="17">
        <v>579966812</v>
      </c>
      <c r="C115">
        <v>0</v>
      </c>
      <c r="D115">
        <v>303187500</v>
      </c>
    </row>
    <row r="116" spans="1:6" x14ac:dyDescent="0.25">
      <c r="A116" s="73" t="s">
        <v>146</v>
      </c>
      <c r="B116" s="17">
        <v>535205052</v>
      </c>
      <c r="C116">
        <v>0</v>
      </c>
      <c r="D116">
        <v>303187500</v>
      </c>
      <c r="F116">
        <v>0.3687269427258546</v>
      </c>
    </row>
    <row r="117" spans="1:6" x14ac:dyDescent="0.25">
      <c r="A117" s="73" t="s">
        <v>147</v>
      </c>
      <c r="B117" s="17">
        <v>488168892</v>
      </c>
      <c r="C117">
        <v>0</v>
      </c>
      <c r="D117">
        <v>303187500</v>
      </c>
    </row>
    <row r="118" spans="1:6" x14ac:dyDescent="0.25">
      <c r="A118" s="73" t="s">
        <v>148</v>
      </c>
      <c r="B118" s="17">
        <v>442908093</v>
      </c>
      <c r="C118">
        <v>0</v>
      </c>
      <c r="D118">
        <v>303187500</v>
      </c>
      <c r="E118">
        <v>33536130</v>
      </c>
    </row>
    <row r="119" spans="1:6" x14ac:dyDescent="0.25">
      <c r="A119" s="73" t="s">
        <v>149</v>
      </c>
      <c r="D119">
        <v>315700000</v>
      </c>
    </row>
    <row r="120" spans="1:6" x14ac:dyDescent="0.25">
      <c r="A120" s="73" t="s">
        <v>150</v>
      </c>
      <c r="D120">
        <v>315693686</v>
      </c>
    </row>
    <row r="121" spans="1:6" x14ac:dyDescent="0.25">
      <c r="A121" s="73" t="s">
        <v>150</v>
      </c>
      <c r="D121">
        <v>315693686</v>
      </c>
    </row>
    <row r="122" spans="1:6" x14ac:dyDescent="0.25">
      <c r="A122" s="73" t="s">
        <v>151</v>
      </c>
      <c r="D122">
        <v>315700000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152</v>
      </c>
      <c r="B1" s="27" t="s">
        <v>153</v>
      </c>
      <c r="C1" t="s">
        <v>154</v>
      </c>
      <c r="D1" t="s">
        <v>155</v>
      </c>
      <c r="F1" s="27" t="s">
        <v>153</v>
      </c>
      <c r="G1" t="s">
        <v>154</v>
      </c>
      <c r="H1" t="s">
        <v>155</v>
      </c>
      <c r="J1" t="s">
        <v>156</v>
      </c>
      <c r="K1" t="s">
        <v>154</v>
      </c>
      <c r="L1" t="s">
        <v>155</v>
      </c>
      <c r="N1" t="s">
        <v>157</v>
      </c>
      <c r="O1" t="s">
        <v>154</v>
      </c>
      <c r="P1" t="s">
        <v>155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158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159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160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161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162</v>
      </c>
    </row>
    <row r="7" spans="1:46" x14ac:dyDescent="0.25">
      <c r="A7" s="27" t="s">
        <v>163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164</v>
      </c>
    </row>
    <row r="8" spans="1:46" x14ac:dyDescent="0.25">
      <c r="A8" s="27" t="s">
        <v>165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166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167</v>
      </c>
    </row>
    <row r="10" spans="1:46" x14ac:dyDescent="0.25">
      <c r="A10" s="27" t="s">
        <v>168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169</v>
      </c>
    </row>
    <row r="11" spans="1:46" x14ac:dyDescent="0.25">
      <c r="A11" s="27" t="s">
        <v>170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171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172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173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174</v>
      </c>
    </row>
    <row r="15" spans="1:46" x14ac:dyDescent="0.25">
      <c r="A15" s="27" t="s">
        <v>175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176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177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178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179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180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181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182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183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184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185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186</v>
      </c>
      <c r="J26">
        <v>0.61799999999999999</v>
      </c>
      <c r="N26">
        <v>-0.36399999999999999</v>
      </c>
    </row>
    <row r="27" spans="1:17" x14ac:dyDescent="0.25">
      <c r="A27" s="27" t="s">
        <v>187</v>
      </c>
    </row>
    <row r="28" spans="1:17" x14ac:dyDescent="0.25">
      <c r="A28" s="27" t="s">
        <v>188</v>
      </c>
    </row>
    <row r="29" spans="1:17" x14ac:dyDescent="0.25">
      <c r="A29" s="27" t="s">
        <v>189</v>
      </c>
    </row>
    <row r="31" spans="1:17" x14ac:dyDescent="0.25">
      <c r="A31" s="26" t="s">
        <v>190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191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192</v>
      </c>
      <c r="C1" s="73" t="s">
        <v>193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194</v>
      </c>
      <c r="D2">
        <v>1.89052629271575</v>
      </c>
      <c r="E2">
        <v>0.17157989280158531</v>
      </c>
    </row>
    <row r="3" spans="1:5" x14ac:dyDescent="0.25">
      <c r="A3" s="73">
        <v>1</v>
      </c>
      <c r="B3">
        <v>3</v>
      </c>
      <c r="C3" t="s">
        <v>195</v>
      </c>
      <c r="D3">
        <v>1.925971952027657</v>
      </c>
      <c r="E3">
        <v>0.17403096012948219</v>
      </c>
    </row>
    <row r="4" spans="1:5" x14ac:dyDescent="0.25">
      <c r="A4" s="73">
        <v>2</v>
      </c>
      <c r="B4">
        <v>3</v>
      </c>
      <c r="C4" t="s">
        <v>196</v>
      </c>
      <c r="D4">
        <v>1.852076001317891</v>
      </c>
      <c r="E4">
        <v>0.16892105516609099</v>
      </c>
    </row>
    <row r="5" spans="1:5" x14ac:dyDescent="0.25">
      <c r="A5" s="73">
        <v>3</v>
      </c>
      <c r="B5">
        <v>5</v>
      </c>
      <c r="C5" t="s">
        <v>194</v>
      </c>
      <c r="D5">
        <v>1.474921880778141</v>
      </c>
      <c r="E5">
        <v>0.1428408478746401</v>
      </c>
    </row>
    <row r="6" spans="1:5" x14ac:dyDescent="0.25">
      <c r="A6" s="73">
        <v>4</v>
      </c>
      <c r="B6">
        <v>5</v>
      </c>
      <c r="C6" t="s">
        <v>195</v>
      </c>
      <c r="D6">
        <v>1.5645843836938369</v>
      </c>
      <c r="E6">
        <v>0.14904100991705699</v>
      </c>
    </row>
    <row r="7" spans="1:5" x14ac:dyDescent="0.25">
      <c r="A7" s="73">
        <v>5</v>
      </c>
      <c r="B7">
        <v>5</v>
      </c>
      <c r="C7" t="s">
        <v>196</v>
      </c>
      <c r="D7">
        <v>1.445113209230612</v>
      </c>
      <c r="E7">
        <v>0.1407795782484996</v>
      </c>
    </row>
    <row r="8" spans="1:5" x14ac:dyDescent="0.25">
      <c r="A8" s="73">
        <v>6</v>
      </c>
      <c r="B8" t="s">
        <v>190</v>
      </c>
      <c r="D8">
        <v>1.692198953293981</v>
      </c>
      <c r="E8">
        <v>0.15786555735622579</v>
      </c>
    </row>
    <row r="9" spans="1:5" x14ac:dyDescent="0.25">
      <c r="A9" s="73">
        <v>7</v>
      </c>
      <c r="B9" t="s">
        <v>191</v>
      </c>
      <c r="D9">
        <v>1.708330192505864</v>
      </c>
      <c r="E9">
        <v>0.158981032541574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2024-10-18T13:48:31Z</dcterms:modified>
</cp:coreProperties>
</file>