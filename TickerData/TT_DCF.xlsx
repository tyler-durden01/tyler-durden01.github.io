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17" documentId="11_3EDE6126592C63BB55904BD3830159FDDB9F2678" xr6:coauthVersionLast="47" xr6:coauthVersionMax="47" xr10:uidLastSave="{05C40E3C-2B71-4D16-8A65-B74EB4E32F94}"/>
  <bookViews>
    <workbookView xWindow="-120" yWindow="-120" windowWidth="29040" windowHeight="15720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3" l="1"/>
  <c r="L11" i="3"/>
  <c r="K32" i="5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K31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H4" i="5"/>
  <c r="G4" i="5"/>
  <c r="D4" i="5"/>
  <c r="C4" i="5"/>
  <c r="R3" i="5"/>
  <c r="P3" i="5"/>
  <c r="O3" i="5"/>
  <c r="O32" i="5" s="1"/>
  <c r="L3" i="5"/>
  <c r="K3" i="5"/>
  <c r="H3" i="5"/>
  <c r="G3" i="5"/>
  <c r="D3" i="5"/>
  <c r="C3" i="5"/>
  <c r="R2" i="5"/>
  <c r="H2" i="5"/>
  <c r="G2" i="5"/>
  <c r="G3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D2" i="5"/>
  <c r="C2" i="5"/>
  <c r="C32" i="5" s="1"/>
  <c r="U1" i="5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T1" i="5"/>
  <c r="S1" i="5"/>
  <c r="H10" i="3"/>
  <c r="H11" i="3" s="1"/>
  <c r="G10" i="3"/>
  <c r="L5" i="3"/>
  <c r="J4" i="3"/>
  <c r="J5" i="3" s="1"/>
  <c r="I4" i="3"/>
  <c r="I5" i="3" s="1"/>
  <c r="H4" i="3"/>
  <c r="K3" i="3"/>
  <c r="J3" i="3"/>
  <c r="G3" i="3"/>
  <c r="L1" i="3"/>
  <c r="M1" i="3" s="1"/>
  <c r="K1" i="3"/>
  <c r="K10" i="3" s="1"/>
  <c r="J1" i="3"/>
  <c r="J7" i="3" s="1"/>
  <c r="I1" i="3"/>
  <c r="I10" i="3" s="1"/>
  <c r="I11" i="3" s="1"/>
  <c r="H1" i="3"/>
  <c r="H3" i="3" s="1"/>
  <c r="G1" i="3"/>
  <c r="G7" i="3" s="1"/>
  <c r="F1" i="3"/>
  <c r="F4" i="3" s="1"/>
  <c r="E1" i="3"/>
  <c r="E10" i="3" s="1"/>
  <c r="D1" i="3"/>
  <c r="D4" i="3" s="1"/>
  <c r="N5" i="3" l="1"/>
  <c r="O5" i="3" s="1"/>
  <c r="P5" i="3" s="1"/>
  <c r="Q5" i="3" s="1"/>
  <c r="R5" i="3" s="1"/>
  <c r="S5" i="3" s="1"/>
  <c r="T5" i="3" s="1"/>
  <c r="U5" i="3" s="1"/>
  <c r="J8" i="3"/>
  <c r="G13" i="3"/>
  <c r="C21" i="3"/>
  <c r="C20" i="3"/>
  <c r="N1" i="3"/>
  <c r="M3" i="3"/>
  <c r="E4" i="3"/>
  <c r="E5" i="3" s="1"/>
  <c r="I7" i="3"/>
  <c r="D10" i="3"/>
  <c r="E11" i="3" s="1"/>
  <c r="I3" i="3"/>
  <c r="G4" i="3"/>
  <c r="G5" i="3" s="1"/>
  <c r="K7" i="3"/>
  <c r="F10" i="3"/>
  <c r="F11" i="3" s="1"/>
  <c r="C31" i="5"/>
  <c r="D7" i="3"/>
  <c r="G31" i="5"/>
  <c r="F7" i="3"/>
  <c r="O31" i="5"/>
  <c r="D3" i="3"/>
  <c r="E3" i="3"/>
  <c r="K4" i="3"/>
  <c r="J10" i="3"/>
  <c r="J11" i="3" s="1"/>
  <c r="E7" i="3"/>
  <c r="L3" i="3"/>
  <c r="F3" i="3"/>
  <c r="H7" i="3"/>
  <c r="F5" i="3" l="1"/>
  <c r="K11" i="3"/>
  <c r="E8" i="3"/>
  <c r="E13" i="3"/>
  <c r="L4" i="3"/>
  <c r="M4" i="3" s="1"/>
  <c r="N4" i="3" s="1"/>
  <c r="O4" i="3" s="1"/>
  <c r="P4" i="3" s="1"/>
  <c r="Q4" i="3" s="1"/>
  <c r="R4" i="3" s="1"/>
  <c r="S4" i="3" s="1"/>
  <c r="T4" i="3" s="1"/>
  <c r="U4" i="3" s="1"/>
  <c r="V4" i="3" s="1"/>
  <c r="K5" i="3"/>
  <c r="K8" i="3"/>
  <c r="K13" i="3"/>
  <c r="G11" i="3"/>
  <c r="G8" i="3"/>
  <c r="J13" i="3"/>
  <c r="H8" i="3"/>
  <c r="H13" i="3"/>
  <c r="N3" i="3"/>
  <c r="O1" i="3"/>
  <c r="I13" i="3"/>
  <c r="I8" i="3"/>
  <c r="D8" i="3"/>
  <c r="D13" i="3"/>
  <c r="F8" i="3"/>
  <c r="F13" i="3"/>
  <c r="H5" i="3"/>
  <c r="O3" i="3" l="1"/>
  <c r="P1" i="3"/>
  <c r="L8" i="3"/>
  <c r="M11" i="3"/>
  <c r="N11" i="3" s="1"/>
  <c r="O11" i="3" s="1"/>
  <c r="P11" i="3" s="1"/>
  <c r="Q11" i="3" s="1"/>
  <c r="R11" i="3" s="1"/>
  <c r="S11" i="3" s="1"/>
  <c r="T11" i="3" s="1"/>
  <c r="U11" i="3" s="1"/>
  <c r="L10" i="3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M8" i="3" l="1"/>
  <c r="L7" i="3"/>
  <c r="L13" i="3" s="1"/>
  <c r="L14" i="3" s="1"/>
  <c r="P3" i="3"/>
  <c r="Q1" i="3"/>
  <c r="R1" i="3" l="1"/>
  <c r="Q3" i="3"/>
  <c r="M7" i="3"/>
  <c r="M13" i="3" s="1"/>
  <c r="M14" i="3" s="1"/>
  <c r="N8" i="3"/>
  <c r="O8" i="3" l="1"/>
  <c r="N7" i="3"/>
  <c r="N13" i="3" s="1"/>
  <c r="N14" i="3" s="1"/>
  <c r="S1" i="3"/>
  <c r="R3" i="3"/>
  <c r="S3" i="3" l="1"/>
  <c r="T1" i="3"/>
  <c r="O7" i="3"/>
  <c r="O13" i="3" s="1"/>
  <c r="O14" i="3" s="1"/>
  <c r="P8" i="3"/>
  <c r="P7" i="3" l="1"/>
  <c r="P13" i="3" s="1"/>
  <c r="P14" i="3" s="1"/>
  <c r="Q8" i="3"/>
  <c r="U1" i="3"/>
  <c r="U3" i="3" s="1"/>
  <c r="T3" i="3"/>
  <c r="R8" i="3" l="1"/>
  <c r="Q7" i="3"/>
  <c r="Q13" i="3" s="1"/>
  <c r="Q14" i="3" s="1"/>
  <c r="R7" i="3" l="1"/>
  <c r="R13" i="3" s="1"/>
  <c r="R14" i="3" s="1"/>
  <c r="S8" i="3"/>
  <c r="T8" i="3" l="1"/>
  <c r="S7" i="3"/>
  <c r="S13" i="3" s="1"/>
  <c r="S14" i="3" s="1"/>
  <c r="U8" i="3" l="1"/>
  <c r="U7" i="3" s="1"/>
  <c r="T7" i="3"/>
  <c r="T13" i="3" s="1"/>
  <c r="T14" i="3" s="1"/>
  <c r="U13" i="3" l="1"/>
  <c r="V7" i="3"/>
  <c r="V13" i="3" l="1"/>
  <c r="V14" i="3" s="1"/>
  <c r="U14" i="3"/>
  <c r="C18" i="3" l="1"/>
  <c r="C17" i="3"/>
  <c r="C19" i="3" l="1"/>
  <c r="C22" i="3" s="1"/>
  <c r="L18" i="3" l="1"/>
  <c r="L1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<sst xmlns="http://schemas.openxmlformats.org/spreadsheetml/2006/main" count="253" uniqueCount="235">
  <si>
    <t>This sheet contains FactSet XML data for use with this workbook's =FDS codes.  Modifying the worksheet's contents may damage the workbook's =FDS functionality.</t>
  </si>
  <si>
    <t>TT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</si>
  <si>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</si>
  <si>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</si>
  <si>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</si>
  <si>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</si>
  <si>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</si>
  <si>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</si>
  <si>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</si>
  <si>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</si>
  <si>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</si>
  <si>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</si>
  <si>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</si>
  <si>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</si>
  <si>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</si>
  <si>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</si>
  <si>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</si>
  <si>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</si>
  <si>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</si>
  <si>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</si>
  <si>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</si>
  <si>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</si>
  <si>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</si>
  <si>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</si>
  <si>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</si>
  <si>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</si>
  <si>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</si>
  <si>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</si>
  <si>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</si>
  <si>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</si>
  <si>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</si>
  <si>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</si>
  <si>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</si>
  <si>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</si>
  <si>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</si>
  <si>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</si>
  <si>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</si>
  <si>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</si>
  <si>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</si>
  <si>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</si>
  <si>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</si>
  <si>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</si>
  <si>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</si>
  <si>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</si>
  <si>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</si>
  <si>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</si>
  <si>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</si>
  <si>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</si>
  <si>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</si>
  <si>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</si>
  <si>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</si>
  <si>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</si>
  <si>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</si>
  <si>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</si>
  <si>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</si>
  <si>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</si>
  <si>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</si>
  <si>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</si>
  <si>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</si>
  <si>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</si>
  <si>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</si>
  <si>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</si>
  <si>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</si>
  <si>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</si>
  <si>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</si>
  <si>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</si>
  <si>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</si>
  <si>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</si>
  <si>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</si>
  <si>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</si>
  <si>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</si>
  <si>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</si>
  <si>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</si>
  <si>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</si>
  <si>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</si>
  <si>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</si>
  <si>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</si>
  <si>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</si>
  <si>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</si>
  <si>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</si>
  <si>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</si>
  <si>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</si>
  <si>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2012-06-30</t>
  </si>
  <si>
    <t>2012-03-31</t>
  </si>
  <si>
    <t>2011-12-31</t>
  </si>
  <si>
    <t>2011-09-30</t>
  </si>
  <si>
    <t>2011-06-30</t>
  </si>
  <si>
    <t>2011-03-31</t>
  </si>
  <si>
    <t>2010-12-31</t>
  </si>
  <si>
    <t>2010-09-30</t>
  </si>
  <si>
    <t>2010-06-30</t>
  </si>
  <si>
    <t>2010-03-31</t>
  </si>
  <si>
    <t>2009-12-31</t>
  </si>
  <si>
    <t>2009-09-30</t>
  </si>
  <si>
    <t>2009-06-30</t>
  </si>
  <si>
    <t>2009-03-31</t>
  </si>
  <si>
    <t>2008-12-31</t>
  </si>
  <si>
    <t>2008-09-30</t>
  </si>
  <si>
    <t>2008-06-30</t>
  </si>
  <si>
    <t>2008-03-31</t>
  </si>
  <si>
    <t>2007-12-31</t>
  </si>
  <si>
    <t>2007-09-30</t>
  </si>
  <si>
    <t>2007-06-30</t>
  </si>
  <si>
    <t>2007-03-31</t>
  </si>
  <si>
    <t>2006-12-31</t>
  </si>
  <si>
    <t>2006-09-30</t>
  </si>
  <si>
    <t>2006-06-30</t>
  </si>
  <si>
    <t>2006-03-31</t>
  </si>
  <si>
    <t>2005-12-31</t>
  </si>
  <si>
    <t>2005-09-30</t>
  </si>
  <si>
    <t>2005-06-30</t>
  </si>
  <si>
    <t>2005-03-31</t>
  </si>
  <si>
    <t>2004-12-31</t>
  </si>
  <si>
    <t>2004-09-30</t>
  </si>
  <si>
    <t>2004-06-30</t>
  </si>
  <si>
    <t>2004-03-31</t>
  </si>
  <si>
    <t>2003-12-31</t>
  </si>
  <si>
    <t>2003-09-30</t>
  </si>
  <si>
    <t>2003-06-30</t>
  </si>
  <si>
    <t>2003-03-31</t>
  </si>
  <si>
    <t>2002-12-31</t>
  </si>
  <si>
    <t>2002-09-30</t>
  </si>
  <si>
    <t>2002-06-30</t>
  </si>
  <si>
    <t>2002-03-31</t>
  </si>
  <si>
    <t>2001-12-31</t>
  </si>
  <si>
    <t>2001-09-30</t>
  </si>
  <si>
    <t>2001-06-30</t>
  </si>
  <si>
    <t>2001-03-31</t>
  </si>
  <si>
    <t>2000-12-31</t>
  </si>
  <si>
    <t>2000-09-30</t>
  </si>
  <si>
    <t>2000-06-30</t>
  </si>
  <si>
    <t>2000-03-31</t>
  </si>
  <si>
    <t>1999-12-31</t>
  </si>
  <si>
    <t>1999-09-30</t>
  </si>
  <si>
    <t>1999-06-30</t>
  </si>
  <si>
    <t>1999-03-31</t>
  </si>
  <si>
    <t>1998-12-31</t>
  </si>
  <si>
    <t>1998-09-30</t>
  </si>
  <si>
    <t>1998-06-30</t>
  </si>
  <si>
    <t>1998-03-31</t>
  </si>
  <si>
    <t>1997-12-31</t>
  </si>
  <si>
    <t>1997-09-30</t>
  </si>
  <si>
    <t>1997-06-30</t>
  </si>
  <si>
    <t>1997-03-31</t>
  </si>
  <si>
    <t>1996-12-31</t>
  </si>
  <si>
    <t>1996-09-30</t>
  </si>
  <si>
    <t>1996-06-30</t>
  </si>
  <si>
    <t>1996-03-31</t>
  </si>
  <si>
    <t>1995-12-31</t>
  </si>
  <si>
    <t>1995-09-30</t>
  </si>
  <si>
    <t>1995-06-30</t>
  </si>
  <si>
    <t>1995-03-31</t>
  </si>
  <si>
    <t>1994-12-31</t>
  </si>
  <si>
    <t>1994-09-30</t>
  </si>
  <si>
    <t>1994-06-30</t>
  </si>
  <si>
    <t>1994-03-31</t>
  </si>
  <si>
    <t>1993-12-31</t>
  </si>
  <si>
    <t>1993-09-30</t>
  </si>
  <si>
    <t>1993-06-30</t>
  </si>
  <si>
    <t>1993-03-31</t>
  </si>
  <si>
    <t>1992-12-31</t>
  </si>
  <si>
    <t>1992-09-30</t>
  </si>
  <si>
    <t>1992-06-30</t>
  </si>
  <si>
    <t>1992-03-31</t>
  </si>
  <si>
    <t>1991-12-31</t>
  </si>
  <si>
    <t>1991-09-30</t>
  </si>
  <si>
    <t>1991-06-30</t>
  </si>
  <si>
    <t>1991-03-31</t>
  </si>
  <si>
    <t>1990-12-31</t>
  </si>
  <si>
    <t>1990-09-30</t>
  </si>
  <si>
    <t>1990-06-30</t>
  </si>
  <si>
    <t>1990-03-31</t>
  </si>
  <si>
    <t>1989-12-31</t>
  </si>
  <si>
    <t>1989-09-30</t>
  </si>
  <si>
    <t>1989-06-30</t>
  </si>
  <si>
    <t>1989-03-31</t>
  </si>
  <si>
    <t>1988-12-31</t>
  </si>
  <si>
    <t>1988-09-30</t>
  </si>
  <si>
    <t>1988-06-30</t>
  </si>
  <si>
    <t>1988-03-31</t>
  </si>
  <si>
    <t>1987-12-31</t>
  </si>
  <si>
    <t>1987-09-30</t>
  </si>
  <si>
    <t>1987-06-30</t>
  </si>
  <si>
    <t>1987-03-31</t>
  </si>
  <si>
    <t>1986-12-31</t>
  </si>
  <si>
    <t>1986-09-30</t>
  </si>
  <si>
    <t>1986-06-30</t>
  </si>
  <si>
    <t>1986-03-31</t>
  </si>
  <si>
    <t>1985-12-31</t>
  </si>
  <si>
    <t>1985-09-30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</si>
  <si>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</si>
  <si>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</si>
  <si>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</si>
  <si>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</si>
  <si>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</si>
  <si>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</si>
  <si>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</si>
  <si>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2024-04-30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</si>
  <si>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</si>
  <si>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</si>
  <si>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</si>
  <si>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</si>
  <si>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</si>
  <si>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2023-04-30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</si>
  <si>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</si>
  <si>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</si>
  <si>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</si>
  <si>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</si>
  <si>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2022-07-31</t>
  </si>
  <si>
    <t>2022-04-30</t>
  </si>
  <si>
    <t>2022-01-31</t>
  </si>
  <si>
    <t>2021-10-31</t>
  </si>
  <si>
    <t>add more to show the return, and also the market cap valuations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</si>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</sst>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4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164" fontId="11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44" fontId="1" fillId="0" borderId="5" xfId="4" applyBorder="1"/>
    <xf numFmtId="39" fontId="5" fillId="0" borderId="2" xfId="0" applyNumberFormat="1" applyFont="1" applyBorder="1"/>
    <xf numFmtId="0" fontId="16" fillId="0" borderId="17" xfId="0" applyFont="1" applyBorder="1" applyAlignment="1">
      <alignment horizontal="center" vertical="top"/>
    </xf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sheetData>
    <row r="1" spans="1:2" x14ac:dyDescent="0.25">
      <c r="B1" s="73" t="s">
        <v>1</v>
      </c>
    </row>
    <row r="2" spans="1:2" x14ac:dyDescent="0.25">
      <c r="A2" s="73" t="s">
        <v>2</v>
      </c>
      <c r="B2">
        <v>13231600000</v>
      </c>
    </row>
    <row r="3" spans="1:2" x14ac:dyDescent="0.25">
      <c r="A3" s="73" t="s">
        <v>3</v>
      </c>
      <c r="B3">
        <v>4316200000</v>
      </c>
    </row>
    <row r="4" spans="1:2" x14ac:dyDescent="0.25">
      <c r="A4" s="73" t="s">
        <v>4</v>
      </c>
      <c r="B4">
        <v>0.38251298321487442</v>
      </c>
    </row>
    <row r="5" spans="1:2" x14ac:dyDescent="0.25">
      <c r="A5" s="73" t="s">
        <v>5</v>
      </c>
      <c r="B5">
        <v>5.3496130855845418E-2</v>
      </c>
    </row>
    <row r="6" spans="1:2" x14ac:dyDescent="0.25">
      <c r="A6" s="73" t="s">
        <v>6</v>
      </c>
      <c r="B6">
        <v>0.21</v>
      </c>
    </row>
    <row r="7" spans="1:2" x14ac:dyDescent="0.25">
      <c r="A7" s="73" t="s">
        <v>7</v>
      </c>
      <c r="B7">
        <v>6967600000</v>
      </c>
    </row>
    <row r="8" spans="1:2" x14ac:dyDescent="0.25">
      <c r="A8" s="73" t="s">
        <v>8</v>
      </c>
      <c r="B8">
        <v>0.61748701678512563</v>
      </c>
    </row>
    <row r="9" spans="1:2" x14ac:dyDescent="0.25">
      <c r="A9" s="73" t="s">
        <v>9</v>
      </c>
      <c r="B9">
        <v>0.11714210010170201</v>
      </c>
    </row>
    <row r="10" spans="1:2" x14ac:dyDescent="0.25">
      <c r="A10" s="73" t="s">
        <v>10</v>
      </c>
      <c r="B10">
        <v>4.0729999542236328E-2</v>
      </c>
    </row>
    <row r="11" spans="1:2" x14ac:dyDescent="0.25">
      <c r="A11" s="73" t="s">
        <v>11</v>
      </c>
      <c r="B11">
        <v>1.1031052411506299</v>
      </c>
    </row>
    <row r="12" spans="1:2" x14ac:dyDescent="0.25">
      <c r="A12" s="73" t="s">
        <v>12</v>
      </c>
      <c r="B12">
        <v>6.9270000457763672E-2</v>
      </c>
    </row>
    <row r="13" spans="1:2" x14ac:dyDescent="0.25">
      <c r="A13" s="73" t="s">
        <v>13</v>
      </c>
      <c r="B13">
        <v>0.02</v>
      </c>
    </row>
    <row r="14" spans="1:2" x14ac:dyDescent="0.25">
      <c r="A14" s="73" t="s">
        <v>14</v>
      </c>
      <c r="B14">
        <v>8.8499467969001461E-2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3"/>
  <sheetViews>
    <sheetView showGridLines="0" tabSelected="1" topLeftCell="A2" zoomScale="85" zoomScaleNormal="85" workbookViewId="0">
      <selection activeCell="U16" sqref="U16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customWidth="1" outlineLevel="1"/>
    <col min="12" max="22" width="10.5703125" customWidth="1"/>
  </cols>
  <sheetData>
    <row r="1" spans="2:22" hidden="1" outlineLevel="1" x14ac:dyDescent="0.25">
      <c r="C1" s="28"/>
      <c r="D1" s="66" t="str">
        <f>Python!A31</f>
        <v>2017-06-30</v>
      </c>
      <c r="E1" s="66" t="str">
        <f>Python!A27</f>
        <v>2018-06-30</v>
      </c>
      <c r="F1" s="66" t="str">
        <f>Python!A23</f>
        <v>2019-06-30</v>
      </c>
      <c r="G1" s="66" t="str">
        <f>Python!A19</f>
        <v>2020-06-30</v>
      </c>
      <c r="H1" s="66" t="str">
        <f>Python!A15</f>
        <v>2021-06-30</v>
      </c>
      <c r="I1" s="66" t="str">
        <f>Python!A11</f>
        <v>2022-06-30</v>
      </c>
      <c r="J1" s="66" t="str">
        <f>Python!A7</f>
        <v>2023-06-30</v>
      </c>
      <c r="K1" s="66" t="str">
        <f>Python!A3</f>
        <v>2024-06-30</v>
      </c>
      <c r="L1" s="28">
        <f t="shared" ref="L1:U1" si="0">EDATE(K1, 12)</f>
        <v>45838</v>
      </c>
      <c r="M1" s="28">
        <f t="shared" si="0"/>
        <v>46203</v>
      </c>
      <c r="N1" s="28">
        <f t="shared" si="0"/>
        <v>46568</v>
      </c>
      <c r="O1" s="28">
        <f t="shared" si="0"/>
        <v>46934</v>
      </c>
      <c r="P1" s="28">
        <f t="shared" si="0"/>
        <v>47299</v>
      </c>
      <c r="Q1" s="28">
        <f t="shared" si="0"/>
        <v>47664</v>
      </c>
      <c r="R1" s="28">
        <f t="shared" si="0"/>
        <v>48029</v>
      </c>
      <c r="S1" s="28">
        <f t="shared" si="0"/>
        <v>48395</v>
      </c>
      <c r="T1" s="28">
        <f t="shared" si="0"/>
        <v>48760</v>
      </c>
      <c r="U1" s="28">
        <f t="shared" si="0"/>
        <v>49125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4" t="s">
        <v>15</v>
      </c>
      <c r="C3" s="45"/>
      <c r="D3" s="45">
        <f t="shared" ref="D3:U3" si="1">YEAR(D1)</f>
        <v>2017</v>
      </c>
      <c r="E3" s="45">
        <f t="shared" si="1"/>
        <v>2018</v>
      </c>
      <c r="F3" s="45">
        <f t="shared" si="1"/>
        <v>2019</v>
      </c>
      <c r="G3" s="45">
        <f t="shared" si="1"/>
        <v>2020</v>
      </c>
      <c r="H3" s="45">
        <f t="shared" si="1"/>
        <v>2021</v>
      </c>
      <c r="I3" s="45">
        <f t="shared" si="1"/>
        <v>2022</v>
      </c>
      <c r="J3" s="45">
        <f t="shared" si="1"/>
        <v>2023</v>
      </c>
      <c r="K3" s="54">
        <f t="shared" si="1"/>
        <v>2024</v>
      </c>
      <c r="L3" s="45">
        <f t="shared" si="1"/>
        <v>2025</v>
      </c>
      <c r="M3" s="45">
        <f t="shared" si="1"/>
        <v>2026</v>
      </c>
      <c r="N3" s="45">
        <f t="shared" si="1"/>
        <v>2027</v>
      </c>
      <c r="O3" s="45">
        <f t="shared" si="1"/>
        <v>2028</v>
      </c>
      <c r="P3" s="45">
        <f t="shared" si="1"/>
        <v>2029</v>
      </c>
      <c r="Q3" s="45">
        <f t="shared" si="1"/>
        <v>2030</v>
      </c>
      <c r="R3" s="45">
        <f t="shared" si="1"/>
        <v>2031</v>
      </c>
      <c r="S3" s="45">
        <f t="shared" si="1"/>
        <v>2032</v>
      </c>
      <c r="T3" s="45">
        <f t="shared" si="1"/>
        <v>2033</v>
      </c>
      <c r="U3" s="45">
        <f t="shared" si="1"/>
        <v>2034</v>
      </c>
      <c r="V3" s="46" t="s">
        <v>16</v>
      </c>
    </row>
    <row r="4" spans="2:22" s="1" customFormat="1" x14ac:dyDescent="0.25">
      <c r="B4" s="48" t="s">
        <v>17</v>
      </c>
      <c r="C4" s="36"/>
      <c r="D4" s="36">
        <f>IFERROR(INDEX(Python!$1:$1048576,MATCH(DCF_Simple!D$1,Python!$A:$A,0),MATCH(DCF_Simple!$B4,Python!$1:$1,0))/1000000,0)</f>
        <v>13835.6</v>
      </c>
      <c r="E4" s="36">
        <f>IFERROR(INDEX(Python!$1:$1048576,MATCH(DCF_Simple!E$1,Python!$A:$A,0),MATCH(DCF_Simple!$B4,Python!$1:$1,0))/1000000,0)</f>
        <v>15030.8</v>
      </c>
      <c r="F4" s="36">
        <f>IFERROR(INDEX(Python!$1:$1048576,MATCH(DCF_Simple!F$1,Python!$A:$A,0),MATCH(DCF_Simple!$B4,Python!$1:$1,0))/1000000,0)</f>
        <v>16029.7</v>
      </c>
      <c r="G4" s="36">
        <f>IFERROR(INDEX(Python!$1:$1048576,MATCH(DCF_Simple!G$1,Python!$A:$A,0),MATCH(DCF_Simple!$B4,Python!$1:$1,0))/1000000,0)</f>
        <v>14275.3</v>
      </c>
      <c r="H4" s="36">
        <f>IFERROR(INDEX(Python!$1:$1048576,MATCH(DCF_Simple!H$1,Python!$A:$A,0),MATCH(DCF_Simple!$B4,Python!$1:$1,0))/1000000,0)</f>
        <v>13521.9</v>
      </c>
      <c r="I4" s="36">
        <f>IFERROR(INDEX(Python!$1:$1048576,MATCH(DCF_Simple!I$1,Python!$A:$A,0),MATCH(DCF_Simple!$B4,Python!$1:$1,0))/1000000,0)</f>
        <v>14835</v>
      </c>
      <c r="J4" s="36">
        <f>IFERROR(INDEX(Python!$1:$1048576,MATCH(DCF_Simple!J$1,Python!$A:$A,0),MATCH(DCF_Simple!$B4,Python!$1:$1,0))/1000000,0)</f>
        <v>16816.3</v>
      </c>
      <c r="K4" s="55">
        <f>IFERROR(INDEX(Python!$1:$1048576,MATCH(DCF_Simple!K$1,Python!$A:$A,0),MATCH(DCF_Simple!$B4,Python!$1:$1,0))/1000000,0)</f>
        <v>18829.900000000001</v>
      </c>
      <c r="L4" s="37">
        <f t="shared" ref="L4:U4" si="2">K4*(1+L5)</f>
        <v>20502.760517315532</v>
      </c>
      <c r="M4" s="36">
        <f t="shared" si="2"/>
        <v>21543.605391399316</v>
      </c>
      <c r="N4" s="36">
        <f t="shared" si="2"/>
        <v>22637.289884372058</v>
      </c>
      <c r="O4" s="36">
        <f t="shared" si="2"/>
        <v>23786.496456794255</v>
      </c>
      <c r="P4" s="36">
        <f t="shared" si="2"/>
        <v>24994.043747246051</v>
      </c>
      <c r="Q4" s="36">
        <f t="shared" si="2"/>
        <v>26262.893485552075</v>
      </c>
      <c r="R4" s="36">
        <f t="shared" si="2"/>
        <v>27596.157756963679</v>
      </c>
      <c r="S4" s="36">
        <f t="shared" si="2"/>
        <v>28997.106635115229</v>
      </c>
      <c r="T4" s="36">
        <f t="shared" si="2"/>
        <v>30469.176202475726</v>
      </c>
      <c r="U4" s="36">
        <f t="shared" si="2"/>
        <v>32015.976977967341</v>
      </c>
      <c r="V4" s="19">
        <f>U4</f>
        <v>32015.976977967341</v>
      </c>
    </row>
    <row r="5" spans="2:22" s="1" customFormat="1" x14ac:dyDescent="0.25">
      <c r="B5" s="10" t="s">
        <v>18</v>
      </c>
      <c r="C5" s="30"/>
      <c r="D5" s="30"/>
      <c r="E5" s="42">
        <f t="shared" ref="E5:K5" si="3">IFERROR(E4/D4-1,"")</f>
        <v>8.6385845210905199E-2</v>
      </c>
      <c r="F5" s="42">
        <f t="shared" si="3"/>
        <v>6.6456875216222899E-2</v>
      </c>
      <c r="G5" s="42">
        <f t="shared" si="3"/>
        <v>-0.10944683930454102</v>
      </c>
      <c r="H5" s="42">
        <f t="shared" si="3"/>
        <v>-5.2776474049582078E-2</v>
      </c>
      <c r="I5" s="42">
        <f t="shared" si="3"/>
        <v>9.7109134071395431E-2</v>
      </c>
      <c r="J5" s="42">
        <f t="shared" si="3"/>
        <v>0.13355578024941006</v>
      </c>
      <c r="K5" s="58">
        <f t="shared" si="3"/>
        <v>0.11974096561074687</v>
      </c>
      <c r="L5" s="43">
        <f>Python!F2</f>
        <v>8.8840647975588327E-2</v>
      </c>
      <c r="M5" s="43">
        <f>L5/1.75</f>
        <v>5.0766084557479045E-2</v>
      </c>
      <c r="N5" s="38">
        <f t="shared" ref="N5:U5" si="4">M5</f>
        <v>5.0766084557479045E-2</v>
      </c>
      <c r="O5" s="38">
        <f t="shared" si="4"/>
        <v>5.0766084557479045E-2</v>
      </c>
      <c r="P5" s="38">
        <f t="shared" si="4"/>
        <v>5.0766084557479045E-2</v>
      </c>
      <c r="Q5" s="38">
        <f t="shared" si="4"/>
        <v>5.0766084557479045E-2</v>
      </c>
      <c r="R5" s="38">
        <f t="shared" si="4"/>
        <v>5.0766084557479045E-2</v>
      </c>
      <c r="S5" s="38">
        <f t="shared" si="4"/>
        <v>5.0766084557479045E-2</v>
      </c>
      <c r="T5" s="38">
        <f t="shared" si="4"/>
        <v>5.0766084557479045E-2</v>
      </c>
      <c r="U5" s="38">
        <f t="shared" si="4"/>
        <v>5.0766084557479045E-2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6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2"/>
      <c r="D7" s="52">
        <f>IFERROR(INDEX(Python!$1:$1048576,MATCH(DCF_Simple!D$1,Python!$A:$A,0),MATCH(DCF_Simple!$B7,Python!$1:$1,0))/1000000,0)</f>
        <v>1306.8</v>
      </c>
      <c r="E7" s="52">
        <f>IFERROR(INDEX(Python!$1:$1048576,MATCH(DCF_Simple!E$1,Python!$A:$A,0),MATCH(DCF_Simple!$B7,Python!$1:$1,0))/1000000,0)</f>
        <v>1190.5</v>
      </c>
      <c r="F7" s="52">
        <f>IFERROR(INDEX(Python!$1:$1048576,MATCH(DCF_Simple!F$1,Python!$A:$A,0),MATCH(DCF_Simple!$B7,Python!$1:$1,0))/1000000,0)</f>
        <v>1104.9000000000001</v>
      </c>
      <c r="G7" s="52">
        <f>IFERROR(INDEX(Python!$1:$1048576,MATCH(DCF_Simple!G$1,Python!$A:$A,0),MATCH(DCF_Simple!$B7,Python!$1:$1,0))/1000000,0)</f>
        <v>1206.4000000000001</v>
      </c>
      <c r="H7" s="52">
        <f>IFERROR(INDEX(Python!$1:$1048576,MATCH(DCF_Simple!H$1,Python!$A:$A,0),MATCH(DCF_Simple!$B7,Python!$1:$1,0))/1000000,0)</f>
        <v>2143.9</v>
      </c>
      <c r="I7" s="52">
        <f>IFERROR(INDEX(Python!$1:$1048576,MATCH(DCF_Simple!I$1,Python!$A:$A,0),MATCH(DCF_Simple!$B7,Python!$1:$1,0))/1000000,0)</f>
        <v>781.8</v>
      </c>
      <c r="J7" s="52">
        <f>IFERROR(INDEX(Python!$1:$1048576,MATCH(DCF_Simple!J$1,Python!$A:$A,0),MATCH(DCF_Simple!$B7,Python!$1:$1,0))/1000000,0)</f>
        <v>1521.1</v>
      </c>
      <c r="K7" s="57">
        <f>IFERROR(INDEX(Python!$1:$1048576,MATCH(DCF_Simple!K$1,Python!$A:$A,0),MATCH(DCF_Simple!$B7,Python!$1:$1,0))/1000000,0)</f>
        <v>2473.6568130000001</v>
      </c>
      <c r="L7" s="64">
        <f t="shared" ref="L7:U7" si="5">L8*L4</f>
        <v>1948.1884516324885</v>
      </c>
      <c r="M7" s="64">
        <f t="shared" si="5"/>
        <v>2047.090351301968</v>
      </c>
      <c r="N7" s="64">
        <f t="shared" si="5"/>
        <v>2151.0131131729631</v>
      </c>
      <c r="O7" s="64">
        <f t="shared" si="5"/>
        <v>2260.2116267605484</v>
      </c>
      <c r="P7" s="64">
        <f t="shared" si="5"/>
        <v>2374.9537213224717</v>
      </c>
      <c r="Q7" s="64">
        <f t="shared" si="5"/>
        <v>2495.5208227592279</v>
      </c>
      <c r="R7" s="64">
        <f t="shared" si="5"/>
        <v>2622.2086438623728</v>
      </c>
      <c r="S7" s="64">
        <f t="shared" si="5"/>
        <v>2755.3279096040424</v>
      </c>
      <c r="T7" s="64">
        <f t="shared" si="5"/>
        <v>2895.2051192465833</v>
      </c>
      <c r="U7" s="64">
        <f t="shared" si="5"/>
        <v>3042.1833471415021</v>
      </c>
      <c r="V7" s="65">
        <f>U7</f>
        <v>3042.1833471415021</v>
      </c>
    </row>
    <row r="8" spans="2:22" s="1" customFormat="1" x14ac:dyDescent="0.25">
      <c r="B8" s="10" t="s">
        <v>20</v>
      </c>
      <c r="C8" s="42"/>
      <c r="D8" s="42">
        <f t="shared" ref="D8:K8" si="6">IFERROR(D7/D$4,"")</f>
        <v>9.4451993408308996E-2</v>
      </c>
      <c r="E8" s="42">
        <f t="shared" si="6"/>
        <v>7.9204034382734129E-2</v>
      </c>
      <c r="F8" s="42">
        <f t="shared" si="6"/>
        <v>6.8928301839710035E-2</v>
      </c>
      <c r="G8" s="42">
        <f t="shared" si="6"/>
        <v>8.4509607503870335E-2</v>
      </c>
      <c r="H8" s="42">
        <f t="shared" si="6"/>
        <v>0.15855020374355677</v>
      </c>
      <c r="I8" s="42">
        <f t="shared" si="6"/>
        <v>5.2699696663296255E-2</v>
      </c>
      <c r="J8" s="42">
        <f t="shared" si="6"/>
        <v>9.04539048423256E-2</v>
      </c>
      <c r="K8" s="58">
        <f t="shared" si="6"/>
        <v>0.13136855814422804</v>
      </c>
      <c r="L8" s="38">
        <f>AVERAGE(D8:K8)</f>
        <v>9.5020787566003767E-2</v>
      </c>
      <c r="M8" s="38">
        <f t="shared" ref="M8:U8" si="7">L8</f>
        <v>9.5020787566003767E-2</v>
      </c>
      <c r="N8" s="38">
        <f t="shared" si="7"/>
        <v>9.5020787566003767E-2</v>
      </c>
      <c r="O8" s="38">
        <f t="shared" si="7"/>
        <v>9.5020787566003767E-2</v>
      </c>
      <c r="P8" s="38">
        <f t="shared" si="7"/>
        <v>9.5020787566003767E-2</v>
      </c>
      <c r="Q8" s="38">
        <f t="shared" si="7"/>
        <v>9.5020787566003767E-2</v>
      </c>
      <c r="R8" s="38">
        <f t="shared" si="7"/>
        <v>9.5020787566003767E-2</v>
      </c>
      <c r="S8" s="38">
        <f t="shared" si="7"/>
        <v>9.5020787566003767E-2</v>
      </c>
      <c r="T8" s="38">
        <f t="shared" si="7"/>
        <v>9.5020787566003767E-2</v>
      </c>
      <c r="U8" s="38">
        <f t="shared" si="7"/>
        <v>9.5020787566003767E-2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8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7" t="s">
        <v>21</v>
      </c>
      <c r="C10" s="35"/>
      <c r="D10" s="17">
        <f>IFERROR(INDEX(Python!$1:$1048576,MATCH(DCF_Simple!D$1,Python!$A:$A,0),MATCH(DCF_Simple!$B10,Python!$1:$1,0))/1000000,0)</f>
        <v>259.7</v>
      </c>
      <c r="E10" s="17">
        <f>IFERROR(INDEX(Python!$1:$1048576,MATCH(DCF_Simple!E$1,Python!$A:$A,0),MATCH(DCF_Simple!$B10,Python!$1:$1,0))/1000000,0)</f>
        <v>250.1</v>
      </c>
      <c r="F10" s="17">
        <f>IFERROR(INDEX(Python!$1:$1048576,MATCH(DCF_Simple!F$1,Python!$A:$A,0),MATCH(DCF_Simple!$B10,Python!$1:$1,0))/1000000,0)</f>
        <v>244.9</v>
      </c>
      <c r="G10" s="17">
        <f>IFERROR(INDEX(Python!$1:$1048576,MATCH(DCF_Simple!G$1,Python!$A:$A,0),MATCH(DCF_Simple!$B10,Python!$1:$1,0))/1000000,0)</f>
        <v>242.3</v>
      </c>
      <c r="H10" s="17">
        <f>IFERROR(INDEX(Python!$1:$1048576,MATCH(DCF_Simple!H$1,Python!$A:$A,0),MATCH(DCF_Simple!$B10,Python!$1:$1,0))/1000000,0)</f>
        <v>243.4</v>
      </c>
      <c r="I10" s="17">
        <f>IFERROR(INDEX(Python!$1:$1048576,MATCH(DCF_Simple!I$1,Python!$A:$A,0),MATCH(DCF_Simple!$B10,Python!$1:$1,0))/1000000,0)</f>
        <v>235.7</v>
      </c>
      <c r="J10" s="17">
        <f>IFERROR(INDEX(Python!$1:$1048576,MATCH(DCF_Simple!J$1,Python!$A:$A,0),MATCH(DCF_Simple!$B10,Python!$1:$1,0))/1000000,0)</f>
        <v>230.3</v>
      </c>
      <c r="K10" s="69">
        <f>IFERROR(INDEX(Python!$1:$1048576,MATCH(DCF_Simple!K$1,Python!$A:$A,0),MATCH(DCF_Simple!$B10,Python!$1:$1,0))/1000000,0)</f>
        <v>228.7</v>
      </c>
      <c r="L10" s="17">
        <f t="shared" ref="L10:U10" si="8">K10*(1+L11)</f>
        <v>225.52223187147194</v>
      </c>
      <c r="M10" s="17">
        <f t="shared" si="8"/>
        <v>222.38861857581969</v>
      </c>
      <c r="N10" s="17">
        <f t="shared" si="8"/>
        <v>219.29854658518735</v>
      </c>
      <c r="O10" s="17">
        <f t="shared" si="8"/>
        <v>216.25141089663936</v>
      </c>
      <c r="P10" s="17">
        <f t="shared" si="8"/>
        <v>213.2466149137073</v>
      </c>
      <c r="Q10" s="17">
        <f t="shared" si="8"/>
        <v>210.28357032958283</v>
      </c>
      <c r="R10" s="17">
        <f t="shared" si="8"/>
        <v>207.36169701193336</v>
      </c>
      <c r="S10" s="17">
        <f t="shared" si="8"/>
        <v>204.48042288931853</v>
      </c>
      <c r="T10" s="17">
        <f t="shared" si="8"/>
        <v>201.63918383918468</v>
      </c>
      <c r="U10" s="17">
        <f t="shared" si="8"/>
        <v>198.83742357741571</v>
      </c>
      <c r="V10" s="70">
        <f>U10</f>
        <v>198.83742357741571</v>
      </c>
    </row>
    <row r="11" spans="2:22" s="1" customFormat="1" x14ac:dyDescent="0.25">
      <c r="B11" s="10" t="s">
        <v>22</v>
      </c>
      <c r="C11" s="42"/>
      <c r="D11" s="42"/>
      <c r="E11" s="42">
        <f t="shared" ref="E11:K11" si="9">IFERROR(E10/D10-1,"")</f>
        <v>-3.6965729688101634E-2</v>
      </c>
      <c r="F11" s="42">
        <f t="shared" si="9"/>
        <v>-2.0791683326669252E-2</v>
      </c>
      <c r="G11" s="42">
        <f t="shared" si="9"/>
        <v>-1.0616578195181692E-2</v>
      </c>
      <c r="H11" s="42">
        <f t="shared" si="9"/>
        <v>4.5398266611638149E-3</v>
      </c>
      <c r="I11" s="42">
        <f t="shared" si="9"/>
        <v>-3.1635168447000872E-2</v>
      </c>
      <c r="J11" s="42">
        <f t="shared" si="9"/>
        <v>-2.2910479422995289E-2</v>
      </c>
      <c r="K11" s="58">
        <f t="shared" si="9"/>
        <v>-6.9474598349978933E-3</v>
      </c>
      <c r="L11" s="67">
        <f>K11*2</f>
        <v>-1.3894919669995787E-2</v>
      </c>
      <c r="M11" s="67">
        <f t="shared" ref="L11:U11" si="10">L11</f>
        <v>-1.3894919669995787E-2</v>
      </c>
      <c r="N11" s="67">
        <f t="shared" si="10"/>
        <v>-1.3894919669995787E-2</v>
      </c>
      <c r="O11" s="67">
        <f t="shared" si="10"/>
        <v>-1.3894919669995787E-2</v>
      </c>
      <c r="P11" s="67">
        <f t="shared" si="10"/>
        <v>-1.3894919669995787E-2</v>
      </c>
      <c r="Q11" s="67">
        <f t="shared" si="10"/>
        <v>-1.3894919669995787E-2</v>
      </c>
      <c r="R11" s="67">
        <f t="shared" si="10"/>
        <v>-1.3894919669995787E-2</v>
      </c>
      <c r="S11" s="67">
        <f t="shared" si="10"/>
        <v>-1.3894919669995787E-2</v>
      </c>
      <c r="T11" s="67">
        <f t="shared" si="10"/>
        <v>-1.3894919669995787E-2</v>
      </c>
      <c r="U11" s="67">
        <f t="shared" si="10"/>
        <v>-1.3894919669995787E-2</v>
      </c>
      <c r="V11" s="68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8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9" t="s">
        <v>23</v>
      </c>
      <c r="C13" s="53"/>
      <c r="D13" s="53">
        <f t="shared" ref="D13:K13" si="11">IFERROR(D7/D10,0)</f>
        <v>5.0319599537928381</v>
      </c>
      <c r="E13" s="53">
        <f t="shared" si="11"/>
        <v>4.7600959616153542</v>
      </c>
      <c r="F13" s="53">
        <f t="shared" si="11"/>
        <v>4.5116374030216422</v>
      </c>
      <c r="G13" s="53">
        <f t="shared" si="11"/>
        <v>4.978951712752786</v>
      </c>
      <c r="H13" s="53">
        <f t="shared" si="11"/>
        <v>8.8081347576006568</v>
      </c>
      <c r="I13" s="53">
        <f t="shared" si="11"/>
        <v>3.3169282986847688</v>
      </c>
      <c r="J13" s="53">
        <f t="shared" si="11"/>
        <v>6.6048632218844974</v>
      </c>
      <c r="K13" s="59">
        <f t="shared" si="11"/>
        <v>10.816164464363796</v>
      </c>
      <c r="L13" s="53">
        <f t="shared" ref="L13:U13" si="12">L7/L10</f>
        <v>8.6385649674786222</v>
      </c>
      <c r="M13" s="53">
        <f t="shared" si="12"/>
        <v>9.2050140174059614</v>
      </c>
      <c r="N13" s="53">
        <f t="shared" si="12"/>
        <v>9.8086063344582808</v>
      </c>
      <c r="O13" s="53">
        <f t="shared" si="12"/>
        <v>10.451777481539072</v>
      </c>
      <c r="P13" s="53">
        <f t="shared" si="12"/>
        <v>11.137122726583604</v>
      </c>
      <c r="Q13" s="53">
        <f t="shared" si="12"/>
        <v>11.867407514757021</v>
      </c>
      <c r="R13" s="53">
        <f t="shared" si="12"/>
        <v>12.645578627336699</v>
      </c>
      <c r="S13" s="53">
        <f t="shared" si="12"/>
        <v>13.4747760723062</v>
      </c>
      <c r="T13" s="53">
        <f t="shared" si="12"/>
        <v>14.358345754640752</v>
      </c>
      <c r="U13" s="53">
        <f t="shared" si="12"/>
        <v>15.299852977410227</v>
      </c>
      <c r="V13" s="71">
        <f>U13*(1+WACC!$B$13)/(WACC!$B$14-WACC!$B$13)</f>
        <v>227.8243977605878</v>
      </c>
    </row>
    <row r="14" spans="2:22" ht="15.75" customHeight="1" thickBot="1" x14ac:dyDescent="0.3">
      <c r="B14" s="50" t="s">
        <v>24</v>
      </c>
      <c r="C14" s="51"/>
      <c r="D14" s="51"/>
      <c r="E14" s="51"/>
      <c r="F14" s="51"/>
      <c r="G14" s="51"/>
      <c r="H14" s="51"/>
      <c r="I14" s="51"/>
      <c r="J14" s="51"/>
      <c r="K14" s="60"/>
      <c r="L14" s="62">
        <f>L13/((1+WACC!$B$14)^(L3-$K$3))</f>
        <v>7.9362142304001875</v>
      </c>
      <c r="M14" s="62">
        <f>M13/((1+WACC!$B$14)^(M3-$K$3))</f>
        <v>7.769051708175609</v>
      </c>
      <c r="N14" s="62">
        <f>N13/((1+WACC!$B$14)^(N3-$K$3))</f>
        <v>7.6054101731654908</v>
      </c>
      <c r="O14" s="62">
        <f>O13/((1+WACC!$B$14)^(O3-$K$3))</f>
        <v>7.4452154619102346</v>
      </c>
      <c r="P14" s="62">
        <f>P13/((1+WACC!$B$14)^(P3-$K$3))</f>
        <v>7.2883949730742623</v>
      </c>
      <c r="Q14" s="62">
        <f>Q13/((1+WACC!$B$14)^(Q3-$K$3))</f>
        <v>7.1348776345426126</v>
      </c>
      <c r="R14" s="62">
        <f>R13/((1+WACC!$B$14)^(R3-$K$3))</f>
        <v>6.9845938712105644</v>
      </c>
      <c r="S14" s="62">
        <f>S13/((1+WACC!$B$14)^(S3-$K$3))</f>
        <v>6.8374755734517327</v>
      </c>
      <c r="T14" s="62">
        <f>T13/((1+WACC!$B$14)^(T3-$K$3))</f>
        <v>6.6934560662503104</v>
      </c>
      <c r="U14" s="62">
        <f>U13/((1+WACC!$B$14)^(U3-$K$3))</f>
        <v>6.5524700789835091</v>
      </c>
      <c r="V14" s="63">
        <f>V13/((1+WACC!$B$14)^(U3-$K$3))</f>
        <v>97.570385270550119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97.570385270550119</v>
      </c>
      <c r="L17" s="16">
        <f>C17/$C$19</f>
        <v>0.57456009770122729</v>
      </c>
      <c r="O17" s="18"/>
    </row>
    <row r="18" spans="2:22" x14ac:dyDescent="0.25">
      <c r="B18" s="8" t="s">
        <v>26</v>
      </c>
      <c r="C18" s="32">
        <f>SUM(14:14)-V14</f>
        <v>72.247159771164505</v>
      </c>
      <c r="K18" s="3"/>
      <c r="L18" s="16">
        <f>C18/$C$19</f>
        <v>0.42543990229877271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>
        <f>C17+C18</f>
        <v>169.81754504171462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2">
        <f>Python!E3/1000000/K10</f>
        <v>5.7971141233056409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18.872759073021424</v>
      </c>
      <c r="F21" s="14"/>
      <c r="G21" s="14"/>
      <c r="H21" s="14"/>
    </row>
    <row r="22" spans="2:22" ht="15.75" customHeight="1" thickBot="1" x14ac:dyDescent="0.3">
      <c r="B22" s="34" t="s">
        <v>30</v>
      </c>
      <c r="C22" s="61">
        <f>C19+C20-C21</f>
        <v>156.74190009199884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8"/>
  <sheetViews>
    <sheetView workbookViewId="0"/>
  </sheetViews>
  <sheetFormatPr defaultRowHeight="15" x14ac:dyDescent="0.25"/>
  <sheetData>
    <row r="1" spans="1:6" x14ac:dyDescent="0.25">
      <c r="A1" s="73" t="s">
        <v>31</v>
      </c>
      <c r="B1" s="73" t="s">
        <v>17</v>
      </c>
      <c r="C1" s="73" t="s">
        <v>19</v>
      </c>
      <c r="D1" s="73" t="s">
        <v>21</v>
      </c>
      <c r="E1" s="73" t="s">
        <v>28</v>
      </c>
      <c r="F1" s="73" t="s">
        <v>32</v>
      </c>
    </row>
    <row r="2" spans="1:6" x14ac:dyDescent="0.25">
      <c r="A2" s="73" t="s">
        <v>33</v>
      </c>
      <c r="F2">
        <v>8.8840647975588327E-2</v>
      </c>
    </row>
    <row r="3" spans="1:6" x14ac:dyDescent="0.25">
      <c r="A3" s="73" t="s">
        <v>34</v>
      </c>
      <c r="B3">
        <v>18829900000</v>
      </c>
      <c r="C3">
        <v>2473656813</v>
      </c>
      <c r="D3">
        <v>228700000</v>
      </c>
      <c r="E3">
        <v>1325800000</v>
      </c>
      <c r="F3">
        <v>8.9867331392012195E-2</v>
      </c>
    </row>
    <row r="4" spans="1:6" x14ac:dyDescent="0.25">
      <c r="A4" s="73" t="s">
        <v>35</v>
      </c>
      <c r="B4">
        <v>18227200000</v>
      </c>
      <c r="C4">
        <v>2320900000</v>
      </c>
      <c r="D4">
        <v>229500000</v>
      </c>
      <c r="E4">
        <v>849900000</v>
      </c>
      <c r="F4">
        <v>9.0231264662556709E-2</v>
      </c>
    </row>
    <row r="5" spans="1:6" x14ac:dyDescent="0.25">
      <c r="A5" s="73" t="s">
        <v>36</v>
      </c>
      <c r="B5">
        <v>17677500000</v>
      </c>
      <c r="C5">
        <v>2088900000</v>
      </c>
      <c r="D5">
        <v>229900000</v>
      </c>
      <c r="E5">
        <v>1095300000</v>
      </c>
      <c r="F5">
        <v>-2.0646063968187689E-2</v>
      </c>
    </row>
    <row r="6" spans="1:6" x14ac:dyDescent="0.25">
      <c r="A6" s="73" t="s">
        <v>37</v>
      </c>
      <c r="B6">
        <v>17327300000</v>
      </c>
      <c r="C6">
        <v>1908900000</v>
      </c>
      <c r="D6">
        <v>230600000</v>
      </c>
      <c r="E6">
        <v>960000000</v>
      </c>
      <c r="F6">
        <v>1.368512546032608E-2</v>
      </c>
    </row>
    <row r="7" spans="1:6" x14ac:dyDescent="0.25">
      <c r="A7" s="73" t="s">
        <v>38</v>
      </c>
      <c r="B7">
        <v>16816300000</v>
      </c>
      <c r="C7">
        <v>1521100000</v>
      </c>
      <c r="D7">
        <v>230300000</v>
      </c>
      <c r="E7">
        <v>663600000</v>
      </c>
      <c r="F7">
        <v>0.14652300496372669</v>
      </c>
    </row>
    <row r="8" spans="1:6" x14ac:dyDescent="0.25">
      <c r="A8" s="73" t="s">
        <v>39</v>
      </c>
      <c r="B8">
        <v>16302000000</v>
      </c>
      <c r="C8">
        <v>1406600000</v>
      </c>
      <c r="D8">
        <v>231500000</v>
      </c>
      <c r="E8">
        <v>692900000</v>
      </c>
      <c r="F8">
        <v>0.37353598569512753</v>
      </c>
    </row>
    <row r="9" spans="1:6" x14ac:dyDescent="0.25">
      <c r="A9" s="73" t="s">
        <v>40</v>
      </c>
      <c r="B9">
        <v>15991700000</v>
      </c>
      <c r="C9">
        <v>1212200000</v>
      </c>
      <c r="D9">
        <v>232400000</v>
      </c>
      <c r="E9">
        <v>1220500000</v>
      </c>
      <c r="F9">
        <v>1.917742974812997E-2</v>
      </c>
    </row>
    <row r="10" spans="1:6" x14ac:dyDescent="0.25">
      <c r="A10" s="73" t="s">
        <v>41</v>
      </c>
      <c r="B10">
        <v>15487100000</v>
      </c>
      <c r="C10">
        <v>866600000</v>
      </c>
      <c r="D10">
        <v>234000000</v>
      </c>
      <c r="E10">
        <v>1080200000</v>
      </c>
    </row>
    <row r="11" spans="1:6" x14ac:dyDescent="0.25">
      <c r="A11" s="73" t="s">
        <v>42</v>
      </c>
      <c r="B11">
        <v>14835000000</v>
      </c>
      <c r="C11">
        <v>781800000</v>
      </c>
      <c r="D11">
        <v>235700000</v>
      </c>
      <c r="E11">
        <v>1090200000</v>
      </c>
    </row>
    <row r="12" spans="1:6" x14ac:dyDescent="0.25">
      <c r="A12" s="73" t="s">
        <v>43</v>
      </c>
      <c r="B12">
        <v>14474300000</v>
      </c>
      <c r="C12">
        <v>886100000</v>
      </c>
      <c r="D12">
        <v>237100000</v>
      </c>
      <c r="E12">
        <v>1348400000</v>
      </c>
    </row>
    <row r="13" spans="1:6" x14ac:dyDescent="0.25">
      <c r="A13" s="73" t="s">
        <v>44</v>
      </c>
      <c r="B13">
        <v>14136400000</v>
      </c>
      <c r="C13">
        <v>1365300000</v>
      </c>
      <c r="D13">
        <v>240700000</v>
      </c>
      <c r="E13">
        <v>2159200000</v>
      </c>
      <c r="F13">
        <v>-7.4769588877354742E-3</v>
      </c>
    </row>
    <row r="14" spans="1:6" x14ac:dyDescent="0.25">
      <c r="A14" s="73" t="s">
        <v>45</v>
      </c>
      <c r="B14">
        <v>13746200000</v>
      </c>
      <c r="C14">
        <v>1609400000</v>
      </c>
      <c r="D14">
        <v>241700000</v>
      </c>
      <c r="E14">
        <v>2738800000</v>
      </c>
      <c r="F14">
        <v>8.6625661564869061E-2</v>
      </c>
    </row>
    <row r="15" spans="1:6" x14ac:dyDescent="0.25">
      <c r="A15" s="73" t="s">
        <v>46</v>
      </c>
      <c r="B15">
        <v>13521900000</v>
      </c>
      <c r="C15">
        <v>2143900000</v>
      </c>
      <c r="D15">
        <v>243400000</v>
      </c>
      <c r="E15">
        <v>2912400000</v>
      </c>
      <c r="F15">
        <v>0.22021154581368679</v>
      </c>
    </row>
    <row r="16" spans="1:6" x14ac:dyDescent="0.25">
      <c r="A16" s="73" t="s">
        <v>47</v>
      </c>
      <c r="B16">
        <v>12831000000</v>
      </c>
      <c r="C16">
        <v>1867300000</v>
      </c>
      <c r="D16">
        <v>243100000</v>
      </c>
      <c r="E16">
        <v>2838000000</v>
      </c>
      <c r="F16">
        <v>7.6227615189490061E-2</v>
      </c>
    </row>
    <row r="17" spans="1:6" x14ac:dyDescent="0.25">
      <c r="A17" s="73" t="s">
        <v>48</v>
      </c>
      <c r="B17">
        <v>12454700000</v>
      </c>
      <c r="C17">
        <v>1288800000</v>
      </c>
      <c r="D17">
        <v>244300000</v>
      </c>
      <c r="E17">
        <v>3289900000</v>
      </c>
      <c r="F17">
        <v>-0.3257331831650967</v>
      </c>
    </row>
    <row r="18" spans="1:6" x14ac:dyDescent="0.25">
      <c r="A18" s="73" t="s">
        <v>49</v>
      </c>
      <c r="B18">
        <v>13426500000</v>
      </c>
      <c r="C18">
        <v>1517500000</v>
      </c>
      <c r="D18">
        <v>243700000</v>
      </c>
      <c r="E18">
        <v>3190100000</v>
      </c>
      <c r="F18">
        <v>-0.36855912252837048</v>
      </c>
    </row>
    <row r="19" spans="1:6" x14ac:dyDescent="0.25">
      <c r="A19" s="73" t="s">
        <v>50</v>
      </c>
      <c r="B19">
        <v>14275300000</v>
      </c>
      <c r="C19">
        <v>1206400000</v>
      </c>
      <c r="D19">
        <v>242300000</v>
      </c>
      <c r="E19">
        <v>2366800000</v>
      </c>
      <c r="F19">
        <v>-0.51310065903971025</v>
      </c>
    </row>
    <row r="20" spans="1:6" x14ac:dyDescent="0.25">
      <c r="A20" s="73" t="s">
        <v>51</v>
      </c>
      <c r="B20">
        <v>15664300000</v>
      </c>
      <c r="C20">
        <v>1416500000</v>
      </c>
      <c r="D20">
        <v>242300000</v>
      </c>
      <c r="E20">
        <v>2647700000</v>
      </c>
      <c r="F20">
        <v>-0.1067618691797869</v>
      </c>
    </row>
    <row r="21" spans="1:6" x14ac:dyDescent="0.25">
      <c r="A21" s="73" t="s">
        <v>52</v>
      </c>
      <c r="B21">
        <v>16598900000</v>
      </c>
      <c r="C21">
        <v>1665400000</v>
      </c>
      <c r="D21">
        <v>242900000</v>
      </c>
      <c r="E21">
        <v>1303600000</v>
      </c>
      <c r="F21">
        <v>8.0896144129804171E-2</v>
      </c>
    </row>
    <row r="22" spans="1:6" x14ac:dyDescent="0.25">
      <c r="A22" s="73" t="s">
        <v>53</v>
      </c>
      <c r="B22">
        <v>16343100000</v>
      </c>
      <c r="C22">
        <v>1262900000</v>
      </c>
      <c r="D22">
        <v>244600000</v>
      </c>
      <c r="E22">
        <v>830900000</v>
      </c>
      <c r="F22">
        <v>3.4422777295393107E-2</v>
      </c>
    </row>
    <row r="23" spans="1:6" x14ac:dyDescent="0.25">
      <c r="A23" s="73" t="s">
        <v>54</v>
      </c>
      <c r="B23">
        <v>16029700000</v>
      </c>
      <c r="C23">
        <v>1104900000</v>
      </c>
      <c r="D23">
        <v>244900000</v>
      </c>
      <c r="E23">
        <v>875600000</v>
      </c>
      <c r="F23">
        <v>-0.1857255809257177</v>
      </c>
    </row>
    <row r="24" spans="1:6" x14ac:dyDescent="0.25">
      <c r="A24" s="73" t="s">
        <v>55</v>
      </c>
      <c r="B24">
        <v>15859600000</v>
      </c>
      <c r="C24">
        <v>1047800000</v>
      </c>
      <c r="D24">
        <v>245200000</v>
      </c>
      <c r="E24">
        <v>1907400000</v>
      </c>
      <c r="F24">
        <v>-0.25537604520608659</v>
      </c>
    </row>
    <row r="25" spans="1:6" x14ac:dyDescent="0.25">
      <c r="A25" s="73" t="s">
        <v>56</v>
      </c>
      <c r="B25">
        <v>15668200000</v>
      </c>
      <c r="C25">
        <v>1042200000</v>
      </c>
      <c r="D25">
        <v>247700000</v>
      </c>
      <c r="E25">
        <v>903400000</v>
      </c>
      <c r="F25">
        <v>5.2092258367651523E-2</v>
      </c>
    </row>
    <row r="26" spans="1:6" x14ac:dyDescent="0.25">
      <c r="A26" s="73" t="s">
        <v>57</v>
      </c>
      <c r="B26">
        <v>15391200000</v>
      </c>
      <c r="C26">
        <v>1225100000</v>
      </c>
      <c r="D26">
        <v>249500000</v>
      </c>
      <c r="E26">
        <v>1022500000</v>
      </c>
      <c r="F26">
        <v>7.308681160604813E-2</v>
      </c>
    </row>
    <row r="27" spans="1:6" x14ac:dyDescent="0.25">
      <c r="A27" s="73" t="s">
        <v>58</v>
      </c>
      <c r="B27">
        <v>15030800000</v>
      </c>
      <c r="C27">
        <v>1190500000</v>
      </c>
      <c r="D27">
        <v>250100000</v>
      </c>
      <c r="E27">
        <v>969500000</v>
      </c>
      <c r="F27">
        <v>4.2635957936751678E-2</v>
      </c>
    </row>
    <row r="28" spans="1:6" x14ac:dyDescent="0.25">
      <c r="A28" s="73" t="s">
        <v>59</v>
      </c>
      <c r="B28">
        <v>14581500000</v>
      </c>
      <c r="C28">
        <v>1261800000</v>
      </c>
      <c r="D28">
        <v>253000000</v>
      </c>
      <c r="E28">
        <v>1175100000</v>
      </c>
      <c r="F28">
        <v>-9.6647337199229355E-4</v>
      </c>
    </row>
    <row r="29" spans="1:6" x14ac:dyDescent="0.25">
      <c r="A29" s="73" t="s">
        <v>60</v>
      </c>
      <c r="B29">
        <v>14197600000</v>
      </c>
      <c r="C29">
        <v>1302200000</v>
      </c>
      <c r="D29">
        <v>253900000</v>
      </c>
      <c r="E29">
        <v>1549400000</v>
      </c>
      <c r="F29">
        <v>8.7760976539240199E-2</v>
      </c>
    </row>
    <row r="30" spans="1:6" x14ac:dyDescent="0.25">
      <c r="A30" s="73" t="s">
        <v>61</v>
      </c>
      <c r="B30">
        <v>13938300000</v>
      </c>
      <c r="C30">
        <v>1065900000</v>
      </c>
      <c r="D30">
        <v>256700000</v>
      </c>
      <c r="E30">
        <v>1259000000</v>
      </c>
      <c r="F30">
        <v>2.1640903638096232E-2</v>
      </c>
    </row>
    <row r="31" spans="1:6" x14ac:dyDescent="0.25">
      <c r="A31" s="73" t="s">
        <v>62</v>
      </c>
      <c r="B31">
        <v>13835600000</v>
      </c>
      <c r="C31">
        <v>1306800000</v>
      </c>
      <c r="D31">
        <v>259700000</v>
      </c>
      <c r="E31">
        <v>1310100000</v>
      </c>
      <c r="F31">
        <v>3.8367599913236898E-2</v>
      </c>
    </row>
    <row r="32" spans="1:6" x14ac:dyDescent="0.25">
      <c r="A32" s="73" t="s">
        <v>63</v>
      </c>
      <c r="B32">
        <v>13615400000</v>
      </c>
      <c r="C32">
        <v>1291000000</v>
      </c>
      <c r="D32">
        <v>262600000</v>
      </c>
      <c r="E32">
        <v>1322500000</v>
      </c>
      <c r="F32">
        <v>-3.5958820358660708E-2</v>
      </c>
    </row>
    <row r="33" spans="1:6" x14ac:dyDescent="0.25">
      <c r="A33" s="73" t="s">
        <v>64</v>
      </c>
      <c r="B33">
        <v>13508900000</v>
      </c>
      <c r="C33">
        <v>1317500000</v>
      </c>
      <c r="D33">
        <v>262600000</v>
      </c>
      <c r="E33">
        <v>1714700000</v>
      </c>
      <c r="F33">
        <v>0.10610551265860831</v>
      </c>
    </row>
    <row r="34" spans="1:6" x14ac:dyDescent="0.25">
      <c r="A34" s="73" t="s">
        <v>65</v>
      </c>
      <c r="B34">
        <v>13475900000</v>
      </c>
      <c r="C34">
        <v>1496700000</v>
      </c>
      <c r="D34">
        <v>261800000</v>
      </c>
      <c r="E34">
        <v>1504600000</v>
      </c>
      <c r="F34">
        <v>-6.3879822765206873E-2</v>
      </c>
    </row>
    <row r="35" spans="1:6" x14ac:dyDescent="0.25">
      <c r="A35" s="73" t="s">
        <v>66</v>
      </c>
      <c r="B35">
        <v>13395000000</v>
      </c>
      <c r="C35">
        <v>883500000</v>
      </c>
      <c r="D35">
        <v>261600000</v>
      </c>
      <c r="E35">
        <v>928800000</v>
      </c>
      <c r="F35">
        <v>-3.4944918615632432E-2</v>
      </c>
    </row>
    <row r="36" spans="1:6" x14ac:dyDescent="0.25">
      <c r="A36" s="73" t="s">
        <v>67</v>
      </c>
      <c r="B36">
        <v>13307000000</v>
      </c>
      <c r="C36">
        <v>730300000</v>
      </c>
      <c r="D36">
        <v>261300000</v>
      </c>
      <c r="E36">
        <v>612900000</v>
      </c>
      <c r="F36">
        <v>-0.25838562227301071</v>
      </c>
    </row>
    <row r="37" spans="1:6" x14ac:dyDescent="0.25">
      <c r="A37" s="73" t="s">
        <v>68</v>
      </c>
      <c r="B37">
        <v>13300700000</v>
      </c>
      <c r="C37">
        <v>601500000</v>
      </c>
      <c r="D37">
        <v>265200000</v>
      </c>
      <c r="E37">
        <v>736800000</v>
      </c>
      <c r="F37">
        <v>1.540476716556083E-2</v>
      </c>
    </row>
    <row r="38" spans="1:6" x14ac:dyDescent="0.25">
      <c r="A38" s="73" t="s">
        <v>69</v>
      </c>
      <c r="B38">
        <v>13215400000</v>
      </c>
      <c r="C38">
        <v>472500000</v>
      </c>
      <c r="D38">
        <v>268300000</v>
      </c>
      <c r="E38">
        <v>651500000</v>
      </c>
      <c r="F38">
        <v>-1.246285878877396E-2</v>
      </c>
    </row>
    <row r="39" spans="1:6" x14ac:dyDescent="0.25">
      <c r="A39" s="73" t="s">
        <v>70</v>
      </c>
      <c r="B39">
        <v>13113500000</v>
      </c>
      <c r="C39">
        <v>766900000</v>
      </c>
      <c r="D39">
        <v>269400000</v>
      </c>
      <c r="E39">
        <v>779600000</v>
      </c>
      <c r="F39">
        <v>4.1577520957407847E-2</v>
      </c>
    </row>
    <row r="40" spans="1:6" x14ac:dyDescent="0.25">
      <c r="A40" s="73" t="s">
        <v>71</v>
      </c>
      <c r="B40">
        <v>13056200000</v>
      </c>
      <c r="C40">
        <v>735300000</v>
      </c>
      <c r="D40">
        <v>268500000</v>
      </c>
      <c r="E40">
        <v>733900000</v>
      </c>
      <c r="F40">
        <v>-0.1068964787542693</v>
      </c>
    </row>
    <row r="41" spans="1:6" x14ac:dyDescent="0.25">
      <c r="A41" s="73" t="s">
        <v>72</v>
      </c>
      <c r="B41">
        <v>12891300000</v>
      </c>
      <c r="C41">
        <v>739700000</v>
      </c>
      <c r="D41">
        <v>269500000</v>
      </c>
      <c r="E41">
        <v>1705200000</v>
      </c>
      <c r="F41">
        <v>-0.1073347036045048</v>
      </c>
    </row>
    <row r="42" spans="1:6" x14ac:dyDescent="0.25">
      <c r="A42" s="73" t="s">
        <v>73</v>
      </c>
      <c r="B42">
        <v>12749700000</v>
      </c>
      <c r="C42">
        <v>511600000</v>
      </c>
      <c r="D42">
        <v>271600000</v>
      </c>
      <c r="E42">
        <v>936700000</v>
      </c>
      <c r="F42">
        <v>-0.1464558911854914</v>
      </c>
    </row>
    <row r="43" spans="1:6" x14ac:dyDescent="0.25">
      <c r="A43" s="73" t="s">
        <v>74</v>
      </c>
      <c r="B43">
        <v>13114200000</v>
      </c>
      <c r="C43">
        <v>666100000</v>
      </c>
      <c r="D43">
        <v>274200000</v>
      </c>
      <c r="E43">
        <v>929800000</v>
      </c>
      <c r="F43">
        <v>-0.11503749713936989</v>
      </c>
    </row>
    <row r="44" spans="1:6" x14ac:dyDescent="0.25">
      <c r="A44" s="73" t="s">
        <v>75</v>
      </c>
      <c r="B44">
        <v>13504000000</v>
      </c>
      <c r="C44">
        <v>831100000</v>
      </c>
      <c r="D44">
        <v>282300000</v>
      </c>
      <c r="E44">
        <v>897900000</v>
      </c>
      <c r="F44">
        <v>-0.21564686769052821</v>
      </c>
    </row>
    <row r="45" spans="1:6" x14ac:dyDescent="0.25">
      <c r="A45" s="73" t="s">
        <v>76</v>
      </c>
      <c r="B45">
        <v>13893500000</v>
      </c>
      <c r="C45">
        <v>928200000</v>
      </c>
      <c r="D45">
        <v>293300000</v>
      </c>
      <c r="E45">
        <v>1937200000</v>
      </c>
      <c r="F45">
        <v>-0.55161085816379463</v>
      </c>
    </row>
    <row r="46" spans="1:6" x14ac:dyDescent="0.25">
      <c r="A46" s="73" t="s">
        <v>77</v>
      </c>
      <c r="B46">
        <v>14264800000</v>
      </c>
      <c r="C46">
        <v>1117200000</v>
      </c>
      <c r="D46">
        <v>295500000</v>
      </c>
      <c r="E46">
        <v>1083900000</v>
      </c>
      <c r="F46">
        <v>1.5881320140280542E-2</v>
      </c>
    </row>
    <row r="47" spans="1:6" x14ac:dyDescent="0.25">
      <c r="A47" s="73" t="s">
        <v>78</v>
      </c>
      <c r="B47">
        <v>14108100000</v>
      </c>
      <c r="C47">
        <v>1016100000</v>
      </c>
      <c r="D47">
        <v>301200000</v>
      </c>
      <c r="E47">
        <v>2200500000</v>
      </c>
      <c r="F47">
        <v>-2.501353230575987E-2</v>
      </c>
    </row>
    <row r="48" spans="1:6" x14ac:dyDescent="0.25">
      <c r="A48" s="73" t="s">
        <v>79</v>
      </c>
      <c r="B48">
        <v>13996700000</v>
      </c>
      <c r="C48">
        <v>875400000</v>
      </c>
      <c r="D48">
        <v>302500000</v>
      </c>
      <c r="E48">
        <v>832900000</v>
      </c>
      <c r="F48">
        <v>-5.9196217983305321E-2</v>
      </c>
    </row>
    <row r="49" spans="1:6" x14ac:dyDescent="0.25">
      <c r="A49" s="73" t="s">
        <v>80</v>
      </c>
      <c r="B49">
        <v>14035000000</v>
      </c>
      <c r="C49">
        <v>918300000</v>
      </c>
      <c r="D49">
        <v>304000000</v>
      </c>
      <c r="E49">
        <v>882100000</v>
      </c>
      <c r="F49">
        <v>-7.4573848514679519E-2</v>
      </c>
    </row>
    <row r="50" spans="1:6" x14ac:dyDescent="0.25">
      <c r="A50" s="73" t="s">
        <v>81</v>
      </c>
      <c r="B50">
        <v>14018600000</v>
      </c>
      <c r="C50">
        <v>896800000</v>
      </c>
      <c r="D50">
        <v>312000000</v>
      </c>
      <c r="E50">
        <v>929600000</v>
      </c>
      <c r="F50">
        <v>-0.16240033600610909</v>
      </c>
    </row>
    <row r="51" spans="1:6" x14ac:dyDescent="0.25">
      <c r="A51" s="73" t="s">
        <v>82</v>
      </c>
      <c r="B51">
        <v>14354300000</v>
      </c>
      <c r="C51">
        <v>882000000</v>
      </c>
      <c r="D51">
        <v>314400000</v>
      </c>
      <c r="E51">
        <v>903400000</v>
      </c>
      <c r="F51">
        <v>-0.1065764863059452</v>
      </c>
    </row>
    <row r="52" spans="1:6" x14ac:dyDescent="0.25">
      <c r="A52" s="73" t="s">
        <v>83</v>
      </c>
      <c r="B52">
        <v>14425200000</v>
      </c>
      <c r="C52">
        <v>1010700000</v>
      </c>
      <c r="D52">
        <v>312400000</v>
      </c>
      <c r="E52">
        <v>1089500000</v>
      </c>
      <c r="F52">
        <v>-0.19028454557042709</v>
      </c>
    </row>
    <row r="53" spans="1:6" x14ac:dyDescent="0.25">
      <c r="A53" s="73" t="s">
        <v>84</v>
      </c>
      <c r="B53">
        <v>14412500000</v>
      </c>
      <c r="C53">
        <v>943900000</v>
      </c>
      <c r="D53">
        <v>312400000</v>
      </c>
      <c r="E53">
        <v>1160700000</v>
      </c>
      <c r="F53">
        <v>-0.19191943556860741</v>
      </c>
    </row>
    <row r="54" spans="1:6" x14ac:dyDescent="0.25">
      <c r="A54" s="73" t="s">
        <v>85</v>
      </c>
      <c r="B54">
        <v>14670400000</v>
      </c>
      <c r="C54">
        <v>728000000</v>
      </c>
      <c r="D54">
        <v>340200000</v>
      </c>
      <c r="E54">
        <v>1403800000</v>
      </c>
      <c r="F54">
        <v>0.1237371104200735</v>
      </c>
    </row>
    <row r="55" spans="1:6" x14ac:dyDescent="0.25">
      <c r="A55" s="73" t="s">
        <v>86</v>
      </c>
      <c r="B55">
        <v>14472200000</v>
      </c>
      <c r="C55">
        <v>583100000</v>
      </c>
      <c r="D55">
        <v>350900000</v>
      </c>
      <c r="E55">
        <v>1259800000</v>
      </c>
      <c r="F55">
        <v>0.1106949632769887</v>
      </c>
    </row>
    <row r="56" spans="1:6" x14ac:dyDescent="0.25">
      <c r="A56" s="73" t="s">
        <v>87</v>
      </c>
      <c r="B56">
        <v>14283400000</v>
      </c>
      <c r="C56">
        <v>509300000</v>
      </c>
      <c r="D56">
        <v>348500000</v>
      </c>
      <c r="E56">
        <v>918100000</v>
      </c>
      <c r="F56">
        <v>-2.8567559084445079E-2</v>
      </c>
    </row>
    <row r="57" spans="1:6" x14ac:dyDescent="0.25">
      <c r="A57" s="73" t="s">
        <v>88</v>
      </c>
      <c r="B57">
        <v>14098800000</v>
      </c>
      <c r="C57">
        <v>515900000</v>
      </c>
      <c r="D57">
        <v>348500000</v>
      </c>
      <c r="E57">
        <v>1014300000</v>
      </c>
      <c r="F57">
        <v>0.17707685864666201</v>
      </c>
    </row>
    <row r="58" spans="1:6" x14ac:dyDescent="0.25">
      <c r="A58" s="73" t="s">
        <v>89</v>
      </c>
      <c r="B58">
        <v>13693000000</v>
      </c>
      <c r="C58">
        <v>605900000</v>
      </c>
      <c r="D58">
        <v>339000000</v>
      </c>
      <c r="E58">
        <v>810700000</v>
      </c>
      <c r="F58">
        <v>5.7166853303471488E-2</v>
      </c>
    </row>
    <row r="59" spans="1:6" x14ac:dyDescent="0.25">
      <c r="A59" s="73" t="s">
        <v>90</v>
      </c>
      <c r="B59">
        <v>13445400000</v>
      </c>
      <c r="C59">
        <v>951300000</v>
      </c>
      <c r="D59">
        <v>339100000</v>
      </c>
      <c r="E59">
        <v>821600000</v>
      </c>
      <c r="F59">
        <v>5.1301318440899468E-3</v>
      </c>
    </row>
    <row r="60" spans="1:6" x14ac:dyDescent="0.25">
      <c r="A60" s="73" t="s">
        <v>91</v>
      </c>
      <c r="B60">
        <v>13215800000</v>
      </c>
      <c r="C60">
        <v>1451700000</v>
      </c>
      <c r="D60">
        <v>336600000</v>
      </c>
      <c r="E60">
        <v>599100000</v>
      </c>
      <c r="F60">
        <v>0.13286337754440991</v>
      </c>
    </row>
    <row r="61" spans="1:6" x14ac:dyDescent="0.25">
      <c r="A61" s="73" t="s">
        <v>92</v>
      </c>
      <c r="B61">
        <v>13195300000</v>
      </c>
      <c r="C61">
        <v>1530400000</v>
      </c>
      <c r="D61">
        <v>336600000</v>
      </c>
      <c r="E61">
        <v>876700000</v>
      </c>
      <c r="F61">
        <v>-5.3745129560502916E-3</v>
      </c>
    </row>
    <row r="62" spans="1:6" x14ac:dyDescent="0.25">
      <c r="A62" s="73" t="s">
        <v>93</v>
      </c>
      <c r="B62">
        <v>13559500000</v>
      </c>
      <c r="C62">
        <v>1570000000</v>
      </c>
      <c r="D62">
        <v>331800000</v>
      </c>
      <c r="E62">
        <v>743900000</v>
      </c>
      <c r="F62">
        <v>-0.29630304321617362</v>
      </c>
    </row>
    <row r="63" spans="1:6" x14ac:dyDescent="0.25">
      <c r="A63" s="73" t="s">
        <v>94</v>
      </c>
      <c r="B63">
        <v>14390000000</v>
      </c>
      <c r="C63">
        <v>1420500000</v>
      </c>
      <c r="D63">
        <v>325000000</v>
      </c>
      <c r="E63">
        <v>792900000</v>
      </c>
      <c r="F63">
        <v>-0.1904666787847312</v>
      </c>
    </row>
    <row r="64" spans="1:6" x14ac:dyDescent="0.25">
      <c r="A64" s="73" t="s">
        <v>95</v>
      </c>
      <c r="B64">
        <v>13997000000</v>
      </c>
      <c r="C64">
        <v>730000000</v>
      </c>
      <c r="D64">
        <v>320500000</v>
      </c>
      <c r="E64">
        <v>493600000</v>
      </c>
      <c r="F64">
        <v>1.033629177645264</v>
      </c>
    </row>
    <row r="65" spans="1:6" x14ac:dyDescent="0.25">
      <c r="A65" s="73" t="s">
        <v>96</v>
      </c>
      <c r="B65">
        <v>13227400000</v>
      </c>
      <c r="C65">
        <v>24900000</v>
      </c>
      <c r="D65">
        <v>320500000</v>
      </c>
      <c r="E65">
        <v>550200000</v>
      </c>
      <c r="F65">
        <v>0.41378968622218387</v>
      </c>
    </row>
    <row r="66" spans="1:6" x14ac:dyDescent="0.25">
      <c r="A66" s="73" t="s">
        <v>97</v>
      </c>
      <c r="B66">
        <v>11880600000</v>
      </c>
      <c r="C66">
        <v>187100000</v>
      </c>
      <c r="D66">
        <v>324100000</v>
      </c>
      <c r="E66">
        <v>741500000</v>
      </c>
      <c r="F66">
        <v>0.88667621304153643</v>
      </c>
    </row>
    <row r="67" spans="1:6" x14ac:dyDescent="0.25">
      <c r="A67" s="73" t="s">
        <v>98</v>
      </c>
      <c r="B67">
        <v>9806400000</v>
      </c>
      <c r="C67">
        <v>6000000</v>
      </c>
      <c r="D67">
        <v>291100000</v>
      </c>
      <c r="E67">
        <v>787300000</v>
      </c>
      <c r="F67">
        <v>0.16703217432347389</v>
      </c>
    </row>
    <row r="68" spans="1:6" x14ac:dyDescent="0.25">
      <c r="A68" s="73" t="s">
        <v>99</v>
      </c>
      <c r="B68">
        <v>8950200000</v>
      </c>
      <c r="C68">
        <v>54500000</v>
      </c>
      <c r="D68">
        <v>275151515</v>
      </c>
      <c r="E68">
        <v>4068300000</v>
      </c>
      <c r="F68">
        <v>-0.23362579625951049</v>
      </c>
    </row>
    <row r="69" spans="1:6" x14ac:dyDescent="0.25">
      <c r="A69" s="73" t="s">
        <v>100</v>
      </c>
      <c r="B69">
        <v>9455000000</v>
      </c>
      <c r="C69">
        <v>776400000</v>
      </c>
      <c r="D69">
        <v>275151515</v>
      </c>
      <c r="E69">
        <v>4735400000</v>
      </c>
      <c r="F69">
        <v>-0.1962012178245226</v>
      </c>
    </row>
    <row r="70" spans="1:6" x14ac:dyDescent="0.25">
      <c r="A70" s="73" t="s">
        <v>101</v>
      </c>
      <c r="B70">
        <v>10022100000</v>
      </c>
      <c r="C70">
        <v>760900000</v>
      </c>
      <c r="D70">
        <v>289782609</v>
      </c>
      <c r="E70">
        <v>438700000</v>
      </c>
      <c r="F70">
        <v>-0.26411621655820677</v>
      </c>
    </row>
    <row r="71" spans="1:6" x14ac:dyDescent="0.25">
      <c r="A71" s="73" t="s">
        <v>102</v>
      </c>
      <c r="B71">
        <v>10549100000</v>
      </c>
      <c r="C71">
        <v>775100000</v>
      </c>
      <c r="D71">
        <v>304132492</v>
      </c>
      <c r="E71">
        <v>460900000</v>
      </c>
      <c r="F71">
        <v>-0.26868075873631608</v>
      </c>
    </row>
    <row r="72" spans="1:6" x14ac:dyDescent="0.25">
      <c r="A72" s="73" t="s">
        <v>103</v>
      </c>
      <c r="B72">
        <v>11366400000</v>
      </c>
      <c r="C72">
        <v>769700000</v>
      </c>
      <c r="D72">
        <v>310714286</v>
      </c>
      <c r="E72">
        <v>305200000</v>
      </c>
      <c r="F72">
        <v>-1.5824419033566909E-2</v>
      </c>
    </row>
    <row r="73" spans="1:6" x14ac:dyDescent="0.25">
      <c r="A73" s="73" t="s">
        <v>104</v>
      </c>
      <c r="B73">
        <v>11409300000</v>
      </c>
      <c r="C73">
        <v>759900000</v>
      </c>
      <c r="D73">
        <v>310714286</v>
      </c>
      <c r="E73">
        <v>363000000</v>
      </c>
      <c r="F73">
        <v>7.9863826336932897E-2</v>
      </c>
    </row>
    <row r="74" spans="1:6" x14ac:dyDescent="0.25">
      <c r="A74" s="73" t="s">
        <v>105</v>
      </c>
      <c r="B74">
        <v>11232200000</v>
      </c>
      <c r="C74">
        <v>723400000</v>
      </c>
      <c r="D74">
        <v>320789474</v>
      </c>
      <c r="E74">
        <v>266300000</v>
      </c>
      <c r="F74">
        <v>6.9920387718426236E-2</v>
      </c>
    </row>
    <row r="75" spans="1:6" x14ac:dyDescent="0.25">
      <c r="A75" s="73" t="s">
        <v>106</v>
      </c>
      <c r="B75">
        <v>11081500000</v>
      </c>
      <c r="C75">
        <v>756300000</v>
      </c>
      <c r="D75">
        <v>330000000</v>
      </c>
      <c r="E75">
        <v>259300000</v>
      </c>
      <c r="F75">
        <v>0.1023373799601377</v>
      </c>
    </row>
    <row r="76" spans="1:6" x14ac:dyDescent="0.25">
      <c r="A76" s="73" t="s">
        <v>107</v>
      </c>
      <c r="B76">
        <v>10799100000</v>
      </c>
      <c r="C76">
        <v>789400000</v>
      </c>
      <c r="D76">
        <v>333157895</v>
      </c>
      <c r="E76">
        <v>824700000</v>
      </c>
      <c r="F76">
        <v>4.1316450300959762E-2</v>
      </c>
    </row>
    <row r="77" spans="1:6" x14ac:dyDescent="0.25">
      <c r="A77" s="73" t="s">
        <v>108</v>
      </c>
      <c r="B77">
        <v>10546900000</v>
      </c>
      <c r="C77">
        <v>697300000</v>
      </c>
      <c r="D77">
        <v>333157895</v>
      </c>
      <c r="E77">
        <v>1037100000</v>
      </c>
      <c r="F77">
        <v>-3.9884759658397773E-2</v>
      </c>
    </row>
    <row r="78" spans="1:6" x14ac:dyDescent="0.25">
      <c r="A78" s="73" t="s">
        <v>109</v>
      </c>
      <c r="B78">
        <v>10292600000</v>
      </c>
      <c r="C78">
        <v>573500000</v>
      </c>
      <c r="D78">
        <v>338933333</v>
      </c>
      <c r="E78">
        <v>884800000</v>
      </c>
      <c r="F78">
        <v>5.8416032939189177E-2</v>
      </c>
    </row>
    <row r="79" spans="1:6" x14ac:dyDescent="0.25">
      <c r="A79" s="73" t="s">
        <v>110</v>
      </c>
      <c r="B79">
        <v>10045300000</v>
      </c>
      <c r="C79">
        <v>531700000</v>
      </c>
      <c r="D79">
        <v>343855422</v>
      </c>
      <c r="E79">
        <v>915600000</v>
      </c>
      <c r="F79">
        <v>-2.085696009432925E-2</v>
      </c>
    </row>
    <row r="80" spans="1:6" x14ac:dyDescent="0.25">
      <c r="A80" s="73" t="s">
        <v>111</v>
      </c>
      <c r="B80">
        <v>9999700000</v>
      </c>
      <c r="C80">
        <v>618700000</v>
      </c>
      <c r="D80">
        <v>348593750</v>
      </c>
      <c r="E80">
        <v>1024500000</v>
      </c>
      <c r="F80">
        <v>-1.81382556719023E-2</v>
      </c>
    </row>
    <row r="81" spans="1:6" x14ac:dyDescent="0.25">
      <c r="A81" s="73" t="s">
        <v>112</v>
      </c>
      <c r="B81">
        <v>9832900000</v>
      </c>
      <c r="C81">
        <v>644600000</v>
      </c>
      <c r="D81">
        <v>348593750</v>
      </c>
      <c r="E81">
        <v>1703700000</v>
      </c>
      <c r="F81">
        <v>-0.15321556622528981</v>
      </c>
    </row>
    <row r="82" spans="1:6" x14ac:dyDescent="0.25">
      <c r="A82" s="73" t="s">
        <v>113</v>
      </c>
      <c r="B82">
        <v>10039800000</v>
      </c>
      <c r="C82">
        <v>545600000</v>
      </c>
      <c r="D82">
        <v>349705882</v>
      </c>
      <c r="E82">
        <v>440700000</v>
      </c>
      <c r="F82">
        <v>-0.1249495316531057</v>
      </c>
    </row>
    <row r="83" spans="1:6" x14ac:dyDescent="0.25">
      <c r="A83" s="73" t="s">
        <v>114</v>
      </c>
      <c r="B83">
        <v>10191300000</v>
      </c>
      <c r="C83">
        <v>414600000</v>
      </c>
      <c r="D83">
        <v>340490798</v>
      </c>
      <c r="E83">
        <v>390700000</v>
      </c>
      <c r="F83">
        <v>-2.444015959763968E-2</v>
      </c>
    </row>
    <row r="84" spans="1:6" x14ac:dyDescent="0.25">
      <c r="A84" s="73" t="s">
        <v>115</v>
      </c>
      <c r="B84">
        <v>10002500000</v>
      </c>
      <c r="C84">
        <v>240400000</v>
      </c>
      <c r="D84">
        <v>351960784</v>
      </c>
      <c r="E84">
        <v>211800000</v>
      </c>
      <c r="F84">
        <v>-0.1234076336016737</v>
      </c>
    </row>
    <row r="85" spans="1:6" x14ac:dyDescent="0.25">
      <c r="A85" s="73" t="s">
        <v>116</v>
      </c>
      <c r="B85">
        <v>9909200000</v>
      </c>
      <c r="C85">
        <v>40200000</v>
      </c>
      <c r="D85">
        <v>351960784</v>
      </c>
      <c r="E85">
        <v>459600000</v>
      </c>
      <c r="F85">
        <v>0.66709718942788498</v>
      </c>
    </row>
    <row r="86" spans="1:6" x14ac:dyDescent="0.25">
      <c r="A86" s="73" t="s">
        <v>117</v>
      </c>
      <c r="B86">
        <v>8783200000</v>
      </c>
      <c r="C86">
        <v>351800000</v>
      </c>
      <c r="D86">
        <v>351363636</v>
      </c>
      <c r="E86">
        <v>336200000</v>
      </c>
      <c r="F86">
        <v>-7.8435286525554981E-2</v>
      </c>
    </row>
    <row r="87" spans="1:6" x14ac:dyDescent="0.25">
      <c r="A87" s="73" t="s">
        <v>118</v>
      </c>
      <c r="B87">
        <v>8781800000</v>
      </c>
      <c r="C87">
        <v>425200000</v>
      </c>
      <c r="D87">
        <v>343950617</v>
      </c>
      <c r="E87">
        <v>273700000</v>
      </c>
      <c r="F87">
        <v>-0.1596229164412151</v>
      </c>
    </row>
    <row r="88" spans="1:6" x14ac:dyDescent="0.25">
      <c r="A88" s="73" t="s">
        <v>119</v>
      </c>
      <c r="B88">
        <v>8844100000</v>
      </c>
      <c r="C88">
        <v>502000000</v>
      </c>
      <c r="D88">
        <v>340444444</v>
      </c>
      <c r="E88">
        <v>273600000</v>
      </c>
      <c r="F88">
        <v>-4.6489440131835758E-2</v>
      </c>
    </row>
    <row r="89" spans="1:6" x14ac:dyDescent="0.25">
      <c r="A89" s="73" t="s">
        <v>120</v>
      </c>
      <c r="B89">
        <v>8951300000</v>
      </c>
      <c r="C89">
        <v>585900000</v>
      </c>
      <c r="D89">
        <v>340444444</v>
      </c>
      <c r="E89">
        <v>342200000</v>
      </c>
      <c r="F89">
        <v>-0.56066800283956453</v>
      </c>
    </row>
    <row r="90" spans="1:6" x14ac:dyDescent="0.25">
      <c r="A90" s="73" t="s">
        <v>121</v>
      </c>
      <c r="B90">
        <v>9947000000</v>
      </c>
      <c r="C90">
        <v>561200000</v>
      </c>
      <c r="D90">
        <v>339800000</v>
      </c>
      <c r="E90">
        <v>114300000</v>
      </c>
      <c r="F90">
        <v>-5.6563479921111097E-2</v>
      </c>
    </row>
    <row r="91" spans="1:6" x14ac:dyDescent="0.25">
      <c r="A91" s="73" t="s">
        <v>122</v>
      </c>
      <c r="B91">
        <v>9812000000</v>
      </c>
      <c r="C91">
        <v>578800000</v>
      </c>
      <c r="D91">
        <v>340952381</v>
      </c>
      <c r="E91">
        <v>132700000</v>
      </c>
      <c r="F91">
        <v>9.9699984686734355E-2</v>
      </c>
    </row>
    <row r="92" spans="1:6" x14ac:dyDescent="0.25">
      <c r="A92" s="73" t="s">
        <v>123</v>
      </c>
      <c r="B92">
        <v>9510200000</v>
      </c>
      <c r="C92">
        <v>390200000</v>
      </c>
      <c r="D92">
        <v>339200000</v>
      </c>
      <c r="E92">
        <v>98700000</v>
      </c>
      <c r="F92">
        <v>8.7893942253255419E-2</v>
      </c>
    </row>
    <row r="93" spans="1:6" x14ac:dyDescent="0.25">
      <c r="A93" s="73" t="s">
        <v>124</v>
      </c>
      <c r="B93">
        <v>9323900000</v>
      </c>
      <c r="C93">
        <v>401000000</v>
      </c>
      <c r="D93">
        <v>337083333</v>
      </c>
      <c r="E93">
        <v>121400000</v>
      </c>
      <c r="F93">
        <v>-1.6491366501386721E-2</v>
      </c>
    </row>
    <row r="94" spans="1:6" x14ac:dyDescent="0.25">
      <c r="A94" s="73" t="s">
        <v>125</v>
      </c>
      <c r="B94">
        <v>9168100000</v>
      </c>
      <c r="C94">
        <v>435700000</v>
      </c>
      <c r="D94">
        <v>338400000</v>
      </c>
      <c r="E94">
        <v>118500000</v>
      </c>
      <c r="F94">
        <v>8.3679560264195985E-3</v>
      </c>
    </row>
    <row r="95" spans="1:6" x14ac:dyDescent="0.25">
      <c r="A95" s="73" t="s">
        <v>126</v>
      </c>
      <c r="B95">
        <v>9040900000</v>
      </c>
      <c r="C95">
        <v>295200000</v>
      </c>
      <c r="D95">
        <v>336770000</v>
      </c>
      <c r="E95">
        <v>63500000</v>
      </c>
      <c r="F95">
        <v>4.5658340195809277E-2</v>
      </c>
    </row>
    <row r="96" spans="1:6" x14ac:dyDescent="0.25">
      <c r="A96" s="73" t="s">
        <v>127</v>
      </c>
      <c r="B96">
        <v>8941100000</v>
      </c>
      <c r="C96">
        <v>389100000</v>
      </c>
      <c r="D96">
        <v>319796000</v>
      </c>
      <c r="E96">
        <v>80800000</v>
      </c>
      <c r="F96">
        <v>2.940051601153448E-2</v>
      </c>
    </row>
    <row r="97" spans="1:6" x14ac:dyDescent="0.25">
      <c r="A97" s="73" t="s">
        <v>128</v>
      </c>
      <c r="B97">
        <v>8798200000</v>
      </c>
      <c r="C97">
        <v>587500000</v>
      </c>
      <c r="D97">
        <v>319796000</v>
      </c>
      <c r="E97">
        <v>200000000</v>
      </c>
      <c r="F97">
        <v>0.1511845663576159</v>
      </c>
    </row>
    <row r="98" spans="1:6" x14ac:dyDescent="0.25">
      <c r="A98" s="73" t="s">
        <v>129</v>
      </c>
      <c r="B98">
        <v>8305900000</v>
      </c>
      <c r="C98">
        <v>418600000</v>
      </c>
      <c r="D98">
        <v>324200000</v>
      </c>
      <c r="E98">
        <v>163700000</v>
      </c>
      <c r="F98">
        <v>0.19288667731975509</v>
      </c>
    </row>
    <row r="99" spans="1:6" x14ac:dyDescent="0.25">
      <c r="A99" s="73" t="s">
        <v>130</v>
      </c>
      <c r="B99">
        <v>7896100000</v>
      </c>
      <c r="C99">
        <v>577200000</v>
      </c>
      <c r="D99">
        <v>325600000</v>
      </c>
      <c r="E99">
        <v>87800000</v>
      </c>
      <c r="F99">
        <v>-4.5899532743520211E-2</v>
      </c>
    </row>
    <row r="100" spans="1:6" x14ac:dyDescent="0.25">
      <c r="A100" s="73" t="s">
        <v>131</v>
      </c>
      <c r="B100">
        <v>7959600000</v>
      </c>
      <c r="C100">
        <v>648200000</v>
      </c>
      <c r="D100">
        <v>324000000</v>
      </c>
      <c r="E100">
        <v>86000000</v>
      </c>
      <c r="F100">
        <v>-9.7453266932270965E-2</v>
      </c>
    </row>
    <row r="101" spans="1:6" x14ac:dyDescent="0.25">
      <c r="A101" s="73" t="s">
        <v>132</v>
      </c>
      <c r="B101">
        <v>8066200000</v>
      </c>
      <c r="C101">
        <v>517600000</v>
      </c>
      <c r="D101">
        <v>324000000</v>
      </c>
      <c r="E101">
        <v>223400000</v>
      </c>
      <c r="F101">
        <v>-1.8060091240875931E-2</v>
      </c>
    </row>
    <row r="102" spans="1:6" x14ac:dyDescent="0.25">
      <c r="A102" s="73" t="s">
        <v>133</v>
      </c>
      <c r="B102">
        <v>8261100000</v>
      </c>
      <c r="C102">
        <v>426600000</v>
      </c>
      <c r="D102">
        <v>331325301</v>
      </c>
      <c r="E102">
        <v>63600000</v>
      </c>
      <c r="F102">
        <v>-0.1083796188118812</v>
      </c>
    </row>
    <row r="103" spans="1:6" x14ac:dyDescent="0.25">
      <c r="A103" s="73" t="s">
        <v>134</v>
      </c>
      <c r="B103">
        <v>8435000000</v>
      </c>
      <c r="C103">
        <v>413200000</v>
      </c>
      <c r="D103">
        <v>336363636</v>
      </c>
      <c r="E103">
        <v>79300000</v>
      </c>
      <c r="F103">
        <v>7.8656655383770868E-3</v>
      </c>
    </row>
    <row r="104" spans="1:6" x14ac:dyDescent="0.25">
      <c r="A104" s="73" t="s">
        <v>135</v>
      </c>
      <c r="B104">
        <v>8371900000</v>
      </c>
      <c r="C104">
        <v>425900000</v>
      </c>
      <c r="D104">
        <v>327200000</v>
      </c>
      <c r="E104">
        <v>72700000</v>
      </c>
      <c r="F104">
        <v>-5.1635423136452203E-2</v>
      </c>
    </row>
    <row r="105" spans="1:6" x14ac:dyDescent="0.25">
      <c r="A105" s="73" t="s">
        <v>136</v>
      </c>
      <c r="B105">
        <v>8291500000</v>
      </c>
      <c r="C105">
        <v>622400000</v>
      </c>
      <c r="D105">
        <v>331780822</v>
      </c>
      <c r="E105">
        <v>71900000</v>
      </c>
      <c r="F105">
        <v>2.8587557050452791E-2</v>
      </c>
    </row>
    <row r="106" spans="1:6" x14ac:dyDescent="0.25">
      <c r="A106" s="73" t="s">
        <v>137</v>
      </c>
      <c r="B106">
        <v>8141600000</v>
      </c>
      <c r="C106">
        <v>659800000</v>
      </c>
      <c r="D106">
        <v>331666667</v>
      </c>
      <c r="E106">
        <v>97200000</v>
      </c>
      <c r="F106">
        <v>0.15837409327036589</v>
      </c>
    </row>
    <row r="107" spans="1:6" x14ac:dyDescent="0.25">
      <c r="A107" s="73" t="s">
        <v>138</v>
      </c>
      <c r="B107">
        <v>7815600000</v>
      </c>
      <c r="C107">
        <v>641300000</v>
      </c>
      <c r="D107">
        <v>331529412</v>
      </c>
      <c r="E107">
        <v>108500000</v>
      </c>
      <c r="F107">
        <v>0.1005959508000436</v>
      </c>
    </row>
    <row r="108" spans="1:6" x14ac:dyDescent="0.25">
      <c r="A108" s="73" t="s">
        <v>139</v>
      </c>
      <c r="B108">
        <v>7466800000</v>
      </c>
      <c r="C108">
        <v>591300000</v>
      </c>
      <c r="D108">
        <v>330333333</v>
      </c>
      <c r="E108">
        <v>106200000</v>
      </c>
      <c r="F108">
        <v>0.1795989276564596</v>
      </c>
    </row>
    <row r="109" spans="1:6" x14ac:dyDescent="0.25">
      <c r="A109" s="73" t="s">
        <v>140</v>
      </c>
      <c r="B109">
        <v>7103300000</v>
      </c>
      <c r="C109">
        <v>517500000</v>
      </c>
      <c r="D109">
        <v>330333333</v>
      </c>
      <c r="E109">
        <v>104900000</v>
      </c>
      <c r="F109">
        <v>4.8689317398299181E-2</v>
      </c>
    </row>
    <row r="110" spans="1:6" x14ac:dyDescent="0.25">
      <c r="A110" s="73" t="s">
        <v>141</v>
      </c>
      <c r="B110">
        <v>6911200000</v>
      </c>
      <c r="C110">
        <v>423000000</v>
      </c>
      <c r="D110">
        <v>334827586</v>
      </c>
      <c r="E110">
        <v>207300000</v>
      </c>
      <c r="F110">
        <v>-1.428750469983708E-2</v>
      </c>
    </row>
    <row r="111" spans="1:6" x14ac:dyDescent="0.25">
      <c r="A111" s="73" t="s">
        <v>142</v>
      </c>
      <c r="B111">
        <v>6813000000</v>
      </c>
      <c r="C111">
        <v>315100000</v>
      </c>
      <c r="D111">
        <v>328235294</v>
      </c>
      <c r="E111">
        <v>173400000</v>
      </c>
      <c r="F111">
        <v>-2.2326749531755511E-2</v>
      </c>
    </row>
    <row r="112" spans="1:6" x14ac:dyDescent="0.25">
      <c r="A112" s="73" t="s">
        <v>143</v>
      </c>
      <c r="B112">
        <v>6737500000</v>
      </c>
      <c r="C112">
        <v>240300000</v>
      </c>
      <c r="D112">
        <v>324166667</v>
      </c>
      <c r="E112">
        <v>466100000</v>
      </c>
      <c r="F112">
        <v>-0.1177983338525764</v>
      </c>
    </row>
    <row r="113" spans="1:6" x14ac:dyDescent="0.25">
      <c r="A113" s="73" t="s">
        <v>144</v>
      </c>
      <c r="B113">
        <v>6703000000</v>
      </c>
      <c r="C113">
        <v>190700000</v>
      </c>
      <c r="D113">
        <v>324166667</v>
      </c>
      <c r="E113">
        <v>184100000</v>
      </c>
      <c r="F113">
        <v>-3.559865460122702E-2</v>
      </c>
    </row>
    <row r="114" spans="1:6" x14ac:dyDescent="0.25">
      <c r="A114" s="73" t="s">
        <v>145</v>
      </c>
      <c r="B114">
        <v>6592600000</v>
      </c>
      <c r="C114">
        <v>1354700000</v>
      </c>
      <c r="D114">
        <v>327600000</v>
      </c>
      <c r="E114">
        <v>115200000</v>
      </c>
    </row>
    <row r="115" spans="1:6" x14ac:dyDescent="0.25">
      <c r="A115" s="73" t="s">
        <v>146</v>
      </c>
      <c r="B115">
        <v>6518100000</v>
      </c>
      <c r="C115">
        <v>1305700000</v>
      </c>
      <c r="D115">
        <v>323859649</v>
      </c>
      <c r="E115">
        <v>73600000</v>
      </c>
    </row>
    <row r="116" spans="1:6" x14ac:dyDescent="0.25">
      <c r="A116" s="73" t="s">
        <v>147</v>
      </c>
      <c r="B116">
        <v>6148300000</v>
      </c>
      <c r="C116">
        <v>199400000</v>
      </c>
      <c r="D116">
        <v>323913043</v>
      </c>
      <c r="E116">
        <v>85200000</v>
      </c>
    </row>
    <row r="117" spans="1:6" x14ac:dyDescent="0.25">
      <c r="A117" s="73" t="s">
        <v>148</v>
      </c>
      <c r="B117">
        <v>5729000000</v>
      </c>
      <c r="C117">
        <v>191900000</v>
      </c>
      <c r="D117">
        <v>323913043</v>
      </c>
      <c r="E117">
        <v>137300000</v>
      </c>
    </row>
    <row r="118" spans="1:6" x14ac:dyDescent="0.25">
      <c r="A118" s="73" t="s">
        <v>149</v>
      </c>
      <c r="B118">
        <v>5338700000</v>
      </c>
      <c r="C118">
        <v>-1094700000</v>
      </c>
      <c r="D118">
        <v>316923077</v>
      </c>
      <c r="E118">
        <v>186700000</v>
      </c>
    </row>
    <row r="119" spans="1:6" x14ac:dyDescent="0.25">
      <c r="A119" s="73" t="s">
        <v>150</v>
      </c>
      <c r="B119">
        <v>4931100000</v>
      </c>
      <c r="C119">
        <v>-1022900000</v>
      </c>
      <c r="D119">
        <v>317142857</v>
      </c>
      <c r="E119">
        <v>153400000</v>
      </c>
    </row>
    <row r="120" spans="1:6" x14ac:dyDescent="0.25">
      <c r="A120" s="73" t="s">
        <v>151</v>
      </c>
      <c r="B120">
        <v>4682800000</v>
      </c>
      <c r="C120">
        <v>83700000</v>
      </c>
      <c r="D120">
        <v>319310345</v>
      </c>
      <c r="E120">
        <v>245200000</v>
      </c>
    </row>
    <row r="121" spans="1:6" x14ac:dyDescent="0.25">
      <c r="A121" s="73" t="s">
        <v>152</v>
      </c>
      <c r="B121">
        <v>4507500000</v>
      </c>
      <c r="C121">
        <v>105400000</v>
      </c>
      <c r="D121">
        <v>319310345</v>
      </c>
      <c r="E121">
        <v>207000000</v>
      </c>
    </row>
    <row r="122" spans="1:6" x14ac:dyDescent="0.25">
      <c r="A122" s="73" t="s">
        <v>153</v>
      </c>
      <c r="B122">
        <v>4356500000</v>
      </c>
      <c r="C122">
        <v>143600000</v>
      </c>
      <c r="D122">
        <v>312258065</v>
      </c>
      <c r="E122">
        <v>237500000</v>
      </c>
    </row>
    <row r="123" spans="1:6" x14ac:dyDescent="0.25">
      <c r="A123" s="73" t="s">
        <v>154</v>
      </c>
      <c r="B123">
        <v>4216300000</v>
      </c>
      <c r="C123">
        <v>53600000</v>
      </c>
      <c r="D123">
        <v>312727273</v>
      </c>
      <c r="E123">
        <v>256600000</v>
      </c>
    </row>
    <row r="124" spans="1:6" x14ac:dyDescent="0.25">
      <c r="A124" s="73" t="s">
        <v>155</v>
      </c>
      <c r="B124">
        <v>4079300000</v>
      </c>
      <c r="C124">
        <v>40200000</v>
      </c>
      <c r="D124">
        <v>314285714</v>
      </c>
      <c r="E124">
        <v>227400000</v>
      </c>
    </row>
    <row r="125" spans="1:6" x14ac:dyDescent="0.25">
      <c r="A125" s="73" t="s">
        <v>156</v>
      </c>
      <c r="B125">
        <v>4021100000</v>
      </c>
      <c r="C125">
        <v>32900000</v>
      </c>
      <c r="D125">
        <v>314285714</v>
      </c>
      <c r="E125">
        <v>228000000</v>
      </c>
    </row>
    <row r="126" spans="1:6" x14ac:dyDescent="0.25">
      <c r="A126" s="73" t="s">
        <v>157</v>
      </c>
      <c r="B126">
        <v>4024000000</v>
      </c>
      <c r="C126">
        <v>31200000</v>
      </c>
      <c r="D126">
        <v>320000000</v>
      </c>
      <c r="E126">
        <v>221500000</v>
      </c>
    </row>
    <row r="127" spans="1:6" x14ac:dyDescent="0.25">
      <c r="A127" s="73" t="s">
        <v>158</v>
      </c>
      <c r="B127">
        <v>3954500000</v>
      </c>
      <c r="C127">
        <v>5200000</v>
      </c>
      <c r="D127">
        <v>313043478</v>
      </c>
      <c r="E127">
        <v>202200000</v>
      </c>
    </row>
    <row r="128" spans="1:6" x14ac:dyDescent="0.25">
      <c r="A128" s="73" t="s">
        <v>159</v>
      </c>
      <c r="B128">
        <v>3874600000</v>
      </c>
      <c r="C128">
        <v>4300000</v>
      </c>
      <c r="D128">
        <v>307500000</v>
      </c>
      <c r="E128">
        <v>227900000</v>
      </c>
    </row>
    <row r="129" spans="1:5" x14ac:dyDescent="0.25">
      <c r="A129" s="73" t="s">
        <v>160</v>
      </c>
      <c r="B129">
        <v>3783700000</v>
      </c>
      <c r="C129">
        <v>38000000</v>
      </c>
      <c r="D129">
        <v>307500000</v>
      </c>
      <c r="E129">
        <v>216800000</v>
      </c>
    </row>
    <row r="130" spans="1:5" x14ac:dyDescent="0.25">
      <c r="A130" s="73" t="s">
        <v>161</v>
      </c>
      <c r="B130">
        <v>3626000000</v>
      </c>
      <c r="C130">
        <v>59400000</v>
      </c>
      <c r="D130">
        <v>312173913</v>
      </c>
      <c r="E130">
        <v>173700000</v>
      </c>
    </row>
    <row r="131" spans="1:5" x14ac:dyDescent="0.25">
      <c r="A131" s="73" t="s">
        <v>162</v>
      </c>
      <c r="B131">
        <v>3587500000</v>
      </c>
      <c r="C131">
        <v>141200000</v>
      </c>
      <c r="D131">
        <v>308800000</v>
      </c>
      <c r="E131">
        <v>216500000</v>
      </c>
    </row>
    <row r="132" spans="1:5" x14ac:dyDescent="0.25">
      <c r="A132" s="73" t="s">
        <v>163</v>
      </c>
      <c r="B132">
        <v>3583200000</v>
      </c>
      <c r="C132">
        <v>137700000</v>
      </c>
      <c r="D132">
        <v>310588235</v>
      </c>
      <c r="E132">
        <v>121500000</v>
      </c>
    </row>
    <row r="133" spans="1:5" x14ac:dyDescent="0.25">
      <c r="A133" s="73" t="s">
        <v>164</v>
      </c>
      <c r="B133">
        <v>3586200000</v>
      </c>
      <c r="C133">
        <v>90200000</v>
      </c>
      <c r="D133">
        <v>310588235</v>
      </c>
      <c r="E133">
        <v>136900000</v>
      </c>
    </row>
    <row r="134" spans="1:5" x14ac:dyDescent="0.25">
      <c r="A134" s="73" t="s">
        <v>165</v>
      </c>
      <c r="B134">
        <v>3619300000</v>
      </c>
      <c r="C134">
        <v>136100000</v>
      </c>
      <c r="D134">
        <v>301739130</v>
      </c>
      <c r="E134">
        <v>78300000</v>
      </c>
    </row>
    <row r="135" spans="1:5" x14ac:dyDescent="0.25">
      <c r="A135" s="73" t="s">
        <v>166</v>
      </c>
      <c r="B135">
        <v>3690400000</v>
      </c>
      <c r="C135">
        <v>78200000</v>
      </c>
      <c r="D135">
        <v>312380952</v>
      </c>
      <c r="E135">
        <v>45000000</v>
      </c>
    </row>
    <row r="136" spans="1:5" x14ac:dyDescent="0.25">
      <c r="A136" s="73" t="s">
        <v>167</v>
      </c>
      <c r="B136">
        <v>3699800000</v>
      </c>
      <c r="C136">
        <v>50100000</v>
      </c>
      <c r="D136">
        <v>298947368</v>
      </c>
      <c r="E136">
        <v>50000000</v>
      </c>
    </row>
    <row r="137" spans="1:5" x14ac:dyDescent="0.25">
      <c r="A137" s="73" t="s">
        <v>168</v>
      </c>
      <c r="B137">
        <v>3737900000</v>
      </c>
      <c r="C137">
        <v>73000000</v>
      </c>
      <c r="D137">
        <v>298947368</v>
      </c>
      <c r="E137">
        <v>50300000</v>
      </c>
    </row>
    <row r="138" spans="1:5" x14ac:dyDescent="0.25">
      <c r="A138" s="73" t="s">
        <v>169</v>
      </c>
      <c r="B138">
        <v>3663900000</v>
      </c>
      <c r="C138">
        <v>23800000</v>
      </c>
      <c r="D138">
        <v>309230769</v>
      </c>
      <c r="E138">
        <v>27700000</v>
      </c>
    </row>
    <row r="139" spans="1:5" x14ac:dyDescent="0.25">
      <c r="A139" s="73" t="s">
        <v>170</v>
      </c>
      <c r="B139">
        <v>3572600000</v>
      </c>
      <c r="C139">
        <v>66300000</v>
      </c>
      <c r="D139">
        <v>308000000</v>
      </c>
      <c r="E139">
        <v>51400000</v>
      </c>
    </row>
    <row r="140" spans="1:5" x14ac:dyDescent="0.25">
      <c r="A140" s="73" t="s">
        <v>171</v>
      </c>
      <c r="B140">
        <v>3548000000</v>
      </c>
      <c r="C140">
        <v>88800000</v>
      </c>
      <c r="D140">
        <v>314482759</v>
      </c>
      <c r="E140">
        <v>90700000</v>
      </c>
    </row>
    <row r="141" spans="1:5" x14ac:dyDescent="0.25">
      <c r="A141" s="73" t="s">
        <v>172</v>
      </c>
      <c r="B141">
        <v>3447500000</v>
      </c>
      <c r="C141">
        <v>114600000</v>
      </c>
      <c r="D141">
        <v>314482759</v>
      </c>
      <c r="E141">
        <v>136400000</v>
      </c>
    </row>
    <row r="142" spans="1:5" x14ac:dyDescent="0.25">
      <c r="A142" s="73" t="s">
        <v>173</v>
      </c>
      <c r="B142">
        <v>3369600000</v>
      </c>
      <c r="C142">
        <v>44700000</v>
      </c>
      <c r="D142">
        <v>328148148</v>
      </c>
      <c r="E142">
        <v>67100000</v>
      </c>
    </row>
    <row r="143" spans="1:5" x14ac:dyDescent="0.25">
      <c r="A143" s="73" t="s">
        <v>174</v>
      </c>
      <c r="B143">
        <v>3239700000</v>
      </c>
      <c r="C143">
        <v>0</v>
      </c>
      <c r="D143">
        <v>317575758</v>
      </c>
      <c r="E143">
        <v>33000000</v>
      </c>
    </row>
    <row r="144" spans="1:5" x14ac:dyDescent="0.25">
      <c r="A144" s="73" t="s">
        <v>175</v>
      </c>
      <c r="B144">
        <v>3112100000</v>
      </c>
      <c r="C144">
        <v>0</v>
      </c>
      <c r="D144">
        <v>307688000</v>
      </c>
    </row>
    <row r="145" spans="1:5" x14ac:dyDescent="0.25">
      <c r="A145" s="73" t="s">
        <v>176</v>
      </c>
      <c r="B145">
        <v>3021300000</v>
      </c>
      <c r="C145">
        <v>0</v>
      </c>
      <c r="D145">
        <v>307688000</v>
      </c>
      <c r="E145">
        <v>255900000</v>
      </c>
    </row>
    <row r="146" spans="1:5" x14ac:dyDescent="0.25">
      <c r="A146" s="73" t="s">
        <v>177</v>
      </c>
      <c r="B146">
        <v>2949300000</v>
      </c>
      <c r="C146">
        <v>0</v>
      </c>
      <c r="D146">
        <v>311166000</v>
      </c>
    </row>
    <row r="147" spans="1:5" x14ac:dyDescent="0.25">
      <c r="A147" s="73" t="s">
        <v>178</v>
      </c>
      <c r="B147">
        <v>2865000000</v>
      </c>
      <c r="C147">
        <v>0</v>
      </c>
      <c r="D147">
        <v>310152000</v>
      </c>
    </row>
    <row r="148" spans="1:5" x14ac:dyDescent="0.25">
      <c r="A148" s="73" t="s">
        <v>179</v>
      </c>
      <c r="B148">
        <v>2749500000</v>
      </c>
      <c r="C148">
        <v>0</v>
      </c>
      <c r="D148">
        <v>316432000</v>
      </c>
    </row>
    <row r="149" spans="1:5" x14ac:dyDescent="0.25">
      <c r="A149" s="73" t="s">
        <v>180</v>
      </c>
      <c r="B149">
        <v>2647900000</v>
      </c>
      <c r="C149">
        <v>0</v>
      </c>
      <c r="D149">
        <v>316432000</v>
      </c>
      <c r="E149">
        <v>175700000</v>
      </c>
    </row>
    <row r="150" spans="1:5" x14ac:dyDescent="0.25">
      <c r="A150" s="73" t="s">
        <v>181</v>
      </c>
      <c r="B150">
        <v>2673200000</v>
      </c>
      <c r="C150">
        <v>0</v>
      </c>
      <c r="D150">
        <v>316432000</v>
      </c>
    </row>
    <row r="151" spans="1:5" x14ac:dyDescent="0.25">
      <c r="A151" s="73" t="s">
        <v>182</v>
      </c>
      <c r="B151">
        <v>2686900000</v>
      </c>
      <c r="C151">
        <v>0</v>
      </c>
      <c r="D151">
        <v>300660000</v>
      </c>
    </row>
    <row r="152" spans="1:5" x14ac:dyDescent="0.25">
      <c r="A152" s="73" t="s">
        <v>183</v>
      </c>
      <c r="B152">
        <v>2748600000</v>
      </c>
      <c r="C152">
        <v>0</v>
      </c>
      <c r="D152">
        <v>300660000</v>
      </c>
    </row>
    <row r="153" spans="1:5" x14ac:dyDescent="0.25">
      <c r="A153" s="73" t="s">
        <v>184</v>
      </c>
      <c r="B153">
        <v>2799500000</v>
      </c>
      <c r="C153">
        <v>0</v>
      </c>
      <c r="D153">
        <v>300660000</v>
      </c>
      <c r="E153">
        <v>231200000</v>
      </c>
    </row>
    <row r="154" spans="1:5" x14ac:dyDescent="0.25">
      <c r="A154" s="73" t="s">
        <v>185</v>
      </c>
      <c r="B154">
        <v>2758000000</v>
      </c>
      <c r="C154">
        <v>0</v>
      </c>
      <c r="D154">
        <v>300390000</v>
      </c>
    </row>
    <row r="155" spans="1:5" x14ac:dyDescent="0.25">
      <c r="A155" s="73" t="s">
        <v>186</v>
      </c>
      <c r="B155">
        <v>2725400000</v>
      </c>
      <c r="C155">
        <v>0</v>
      </c>
      <c r="D155">
        <v>298230000</v>
      </c>
    </row>
    <row r="156" spans="1:5" x14ac:dyDescent="0.25">
      <c r="A156" s="73" t="s">
        <v>187</v>
      </c>
      <c r="D156">
        <v>298230000</v>
      </c>
    </row>
    <row r="157" spans="1:5" x14ac:dyDescent="0.25">
      <c r="A157" s="73" t="s">
        <v>188</v>
      </c>
      <c r="D157">
        <v>298230000</v>
      </c>
      <c r="E157">
        <v>76500000</v>
      </c>
    </row>
    <row r="158" spans="1:5" x14ac:dyDescent="0.25">
      <c r="A158" s="73" t="s">
        <v>189</v>
      </c>
      <c r="D158">
        <v>297980000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190</v>
      </c>
      <c r="B1" s="27" t="s">
        <v>191</v>
      </c>
      <c r="C1" t="s">
        <v>192</v>
      </c>
      <c r="D1" t="s">
        <v>193</v>
      </c>
      <c r="F1" s="27" t="s">
        <v>191</v>
      </c>
      <c r="G1" t="s">
        <v>192</v>
      </c>
      <c r="H1" t="s">
        <v>193</v>
      </c>
      <c r="J1" t="s">
        <v>194</v>
      </c>
      <c r="K1" t="s">
        <v>192</v>
      </c>
      <c r="L1" t="s">
        <v>193</v>
      </c>
      <c r="N1" t="s">
        <v>195</v>
      </c>
      <c r="O1" t="s">
        <v>192</v>
      </c>
      <c r="P1" t="s">
        <v>193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196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197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198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199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200</v>
      </c>
    </row>
    <row r="7" spans="1:46" x14ac:dyDescent="0.25">
      <c r="A7" s="27" t="s">
        <v>201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202</v>
      </c>
    </row>
    <row r="8" spans="1:46" x14ac:dyDescent="0.25">
      <c r="A8" s="27" t="s">
        <v>203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204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205</v>
      </c>
    </row>
    <row r="10" spans="1:46" x14ac:dyDescent="0.25">
      <c r="A10" s="27" t="s">
        <v>206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207</v>
      </c>
    </row>
    <row r="11" spans="1:46" x14ac:dyDescent="0.25">
      <c r="A11" s="27" t="s">
        <v>208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209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210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211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212</v>
      </c>
    </row>
    <row r="15" spans="1:46" x14ac:dyDescent="0.25">
      <c r="A15" s="27" t="s">
        <v>213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214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215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216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217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218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219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220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221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222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223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224</v>
      </c>
      <c r="J26">
        <v>0.61799999999999999</v>
      </c>
      <c r="N26">
        <v>-0.36399999999999999</v>
      </c>
    </row>
    <row r="27" spans="1:17" x14ac:dyDescent="0.25">
      <c r="A27" s="27" t="s">
        <v>225</v>
      </c>
    </row>
    <row r="28" spans="1:17" x14ac:dyDescent="0.25">
      <c r="A28" s="27" t="s">
        <v>226</v>
      </c>
    </row>
    <row r="29" spans="1:17" x14ac:dyDescent="0.25">
      <c r="A29" s="27" t="s">
        <v>227</v>
      </c>
    </row>
    <row r="31" spans="1:17" x14ac:dyDescent="0.25">
      <c r="A31" s="26" t="s">
        <v>228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229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3" t="s">
        <v>230</v>
      </c>
      <c r="C1" s="73" t="s">
        <v>231</v>
      </c>
      <c r="D1" s="73" t="s">
        <v>11</v>
      </c>
      <c r="E1" s="73" t="s">
        <v>9</v>
      </c>
    </row>
    <row r="2" spans="1:5" x14ac:dyDescent="0.25">
      <c r="A2" s="73">
        <v>0</v>
      </c>
      <c r="B2">
        <v>3</v>
      </c>
      <c r="C2" t="s">
        <v>232</v>
      </c>
      <c r="D2">
        <v>1.1514030120749501</v>
      </c>
      <c r="E2">
        <v>0.1204876867157386</v>
      </c>
    </row>
    <row r="3" spans="1:5" x14ac:dyDescent="0.25">
      <c r="A3" s="73">
        <v>1</v>
      </c>
      <c r="B3">
        <v>3</v>
      </c>
      <c r="C3" t="s">
        <v>233</v>
      </c>
      <c r="D3">
        <v>1.160942109674963</v>
      </c>
      <c r="E3">
        <v>0.12114846001085811</v>
      </c>
    </row>
    <row r="4" spans="1:5" x14ac:dyDescent="0.25">
      <c r="A4" s="73">
        <v>2</v>
      </c>
      <c r="B4">
        <v>3</v>
      </c>
      <c r="C4" t="s">
        <v>234</v>
      </c>
      <c r="D4">
        <v>1.008498372964614</v>
      </c>
      <c r="E4">
        <v>0.1105886822991491</v>
      </c>
    </row>
    <row r="5" spans="1:5" x14ac:dyDescent="0.25">
      <c r="A5" s="73">
        <v>3</v>
      </c>
      <c r="B5">
        <v>5</v>
      </c>
      <c r="C5" t="s">
        <v>232</v>
      </c>
      <c r="D5">
        <v>1.0548074702263099</v>
      </c>
      <c r="E5">
        <v>0.1137965134876654</v>
      </c>
    </row>
    <row r="6" spans="1:5" x14ac:dyDescent="0.25">
      <c r="A6" s="73">
        <v>4</v>
      </c>
      <c r="B6">
        <v>5</v>
      </c>
      <c r="C6" t="s">
        <v>233</v>
      </c>
      <c r="D6">
        <v>1.220836200936132</v>
      </c>
      <c r="E6">
        <v>0.12529732373993671</v>
      </c>
    </row>
    <row r="7" spans="1:5" x14ac:dyDescent="0.25">
      <c r="A7" s="73">
        <v>5</v>
      </c>
      <c r="B7">
        <v>5</v>
      </c>
      <c r="C7" t="s">
        <v>234</v>
      </c>
      <c r="D7">
        <v>0.97337339313566429</v>
      </c>
      <c r="E7">
        <v>0.1081555749303188</v>
      </c>
    </row>
    <row r="8" spans="1:5" x14ac:dyDescent="0.25">
      <c r="A8" s="73">
        <v>6</v>
      </c>
      <c r="B8" t="s">
        <v>228</v>
      </c>
      <c r="D8">
        <v>1.094976759835439</v>
      </c>
      <c r="E8">
        <v>0.1165790401972778</v>
      </c>
    </row>
    <row r="9" spans="1:5" x14ac:dyDescent="0.25">
      <c r="A9" s="73">
        <v>7</v>
      </c>
      <c r="B9" t="s">
        <v>229</v>
      </c>
      <c r="D9">
        <v>1.1031052411506299</v>
      </c>
      <c r="E9">
        <v>0.11714210010170201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2024-10-18T20:42:28Z</dcterms:modified>
</cp:coreProperties>
</file>