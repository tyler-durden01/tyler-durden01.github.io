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4" documentId="11_0BC0B0A43AD4AE8F1753307C6E832E7DC279A326" xr6:coauthVersionLast="47" xr6:coauthVersionMax="47" xr10:uidLastSave="{879C8168-16A0-4064-B476-05F74481A311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3" l="1"/>
  <c r="S11" i="3"/>
  <c r="Q11" i="3"/>
  <c r="R11" i="3" s="1"/>
  <c r="P11" i="3"/>
  <c r="O11" i="3"/>
  <c r="L8" i="3"/>
  <c r="M5" i="3"/>
  <c r="N5" i="3" s="1"/>
  <c r="O5" i="3" s="1"/>
  <c r="P5" i="3" s="1"/>
  <c r="Q5" i="3" s="1"/>
  <c r="R5" i="3" s="1"/>
  <c r="S5" i="3" s="1"/>
  <c r="T5" i="3" s="1"/>
  <c r="U5" i="3" s="1"/>
  <c r="G32" i="5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F10" i="3"/>
  <c r="L5" i="3"/>
  <c r="I4" i="3"/>
  <c r="I5" i="3" s="1"/>
  <c r="H4" i="3"/>
  <c r="H5" i="3" s="1"/>
  <c r="G4" i="3"/>
  <c r="G5" i="3" s="1"/>
  <c r="J3" i="3"/>
  <c r="I3" i="3"/>
  <c r="F3" i="3"/>
  <c r="E3" i="3"/>
  <c r="K1" i="3"/>
  <c r="K10" i="3" s="1"/>
  <c r="J1" i="3"/>
  <c r="J7" i="3" s="1"/>
  <c r="I1" i="3"/>
  <c r="I7" i="3" s="1"/>
  <c r="H1" i="3"/>
  <c r="H3" i="3" s="1"/>
  <c r="G1" i="3"/>
  <c r="G7" i="3" s="1"/>
  <c r="F1" i="3"/>
  <c r="F4" i="3" s="1"/>
  <c r="E1" i="3"/>
  <c r="E10" i="3" s="1"/>
  <c r="D1" i="3"/>
  <c r="D4" i="3" s="1"/>
  <c r="I8" i="3" l="1"/>
  <c r="J13" i="3"/>
  <c r="K11" i="3"/>
  <c r="L11" i="3" s="1"/>
  <c r="M11" i="3" s="1"/>
  <c r="N11" i="3" s="1"/>
  <c r="C20" i="3"/>
  <c r="C21" i="3"/>
  <c r="L10" i="3"/>
  <c r="M10" i="3" s="1"/>
  <c r="N10" i="3" s="1"/>
  <c r="O10" i="3" s="1"/>
  <c r="P10" i="3" s="1"/>
  <c r="Q10" i="3" s="1"/>
  <c r="R10" i="3" s="1"/>
  <c r="G8" i="3"/>
  <c r="G13" i="3"/>
  <c r="F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F5" i="3"/>
  <c r="E7" i="3"/>
  <c r="H10" i="3"/>
  <c r="H11" i="3" s="1"/>
  <c r="K31" i="5"/>
  <c r="D7" i="3"/>
  <c r="G10" i="3"/>
  <c r="G11" i="3" s="1"/>
  <c r="K3" i="3"/>
  <c r="D3" i="3"/>
  <c r="J4" i="3"/>
  <c r="J5" i="3" s="1"/>
  <c r="F7" i="3"/>
  <c r="I10" i="3"/>
  <c r="I11" i="3" s="1"/>
  <c r="O31" i="5"/>
  <c r="L1" i="3"/>
  <c r="G3" i="3"/>
  <c r="E4" i="3"/>
  <c r="E5" i="3" s="1"/>
  <c r="D10" i="3"/>
  <c r="E11" i="3" s="1"/>
  <c r="K7" i="3"/>
  <c r="K4" i="3"/>
  <c r="H7" i="3"/>
  <c r="S10" i="3" l="1"/>
  <c r="T10" i="3" s="1"/>
  <c r="U10" i="3" s="1"/>
  <c r="V10" i="3" s="1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F8" i="3"/>
  <c r="F13" i="3"/>
  <c r="E8" i="3"/>
  <c r="E13" i="3"/>
  <c r="K8" i="3"/>
  <c r="K13" i="3"/>
  <c r="J11" i="3"/>
  <c r="J8" i="3"/>
  <c r="L3" i="3"/>
  <c r="M1" i="3"/>
  <c r="D8" i="3"/>
  <c r="D13" i="3"/>
  <c r="H13" i="3"/>
  <c r="H8" i="3"/>
  <c r="I13" i="3"/>
  <c r="M3" i="3" l="1"/>
  <c r="N1" i="3"/>
  <c r="M8" i="3" l="1"/>
  <c r="L7" i="3"/>
  <c r="L13" i="3" s="1"/>
  <c r="L14" i="3" s="1"/>
  <c r="O1" i="3"/>
  <c r="N3" i="3"/>
  <c r="P1" i="3" l="1"/>
  <c r="O3" i="3"/>
  <c r="N8" i="3"/>
  <c r="M7" i="3"/>
  <c r="M13" i="3" s="1"/>
  <c r="M14" i="3" s="1"/>
  <c r="O8" i="3" l="1"/>
  <c r="N7" i="3"/>
  <c r="N13" i="3" s="1"/>
  <c r="N14" i="3" s="1"/>
  <c r="P3" i="3"/>
  <c r="Q1" i="3"/>
  <c r="R1" i="3" l="1"/>
  <c r="Q3" i="3"/>
  <c r="O7" i="3"/>
  <c r="O13" i="3" s="1"/>
  <c r="O14" i="3" s="1"/>
  <c r="P8" i="3"/>
  <c r="P7" i="3" l="1"/>
  <c r="P13" i="3" s="1"/>
  <c r="P14" i="3" s="1"/>
  <c r="Q8" i="3"/>
  <c r="R3" i="3"/>
  <c r="S1" i="3"/>
  <c r="S3" i="3" l="1"/>
  <c r="T1" i="3"/>
  <c r="Q7" i="3"/>
  <c r="Q13" i="3" s="1"/>
  <c r="Q14" i="3" s="1"/>
  <c r="R8" i="3"/>
  <c r="R7" i="3" l="1"/>
  <c r="R13" i="3" s="1"/>
  <c r="R14" i="3" s="1"/>
  <c r="S8" i="3"/>
  <c r="T3" i="3"/>
  <c r="U1" i="3"/>
  <c r="U3" i="3" s="1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<sst xmlns="http://schemas.openxmlformats.org/spreadsheetml/2006/main" count="131" uniqueCount="86">
  <si>
    <t>This sheet contains FactSet XML data for use with this workbook's =FDS codes.  Modifying the worksheet's contents may damage the workbook's =FDS functionality.</t>
  </si>
  <si>
    <t>ZS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</si>
  <si>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</si>
  <si>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</si>
  <si>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</si>
  <si>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</si>
  <si>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</si>
  <si>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</si>
  <si>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</si>
  <si>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</si>
  <si>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</si>
  <si>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</si>
  <si>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</si>
  <si>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</si>
  <si>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</si>
  <si>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</si>
  <si>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</si>
  <si>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</si>
  <si>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</si>
  <si>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</si>
  <si>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</si>
  <si>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</si>
  <si>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</si>
  <si>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</si>
  <si>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</si>
  <si>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</si>
  <si>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</si>
  <si>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</si>
  <si>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</si>
  <si>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</si>
  <si>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</si>
  <si>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</si>
  <si>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</si>
  <si>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</si>
  <si>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</si>
  <si>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</si>
  <si>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</si>
  <si>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</si>
  <si>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</si>
  <si>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</si>
  <si>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</si>
  <si>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</si>
  <si>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</si>
  <si>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</si>
  <si>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</si>
  <si>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</si>
  <si>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</si>
  <si>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</si>
  <si>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</si>
  <si>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</si>
  <si>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</si>
  <si>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</si>
  <si>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</si>
  <si>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</si>
  <si>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</si>
  <si>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</si>
  <si>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</si>
  <si>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</si>
  <si>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</si>
  <si>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</si>
  <si>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</si>
  <si>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</si>
  <si>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</si>
  <si>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</si>
  <si>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</si>
  <si>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</si>
  <si>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</si>
  <si>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</si>
  <si>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date</t>
  </si>
  <si>
    <t>revenue</t>
  </si>
  <si>
    <t>Deriv1</t>
  </si>
  <si>
    <t>Static1</t>
  </si>
  <si>
    <t>grossProfit_margin</t>
  </si>
  <si>
    <t>FCF_margin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</si>
  <si>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</si>
  <si>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</si>
  <si>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</si>
  <si>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</si>
  <si>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add more to show the return, and also the market cap valuations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</si>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</sst>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3430866000</v>
      </c>
    </row>
    <row r="3" spans="1:2" x14ac:dyDescent="0.25">
      <c r="A3" s="73" t="s">
        <v>3</v>
      </c>
      <c r="B3">
        <v>44824000</v>
      </c>
    </row>
    <row r="4" spans="1:2" x14ac:dyDescent="0.25">
      <c r="A4" s="73" t="s">
        <v>4</v>
      </c>
      <c r="B4">
        <v>3.3985227374394023E-2</v>
      </c>
    </row>
    <row r="5" spans="1:2" x14ac:dyDescent="0.25">
      <c r="A5" s="73" t="s">
        <v>5</v>
      </c>
      <c r="B5">
        <v>0.29796537569159381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1274102000</v>
      </c>
    </row>
    <row r="8" spans="1:2" x14ac:dyDescent="0.25">
      <c r="A8" s="73" t="s">
        <v>8</v>
      </c>
      <c r="B8">
        <v>0.96601477262560598</v>
      </c>
    </row>
    <row r="9" spans="1:2" x14ac:dyDescent="0.25">
      <c r="A9" s="73" t="s">
        <v>9</v>
      </c>
      <c r="B9">
        <v>0.1223702442504797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1.178580109264215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0.12621133629940159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U18" sqref="U1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2017-07-31</v>
      </c>
      <c r="E1" s="66" t="str">
        <f>Python!A27</f>
        <v>2018-07-31</v>
      </c>
      <c r="F1" s="66" t="str">
        <f>Python!A23</f>
        <v>2019-07-31</v>
      </c>
      <c r="G1" s="66" t="str">
        <f>Python!A19</f>
        <v>2020-07-31</v>
      </c>
      <c r="H1" s="66" t="str">
        <f>Python!A15</f>
        <v>2021-07-31</v>
      </c>
      <c r="I1" s="66" t="str">
        <f>Python!A11</f>
        <v>2022-07-31</v>
      </c>
      <c r="J1" s="66" t="str">
        <f>Python!A7</f>
        <v>2023-07-31</v>
      </c>
      <c r="K1" s="66" t="str">
        <f>Python!A3</f>
        <v>2024-07-31</v>
      </c>
      <c r="L1" s="28">
        <f t="shared" ref="L1:U1" si="0">EDATE(K1, 12)</f>
        <v>45869</v>
      </c>
      <c r="M1" s="28">
        <f t="shared" si="0"/>
        <v>46234</v>
      </c>
      <c r="N1" s="28">
        <f t="shared" si="0"/>
        <v>46599</v>
      </c>
      <c r="O1" s="28">
        <f t="shared" si="0"/>
        <v>46965</v>
      </c>
      <c r="P1" s="28">
        <f t="shared" si="0"/>
        <v>47330</v>
      </c>
      <c r="Q1" s="28">
        <f t="shared" si="0"/>
        <v>47695</v>
      </c>
      <c r="R1" s="28">
        <f t="shared" si="0"/>
        <v>48060</v>
      </c>
      <c r="S1" s="28">
        <f t="shared" si="0"/>
        <v>48426</v>
      </c>
      <c r="T1" s="28">
        <f t="shared" si="0"/>
        <v>48791</v>
      </c>
      <c r="U1" s="28">
        <f t="shared" si="0"/>
        <v>49156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125.717</v>
      </c>
      <c r="E4" s="36">
        <f>IFERROR(INDEX(Python!$1:$1048576,MATCH(DCF_Simple!E$1,Python!$A:$A,0),MATCH(DCF_Simple!$B4,Python!$1:$1,0))/1000000,0)</f>
        <v>190.17400000000001</v>
      </c>
      <c r="F4" s="36">
        <f>IFERROR(INDEX(Python!$1:$1048576,MATCH(DCF_Simple!F$1,Python!$A:$A,0),MATCH(DCF_Simple!$B4,Python!$1:$1,0))/1000000,0)</f>
        <v>302.83600000000001</v>
      </c>
      <c r="G4" s="36">
        <f>IFERROR(INDEX(Python!$1:$1048576,MATCH(DCF_Simple!G$1,Python!$A:$A,0),MATCH(DCF_Simple!$B4,Python!$1:$1,0))/1000000,0)</f>
        <v>431.26900000000001</v>
      </c>
      <c r="H4" s="36">
        <f>IFERROR(INDEX(Python!$1:$1048576,MATCH(DCF_Simple!H$1,Python!$A:$A,0),MATCH(DCF_Simple!$B4,Python!$1:$1,0))/1000000,0)</f>
        <v>673.1</v>
      </c>
      <c r="I4" s="36">
        <f>IFERROR(INDEX(Python!$1:$1048576,MATCH(DCF_Simple!I$1,Python!$A:$A,0),MATCH(DCF_Simple!$B4,Python!$1:$1,0))/1000000,0)</f>
        <v>1090.9459999999999</v>
      </c>
      <c r="J4" s="36">
        <f>IFERROR(INDEX(Python!$1:$1048576,MATCH(DCF_Simple!J$1,Python!$A:$A,0),MATCH(DCF_Simple!$B4,Python!$1:$1,0))/1000000,0)</f>
        <v>1616.952</v>
      </c>
      <c r="K4" s="55">
        <f>IFERROR(INDEX(Python!$1:$1048576,MATCH(DCF_Simple!K$1,Python!$A:$A,0),MATCH(DCF_Simple!$B4,Python!$1:$1,0))/1000000,0)</f>
        <v>2167.7710000000002</v>
      </c>
      <c r="L4" s="37">
        <f t="shared" ref="L4:U4" si="2">K4*(1+L5)</f>
        <v>2645.3018373555224</v>
      </c>
      <c r="M4" s="36">
        <f t="shared" si="2"/>
        <v>3041.5544751970328</v>
      </c>
      <c r="N4" s="36">
        <f t="shared" si="2"/>
        <v>3497.1637243632163</v>
      </c>
      <c r="O4" s="36">
        <f t="shared" si="2"/>
        <v>4021.0209005741149</v>
      </c>
      <c r="P4" s="36">
        <f t="shared" si="2"/>
        <v>4623.3491930086684</v>
      </c>
      <c r="Q4" s="36">
        <f t="shared" si="2"/>
        <v>5315.9031721128249</v>
      </c>
      <c r="R4" s="36">
        <f t="shared" si="2"/>
        <v>6112.1981826533029</v>
      </c>
      <c r="S4" s="36">
        <f t="shared" si="2"/>
        <v>7027.7740986734116</v>
      </c>
      <c r="T4" s="36">
        <f t="shared" si="2"/>
        <v>8080.4985875874972</v>
      </c>
      <c r="U4" s="36">
        <f t="shared" si="2"/>
        <v>9290.9158016801866</v>
      </c>
      <c r="V4" s="19">
        <f>U4</f>
        <v>9290.9158016801866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0.5127150663792488</v>
      </c>
      <c r="F5" s="42">
        <f t="shared" si="3"/>
        <v>0.59241536697971342</v>
      </c>
      <c r="G5" s="42">
        <f t="shared" si="3"/>
        <v>0.42410083345441096</v>
      </c>
      <c r="H5" s="42">
        <f t="shared" si="3"/>
        <v>0.56074283104048761</v>
      </c>
      <c r="I5" s="42">
        <f t="shared" si="3"/>
        <v>0.62077848759471088</v>
      </c>
      <c r="J5" s="42">
        <f t="shared" si="3"/>
        <v>0.48215585372694902</v>
      </c>
      <c r="K5" s="58">
        <f t="shared" si="3"/>
        <v>0.34065266006659445</v>
      </c>
      <c r="L5" s="43">
        <f>Python!F2</f>
        <v>0.2202865696402074</v>
      </c>
      <c r="M5" s="43">
        <f>L5*0.68</f>
        <v>0.14979486735534103</v>
      </c>
      <c r="N5" s="38">
        <f t="shared" ref="N5:U5" si="4">M5</f>
        <v>0.14979486735534103</v>
      </c>
      <c r="O5" s="38">
        <f t="shared" si="4"/>
        <v>0.14979486735534103</v>
      </c>
      <c r="P5" s="38">
        <f t="shared" si="4"/>
        <v>0.14979486735534103</v>
      </c>
      <c r="Q5" s="38">
        <f t="shared" si="4"/>
        <v>0.14979486735534103</v>
      </c>
      <c r="R5" s="38">
        <f t="shared" si="4"/>
        <v>0.14979486735534103</v>
      </c>
      <c r="S5" s="38">
        <f t="shared" si="4"/>
        <v>0.14979486735534103</v>
      </c>
      <c r="T5" s="38">
        <f t="shared" si="4"/>
        <v>0.14979486735534103</v>
      </c>
      <c r="U5" s="38">
        <f t="shared" si="4"/>
        <v>0.14979486735534103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-14.193</v>
      </c>
      <c r="E7" s="52">
        <f>IFERROR(INDEX(Python!$1:$1048576,MATCH(DCF_Simple!E$1,Python!$A:$A,0),MATCH(DCF_Simple!$B7,Python!$1:$1,0))/1000000,0)</f>
        <v>2.137</v>
      </c>
      <c r="F7" s="52">
        <f>IFERROR(INDEX(Python!$1:$1048576,MATCH(DCF_Simple!F$1,Python!$A:$A,0),MATCH(DCF_Simple!$B7,Python!$1:$1,0))/1000000,0)</f>
        <v>27.864999999999998</v>
      </c>
      <c r="G7" s="52">
        <f>IFERROR(INDEX(Python!$1:$1048576,MATCH(DCF_Simple!G$1,Python!$A:$A,0),MATCH(DCF_Simple!$B7,Python!$1:$1,0))/1000000,0)</f>
        <v>27.507999999999999</v>
      </c>
      <c r="H7" s="52">
        <f>IFERROR(INDEX(Python!$1:$1048576,MATCH(DCF_Simple!H$1,Python!$A:$A,0),MATCH(DCF_Simple!$B7,Python!$1:$1,0))/1000000,0)</f>
        <v>143.74299999999999</v>
      </c>
      <c r="I7" s="52">
        <f>IFERROR(INDEX(Python!$1:$1048576,MATCH(DCF_Simple!I$1,Python!$A:$A,0),MATCH(DCF_Simple!$B7,Python!$1:$1,0))/1000000,0)</f>
        <v>231.33199999999999</v>
      </c>
      <c r="J7" s="52">
        <f>IFERROR(INDEX(Python!$1:$1048576,MATCH(DCF_Simple!J$1,Python!$A:$A,0),MATCH(DCF_Simple!$B7,Python!$1:$1,0))/1000000,0)</f>
        <v>333.61900000000003</v>
      </c>
      <c r="K7" s="57">
        <f>IFERROR(INDEX(Python!$1:$1048576,MATCH(DCF_Simple!K$1,Python!$A:$A,0),MATCH(DCF_Simple!$B7,Python!$1:$1,0))/1000000,0)</f>
        <v>634.18899999999996</v>
      </c>
      <c r="L7" s="64">
        <f t="shared" ref="L7:U7" si="5">L8*L4</f>
        <v>412.48367449837383</v>
      </c>
      <c r="M7" s="64">
        <f t="shared" si="5"/>
        <v>474.27161180610142</v>
      </c>
      <c r="N7" s="64">
        <f t="shared" si="5"/>
        <v>545.31506498700014</v>
      </c>
      <c r="O7" s="64">
        <f t="shared" si="5"/>
        <v>627.0004628135971</v>
      </c>
      <c r="P7" s="64">
        <f t="shared" si="5"/>
        <v>720.92191397249735</v>
      </c>
      <c r="Q7" s="64">
        <f t="shared" si="5"/>
        <v>828.91231644956611</v>
      </c>
      <c r="R7" s="64">
        <f t="shared" si="5"/>
        <v>953.07912694133745</v>
      </c>
      <c r="S7" s="64">
        <f t="shared" si="5"/>
        <v>1095.8454883406596</v>
      </c>
      <c r="T7" s="64">
        <f t="shared" si="5"/>
        <v>1259.9975179085975</v>
      </c>
      <c r="U7" s="64">
        <f t="shared" si="5"/>
        <v>1448.7386789717748</v>
      </c>
      <c r="V7" s="65">
        <f>U7</f>
        <v>1448.7386789717748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-0.11289642609989102</v>
      </c>
      <c r="E8" s="42">
        <f t="shared" si="6"/>
        <v>1.123707762364992E-2</v>
      </c>
      <c r="F8" s="42">
        <f t="shared" si="6"/>
        <v>9.2013499055594444E-2</v>
      </c>
      <c r="G8" s="42">
        <f t="shared" si="6"/>
        <v>6.3783856479366699E-2</v>
      </c>
      <c r="H8" s="42">
        <f t="shared" si="6"/>
        <v>0.21355370673005494</v>
      </c>
      <c r="I8" s="42">
        <f t="shared" si="6"/>
        <v>0.2120471590711181</v>
      </c>
      <c r="J8" s="42">
        <f t="shared" si="6"/>
        <v>0.20632585259179001</v>
      </c>
      <c r="K8" s="58">
        <f t="shared" si="6"/>
        <v>0.29255350311448947</v>
      </c>
      <c r="L8" s="38">
        <f>AVERAGE(E8:K8)</f>
        <v>0.15593066495229482</v>
      </c>
      <c r="M8" s="38">
        <f t="shared" ref="M8:U8" si="7">L8</f>
        <v>0.15593066495229482</v>
      </c>
      <c r="N8" s="38">
        <f t="shared" si="7"/>
        <v>0.15593066495229482</v>
      </c>
      <c r="O8" s="38">
        <f t="shared" si="7"/>
        <v>0.15593066495229482</v>
      </c>
      <c r="P8" s="38">
        <f t="shared" si="7"/>
        <v>0.15593066495229482</v>
      </c>
      <c r="Q8" s="38">
        <f t="shared" si="7"/>
        <v>0.15593066495229482</v>
      </c>
      <c r="R8" s="38">
        <f t="shared" si="7"/>
        <v>0.15593066495229482</v>
      </c>
      <c r="S8" s="38">
        <f t="shared" si="7"/>
        <v>0.15593066495229482</v>
      </c>
      <c r="T8" s="38">
        <f t="shared" si="7"/>
        <v>0.15593066495229482</v>
      </c>
      <c r="U8" s="38">
        <f t="shared" si="7"/>
        <v>0.15593066495229482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103.626</v>
      </c>
      <c r="E10" s="17">
        <f>IFERROR(INDEX(Python!$1:$1048576,MATCH(DCF_Simple!E$1,Python!$A:$A,0),MATCH(DCF_Simple!$B10,Python!$1:$1,0))/1000000,0)</f>
        <v>119.20399999999999</v>
      </c>
      <c r="F10" s="17">
        <f>IFERROR(INDEX(Python!$1:$1048576,MATCH(DCF_Simple!F$1,Python!$A:$A,0),MATCH(DCF_Simple!$B10,Python!$1:$1,0))/1000000,0)</f>
        <v>126.30200000000001</v>
      </c>
      <c r="G10" s="17">
        <f>IFERROR(INDEX(Python!$1:$1048576,MATCH(DCF_Simple!G$1,Python!$A:$A,0),MATCH(DCF_Simple!$B10,Python!$1:$1,0))/1000000,0)</f>
        <v>131.66</v>
      </c>
      <c r="H10" s="17">
        <f>IFERROR(INDEX(Python!$1:$1048576,MATCH(DCF_Simple!H$1,Python!$A:$A,0),MATCH(DCF_Simple!$B10,Python!$1:$1,0))/1000000,0)</f>
        <v>137.77799999999999</v>
      </c>
      <c r="I10" s="17">
        <f>IFERROR(INDEX(Python!$1:$1048576,MATCH(DCF_Simple!I$1,Python!$A:$A,0),MATCH(DCF_Simple!$B10,Python!$1:$1,0))/1000000,0)</f>
        <v>142.35499999999999</v>
      </c>
      <c r="J10" s="17">
        <f>IFERROR(INDEX(Python!$1:$1048576,MATCH(DCF_Simple!J$1,Python!$A:$A,0),MATCH(DCF_Simple!$B10,Python!$1:$1,0))/1000000,0)</f>
        <v>146.42400000000001</v>
      </c>
      <c r="K10" s="69">
        <f>IFERROR(INDEX(Python!$1:$1048576,MATCH(DCF_Simple!K$1,Python!$A:$A,0),MATCH(DCF_Simple!$B10,Python!$1:$1,0))/1000000,0)</f>
        <v>151.49700000000001</v>
      </c>
      <c r="L10" s="17">
        <f t="shared" ref="L10:U10" si="8">K10*(1+L11)</f>
        <v>156.74575895345026</v>
      </c>
      <c r="M10" s="17">
        <f t="shared" si="8"/>
        <v>162.17636619796519</v>
      </c>
      <c r="N10" s="17">
        <f t="shared" si="8"/>
        <v>167.79512204210465</v>
      </c>
      <c r="O10" s="17">
        <f t="shared" si="8"/>
        <v>173.60854507466487</v>
      </c>
      <c r="P10" s="17">
        <f t="shared" si="8"/>
        <v>178.11967106407118</v>
      </c>
      <c r="Q10" s="17">
        <f t="shared" si="8"/>
        <v>181.59092996876419</v>
      </c>
      <c r="R10" s="17">
        <f t="shared" si="8"/>
        <v>184.24511098467855</v>
      </c>
      <c r="S10" s="17">
        <f t="shared" si="8"/>
        <v>185.5915985981697</v>
      </c>
      <c r="T10" s="17">
        <f t="shared" si="8"/>
        <v>186.26976255960375</v>
      </c>
      <c r="U10" s="17">
        <f t="shared" si="8"/>
        <v>186.26976255960375</v>
      </c>
      <c r="V10" s="70">
        <f>U10</f>
        <v>186.26976255960375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0.15032906799451862</v>
      </c>
      <c r="F11" s="42">
        <f t="shared" si="9"/>
        <v>5.9544981712023271E-2</v>
      </c>
      <c r="G11" s="42">
        <f t="shared" si="9"/>
        <v>4.2422131082643144E-2</v>
      </c>
      <c r="H11" s="42">
        <f t="shared" si="9"/>
        <v>4.6468175603828099E-2</v>
      </c>
      <c r="I11" s="42">
        <f t="shared" si="9"/>
        <v>3.3220107709503788E-2</v>
      </c>
      <c r="J11" s="42">
        <f t="shared" si="9"/>
        <v>2.8583470900214403E-2</v>
      </c>
      <c r="K11" s="58">
        <f t="shared" si="9"/>
        <v>3.4645959678741178E-2</v>
      </c>
      <c r="L11" s="67">
        <f t="shared" ref="L11:U11" si="10">K11</f>
        <v>3.4645959678741178E-2</v>
      </c>
      <c r="M11" s="67">
        <f t="shared" si="10"/>
        <v>3.4645959678741178E-2</v>
      </c>
      <c r="N11" s="67">
        <f t="shared" si="10"/>
        <v>3.4645959678741178E-2</v>
      </c>
      <c r="O11" s="67">
        <f>N11</f>
        <v>3.4645959678741178E-2</v>
      </c>
      <c r="P11" s="67">
        <f>O11*0.75</f>
        <v>2.5984469759055884E-2</v>
      </c>
      <c r="Q11" s="67">
        <f t="shared" ref="Q11:S11" si="11">P11*0.75</f>
        <v>1.9488352319291913E-2</v>
      </c>
      <c r="R11" s="67">
        <f t="shared" si="11"/>
        <v>1.4616264239468935E-2</v>
      </c>
      <c r="S11" s="67">
        <f>R11/2</f>
        <v>7.3081321197344673E-3</v>
      </c>
      <c r="T11" s="67">
        <f>S11/2</f>
        <v>3.6540660598672337E-3</v>
      </c>
      <c r="U11" s="67">
        <v>0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2">IFERROR(D7/D10,0)</f>
        <v>-0.13696369636963696</v>
      </c>
      <c r="E13" s="53">
        <f t="shared" si="12"/>
        <v>1.7927250763397202E-2</v>
      </c>
      <c r="F13" s="53">
        <f t="shared" si="12"/>
        <v>0.22062200123513481</v>
      </c>
      <c r="G13" s="53">
        <f t="shared" si="12"/>
        <v>0.20893209782773811</v>
      </c>
      <c r="H13" s="53">
        <f t="shared" si="12"/>
        <v>1.0432942850092177</v>
      </c>
      <c r="I13" s="53">
        <f t="shared" si="12"/>
        <v>1.6250360015454324</v>
      </c>
      <c r="J13" s="53">
        <f t="shared" si="12"/>
        <v>2.2784447904715073</v>
      </c>
      <c r="K13" s="59">
        <f t="shared" si="12"/>
        <v>4.1861489006382957</v>
      </c>
      <c r="L13" s="53">
        <f t="shared" ref="L13:U13" si="13">L7/L10</f>
        <v>2.6315459968576986</v>
      </c>
      <c r="M13" s="53">
        <f t="shared" si="13"/>
        <v>2.9244187850846792</v>
      </c>
      <c r="N13" s="53">
        <f t="shared" si="13"/>
        <v>3.2498862800681705</v>
      </c>
      <c r="O13" s="53">
        <f t="shared" si="13"/>
        <v>3.6115760462363142</v>
      </c>
      <c r="P13" s="53">
        <f t="shared" si="13"/>
        <v>4.0474020059984026</v>
      </c>
      <c r="Q13" s="53">
        <f t="shared" si="13"/>
        <v>4.5647231202139276</v>
      </c>
      <c r="R13" s="53">
        <f t="shared" si="13"/>
        <v>5.1728869322377493</v>
      </c>
      <c r="S13" s="53">
        <f t="shared" si="13"/>
        <v>5.9046071946031873</v>
      </c>
      <c r="T13" s="53">
        <f t="shared" si="13"/>
        <v>6.7643695927588663</v>
      </c>
      <c r="U13" s="53">
        <f t="shared" si="13"/>
        <v>7.7776374386486831</v>
      </c>
      <c r="V13" s="71">
        <f>U13*(1+WACC!$B$13)/(WACC!$B$14-WACC!$B$13)</f>
        <v>74.692499537512674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2.3366360398259269</v>
      </c>
      <c r="M14" s="62">
        <f>M13/((1+WACC!$B$14)^(M3-$K$3))</f>
        <v>2.3056839465787546</v>
      </c>
      <c r="N14" s="62">
        <f>N13/((1+WACC!$B$14)^(N3-$K$3))</f>
        <v>2.2751418581676175</v>
      </c>
      <c r="O14" s="62">
        <f>O13/((1+WACC!$B$14)^(O3-$K$3))</f>
        <v>2.2450043434908369</v>
      </c>
      <c r="P14" s="62">
        <f>P13/((1+WACC!$B$14)^(P3-$K$3))</f>
        <v>2.2339675979156661</v>
      </c>
      <c r="Q14" s="62">
        <f>Q13/((1+WACC!$B$14)^(Q3-$K$3))</f>
        <v>2.2371498356668504</v>
      </c>
      <c r="R14" s="62">
        <f>R13/((1+WACC!$B$14)^(R3-$K$3))</f>
        <v>2.251094483743596</v>
      </c>
      <c r="S14" s="62">
        <f>S13/((1+WACC!$B$14)^(S3-$K$3))</f>
        <v>2.2815597923939022</v>
      </c>
      <c r="T14" s="62">
        <f>T13/((1+WACC!$B$14)^(T3-$K$3))</f>
        <v>2.3208564402682654</v>
      </c>
      <c r="U14" s="62">
        <f>U13/((1+WACC!$B$14)^(U3-$K$3))</f>
        <v>2.3694565459245389</v>
      </c>
      <c r="V14" s="63">
        <f>V13/((1+WACC!$B$14)^(U3-$K$3))</f>
        <v>22.755063263963908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22.755063263963908</v>
      </c>
      <c r="L17" s="16">
        <f>C17/$C$19</f>
        <v>0.49888748050350867</v>
      </c>
      <c r="O17" s="18"/>
      <c r="U17" s="74"/>
    </row>
    <row r="18" spans="2:22" x14ac:dyDescent="0.25">
      <c r="B18" s="8" t="s">
        <v>26</v>
      </c>
      <c r="C18" s="32">
        <f>SUM(14:14)-V14</f>
        <v>22.856550883975952</v>
      </c>
      <c r="K18" s="3"/>
      <c r="L18" s="16">
        <f>C18/$C$19</f>
        <v>0.50111251949649127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45.611614147939861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15.90562189350284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0.29587384568671321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61.221362195755987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0.2202865696402074</v>
      </c>
    </row>
    <row r="3" spans="1:6" x14ac:dyDescent="0.25">
      <c r="A3" s="73" t="s">
        <v>34</v>
      </c>
      <c r="B3">
        <v>2167771000</v>
      </c>
      <c r="C3">
        <v>634189000</v>
      </c>
      <c r="D3">
        <v>151497000</v>
      </c>
      <c r="E3">
        <v>2409654000</v>
      </c>
      <c r="F3">
        <v>0.24715867043511519</v>
      </c>
    </row>
    <row r="4" spans="1:6" x14ac:dyDescent="0.25">
      <c r="A4" s="73" t="s">
        <v>35</v>
      </c>
      <c r="B4">
        <v>2029909000</v>
      </c>
      <c r="C4">
        <v>549933000</v>
      </c>
      <c r="D4">
        <v>154081000</v>
      </c>
      <c r="E4">
        <v>2239999000</v>
      </c>
      <c r="F4">
        <v>0.28012525071633232</v>
      </c>
    </row>
    <row r="5" spans="1:6" x14ac:dyDescent="0.25">
      <c r="A5" s="73" t="s">
        <v>36</v>
      </c>
      <c r="B5">
        <v>1895508000</v>
      </c>
      <c r="C5">
        <v>500693000</v>
      </c>
      <c r="D5">
        <v>148951000</v>
      </c>
      <c r="E5">
        <v>2459804000</v>
      </c>
      <c r="F5">
        <v>0.30966748280434891</v>
      </c>
    </row>
    <row r="6" spans="1:6" x14ac:dyDescent="0.25">
      <c r="A6" s="73" t="s">
        <v>37</v>
      </c>
      <c r="B6">
        <v>1758107000</v>
      </c>
      <c r="C6">
        <v>462723000</v>
      </c>
      <c r="D6">
        <v>147625000</v>
      </c>
      <c r="E6">
        <v>2324404000</v>
      </c>
      <c r="F6">
        <v>0.39899535365126509</v>
      </c>
    </row>
    <row r="7" spans="1:6" x14ac:dyDescent="0.25">
      <c r="A7" s="73" t="s">
        <v>38</v>
      </c>
      <c r="B7">
        <v>1616952000</v>
      </c>
      <c r="C7">
        <v>333619000</v>
      </c>
      <c r="D7">
        <v>146424000</v>
      </c>
      <c r="E7">
        <v>2100232000</v>
      </c>
      <c r="F7">
        <v>0.35314517117893218</v>
      </c>
    </row>
    <row r="8" spans="1:6" x14ac:dyDescent="0.25">
      <c r="A8" s="73" t="s">
        <v>39</v>
      </c>
      <c r="B8">
        <v>1480005000</v>
      </c>
      <c r="C8">
        <v>307089000</v>
      </c>
      <c r="D8">
        <v>145354000</v>
      </c>
      <c r="E8">
        <v>1968407000</v>
      </c>
      <c r="F8">
        <v>0.50062585641215174</v>
      </c>
    </row>
    <row r="9" spans="1:6" x14ac:dyDescent="0.25">
      <c r="A9" s="73" t="s">
        <v>40</v>
      </c>
      <c r="B9">
        <v>1348012000</v>
      </c>
      <c r="C9">
        <v>276948000</v>
      </c>
      <c r="D9">
        <v>144511000</v>
      </c>
      <c r="E9">
        <v>1905344000</v>
      </c>
      <c r="F9">
        <v>0.34612600415553119</v>
      </c>
    </row>
    <row r="10" spans="1:6" x14ac:dyDescent="0.25">
      <c r="A10" s="73" t="s">
        <v>41</v>
      </c>
      <c r="B10">
        <v>1215977000</v>
      </c>
      <c r="C10">
        <v>243579000</v>
      </c>
      <c r="D10">
        <v>143476000</v>
      </c>
      <c r="E10">
        <v>1824790000</v>
      </c>
    </row>
    <row r="11" spans="1:6" x14ac:dyDescent="0.25">
      <c r="A11" s="73" t="s">
        <v>42</v>
      </c>
      <c r="B11">
        <v>1090946000</v>
      </c>
      <c r="C11">
        <v>231332000</v>
      </c>
      <c r="D11">
        <v>142355000</v>
      </c>
      <c r="E11">
        <v>1731339000</v>
      </c>
    </row>
    <row r="12" spans="1:6" x14ac:dyDescent="0.25">
      <c r="A12" s="73" t="s">
        <v>43</v>
      </c>
      <c r="B12">
        <v>969961000</v>
      </c>
      <c r="C12">
        <v>184262000</v>
      </c>
      <c r="D12">
        <v>141422000</v>
      </c>
      <c r="E12">
        <v>1657874000</v>
      </c>
    </row>
    <row r="13" spans="1:6" x14ac:dyDescent="0.25">
      <c r="A13" s="73" t="s">
        <v>44</v>
      </c>
      <c r="B13">
        <v>859558000</v>
      </c>
      <c r="C13">
        <v>196298000</v>
      </c>
      <c r="D13">
        <v>140515000</v>
      </c>
      <c r="E13">
        <v>1621209000</v>
      </c>
      <c r="F13">
        <v>0.53727617737704092</v>
      </c>
    </row>
    <row r="14" spans="1:6" x14ac:dyDescent="0.25">
      <c r="A14" s="73" t="s">
        <v>45</v>
      </c>
      <c r="B14">
        <v>761039000</v>
      </c>
      <c r="C14">
        <v>184883000</v>
      </c>
      <c r="D14">
        <v>139296000</v>
      </c>
      <c r="E14">
        <v>1584642000</v>
      </c>
      <c r="F14">
        <v>0.6932486077796014</v>
      </c>
    </row>
    <row r="15" spans="1:6" x14ac:dyDescent="0.25">
      <c r="A15" s="73" t="s">
        <v>46</v>
      </c>
      <c r="B15">
        <v>673100000</v>
      </c>
      <c r="C15">
        <v>143743000</v>
      </c>
      <c r="D15">
        <v>137778000</v>
      </c>
      <c r="E15">
        <v>1502552000</v>
      </c>
      <c r="F15">
        <v>0.20421794148720671</v>
      </c>
    </row>
    <row r="16" spans="1:6" x14ac:dyDescent="0.25">
      <c r="A16" s="73" t="s">
        <v>47</v>
      </c>
      <c r="B16">
        <v>601913000</v>
      </c>
      <c r="C16">
        <v>126957000</v>
      </c>
      <c r="D16">
        <v>136385000</v>
      </c>
      <c r="E16">
        <v>1467609000</v>
      </c>
      <c r="F16">
        <v>0.26973036625529301</v>
      </c>
    </row>
    <row r="17" spans="1:6" x14ac:dyDescent="0.25">
      <c r="A17" s="73" t="s">
        <v>48</v>
      </c>
      <c r="B17">
        <v>536033000</v>
      </c>
      <c r="C17">
        <v>80281000</v>
      </c>
      <c r="D17">
        <v>135024000</v>
      </c>
      <c r="E17">
        <v>1444749000</v>
      </c>
      <c r="F17">
        <v>0.45514871430264248</v>
      </c>
    </row>
    <row r="18" spans="1:6" x14ac:dyDescent="0.25">
      <c r="A18" s="73" t="s">
        <v>49</v>
      </c>
      <c r="B18">
        <v>480257000</v>
      </c>
      <c r="C18">
        <v>60318000</v>
      </c>
      <c r="D18">
        <v>133452000</v>
      </c>
      <c r="E18">
        <v>1415954000</v>
      </c>
      <c r="F18">
        <v>0.25683139224276103</v>
      </c>
    </row>
    <row r="19" spans="1:6" x14ac:dyDescent="0.25">
      <c r="A19" s="73" t="s">
        <v>50</v>
      </c>
      <c r="B19">
        <v>431269000</v>
      </c>
      <c r="C19">
        <v>27508000</v>
      </c>
      <c r="D19">
        <v>131660000</v>
      </c>
      <c r="E19">
        <v>1370573000</v>
      </c>
      <c r="F19">
        <v>0.20612223022251119</v>
      </c>
    </row>
    <row r="20" spans="1:6" x14ac:dyDescent="0.25">
      <c r="A20" s="73" t="s">
        <v>51</v>
      </c>
      <c r="B20">
        <v>391490000</v>
      </c>
      <c r="C20">
        <v>24145000</v>
      </c>
      <c r="D20">
        <v>129682000</v>
      </c>
      <c r="E20">
        <v>391314000</v>
      </c>
      <c r="F20">
        <v>-0.60092148164998482</v>
      </c>
    </row>
    <row r="21" spans="1:6" x14ac:dyDescent="0.25">
      <c r="A21" s="73" t="s">
        <v>52</v>
      </c>
      <c r="B21">
        <v>360094000</v>
      </c>
      <c r="C21">
        <v>19622000</v>
      </c>
      <c r="D21">
        <v>128408000</v>
      </c>
      <c r="E21">
        <v>384914000</v>
      </c>
      <c r="F21">
        <v>-0.54569190600522188</v>
      </c>
    </row>
    <row r="22" spans="1:6" x14ac:dyDescent="0.25">
      <c r="A22" s="73" t="s">
        <v>53</v>
      </c>
      <c r="B22">
        <v>333128000</v>
      </c>
      <c r="C22">
        <v>33518000</v>
      </c>
      <c r="D22">
        <v>127548000</v>
      </c>
      <c r="E22">
        <v>377631000</v>
      </c>
      <c r="F22">
        <v>-0.50714610256248216</v>
      </c>
    </row>
    <row r="23" spans="1:6" x14ac:dyDescent="0.25">
      <c r="A23" s="73" t="s">
        <v>54</v>
      </c>
      <c r="B23">
        <v>302836000</v>
      </c>
      <c r="C23">
        <v>27865000</v>
      </c>
      <c r="D23">
        <v>126302000</v>
      </c>
      <c r="E23">
        <v>364646000</v>
      </c>
      <c r="F23">
        <v>-0.56203430412646416</v>
      </c>
    </row>
    <row r="24" spans="1:6" x14ac:dyDescent="0.25">
      <c r="A24" s="73" t="s">
        <v>55</v>
      </c>
      <c r="B24">
        <v>272902000</v>
      </c>
      <c r="C24">
        <v>32233000</v>
      </c>
      <c r="D24">
        <v>124672000</v>
      </c>
      <c r="E24">
        <v>352736000</v>
      </c>
      <c r="F24">
        <v>-0.67809938368285094</v>
      </c>
    </row>
    <row r="25" spans="1:6" x14ac:dyDescent="0.25">
      <c r="A25" s="73" t="s">
        <v>56</v>
      </c>
      <c r="B25">
        <v>242937000</v>
      </c>
      <c r="C25">
        <v>31331000</v>
      </c>
      <c r="D25">
        <v>122741000</v>
      </c>
      <c r="E25">
        <v>339943000</v>
      </c>
      <c r="F25">
        <v>-0.8164403730878691</v>
      </c>
    </row>
    <row r="26" spans="1:6" x14ac:dyDescent="0.25">
      <c r="A26" s="73" t="s">
        <v>57</v>
      </c>
      <c r="B26">
        <v>213611000</v>
      </c>
      <c r="C26">
        <v>14797000</v>
      </c>
      <c r="D26">
        <v>120587000</v>
      </c>
      <c r="E26">
        <v>314040000</v>
      </c>
      <c r="F26">
        <v>6.939840947291839</v>
      </c>
    </row>
    <row r="27" spans="1:6" x14ac:dyDescent="0.25">
      <c r="A27" s="73" t="s">
        <v>58</v>
      </c>
      <c r="B27">
        <v>190174000</v>
      </c>
      <c r="C27">
        <v>2137000</v>
      </c>
      <c r="D27">
        <v>119204000</v>
      </c>
      <c r="E27">
        <v>298539000</v>
      </c>
      <c r="F27">
        <v>6.6858034150612964</v>
      </c>
    </row>
    <row r="28" spans="1:6" x14ac:dyDescent="0.25">
      <c r="A28" s="73" t="s">
        <v>59</v>
      </c>
      <c r="B28">
        <v>170544000</v>
      </c>
      <c r="C28">
        <v>-15228000</v>
      </c>
      <c r="D28">
        <v>73818000</v>
      </c>
      <c r="E28">
        <v>287443000</v>
      </c>
      <c r="F28">
        <v>1.3489784310156541</v>
      </c>
    </row>
    <row r="29" spans="1:6" x14ac:dyDescent="0.25">
      <c r="A29" s="73" t="s">
        <v>60</v>
      </c>
      <c r="B29">
        <v>154345000</v>
      </c>
      <c r="C29">
        <v>-20689000</v>
      </c>
      <c r="D29">
        <v>117331507</v>
      </c>
      <c r="E29">
        <v>71569000</v>
      </c>
    </row>
    <row r="30" spans="1:6" x14ac:dyDescent="0.25">
      <c r="A30" s="73" t="s">
        <v>61</v>
      </c>
      <c r="B30">
        <v>138796000</v>
      </c>
      <c r="C30">
        <v>-18203000</v>
      </c>
      <c r="D30">
        <v>103626000</v>
      </c>
      <c r="E30">
        <v>75760000</v>
      </c>
    </row>
    <row r="31" spans="1:6" x14ac:dyDescent="0.25">
      <c r="A31" s="73" t="s">
        <v>62</v>
      </c>
      <c r="B31">
        <v>125717000</v>
      </c>
      <c r="C31">
        <v>-14193000</v>
      </c>
      <c r="D31">
        <v>103626000</v>
      </c>
      <c r="E31">
        <v>87978000</v>
      </c>
    </row>
    <row r="32" spans="1:6" x14ac:dyDescent="0.25">
      <c r="A32" s="73" t="s">
        <v>63</v>
      </c>
      <c r="B32">
        <v>112742000</v>
      </c>
      <c r="C32">
        <v>-14967000</v>
      </c>
      <c r="D32">
        <v>103626000</v>
      </c>
      <c r="E32">
        <v>87365000</v>
      </c>
    </row>
    <row r="33" spans="1:5" x14ac:dyDescent="0.25">
      <c r="A33" s="73" t="s">
        <v>64</v>
      </c>
      <c r="B33">
        <v>100526000</v>
      </c>
      <c r="C33">
        <v>-13186000</v>
      </c>
      <c r="D33">
        <v>28533333</v>
      </c>
    </row>
    <row r="34" spans="1:5" x14ac:dyDescent="0.25">
      <c r="A34" s="73" t="s">
        <v>65</v>
      </c>
      <c r="D34">
        <v>28533333</v>
      </c>
      <c r="E34">
        <v>92842000</v>
      </c>
    </row>
    <row r="35" spans="1:5" x14ac:dyDescent="0.25">
      <c r="A35" s="73" t="s">
        <v>66</v>
      </c>
      <c r="D35">
        <v>27732667</v>
      </c>
      <c r="E35">
        <v>92842000</v>
      </c>
    </row>
    <row r="36" spans="1:5" x14ac:dyDescent="0.25">
      <c r="A36" s="73" t="s">
        <v>67</v>
      </c>
      <c r="D36">
        <v>26108667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68</v>
      </c>
      <c r="B1" s="27" t="s">
        <v>69</v>
      </c>
      <c r="C1" t="s">
        <v>70</v>
      </c>
      <c r="D1" t="s">
        <v>71</v>
      </c>
      <c r="F1" s="27" t="s">
        <v>69</v>
      </c>
      <c r="G1" t="s">
        <v>70</v>
      </c>
      <c r="H1" t="s">
        <v>71</v>
      </c>
      <c r="J1" t="s">
        <v>72</v>
      </c>
      <c r="K1" t="s">
        <v>70</v>
      </c>
      <c r="L1" t="s">
        <v>71</v>
      </c>
      <c r="N1" t="s">
        <v>73</v>
      </c>
      <c r="O1" t="s">
        <v>70</v>
      </c>
      <c r="P1" t="s">
        <v>71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34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35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36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37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74</v>
      </c>
    </row>
    <row r="7" spans="1:46" x14ac:dyDescent="0.25">
      <c r="A7" s="27" t="s">
        <v>38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75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40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76</v>
      </c>
    </row>
    <row r="10" spans="1:46" x14ac:dyDescent="0.25">
      <c r="A10" s="27" t="s">
        <v>41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77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43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44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78</v>
      </c>
    </row>
    <row r="15" spans="1:46" x14ac:dyDescent="0.25">
      <c r="A15" s="27" t="s">
        <v>46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47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49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51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53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54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55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56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57</v>
      </c>
      <c r="J26">
        <v>0.61799999999999999</v>
      </c>
      <c r="N26">
        <v>-0.36399999999999999</v>
      </c>
    </row>
    <row r="27" spans="1:17" x14ac:dyDescent="0.25">
      <c r="A27" s="27" t="s">
        <v>58</v>
      </c>
    </row>
    <row r="28" spans="1:17" x14ac:dyDescent="0.25">
      <c r="A28" s="27" t="s">
        <v>59</v>
      </c>
    </row>
    <row r="29" spans="1:17" x14ac:dyDescent="0.25">
      <c r="A29" s="27" t="s">
        <v>60</v>
      </c>
    </row>
    <row r="31" spans="1:17" x14ac:dyDescent="0.25">
      <c r="A31" s="26" t="s">
        <v>79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80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81</v>
      </c>
      <c r="C1" s="73" t="s">
        <v>82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83</v>
      </c>
      <c r="D2">
        <v>0.83907627006663887</v>
      </c>
      <c r="E2">
        <v>9.8852813153851041E-2</v>
      </c>
    </row>
    <row r="3" spans="1:5" x14ac:dyDescent="0.25">
      <c r="A3" s="73">
        <v>1</v>
      </c>
      <c r="B3">
        <v>3</v>
      </c>
      <c r="C3" t="s">
        <v>84</v>
      </c>
      <c r="D3">
        <v>2.137453208225828</v>
      </c>
      <c r="E3">
        <v>0.18879138425448791</v>
      </c>
    </row>
    <row r="4" spans="1:5" x14ac:dyDescent="0.25">
      <c r="A4" s="73">
        <v>2</v>
      </c>
      <c r="B4">
        <v>3</v>
      </c>
      <c r="C4" t="s">
        <v>85</v>
      </c>
      <c r="D4">
        <v>1.9603280470078699</v>
      </c>
      <c r="E4">
        <v>0.17652192425583851</v>
      </c>
    </row>
    <row r="5" spans="1:5" x14ac:dyDescent="0.25">
      <c r="A5" s="73">
        <v>3</v>
      </c>
      <c r="B5">
        <v>5</v>
      </c>
      <c r="C5" t="s">
        <v>83</v>
      </c>
      <c r="D5">
        <v>0.81948229341150891</v>
      </c>
      <c r="E5">
        <v>9.7495538381980773E-2</v>
      </c>
    </row>
    <row r="6" spans="1:5" x14ac:dyDescent="0.25">
      <c r="A6" s="73">
        <v>4</v>
      </c>
      <c r="B6">
        <v>5</v>
      </c>
      <c r="C6" t="s">
        <v>84</v>
      </c>
      <c r="D6">
        <v>1.175942098226358</v>
      </c>
      <c r="E6">
        <v>0.12218750922467971</v>
      </c>
    </row>
    <row r="7" spans="1:5" x14ac:dyDescent="0.25">
      <c r="A7" s="73">
        <v>5</v>
      </c>
      <c r="B7">
        <v>5</v>
      </c>
      <c r="C7" t="s">
        <v>85</v>
      </c>
      <c r="D7">
        <v>1.181218120302072</v>
      </c>
      <c r="E7">
        <v>0.1225529792762796</v>
      </c>
    </row>
    <row r="8" spans="1:5" x14ac:dyDescent="0.25">
      <c r="A8" s="73">
        <v>6</v>
      </c>
      <c r="B8" t="s">
        <v>79</v>
      </c>
      <c r="D8">
        <v>1.3522500062067131</v>
      </c>
      <c r="E8">
        <v>0.13440035809118631</v>
      </c>
    </row>
    <row r="9" spans="1:5" x14ac:dyDescent="0.25">
      <c r="A9" s="73">
        <v>7</v>
      </c>
      <c r="B9" t="s">
        <v>80</v>
      </c>
      <c r="D9">
        <v>1.178580109264215</v>
      </c>
      <c r="E9">
        <v>0.1223702442504797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2024-10-18T21:03:36Z</dcterms:modified>
</cp:coreProperties>
</file>