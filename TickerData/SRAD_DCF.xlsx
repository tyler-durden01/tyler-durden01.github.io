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3" documentId="11_FF21402E548E2D9E978C5C00845459DC62E06A1B" xr6:coauthVersionLast="47" xr6:coauthVersionMax="47" xr10:uidLastSave="{F04D78C8-D70B-4208-BE20-10132EE056E8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" l="1"/>
  <c r="O32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K32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4" i="5"/>
  <c r="G4" i="5"/>
  <c r="D4" i="5"/>
  <c r="C4" i="5"/>
  <c r="R3" i="5"/>
  <c r="P3" i="5"/>
  <c r="O3" i="5"/>
  <c r="O31" i="5" s="1"/>
  <c r="L3" i="5"/>
  <c r="K3" i="5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H10" i="3"/>
  <c r="F10" i="3"/>
  <c r="F11" i="3" s="1"/>
  <c r="E10" i="3"/>
  <c r="E11" i="3" s="1"/>
  <c r="D10" i="3"/>
  <c r="L5" i="3"/>
  <c r="M5" i="3" s="1"/>
  <c r="N5" i="3" s="1"/>
  <c r="O5" i="3" s="1"/>
  <c r="P5" i="3" s="1"/>
  <c r="Q5" i="3" s="1"/>
  <c r="R5" i="3" s="1"/>
  <c r="S5" i="3" s="1"/>
  <c r="T5" i="3" s="1"/>
  <c r="U5" i="3" s="1"/>
  <c r="G4" i="3"/>
  <c r="G5" i="3" s="1"/>
  <c r="F4" i="3"/>
  <c r="F5" i="3" s="1"/>
  <c r="E4" i="3"/>
  <c r="E5" i="3" s="1"/>
  <c r="H3" i="3"/>
  <c r="G3" i="3"/>
  <c r="D3" i="3"/>
  <c r="K1" i="3"/>
  <c r="K10" i="3" s="1"/>
  <c r="J1" i="3"/>
  <c r="J10" i="3" s="1"/>
  <c r="I1" i="3"/>
  <c r="I7" i="3" s="1"/>
  <c r="H1" i="3"/>
  <c r="H7" i="3" s="1"/>
  <c r="G1" i="3"/>
  <c r="G7" i="3" s="1"/>
  <c r="F1" i="3"/>
  <c r="F3" i="3" s="1"/>
  <c r="E1" i="3"/>
  <c r="E3" i="3" s="1"/>
  <c r="D1" i="3"/>
  <c r="D4" i="3" s="1"/>
  <c r="G8" i="3" l="1"/>
  <c r="H13" i="3"/>
  <c r="C21" i="3"/>
  <c r="L10" i="3"/>
  <c r="C20" i="3"/>
  <c r="K11" i="3"/>
  <c r="M11" i="3" s="1"/>
  <c r="N11" i="3" s="1"/>
  <c r="O11" i="3" s="1"/>
  <c r="P11" i="3" s="1"/>
  <c r="Q11" i="3" s="1"/>
  <c r="R11" i="3" s="1"/>
  <c r="S11" i="3" s="1"/>
  <c r="T11" i="3" s="1"/>
  <c r="U11" i="3" s="1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L1" i="3"/>
  <c r="J3" i="3"/>
  <c r="H4" i="3"/>
  <c r="H5" i="3" s="1"/>
  <c r="D7" i="3"/>
  <c r="G10" i="3"/>
  <c r="G11" i="3" s="1"/>
  <c r="G31" i="5"/>
  <c r="J7" i="3"/>
  <c r="K31" i="5"/>
  <c r="I3" i="3"/>
  <c r="J4" i="3"/>
  <c r="J5" i="3" s="1"/>
  <c r="F7" i="3"/>
  <c r="I10" i="3"/>
  <c r="I11" i="3" s="1"/>
  <c r="K7" i="3"/>
  <c r="K3" i="3"/>
  <c r="I4" i="3"/>
  <c r="E7" i="3"/>
  <c r="K4" i="3"/>
  <c r="M10" i="3" l="1"/>
  <c r="N10" i="3" s="1"/>
  <c r="O10" i="3" s="1"/>
  <c r="P10" i="3" s="1"/>
  <c r="Q10" i="3" s="1"/>
  <c r="R10" i="3" s="1"/>
  <c r="S10" i="3" s="1"/>
  <c r="T10" i="3" s="1"/>
  <c r="U10" i="3" s="1"/>
  <c r="V10" i="3" s="1"/>
  <c r="M1" i="3"/>
  <c r="L3" i="3"/>
  <c r="H8" i="3"/>
  <c r="E8" i="3"/>
  <c r="E13" i="3"/>
  <c r="H11" i="3"/>
  <c r="J8" i="3"/>
  <c r="J13" i="3"/>
  <c r="J11" i="3"/>
  <c r="G13" i="3"/>
  <c r="F8" i="3"/>
  <c r="F13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I5" i="3"/>
  <c r="K8" i="3"/>
  <c r="K13" i="3"/>
  <c r="I8" i="3"/>
  <c r="D8" i="3"/>
  <c r="D13" i="3"/>
  <c r="I13" i="3"/>
  <c r="L8" i="3" l="1"/>
  <c r="N1" i="3"/>
  <c r="M3" i="3"/>
  <c r="N3" i="3" l="1"/>
  <c r="O1" i="3"/>
  <c r="L7" i="3"/>
  <c r="L13" i="3" s="1"/>
  <c r="L14" i="3" s="1"/>
  <c r="N8" i="3" l="1"/>
  <c r="M7" i="3"/>
  <c r="M13" i="3" s="1"/>
  <c r="M14" i="3" s="1"/>
  <c r="O3" i="3"/>
  <c r="P1" i="3"/>
  <c r="P3" i="3" l="1"/>
  <c r="Q1" i="3"/>
  <c r="N7" i="3"/>
  <c r="N13" i="3" s="1"/>
  <c r="N14" i="3" s="1"/>
  <c r="O8" i="3"/>
  <c r="O7" i="3" l="1"/>
  <c r="O13" i="3" s="1"/>
  <c r="O14" i="3" s="1"/>
  <c r="P8" i="3"/>
  <c r="Q3" i="3"/>
  <c r="R1" i="3"/>
  <c r="S1" i="3" l="1"/>
  <c r="R3" i="3"/>
  <c r="P7" i="3"/>
  <c r="P13" i="3" s="1"/>
  <c r="P14" i="3" s="1"/>
  <c r="Q8" i="3"/>
  <c r="Q7" i="3" l="1"/>
  <c r="Q13" i="3" s="1"/>
  <c r="Q14" i="3" s="1"/>
  <c r="R8" i="3"/>
  <c r="S3" i="3"/>
  <c r="T1" i="3"/>
  <c r="R7" i="3" l="1"/>
  <c r="R13" i="3" s="1"/>
  <c r="R14" i="3" s="1"/>
  <c r="S8" i="3"/>
  <c r="U1" i="3"/>
  <c r="U3" i="3" s="1"/>
  <c r="T3" i="3"/>
  <c r="T8" i="3" l="1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7" i="3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<sst xmlns="http://schemas.openxmlformats.org/spreadsheetml/2006/main" count="115" uniqueCount="97">
  <si>
    <t>This sheet contains FactSet XML data for use with this workbook's =FDS codes.  Modifying the worksheet's contents may damage the workbook's =FDS functionality.</t>
  </si>
  <si>
    <t>SRAD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</si>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</sst>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3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1369321919</v>
      </c>
    </row>
    <row r="3" spans="1:2" x14ac:dyDescent="0.25">
      <c r="A3" s="72" t="s">
        <v>3</v>
      </c>
      <c r="B3">
        <v>40033532</v>
      </c>
    </row>
    <row r="4" spans="1:2" x14ac:dyDescent="0.25">
      <c r="A4" s="72" t="s">
        <v>4</v>
      </c>
      <c r="B4">
        <v>4.356997104729933E-2</v>
      </c>
    </row>
    <row r="5" spans="1:2" x14ac:dyDescent="0.25">
      <c r="A5" s="72" t="s">
        <v>5</v>
      </c>
      <c r="B5">
        <v>1.432549094094421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878799578</v>
      </c>
    </row>
    <row r="8" spans="1:2" x14ac:dyDescent="0.25">
      <c r="A8" s="72" t="s">
        <v>8</v>
      </c>
      <c r="B8">
        <v>0.95643002895270068</v>
      </c>
    </row>
    <row r="9" spans="1:2" x14ac:dyDescent="0.25">
      <c r="A9" s="72" t="s">
        <v>9</v>
      </c>
      <c r="B9">
        <v>0.1581216981103637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1.694697528401276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0.2005410771190331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11" sqref="L11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5">
        <f>Python!A31</f>
        <v>0</v>
      </c>
      <c r="E1" s="65">
        <f>Python!A27</f>
        <v>0</v>
      </c>
      <c r="F1" s="65">
        <f>Python!A23</f>
        <v>0</v>
      </c>
      <c r="G1" s="65" t="str">
        <f>Python!A19</f>
        <v>2020-06-30</v>
      </c>
      <c r="H1" s="65" t="str">
        <f>Python!A15</f>
        <v>2021-06-30</v>
      </c>
      <c r="I1" s="65" t="str">
        <f>Python!A11</f>
        <v>2022-06-30</v>
      </c>
      <c r="J1" s="65" t="str">
        <f>Python!A7</f>
        <v>2023-06-30</v>
      </c>
      <c r="K1" s="65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1900</v>
      </c>
      <c r="E3" s="44">
        <f t="shared" si="1"/>
        <v>1900</v>
      </c>
      <c r="F3" s="44">
        <f t="shared" si="1"/>
        <v>1900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0</v>
      </c>
      <c r="G4" s="36">
        <f>IFERROR(INDEX(Python!$1:$1048576,MATCH(DCF_Simple!G$1,Python!$A:$A,0),MATCH(DCF_Simple!$B4,Python!$1:$1,0))/1000000,0)</f>
        <v>0</v>
      </c>
      <c r="H4" s="36">
        <f>IFERROR(INDEX(Python!$1:$1048576,MATCH(DCF_Simple!H$1,Python!$A:$A,0),MATCH(DCF_Simple!$B4,Python!$1:$1,0))/1000000,0)</f>
        <v>488.586298</v>
      </c>
      <c r="I4" s="36">
        <f>IFERROR(INDEX(Python!$1:$1048576,MATCH(DCF_Simple!I$1,Python!$A:$A,0),MATCH(DCF_Simple!$B4,Python!$1:$1,0))/1000000,0)</f>
        <v>634.19500000000005</v>
      </c>
      <c r="J4" s="36">
        <f>IFERROR(INDEX(Python!$1:$1048576,MATCH(DCF_Simple!J$1,Python!$A:$A,0),MATCH(DCF_Simple!$B4,Python!$1:$1,0))/1000000,0)</f>
        <v>809.12099999999998</v>
      </c>
      <c r="K4" s="54">
        <f>IFERROR(INDEX(Python!$1:$1048576,MATCH(DCF_Simple!K$1,Python!$A:$A,0),MATCH(DCF_Simple!$B4,Python!$1:$1,0))/1000000,0)</f>
        <v>999.34521199999995</v>
      </c>
      <c r="L4" s="37">
        <f t="shared" ref="L4:U4" si="2">K4*(1+L5)</f>
        <v>1289.3654456073259</v>
      </c>
      <c r="M4" s="36">
        <f t="shared" si="2"/>
        <v>1476.458986082632</v>
      </c>
      <c r="N4" s="36">
        <f t="shared" si="2"/>
        <v>1690.7007590523317</v>
      </c>
      <c r="O4" s="36">
        <f t="shared" si="2"/>
        <v>1936.0301123191189</v>
      </c>
      <c r="P4" s="36">
        <f t="shared" si="2"/>
        <v>2216.9580132603246</v>
      </c>
      <c r="Q4" s="36">
        <f t="shared" si="2"/>
        <v>2538.649993760549</v>
      </c>
      <c r="R4" s="36">
        <f t="shared" si="2"/>
        <v>2907.0211308795165</v>
      </c>
      <c r="S4" s="36">
        <f t="shared" si="2"/>
        <v>3328.8448097020805</v>
      </c>
      <c r="T4" s="36">
        <f t="shared" si="2"/>
        <v>3811.8772682357048</v>
      </c>
      <c r="U4" s="36">
        <f t="shared" si="2"/>
        <v>4365.0002144114733</v>
      </c>
      <c r="V4" s="19">
        <f>U4</f>
        <v>4365.0002144114733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 t="str">
        <f t="shared" si="3"/>
        <v/>
      </c>
      <c r="H5" s="42" t="str">
        <f t="shared" si="3"/>
        <v/>
      </c>
      <c r="I5" s="42">
        <f t="shared" si="3"/>
        <v>0.2980204369136854</v>
      </c>
      <c r="J5" s="42">
        <f t="shared" si="3"/>
        <v>0.27582368199055485</v>
      </c>
      <c r="K5" s="57">
        <f t="shared" si="3"/>
        <v>0.23509983302868176</v>
      </c>
      <c r="L5" s="38">
        <f>Python!F2</f>
        <v>0.29021025980292192</v>
      </c>
      <c r="M5" s="38">
        <f>L5/2</f>
        <v>0.14510512990146096</v>
      </c>
      <c r="N5" s="38">
        <f t="shared" ref="N5:U5" si="4">M5</f>
        <v>0.14510512990146096</v>
      </c>
      <c r="O5" s="38">
        <f t="shared" si="4"/>
        <v>0.14510512990146096</v>
      </c>
      <c r="P5" s="38">
        <f t="shared" si="4"/>
        <v>0.14510512990146096</v>
      </c>
      <c r="Q5" s="38">
        <f t="shared" si="4"/>
        <v>0.14510512990146096</v>
      </c>
      <c r="R5" s="38">
        <f t="shared" si="4"/>
        <v>0.14510512990146096</v>
      </c>
      <c r="S5" s="38">
        <f t="shared" si="4"/>
        <v>0.14510512990146096</v>
      </c>
      <c r="T5" s="38">
        <f t="shared" si="4"/>
        <v>0.14510512990146096</v>
      </c>
      <c r="U5" s="38">
        <f t="shared" si="4"/>
        <v>0.14510512990146096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0</v>
      </c>
      <c r="E7" s="51">
        <f>IFERROR(INDEX(Python!$1:$1048576,MATCH(DCF_Simple!E$1,Python!$A:$A,0),MATCH(DCF_Simple!$B7,Python!$1:$1,0))/1000000,0)</f>
        <v>0</v>
      </c>
      <c r="F7" s="51">
        <f>IFERROR(INDEX(Python!$1:$1048576,MATCH(DCF_Simple!F$1,Python!$A:$A,0),MATCH(DCF_Simple!$B7,Python!$1:$1,0))/1000000,0)</f>
        <v>0</v>
      </c>
      <c r="G7" s="51">
        <f>IFERROR(INDEX(Python!$1:$1048576,MATCH(DCF_Simple!G$1,Python!$A:$A,0),MATCH(DCF_Simple!$B7,Python!$1:$1,0))/1000000,0)</f>
        <v>0</v>
      </c>
      <c r="H7" s="51">
        <f>IFERROR(INDEX(Python!$1:$1048576,MATCH(DCF_Simple!H$1,Python!$A:$A,0),MATCH(DCF_Simple!$B7,Python!$1:$1,0))/1000000,0)</f>
        <v>30.257444</v>
      </c>
      <c r="I7" s="51">
        <f>IFERROR(INDEX(Python!$1:$1048576,MATCH(DCF_Simple!I$1,Python!$A:$A,0),MATCH(DCF_Simple!$B7,Python!$1:$1,0))/1000000,0)</f>
        <v>6.5739999999999998</v>
      </c>
      <c r="J7" s="51">
        <f>IFERROR(INDEX(Python!$1:$1048576,MATCH(DCF_Simple!J$1,Python!$A:$A,0),MATCH(DCF_Simple!$B7,Python!$1:$1,0))/1000000,0)</f>
        <v>25.998999999999999</v>
      </c>
      <c r="K7" s="56">
        <f>IFERROR(INDEX(Python!$1:$1048576,MATCH(DCF_Simple!K$1,Python!$A:$A,0),MATCH(DCF_Simple!$B7,Python!$1:$1,0))/1000000,0)</f>
        <v>88.139206999999999</v>
      </c>
      <c r="L7" s="63">
        <f t="shared" ref="L7:U7" si="5">L8*L4</f>
        <v>62.090621435447012</v>
      </c>
      <c r="M7" s="63">
        <f t="shared" si="5"/>
        <v>88.830680790760269</v>
      </c>
      <c r="N7" s="63">
        <f t="shared" si="5"/>
        <v>101.72046826613875</v>
      </c>
      <c r="O7" s="63">
        <f t="shared" si="5"/>
        <v>116.48063002753425</v>
      </c>
      <c r="P7" s="63">
        <f t="shared" si="5"/>
        <v>133.38256697868363</v>
      </c>
      <c r="Q7" s="63">
        <f t="shared" si="5"/>
        <v>152.73706168671583</v>
      </c>
      <c r="R7" s="63">
        <f t="shared" si="5"/>
        <v>174.89999286353418</v>
      </c>
      <c r="S7" s="63">
        <f t="shared" si="5"/>
        <v>200.2788790477619</v>
      </c>
      <c r="T7" s="63">
        <f t="shared" si="5"/>
        <v>229.34037180850638</v>
      </c>
      <c r="U7" s="63">
        <f t="shared" si="5"/>
        <v>262.61883625142906</v>
      </c>
      <c r="V7" s="64">
        <f>U7</f>
        <v>262.61883625142906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 t="str">
        <f t="shared" si="6"/>
        <v/>
      </c>
      <c r="G8" s="42" t="str">
        <f t="shared" si="6"/>
        <v/>
      </c>
      <c r="H8" s="42">
        <f t="shared" si="6"/>
        <v>6.1928556170848657E-2</v>
      </c>
      <c r="I8" s="42">
        <f t="shared" si="6"/>
        <v>1.0365896924447527E-2</v>
      </c>
      <c r="J8" s="42">
        <f t="shared" si="6"/>
        <v>3.2132400469151091E-2</v>
      </c>
      <c r="K8" s="57">
        <f t="shared" si="6"/>
        <v>8.8196957309282634E-2</v>
      </c>
      <c r="L8" s="38">
        <f>AVERAGE(D8:K8)</f>
        <v>4.8155952718432482E-2</v>
      </c>
      <c r="M8" s="38">
        <f>AVERAGE(J8:K8)</f>
        <v>6.0164678889216866E-2</v>
      </c>
      <c r="N8" s="38">
        <f t="shared" ref="M8:U8" si="7">M8</f>
        <v>6.0164678889216866E-2</v>
      </c>
      <c r="O8" s="38">
        <f t="shared" si="7"/>
        <v>6.0164678889216866E-2</v>
      </c>
      <c r="P8" s="38">
        <f t="shared" si="7"/>
        <v>6.0164678889216866E-2</v>
      </c>
      <c r="Q8" s="38">
        <f t="shared" si="7"/>
        <v>6.0164678889216866E-2</v>
      </c>
      <c r="R8" s="38">
        <f t="shared" si="7"/>
        <v>6.0164678889216866E-2</v>
      </c>
      <c r="S8" s="38">
        <f t="shared" si="7"/>
        <v>6.0164678889216866E-2</v>
      </c>
      <c r="T8" s="38">
        <f t="shared" si="7"/>
        <v>6.0164678889216866E-2</v>
      </c>
      <c r="U8" s="38">
        <f t="shared" si="7"/>
        <v>6.0164678889216866E-2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0</v>
      </c>
      <c r="G10" s="17">
        <f>IFERROR(INDEX(Python!$1:$1048576,MATCH(DCF_Simple!G$1,Python!$A:$A,0),MATCH(DCF_Simple!$B10,Python!$1:$1,0))/1000000,0)</f>
        <v>295.822047</v>
      </c>
      <c r="H10" s="17">
        <f>IFERROR(INDEX(Python!$1:$1048576,MATCH(DCF_Simple!H$1,Python!$A:$A,0),MATCH(DCF_Simple!$B10,Python!$1:$1,0))/1000000,0)</f>
        <v>295.63969700000001</v>
      </c>
      <c r="I10" s="17">
        <f>IFERROR(INDEX(Python!$1:$1048576,MATCH(DCF_Simple!I$1,Python!$A:$A,0),MATCH(DCF_Simple!$B10,Python!$1:$1,0))/1000000,0)</f>
        <v>311.02999999999997</v>
      </c>
      <c r="J10" s="17">
        <f>IFERROR(INDEX(Python!$1:$1048576,MATCH(DCF_Simple!J$1,Python!$A:$A,0),MATCH(DCF_Simple!$B10,Python!$1:$1,0))/1000000,0)</f>
        <v>219.51</v>
      </c>
      <c r="K10" s="68">
        <f>IFERROR(INDEX(Python!$1:$1048576,MATCH(DCF_Simple!K$1,Python!$A:$A,0),MATCH(DCF_Simple!$B10,Python!$1:$1,0))/1000000,0)</f>
        <v>301.13209999999998</v>
      </c>
      <c r="L10" s="17">
        <f t="shared" ref="L10:U10" si="8">K10*(1+L11)</f>
        <v>301.13209999999998</v>
      </c>
      <c r="M10" s="17">
        <f t="shared" si="8"/>
        <v>301.13209999999998</v>
      </c>
      <c r="N10" s="17">
        <f t="shared" si="8"/>
        <v>301.13209999999998</v>
      </c>
      <c r="O10" s="17">
        <f t="shared" si="8"/>
        <v>301.13209999999998</v>
      </c>
      <c r="P10" s="17">
        <f t="shared" si="8"/>
        <v>301.13209999999998</v>
      </c>
      <c r="Q10" s="17">
        <f t="shared" si="8"/>
        <v>301.13209999999998</v>
      </c>
      <c r="R10" s="17">
        <f t="shared" si="8"/>
        <v>301.13209999999998</v>
      </c>
      <c r="S10" s="17">
        <f t="shared" si="8"/>
        <v>301.13209999999998</v>
      </c>
      <c r="T10" s="17">
        <f t="shared" si="8"/>
        <v>301.13209999999998</v>
      </c>
      <c r="U10" s="17">
        <f t="shared" si="8"/>
        <v>301.13209999999998</v>
      </c>
      <c r="V10" s="69">
        <f>U10</f>
        <v>301.13209999999998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9">IFERROR(E10/D10-1,"")</f>
        <v/>
      </c>
      <c r="F11" s="42" t="str">
        <f t="shared" si="9"/>
        <v/>
      </c>
      <c r="G11" s="42" t="str">
        <f t="shared" si="9"/>
        <v/>
      </c>
      <c r="H11" s="42">
        <f t="shared" si="9"/>
        <v>-6.1641788314714674E-4</v>
      </c>
      <c r="I11" s="42">
        <f t="shared" si="9"/>
        <v>5.2057633518681312E-2</v>
      </c>
      <c r="J11" s="42">
        <f t="shared" si="9"/>
        <v>-0.29424814326592286</v>
      </c>
      <c r="K11" s="57">
        <f t="shared" si="9"/>
        <v>0.37183772948840588</v>
      </c>
      <c r="L11" s="66">
        <v>0</v>
      </c>
      <c r="M11" s="66">
        <f t="shared" ref="L11:U11" si="10">L11</f>
        <v>0</v>
      </c>
      <c r="N11" s="66">
        <f t="shared" si="10"/>
        <v>0</v>
      </c>
      <c r="O11" s="66">
        <f t="shared" si="10"/>
        <v>0</v>
      </c>
      <c r="P11" s="66">
        <f t="shared" si="10"/>
        <v>0</v>
      </c>
      <c r="Q11" s="66">
        <f t="shared" si="10"/>
        <v>0</v>
      </c>
      <c r="R11" s="66">
        <f t="shared" si="10"/>
        <v>0</v>
      </c>
      <c r="S11" s="66">
        <f t="shared" si="10"/>
        <v>0</v>
      </c>
      <c r="T11" s="66">
        <f t="shared" si="10"/>
        <v>0</v>
      </c>
      <c r="U11" s="66">
        <f t="shared" si="10"/>
        <v>0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0</v>
      </c>
      <c r="E13" s="52">
        <f t="shared" si="11"/>
        <v>0</v>
      </c>
      <c r="F13" s="52">
        <f t="shared" si="11"/>
        <v>0</v>
      </c>
      <c r="G13" s="52">
        <f t="shared" si="11"/>
        <v>0</v>
      </c>
      <c r="H13" s="52">
        <f t="shared" si="11"/>
        <v>0.10234567382877544</v>
      </c>
      <c r="I13" s="52">
        <f t="shared" si="11"/>
        <v>2.1136224801466097E-2</v>
      </c>
      <c r="J13" s="52">
        <f t="shared" si="11"/>
        <v>0.11844107329962189</v>
      </c>
      <c r="K13" s="58">
        <f t="shared" si="11"/>
        <v>0.29269283148491976</v>
      </c>
      <c r="L13" s="52">
        <f t="shared" ref="L13:U13" si="12">L7/L10</f>
        <v>0.2061906433603293</v>
      </c>
      <c r="M13" s="52">
        <f t="shared" si="12"/>
        <v>0.29498907884865239</v>
      </c>
      <c r="N13" s="52">
        <f t="shared" si="12"/>
        <v>0.33779350745449843</v>
      </c>
      <c r="O13" s="52">
        <f t="shared" si="12"/>
        <v>0.38680907823355348</v>
      </c>
      <c r="P13" s="52">
        <f t="shared" si="12"/>
        <v>0.44293705977769771</v>
      </c>
      <c r="Q13" s="52">
        <f t="shared" si="12"/>
        <v>0.50720949937491167</v>
      </c>
      <c r="R13" s="52">
        <f t="shared" si="12"/>
        <v>0.58080819966896324</v>
      </c>
      <c r="S13" s="52">
        <f t="shared" si="12"/>
        <v>0.66508644892976176</v>
      </c>
      <c r="T13" s="52">
        <f t="shared" si="12"/>
        <v>0.76159390449741626</v>
      </c>
      <c r="U13" s="52">
        <f t="shared" si="12"/>
        <v>0.87210508694167466</v>
      </c>
      <c r="V13" s="70">
        <f>U13*(1+WACC!$B$13)/(WACC!$B$14-WACC!$B$13)</f>
        <v>4.9271179881906768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0.17174809532975738</v>
      </c>
      <c r="M14" s="61">
        <f>M13/((1+WACC!$B$14)^(M3-$K$3))</f>
        <v>0.20466891592163339</v>
      </c>
      <c r="N14" s="61">
        <f>N13/((1+WACC!$B$14)^(N3-$K$3))</f>
        <v>0.19521816455930879</v>
      </c>
      <c r="O14" s="61">
        <f>O13/((1+WACC!$B$14)^(O3-$K$3))</f>
        <v>0.18620380922180443</v>
      </c>
      <c r="P14" s="61">
        <f>P13/((1+WACC!$B$14)^(P3-$K$3))</f>
        <v>0.17760569897263109</v>
      </c>
      <c r="Q14" s="61">
        <f>Q13/((1+WACC!$B$14)^(Q3-$K$3))</f>
        <v>0.16940461336095519</v>
      </c>
      <c r="R14" s="61">
        <f>R13/((1+WACC!$B$14)^(R3-$K$3))</f>
        <v>0.16158221945567777</v>
      </c>
      <c r="S14" s="61">
        <f>S13/((1+WACC!$B$14)^(S3-$K$3))</f>
        <v>0.15412103086349851</v>
      </c>
      <c r="T14" s="61">
        <f>T13/((1+WACC!$B$14)^(T3-$K$3))</f>
        <v>0.14700436863935409</v>
      </c>
      <c r="U14" s="61">
        <f>U13/((1+WACC!$B$14)^(U3-$K$3))</f>
        <v>0.14021632400184791</v>
      </c>
      <c r="V14" s="62">
        <f>V13/((1+WACC!$B$14)^(U3-$K$3))</f>
        <v>0.79217789526972571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0.79217789526972571</v>
      </c>
      <c r="L17" s="16">
        <f>C17/$C$19</f>
        <v>0.31687735171703874</v>
      </c>
      <c r="O17" s="18"/>
    </row>
    <row r="18" spans="2:22" x14ac:dyDescent="0.25">
      <c r="B18" s="8" t="s">
        <v>26</v>
      </c>
      <c r="C18" s="32">
        <f>SUM(14:14)-V14</f>
        <v>1.7077732403264689</v>
      </c>
      <c r="K18" s="3"/>
      <c r="L18" s="16">
        <f>C18/$C$19</f>
        <v>0.68312264828296132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2.4999511355961945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1.0706514449970628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0.13294342250460844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3.4376591580886489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0.29021025980292192</v>
      </c>
    </row>
    <row r="3" spans="1:6" x14ac:dyDescent="0.25">
      <c r="A3" s="72" t="s">
        <v>34</v>
      </c>
      <c r="B3">
        <v>999345212</v>
      </c>
      <c r="C3">
        <v>88139207</v>
      </c>
      <c r="D3">
        <v>301132100</v>
      </c>
      <c r="E3">
        <v>322407518</v>
      </c>
      <c r="F3">
        <v>0.20119759372372181</v>
      </c>
    </row>
    <row r="4" spans="1:6" x14ac:dyDescent="0.25">
      <c r="A4" s="72" t="s">
        <v>35</v>
      </c>
      <c r="B4">
        <v>935951000</v>
      </c>
      <c r="C4">
        <v>42934967</v>
      </c>
      <c r="D4">
        <v>300238100</v>
      </c>
      <c r="E4">
        <v>274882520</v>
      </c>
      <c r="F4">
        <v>0.29498522383457632</v>
      </c>
    </row>
    <row r="5" spans="1:6" x14ac:dyDescent="0.25">
      <c r="A5" s="72" t="s">
        <v>36</v>
      </c>
      <c r="B5">
        <v>877621000</v>
      </c>
      <c r="C5">
        <v>57729388</v>
      </c>
      <c r="D5">
        <v>318417100</v>
      </c>
      <c r="E5">
        <v>277402521</v>
      </c>
      <c r="F5">
        <v>0.3131641200651516</v>
      </c>
    </row>
    <row r="6" spans="1:6" x14ac:dyDescent="0.25">
      <c r="A6" s="72" t="s">
        <v>37</v>
      </c>
      <c r="B6">
        <v>831323000</v>
      </c>
      <c r="C6">
        <v>36088000</v>
      </c>
      <c r="D6">
        <v>311201100</v>
      </c>
      <c r="E6">
        <v>289701000</v>
      </c>
      <c r="F6">
        <v>0.49970643330444248</v>
      </c>
    </row>
    <row r="7" spans="1:6" x14ac:dyDescent="0.25">
      <c r="A7" s="72" t="s">
        <v>38</v>
      </c>
      <c r="B7">
        <v>809121000</v>
      </c>
      <c r="C7">
        <v>25999000</v>
      </c>
      <c r="D7">
        <v>219510000</v>
      </c>
      <c r="E7">
        <v>263746000</v>
      </c>
      <c r="F7">
        <v>0.28715665193663259</v>
      </c>
    </row>
    <row r="8" spans="1:6" x14ac:dyDescent="0.25">
      <c r="A8" s="72" t="s">
        <v>39</v>
      </c>
      <c r="B8">
        <v>769876000</v>
      </c>
      <c r="C8">
        <v>16212000</v>
      </c>
      <c r="D8">
        <v>309640100</v>
      </c>
      <c r="E8">
        <v>239634000</v>
      </c>
    </row>
    <row r="9" spans="1:6" x14ac:dyDescent="0.25">
      <c r="A9" s="72" t="s">
        <v>40</v>
      </c>
      <c r="B9">
        <v>730188000</v>
      </c>
      <c r="C9">
        <v>5523000</v>
      </c>
      <c r="D9">
        <v>296929750</v>
      </c>
      <c r="E9">
        <v>243757000</v>
      </c>
      <c r="F9">
        <v>0.47154530239884501</v>
      </c>
    </row>
    <row r="10" spans="1:6" x14ac:dyDescent="0.25">
      <c r="A10" s="72" t="s">
        <v>41</v>
      </c>
      <c r="B10">
        <v>676265000</v>
      </c>
      <c r="C10">
        <v>-14775000</v>
      </c>
      <c r="D10">
        <v>311406000</v>
      </c>
      <c r="E10">
        <v>512492000</v>
      </c>
    </row>
    <row r="11" spans="1:6" x14ac:dyDescent="0.25">
      <c r="A11" s="72" t="s">
        <v>42</v>
      </c>
      <c r="B11">
        <v>634195000</v>
      </c>
      <c r="C11">
        <v>6574000</v>
      </c>
      <c r="D11">
        <v>311030000</v>
      </c>
      <c r="E11">
        <v>715560000</v>
      </c>
    </row>
    <row r="12" spans="1:6" x14ac:dyDescent="0.25">
      <c r="A12" s="72" t="s">
        <v>43</v>
      </c>
      <c r="B12">
        <v>600607000</v>
      </c>
      <c r="C12">
        <v>-890425</v>
      </c>
      <c r="D12">
        <v>297216070</v>
      </c>
      <c r="E12">
        <v>715527000</v>
      </c>
    </row>
    <row r="13" spans="1:6" x14ac:dyDescent="0.25">
      <c r="A13" s="72" t="s">
        <v>44</v>
      </c>
      <c r="B13">
        <v>564392298</v>
      </c>
      <c r="C13">
        <v>1645444</v>
      </c>
      <c r="D13">
        <v>296956977</v>
      </c>
      <c r="E13">
        <v>742773000</v>
      </c>
    </row>
    <row r="14" spans="1:6" x14ac:dyDescent="0.25">
      <c r="A14" s="72" t="s">
        <v>45</v>
      </c>
      <c r="B14">
        <v>520057298</v>
      </c>
      <c r="C14">
        <v>50190444</v>
      </c>
      <c r="D14">
        <v>295822047</v>
      </c>
      <c r="E14">
        <v>768402000</v>
      </c>
      <c r="F14">
        <v>0.87097166632197465</v>
      </c>
    </row>
    <row r="15" spans="1:6" x14ac:dyDescent="0.25">
      <c r="A15" s="72" t="s">
        <v>46</v>
      </c>
      <c r="B15">
        <v>488586298</v>
      </c>
      <c r="C15">
        <v>30257444</v>
      </c>
      <c r="D15">
        <v>295639697</v>
      </c>
      <c r="E15">
        <v>190679000</v>
      </c>
    </row>
    <row r="16" spans="1:6" x14ac:dyDescent="0.25">
      <c r="A16" s="72" t="s">
        <v>47</v>
      </c>
      <c r="B16">
        <v>427184298</v>
      </c>
      <c r="C16">
        <v>76052869</v>
      </c>
      <c r="D16">
        <v>295822047</v>
      </c>
      <c r="E16">
        <v>381206182</v>
      </c>
    </row>
    <row r="17" spans="1:5" x14ac:dyDescent="0.25">
      <c r="A17" s="72" t="s">
        <v>48</v>
      </c>
      <c r="B17">
        <v>404925000</v>
      </c>
      <c r="C17">
        <v>97651000</v>
      </c>
      <c r="D17">
        <v>295822047</v>
      </c>
      <c r="E17">
        <v>385542000</v>
      </c>
    </row>
    <row r="18" spans="1:5" x14ac:dyDescent="0.25">
      <c r="A18" s="72" t="s">
        <v>49</v>
      </c>
      <c r="D18">
        <v>295822047</v>
      </c>
    </row>
    <row r="19" spans="1:5" x14ac:dyDescent="0.25">
      <c r="A19" s="72" t="s">
        <v>50</v>
      </c>
      <c r="D19">
        <v>295822047</v>
      </c>
    </row>
    <row r="20" spans="1:5" x14ac:dyDescent="0.25">
      <c r="A20" s="72" t="s">
        <v>51</v>
      </c>
      <c r="D20">
        <v>295822047</v>
      </c>
      <c r="E20">
        <v>59168000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52</v>
      </c>
      <c r="B1" s="27" t="s">
        <v>53</v>
      </c>
      <c r="C1" t="s">
        <v>54</v>
      </c>
      <c r="D1" t="s">
        <v>55</v>
      </c>
      <c r="F1" s="27" t="s">
        <v>53</v>
      </c>
      <c r="G1" t="s">
        <v>54</v>
      </c>
      <c r="H1" t="s">
        <v>55</v>
      </c>
      <c r="J1" t="s">
        <v>56</v>
      </c>
      <c r="K1" t="s">
        <v>54</v>
      </c>
      <c r="L1" t="s">
        <v>55</v>
      </c>
      <c r="N1" t="s">
        <v>57</v>
      </c>
      <c r="O1" t="s">
        <v>54</v>
      </c>
      <c r="P1" t="s">
        <v>55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58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59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60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61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62</v>
      </c>
    </row>
    <row r="7" spans="1:46" x14ac:dyDescent="0.25">
      <c r="A7" s="27" t="s">
        <v>63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64</v>
      </c>
    </row>
    <row r="8" spans="1:46" x14ac:dyDescent="0.25">
      <c r="A8" s="27" t="s">
        <v>65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66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67</v>
      </c>
    </row>
    <row r="10" spans="1:46" x14ac:dyDescent="0.25">
      <c r="A10" s="27" t="s">
        <v>68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69</v>
      </c>
    </row>
    <row r="11" spans="1:46" x14ac:dyDescent="0.25">
      <c r="A11" s="27" t="s">
        <v>70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71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72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73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74</v>
      </c>
    </row>
    <row r="15" spans="1:46" x14ac:dyDescent="0.25">
      <c r="A15" s="27" t="s">
        <v>75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76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77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78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79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80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81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82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83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84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85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86</v>
      </c>
      <c r="J26">
        <v>0.61799999999999999</v>
      </c>
      <c r="N26">
        <v>-0.36399999999999999</v>
      </c>
    </row>
    <row r="27" spans="1:17" x14ac:dyDescent="0.25">
      <c r="A27" s="27" t="s">
        <v>87</v>
      </c>
    </row>
    <row r="28" spans="1:17" x14ac:dyDescent="0.25">
      <c r="A28" s="27" t="s">
        <v>88</v>
      </c>
    </row>
    <row r="29" spans="1:17" x14ac:dyDescent="0.25">
      <c r="A29" s="27" t="s">
        <v>89</v>
      </c>
    </row>
    <row r="31" spans="1:17" x14ac:dyDescent="0.25">
      <c r="A31" s="26" t="s">
        <v>90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91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92</v>
      </c>
      <c r="C1" s="72" t="s">
        <v>93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94</v>
      </c>
      <c r="D2">
        <v>2.064605855486723</v>
      </c>
      <c r="E2">
        <v>0.18374524809690321</v>
      </c>
    </row>
    <row r="3" spans="1:5" x14ac:dyDescent="0.25">
      <c r="A3" s="72">
        <v>1</v>
      </c>
      <c r="B3">
        <v>3</v>
      </c>
      <c r="C3" t="s">
        <v>95</v>
      </c>
      <c r="D3">
        <v>1.6826673809352271</v>
      </c>
      <c r="E3">
        <v>0.1572883697898835</v>
      </c>
    </row>
    <row r="4" spans="1:5" x14ac:dyDescent="0.25">
      <c r="A4" s="72">
        <v>2</v>
      </c>
      <c r="B4">
        <v>3</v>
      </c>
      <c r="C4" t="s">
        <v>96</v>
      </c>
      <c r="D4">
        <v>1.4737137069498329</v>
      </c>
      <c r="E4">
        <v>0.14281414869726389</v>
      </c>
    </row>
    <row r="5" spans="1:5" x14ac:dyDescent="0.25">
      <c r="A5" s="72">
        <v>3</v>
      </c>
      <c r="B5">
        <v>5</v>
      </c>
      <c r="C5" t="s">
        <v>94</v>
      </c>
      <c r="D5">
        <v>2.0511908438360882</v>
      </c>
      <c r="E5">
        <v>0.1828159902337228</v>
      </c>
    </row>
    <row r="6" spans="1:5" x14ac:dyDescent="0.25">
      <c r="A6" s="72">
        <v>4</v>
      </c>
      <c r="B6">
        <v>5</v>
      </c>
      <c r="C6" t="s">
        <v>95</v>
      </c>
      <c r="D6">
        <v>1.7067276758673251</v>
      </c>
      <c r="E6">
        <v>0.15895502643084389</v>
      </c>
    </row>
    <row r="7" spans="1:5" x14ac:dyDescent="0.25">
      <c r="A7" s="72">
        <v>5</v>
      </c>
      <c r="B7">
        <v>5</v>
      </c>
      <c r="C7" t="s">
        <v>96</v>
      </c>
      <c r="D7">
        <v>1.5018729456444539</v>
      </c>
      <c r="E7">
        <v>0.14476473917453059</v>
      </c>
    </row>
    <row r="8" spans="1:5" x14ac:dyDescent="0.25">
      <c r="A8" s="72">
        <v>6</v>
      </c>
      <c r="B8" t="s">
        <v>90</v>
      </c>
      <c r="D8">
        <v>1.7467964014532751</v>
      </c>
      <c r="E8">
        <v>0.16173058707052471</v>
      </c>
    </row>
    <row r="9" spans="1:5" x14ac:dyDescent="0.25">
      <c r="A9" s="72">
        <v>7</v>
      </c>
      <c r="B9" t="s">
        <v>91</v>
      </c>
      <c r="D9">
        <v>1.694697528401276</v>
      </c>
      <c r="E9">
        <v>0.1581216981103637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2024-10-18T21:14:56Z</dcterms:modified>
</cp:coreProperties>
</file>