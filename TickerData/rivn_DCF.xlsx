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6" documentId="11_90D6B0ECF73C52907B5CD52367E36E3D55A743EC" xr6:coauthVersionLast="47" xr6:coauthVersionMax="47" xr10:uidLastSave="{2F54FEF8-2761-49DB-B01C-3312F201797C}"/>
  <bookViews>
    <workbookView xWindow="30612" yWindow="-108" windowWidth="30936" windowHeight="16776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N11" i="3"/>
  <c r="O11" i="3" s="1"/>
  <c r="M11" i="3"/>
  <c r="O8" i="3"/>
  <c r="N8" i="3"/>
  <c r="L11" i="3"/>
  <c r="L8" i="3"/>
  <c r="M5" i="3"/>
  <c r="N5" i="3" s="1"/>
  <c r="O5" i="3" s="1"/>
  <c r="P5" i="3" s="1"/>
  <c r="Q5" i="3" s="1"/>
  <c r="R5" i="3" s="1"/>
  <c r="S5" i="3" s="1"/>
  <c r="T5" i="3" s="1"/>
  <c r="U5" i="3" s="1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L5" i="3"/>
  <c r="H4" i="3"/>
  <c r="H5" i="3" s="1"/>
  <c r="G4" i="3"/>
  <c r="J3" i="3"/>
  <c r="I3" i="3"/>
  <c r="K1" i="3"/>
  <c r="L1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G5" i="3" l="1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L3" i="3"/>
  <c r="M1" i="3"/>
  <c r="E11" i="3"/>
  <c r="F11" i="3"/>
  <c r="K3" i="3"/>
  <c r="I4" i="3"/>
  <c r="I5" i="3" s="1"/>
  <c r="E7" i="3"/>
  <c r="H10" i="3"/>
  <c r="H11" i="3" s="1"/>
  <c r="K31" i="5"/>
  <c r="D3" i="3"/>
  <c r="J4" i="3"/>
  <c r="F7" i="3"/>
  <c r="I10" i="3"/>
  <c r="O31" i="5"/>
  <c r="D7" i="3"/>
  <c r="E3" i="3"/>
  <c r="K4" i="3"/>
  <c r="G7" i="3"/>
  <c r="J10" i="3"/>
  <c r="F3" i="3"/>
  <c r="D4" i="3"/>
  <c r="H7" i="3"/>
  <c r="K10" i="3"/>
  <c r="E4" i="3"/>
  <c r="E5" i="3" s="1"/>
  <c r="K7" i="3"/>
  <c r="D8" i="3" l="1"/>
  <c r="D13" i="3"/>
  <c r="M3" i="3"/>
  <c r="N1" i="3"/>
  <c r="K11" i="3"/>
  <c r="Q11" i="3" s="1"/>
  <c r="R11" i="3" s="1"/>
  <c r="T11" i="3" s="1"/>
  <c r="U11" i="3" s="1"/>
  <c r="C21" i="3"/>
  <c r="L10" i="3"/>
  <c r="M10" i="3" s="1"/>
  <c r="N10" i="3" s="1"/>
  <c r="C20" i="3"/>
  <c r="I11" i="3"/>
  <c r="I8" i="3"/>
  <c r="K13" i="3"/>
  <c r="K8" i="3"/>
  <c r="E8" i="3"/>
  <c r="E13" i="3"/>
  <c r="F8" i="3"/>
  <c r="F13" i="3"/>
  <c r="I13" i="3"/>
  <c r="H13" i="3"/>
  <c r="H8" i="3"/>
  <c r="J11" i="3"/>
  <c r="J5" i="3"/>
  <c r="J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G8" i="3"/>
  <c r="G13" i="3"/>
  <c r="J13" i="3"/>
  <c r="F5" i="3"/>
  <c r="O10" i="3" l="1"/>
  <c r="P10" i="3" s="1"/>
  <c r="Q10" i="3" s="1"/>
  <c r="R10" i="3" s="1"/>
  <c r="S10" i="3" s="1"/>
  <c r="T10" i="3" s="1"/>
  <c r="U10" i="3" s="1"/>
  <c r="V10" i="3" s="1"/>
  <c r="N3" i="3"/>
  <c r="O1" i="3"/>
  <c r="O3" i="3" l="1"/>
  <c r="P1" i="3"/>
  <c r="M8" i="3"/>
  <c r="L7" i="3"/>
  <c r="L13" i="3" s="1"/>
  <c r="L14" i="3" s="1"/>
  <c r="P3" i="3" l="1"/>
  <c r="Q1" i="3"/>
  <c r="M7" i="3"/>
  <c r="M13" i="3" s="1"/>
  <c r="M14" i="3" s="1"/>
  <c r="R1" i="3" l="1"/>
  <c r="Q3" i="3"/>
  <c r="N7" i="3"/>
  <c r="N13" i="3" s="1"/>
  <c r="N14" i="3" s="1"/>
  <c r="O7" i="3" l="1"/>
  <c r="O13" i="3" s="1"/>
  <c r="O14" i="3" s="1"/>
  <c r="R3" i="3"/>
  <c r="S1" i="3"/>
  <c r="T1" i="3" l="1"/>
  <c r="S3" i="3"/>
  <c r="P7" i="3"/>
  <c r="P13" i="3" s="1"/>
  <c r="P14" i="3" s="1"/>
  <c r="Q7" i="3" l="1"/>
  <c r="Q13" i="3" s="1"/>
  <c r="Q14" i="3" s="1"/>
  <c r="R8" i="3"/>
  <c r="T3" i="3"/>
  <c r="U1" i="3"/>
  <c r="U3" i="3" s="1"/>
  <c r="R7" i="3" l="1"/>
  <c r="R13" i="3" s="1"/>
  <c r="R14" i="3" s="1"/>
  <c r="S8" i="3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<sst xmlns="http://schemas.openxmlformats.org/spreadsheetml/2006/main" count="115" uniqueCount="97">
  <si>
    <t>This sheet contains FactSet XML data for use with this workbook's =FDS codes.  Modifying the worksheet's contents may damage the workbook's =FDS functionality.</t>
  </si>
  <si>
    <t>RIVN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</si>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</sst>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2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8671875" defaultRowHeight="14.4" x14ac:dyDescent="0.3"/>
  <sheetData>
    <row r="1" spans="1:2" x14ac:dyDescent="0.3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B1" s="71" t="s">
        <v>1</v>
      </c>
    </row>
    <row r="2" spans="1:2" x14ac:dyDescent="0.3">
      <c r="A2" s="71" t="s">
        <v>2</v>
      </c>
      <c r="B2">
        <v>8536000000</v>
      </c>
    </row>
    <row r="3" spans="1:2" x14ac:dyDescent="0.3">
      <c r="A3" s="71" t="s">
        <v>3</v>
      </c>
      <c r="B3">
        <v>5526000000</v>
      </c>
    </row>
    <row r="4" spans="1:2" x14ac:dyDescent="0.3">
      <c r="A4" s="71" t="s">
        <v>4</v>
      </c>
      <c r="B4">
        <v>0.44766688269604671</v>
      </c>
    </row>
    <row r="5" spans="1:2" x14ac:dyDescent="0.3">
      <c r="A5" s="71" t="s">
        <v>5</v>
      </c>
      <c r="B5">
        <v>-2.931596091205212E-2</v>
      </c>
    </row>
    <row r="6" spans="1:2" x14ac:dyDescent="0.3">
      <c r="A6" s="71" t="s">
        <v>6</v>
      </c>
      <c r="B6">
        <v>0.21</v>
      </c>
    </row>
    <row r="7" spans="1:2" x14ac:dyDescent="0.3">
      <c r="A7" s="71" t="s">
        <v>7</v>
      </c>
      <c r="B7">
        <v>6818000000</v>
      </c>
    </row>
    <row r="8" spans="1:2" x14ac:dyDescent="0.3">
      <c r="A8" s="71" t="s">
        <v>8</v>
      </c>
      <c r="B8">
        <v>0.55233311730395329</v>
      </c>
    </row>
    <row r="9" spans="1:2" x14ac:dyDescent="0.3">
      <c r="A9" s="71" t="s">
        <v>9</v>
      </c>
      <c r="B9">
        <v>0.1916527371587439</v>
      </c>
    </row>
    <row r="10" spans="1:2" x14ac:dyDescent="0.3">
      <c r="A10" s="71" t="s">
        <v>10</v>
      </c>
      <c r="B10">
        <v>4.2439999580383303E-2</v>
      </c>
    </row>
    <row r="11" spans="1:2" x14ac:dyDescent="0.3">
      <c r="A11" s="71" t="s">
        <v>11</v>
      </c>
      <c r="B11">
        <v>2.2085958651805342</v>
      </c>
    </row>
    <row r="12" spans="1:2" x14ac:dyDescent="0.3">
      <c r="A12" s="71" t="s">
        <v>12</v>
      </c>
      <c r="B12">
        <v>6.7560000419616698E-2</v>
      </c>
    </row>
    <row r="13" spans="1:2" x14ac:dyDescent="0.3">
      <c r="A13" s="71" t="s">
        <v>13</v>
      </c>
      <c r="B13">
        <v>0.02</v>
      </c>
    </row>
    <row r="14" spans="1:2" x14ac:dyDescent="0.3">
      <c r="A14" s="71" t="s">
        <v>14</v>
      </c>
      <c r="B14">
        <v>9.5488363735281578E-2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8" sqref="L18"/>
    </sheetView>
  </sheetViews>
  <sheetFormatPr defaultColWidth="9.5546875" defaultRowHeight="14.4" outlineLevelRow="1" outlineLevelCol="1" x14ac:dyDescent="0.3"/>
  <cols>
    <col min="1" max="1" width="4.109375" customWidth="1"/>
    <col min="2" max="2" width="21.109375" customWidth="1"/>
    <col min="3" max="3" width="10.5546875" customWidth="1"/>
    <col min="4" max="11" width="10.5546875" hidden="1" customWidth="1" outlineLevel="1"/>
    <col min="12" max="12" width="10.5546875" customWidth="1" collapsed="1"/>
    <col min="13" max="22" width="10.5546875" customWidth="1"/>
  </cols>
  <sheetData>
    <row r="1" spans="2:22" hidden="1" outlineLevel="1" x14ac:dyDescent="0.3">
      <c r="C1" s="28"/>
      <c r="D1" s="64">
        <f>Python!A31</f>
        <v>0</v>
      </c>
      <c r="E1" s="64">
        <f>Python!A27</f>
        <v>0</v>
      </c>
      <c r="F1" s="64">
        <f>Python!A23</f>
        <v>0</v>
      </c>
      <c r="G1" s="64" t="str">
        <f>Python!A19</f>
        <v>2020-06-30</v>
      </c>
      <c r="H1" s="64" t="str">
        <f>Python!A15</f>
        <v>2021-06-30</v>
      </c>
      <c r="I1" s="64" t="str">
        <f>Python!A11</f>
        <v>2022-06-30</v>
      </c>
      <c r="J1" s="64" t="str">
        <f>Python!A7</f>
        <v>2023-06-30</v>
      </c>
      <c r="K1" s="64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" customHeight="1" collapsed="1" x14ac:dyDescent="0.3">
      <c r="C2" s="12"/>
      <c r="D2" s="12"/>
      <c r="E2" s="12"/>
      <c r="F2" s="12"/>
      <c r="G2" s="12"/>
      <c r="H2" s="12"/>
      <c r="J2" s="2"/>
    </row>
    <row r="3" spans="2:22" x14ac:dyDescent="0.3">
      <c r="B3" s="42" t="s">
        <v>15</v>
      </c>
      <c r="C3" s="43"/>
      <c r="D3" s="43">
        <f t="shared" ref="D3:U3" si="1">YEAR(D1)</f>
        <v>1900</v>
      </c>
      <c r="E3" s="43">
        <f t="shared" si="1"/>
        <v>1900</v>
      </c>
      <c r="F3" s="43">
        <f t="shared" si="1"/>
        <v>1900</v>
      </c>
      <c r="G3" s="43">
        <f t="shared" si="1"/>
        <v>2020</v>
      </c>
      <c r="H3" s="43">
        <f t="shared" si="1"/>
        <v>2021</v>
      </c>
      <c r="I3" s="43">
        <f t="shared" si="1"/>
        <v>2022</v>
      </c>
      <c r="J3" s="43">
        <f t="shared" si="1"/>
        <v>2023</v>
      </c>
      <c r="K3" s="52">
        <f t="shared" si="1"/>
        <v>2024</v>
      </c>
      <c r="L3" s="43">
        <f t="shared" si="1"/>
        <v>2025</v>
      </c>
      <c r="M3" s="43">
        <f t="shared" si="1"/>
        <v>2026</v>
      </c>
      <c r="N3" s="43">
        <f t="shared" si="1"/>
        <v>2027</v>
      </c>
      <c r="O3" s="43">
        <f t="shared" si="1"/>
        <v>2028</v>
      </c>
      <c r="P3" s="43">
        <f t="shared" si="1"/>
        <v>2029</v>
      </c>
      <c r="Q3" s="43">
        <f t="shared" si="1"/>
        <v>2030</v>
      </c>
      <c r="R3" s="43">
        <f t="shared" si="1"/>
        <v>2031</v>
      </c>
      <c r="S3" s="43">
        <f t="shared" si="1"/>
        <v>2032</v>
      </c>
      <c r="T3" s="43">
        <f t="shared" si="1"/>
        <v>2033</v>
      </c>
      <c r="U3" s="43">
        <f t="shared" si="1"/>
        <v>2034</v>
      </c>
      <c r="V3" s="44" t="s">
        <v>16</v>
      </c>
    </row>
    <row r="4" spans="2:22" s="1" customFormat="1" x14ac:dyDescent="0.3">
      <c r="B4" s="46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0</v>
      </c>
      <c r="H4" s="36">
        <f>IFERROR(INDEX(Python!$1:$1048576,MATCH(DCF_Simple!H$1,Python!$A:$A,0),MATCH(DCF_Simple!$B4,Python!$1:$1,0))/1000000,0)</f>
        <v>0</v>
      </c>
      <c r="I4" s="36">
        <f>IFERROR(INDEX(Python!$1:$1048576,MATCH(DCF_Simple!I$1,Python!$A:$A,0),MATCH(DCF_Simple!$B4,Python!$1:$1,0))/1000000,0)</f>
        <v>514</v>
      </c>
      <c r="J4" s="36">
        <f>IFERROR(INDEX(Python!$1:$1048576,MATCH(DCF_Simple!J$1,Python!$A:$A,0),MATCH(DCF_Simple!$B4,Python!$1:$1,0))/1000000,0)</f>
        <v>2981</v>
      </c>
      <c r="K4" s="53">
        <f>IFERROR(INDEX(Python!$1:$1048576,MATCH(DCF_Simple!K$1,Python!$A:$A,0),MATCH(DCF_Simple!$B4,Python!$1:$1,0))/1000000,0)</f>
        <v>5014</v>
      </c>
      <c r="L4" s="37">
        <f t="shared" ref="L4:U4" si="2">K4*(1+L5)</f>
        <v>3921.0830067314878</v>
      </c>
      <c r="M4" s="36">
        <f t="shared" si="2"/>
        <v>4775.7735232997438</v>
      </c>
      <c r="N4" s="36">
        <f t="shared" si="2"/>
        <v>5816.7635591226644</v>
      </c>
      <c r="O4" s="36">
        <f t="shared" si="2"/>
        <v>7084.6613931055508</v>
      </c>
      <c r="P4" s="36">
        <f t="shared" si="2"/>
        <v>8628.9268155384234</v>
      </c>
      <c r="Q4" s="36">
        <f t="shared" si="2"/>
        <v>10509.80051924251</v>
      </c>
      <c r="R4" s="36">
        <f t="shared" si="2"/>
        <v>12800.654046035963</v>
      </c>
      <c r="S4" s="36">
        <f t="shared" si="2"/>
        <v>15590.851958254558</v>
      </c>
      <c r="T4" s="36">
        <f t="shared" si="2"/>
        <v>18989.23788659721</v>
      </c>
      <c r="U4" s="36">
        <f t="shared" si="2"/>
        <v>23128.380442536647</v>
      </c>
      <c r="V4" s="19">
        <f>U4</f>
        <v>23128.380442536647</v>
      </c>
    </row>
    <row r="5" spans="2:22" s="1" customFormat="1" x14ac:dyDescent="0.3">
      <c r="B5" s="10" t="s">
        <v>18</v>
      </c>
      <c r="C5" s="30"/>
      <c r="D5" s="30"/>
      <c r="E5" s="41" t="str">
        <f t="shared" ref="E5:K5" si="3">IFERROR(E4/D4-1,"")</f>
        <v/>
      </c>
      <c r="F5" s="41" t="str">
        <f t="shared" si="3"/>
        <v/>
      </c>
      <c r="G5" s="41" t="str">
        <f t="shared" si="3"/>
        <v/>
      </c>
      <c r="H5" s="41" t="str">
        <f t="shared" si="3"/>
        <v/>
      </c>
      <c r="I5" s="41" t="str">
        <f t="shared" si="3"/>
        <v/>
      </c>
      <c r="J5" s="41">
        <f t="shared" si="3"/>
        <v>4.7996108949416341</v>
      </c>
      <c r="K5" s="56">
        <f t="shared" si="3"/>
        <v>0.6819859107681987</v>
      </c>
      <c r="L5" s="65">
        <f>Python!F2</f>
        <v>-0.21797307404637251</v>
      </c>
      <c r="M5" s="65">
        <f>-L5</f>
        <v>0.21797307404637251</v>
      </c>
      <c r="N5" s="65">
        <f t="shared" ref="N5:U5" si="4">M5</f>
        <v>0.21797307404637251</v>
      </c>
      <c r="O5" s="65">
        <f t="shared" si="4"/>
        <v>0.21797307404637251</v>
      </c>
      <c r="P5" s="65">
        <f t="shared" si="4"/>
        <v>0.21797307404637251</v>
      </c>
      <c r="Q5" s="65">
        <f t="shared" si="4"/>
        <v>0.21797307404637251</v>
      </c>
      <c r="R5" s="65">
        <f t="shared" si="4"/>
        <v>0.21797307404637251</v>
      </c>
      <c r="S5" s="65">
        <f t="shared" si="4"/>
        <v>0.21797307404637251</v>
      </c>
      <c r="T5" s="65">
        <f t="shared" si="4"/>
        <v>0.21797307404637251</v>
      </c>
      <c r="U5" s="65">
        <f t="shared" si="4"/>
        <v>0.21797307404637251</v>
      </c>
      <c r="V5" s="20"/>
    </row>
    <row r="6" spans="2:22" s="1" customFormat="1" ht="7.5" customHeight="1" x14ac:dyDescent="0.3">
      <c r="B6" s="4"/>
      <c r="C6" s="38"/>
      <c r="D6" s="38"/>
      <c r="E6" s="38"/>
      <c r="F6" s="38"/>
      <c r="G6" s="38"/>
      <c r="H6" s="38"/>
      <c r="I6" s="38"/>
      <c r="J6" s="38"/>
      <c r="K6" s="54"/>
      <c r="L6" s="39"/>
      <c r="M6" s="40"/>
      <c r="N6" s="40"/>
      <c r="O6" s="40"/>
      <c r="P6" s="40"/>
      <c r="Q6" s="40"/>
      <c r="R6" s="40"/>
      <c r="S6" s="40"/>
      <c r="T6" s="40"/>
      <c r="U6" s="40"/>
      <c r="V6" s="21"/>
    </row>
    <row r="7" spans="2:22" s="1" customFormat="1" x14ac:dyDescent="0.3">
      <c r="B7" s="22" t="s">
        <v>19</v>
      </c>
      <c r="C7" s="50"/>
      <c r="D7" s="50">
        <f>IFERROR(INDEX(Python!$1:$1048576,MATCH(DCF_Simple!D$1,Python!$A:$A,0),MATCH(DCF_Simple!$B7,Python!$1:$1,0))/1000000,0)</f>
        <v>0</v>
      </c>
      <c r="E7" s="50">
        <f>IFERROR(INDEX(Python!$1:$1048576,MATCH(DCF_Simple!E$1,Python!$A:$A,0),MATCH(DCF_Simple!$B7,Python!$1:$1,0))/1000000,0)</f>
        <v>0</v>
      </c>
      <c r="F7" s="50">
        <f>IFERROR(INDEX(Python!$1:$1048576,MATCH(DCF_Simple!F$1,Python!$A:$A,0),MATCH(DCF_Simple!$B7,Python!$1:$1,0))/1000000,0)</f>
        <v>0</v>
      </c>
      <c r="G7" s="50">
        <f>IFERROR(INDEX(Python!$1:$1048576,MATCH(DCF_Simple!G$1,Python!$A:$A,0),MATCH(DCF_Simple!$B7,Python!$1:$1,0))/1000000,0)</f>
        <v>0</v>
      </c>
      <c r="H7" s="50">
        <f>IFERROR(INDEX(Python!$1:$1048576,MATCH(DCF_Simple!H$1,Python!$A:$A,0),MATCH(DCF_Simple!$B7,Python!$1:$1,0))/1000000,0)</f>
        <v>-2730</v>
      </c>
      <c r="I7" s="50">
        <f>IFERROR(INDEX(Python!$1:$1048576,MATCH(DCF_Simple!I$1,Python!$A:$A,0),MATCH(DCF_Simple!$B7,Python!$1:$1,0))/1000000,0)</f>
        <v>-5710</v>
      </c>
      <c r="J7" s="50">
        <f>IFERROR(INDEX(Python!$1:$1048576,MATCH(DCF_Simple!J$1,Python!$A:$A,0),MATCH(DCF_Simple!$B7,Python!$1:$1,0))/1000000,0)</f>
        <v>-6826</v>
      </c>
      <c r="K7" s="55">
        <f>IFERROR(INDEX(Python!$1:$1048576,MATCH(DCF_Simple!K$1,Python!$A:$A,0),MATCH(DCF_Simple!$B7,Python!$1:$1,0))/1000000,0)</f>
        <v>-5032</v>
      </c>
      <c r="L7" s="62">
        <f t="shared" ref="L7:U7" si="5">L8*L4</f>
        <v>-1967.5797456993266</v>
      </c>
      <c r="M7" s="62">
        <f t="shared" si="5"/>
        <v>-2396.459151300789</v>
      </c>
      <c r="N7" s="62">
        <f t="shared" si="5"/>
        <v>-1459.4113596681916</v>
      </c>
      <c r="O7" s="62">
        <f t="shared" si="5"/>
        <v>-888.76187001663175</v>
      </c>
      <c r="P7" s="62">
        <f t="shared" si="5"/>
        <v>0</v>
      </c>
      <c r="Q7" s="62">
        <f t="shared" si="5"/>
        <v>525.49002596212551</v>
      </c>
      <c r="R7" s="62">
        <f t="shared" si="5"/>
        <v>640.03270230179817</v>
      </c>
      <c r="S7" s="62">
        <f t="shared" si="5"/>
        <v>779.54259791272796</v>
      </c>
      <c r="T7" s="62">
        <f t="shared" si="5"/>
        <v>949.46189432986057</v>
      </c>
      <c r="U7" s="62">
        <f t="shared" si="5"/>
        <v>1156.4190221268325</v>
      </c>
      <c r="V7" s="63">
        <f>U7</f>
        <v>1156.4190221268325</v>
      </c>
    </row>
    <row r="8" spans="2:22" s="1" customFormat="1" x14ac:dyDescent="0.3">
      <c r="B8" s="10" t="s">
        <v>20</v>
      </c>
      <c r="C8" s="41"/>
      <c r="D8" s="41" t="str">
        <f t="shared" ref="D8:K8" si="6">IFERROR(D7/D$4,"")</f>
        <v/>
      </c>
      <c r="E8" s="41" t="str">
        <f t="shared" si="6"/>
        <v/>
      </c>
      <c r="F8" s="41" t="str">
        <f t="shared" si="6"/>
        <v/>
      </c>
      <c r="G8" s="41" t="str">
        <f t="shared" si="6"/>
        <v/>
      </c>
      <c r="H8" s="41" t="str">
        <f t="shared" si="6"/>
        <v/>
      </c>
      <c r="I8" s="41">
        <f t="shared" si="6"/>
        <v>-11.108949416342412</v>
      </c>
      <c r="J8" s="41">
        <f t="shared" si="6"/>
        <v>-2.2898356256289834</v>
      </c>
      <c r="K8" s="56">
        <f t="shared" si="6"/>
        <v>-1.0035899481451935</v>
      </c>
      <c r="L8" s="65">
        <f>K8/2</f>
        <v>-0.50179497407259677</v>
      </c>
      <c r="M8" s="65">
        <f t="shared" ref="M8:U8" si="7">L8</f>
        <v>-0.50179497407259677</v>
      </c>
      <c r="N8" s="65">
        <f>M8/2</f>
        <v>-0.25089748703629838</v>
      </c>
      <c r="O8" s="65">
        <f>N8/2</f>
        <v>-0.12544874351814919</v>
      </c>
      <c r="P8" s="65">
        <v>0</v>
      </c>
      <c r="Q8" s="65">
        <v>0.05</v>
      </c>
      <c r="R8" s="65">
        <f t="shared" si="7"/>
        <v>0.05</v>
      </c>
      <c r="S8" s="65">
        <f t="shared" si="7"/>
        <v>0.05</v>
      </c>
      <c r="T8" s="65">
        <f t="shared" si="7"/>
        <v>0.05</v>
      </c>
      <c r="U8" s="65">
        <f t="shared" si="7"/>
        <v>0.05</v>
      </c>
      <c r="V8" s="20"/>
    </row>
    <row r="9" spans="2:22" s="1" customFormat="1" ht="7.5" customHeight="1" x14ac:dyDescent="0.3">
      <c r="B9" s="10"/>
      <c r="C9" s="41"/>
      <c r="D9" s="41"/>
      <c r="E9" s="41"/>
      <c r="F9" s="41"/>
      <c r="G9" s="41"/>
      <c r="H9" s="41"/>
      <c r="I9" s="41"/>
      <c r="J9" s="41"/>
      <c r="K9" s="56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3">
      <c r="B10" s="45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100</v>
      </c>
      <c r="H10" s="17">
        <f>IFERROR(INDEX(Python!$1:$1048576,MATCH(DCF_Simple!H$1,Python!$A:$A,0),MATCH(DCF_Simple!$B10,Python!$1:$1,0))/1000000,0)</f>
        <v>723</v>
      </c>
      <c r="I10" s="17">
        <f>IFERROR(INDEX(Python!$1:$1048576,MATCH(DCF_Simple!I$1,Python!$A:$A,0),MATCH(DCF_Simple!$B10,Python!$1:$1,0))/1000000,0)</f>
        <v>908</v>
      </c>
      <c r="J10" s="17">
        <f>IFERROR(INDEX(Python!$1:$1048576,MATCH(DCF_Simple!J$1,Python!$A:$A,0),MATCH(DCF_Simple!$B10,Python!$1:$1,0))/1000000,0)</f>
        <v>942</v>
      </c>
      <c r="K10" s="67">
        <f>IFERROR(INDEX(Python!$1:$1048576,MATCH(DCF_Simple!K$1,Python!$A:$A,0),MATCH(DCF_Simple!$B10,Python!$1:$1,0))/1000000,0)</f>
        <v>1001</v>
      </c>
      <c r="L10" s="17">
        <f t="shared" ref="L10:U10" si="8">K10*(1+L11)</f>
        <v>1126.3906581740978</v>
      </c>
      <c r="M10" s="17">
        <f t="shared" si="8"/>
        <v>1196.9395422847897</v>
      </c>
      <c r="N10" s="17">
        <f t="shared" si="8"/>
        <v>1234.423317759738</v>
      </c>
      <c r="O10" s="17">
        <f t="shared" si="8"/>
        <v>1253.7521329794365</v>
      </c>
      <c r="P10" s="17">
        <f t="shared" si="8"/>
        <v>1273.3836021529467</v>
      </c>
      <c r="Q10" s="17">
        <f t="shared" si="8"/>
        <v>1293.3224642885687</v>
      </c>
      <c r="R10" s="17">
        <f t="shared" si="8"/>
        <v>1313.5735325988194</v>
      </c>
      <c r="S10" s="17">
        <f t="shared" si="8"/>
        <v>1313.5735325988194</v>
      </c>
      <c r="T10" s="17">
        <f t="shared" si="8"/>
        <v>1313.5735325988194</v>
      </c>
      <c r="U10" s="17">
        <f t="shared" si="8"/>
        <v>1313.5735325988194</v>
      </c>
      <c r="V10" s="68">
        <f>U10</f>
        <v>1313.5735325988194</v>
      </c>
    </row>
    <row r="11" spans="2:22" s="1" customFormat="1" x14ac:dyDescent="0.3">
      <c r="B11" s="10" t="s">
        <v>22</v>
      </c>
      <c r="C11" s="41"/>
      <c r="D11" s="41"/>
      <c r="E11" s="41" t="str">
        <f t="shared" ref="E11:K11" si="9">IFERROR(E10/D10-1,"")</f>
        <v/>
      </c>
      <c r="F11" s="41" t="str">
        <f t="shared" si="9"/>
        <v/>
      </c>
      <c r="G11" s="41" t="str">
        <f t="shared" si="9"/>
        <v/>
      </c>
      <c r="H11" s="41">
        <f t="shared" si="9"/>
        <v>6.23</v>
      </c>
      <c r="I11" s="41">
        <f t="shared" si="9"/>
        <v>0.25587828492392806</v>
      </c>
      <c r="J11" s="41">
        <f t="shared" si="9"/>
        <v>3.7444933920704804E-2</v>
      </c>
      <c r="K11" s="56">
        <f t="shared" si="9"/>
        <v>6.2632696390658271E-2</v>
      </c>
      <c r="L11" s="65">
        <f>K11*2</f>
        <v>0.12526539278131654</v>
      </c>
      <c r="M11" s="65">
        <f>L11/2</f>
        <v>6.2632696390658271E-2</v>
      </c>
      <c r="N11" s="65">
        <f t="shared" ref="N11:P11" si="10">M11/2</f>
        <v>3.1316348195329136E-2</v>
      </c>
      <c r="O11" s="65">
        <f t="shared" si="10"/>
        <v>1.5658174097664568E-2</v>
      </c>
      <c r="P11" s="65">
        <f>O11</f>
        <v>1.5658174097664568E-2</v>
      </c>
      <c r="Q11" s="65">
        <f t="shared" ref="L11:U11" si="11">P11</f>
        <v>1.5658174097664568E-2</v>
      </c>
      <c r="R11" s="65">
        <f t="shared" si="11"/>
        <v>1.5658174097664568E-2</v>
      </c>
      <c r="S11" s="65">
        <v>0</v>
      </c>
      <c r="T11" s="65">
        <f t="shared" si="11"/>
        <v>0</v>
      </c>
      <c r="U11" s="65">
        <f t="shared" si="11"/>
        <v>0</v>
      </c>
      <c r="V11" s="66"/>
    </row>
    <row r="12" spans="2:22" s="1" customFormat="1" ht="7.5" customHeight="1" x14ac:dyDescent="0.3">
      <c r="B12" s="10"/>
      <c r="C12" s="41"/>
      <c r="D12" s="41"/>
      <c r="E12" s="41"/>
      <c r="F12" s="41"/>
      <c r="G12" s="41"/>
      <c r="H12" s="41"/>
      <c r="I12" s="41"/>
      <c r="J12" s="41"/>
      <c r="K12" s="5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3">
      <c r="B13" s="47" t="s">
        <v>23</v>
      </c>
      <c r="C13" s="51"/>
      <c r="D13" s="51">
        <f t="shared" ref="D13:K13" si="12">IFERROR(D7/D10,0)</f>
        <v>0</v>
      </c>
      <c r="E13" s="51">
        <f t="shared" si="12"/>
        <v>0</v>
      </c>
      <c r="F13" s="51">
        <f t="shared" si="12"/>
        <v>0</v>
      </c>
      <c r="G13" s="51">
        <f t="shared" si="12"/>
        <v>0</v>
      </c>
      <c r="H13" s="51">
        <f t="shared" si="12"/>
        <v>-3.7759336099585061</v>
      </c>
      <c r="I13" s="51">
        <f t="shared" si="12"/>
        <v>-6.2885462555066081</v>
      </c>
      <c r="J13" s="51">
        <f t="shared" si="12"/>
        <v>-7.2462845010615711</v>
      </c>
      <c r="K13" s="57">
        <f t="shared" si="12"/>
        <v>-5.0269730269730273</v>
      </c>
      <c r="L13" s="51">
        <f t="shared" ref="L13:U13" si="13">L7/L10</f>
        <v>-1.7468004829592723</v>
      </c>
      <c r="M13" s="51">
        <f t="shared" si="13"/>
        <v>-2.0021555530919168</v>
      </c>
      <c r="N13" s="51">
        <f t="shared" si="13"/>
        <v>-1.1822616590852866</v>
      </c>
      <c r="O13" s="51">
        <f t="shared" si="13"/>
        <v>-0.70888164146493926</v>
      </c>
      <c r="P13" s="51">
        <f t="shared" si="13"/>
        <v>0</v>
      </c>
      <c r="Q13" s="51">
        <f t="shared" si="13"/>
        <v>0.40631013569472579</v>
      </c>
      <c r="R13" s="51">
        <f t="shared" si="13"/>
        <v>0.48724543119830932</v>
      </c>
      <c r="S13" s="51">
        <f t="shared" si="13"/>
        <v>0.59345181565165517</v>
      </c>
      <c r="T13" s="51">
        <f t="shared" si="13"/>
        <v>0.72280833220764751</v>
      </c>
      <c r="U13" s="51">
        <f t="shared" si="13"/>
        <v>0.88036108632528021</v>
      </c>
      <c r="V13" s="69">
        <f>U13*(1+WACC!$B$13)/(WACC!$B$14-WACC!$B$13)</f>
        <v>11.895453333718182</v>
      </c>
    </row>
    <row r="14" spans="2:22" ht="15" customHeight="1" thickBot="1" x14ac:dyDescent="0.35">
      <c r="B14" s="48" t="s">
        <v>24</v>
      </c>
      <c r="C14" s="49"/>
      <c r="D14" s="49"/>
      <c r="E14" s="49"/>
      <c r="F14" s="49"/>
      <c r="G14" s="49"/>
      <c r="H14" s="49"/>
      <c r="I14" s="49"/>
      <c r="J14" s="49"/>
      <c r="K14" s="58"/>
      <c r="L14" s="60">
        <f>L13/((1+WACC!$B$14)^(L3-$K$3))</f>
        <v>-1.594540426703589</v>
      </c>
      <c r="M14" s="60">
        <f>M13/((1+WACC!$B$14)^(M3-$K$3))</f>
        <v>-1.6683312251951672</v>
      </c>
      <c r="N14" s="60">
        <f>N13/((1+WACC!$B$14)^(N3-$K$3))</f>
        <v>-0.89927040089749632</v>
      </c>
      <c r="O14" s="60">
        <f>O13/((1+WACC!$B$14)^(O3-$K$3))</f>
        <v>-0.49220118367799792</v>
      </c>
      <c r="P14" s="60">
        <f>P13/((1+WACC!$B$14)^(P3-$K$3))</f>
        <v>0</v>
      </c>
      <c r="Q14" s="60">
        <f>Q13/((1+WACC!$B$14)^(Q3-$K$3))</f>
        <v>0.23507748901624603</v>
      </c>
      <c r="R14" s="60">
        <f>R13/((1+WACC!$B$14)^(R3-$K$3))</f>
        <v>0.25733176191359297</v>
      </c>
      <c r="S14" s="60">
        <f>S13/((1+WACC!$B$14)^(S3-$K$3))</f>
        <v>0.2861035931399496</v>
      </c>
      <c r="T14" s="60">
        <f>T13/((1+WACC!$B$14)^(T3-$K$3))</f>
        <v>0.3180923543945392</v>
      </c>
      <c r="U14" s="60">
        <f>U13/((1+WACC!$B$14)^(U3-$K$3))</f>
        <v>0.35365772520992733</v>
      </c>
      <c r="V14" s="61">
        <f>V13/((1+WACC!$B$14)^(U3-$K$3))</f>
        <v>4.7786289417944872</v>
      </c>
    </row>
    <row r="15" spans="2:22" ht="15" customHeight="1" thickTop="1" x14ac:dyDescent="0.3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3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3">
      <c r="B17" s="9" t="s">
        <v>25</v>
      </c>
      <c r="C17" s="31">
        <f>V14</f>
        <v>4.7786289417944872</v>
      </c>
      <c r="L17" s="16">
        <f>C17/$C$19</f>
        <v>3.0349198835771261</v>
      </c>
      <c r="O17" s="18"/>
    </row>
    <row r="18" spans="2:22" x14ac:dyDescent="0.3">
      <c r="B18" s="8" t="s">
        <v>26</v>
      </c>
      <c r="C18" s="32">
        <f>SUM(14:14)-V14</f>
        <v>-3.2040803127999951</v>
      </c>
      <c r="K18" s="3"/>
      <c r="L18" s="16">
        <f>C18/$C$19</f>
        <v>-2.0349198835771261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3">
      <c r="B19" s="5" t="s">
        <v>27</v>
      </c>
      <c r="C19" s="33">
        <f>C17+C18</f>
        <v>1.5745486289944921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3">
      <c r="B20" s="6" t="s">
        <v>28</v>
      </c>
      <c r="C20" s="70">
        <f>Python!E3/1000000/K10</f>
        <v>7.8591408591408589</v>
      </c>
      <c r="G20" s="14"/>
      <c r="H20" s="14"/>
      <c r="N20" s="14"/>
    </row>
    <row r="21" spans="2:22" x14ac:dyDescent="0.3">
      <c r="B21" s="7" t="s">
        <v>29</v>
      </c>
      <c r="C21" s="32">
        <f>WACC!B3/1000000/K10</f>
        <v>5.5204795204795207</v>
      </c>
      <c r="F21" s="14"/>
      <c r="G21" s="14"/>
      <c r="H21" s="14"/>
    </row>
    <row r="22" spans="2:22" ht="15" customHeight="1" thickBot="1" x14ac:dyDescent="0.35">
      <c r="B22" s="34" t="s">
        <v>30</v>
      </c>
      <c r="C22" s="59">
        <f>C19+C20-C21</f>
        <v>3.9132099676558294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3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4.4" x14ac:dyDescent="0.3"/>
  <sheetData>
    <row r="1" spans="1:6" x14ac:dyDescent="0.3">
      <c r="A1" s="71" t="s">
        <v>31</v>
      </c>
      <c r="B1" s="71" t="s">
        <v>17</v>
      </c>
      <c r="C1" s="71" t="s">
        <v>19</v>
      </c>
      <c r="D1" s="71" t="s">
        <v>21</v>
      </c>
      <c r="E1" s="71" t="s">
        <v>28</v>
      </c>
      <c r="F1" s="71" t="s">
        <v>32</v>
      </c>
    </row>
    <row r="2" spans="1:6" x14ac:dyDescent="0.3">
      <c r="A2" s="71" t="s">
        <v>33</v>
      </c>
      <c r="F2">
        <v>-0.21797307404637251</v>
      </c>
    </row>
    <row r="3" spans="1:6" x14ac:dyDescent="0.3">
      <c r="A3" s="71" t="s">
        <v>34</v>
      </c>
      <c r="B3">
        <v>5014000000</v>
      </c>
      <c r="C3">
        <v>-5032000000</v>
      </c>
      <c r="D3">
        <v>1001000000</v>
      </c>
      <c r="E3">
        <v>7867000000</v>
      </c>
      <c r="F3">
        <v>2.401058519179311E-2</v>
      </c>
    </row>
    <row r="4" spans="1:6" x14ac:dyDescent="0.3">
      <c r="A4" s="71" t="s">
        <v>35</v>
      </c>
      <c r="B4">
        <v>4977000000</v>
      </c>
      <c r="C4">
        <v>-5611000000</v>
      </c>
      <c r="D4">
        <v>978000000</v>
      </c>
      <c r="E4">
        <v>7858000000</v>
      </c>
      <c r="F4">
        <v>0.76926228290468979</v>
      </c>
    </row>
    <row r="5" spans="1:6" x14ac:dyDescent="0.3">
      <c r="A5" s="71" t="s">
        <v>36</v>
      </c>
      <c r="B5">
        <v>4434000000</v>
      </c>
      <c r="C5">
        <v>-5892000000</v>
      </c>
      <c r="D5">
        <v>963000000</v>
      </c>
      <c r="E5">
        <v>9368000000</v>
      </c>
      <c r="F5">
        <v>0.90291101055806933</v>
      </c>
    </row>
    <row r="6" spans="1:6" x14ac:dyDescent="0.3">
      <c r="A6" s="71" t="s">
        <v>37</v>
      </c>
      <c r="B6">
        <v>3782000000</v>
      </c>
      <c r="C6">
        <v>-6227000000</v>
      </c>
      <c r="D6">
        <v>952000000</v>
      </c>
      <c r="E6">
        <v>9133000000</v>
      </c>
      <c r="F6">
        <v>1.3821455223880601</v>
      </c>
    </row>
    <row r="7" spans="1:6" x14ac:dyDescent="0.3">
      <c r="A7" s="71" t="s">
        <v>38</v>
      </c>
      <c r="B7">
        <v>2981000000</v>
      </c>
      <c r="C7">
        <v>-6826000000</v>
      </c>
      <c r="D7">
        <v>942000000</v>
      </c>
      <c r="E7">
        <v>10202000000</v>
      </c>
      <c r="F7">
        <v>1.7006868131868129</v>
      </c>
    </row>
    <row r="8" spans="1:6" x14ac:dyDescent="0.3">
      <c r="A8" s="71" t="s">
        <v>39</v>
      </c>
      <c r="B8">
        <v>2224000000</v>
      </c>
      <c r="C8">
        <v>-6773000000</v>
      </c>
      <c r="D8">
        <v>930000000</v>
      </c>
      <c r="E8">
        <v>11244000000</v>
      </c>
      <c r="F8">
        <v>8.953157894736842</v>
      </c>
    </row>
    <row r="9" spans="1:6" x14ac:dyDescent="0.3">
      <c r="A9" s="71" t="s">
        <v>40</v>
      </c>
      <c r="B9">
        <v>1658000000</v>
      </c>
      <c r="C9">
        <v>-6421000000</v>
      </c>
      <c r="D9">
        <v>923000000</v>
      </c>
      <c r="E9">
        <v>11568000000</v>
      </c>
      <c r="F9">
        <v>10.572407407407409</v>
      </c>
    </row>
    <row r="10" spans="1:6" x14ac:dyDescent="0.3">
      <c r="A10" s="71" t="s">
        <v>41</v>
      </c>
      <c r="B10">
        <v>1049000000</v>
      </c>
      <c r="C10">
        <v>-6222000000</v>
      </c>
      <c r="D10">
        <v>918000000</v>
      </c>
      <c r="E10">
        <v>13272000000</v>
      </c>
    </row>
    <row r="11" spans="1:6" x14ac:dyDescent="0.3">
      <c r="A11" s="71" t="s">
        <v>42</v>
      </c>
      <c r="B11">
        <v>514000000</v>
      </c>
      <c r="C11">
        <v>-5710000000</v>
      </c>
      <c r="D11">
        <v>908000000</v>
      </c>
      <c r="E11">
        <v>14923000000</v>
      </c>
    </row>
    <row r="12" spans="1:6" x14ac:dyDescent="0.3">
      <c r="A12" s="71" t="s">
        <v>43</v>
      </c>
      <c r="B12">
        <v>150000000</v>
      </c>
      <c r="C12">
        <v>-5066000000</v>
      </c>
      <c r="D12">
        <v>901000000</v>
      </c>
      <c r="E12">
        <v>16432000000</v>
      </c>
    </row>
    <row r="13" spans="1:6" x14ac:dyDescent="0.3">
      <c r="A13" s="71" t="s">
        <v>44</v>
      </c>
      <c r="B13">
        <v>55000000</v>
      </c>
      <c r="C13">
        <v>-4416000000</v>
      </c>
      <c r="D13">
        <v>101000000</v>
      </c>
      <c r="E13">
        <v>18133000000</v>
      </c>
    </row>
    <row r="14" spans="1:6" x14ac:dyDescent="0.3">
      <c r="A14" s="71" t="s">
        <v>45</v>
      </c>
      <c r="B14">
        <v>1000000</v>
      </c>
      <c r="C14">
        <v>-3449000000</v>
      </c>
      <c r="D14">
        <v>852858598</v>
      </c>
      <c r="E14">
        <v>5156000000</v>
      </c>
    </row>
    <row r="15" spans="1:6" x14ac:dyDescent="0.3">
      <c r="A15" s="71" t="s">
        <v>46</v>
      </c>
      <c r="B15">
        <v>0</v>
      </c>
      <c r="C15">
        <v>-2730000000</v>
      </c>
      <c r="D15">
        <v>723000000</v>
      </c>
      <c r="E15">
        <v>3658000000</v>
      </c>
    </row>
    <row r="16" spans="1:6" x14ac:dyDescent="0.3">
      <c r="A16" s="71" t="s">
        <v>47</v>
      </c>
      <c r="B16">
        <v>0</v>
      </c>
      <c r="C16">
        <v>-2187500000</v>
      </c>
      <c r="D16">
        <v>723000000</v>
      </c>
      <c r="E16">
        <v>2979000000</v>
      </c>
    </row>
    <row r="17" spans="1:5" x14ac:dyDescent="0.3">
      <c r="A17" s="71" t="s">
        <v>48</v>
      </c>
      <c r="B17">
        <v>0</v>
      </c>
      <c r="C17">
        <v>-1762000000</v>
      </c>
      <c r="D17">
        <v>723000000</v>
      </c>
      <c r="E17">
        <v>2979000000</v>
      </c>
    </row>
    <row r="18" spans="1:5" x14ac:dyDescent="0.3">
      <c r="A18" s="71" t="s">
        <v>49</v>
      </c>
      <c r="D18">
        <v>723000000</v>
      </c>
    </row>
    <row r="19" spans="1:5" x14ac:dyDescent="0.3">
      <c r="A19" s="71" t="s">
        <v>50</v>
      </c>
      <c r="D19">
        <v>100000000</v>
      </c>
    </row>
    <row r="20" spans="1:5" x14ac:dyDescent="0.3">
      <c r="A20" s="71" t="s">
        <v>51</v>
      </c>
      <c r="D20">
        <v>100000000</v>
      </c>
      <c r="E20">
        <v>2264000000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4.4" x14ac:dyDescent="0.3"/>
  <cols>
    <col min="1" max="1" width="10.44140625" bestFit="1" customWidth="1"/>
    <col min="2" max="2" width="7.5546875" bestFit="1" customWidth="1"/>
    <col min="18" max="18" width="20" bestFit="1" customWidth="1"/>
  </cols>
  <sheetData>
    <row r="1" spans="1:46" x14ac:dyDescent="0.3">
      <c r="A1" s="27" t="s">
        <v>52</v>
      </c>
      <c r="B1" s="27" t="s">
        <v>53</v>
      </c>
      <c r="C1" t="s">
        <v>54</v>
      </c>
      <c r="D1" t="s">
        <v>55</v>
      </c>
      <c r="F1" s="27" t="s">
        <v>53</v>
      </c>
      <c r="G1" t="s">
        <v>54</v>
      </c>
      <c r="H1" t="s">
        <v>55</v>
      </c>
      <c r="J1" t="s">
        <v>56</v>
      </c>
      <c r="K1" t="s">
        <v>54</v>
      </c>
      <c r="L1" t="s">
        <v>55</v>
      </c>
      <c r="N1" t="s">
        <v>57</v>
      </c>
      <c r="O1" t="s">
        <v>54</v>
      </c>
      <c r="P1" t="s">
        <v>55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3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3">
      <c r="A3" s="27" t="s">
        <v>58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3">
      <c r="A4" s="27" t="s">
        <v>59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3">
      <c r="A5" s="27" t="s">
        <v>60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3">
      <c r="A6" s="27" t="s">
        <v>61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62</v>
      </c>
    </row>
    <row r="7" spans="1:46" x14ac:dyDescent="0.3">
      <c r="A7" s="27" t="s">
        <v>63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64</v>
      </c>
    </row>
    <row r="8" spans="1:46" x14ac:dyDescent="0.3">
      <c r="A8" s="27" t="s">
        <v>65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3">
      <c r="A9" s="27" t="s">
        <v>66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67</v>
      </c>
    </row>
    <row r="10" spans="1:46" x14ac:dyDescent="0.3">
      <c r="A10" s="27" t="s">
        <v>68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69</v>
      </c>
    </row>
    <row r="11" spans="1:46" x14ac:dyDescent="0.3">
      <c r="A11" s="27" t="s">
        <v>70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3">
      <c r="A12" s="27" t="s">
        <v>71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3">
      <c r="A13" s="27" t="s">
        <v>72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3">
      <c r="A14" s="27" t="s">
        <v>73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74</v>
      </c>
    </row>
    <row r="15" spans="1:46" x14ac:dyDescent="0.3">
      <c r="A15" s="27" t="s">
        <v>75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3">
      <c r="A16" s="27" t="s">
        <v>76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3">
      <c r="A17" s="27" t="s">
        <v>77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3">
      <c r="A18" s="27" t="s">
        <v>78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3">
      <c r="A19" s="27" t="s">
        <v>79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3">
      <c r="A20" s="27" t="s">
        <v>80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3">
      <c r="A21" s="27" t="s">
        <v>81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3">
      <c r="A22" s="27" t="s">
        <v>82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3">
      <c r="A23" s="27" t="s">
        <v>83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3">
      <c r="A24" s="27" t="s">
        <v>84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3">
      <c r="A25" s="27" t="s">
        <v>85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3">
      <c r="A26" s="27" t="s">
        <v>86</v>
      </c>
      <c r="J26">
        <v>0.61799999999999999</v>
      </c>
      <c r="N26">
        <v>-0.36399999999999999</v>
      </c>
    </row>
    <row r="27" spans="1:17" x14ac:dyDescent="0.3">
      <c r="A27" s="27" t="s">
        <v>87</v>
      </c>
    </row>
    <row r="28" spans="1:17" x14ac:dyDescent="0.3">
      <c r="A28" s="27" t="s">
        <v>88</v>
      </c>
    </row>
    <row r="29" spans="1:17" x14ac:dyDescent="0.3">
      <c r="A29" s="27" t="s">
        <v>89</v>
      </c>
    </row>
    <row r="31" spans="1:17" x14ac:dyDescent="0.3">
      <c r="A31" s="26" t="s">
        <v>90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3">
      <c r="A32" s="26" t="s">
        <v>91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4" x14ac:dyDescent="0.3"/>
  <sheetData>
    <row r="1" spans="1:5" x14ac:dyDescent="0.3">
      <c r="B1" s="71" t="s">
        <v>92</v>
      </c>
      <c r="C1" s="71" t="s">
        <v>93</v>
      </c>
      <c r="D1" s="71" t="s">
        <v>11</v>
      </c>
      <c r="E1" s="71" t="s">
        <v>9</v>
      </c>
    </row>
    <row r="2" spans="1:5" x14ac:dyDescent="0.3">
      <c r="A2" s="71">
        <v>0</v>
      </c>
      <c r="B2">
        <v>3</v>
      </c>
      <c r="C2" t="s">
        <v>94</v>
      </c>
      <c r="D2">
        <v>2.0956066136689748</v>
      </c>
      <c r="E2">
        <v>0.1840191832792108</v>
      </c>
    </row>
    <row r="3" spans="1:5" x14ac:dyDescent="0.3">
      <c r="A3" s="71">
        <v>1</v>
      </c>
      <c r="B3">
        <v>3</v>
      </c>
      <c r="C3" t="s">
        <v>95</v>
      </c>
      <c r="D3">
        <v>2.2229651203953358</v>
      </c>
      <c r="E3">
        <v>0.19262352404708549</v>
      </c>
    </row>
    <row r="4" spans="1:5" x14ac:dyDescent="0.3">
      <c r="A4" s="71">
        <v>2</v>
      </c>
      <c r="B4">
        <v>3</v>
      </c>
      <c r="C4" t="s">
        <v>96</v>
      </c>
      <c r="D4">
        <v>2.2085958651805342</v>
      </c>
      <c r="E4">
        <v>0.1916527371587439</v>
      </c>
    </row>
    <row r="5" spans="1:5" x14ac:dyDescent="0.3">
      <c r="A5" s="71">
        <v>3</v>
      </c>
      <c r="B5">
        <v>5</v>
      </c>
      <c r="C5" t="s">
        <v>94</v>
      </c>
      <c r="D5">
        <v>2.0956066136689748</v>
      </c>
      <c r="E5">
        <v>0.1840191832792108</v>
      </c>
    </row>
    <row r="6" spans="1:5" x14ac:dyDescent="0.3">
      <c r="A6" s="71">
        <v>4</v>
      </c>
      <c r="B6">
        <v>5</v>
      </c>
      <c r="C6" t="s">
        <v>95</v>
      </c>
      <c r="D6">
        <v>2.2229651203953358</v>
      </c>
      <c r="E6">
        <v>0.19262352404708549</v>
      </c>
    </row>
    <row r="7" spans="1:5" x14ac:dyDescent="0.3">
      <c r="A7" s="71">
        <v>5</v>
      </c>
      <c r="B7">
        <v>5</v>
      </c>
      <c r="C7" t="s">
        <v>96</v>
      </c>
      <c r="D7">
        <v>2.2085958651805342</v>
      </c>
      <c r="E7">
        <v>0.1916527371587439</v>
      </c>
    </row>
    <row r="8" spans="1:5" x14ac:dyDescent="0.3">
      <c r="A8" s="71">
        <v>6</v>
      </c>
      <c r="B8" t="s">
        <v>90</v>
      </c>
      <c r="D8">
        <v>2.1757225330816148</v>
      </c>
      <c r="E8">
        <v>0.1894318148283467</v>
      </c>
    </row>
    <row r="9" spans="1:5" x14ac:dyDescent="0.3">
      <c r="A9" s="71">
        <v>7</v>
      </c>
      <c r="B9" t="s">
        <v>91</v>
      </c>
      <c r="D9">
        <v>2.2085958651805342</v>
      </c>
      <c r="E9">
        <v>0.1916527371587439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2024-10-23T12:51:25Z</dcterms:modified>
</cp:coreProperties>
</file>