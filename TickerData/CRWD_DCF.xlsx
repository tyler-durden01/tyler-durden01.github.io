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8" documentId="11_5EDDFBDC04AC0A9D7F8DDF17AD6E08DE349B3630" xr6:coauthVersionLast="47" xr6:coauthVersionMax="47" xr10:uidLastSave="{02176E7C-C2EA-4705-B5A7-06DD6B335170}"/>
  <bookViews>
    <workbookView xWindow="-120" yWindow="-120" windowWidth="29040" windowHeight="15720" firstSheet="1" activeTab="2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3" l="1"/>
  <c r="L8" i="3"/>
  <c r="N5" i="3"/>
  <c r="K31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H4" i="5"/>
  <c r="G4" i="5"/>
  <c r="D4" i="5"/>
  <c r="C4" i="5"/>
  <c r="R3" i="5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P3" i="5"/>
  <c r="O3" i="5"/>
  <c r="O32" i="5" s="1"/>
  <c r="L3" i="5"/>
  <c r="K3" i="5"/>
  <c r="K32" i="5" s="1"/>
  <c r="H3" i="5"/>
  <c r="G3" i="5"/>
  <c r="D3" i="5"/>
  <c r="C3" i="5"/>
  <c r="R2" i="5"/>
  <c r="H2" i="5"/>
  <c r="G2" i="5"/>
  <c r="G3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D2" i="5"/>
  <c r="C2" i="5"/>
  <c r="C32" i="5" s="1"/>
  <c r="U1" i="5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T1" i="5"/>
  <c r="S1" i="5"/>
  <c r="H10" i="3"/>
  <c r="L5" i="3"/>
  <c r="M5" i="3" s="1"/>
  <c r="O5" i="3" s="1"/>
  <c r="P5" i="3" s="1"/>
  <c r="Q5" i="3" s="1"/>
  <c r="R5" i="3" s="1"/>
  <c r="S5" i="3" s="1"/>
  <c r="T5" i="3" s="1"/>
  <c r="U5" i="3" s="1"/>
  <c r="I4" i="3"/>
  <c r="K3" i="3"/>
  <c r="K1" i="3"/>
  <c r="K10" i="3" s="1"/>
  <c r="J1" i="3"/>
  <c r="J7" i="3" s="1"/>
  <c r="I1" i="3"/>
  <c r="I7" i="3" s="1"/>
  <c r="H1" i="3"/>
  <c r="H3" i="3" s="1"/>
  <c r="G1" i="3"/>
  <c r="G3" i="3" s="1"/>
  <c r="F1" i="3"/>
  <c r="F4" i="3" s="1"/>
  <c r="E1" i="3"/>
  <c r="E10" i="3" s="1"/>
  <c r="E11" i="3" s="1"/>
  <c r="D1" i="3"/>
  <c r="D10" i="3" s="1"/>
  <c r="I8" i="3" l="1"/>
  <c r="K11" i="3"/>
  <c r="M11" i="3" s="1"/>
  <c r="N11" i="3" s="1"/>
  <c r="O11" i="3" s="1"/>
  <c r="P11" i="3" s="1"/>
  <c r="Q11" i="3" s="1"/>
  <c r="R11" i="3" s="1"/>
  <c r="S11" i="3" s="1"/>
  <c r="T11" i="3" s="1"/>
  <c r="U11" i="3" s="1"/>
  <c r="C21" i="3"/>
  <c r="C20" i="3"/>
  <c r="I3" i="3"/>
  <c r="G4" i="3"/>
  <c r="G5" i="3" s="1"/>
  <c r="K7" i="3"/>
  <c r="F10" i="3"/>
  <c r="F11" i="3" s="1"/>
  <c r="C31" i="5"/>
  <c r="L1" i="3"/>
  <c r="J3" i="3"/>
  <c r="H4" i="3"/>
  <c r="D7" i="3"/>
  <c r="G10" i="3"/>
  <c r="G11" i="3" s="1"/>
  <c r="G31" i="5"/>
  <c r="D3" i="3"/>
  <c r="J4" i="3"/>
  <c r="J5" i="3" s="1"/>
  <c r="F7" i="3"/>
  <c r="I10" i="3"/>
  <c r="I11" i="3" s="1"/>
  <c r="O31" i="5"/>
  <c r="E3" i="3"/>
  <c r="K4" i="3"/>
  <c r="G7" i="3"/>
  <c r="J10" i="3"/>
  <c r="J11" i="3" s="1"/>
  <c r="E7" i="3"/>
  <c r="F3" i="3"/>
  <c r="D4" i="3"/>
  <c r="H7" i="3"/>
  <c r="E4" i="3"/>
  <c r="E5" i="3" s="1"/>
  <c r="L10" i="3" l="1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K5" i="3"/>
  <c r="L4" i="3"/>
  <c r="M4" i="3" s="1"/>
  <c r="N4" i="3" s="1"/>
  <c r="O4" i="3" s="1"/>
  <c r="P4" i="3" s="1"/>
  <c r="Q4" i="3" s="1"/>
  <c r="R4" i="3" s="1"/>
  <c r="S4" i="3" s="1"/>
  <c r="T4" i="3" s="1"/>
  <c r="U4" i="3" s="1"/>
  <c r="V4" i="3" s="1"/>
  <c r="J13" i="3"/>
  <c r="K8" i="3"/>
  <c r="K13" i="3"/>
  <c r="D13" i="3"/>
  <c r="D8" i="3"/>
  <c r="J8" i="3"/>
  <c r="E8" i="3"/>
  <c r="E13" i="3"/>
  <c r="H13" i="3"/>
  <c r="H8" i="3"/>
  <c r="H5" i="3"/>
  <c r="H11" i="3"/>
  <c r="I5" i="3"/>
  <c r="G8" i="3"/>
  <c r="G13" i="3"/>
  <c r="F5" i="3"/>
  <c r="F8" i="3"/>
  <c r="F13" i="3"/>
  <c r="M1" i="3"/>
  <c r="L3" i="3"/>
  <c r="I13" i="3"/>
  <c r="M8" i="3" l="1"/>
  <c r="L7" i="3"/>
  <c r="L13" i="3" s="1"/>
  <c r="L14" i="3" s="1"/>
  <c r="M3" i="3"/>
  <c r="N1" i="3"/>
  <c r="N3" i="3" l="1"/>
  <c r="O1" i="3"/>
  <c r="M7" i="3"/>
  <c r="M13" i="3" s="1"/>
  <c r="M14" i="3" s="1"/>
  <c r="N8" i="3"/>
  <c r="O8" i="3" l="1"/>
  <c r="N7" i="3"/>
  <c r="N13" i="3" s="1"/>
  <c r="N14" i="3" s="1"/>
  <c r="O3" i="3"/>
  <c r="P1" i="3"/>
  <c r="P3" i="3" l="1"/>
  <c r="Q1" i="3"/>
  <c r="O7" i="3"/>
  <c r="O13" i="3" s="1"/>
  <c r="O14" i="3" s="1"/>
  <c r="P8" i="3"/>
  <c r="P7" i="3" l="1"/>
  <c r="P13" i="3" s="1"/>
  <c r="P14" i="3" s="1"/>
  <c r="Q8" i="3"/>
  <c r="R1" i="3"/>
  <c r="Q3" i="3"/>
  <c r="R3" i="3" l="1"/>
  <c r="S1" i="3"/>
  <c r="Q7" i="3"/>
  <c r="Q13" i="3" s="1"/>
  <c r="Q14" i="3" s="1"/>
  <c r="R8" i="3"/>
  <c r="S3" i="3" l="1"/>
  <c r="T1" i="3"/>
  <c r="R7" i="3"/>
  <c r="R13" i="3" s="1"/>
  <c r="R14" i="3" s="1"/>
  <c r="S8" i="3"/>
  <c r="T8" i="3" l="1"/>
  <c r="S7" i="3"/>
  <c r="S13" i="3" s="1"/>
  <c r="S14" i="3" s="1"/>
  <c r="T3" i="3"/>
  <c r="U1" i="3"/>
  <c r="U3" i="3" s="1"/>
  <c r="U8" i="3" l="1"/>
  <c r="U7" i="3" s="1"/>
  <c r="T7" i="3"/>
  <c r="T13" i="3" s="1"/>
  <c r="T14" i="3" s="1"/>
  <c r="U13" i="3" l="1"/>
  <c r="V7" i="3"/>
  <c r="U14" i="3" l="1"/>
  <c r="V13" i="3"/>
  <c r="V14" i="3" s="1"/>
  <c r="C18" i="3" l="1"/>
  <c r="C17" i="3"/>
  <c r="C19" i="3" l="1"/>
  <c r="C22" i="3" s="1"/>
  <c r="L18" i="3" l="1"/>
  <c r="L1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<sst xmlns="http://schemas.openxmlformats.org/spreadsheetml/2006/main" count="124" uniqueCount="79">
  <si>
    <t>This sheet contains FactSet XML data for use with this workbook's =FDS codes.  Modifying the worksheet's contents may damage the workbook's =FDS functionality.</t>
  </si>
  <si>
    <t>CRWD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</si>
  <si>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</si>
  <si>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</si>
  <si>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</si>
  <si>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</si>
  <si>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</si>
  <si>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</si>
  <si>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</si>
  <si>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</si>
  <si>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</si>
  <si>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</si>
  <si>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</si>
  <si>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</si>
  <si>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</si>
  <si>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</si>
  <si>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</si>
  <si>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</si>
  <si>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</si>
  <si>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</si>
  <si>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</si>
  <si>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</si>
  <si>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</si>
  <si>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</si>
  <si>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</si>
  <si>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</si>
  <si>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</si>
  <si>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</si>
  <si>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</si>
  <si>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</si>
  <si>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</si>
  <si>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</si>
  <si>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</si>
  <si>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2024-10-31</t>
  </si>
  <si>
    <t>2024-07-31</t>
  </si>
  <si>
    <t>2024-04-30</t>
  </si>
  <si>
    <t>2024-01-31</t>
  </si>
  <si>
    <t>2023-10-31</t>
  </si>
  <si>
    <t>2023-07-31</t>
  </si>
  <si>
    <t>2023-04-30</t>
  </si>
  <si>
    <t>2023-01-31</t>
  </si>
  <si>
    <t>2022-10-31</t>
  </si>
  <si>
    <t>2022-07-31</t>
  </si>
  <si>
    <t>2022-04-30</t>
  </si>
  <si>
    <t>2022-01-31</t>
  </si>
  <si>
    <t>2021-10-31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</si>
  <si>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</si>
  <si>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</si>
  <si>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</si>
  <si>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</si>
  <si>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</si>
  <si>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</si>
  <si>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</si>
  <si>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</si>
  <si>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</si>
  <si>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</si>
  <si>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</si>
  <si>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</si>
  <si>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</si>
  <si>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</si>
  <si>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</si>
  <si>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date</t>
  </si>
  <si>
    <t>revenue</t>
  </si>
  <si>
    <t>Deriv1</t>
  </si>
  <si>
    <t>Static1</t>
  </si>
  <si>
    <t>grossProfit_margin</t>
  </si>
  <si>
    <t>FCF_margin</t>
  </si>
  <si>
    <t># Get a mathematical function written to get the first derivative. Maybe start with a graph, and go from there?</t>
  </si>
  <si>
    <t>calculus functions in python/r, to start, do a static program maybe, just to get a foundation going. Might be a little bit of a detour for now</t>
  </si>
  <si>
    <t>I am leaving off by trying to determine a systematic way to project revenue growth. Keep it as simple as can be, for now</t>
  </si>
  <si>
    <t>Current figures are quarterly. I need annual</t>
  </si>
  <si>
    <t>add more to show the return, and also the market cap valuations</t>
  </si>
  <si>
    <t>Mean</t>
  </si>
  <si>
    <t>Median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</si>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</sst>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4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164" fontId="11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39" fontId="5" fillId="0" borderId="2" xfId="0" applyNumberFormat="1" applyFont="1" applyBorder="1"/>
    <xf numFmtId="44" fontId="1" fillId="0" borderId="5" xfId="4" applyBorder="1"/>
    <xf numFmtId="0" fontId="16" fillId="0" borderId="17" xfId="0" applyFont="1" applyBorder="1" applyAlignment="1">
      <alignment horizontal="center" vertical="top"/>
    </xf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H21" sqref="H21"/>
    </sheetView>
  </sheetViews>
  <sheetFormatPr defaultRowHeight="15" x14ac:dyDescent="0.25"/>
  <sheetData>
    <row r="1" spans="1:2" x14ac:dyDescent="0.25">
      <c r="B1" s="73" t="s">
        <v>1</v>
      </c>
    </row>
    <row r="2" spans="1:2" x14ac:dyDescent="0.25">
      <c r="A2" s="73" t="s">
        <v>2</v>
      </c>
      <c r="B2">
        <v>4311884000</v>
      </c>
    </row>
    <row r="3" spans="1:2" x14ac:dyDescent="0.25">
      <c r="A3" s="73" t="s">
        <v>3</v>
      </c>
      <c r="B3">
        <v>743238000</v>
      </c>
    </row>
    <row r="4" spans="1:2" x14ac:dyDescent="0.25">
      <c r="A4" s="73" t="s">
        <v>4</v>
      </c>
      <c r="B4">
        <v>0.20453307091034581</v>
      </c>
    </row>
    <row r="5" spans="1:2" x14ac:dyDescent="0.25">
      <c r="A5" s="73" t="s">
        <v>5</v>
      </c>
      <c r="B5">
        <v>2.6948299198910709E-2</v>
      </c>
    </row>
    <row r="6" spans="1:2" x14ac:dyDescent="0.25">
      <c r="A6" s="73" t="s">
        <v>6</v>
      </c>
      <c r="B6">
        <v>0.21</v>
      </c>
    </row>
    <row r="7" spans="1:2" x14ac:dyDescent="0.25">
      <c r="A7" s="73" t="s">
        <v>7</v>
      </c>
      <c r="B7">
        <v>2890590000</v>
      </c>
    </row>
    <row r="8" spans="1:2" x14ac:dyDescent="0.25">
      <c r="A8" s="73" t="s">
        <v>8</v>
      </c>
      <c r="B8">
        <v>0.79546692908965422</v>
      </c>
    </row>
    <row r="9" spans="1:2" x14ac:dyDescent="0.25">
      <c r="A9" s="73" t="s">
        <v>9</v>
      </c>
      <c r="B9">
        <v>0.11965555466330589</v>
      </c>
    </row>
    <row r="10" spans="1:2" x14ac:dyDescent="0.25">
      <c r="A10" s="73" t="s">
        <v>10</v>
      </c>
      <c r="B10">
        <v>4.0959997177124022E-2</v>
      </c>
    </row>
    <row r="11" spans="1:2" x14ac:dyDescent="0.25">
      <c r="A11" s="73" t="s">
        <v>11</v>
      </c>
      <c r="B11">
        <v>1.13985449403989</v>
      </c>
    </row>
    <row r="12" spans="1:2" x14ac:dyDescent="0.25">
      <c r="A12" s="73" t="s">
        <v>12</v>
      </c>
      <c r="B12">
        <v>6.9040002822875979E-2</v>
      </c>
    </row>
    <row r="13" spans="1:2" x14ac:dyDescent="0.25">
      <c r="A13" s="73" t="s">
        <v>13</v>
      </c>
      <c r="B13">
        <v>0.02</v>
      </c>
    </row>
    <row r="14" spans="1:2" x14ac:dyDescent="0.25">
      <c r="A14" s="73" t="s">
        <v>14</v>
      </c>
      <c r="B14">
        <v>9.9536373145400758E-2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3"/>
  <sheetViews>
    <sheetView showGridLines="0" tabSelected="1" topLeftCell="A2" zoomScale="85" zoomScaleNormal="85" workbookViewId="0">
      <selection activeCell="L11" sqref="L11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customWidth="1" outlineLevel="1"/>
    <col min="12" max="22" width="10.5703125" customWidth="1"/>
  </cols>
  <sheetData>
    <row r="1" spans="2:22" hidden="1" outlineLevel="1" x14ac:dyDescent="0.25">
      <c r="C1" s="28"/>
      <c r="D1" s="66">
        <f>Python!A31</f>
        <v>0</v>
      </c>
      <c r="E1" s="66" t="str">
        <f>Python!A27</f>
        <v>2018-07-31</v>
      </c>
      <c r="F1" s="66" t="str">
        <f>Python!A23</f>
        <v>2019-07-31</v>
      </c>
      <c r="G1" s="66" t="str">
        <f>Python!A19</f>
        <v>2020-07-31</v>
      </c>
      <c r="H1" s="66" t="str">
        <f>Python!A15</f>
        <v>2021-07-31</v>
      </c>
      <c r="I1" s="66" t="str">
        <f>Python!A11</f>
        <v>2022-07-31</v>
      </c>
      <c r="J1" s="66" t="str">
        <f>Python!A7</f>
        <v>2023-07-31</v>
      </c>
      <c r="K1" s="66" t="str">
        <f>Python!A3</f>
        <v>2024-07-31</v>
      </c>
      <c r="L1" s="28">
        <f t="shared" ref="L1:U1" si="0">EDATE(K1, 12)</f>
        <v>45869</v>
      </c>
      <c r="M1" s="28">
        <f t="shared" si="0"/>
        <v>46234</v>
      </c>
      <c r="N1" s="28">
        <f t="shared" si="0"/>
        <v>46599</v>
      </c>
      <c r="O1" s="28">
        <f t="shared" si="0"/>
        <v>46965</v>
      </c>
      <c r="P1" s="28">
        <f t="shared" si="0"/>
        <v>47330</v>
      </c>
      <c r="Q1" s="28">
        <f t="shared" si="0"/>
        <v>47695</v>
      </c>
      <c r="R1" s="28">
        <f t="shared" si="0"/>
        <v>48060</v>
      </c>
      <c r="S1" s="28">
        <f t="shared" si="0"/>
        <v>48426</v>
      </c>
      <c r="T1" s="28">
        <f t="shared" si="0"/>
        <v>48791</v>
      </c>
      <c r="U1" s="28">
        <f t="shared" si="0"/>
        <v>49156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4" t="s">
        <v>15</v>
      </c>
      <c r="C3" s="45"/>
      <c r="D3" s="45">
        <f t="shared" ref="D3:U3" si="1">YEAR(D1)</f>
        <v>1900</v>
      </c>
      <c r="E3" s="45">
        <f t="shared" si="1"/>
        <v>2018</v>
      </c>
      <c r="F3" s="45">
        <f t="shared" si="1"/>
        <v>2019</v>
      </c>
      <c r="G3" s="45">
        <f t="shared" si="1"/>
        <v>2020</v>
      </c>
      <c r="H3" s="45">
        <f t="shared" si="1"/>
        <v>2021</v>
      </c>
      <c r="I3" s="45">
        <f t="shared" si="1"/>
        <v>2022</v>
      </c>
      <c r="J3" s="45">
        <f t="shared" si="1"/>
        <v>2023</v>
      </c>
      <c r="K3" s="54">
        <f t="shared" si="1"/>
        <v>2024</v>
      </c>
      <c r="L3" s="45">
        <f t="shared" si="1"/>
        <v>2025</v>
      </c>
      <c r="M3" s="45">
        <f t="shared" si="1"/>
        <v>2026</v>
      </c>
      <c r="N3" s="45">
        <f t="shared" si="1"/>
        <v>2027</v>
      </c>
      <c r="O3" s="45">
        <f t="shared" si="1"/>
        <v>2028</v>
      </c>
      <c r="P3" s="45">
        <f t="shared" si="1"/>
        <v>2029</v>
      </c>
      <c r="Q3" s="45">
        <f t="shared" si="1"/>
        <v>2030</v>
      </c>
      <c r="R3" s="45">
        <f t="shared" si="1"/>
        <v>2031</v>
      </c>
      <c r="S3" s="45">
        <f t="shared" si="1"/>
        <v>2032</v>
      </c>
      <c r="T3" s="45">
        <f t="shared" si="1"/>
        <v>2033</v>
      </c>
      <c r="U3" s="45">
        <f t="shared" si="1"/>
        <v>2034</v>
      </c>
      <c r="V3" s="46" t="s">
        <v>16</v>
      </c>
    </row>
    <row r="4" spans="2:22" s="1" customFormat="1" x14ac:dyDescent="0.25">
      <c r="B4" s="48" t="s">
        <v>17</v>
      </c>
      <c r="C4" s="36"/>
      <c r="D4" s="36">
        <f>IFERROR(INDEX(Python!$1:$1048576,MATCH(DCF_Simple!D$1,Python!$A:$A,0),MATCH(DCF_Simple!$B4,Python!$1:$1,0))/1000000,0)</f>
        <v>0</v>
      </c>
      <c r="E4" s="36">
        <f>IFERROR(INDEX(Python!$1:$1048576,MATCH(DCF_Simple!E$1,Python!$A:$A,0),MATCH(DCF_Simple!$B4,Python!$1:$1,0))/1000000,0)</f>
        <v>0</v>
      </c>
      <c r="F4" s="36">
        <f>IFERROR(INDEX(Python!$1:$1048576,MATCH(DCF_Simple!F$1,Python!$A:$A,0),MATCH(DCF_Simple!$B4,Python!$1:$1,0))/1000000,0)</f>
        <v>351.01900000000001</v>
      </c>
      <c r="G4" s="36">
        <f>IFERROR(INDEX(Python!$1:$1048576,MATCH(DCF_Simple!G$1,Python!$A:$A,0),MATCH(DCF_Simple!$B4,Python!$1:$1,0))/1000000,0)</f>
        <v>654.27700000000004</v>
      </c>
      <c r="H4" s="36">
        <f>IFERROR(INDEX(Python!$1:$1048576,MATCH(DCF_Simple!H$1,Python!$A:$A,0),MATCH(DCF_Simple!$B4,Python!$1:$1,0))/1000000,0)</f>
        <v>1137.922</v>
      </c>
      <c r="I4" s="36">
        <f>IFERROR(INDEX(Python!$1:$1048576,MATCH(DCF_Simple!I$1,Python!$A:$A,0),MATCH(DCF_Simple!$B4,Python!$1:$1,0))/1000000,0)</f>
        <v>1834.048</v>
      </c>
      <c r="J4" s="36">
        <f>IFERROR(INDEX(Python!$1:$1048576,MATCH(DCF_Simple!J$1,Python!$A:$A,0),MATCH(DCF_Simple!$B4,Python!$1:$1,0))/1000000,0)</f>
        <v>2642.4549999999999</v>
      </c>
      <c r="K4" s="55">
        <f>IFERROR(INDEX(Python!$1:$1048576,MATCH(DCF_Simple!K$1,Python!$A:$A,0),MATCH(DCF_Simple!$B4,Python!$1:$1,0))/1000000,0)</f>
        <v>3516.2570000000001</v>
      </c>
      <c r="L4" s="37">
        <f t="shared" ref="L4:U4" si="2">K4*(1+L5)</f>
        <v>4394.6166690669634</v>
      </c>
      <c r="M4" s="36">
        <f t="shared" si="2"/>
        <v>4943.5034602084834</v>
      </c>
      <c r="N4" s="36">
        <f t="shared" si="2"/>
        <v>6178.3887553789191</v>
      </c>
      <c r="O4" s="36">
        <f t="shared" si="2"/>
        <v>7721.7479303600639</v>
      </c>
      <c r="P4" s="36">
        <f t="shared" si="2"/>
        <v>9650.6376436914779</v>
      </c>
      <c r="Q4" s="36">
        <f t="shared" si="2"/>
        <v>12061.363278079984</v>
      </c>
      <c r="R4" s="36">
        <f t="shared" si="2"/>
        <v>15074.287264418514</v>
      </c>
      <c r="S4" s="36">
        <f t="shared" si="2"/>
        <v>18839.838523326776</v>
      </c>
      <c r="T4" s="36">
        <f t="shared" si="2"/>
        <v>23546.023062916556</v>
      </c>
      <c r="U4" s="36">
        <f t="shared" si="2"/>
        <v>29427.81072103895</v>
      </c>
      <c r="V4" s="19">
        <f>U4</f>
        <v>29427.81072103895</v>
      </c>
    </row>
    <row r="5" spans="2:22" s="1" customFormat="1" x14ac:dyDescent="0.25">
      <c r="B5" s="10" t="s">
        <v>18</v>
      </c>
      <c r="C5" s="30"/>
      <c r="D5" s="30"/>
      <c r="E5" s="42" t="str">
        <f t="shared" ref="E5:K5" si="3">IFERROR(E4/D4-1,"")</f>
        <v/>
      </c>
      <c r="F5" s="42" t="str">
        <f t="shared" si="3"/>
        <v/>
      </c>
      <c r="G5" s="42">
        <f t="shared" si="3"/>
        <v>0.86393614020893472</v>
      </c>
      <c r="H5" s="42">
        <f t="shared" si="3"/>
        <v>0.73920526015739507</v>
      </c>
      <c r="I5" s="42">
        <f t="shared" si="3"/>
        <v>0.61175194784879805</v>
      </c>
      <c r="J5" s="42">
        <f t="shared" si="3"/>
        <v>0.4407774496632586</v>
      </c>
      <c r="K5" s="58">
        <f t="shared" si="3"/>
        <v>0.33067810047853241</v>
      </c>
      <c r="L5" s="43">
        <f>Python!F2</f>
        <v>0.24979962188968649</v>
      </c>
      <c r="M5" s="43">
        <f>L5/2</f>
        <v>0.12489981094484325</v>
      </c>
      <c r="N5" s="38">
        <f>M5*2</f>
        <v>0.24979962188968649</v>
      </c>
      <c r="O5" s="38">
        <f t="shared" ref="N5:U5" si="4">N5</f>
        <v>0.24979962188968649</v>
      </c>
      <c r="P5" s="38">
        <f t="shared" si="4"/>
        <v>0.24979962188968649</v>
      </c>
      <c r="Q5" s="38">
        <f t="shared" si="4"/>
        <v>0.24979962188968649</v>
      </c>
      <c r="R5" s="38">
        <f t="shared" si="4"/>
        <v>0.24979962188968649</v>
      </c>
      <c r="S5" s="38">
        <f t="shared" si="4"/>
        <v>0.24979962188968649</v>
      </c>
      <c r="T5" s="38">
        <f t="shared" si="4"/>
        <v>0.24979962188968649</v>
      </c>
      <c r="U5" s="38">
        <f t="shared" si="4"/>
        <v>0.24979962188968649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6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2"/>
      <c r="D7" s="52">
        <f>IFERROR(INDEX(Python!$1:$1048576,MATCH(DCF_Simple!D$1,Python!$A:$A,0),MATCH(DCF_Simple!$B7,Python!$1:$1,0))/1000000,0)</f>
        <v>0</v>
      </c>
      <c r="E7" s="52">
        <f>IFERROR(INDEX(Python!$1:$1048576,MATCH(DCF_Simple!E$1,Python!$A:$A,0),MATCH(DCF_Simple!$B7,Python!$1:$1,0))/1000000,0)</f>
        <v>0</v>
      </c>
      <c r="F7" s="52">
        <f>IFERROR(INDEX(Python!$1:$1048576,MATCH(DCF_Simple!F$1,Python!$A:$A,0),MATCH(DCF_Simple!$B7,Python!$1:$1,0))/1000000,0)</f>
        <v>-58.475000000000001</v>
      </c>
      <c r="G7" s="52">
        <f>IFERROR(INDEX(Python!$1:$1048576,MATCH(DCF_Simple!G$1,Python!$A:$A,0),MATCH(DCF_Simple!$B7,Python!$1:$1,0))/1000000,0)</f>
        <v>177.142</v>
      </c>
      <c r="H7" s="52">
        <f>IFERROR(INDEX(Python!$1:$1048576,MATCH(DCF_Simple!H$1,Python!$A:$A,0),MATCH(DCF_Simple!$B7,Python!$1:$1,0))/1000000,0)</f>
        <v>364.24700000000001</v>
      </c>
      <c r="I7" s="52">
        <f>IFERROR(INDEX(Python!$1:$1048576,MATCH(DCF_Simple!I$1,Python!$A:$A,0),MATCH(DCF_Simple!$B7,Python!$1:$1,0))/1000000,0)</f>
        <v>542.74199999999996</v>
      </c>
      <c r="J7" s="52">
        <f>IFERROR(INDEX(Python!$1:$1048576,MATCH(DCF_Simple!J$1,Python!$A:$A,0),MATCH(DCF_Simple!$B7,Python!$1:$1,0))/1000000,0)</f>
        <v>798.49800000000005</v>
      </c>
      <c r="K7" s="57">
        <f>IFERROR(INDEX(Python!$1:$1048576,MATCH(DCF_Simple!K$1,Python!$A:$A,0),MATCH(DCF_Simple!$B7,Python!$1:$1,0))/1000000,0)</f>
        <v>1108.5150000000001</v>
      </c>
      <c r="L7" s="64">
        <f t="shared" ref="L7:U7" si="5">L8*L4</f>
        <v>1322.0794642425044</v>
      </c>
      <c r="M7" s="64">
        <f t="shared" si="5"/>
        <v>1487.2069393804527</v>
      </c>
      <c r="N7" s="64">
        <f t="shared" si="5"/>
        <v>1858.7106705094077</v>
      </c>
      <c r="O7" s="64">
        <f t="shared" si="5"/>
        <v>2323.0158932049835</v>
      </c>
      <c r="P7" s="64">
        <f t="shared" si="5"/>
        <v>2903.3043849713208</v>
      </c>
      <c r="Q7" s="64">
        <f t="shared" si="5"/>
        <v>3628.5487225678253</v>
      </c>
      <c r="R7" s="64">
        <f t="shared" si="5"/>
        <v>4534.9588214735732</v>
      </c>
      <c r="S7" s="64">
        <f t="shared" si="5"/>
        <v>5667.7898203629702</v>
      </c>
      <c r="T7" s="64">
        <f t="shared" si="5"/>
        <v>7083.6015744398555</v>
      </c>
      <c r="U7" s="64">
        <f t="shared" si="5"/>
        <v>8853.0825693521183</v>
      </c>
      <c r="V7" s="65">
        <f>U7</f>
        <v>8853.0825693521183</v>
      </c>
    </row>
    <row r="8" spans="2:22" s="1" customFormat="1" x14ac:dyDescent="0.25">
      <c r="B8" s="10" t="s">
        <v>20</v>
      </c>
      <c r="C8" s="42"/>
      <c r="D8" s="42" t="str">
        <f t="shared" ref="D8:K8" si="6">IFERROR(D7/D$4,"")</f>
        <v/>
      </c>
      <c r="E8" s="42" t="str">
        <f t="shared" si="6"/>
        <v/>
      </c>
      <c r="F8" s="42">
        <f t="shared" si="6"/>
        <v>-0.16658642409670132</v>
      </c>
      <c r="G8" s="42">
        <f t="shared" si="6"/>
        <v>0.27074465402268455</v>
      </c>
      <c r="H8" s="42">
        <f t="shared" si="6"/>
        <v>0.32009838987206507</v>
      </c>
      <c r="I8" s="42">
        <f t="shared" si="6"/>
        <v>0.29592573367763547</v>
      </c>
      <c r="J8" s="42">
        <f t="shared" si="6"/>
        <v>0.30218035879513561</v>
      </c>
      <c r="K8" s="58">
        <f t="shared" si="6"/>
        <v>0.3152542604252192</v>
      </c>
      <c r="L8" s="38">
        <f>AVERAGE(G8:K8)</f>
        <v>0.30084067935854797</v>
      </c>
      <c r="M8" s="38">
        <f t="shared" ref="M8:U8" si="7">L8</f>
        <v>0.30084067935854797</v>
      </c>
      <c r="N8" s="38">
        <f t="shared" si="7"/>
        <v>0.30084067935854797</v>
      </c>
      <c r="O8" s="38">
        <f t="shared" si="7"/>
        <v>0.30084067935854797</v>
      </c>
      <c r="P8" s="38">
        <f t="shared" si="7"/>
        <v>0.30084067935854797</v>
      </c>
      <c r="Q8" s="38">
        <f t="shared" si="7"/>
        <v>0.30084067935854797</v>
      </c>
      <c r="R8" s="38">
        <f t="shared" si="7"/>
        <v>0.30084067935854797</v>
      </c>
      <c r="S8" s="38">
        <f t="shared" si="7"/>
        <v>0.30084067935854797</v>
      </c>
      <c r="T8" s="38">
        <f t="shared" si="7"/>
        <v>0.30084067935854797</v>
      </c>
      <c r="U8" s="38">
        <f t="shared" si="7"/>
        <v>0.30084067935854797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8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7" t="s">
        <v>21</v>
      </c>
      <c r="C10" s="35"/>
      <c r="D10" s="17">
        <f>IFERROR(INDEX(Python!$1:$1048576,MATCH(DCF_Simple!D$1,Python!$A:$A,0),MATCH(DCF_Simple!$B10,Python!$1:$1,0))/1000000,0)</f>
        <v>0</v>
      </c>
      <c r="E10" s="17">
        <f>IFERROR(INDEX(Python!$1:$1048576,MATCH(DCF_Simple!E$1,Python!$A:$A,0),MATCH(DCF_Simple!$B10,Python!$1:$1,0))/1000000,0)</f>
        <v>171.202</v>
      </c>
      <c r="F10" s="17">
        <f>IFERROR(INDEX(Python!$1:$1048576,MATCH(DCF_Simple!F$1,Python!$A:$A,0),MATCH(DCF_Simple!$B10,Python!$1:$1,0))/1000000,0)</f>
        <v>130.09100000000001</v>
      </c>
      <c r="G10" s="17">
        <f>IFERROR(INDEX(Python!$1:$1048576,MATCH(DCF_Simple!G$1,Python!$A:$A,0),MATCH(DCF_Simple!$B10,Python!$1:$1,0))/1000000,0)</f>
        <v>216.69499999999999</v>
      </c>
      <c r="H10" s="17">
        <f>IFERROR(INDEX(Python!$1:$1048576,MATCH(DCF_Simple!H$1,Python!$A:$A,0),MATCH(DCF_Simple!$B10,Python!$1:$1,0))/1000000,0)</f>
        <v>226.36199999999999</v>
      </c>
      <c r="I10" s="17">
        <f>IFERROR(INDEX(Python!$1:$1048576,MATCH(DCF_Simple!I$1,Python!$A:$A,0),MATCH(DCF_Simple!$B10,Python!$1:$1,0))/1000000,0)</f>
        <v>232.554</v>
      </c>
      <c r="J10" s="17">
        <f>IFERROR(INDEX(Python!$1:$1048576,MATCH(DCF_Simple!J$1,Python!$A:$A,0),MATCH(DCF_Simple!$B10,Python!$1:$1,0))/1000000,0)</f>
        <v>242.14400000000001</v>
      </c>
      <c r="K10" s="69">
        <f>IFERROR(INDEX(Python!$1:$1048576,MATCH(DCF_Simple!K$1,Python!$A:$A,0),MATCH(DCF_Simple!$B10,Python!$1:$1,0))/1000000,0)</f>
        <v>251.26499999999999</v>
      </c>
      <c r="L10" s="17">
        <f t="shared" ref="L10:U10" si="8">K10*(1+L11)</f>
        <v>255.99728340367713</v>
      </c>
      <c r="M10" s="17">
        <f t="shared" si="8"/>
        <v>260.81869384937255</v>
      </c>
      <c r="N10" s="17">
        <f t="shared" si="8"/>
        <v>265.73090994103728</v>
      </c>
      <c r="O10" s="17">
        <f t="shared" si="8"/>
        <v>270.73564189717121</v>
      </c>
      <c r="P10" s="17">
        <f t="shared" si="8"/>
        <v>275.83463214624635</v>
      </c>
      <c r="Q10" s="17">
        <f t="shared" si="8"/>
        <v>281.02965593334392</v>
      </c>
      <c r="R10" s="17">
        <f t="shared" si="8"/>
        <v>286.32252193821711</v>
      </c>
      <c r="S10" s="17">
        <f t="shared" si="8"/>
        <v>291.71507290499403</v>
      </c>
      <c r="T10" s="17">
        <f t="shared" si="8"/>
        <v>297.20918628374068</v>
      </c>
      <c r="U10" s="17">
        <f t="shared" si="8"/>
        <v>302.80677488410657</v>
      </c>
      <c r="V10" s="70">
        <f>U10</f>
        <v>302.80677488410657</v>
      </c>
    </row>
    <row r="11" spans="2:22" s="1" customFormat="1" x14ac:dyDescent="0.25">
      <c r="B11" s="10" t="s">
        <v>22</v>
      </c>
      <c r="C11" s="42"/>
      <c r="D11" s="42"/>
      <c r="E11" s="42" t="str">
        <f t="shared" ref="E11:K11" si="9">IFERROR(E10/D10-1,"")</f>
        <v/>
      </c>
      <c r="F11" s="42">
        <f t="shared" si="9"/>
        <v>-0.24013154051938645</v>
      </c>
      <c r="G11" s="42">
        <f t="shared" si="9"/>
        <v>0.66571861235596597</v>
      </c>
      <c r="H11" s="42">
        <f t="shared" si="9"/>
        <v>4.461108931908897E-2</v>
      </c>
      <c r="I11" s="42">
        <f t="shared" si="9"/>
        <v>2.735441461022603E-2</v>
      </c>
      <c r="J11" s="42">
        <f t="shared" si="9"/>
        <v>4.1237734031665862E-2</v>
      </c>
      <c r="K11" s="58">
        <f t="shared" si="9"/>
        <v>3.7667668825161815E-2</v>
      </c>
      <c r="L11" s="67">
        <f>K11/2</f>
        <v>1.8833834412580908E-2</v>
      </c>
      <c r="M11" s="67">
        <f t="shared" ref="L11:U11" si="10">L11</f>
        <v>1.8833834412580908E-2</v>
      </c>
      <c r="N11" s="67">
        <f t="shared" si="10"/>
        <v>1.8833834412580908E-2</v>
      </c>
      <c r="O11" s="67">
        <f t="shared" si="10"/>
        <v>1.8833834412580908E-2</v>
      </c>
      <c r="P11" s="67">
        <f t="shared" si="10"/>
        <v>1.8833834412580908E-2</v>
      </c>
      <c r="Q11" s="67">
        <f t="shared" si="10"/>
        <v>1.8833834412580908E-2</v>
      </c>
      <c r="R11" s="67">
        <f t="shared" si="10"/>
        <v>1.8833834412580908E-2</v>
      </c>
      <c r="S11" s="67">
        <f t="shared" si="10"/>
        <v>1.8833834412580908E-2</v>
      </c>
      <c r="T11" s="67">
        <f t="shared" si="10"/>
        <v>1.8833834412580908E-2</v>
      </c>
      <c r="U11" s="67">
        <f t="shared" si="10"/>
        <v>1.8833834412580908E-2</v>
      </c>
      <c r="V11" s="68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8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9" t="s">
        <v>23</v>
      </c>
      <c r="C13" s="53"/>
      <c r="D13" s="53">
        <f t="shared" ref="D13:K13" si="11">IFERROR(D7/D10,0)</f>
        <v>0</v>
      </c>
      <c r="E13" s="53">
        <f t="shared" si="11"/>
        <v>0</v>
      </c>
      <c r="F13" s="53">
        <f t="shared" si="11"/>
        <v>-0.44949304717467004</v>
      </c>
      <c r="G13" s="53">
        <f t="shared" si="11"/>
        <v>0.81747156141120003</v>
      </c>
      <c r="H13" s="53">
        <f t="shared" si="11"/>
        <v>1.6091349254733569</v>
      </c>
      <c r="I13" s="53">
        <f t="shared" si="11"/>
        <v>2.3338321422121311</v>
      </c>
      <c r="J13" s="53">
        <f t="shared" si="11"/>
        <v>3.2976162944363687</v>
      </c>
      <c r="K13" s="59">
        <f t="shared" si="11"/>
        <v>4.4117366127395385</v>
      </c>
      <c r="L13" s="53">
        <f t="shared" ref="L13:U13" si="12">L7/L10</f>
        <v>5.1644277105774714</v>
      </c>
      <c r="M13" s="53">
        <f t="shared" si="12"/>
        <v>5.7020718777134176</v>
      </c>
      <c r="N13" s="53">
        <f t="shared" si="12"/>
        <v>6.9947100656142513</v>
      </c>
      <c r="O13" s="53">
        <f t="shared" si="12"/>
        <v>8.5803844552070245</v>
      </c>
      <c r="P13" s="53">
        <f t="shared" si="12"/>
        <v>10.525525248156661</v>
      </c>
      <c r="Q13" s="53">
        <f t="shared" si="12"/>
        <v>12.911622122287563</v>
      </c>
      <c r="R13" s="53">
        <f t="shared" si="12"/>
        <v>15.838638158028415</v>
      </c>
      <c r="S13" s="53">
        <f t="shared" si="12"/>
        <v>19.42919768910556</v>
      </c>
      <c r="T13" s="53">
        <f t="shared" si="12"/>
        <v>23.833723523193051</v>
      </c>
      <c r="U13" s="53">
        <f t="shared" si="12"/>
        <v>29.236738751107744</v>
      </c>
      <c r="V13" s="72">
        <f>U13*(1+WACC!$B$13)/(WACC!$B$14-WACC!$B$13)</f>
        <v>374.94132994489388</v>
      </c>
    </row>
    <row r="14" spans="2:22" ht="15.75" customHeight="1" thickBot="1" x14ac:dyDescent="0.3">
      <c r="B14" s="50" t="s">
        <v>24</v>
      </c>
      <c r="C14" s="51"/>
      <c r="D14" s="51"/>
      <c r="E14" s="51"/>
      <c r="F14" s="51"/>
      <c r="G14" s="51"/>
      <c r="H14" s="51"/>
      <c r="I14" s="51"/>
      <c r="J14" s="51"/>
      <c r="K14" s="60"/>
      <c r="L14" s="62">
        <f>L13/((1+WACC!$B$14)^(L3-$K$3))</f>
        <v>4.6969139327367539</v>
      </c>
      <c r="M14" s="62">
        <f>M13/((1+WACC!$B$14)^(M3-$K$3))</f>
        <v>4.7164310122996662</v>
      </c>
      <c r="N14" s="62">
        <f>N13/((1+WACC!$B$14)^(N3-$K$3))</f>
        <v>5.2618797112179223</v>
      </c>
      <c r="O14" s="62">
        <f>O13/((1+WACC!$B$14)^(O3-$K$3))</f>
        <v>5.8704087949389576</v>
      </c>
      <c r="P14" s="62">
        <f>P13/((1+WACC!$B$14)^(P3-$K$3))</f>
        <v>6.5493134223929461</v>
      </c>
      <c r="Q14" s="62">
        <f>Q13/((1+WACC!$B$14)^(Q3-$K$3))</f>
        <v>7.3067324275127294</v>
      </c>
      <c r="R14" s="62">
        <f>R13/((1+WACC!$B$14)^(R3-$K$3))</f>
        <v>8.1517458890766257</v>
      </c>
      <c r="S14" s="62">
        <f>S13/((1+WACC!$B$14)^(S3-$K$3))</f>
        <v>9.0944839843681127</v>
      </c>
      <c r="T14" s="62">
        <f>T13/((1+WACC!$B$14)^(T3-$K$3))</f>
        <v>10.14624843161014</v>
      </c>
      <c r="U14" s="62">
        <f>U13/((1+WACC!$B$14)^(U3-$K$3))</f>
        <v>11.319647977048357</v>
      </c>
      <c r="V14" s="63">
        <f>V13/((1+WACC!$B$14)^(U3-$K$3))</f>
        <v>145.16680205523028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145.16680205523028</v>
      </c>
      <c r="L17" s="16">
        <f>C17/$C$19</f>
        <v>0.66504671956791306</v>
      </c>
      <c r="O17" s="18"/>
    </row>
    <row r="18" spans="2:22" x14ac:dyDescent="0.25">
      <c r="B18" s="8" t="s">
        <v>26</v>
      </c>
      <c r="C18" s="32">
        <f>SUM(14:14)-V14</f>
        <v>73.113805583202208</v>
      </c>
      <c r="K18" s="3"/>
      <c r="L18" s="16">
        <f>C18/$C$19</f>
        <v>0.33495328043208689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25">
      <c r="B19" s="5" t="s">
        <v>27</v>
      </c>
      <c r="C19" s="33">
        <f>C17+C18</f>
        <v>218.28060763843249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1">
        <f>Python!C3/1000000/K10</f>
        <v>4.4117366127395385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2.9579845979344519</v>
      </c>
      <c r="F21" s="14"/>
      <c r="G21" s="14"/>
      <c r="H21" s="14"/>
    </row>
    <row r="22" spans="2:22" ht="15.75" customHeight="1" thickBot="1" x14ac:dyDescent="0.3">
      <c r="B22" s="34" t="s">
        <v>30</v>
      </c>
      <c r="C22" s="61">
        <f>C19+C20-C21</f>
        <v>219.73435965323756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9"/>
  <sheetViews>
    <sheetView workbookViewId="0"/>
  </sheetViews>
  <sheetFormatPr defaultRowHeight="15" x14ac:dyDescent="0.25"/>
  <sheetData>
    <row r="1" spans="1:6" x14ac:dyDescent="0.25">
      <c r="A1" s="73" t="s">
        <v>31</v>
      </c>
      <c r="B1" s="73" t="s">
        <v>17</v>
      </c>
      <c r="C1" s="73" t="s">
        <v>19</v>
      </c>
      <c r="D1" s="73" t="s">
        <v>21</v>
      </c>
      <c r="E1" s="73" t="s">
        <v>28</v>
      </c>
      <c r="F1" s="73" t="s">
        <v>32</v>
      </c>
    </row>
    <row r="2" spans="1:6" x14ac:dyDescent="0.25">
      <c r="A2" s="73" t="s">
        <v>33</v>
      </c>
      <c r="F2">
        <v>0.24979962188968649</v>
      </c>
    </row>
    <row r="3" spans="1:6" x14ac:dyDescent="0.25">
      <c r="A3" s="73" t="s">
        <v>34</v>
      </c>
      <c r="B3">
        <v>3516257000</v>
      </c>
      <c r="C3">
        <v>1108515000</v>
      </c>
      <c r="D3">
        <v>251265000</v>
      </c>
      <c r="E3">
        <v>4038536000</v>
      </c>
      <c r="F3">
        <v>0.31218398471350112</v>
      </c>
    </row>
    <row r="4" spans="1:6" x14ac:dyDescent="0.25">
      <c r="A4" s="73" t="s">
        <v>35</v>
      </c>
      <c r="B4">
        <v>3284011000</v>
      </c>
      <c r="C4">
        <v>1024435000</v>
      </c>
      <c r="D4">
        <v>250164000</v>
      </c>
      <c r="E4">
        <v>3702437000</v>
      </c>
      <c r="F4">
        <v>0.30607708567963271</v>
      </c>
    </row>
    <row r="5" spans="1:6" x14ac:dyDescent="0.25">
      <c r="A5" s="73" t="s">
        <v>36</v>
      </c>
      <c r="B5">
        <v>3055555000</v>
      </c>
      <c r="C5">
        <v>929095000</v>
      </c>
      <c r="D5">
        <v>247936000</v>
      </c>
      <c r="E5">
        <v>3474660000</v>
      </c>
      <c r="F5">
        <v>0.31654943698057791</v>
      </c>
    </row>
    <row r="6" spans="1:6" x14ac:dyDescent="0.25">
      <c r="A6" s="73" t="s">
        <v>37</v>
      </c>
      <c r="B6">
        <v>2847587000</v>
      </c>
      <c r="C6">
        <v>864019000</v>
      </c>
      <c r="D6">
        <v>243799000</v>
      </c>
      <c r="E6">
        <v>3166394000</v>
      </c>
      <c r="F6">
        <v>0.4440454343567195</v>
      </c>
    </row>
    <row r="7" spans="1:6" x14ac:dyDescent="0.25">
      <c r="A7" s="73" t="s">
        <v>38</v>
      </c>
      <c r="B7">
        <v>2642455000</v>
      </c>
      <c r="C7">
        <v>798498000</v>
      </c>
      <c r="D7">
        <v>242144000</v>
      </c>
      <c r="E7">
        <v>3167215000</v>
      </c>
      <c r="F7">
        <v>0.35312704964748409</v>
      </c>
    </row>
    <row r="8" spans="1:6" x14ac:dyDescent="0.25">
      <c r="A8" s="73" t="s">
        <v>39</v>
      </c>
      <c r="B8">
        <v>2445982000</v>
      </c>
      <c r="C8">
        <v>745464000</v>
      </c>
      <c r="D8">
        <v>240598000</v>
      </c>
      <c r="E8">
        <v>2929677000</v>
      </c>
      <c r="F8">
        <v>0.38852560502138012</v>
      </c>
    </row>
    <row r="9" spans="1:6" x14ac:dyDescent="0.25">
      <c r="A9" s="73" t="s">
        <v>40</v>
      </c>
      <c r="B9">
        <v>2241236000</v>
      </c>
      <c r="C9">
        <v>674570000</v>
      </c>
      <c r="D9">
        <v>235027000</v>
      </c>
      <c r="E9">
        <v>2705369000</v>
      </c>
      <c r="F9">
        <v>0.4498967541356349</v>
      </c>
    </row>
    <row r="10" spans="1:6" x14ac:dyDescent="0.25">
      <c r="A10" s="73" t="s">
        <v>41</v>
      </c>
      <c r="B10">
        <v>2034879000</v>
      </c>
      <c r="C10">
        <v>593996000</v>
      </c>
      <c r="D10">
        <v>233785000</v>
      </c>
      <c r="E10">
        <v>2466551000</v>
      </c>
    </row>
    <row r="11" spans="1:6" x14ac:dyDescent="0.25">
      <c r="A11" s="73" t="s">
        <v>42</v>
      </c>
      <c r="B11">
        <v>1834048000</v>
      </c>
      <c r="C11">
        <v>542742000</v>
      </c>
      <c r="D11">
        <v>232554000</v>
      </c>
      <c r="E11">
        <v>2318858000</v>
      </c>
    </row>
    <row r="12" spans="1:6" x14ac:dyDescent="0.25">
      <c r="A12" s="73" t="s">
        <v>43</v>
      </c>
      <c r="B12">
        <v>1636585000</v>
      </c>
      <c r="C12">
        <v>480624000</v>
      </c>
      <c r="D12">
        <v>231179000</v>
      </c>
      <c r="E12">
        <v>2152736000</v>
      </c>
      <c r="F12">
        <v>0.57582942977054108</v>
      </c>
    </row>
    <row r="13" spans="1:6" x14ac:dyDescent="0.25">
      <c r="A13" s="73" t="s">
        <v>44</v>
      </c>
      <c r="B13">
        <v>1451594000</v>
      </c>
      <c r="C13">
        <v>441095000</v>
      </c>
      <c r="D13">
        <v>229662000</v>
      </c>
      <c r="E13">
        <v>1996633000</v>
      </c>
      <c r="F13">
        <v>0.55083059989657612</v>
      </c>
    </row>
    <row r="14" spans="1:6" x14ac:dyDescent="0.25">
      <c r="A14" s="73" t="s">
        <v>45</v>
      </c>
      <c r="B14">
        <v>1285513000</v>
      </c>
      <c r="C14">
        <v>410975000</v>
      </c>
      <c r="D14">
        <v>228293000</v>
      </c>
      <c r="E14">
        <v>1907508000</v>
      </c>
      <c r="F14">
        <v>0.21392009377957491</v>
      </c>
    </row>
    <row r="15" spans="1:6" x14ac:dyDescent="0.25">
      <c r="A15" s="73" t="s">
        <v>46</v>
      </c>
      <c r="B15">
        <v>1137922000</v>
      </c>
      <c r="C15">
        <v>364247000</v>
      </c>
      <c r="D15">
        <v>226362000</v>
      </c>
      <c r="E15">
        <v>1787051000</v>
      </c>
      <c r="F15">
        <v>0.40017515115268049</v>
      </c>
    </row>
    <row r="16" spans="1:6" x14ac:dyDescent="0.25">
      <c r="A16" s="73" t="s">
        <v>47</v>
      </c>
      <c r="B16">
        <v>999203000</v>
      </c>
      <c r="C16">
        <v>323025000</v>
      </c>
      <c r="D16">
        <v>224153000</v>
      </c>
      <c r="E16">
        <v>1684997000</v>
      </c>
      <c r="F16">
        <v>0.40301145565426388</v>
      </c>
    </row>
    <row r="17" spans="1:6" x14ac:dyDescent="0.25">
      <c r="A17" s="73" t="s">
        <v>48</v>
      </c>
      <c r="B17">
        <v>874438000</v>
      </c>
      <c r="C17">
        <v>292723000</v>
      </c>
      <c r="D17">
        <v>221700000</v>
      </c>
      <c r="E17">
        <v>1918608000</v>
      </c>
      <c r="F17">
        <v>0.61651991006449314</v>
      </c>
    </row>
    <row r="18" spans="1:6" x14ac:dyDescent="0.25">
      <c r="A18" s="73" t="s">
        <v>49</v>
      </c>
      <c r="B18">
        <v>761618000</v>
      </c>
      <c r="C18">
        <v>246189000</v>
      </c>
      <c r="D18">
        <v>219401000</v>
      </c>
      <c r="E18">
        <v>1059926000</v>
      </c>
    </row>
    <row r="19" spans="1:6" x14ac:dyDescent="0.25">
      <c r="A19" s="73" t="s">
        <v>50</v>
      </c>
      <c r="B19">
        <v>654277000</v>
      </c>
      <c r="C19">
        <v>177142000</v>
      </c>
      <c r="D19">
        <v>216695000</v>
      </c>
      <c r="E19">
        <v>1064734000</v>
      </c>
      <c r="F19">
        <v>-0.38650547600547602</v>
      </c>
    </row>
    <row r="20" spans="1:6" x14ac:dyDescent="0.25">
      <c r="A20" s="73" t="s">
        <v>51</v>
      </c>
      <c r="B20">
        <v>563414000</v>
      </c>
      <c r="C20">
        <v>115567000</v>
      </c>
      <c r="D20">
        <v>213129000</v>
      </c>
      <c r="E20">
        <v>1004991000</v>
      </c>
      <c r="F20">
        <v>4.5604775336448888</v>
      </c>
    </row>
    <row r="21" spans="1:6" x14ac:dyDescent="0.25">
      <c r="A21" s="73" t="s">
        <v>52</v>
      </c>
      <c r="B21">
        <v>481413000</v>
      </c>
      <c r="C21">
        <v>12456000</v>
      </c>
      <c r="D21">
        <v>207565000</v>
      </c>
      <c r="E21">
        <v>912064000</v>
      </c>
      <c r="F21">
        <v>6.5624386302902247</v>
      </c>
    </row>
    <row r="22" spans="1:6" x14ac:dyDescent="0.25">
      <c r="A22" s="73" t="s">
        <v>53</v>
      </c>
      <c r="B22">
        <v>409759000</v>
      </c>
      <c r="C22">
        <v>-38351000</v>
      </c>
      <c r="D22">
        <v>204096000</v>
      </c>
      <c r="E22">
        <v>833688000</v>
      </c>
      <c r="F22">
        <v>2.2312887208303831</v>
      </c>
    </row>
    <row r="23" spans="1:6" x14ac:dyDescent="0.25">
      <c r="A23" s="73" t="s">
        <v>54</v>
      </c>
      <c r="B23">
        <v>351019000</v>
      </c>
      <c r="C23">
        <v>-58475000</v>
      </c>
      <c r="D23">
        <v>130091000</v>
      </c>
      <c r="E23">
        <v>826811000</v>
      </c>
      <c r="F23">
        <v>1.4799913825604569</v>
      </c>
    </row>
    <row r="24" spans="1:6" x14ac:dyDescent="0.25">
      <c r="A24" s="73" t="s">
        <v>55</v>
      </c>
      <c r="B24">
        <v>298612000</v>
      </c>
      <c r="C24">
        <v>-64974000</v>
      </c>
      <c r="D24">
        <v>196688971</v>
      </c>
      <c r="E24">
        <v>175059000</v>
      </c>
    </row>
    <row r="25" spans="1:6" x14ac:dyDescent="0.25">
      <c r="A25" s="73" t="s">
        <v>56</v>
      </c>
      <c r="B25">
        <v>249824000</v>
      </c>
      <c r="C25">
        <v>-65613000</v>
      </c>
      <c r="D25">
        <v>171202000</v>
      </c>
      <c r="E25">
        <v>191655000</v>
      </c>
    </row>
    <row r="26" spans="1:6" x14ac:dyDescent="0.25">
      <c r="A26" s="73" t="s">
        <v>57</v>
      </c>
      <c r="B26">
        <v>208086000</v>
      </c>
      <c r="C26">
        <v>-75652000</v>
      </c>
      <c r="D26">
        <v>171202000</v>
      </c>
      <c r="E26">
        <v>191429000</v>
      </c>
    </row>
    <row r="27" spans="1:6" x14ac:dyDescent="0.25">
      <c r="A27" s="73" t="s">
        <v>58</v>
      </c>
      <c r="D27">
        <v>171202000</v>
      </c>
    </row>
    <row r="28" spans="1:6" x14ac:dyDescent="0.25">
      <c r="A28" s="73" t="s">
        <v>59</v>
      </c>
      <c r="D28">
        <v>171202000</v>
      </c>
      <c r="E28">
        <v>65772000</v>
      </c>
    </row>
    <row r="29" spans="1:6" x14ac:dyDescent="0.25">
      <c r="A29" s="73" t="s">
        <v>60</v>
      </c>
      <c r="D29">
        <v>43055000</v>
      </c>
      <c r="E29">
        <v>65772000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61</v>
      </c>
      <c r="B1" s="27" t="s">
        <v>62</v>
      </c>
      <c r="C1" t="s">
        <v>63</v>
      </c>
      <c r="D1" t="s">
        <v>64</v>
      </c>
      <c r="F1" s="27" t="s">
        <v>62</v>
      </c>
      <c r="G1" t="s">
        <v>63</v>
      </c>
      <c r="H1" t="s">
        <v>64</v>
      </c>
      <c r="J1" t="s">
        <v>65</v>
      </c>
      <c r="K1" t="s">
        <v>63</v>
      </c>
      <c r="L1" t="s">
        <v>64</v>
      </c>
      <c r="N1" t="s">
        <v>66</v>
      </c>
      <c r="O1" t="s">
        <v>63</v>
      </c>
      <c r="P1" t="s">
        <v>64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34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35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36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37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67</v>
      </c>
    </row>
    <row r="7" spans="1:46" x14ac:dyDescent="0.25">
      <c r="A7" s="27" t="s">
        <v>38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68</v>
      </c>
    </row>
    <row r="8" spans="1:46" x14ac:dyDescent="0.25">
      <c r="A8" s="27" t="s">
        <v>39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40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69</v>
      </c>
    </row>
    <row r="10" spans="1:46" x14ac:dyDescent="0.25">
      <c r="A10" s="27" t="s">
        <v>41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70</v>
      </c>
    </row>
    <row r="11" spans="1:46" x14ac:dyDescent="0.25">
      <c r="A11" s="27" t="s">
        <v>42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43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44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45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71</v>
      </c>
    </row>
    <row r="15" spans="1:46" x14ac:dyDescent="0.25">
      <c r="A15" s="27" t="s">
        <v>46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47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48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49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50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51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52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53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54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55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56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57</v>
      </c>
      <c r="J26">
        <v>0.61799999999999999</v>
      </c>
      <c r="N26">
        <v>-0.36399999999999999</v>
      </c>
    </row>
    <row r="27" spans="1:17" x14ac:dyDescent="0.25">
      <c r="A27" s="27" t="s">
        <v>58</v>
      </c>
    </row>
    <row r="28" spans="1:17" x14ac:dyDescent="0.25">
      <c r="A28" s="27" t="s">
        <v>59</v>
      </c>
    </row>
    <row r="29" spans="1:17" x14ac:dyDescent="0.25">
      <c r="A29" s="27" t="s">
        <v>60</v>
      </c>
    </row>
    <row r="31" spans="1:17" x14ac:dyDescent="0.25">
      <c r="A31" s="26" t="s">
        <v>72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73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3" t="s">
        <v>74</v>
      </c>
      <c r="C1" s="73" t="s">
        <v>75</v>
      </c>
      <c r="D1" s="73" t="s">
        <v>11</v>
      </c>
      <c r="E1" s="73" t="s">
        <v>9</v>
      </c>
    </row>
    <row r="2" spans="1:5" x14ac:dyDescent="0.25">
      <c r="A2" s="73">
        <v>0</v>
      </c>
      <c r="B2">
        <v>3</v>
      </c>
      <c r="C2" t="s">
        <v>76</v>
      </c>
      <c r="D2">
        <v>0.8886292320763175</v>
      </c>
      <c r="E2">
        <v>0.1023109618681631</v>
      </c>
    </row>
    <row r="3" spans="1:5" x14ac:dyDescent="0.25">
      <c r="A3" s="73">
        <v>1</v>
      </c>
      <c r="B3">
        <v>3</v>
      </c>
      <c r="C3" t="s">
        <v>77</v>
      </c>
      <c r="D3">
        <v>1.702487846928386</v>
      </c>
      <c r="E3">
        <v>0.15849976293497181</v>
      </c>
    </row>
    <row r="4" spans="1:5" x14ac:dyDescent="0.25">
      <c r="A4" s="73">
        <v>2</v>
      </c>
      <c r="B4">
        <v>3</v>
      </c>
      <c r="C4" t="s">
        <v>78</v>
      </c>
      <c r="D4">
        <v>1.6684754213632931</v>
      </c>
      <c r="E4">
        <v>0.15615154497794501</v>
      </c>
    </row>
    <row r="5" spans="1:5" x14ac:dyDescent="0.25">
      <c r="A5" s="73">
        <v>3</v>
      </c>
      <c r="B5">
        <v>5</v>
      </c>
      <c r="C5" t="s">
        <v>76</v>
      </c>
      <c r="D5">
        <v>1.1076230581448989</v>
      </c>
      <c r="E5">
        <v>0.11743029623813039</v>
      </c>
    </row>
    <row r="6" spans="1:5" x14ac:dyDescent="0.25">
      <c r="A6" s="73">
        <v>4</v>
      </c>
      <c r="B6">
        <v>5</v>
      </c>
      <c r="C6" t="s">
        <v>77</v>
      </c>
      <c r="D6">
        <v>1.0931863466654519</v>
      </c>
      <c r="E6">
        <v>0.1164335856368363</v>
      </c>
    </row>
    <row r="7" spans="1:5" x14ac:dyDescent="0.25">
      <c r="A7" s="73">
        <v>5</v>
      </c>
      <c r="B7">
        <v>5</v>
      </c>
      <c r="C7" t="s">
        <v>78</v>
      </c>
      <c r="D7">
        <v>1.1720859299348809</v>
      </c>
      <c r="E7">
        <v>0.12188081308848139</v>
      </c>
    </row>
    <row r="8" spans="1:5" x14ac:dyDescent="0.25">
      <c r="A8" s="73">
        <v>6</v>
      </c>
      <c r="B8" t="s">
        <v>72</v>
      </c>
      <c r="D8">
        <v>1.2720813058522049</v>
      </c>
      <c r="E8">
        <v>0.12878449412408799</v>
      </c>
    </row>
    <row r="9" spans="1:5" x14ac:dyDescent="0.25">
      <c r="A9" s="73">
        <v>7</v>
      </c>
      <c r="B9" t="s">
        <v>73</v>
      </c>
      <c r="D9">
        <v>1.13985449403989</v>
      </c>
      <c r="E9">
        <v>0.11965555466330589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2024-10-17T21:24:28Z</dcterms:modified>
</cp:coreProperties>
</file>