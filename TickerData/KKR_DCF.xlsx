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5" documentId="11_0BC0B0A4F61C809597C0C100A62E22FCDC794311" xr6:coauthVersionLast="47" xr6:coauthVersionMax="47" xr10:uidLastSave="{26377B8A-8560-453A-9D23-9239C36C8546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O32" i="5"/>
  <c r="O31" i="5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P3" i="5"/>
  <c r="O3" i="5"/>
  <c r="L3" i="5"/>
  <c r="K3" i="5"/>
  <c r="K32" i="5" s="1"/>
  <c r="H3" i="5"/>
  <c r="G3" i="5"/>
  <c r="G32" i="5" s="1"/>
  <c r="D3" i="5"/>
  <c r="C3" i="5"/>
  <c r="R2" i="5"/>
  <c r="H2" i="5"/>
  <c r="G2" i="5"/>
  <c r="G31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K10" i="3"/>
  <c r="C21" i="3" s="1"/>
  <c r="I10" i="3"/>
  <c r="I11" i="3" s="1"/>
  <c r="H10" i="3"/>
  <c r="L5" i="3"/>
  <c r="N5" i="3" s="1"/>
  <c r="O5" i="3" s="1"/>
  <c r="P5" i="3" s="1"/>
  <c r="Q5" i="3" s="1"/>
  <c r="R5" i="3" s="1"/>
  <c r="S5" i="3" s="1"/>
  <c r="T5" i="3" s="1"/>
  <c r="U5" i="3" s="1"/>
  <c r="J4" i="3"/>
  <c r="J5" i="3" s="1"/>
  <c r="I4" i="3"/>
  <c r="D4" i="3"/>
  <c r="K3" i="3"/>
  <c r="D3" i="3"/>
  <c r="K1" i="3"/>
  <c r="K4" i="3" s="1"/>
  <c r="J1" i="3"/>
  <c r="J10" i="3" s="1"/>
  <c r="J11" i="3" s="1"/>
  <c r="I1" i="3"/>
  <c r="I7" i="3" s="1"/>
  <c r="H1" i="3"/>
  <c r="H7" i="3" s="1"/>
  <c r="G1" i="3"/>
  <c r="G3" i="3" s="1"/>
  <c r="F1" i="3"/>
  <c r="F3" i="3" s="1"/>
  <c r="E1" i="3"/>
  <c r="E4" i="3" s="1"/>
  <c r="E5" i="3" s="1"/>
  <c r="D1" i="3"/>
  <c r="D10" i="3" s="1"/>
  <c r="I8" i="3" l="1"/>
  <c r="I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I5" i="3"/>
  <c r="H13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F7" i="3"/>
  <c r="F4" i="3"/>
  <c r="F5" i="3" s="1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I3" i="3"/>
  <c r="G4" i="3"/>
  <c r="G5" i="3" s="1"/>
  <c r="K7" i="3"/>
  <c r="F10" i="3"/>
  <c r="F11" i="3" s="1"/>
  <c r="C31" i="5"/>
  <c r="H3" i="3"/>
  <c r="J7" i="3"/>
  <c r="E10" i="3"/>
  <c r="E11" i="3" s="1"/>
  <c r="L1" i="3"/>
  <c r="J3" i="3"/>
  <c r="H4" i="3"/>
  <c r="D7" i="3"/>
  <c r="G10" i="3"/>
  <c r="G11" i="3" s="1"/>
  <c r="E3" i="3"/>
  <c r="G7" i="3"/>
  <c r="C20" i="3"/>
  <c r="E7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F8" i="3" l="1"/>
  <c r="F13" i="3"/>
  <c r="H11" i="3"/>
  <c r="D13" i="3"/>
  <c r="D8" i="3"/>
  <c r="H5" i="3"/>
  <c r="K13" i="3"/>
  <c r="K8" i="3"/>
  <c r="H8" i="3"/>
  <c r="M1" i="3"/>
  <c r="L3" i="3"/>
  <c r="E8" i="3"/>
  <c r="E13" i="3"/>
  <c r="G13" i="3"/>
  <c r="G8" i="3"/>
  <c r="J8" i="3"/>
  <c r="J13" i="3"/>
  <c r="M3" i="3" l="1"/>
  <c r="N1" i="3"/>
  <c r="M8" i="3" l="1"/>
  <c r="L7" i="3"/>
  <c r="L13" i="3" s="1"/>
  <c r="L14" i="3" s="1"/>
  <c r="O1" i="3"/>
  <c r="N3" i="3"/>
  <c r="O3" i="3" l="1"/>
  <c r="P1" i="3"/>
  <c r="N8" i="3"/>
  <c r="M7" i="3"/>
  <c r="M13" i="3" s="1"/>
  <c r="M14" i="3" s="1"/>
  <c r="Q1" i="3" l="1"/>
  <c r="P3" i="3"/>
  <c r="O8" i="3"/>
  <c r="N7" i="3"/>
  <c r="N13" i="3" s="1"/>
  <c r="N14" i="3" s="1"/>
  <c r="O7" i="3" l="1"/>
  <c r="O13" i="3" s="1"/>
  <c r="O14" i="3" s="1"/>
  <c r="P8" i="3"/>
  <c r="Q3" i="3"/>
  <c r="R1" i="3"/>
  <c r="R3" i="3" l="1"/>
  <c r="S1" i="3"/>
  <c r="P7" i="3"/>
  <c r="P13" i="3" s="1"/>
  <c r="P14" i="3" s="1"/>
  <c r="Q8" i="3"/>
  <c r="Q7" i="3" l="1"/>
  <c r="Q13" i="3" s="1"/>
  <c r="Q14" i="3" s="1"/>
  <c r="R8" i="3"/>
  <c r="S3" i="3"/>
  <c r="T1" i="3"/>
  <c r="R7" i="3" l="1"/>
  <c r="R13" i="3" s="1"/>
  <c r="R14" i="3" s="1"/>
  <c r="S8" i="3"/>
  <c r="T3" i="3"/>
  <c r="U1" i="3"/>
  <c r="U3" i="3" s="1"/>
  <c r="T8" i="3" l="1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/>
  <c r="L1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<sst xmlns="http://schemas.openxmlformats.org/spreadsheetml/2006/main" count="160" uniqueCount="141">
  <si>
    <t>This sheet contains FactSet XML data for use with this workbook's =FDS codes.  Modifying the worksheet's contents may damage the workbook's =FDS functionality.</t>
  </si>
  <si>
    <t>KKR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</si>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</sst>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289939212000</v>
      </c>
    </row>
    <row r="3" spans="1:2" x14ac:dyDescent="0.25">
      <c r="A3" s="73" t="s">
        <v>3</v>
      </c>
      <c r="B3">
        <v>49094456000</v>
      </c>
    </row>
    <row r="4" spans="1:2" x14ac:dyDescent="0.25">
      <c r="A4" s="73" t="s">
        <v>4</v>
      </c>
      <c r="B4">
        <v>0.45616463839253291</v>
      </c>
    </row>
    <row r="5" spans="1:2" x14ac:dyDescent="0.25">
      <c r="A5" s="73" t="s">
        <v>5</v>
      </c>
      <c r="B5">
        <v>5.0645800006420279E-2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58529967000</v>
      </c>
    </row>
    <row r="8" spans="1:2" x14ac:dyDescent="0.25">
      <c r="A8" s="73" t="s">
        <v>8</v>
      </c>
      <c r="B8">
        <v>0.54383536160746715</v>
      </c>
    </row>
    <row r="9" spans="1:2" x14ac:dyDescent="0.25">
      <c r="A9" s="73" t="s">
        <v>9</v>
      </c>
      <c r="B9">
        <v>0.15318658083822581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1.623452873579208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0.1015595097899312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I17" sqref="I17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2017-06-30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2816.2710000000002</v>
      </c>
      <c r="E4" s="36">
        <f>IFERROR(INDEX(Python!$1:$1048576,MATCH(DCF_Simple!E$1,Python!$A:$A,0),MATCH(DCF_Simple!$B4,Python!$1:$1,0))/1000000,0)</f>
        <v>3078.7510000000002</v>
      </c>
      <c r="F4" s="36">
        <f>IFERROR(INDEX(Python!$1:$1048576,MATCH(DCF_Simple!F$1,Python!$A:$A,0),MATCH(DCF_Simple!$B4,Python!$1:$1,0))/1000000,0)</f>
        <v>3318.9540000000002</v>
      </c>
      <c r="G4" s="36">
        <f>IFERROR(INDEX(Python!$1:$1048576,MATCH(DCF_Simple!G$1,Python!$A:$A,0),MATCH(DCF_Simple!$B4,Python!$1:$1,0))/1000000,0)</f>
        <v>2184.0450000000001</v>
      </c>
      <c r="H4" s="36">
        <f>IFERROR(INDEX(Python!$1:$1048576,MATCH(DCF_Simple!H$1,Python!$A:$A,0),MATCH(DCF_Simple!$B4,Python!$1:$1,0))/1000000,0)</f>
        <v>11599.589</v>
      </c>
      <c r="I4" s="36">
        <f>IFERROR(INDEX(Python!$1:$1048576,MATCH(DCF_Simple!I$1,Python!$A:$A,0),MATCH(DCF_Simple!$B4,Python!$1:$1,0))/1000000,0)</f>
        <v>9831.8590000000004</v>
      </c>
      <c r="J4" s="36">
        <f>IFERROR(INDEX(Python!$1:$1048576,MATCH(DCF_Simple!J$1,Python!$A:$A,0),MATCH(DCF_Simple!$B4,Python!$1:$1,0))/1000000,0)</f>
        <v>11141.108</v>
      </c>
      <c r="K4" s="55">
        <f>IFERROR(INDEX(Python!$1:$1048576,MATCH(DCF_Simple!K$1,Python!$A:$A,0),MATCH(DCF_Simple!$B4,Python!$1:$1,0))/1000000,0)</f>
        <v>23883.485999</v>
      </c>
      <c r="L4" s="37">
        <f t="shared" ref="L4:U4" si="2">K4*(1+L5)</f>
        <v>13614.828936768408</v>
      </c>
      <c r="M4" s="36">
        <f t="shared" si="2"/>
        <v>16337.79472412209</v>
      </c>
      <c r="N4" s="36">
        <f t="shared" si="2"/>
        <v>19605.353668946507</v>
      </c>
      <c r="O4" s="36">
        <f t="shared" si="2"/>
        <v>23526.424402735807</v>
      </c>
      <c r="P4" s="36">
        <f t="shared" si="2"/>
        <v>28231.709283282969</v>
      </c>
      <c r="Q4" s="36">
        <f t="shared" si="2"/>
        <v>33878.051139939562</v>
      </c>
      <c r="R4" s="36">
        <f t="shared" si="2"/>
        <v>40653.661367927474</v>
      </c>
      <c r="S4" s="36">
        <f t="shared" si="2"/>
        <v>48784.393641512965</v>
      </c>
      <c r="T4" s="36">
        <f t="shared" si="2"/>
        <v>58541.272369815553</v>
      </c>
      <c r="U4" s="36">
        <f t="shared" si="2"/>
        <v>70249.526843778658</v>
      </c>
      <c r="V4" s="19">
        <f>U4</f>
        <v>70249.526843778658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9.3201257975528584E-2</v>
      </c>
      <c r="F5" s="42">
        <f t="shared" si="3"/>
        <v>7.80196254909864E-2</v>
      </c>
      <c r="G5" s="42">
        <f t="shared" si="3"/>
        <v>-0.34194779439546319</v>
      </c>
      <c r="H5" s="42">
        <f t="shared" si="3"/>
        <v>4.3110576934083316</v>
      </c>
      <c r="I5" s="42">
        <f t="shared" si="3"/>
        <v>-0.152395916786362</v>
      </c>
      <c r="J5" s="42">
        <f t="shared" si="3"/>
        <v>0.13316393166338125</v>
      </c>
      <c r="K5" s="58">
        <f t="shared" si="3"/>
        <v>1.1437262791995195</v>
      </c>
      <c r="L5" s="43">
        <f>Python!F2</f>
        <v>-0.42994800100209579</v>
      </c>
      <c r="M5" s="43">
        <v>0.2</v>
      </c>
      <c r="N5" s="38">
        <f t="shared" ref="N5:U5" si="4">M5</f>
        <v>0.2</v>
      </c>
      <c r="O5" s="38">
        <f t="shared" si="4"/>
        <v>0.2</v>
      </c>
      <c r="P5" s="38">
        <f t="shared" si="4"/>
        <v>0.2</v>
      </c>
      <c r="Q5" s="38">
        <f t="shared" si="4"/>
        <v>0.2</v>
      </c>
      <c r="R5" s="38">
        <f t="shared" si="4"/>
        <v>0.2</v>
      </c>
      <c r="S5" s="38">
        <f t="shared" si="4"/>
        <v>0.2</v>
      </c>
      <c r="T5" s="38">
        <f t="shared" si="4"/>
        <v>0.2</v>
      </c>
      <c r="U5" s="38">
        <f t="shared" si="4"/>
        <v>0.2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-2343.9</v>
      </c>
      <c r="E7" s="52">
        <f>IFERROR(INDEX(Python!$1:$1048576,MATCH(DCF_Simple!E$1,Python!$A:$A,0),MATCH(DCF_Simple!$B7,Python!$1:$1,0))/1000000,0)</f>
        <v>-6398.82</v>
      </c>
      <c r="F7" s="52">
        <f>IFERROR(INDEX(Python!$1:$1048576,MATCH(DCF_Simple!F$1,Python!$A:$A,0),MATCH(DCF_Simple!$B7,Python!$1:$1,0))/1000000,0)</f>
        <v>-6387.165</v>
      </c>
      <c r="G7" s="52">
        <f>IFERROR(INDEX(Python!$1:$1048576,MATCH(DCF_Simple!G$1,Python!$A:$A,0),MATCH(DCF_Simple!$B7,Python!$1:$1,0))/1000000,0)</f>
        <v>-5444.1270000000004</v>
      </c>
      <c r="H7" s="52">
        <f>IFERROR(INDEX(Python!$1:$1048576,MATCH(DCF_Simple!H$1,Python!$A:$A,0),MATCH(DCF_Simple!$B7,Python!$1:$1,0))/1000000,0)</f>
        <v>-4650.384</v>
      </c>
      <c r="I7" s="52">
        <f>IFERROR(INDEX(Python!$1:$1048576,MATCH(DCF_Simple!I$1,Python!$A:$A,0),MATCH(DCF_Simple!$B7,Python!$1:$1,0))/1000000,0)</f>
        <v>-9102.7289999999994</v>
      </c>
      <c r="J7" s="52">
        <f>IFERROR(INDEX(Python!$1:$1048576,MATCH(DCF_Simple!J$1,Python!$A:$A,0),MATCH(DCF_Simple!$B7,Python!$1:$1,0))/1000000,0)</f>
        <v>-6817.241</v>
      </c>
      <c r="K7" s="57">
        <f>IFERROR(INDEX(Python!$1:$1048576,MATCH(DCF_Simple!K$1,Python!$A:$A,0),MATCH(DCF_Simple!$B7,Python!$1:$1,0))/1000000,0)</f>
        <v>8899.2109990000008</v>
      </c>
      <c r="L7" s="64">
        <f t="shared" ref="L7:U7" si="5">L8*L4</f>
        <v>2536.5065097420434</v>
      </c>
      <c r="M7" s="64">
        <f t="shared" si="5"/>
        <v>3043.8078116904521</v>
      </c>
      <c r="N7" s="64">
        <f t="shared" si="5"/>
        <v>3652.5693740285424</v>
      </c>
      <c r="O7" s="64">
        <f t="shared" si="5"/>
        <v>4383.0832488342503</v>
      </c>
      <c r="P7" s="64">
        <f t="shared" si="5"/>
        <v>5259.6998986011004</v>
      </c>
      <c r="Q7" s="64">
        <f t="shared" si="5"/>
        <v>6311.6398783213208</v>
      </c>
      <c r="R7" s="64">
        <f t="shared" si="5"/>
        <v>7573.967853985584</v>
      </c>
      <c r="S7" s="64">
        <f t="shared" si="5"/>
        <v>9088.7614247827005</v>
      </c>
      <c r="T7" s="64">
        <f t="shared" si="5"/>
        <v>10906.51370973924</v>
      </c>
      <c r="U7" s="64">
        <f t="shared" si="5"/>
        <v>13087.816451687087</v>
      </c>
      <c r="V7" s="65">
        <f>U7</f>
        <v>13087.816451687087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-0.83227075803429429</v>
      </c>
      <c r="E8" s="42">
        <f t="shared" si="6"/>
        <v>-2.0783817853408735</v>
      </c>
      <c r="F8" s="42">
        <f t="shared" si="6"/>
        <v>-1.9244511975761036</v>
      </c>
      <c r="G8" s="42">
        <f t="shared" si="6"/>
        <v>-2.4926807826761812</v>
      </c>
      <c r="H8" s="42">
        <f t="shared" si="6"/>
        <v>-0.40090937704775576</v>
      </c>
      <c r="I8" s="42">
        <f t="shared" si="6"/>
        <v>-0.92584006747859171</v>
      </c>
      <c r="J8" s="42">
        <f t="shared" si="6"/>
        <v>-0.6118997320553754</v>
      </c>
      <c r="K8" s="58">
        <f t="shared" si="6"/>
        <v>0.37260938371277164</v>
      </c>
      <c r="L8" s="38">
        <f>K8/2</f>
        <v>0.18630469185638582</v>
      </c>
      <c r="M8" s="38">
        <f t="shared" ref="M8:U8" si="7">L8</f>
        <v>0.18630469185638582</v>
      </c>
      <c r="N8" s="38">
        <f t="shared" si="7"/>
        <v>0.18630469185638582</v>
      </c>
      <c r="O8" s="38">
        <f t="shared" si="7"/>
        <v>0.18630469185638582</v>
      </c>
      <c r="P8" s="38">
        <f t="shared" si="7"/>
        <v>0.18630469185638582</v>
      </c>
      <c r="Q8" s="38">
        <f t="shared" si="7"/>
        <v>0.18630469185638582</v>
      </c>
      <c r="R8" s="38">
        <f t="shared" si="7"/>
        <v>0.18630469185638582</v>
      </c>
      <c r="S8" s="38">
        <f t="shared" si="7"/>
        <v>0.18630469185638582</v>
      </c>
      <c r="T8" s="38">
        <f t="shared" si="7"/>
        <v>0.18630469185638582</v>
      </c>
      <c r="U8" s="38">
        <f t="shared" si="7"/>
        <v>0.18630469185638582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501.17742299999998</v>
      </c>
      <c r="E10" s="17">
        <f>IFERROR(INDEX(Python!$1:$1048576,MATCH(DCF_Simple!E$1,Python!$A:$A,0),MATCH(DCF_Simple!$B10,Python!$1:$1,0))/1000000,0)</f>
        <v>548.745498</v>
      </c>
      <c r="F10" s="17">
        <f>IFERROR(INDEX(Python!$1:$1048576,MATCH(DCF_Simple!F$1,Python!$A:$A,0),MATCH(DCF_Simple!$B10,Python!$1:$1,0))/1000000,0)</f>
        <v>554.64381000000003</v>
      </c>
      <c r="G10" s="17">
        <f>IFERROR(INDEX(Python!$1:$1048576,MATCH(DCF_Simple!G$1,Python!$A:$A,0),MATCH(DCF_Simple!$B10,Python!$1:$1,0))/1000000,0)</f>
        <v>565.61113799999998</v>
      </c>
      <c r="H10" s="17">
        <f>IFERROR(INDEX(Python!$1:$1048576,MATCH(DCF_Simple!H$1,Python!$A:$A,0),MATCH(DCF_Simple!$B10,Python!$1:$1,0))/1000000,0)</f>
        <v>630.39035999999999</v>
      </c>
      <c r="I10" s="17">
        <f>IFERROR(INDEX(Python!$1:$1048576,MATCH(DCF_Simple!I$1,Python!$A:$A,0),MATCH(DCF_Simple!$B10,Python!$1:$1,0))/1000000,0)</f>
        <v>680.74704699999995</v>
      </c>
      <c r="J10" s="17">
        <f>IFERROR(INDEX(Python!$1:$1048576,MATCH(DCF_Simple!J$1,Python!$A:$A,0),MATCH(DCF_Simple!$B10,Python!$1:$1,0))/1000000,0)</f>
        <v>912.14788099999998</v>
      </c>
      <c r="K10" s="69">
        <f>IFERROR(INDEX(Python!$1:$1048576,MATCH(DCF_Simple!K$1,Python!$A:$A,0),MATCH(DCF_Simple!$B10,Python!$1:$1,0))/1000000,0)</f>
        <v>932.04638599999998</v>
      </c>
      <c r="L10" s="17">
        <f t="shared" ref="L10:U10" si="8">K10*(1+L11)</f>
        <v>952.37897686423617</v>
      </c>
      <c r="M10" s="17">
        <f t="shared" si="8"/>
        <v>973.15512317534944</v>
      </c>
      <c r="N10" s="17">
        <f t="shared" si="8"/>
        <v>994.38450109491544</v>
      </c>
      <c r="O10" s="17">
        <f t="shared" si="8"/>
        <v>1016.0769978699639</v>
      </c>
      <c r="P10" s="17">
        <f t="shared" si="8"/>
        <v>1038.2427164378071</v>
      </c>
      <c r="Q10" s="17">
        <f t="shared" si="8"/>
        <v>1060.8919801313236</v>
      </c>
      <c r="R10" s="17">
        <f t="shared" si="8"/>
        <v>1084.0353374868871</v>
      </c>
      <c r="S10" s="17">
        <f t="shared" si="8"/>
        <v>1107.6835671571805</v>
      </c>
      <c r="T10" s="17">
        <f t="shared" si="8"/>
        <v>1131.847682931183</v>
      </c>
      <c r="U10" s="17">
        <f t="shared" si="8"/>
        <v>1156.5389388636677</v>
      </c>
      <c r="V10" s="70">
        <f>U10</f>
        <v>1156.5389388636677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9.4912645336779233E-2</v>
      </c>
      <c r="F11" s="42">
        <f t="shared" si="9"/>
        <v>1.0748720529822009E-2</v>
      </c>
      <c r="G11" s="42">
        <f t="shared" si="9"/>
        <v>1.9773641753975335E-2</v>
      </c>
      <c r="H11" s="42">
        <f t="shared" si="9"/>
        <v>0.11452960814926527</v>
      </c>
      <c r="I11" s="42">
        <f t="shared" si="9"/>
        <v>7.9881752950663687E-2</v>
      </c>
      <c r="J11" s="42">
        <f t="shared" si="9"/>
        <v>0.33992190641114894</v>
      </c>
      <c r="K11" s="58">
        <f t="shared" si="9"/>
        <v>2.1814998877358605E-2</v>
      </c>
      <c r="L11" s="67">
        <f t="shared" ref="L11:U11" si="10">K11</f>
        <v>2.1814998877358605E-2</v>
      </c>
      <c r="M11" s="67">
        <f t="shared" si="10"/>
        <v>2.1814998877358605E-2</v>
      </c>
      <c r="N11" s="67">
        <f t="shared" si="10"/>
        <v>2.1814998877358605E-2</v>
      </c>
      <c r="O11" s="67">
        <f t="shared" si="10"/>
        <v>2.1814998877358605E-2</v>
      </c>
      <c r="P11" s="67">
        <f t="shared" si="10"/>
        <v>2.1814998877358605E-2</v>
      </c>
      <c r="Q11" s="67">
        <f t="shared" si="10"/>
        <v>2.1814998877358605E-2</v>
      </c>
      <c r="R11" s="67">
        <f t="shared" si="10"/>
        <v>2.1814998877358605E-2</v>
      </c>
      <c r="S11" s="67">
        <f t="shared" si="10"/>
        <v>2.1814998877358605E-2</v>
      </c>
      <c r="T11" s="67">
        <f t="shared" si="10"/>
        <v>2.1814998877358605E-2</v>
      </c>
      <c r="U11" s="67">
        <f t="shared" si="10"/>
        <v>2.1814998877358605E-2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-4.6767868871060463</v>
      </c>
      <c r="E13" s="53">
        <f t="shared" si="11"/>
        <v>-11.660815484266625</v>
      </c>
      <c r="F13" s="53">
        <f t="shared" si="11"/>
        <v>-11.515796056571874</v>
      </c>
      <c r="G13" s="53">
        <f t="shared" si="11"/>
        <v>-9.6252118005497991</v>
      </c>
      <c r="H13" s="53">
        <f t="shared" si="11"/>
        <v>-7.3769909806361884</v>
      </c>
      <c r="I13" s="53">
        <f t="shared" si="11"/>
        <v>-13.371676072801238</v>
      </c>
      <c r="J13" s="53">
        <f t="shared" si="11"/>
        <v>-7.4738330724686515</v>
      </c>
      <c r="K13" s="59">
        <f t="shared" si="11"/>
        <v>9.5480344462169295</v>
      </c>
      <c r="L13" s="53">
        <f t="shared" ref="L13:U13" si="12">L7/L10</f>
        <v>2.6633373597699945</v>
      </c>
      <c r="M13" s="53">
        <f t="shared" si="12"/>
        <v>3.1277724786143875</v>
      </c>
      <c r="N13" s="53">
        <f t="shared" si="12"/>
        <v>3.6731962032862571</v>
      </c>
      <c r="O13" s="53">
        <f t="shared" si="12"/>
        <v>4.3137313983316758</v>
      </c>
      <c r="P13" s="53">
        <f t="shared" si="12"/>
        <v>5.0659636858778461</v>
      </c>
      <c r="Q13" s="53">
        <f t="shared" si="12"/>
        <v>5.9493709034731586</v>
      </c>
      <c r="R13" s="53">
        <f t="shared" si="12"/>
        <v>6.9868274511643413</v>
      </c>
      <c r="S13" s="53">
        <f t="shared" si="12"/>
        <v>8.2051965870619465</v>
      </c>
      <c r="T13" s="53">
        <f t="shared" si="12"/>
        <v>9.6360260079291624</v>
      </c>
      <c r="U13" s="53">
        <f t="shared" si="12"/>
        <v>11.316364725727469</v>
      </c>
      <c r="V13" s="71">
        <f>U13*(1+WACC!$B$13)/(WACC!$B$14-WACC!$B$13)</f>
        <v>141.52478417258712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2.4177879961091677</v>
      </c>
      <c r="M14" s="62">
        <f>M13/((1+WACC!$B$14)^(M3-$K$3))</f>
        <v>2.5776219759517036</v>
      </c>
      <c r="N14" s="62">
        <f>N13/((1+WACC!$B$14)^(N3-$K$3))</f>
        <v>2.7480221845758424</v>
      </c>
      <c r="O14" s="62">
        <f>O13/((1+WACC!$B$14)^(O3-$K$3))</f>
        <v>2.9296871292124957</v>
      </c>
      <c r="P14" s="62">
        <f>P13/((1+WACC!$B$14)^(P3-$K$3))</f>
        <v>3.1233614936766427</v>
      </c>
      <c r="Q14" s="62">
        <f>Q13/((1+WACC!$B$14)^(Q3-$K$3))</f>
        <v>3.3298391909870091</v>
      </c>
      <c r="R14" s="62">
        <f>R13/((1+WACC!$B$14)^(R3-$K$3))</f>
        <v>3.5499666177868692</v>
      </c>
      <c r="S14" s="62">
        <f>S13/((1+WACC!$B$14)^(S3-$K$3))</f>
        <v>3.7846461239065627</v>
      </c>
      <c r="T14" s="62">
        <f>T13/((1+WACC!$B$14)^(T3-$K$3))</f>
        <v>4.0348397112901848</v>
      </c>
      <c r="U14" s="62">
        <f>U13/((1+WACC!$B$14)^(U3-$K$3))</f>
        <v>4.301572977449184</v>
      </c>
      <c r="V14" s="63">
        <f>V13/((1+WACC!$B$14)^(U3-$K$3))</f>
        <v>53.796356161275412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53.796356161275412</v>
      </c>
      <c r="L17" s="16">
        <f>C17/$C$19</f>
        <v>0.62125022017473819</v>
      </c>
      <c r="O17" s="18"/>
    </row>
    <row r="18" spans="2:22" x14ac:dyDescent="0.25">
      <c r="B18" s="8" t="s">
        <v>26</v>
      </c>
      <c r="C18" s="32">
        <f>SUM(14:14)-V14</f>
        <v>32.797345400945659</v>
      </c>
      <c r="K18" s="3"/>
      <c r="L18" s="16">
        <f>C18/$C$19</f>
        <v>0.37874977982526181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86.593701562221071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17.241385451818061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52.673833338590939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51.161253675448194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-0.42994800100209579</v>
      </c>
    </row>
    <row r="3" spans="1:6" x14ac:dyDescent="0.25">
      <c r="A3" s="73" t="s">
        <v>34</v>
      </c>
      <c r="B3">
        <v>23883485999</v>
      </c>
      <c r="C3">
        <v>8899210999</v>
      </c>
      <c r="D3">
        <v>932046386</v>
      </c>
      <c r="E3">
        <v>16069771000</v>
      </c>
      <c r="F3">
        <v>-0.54053616747524758</v>
      </c>
    </row>
    <row r="4" spans="1:6" x14ac:dyDescent="0.25">
      <c r="A4" s="73" t="s">
        <v>35</v>
      </c>
      <c r="B4">
        <v>23234658000</v>
      </c>
      <c r="C4">
        <v>3580900999</v>
      </c>
      <c r="D4">
        <v>925141166</v>
      </c>
      <c r="E4">
        <v>16165528000</v>
      </c>
      <c r="F4">
        <v>-0.52336297794839426</v>
      </c>
    </row>
    <row r="5" spans="1:6" x14ac:dyDescent="0.25">
      <c r="A5" s="73" t="s">
        <v>36</v>
      </c>
      <c r="B5">
        <v>16363214000</v>
      </c>
      <c r="C5">
        <v>-593792001</v>
      </c>
      <c r="D5">
        <v>912002464</v>
      </c>
      <c r="E5">
        <v>20348567000</v>
      </c>
      <c r="F5">
        <v>-0.36225602534113438</v>
      </c>
    </row>
    <row r="6" spans="1:6" x14ac:dyDescent="0.25">
      <c r="A6" s="73" t="s">
        <v>37</v>
      </c>
      <c r="B6">
        <v>12555835000</v>
      </c>
      <c r="C6">
        <v>-3354124000</v>
      </c>
      <c r="D6">
        <v>909056980</v>
      </c>
      <c r="E6">
        <v>87979924000</v>
      </c>
    </row>
    <row r="7" spans="1:6" x14ac:dyDescent="0.25">
      <c r="A7" s="73" t="s">
        <v>38</v>
      </c>
      <c r="B7">
        <v>11141108000</v>
      </c>
      <c r="C7">
        <v>-6817241000</v>
      </c>
      <c r="D7">
        <v>912147881</v>
      </c>
      <c r="E7">
        <v>10306480000</v>
      </c>
    </row>
    <row r="8" spans="1:6" x14ac:dyDescent="0.25">
      <c r="A8" s="73" t="s">
        <v>39</v>
      </c>
      <c r="B8">
        <v>7805471000</v>
      </c>
      <c r="C8">
        <v>-8225340000</v>
      </c>
      <c r="D8">
        <v>887169336</v>
      </c>
      <c r="E8">
        <v>9289503000</v>
      </c>
      <c r="F8">
        <v>0.41276492330309139</v>
      </c>
    </row>
    <row r="9" spans="1:6" x14ac:dyDescent="0.25">
      <c r="A9" s="73" t="s">
        <v>40</v>
      </c>
      <c r="B9">
        <v>5682006000</v>
      </c>
      <c r="C9">
        <v>-5364315000</v>
      </c>
      <c r="D9">
        <v>886268828</v>
      </c>
      <c r="E9">
        <v>12823556000</v>
      </c>
      <c r="F9">
        <v>-0.65170924778887684</v>
      </c>
    </row>
    <row r="10" spans="1:6" x14ac:dyDescent="0.25">
      <c r="A10" s="73" t="s">
        <v>41</v>
      </c>
      <c r="B10">
        <v>7206907000</v>
      </c>
      <c r="C10">
        <v>-8328051000</v>
      </c>
      <c r="D10">
        <v>859833444</v>
      </c>
      <c r="E10">
        <v>11058837000</v>
      </c>
    </row>
    <row r="11" spans="1:6" x14ac:dyDescent="0.25">
      <c r="A11" s="73" t="s">
        <v>42</v>
      </c>
      <c r="B11">
        <v>9831859000</v>
      </c>
      <c r="C11">
        <v>-9102729000</v>
      </c>
      <c r="D11">
        <v>680747047</v>
      </c>
      <c r="E11">
        <v>11851176000</v>
      </c>
    </row>
    <row r="12" spans="1:6" x14ac:dyDescent="0.25">
      <c r="A12" s="73" t="s">
        <v>43</v>
      </c>
      <c r="B12">
        <v>12677159000</v>
      </c>
      <c r="C12">
        <v>-6272934000</v>
      </c>
      <c r="D12">
        <v>592202835</v>
      </c>
      <c r="E12">
        <v>12914929000</v>
      </c>
      <c r="F12">
        <v>-0.60621134401313514</v>
      </c>
    </row>
    <row r="13" spans="1:6" x14ac:dyDescent="0.25">
      <c r="A13" s="73" t="s">
        <v>44</v>
      </c>
      <c r="B13">
        <v>16236148000</v>
      </c>
      <c r="C13">
        <v>-7278757000</v>
      </c>
      <c r="D13">
        <v>637416100</v>
      </c>
      <c r="E13">
        <v>10091602000</v>
      </c>
      <c r="F13">
        <v>-0.1246850631669031</v>
      </c>
    </row>
    <row r="14" spans="1:6" x14ac:dyDescent="0.25">
      <c r="A14" s="73" t="s">
        <v>45</v>
      </c>
      <c r="B14">
        <v>14187716000</v>
      </c>
      <c r="C14">
        <v>-5489279000</v>
      </c>
      <c r="D14">
        <v>637416100</v>
      </c>
      <c r="E14">
        <v>11973622000</v>
      </c>
      <c r="F14">
        <v>-0.24822106774980229</v>
      </c>
    </row>
    <row r="15" spans="1:6" x14ac:dyDescent="0.25">
      <c r="A15" s="73" t="s">
        <v>46</v>
      </c>
      <c r="B15">
        <v>11599589000</v>
      </c>
      <c r="C15">
        <v>-4650384000</v>
      </c>
      <c r="D15">
        <v>630390360</v>
      </c>
      <c r="E15">
        <v>11662284000</v>
      </c>
      <c r="F15">
        <v>2.3916023645752071E-2</v>
      </c>
    </row>
    <row r="16" spans="1:6" x14ac:dyDescent="0.25">
      <c r="A16" s="73" t="s">
        <v>47</v>
      </c>
      <c r="B16">
        <v>9795402000</v>
      </c>
      <c r="C16">
        <v>-4756122000</v>
      </c>
      <c r="D16">
        <v>620888491</v>
      </c>
      <c r="E16">
        <v>10498736000</v>
      </c>
      <c r="F16">
        <v>-2.0796651040184519</v>
      </c>
    </row>
    <row r="17" spans="1:6" x14ac:dyDescent="0.25">
      <c r="A17" s="73" t="s">
        <v>48</v>
      </c>
      <c r="B17">
        <v>4230891000</v>
      </c>
      <c r="C17">
        <v>-6107079000</v>
      </c>
      <c r="D17">
        <v>609833753</v>
      </c>
      <c r="E17">
        <v>5363009000</v>
      </c>
      <c r="F17">
        <v>-7.6759689616215709E-2</v>
      </c>
    </row>
    <row r="18" spans="1:6" x14ac:dyDescent="0.25">
      <c r="A18" s="73" t="s">
        <v>49</v>
      </c>
      <c r="B18">
        <v>3288798000</v>
      </c>
      <c r="C18">
        <v>-6471720000</v>
      </c>
      <c r="D18">
        <v>589116387</v>
      </c>
      <c r="E18">
        <v>4363105000</v>
      </c>
      <c r="F18">
        <v>0.91805081690354662</v>
      </c>
    </row>
    <row r="19" spans="1:6" x14ac:dyDescent="0.25">
      <c r="A19" s="73" t="s">
        <v>50</v>
      </c>
      <c r="B19">
        <v>2184045000</v>
      </c>
      <c r="C19">
        <v>-5444127000</v>
      </c>
      <c r="D19">
        <v>565611138</v>
      </c>
      <c r="E19">
        <v>2454541000</v>
      </c>
      <c r="F19">
        <v>3.4860373737990218E-2</v>
      </c>
    </row>
    <row r="20" spans="1:6" x14ac:dyDescent="0.25">
      <c r="A20" s="73" t="s">
        <v>51</v>
      </c>
      <c r="B20">
        <v>2031915000</v>
      </c>
      <c r="C20">
        <v>-7477739000</v>
      </c>
      <c r="D20">
        <v>559149821</v>
      </c>
      <c r="E20">
        <v>1982292000</v>
      </c>
      <c r="F20">
        <v>-0.18641324485465019</v>
      </c>
    </row>
    <row r="21" spans="1:6" x14ac:dyDescent="0.25">
      <c r="A21" s="73" t="s">
        <v>52</v>
      </c>
      <c r="B21">
        <v>4220900000</v>
      </c>
      <c r="C21">
        <v>-5889517000</v>
      </c>
      <c r="D21">
        <v>566277984</v>
      </c>
      <c r="E21">
        <v>2346713000</v>
      </c>
      <c r="F21">
        <v>-7.0243613301433259</v>
      </c>
    </row>
    <row r="22" spans="1:6" x14ac:dyDescent="0.25">
      <c r="A22" s="73" t="s">
        <v>53</v>
      </c>
      <c r="B22">
        <v>2979773000</v>
      </c>
      <c r="C22">
        <v>-6078312000</v>
      </c>
      <c r="D22">
        <v>559532065</v>
      </c>
      <c r="E22">
        <v>2686985000</v>
      </c>
      <c r="F22">
        <v>-0.31464717713023138</v>
      </c>
    </row>
    <row r="23" spans="1:6" x14ac:dyDescent="0.25">
      <c r="A23" s="73" t="s">
        <v>54</v>
      </c>
      <c r="B23">
        <v>3318954000</v>
      </c>
      <c r="C23">
        <v>-6387165000</v>
      </c>
      <c r="D23">
        <v>554643810</v>
      </c>
      <c r="E23">
        <v>2143057000</v>
      </c>
      <c r="F23">
        <v>0.14106770651077569</v>
      </c>
    </row>
    <row r="24" spans="1:6" x14ac:dyDescent="0.25">
      <c r="A24" s="73" t="s">
        <v>55</v>
      </c>
      <c r="B24">
        <v>3110710000</v>
      </c>
      <c r="C24">
        <v>-5409160000</v>
      </c>
      <c r="D24">
        <v>550046440</v>
      </c>
      <c r="E24">
        <v>1808368000</v>
      </c>
      <c r="F24">
        <v>1.6596878731967011</v>
      </c>
    </row>
    <row r="25" spans="1:6" x14ac:dyDescent="0.25">
      <c r="A25" s="73" t="s">
        <v>56</v>
      </c>
      <c r="B25">
        <v>2395836000</v>
      </c>
      <c r="C25">
        <v>-7711702000</v>
      </c>
      <c r="D25">
        <v>532266521</v>
      </c>
      <c r="E25">
        <v>1751287000</v>
      </c>
      <c r="F25">
        <v>-0.83153820854501892</v>
      </c>
    </row>
    <row r="26" spans="1:6" x14ac:dyDescent="0.25">
      <c r="A26" s="73" t="s">
        <v>57</v>
      </c>
      <c r="B26">
        <v>3515540000</v>
      </c>
      <c r="C26">
        <v>-6747592000</v>
      </c>
      <c r="D26">
        <v>545672953</v>
      </c>
      <c r="E26">
        <v>2264875000</v>
      </c>
      <c r="F26">
        <v>0.54892571120126665</v>
      </c>
    </row>
    <row r="27" spans="1:6" x14ac:dyDescent="0.25">
      <c r="A27" s="73" t="s">
        <v>58</v>
      </c>
      <c r="B27">
        <v>3078751000</v>
      </c>
      <c r="C27">
        <v>-6398820000</v>
      </c>
      <c r="D27">
        <v>548745498</v>
      </c>
      <c r="E27">
        <v>2065172000</v>
      </c>
      <c r="F27">
        <v>-6.3674202715639172E-2</v>
      </c>
    </row>
    <row r="28" spans="1:6" x14ac:dyDescent="0.25">
      <c r="A28" s="73" t="s">
        <v>59</v>
      </c>
      <c r="B28">
        <v>3038919000</v>
      </c>
      <c r="C28">
        <v>-4754391000</v>
      </c>
      <c r="D28">
        <v>535918274</v>
      </c>
      <c r="E28">
        <v>1880834000</v>
      </c>
      <c r="F28">
        <v>-0.82711663631081411</v>
      </c>
    </row>
    <row r="29" spans="1:6" x14ac:dyDescent="0.25">
      <c r="A29" s="73" t="s">
        <v>60</v>
      </c>
      <c r="B29">
        <v>3282265000</v>
      </c>
      <c r="C29">
        <v>-3728151000</v>
      </c>
      <c r="D29">
        <v>520156583</v>
      </c>
      <c r="E29">
        <v>1876687000</v>
      </c>
      <c r="F29">
        <v>1.3042560174463891</v>
      </c>
    </row>
    <row r="30" spans="1:6" x14ac:dyDescent="0.25">
      <c r="A30" s="73" t="s">
        <v>61</v>
      </c>
      <c r="B30">
        <v>2822092000</v>
      </c>
      <c r="C30">
        <v>-3351942000</v>
      </c>
      <c r="D30">
        <v>506873177</v>
      </c>
      <c r="E30">
        <v>2436566000</v>
      </c>
      <c r="F30">
        <v>0.27304033441233311</v>
      </c>
    </row>
    <row r="31" spans="1:6" x14ac:dyDescent="0.25">
      <c r="A31" s="73" t="s">
        <v>62</v>
      </c>
      <c r="B31">
        <v>2816271000</v>
      </c>
      <c r="C31">
        <v>-2343900000</v>
      </c>
      <c r="D31">
        <v>501177423</v>
      </c>
      <c r="E31">
        <v>2131687000</v>
      </c>
      <c r="F31">
        <v>0.32586751439514389</v>
      </c>
    </row>
    <row r="32" spans="1:6" x14ac:dyDescent="0.25">
      <c r="A32" s="73" t="s">
        <v>63</v>
      </c>
      <c r="B32">
        <v>2461240000</v>
      </c>
      <c r="C32">
        <v>-2025680000</v>
      </c>
      <c r="D32">
        <v>496684340</v>
      </c>
      <c r="E32">
        <v>2758398000</v>
      </c>
      <c r="F32">
        <v>2.6277472067811192</v>
      </c>
    </row>
    <row r="33" spans="1:6" x14ac:dyDescent="0.25">
      <c r="A33" s="73" t="s">
        <v>64</v>
      </c>
      <c r="B33">
        <v>1908093000</v>
      </c>
      <c r="C33">
        <v>-1626967000</v>
      </c>
      <c r="D33">
        <v>484312804</v>
      </c>
      <c r="E33">
        <v>2508902000</v>
      </c>
      <c r="F33">
        <v>0.68098031001256798</v>
      </c>
    </row>
    <row r="34" spans="1:6" x14ac:dyDescent="0.25">
      <c r="A34" s="73" t="s">
        <v>65</v>
      </c>
      <c r="B34">
        <v>1734541000</v>
      </c>
      <c r="C34">
        <v>-2078582000</v>
      </c>
      <c r="D34">
        <v>479975675</v>
      </c>
      <c r="E34">
        <v>2196800000</v>
      </c>
      <c r="F34">
        <v>2.334827706678825</v>
      </c>
    </row>
    <row r="35" spans="1:6" x14ac:dyDescent="0.25">
      <c r="A35" s="73" t="s">
        <v>66</v>
      </c>
      <c r="B35">
        <v>1236111000</v>
      </c>
      <c r="C35">
        <v>-1994463000</v>
      </c>
      <c r="D35">
        <v>481809612</v>
      </c>
      <c r="E35">
        <v>1512475000</v>
      </c>
      <c r="F35">
        <v>-0.50994902178415935</v>
      </c>
    </row>
    <row r="36" spans="1:6" x14ac:dyDescent="0.25">
      <c r="A36" s="73" t="s">
        <v>67</v>
      </c>
      <c r="B36">
        <v>915228000</v>
      </c>
      <c r="C36">
        <v>-1517989000</v>
      </c>
      <c r="D36">
        <v>450262143</v>
      </c>
      <c r="E36">
        <v>2080306000</v>
      </c>
      <c r="F36">
        <v>-0.55545079888105175</v>
      </c>
    </row>
    <row r="37" spans="1:6" x14ac:dyDescent="0.25">
      <c r="A37" s="73" t="s">
        <v>68</v>
      </c>
      <c r="B37">
        <v>1043768000</v>
      </c>
      <c r="C37">
        <v>120026000</v>
      </c>
      <c r="D37">
        <v>450262143</v>
      </c>
      <c r="E37">
        <v>2519860000</v>
      </c>
      <c r="F37">
        <v>3.8799801825832141</v>
      </c>
    </row>
    <row r="38" spans="1:6" x14ac:dyDescent="0.25">
      <c r="A38" s="73" t="s">
        <v>69</v>
      </c>
      <c r="B38">
        <v>948789000</v>
      </c>
      <c r="C38">
        <v>1364102000</v>
      </c>
      <c r="D38">
        <v>452165697</v>
      </c>
      <c r="E38">
        <v>3037546000</v>
      </c>
      <c r="F38">
        <v>-0.55645849382773349</v>
      </c>
    </row>
    <row r="39" spans="1:6" x14ac:dyDescent="0.25">
      <c r="A39" s="73" t="s">
        <v>70</v>
      </c>
      <c r="B39">
        <v>1104931000</v>
      </c>
      <c r="C39">
        <v>298964000</v>
      </c>
      <c r="D39">
        <v>482651491</v>
      </c>
      <c r="E39">
        <v>3909812000</v>
      </c>
      <c r="F39">
        <v>-0.27700532943016398</v>
      </c>
    </row>
    <row r="40" spans="1:6" x14ac:dyDescent="0.25">
      <c r="A40" s="73" t="s">
        <v>71</v>
      </c>
      <c r="B40">
        <v>1098427000</v>
      </c>
      <c r="C40">
        <v>3044756000</v>
      </c>
      <c r="D40">
        <v>472225344</v>
      </c>
      <c r="E40">
        <v>2641905000</v>
      </c>
      <c r="F40">
        <v>-0.16245913853548391</v>
      </c>
    </row>
    <row r="41" spans="1:6" x14ac:dyDescent="0.25">
      <c r="A41" s="73" t="s">
        <v>72</v>
      </c>
      <c r="B41">
        <v>1110008000</v>
      </c>
      <c r="C41">
        <v>1242710000</v>
      </c>
      <c r="D41">
        <v>458982859</v>
      </c>
      <c r="E41">
        <v>2290855000</v>
      </c>
      <c r="F41">
        <v>7.5197108073738779</v>
      </c>
    </row>
    <row r="42" spans="1:6" x14ac:dyDescent="0.25">
      <c r="A42" s="73" t="s">
        <v>73</v>
      </c>
      <c r="B42">
        <v>1121966000</v>
      </c>
      <c r="C42">
        <v>2287385000</v>
      </c>
      <c r="D42">
        <v>452019742</v>
      </c>
      <c r="E42">
        <v>3224250000</v>
      </c>
      <c r="F42">
        <v>0.37902448779246273</v>
      </c>
    </row>
    <row r="43" spans="1:6" x14ac:dyDescent="0.25">
      <c r="A43" s="73" t="s">
        <v>74</v>
      </c>
      <c r="B43">
        <v>997226000</v>
      </c>
      <c r="C43">
        <v>2091689000</v>
      </c>
      <c r="D43">
        <v>410179838</v>
      </c>
      <c r="E43">
        <v>5060763000</v>
      </c>
      <c r="F43">
        <v>0.57154722435928251</v>
      </c>
    </row>
    <row r="44" spans="1:6" x14ac:dyDescent="0.25">
      <c r="A44" s="73" t="s">
        <v>75</v>
      </c>
      <c r="B44">
        <v>914232000</v>
      </c>
      <c r="C44">
        <v>149274000</v>
      </c>
      <c r="D44">
        <v>325104229</v>
      </c>
      <c r="E44">
        <v>2241976000</v>
      </c>
      <c r="F44">
        <v>0.78462751917482154</v>
      </c>
    </row>
    <row r="45" spans="1:6" x14ac:dyDescent="0.25">
      <c r="A45" s="73" t="s">
        <v>76</v>
      </c>
      <c r="B45">
        <v>762546000</v>
      </c>
      <c r="C45">
        <v>2563357000</v>
      </c>
      <c r="D45">
        <v>312340336</v>
      </c>
      <c r="E45">
        <v>1747191000</v>
      </c>
      <c r="F45">
        <v>9.0320896740813339E-2</v>
      </c>
    </row>
    <row r="46" spans="1:6" x14ac:dyDescent="0.25">
      <c r="A46" s="73" t="s">
        <v>77</v>
      </c>
      <c r="B46">
        <v>715265000</v>
      </c>
      <c r="C46">
        <v>3361730000</v>
      </c>
      <c r="D46">
        <v>308135191</v>
      </c>
      <c r="E46">
        <v>1549093000</v>
      </c>
      <c r="F46">
        <v>-0.93936621401723464</v>
      </c>
    </row>
    <row r="47" spans="1:6" x14ac:dyDescent="0.25">
      <c r="A47" s="73" t="s">
        <v>78</v>
      </c>
      <c r="B47">
        <v>3043714000</v>
      </c>
      <c r="C47">
        <v>5779842000</v>
      </c>
      <c r="D47">
        <v>298078764</v>
      </c>
      <c r="E47">
        <v>1632928000</v>
      </c>
      <c r="F47">
        <v>-0.8711212992131262</v>
      </c>
    </row>
    <row r="48" spans="1:6" x14ac:dyDescent="0.25">
      <c r="A48" s="73" t="s">
        <v>79</v>
      </c>
      <c r="B48">
        <v>4742313000</v>
      </c>
      <c r="C48">
        <v>7315611000</v>
      </c>
      <c r="D48">
        <v>282042521</v>
      </c>
      <c r="E48">
        <v>1971296000</v>
      </c>
      <c r="F48">
        <v>-0.95897542326613394</v>
      </c>
    </row>
    <row r="49" spans="1:6" x14ac:dyDescent="0.25">
      <c r="A49" s="73" t="s">
        <v>80</v>
      </c>
      <c r="B49">
        <v>8025378000</v>
      </c>
      <c r="C49">
        <v>6164785000</v>
      </c>
      <c r="D49">
        <v>268192128</v>
      </c>
      <c r="E49">
        <v>1817638000</v>
      </c>
      <c r="F49">
        <v>-6.322681257950622</v>
      </c>
    </row>
    <row r="50" spans="1:6" x14ac:dyDescent="0.25">
      <c r="A50" s="73" t="s">
        <v>81</v>
      </c>
      <c r="B50">
        <v>8772213000</v>
      </c>
      <c r="C50">
        <v>3476554000</v>
      </c>
      <c r="D50">
        <v>257646622</v>
      </c>
      <c r="E50">
        <v>1603438000</v>
      </c>
      <c r="F50">
        <v>-1.03692249712859</v>
      </c>
    </row>
    <row r="51" spans="1:6" x14ac:dyDescent="0.25">
      <c r="A51" s="73" t="s">
        <v>82</v>
      </c>
      <c r="B51">
        <v>3167746000</v>
      </c>
      <c r="C51">
        <v>293584000</v>
      </c>
      <c r="D51">
        <v>252507802</v>
      </c>
      <c r="E51">
        <v>1094406000</v>
      </c>
      <c r="F51">
        <v>-0.98421178670221543</v>
      </c>
    </row>
    <row r="52" spans="1:6" x14ac:dyDescent="0.25">
      <c r="A52" s="73" t="s">
        <v>83</v>
      </c>
      <c r="B52">
        <v>2842065000</v>
      </c>
      <c r="C52">
        <v>-1448696000</v>
      </c>
      <c r="D52">
        <v>237832106</v>
      </c>
      <c r="E52">
        <v>1079577000</v>
      </c>
      <c r="F52">
        <v>-0.9686392259528942</v>
      </c>
    </row>
    <row r="53" spans="1:6" x14ac:dyDescent="0.25">
      <c r="A53" s="73" t="s">
        <v>84</v>
      </c>
      <c r="B53">
        <v>2179736000</v>
      </c>
      <c r="C53">
        <v>-226791000</v>
      </c>
      <c r="D53">
        <v>229099335</v>
      </c>
      <c r="E53">
        <v>1774147000</v>
      </c>
      <c r="F53">
        <v>-0.86999730173676126</v>
      </c>
    </row>
    <row r="54" spans="1:6" x14ac:dyDescent="0.25">
      <c r="A54" s="73" t="s">
        <v>85</v>
      </c>
      <c r="B54">
        <v>4867233000</v>
      </c>
      <c r="C54">
        <v>449791000</v>
      </c>
      <c r="D54">
        <v>222733648</v>
      </c>
      <c r="E54">
        <v>1261021000</v>
      </c>
      <c r="F54">
        <v>-0.90350915028192103</v>
      </c>
    </row>
    <row r="55" spans="1:6" x14ac:dyDescent="0.25">
      <c r="A55" s="73" t="s">
        <v>86</v>
      </c>
      <c r="B55">
        <v>9743768000</v>
      </c>
      <c r="C55">
        <v>2870293000</v>
      </c>
      <c r="D55">
        <v>220213799</v>
      </c>
      <c r="E55">
        <v>1405730000</v>
      </c>
      <c r="F55">
        <v>-0.90040870590512867</v>
      </c>
    </row>
    <row r="56" spans="1:6" x14ac:dyDescent="0.25">
      <c r="A56" s="73" t="s">
        <v>87</v>
      </c>
      <c r="B56">
        <v>9516503000</v>
      </c>
      <c r="C56">
        <v>2121039000</v>
      </c>
      <c r="D56">
        <v>213509630</v>
      </c>
      <c r="E56">
        <v>1279768000</v>
      </c>
      <c r="F56">
        <v>-0.94867899770276098</v>
      </c>
    </row>
    <row r="57" spans="1:6" x14ac:dyDescent="0.25">
      <c r="A57" s="73" t="s">
        <v>88</v>
      </c>
      <c r="B57">
        <v>9614494000</v>
      </c>
      <c r="C57">
        <v>720315000</v>
      </c>
      <c r="D57">
        <v>213479630</v>
      </c>
      <c r="E57">
        <v>1434595000</v>
      </c>
      <c r="F57">
        <v>-0.95398424723197794</v>
      </c>
    </row>
    <row r="58" spans="1:6" x14ac:dyDescent="0.25">
      <c r="A58" s="73" t="s">
        <v>89</v>
      </c>
      <c r="B58">
        <v>8122105000</v>
      </c>
      <c r="C58">
        <v>1540482000</v>
      </c>
      <c r="D58">
        <v>204902226</v>
      </c>
      <c r="E58">
        <v>1301468000</v>
      </c>
      <c r="F58">
        <v>-0.97393514415445592</v>
      </c>
    </row>
    <row r="59" spans="1:6" x14ac:dyDescent="0.25">
      <c r="A59" s="73" t="s">
        <v>90</v>
      </c>
      <c r="B59">
        <v>10584258000</v>
      </c>
      <c r="C59">
        <v>148423000</v>
      </c>
      <c r="D59">
        <v>204902226</v>
      </c>
      <c r="E59">
        <v>959742000</v>
      </c>
      <c r="F59">
        <v>1.455042393853228</v>
      </c>
    </row>
    <row r="60" spans="1:6" x14ac:dyDescent="0.25">
      <c r="A60" s="73" t="s">
        <v>91</v>
      </c>
      <c r="B60">
        <v>11631321000</v>
      </c>
      <c r="C60">
        <v>-28449000</v>
      </c>
      <c r="D60">
        <v>204902226</v>
      </c>
      <c r="E60">
        <v>1002863000</v>
      </c>
      <c r="F60">
        <v>-10.45758228087686</v>
      </c>
    </row>
    <row r="61" spans="1:6" x14ac:dyDescent="0.25">
      <c r="A61" s="73" t="s">
        <v>92</v>
      </c>
      <c r="B61">
        <v>8085079000</v>
      </c>
      <c r="C61">
        <v>-368362000</v>
      </c>
      <c r="D61">
        <v>204902226</v>
      </c>
      <c r="E61">
        <v>828830000</v>
      </c>
    </row>
    <row r="62" spans="1:6" x14ac:dyDescent="0.25">
      <c r="A62" s="73" t="s">
        <v>93</v>
      </c>
      <c r="D62">
        <v>204902226</v>
      </c>
    </row>
    <row r="63" spans="1:6" x14ac:dyDescent="0.25">
      <c r="A63" s="73" t="s">
        <v>94</v>
      </c>
      <c r="D63">
        <v>204902226</v>
      </c>
    </row>
    <row r="64" spans="1:6" x14ac:dyDescent="0.25">
      <c r="A64" s="73" t="s">
        <v>94</v>
      </c>
      <c r="D64">
        <v>204902226</v>
      </c>
    </row>
    <row r="65" spans="1:4" x14ac:dyDescent="0.25">
      <c r="A65" s="73" t="s">
        <v>95</v>
      </c>
      <c r="D65">
        <v>204902226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96</v>
      </c>
      <c r="B1" s="27" t="s">
        <v>97</v>
      </c>
      <c r="C1" t="s">
        <v>98</v>
      </c>
      <c r="D1" t="s">
        <v>99</v>
      </c>
      <c r="F1" s="27" t="s">
        <v>97</v>
      </c>
      <c r="G1" t="s">
        <v>98</v>
      </c>
      <c r="H1" t="s">
        <v>99</v>
      </c>
      <c r="J1" t="s">
        <v>100</v>
      </c>
      <c r="K1" t="s">
        <v>98</v>
      </c>
      <c r="L1" t="s">
        <v>99</v>
      </c>
      <c r="N1" t="s">
        <v>101</v>
      </c>
      <c r="O1" t="s">
        <v>98</v>
      </c>
      <c r="P1" t="s">
        <v>99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102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103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104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105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106</v>
      </c>
    </row>
    <row r="7" spans="1:46" x14ac:dyDescent="0.25">
      <c r="A7" s="27" t="s">
        <v>107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108</v>
      </c>
    </row>
    <row r="8" spans="1:46" x14ac:dyDescent="0.25">
      <c r="A8" s="27" t="s">
        <v>109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110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111</v>
      </c>
    </row>
    <row r="10" spans="1:46" x14ac:dyDescent="0.25">
      <c r="A10" s="27" t="s">
        <v>112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113</v>
      </c>
    </row>
    <row r="11" spans="1:46" x14ac:dyDescent="0.25">
      <c r="A11" s="27" t="s">
        <v>114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115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116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117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118</v>
      </c>
    </row>
    <row r="15" spans="1:46" x14ac:dyDescent="0.25">
      <c r="A15" s="27" t="s">
        <v>119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120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121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122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123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124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125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126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127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128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129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130</v>
      </c>
      <c r="J26">
        <v>0.61799999999999999</v>
      </c>
      <c r="N26">
        <v>-0.36399999999999999</v>
      </c>
    </row>
    <row r="27" spans="1:17" x14ac:dyDescent="0.25">
      <c r="A27" s="27" t="s">
        <v>131</v>
      </c>
    </row>
    <row r="28" spans="1:17" x14ac:dyDescent="0.25">
      <c r="A28" s="27" t="s">
        <v>132</v>
      </c>
    </row>
    <row r="29" spans="1:17" x14ac:dyDescent="0.25">
      <c r="A29" s="27" t="s">
        <v>133</v>
      </c>
    </row>
    <row r="31" spans="1:17" x14ac:dyDescent="0.25">
      <c r="A31" s="26" t="s">
        <v>134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135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136</v>
      </c>
      <c r="C1" s="73" t="s">
        <v>137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138</v>
      </c>
      <c r="D2">
        <v>1.9715919597087901</v>
      </c>
      <c r="E2">
        <v>0.17730217549378741</v>
      </c>
    </row>
    <row r="3" spans="1:5" x14ac:dyDescent="0.25">
      <c r="A3" s="73">
        <v>1</v>
      </c>
      <c r="B3">
        <v>3</v>
      </c>
      <c r="C3" t="s">
        <v>139</v>
      </c>
      <c r="D3">
        <v>1.677758906382341</v>
      </c>
      <c r="E3">
        <v>0.15694835975535809</v>
      </c>
    </row>
    <row r="4" spans="1:5" x14ac:dyDescent="0.25">
      <c r="A4" s="73">
        <v>2</v>
      </c>
      <c r="B4">
        <v>3</v>
      </c>
      <c r="C4" t="s">
        <v>140</v>
      </c>
      <c r="D4">
        <v>1.632534612026932</v>
      </c>
      <c r="E4">
        <v>0.15381567286465689</v>
      </c>
    </row>
    <row r="5" spans="1:5" x14ac:dyDescent="0.25">
      <c r="A5" s="73">
        <v>3</v>
      </c>
      <c r="B5">
        <v>5</v>
      </c>
      <c r="C5" t="s">
        <v>138</v>
      </c>
      <c r="D5">
        <v>1.6143711351314849</v>
      </c>
      <c r="E5">
        <v>0.15255748881179471</v>
      </c>
    </row>
    <row r="6" spans="1:5" x14ac:dyDescent="0.25">
      <c r="A6" s="73">
        <v>4</v>
      </c>
      <c r="B6">
        <v>5</v>
      </c>
      <c r="C6" t="s">
        <v>139</v>
      </c>
      <c r="D6">
        <v>1.5609019995584741</v>
      </c>
      <c r="E6">
        <v>0.148853681766176</v>
      </c>
    </row>
    <row r="7" spans="1:5" x14ac:dyDescent="0.25">
      <c r="A7" s="73">
        <v>5</v>
      </c>
      <c r="B7">
        <v>5</v>
      </c>
      <c r="C7" t="s">
        <v>140</v>
      </c>
      <c r="D7">
        <v>1.3992386808050239</v>
      </c>
      <c r="E7">
        <v>0.13765526360212099</v>
      </c>
    </row>
    <row r="8" spans="1:5" x14ac:dyDescent="0.25">
      <c r="A8" s="73">
        <v>6</v>
      </c>
      <c r="B8" t="s">
        <v>134</v>
      </c>
      <c r="D8">
        <v>1.642732882268841</v>
      </c>
      <c r="E8">
        <v>0.15452210704898239</v>
      </c>
    </row>
    <row r="9" spans="1:5" x14ac:dyDescent="0.25">
      <c r="A9" s="73">
        <v>7</v>
      </c>
      <c r="B9" t="s">
        <v>135</v>
      </c>
      <c r="D9">
        <v>1.623452873579208</v>
      </c>
      <c r="E9">
        <v>0.15318658083822581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2024-10-18T20:48:24Z</dcterms:modified>
</cp:coreProperties>
</file>