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6" documentId="11_A863A1AB6EC027DDBAA6CCE4869E3E7F75BB8E7A" xr6:coauthVersionLast="47" xr6:coauthVersionMax="47" xr10:uidLastSave="{320C454B-2E1C-4623-A544-507F765EF395}"/>
  <bookViews>
    <workbookView xWindow="-120" yWindow="-120" windowWidth="29040" windowHeight="15720" firstSheet="1" activeTab="2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" i="3" l="1"/>
  <c r="M5" i="3"/>
  <c r="O32" i="5"/>
  <c r="C31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K32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H4" i="5"/>
  <c r="G4" i="5"/>
  <c r="D4" i="5"/>
  <c r="C4" i="5"/>
  <c r="R3" i="5"/>
  <c r="P3" i="5"/>
  <c r="O3" i="5"/>
  <c r="O31" i="5" s="1"/>
  <c r="L3" i="5"/>
  <c r="K3" i="5"/>
  <c r="K31" i="5" s="1"/>
  <c r="H3" i="5"/>
  <c r="G3" i="5"/>
  <c r="D3" i="5"/>
  <c r="C3" i="5"/>
  <c r="R2" i="5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H2" i="5"/>
  <c r="G2" i="5"/>
  <c r="G32" i="5" s="1"/>
  <c r="D2" i="5"/>
  <c r="C2" i="5"/>
  <c r="C32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E10" i="3"/>
  <c r="E11" i="3" s="1"/>
  <c r="D10" i="3"/>
  <c r="L5" i="3"/>
  <c r="N5" i="3" s="1"/>
  <c r="O5" i="3" s="1"/>
  <c r="P5" i="3" s="1"/>
  <c r="Q5" i="3" s="1"/>
  <c r="R5" i="3" s="1"/>
  <c r="S5" i="3" s="1"/>
  <c r="T5" i="3" s="1"/>
  <c r="U5" i="3" s="1"/>
  <c r="F4" i="3"/>
  <c r="F5" i="3" s="1"/>
  <c r="E4" i="3"/>
  <c r="E5" i="3" s="1"/>
  <c r="D4" i="3"/>
  <c r="H3" i="3"/>
  <c r="G3" i="3"/>
  <c r="E3" i="3"/>
  <c r="D3" i="3"/>
  <c r="K1" i="3"/>
  <c r="K10" i="3" s="1"/>
  <c r="J1" i="3"/>
  <c r="J10" i="3" s="1"/>
  <c r="I1" i="3"/>
  <c r="I7" i="3" s="1"/>
  <c r="H1" i="3"/>
  <c r="H7" i="3" s="1"/>
  <c r="G1" i="3"/>
  <c r="G7" i="3" s="1"/>
  <c r="F1" i="3"/>
  <c r="F3" i="3" s="1"/>
  <c r="E1" i="3"/>
  <c r="E7" i="3" s="1"/>
  <c r="D1" i="3"/>
  <c r="D7" i="3" s="1"/>
  <c r="E8" i="3" l="1"/>
  <c r="E13" i="3"/>
  <c r="I8" i="3"/>
  <c r="C21" i="3"/>
  <c r="L10" i="3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C20" i="3"/>
  <c r="K11" i="3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D8" i="3"/>
  <c r="D13" i="3"/>
  <c r="J7" i="3"/>
  <c r="G4" i="3"/>
  <c r="G5" i="3" s="1"/>
  <c r="F10" i="3"/>
  <c r="F11" i="3" s="1"/>
  <c r="L1" i="3"/>
  <c r="J3" i="3"/>
  <c r="H4" i="3"/>
  <c r="H5" i="3" s="1"/>
  <c r="G10" i="3"/>
  <c r="G11" i="3" s="1"/>
  <c r="G31" i="5"/>
  <c r="I3" i="3"/>
  <c r="K7" i="3"/>
  <c r="K3" i="3"/>
  <c r="I4" i="3"/>
  <c r="I5" i="3" s="1"/>
  <c r="H10" i="3"/>
  <c r="H11" i="3" s="1"/>
  <c r="J4" i="3"/>
  <c r="F7" i="3"/>
  <c r="I10" i="3"/>
  <c r="I11" i="3" s="1"/>
  <c r="K4" i="3"/>
  <c r="I13" i="3" l="1"/>
  <c r="G8" i="3"/>
  <c r="F8" i="3"/>
  <c r="F13" i="3"/>
  <c r="J5" i="3"/>
  <c r="G13" i="3"/>
  <c r="J8" i="3"/>
  <c r="J13" i="3"/>
  <c r="H8" i="3"/>
  <c r="L3" i="3"/>
  <c r="M1" i="3"/>
  <c r="H13" i="3"/>
  <c r="K5" i="3"/>
  <c r="L4" i="3"/>
  <c r="M4" i="3" s="1"/>
  <c r="N4" i="3" s="1"/>
  <c r="O4" i="3" s="1"/>
  <c r="P4" i="3" s="1"/>
  <c r="Q4" i="3" s="1"/>
  <c r="R4" i="3" s="1"/>
  <c r="S4" i="3" s="1"/>
  <c r="T4" i="3" s="1"/>
  <c r="U4" i="3" s="1"/>
  <c r="V4" i="3" s="1"/>
  <c r="K8" i="3"/>
  <c r="K13" i="3"/>
  <c r="J11" i="3"/>
  <c r="M8" i="3" l="1"/>
  <c r="L7" i="3"/>
  <c r="L13" i="3" s="1"/>
  <c r="L14" i="3" s="1"/>
  <c r="M3" i="3"/>
  <c r="N1" i="3"/>
  <c r="N3" i="3" l="1"/>
  <c r="O1" i="3"/>
  <c r="N8" i="3"/>
  <c r="M7" i="3"/>
  <c r="M13" i="3" s="1"/>
  <c r="M14" i="3" s="1"/>
  <c r="N7" i="3" l="1"/>
  <c r="N13" i="3" s="1"/>
  <c r="N14" i="3" s="1"/>
  <c r="O8" i="3"/>
  <c r="O3" i="3"/>
  <c r="P1" i="3"/>
  <c r="Q1" i="3" l="1"/>
  <c r="P3" i="3"/>
  <c r="O7" i="3"/>
  <c r="O13" i="3" s="1"/>
  <c r="O14" i="3" s="1"/>
  <c r="P8" i="3"/>
  <c r="P7" i="3" l="1"/>
  <c r="P13" i="3" s="1"/>
  <c r="P14" i="3" s="1"/>
  <c r="Q8" i="3"/>
  <c r="R1" i="3"/>
  <c r="Q3" i="3"/>
  <c r="Q7" i="3" l="1"/>
  <c r="Q13" i="3" s="1"/>
  <c r="Q14" i="3" s="1"/>
  <c r="R8" i="3"/>
  <c r="R3" i="3"/>
  <c r="S1" i="3"/>
  <c r="S8" i="3" l="1"/>
  <c r="R7" i="3"/>
  <c r="R13" i="3" s="1"/>
  <c r="R14" i="3" s="1"/>
  <c r="S3" i="3"/>
  <c r="T1" i="3"/>
  <c r="T3" i="3" l="1"/>
  <c r="U1" i="3"/>
  <c r="U3" i="3" s="1"/>
  <c r="T8" i="3"/>
  <c r="S7" i="3"/>
  <c r="S13" i="3" s="1"/>
  <c r="S14" i="3" s="1"/>
  <c r="U8" i="3" l="1"/>
  <c r="U7" i="3" s="1"/>
  <c r="T7" i="3"/>
  <c r="T13" i="3" s="1"/>
  <c r="T14" i="3" s="1"/>
  <c r="U13" i="3" l="1"/>
  <c r="V7" i="3"/>
  <c r="U14" i="3" l="1"/>
  <c r="V13" i="3"/>
  <c r="V14" i="3" s="1"/>
  <c r="C18" i="3" l="1"/>
  <c r="C17" i="3"/>
  <c r="C19" i="3" l="1"/>
  <c r="C22" i="3" s="1"/>
  <c r="L18" i="3"/>
  <c r="L17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<sst xmlns="http://schemas.openxmlformats.org/spreadsheetml/2006/main" count="253" uniqueCount="235">
  <si>
    <t>This sheet contains FactSet XML data for use with this workbook's =FDS codes.  Modifying the worksheet's contents may damage the workbook's =FDS functionality.</t>
  </si>
  <si>
    <t>AMD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</si>
  <si>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</si>
  <si>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</si>
  <si>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</si>
  <si>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</si>
  <si>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</si>
  <si>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</si>
  <si>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</si>
  <si>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</si>
  <si>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</si>
  <si>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</si>
  <si>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</si>
  <si>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</si>
  <si>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</si>
  <si>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</si>
  <si>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</si>
  <si>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</si>
  <si>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</si>
  <si>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</si>
  <si>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</si>
  <si>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</si>
  <si>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</si>
  <si>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</si>
  <si>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</si>
  <si>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</si>
  <si>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</si>
  <si>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</si>
  <si>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</si>
  <si>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</si>
  <si>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</si>
  <si>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</si>
  <si>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</si>
  <si>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2024-09-29</t>
  </si>
  <si>
    <t>2024-06-29</t>
  </si>
  <si>
    <t>2024-03-30</t>
  </si>
  <si>
    <t>2023-12-30</t>
  </si>
  <si>
    <t>2023-09-30</t>
  </si>
  <si>
    <t>2023-07-01</t>
  </si>
  <si>
    <t>2023-04-01</t>
  </si>
  <si>
    <t>2022-12-31</t>
  </si>
  <si>
    <t>2022-09-24</t>
  </si>
  <si>
    <t>2022-06-25</t>
  </si>
  <si>
    <t>2022-03-26</t>
  </si>
  <si>
    <t>2021-12-25</t>
  </si>
  <si>
    <t>2021-09-25</t>
  </si>
  <si>
    <t>2021-06-26</t>
  </si>
  <si>
    <t>2021-03-27</t>
  </si>
  <si>
    <t>2020-12-26</t>
  </si>
  <si>
    <t>2020-09-26</t>
  </si>
  <si>
    <t>2020-06-27</t>
  </si>
  <si>
    <t>2020-03-28</t>
  </si>
  <si>
    <t>2019-12-28</t>
  </si>
  <si>
    <t>2019-09-28</t>
  </si>
  <si>
    <t>2019-06-29</t>
  </si>
  <si>
    <t>2019-03-30</t>
  </si>
  <si>
    <t>2018-12-29</t>
  </si>
  <si>
    <t>2018-09-29</t>
  </si>
  <si>
    <t>2018-06-30</t>
  </si>
  <si>
    <t>2018-03-31</t>
  </si>
  <si>
    <t>2017-12-30</t>
  </si>
  <si>
    <t>2017-09-30</t>
  </si>
  <si>
    <t>2017-07-01</t>
  </si>
  <si>
    <t>2017-04-01</t>
  </si>
  <si>
    <t>2016-12-31</t>
  </si>
  <si>
    <t>2016-09-24</t>
  </si>
  <si>
    <t>2016-06-25</t>
  </si>
  <si>
    <t>2016-03-26</t>
  </si>
  <si>
    <t>2015-12-26</t>
  </si>
  <si>
    <t>2015-09-26</t>
  </si>
  <si>
    <t>2015-06-27</t>
  </si>
  <si>
    <t>2015-03-28</t>
  </si>
  <si>
    <t>2014-12-27</t>
  </si>
  <si>
    <t>2014-09-27</t>
  </si>
  <si>
    <t>2014-06-28</t>
  </si>
  <si>
    <t>2014-03-29</t>
  </si>
  <si>
    <t>2013-12-28</t>
  </si>
  <si>
    <t>2013-09-28</t>
  </si>
  <si>
    <t>2013-06-29</t>
  </si>
  <si>
    <t>2013-03-31</t>
  </si>
  <si>
    <t>2012-12-29</t>
  </si>
  <si>
    <t>2012-09-29</t>
  </si>
  <si>
    <t>2012-06-30</t>
  </si>
  <si>
    <t>2012-03-31</t>
  </si>
  <si>
    <t>2011-12-31</t>
  </si>
  <si>
    <t>2011-10-01</t>
  </si>
  <si>
    <t>2011-07-02</t>
  </si>
  <si>
    <t>2011-04-02</t>
  </si>
  <si>
    <t>2010-12-25</t>
  </si>
  <si>
    <t>2010-09-25</t>
  </si>
  <si>
    <t>2010-06-26</t>
  </si>
  <si>
    <t>2010-03-27</t>
  </si>
  <si>
    <t>2009-12-26</t>
  </si>
  <si>
    <t>2009-09-26</t>
  </si>
  <si>
    <t>2009-06-27</t>
  </si>
  <si>
    <t>2009-03-28</t>
  </si>
  <si>
    <t>2008-12-27</t>
  </si>
  <si>
    <t>2008-09-27</t>
  </si>
  <si>
    <t>2008-06-28</t>
  </si>
  <si>
    <t>2008-03-29</t>
  </si>
  <si>
    <t>2007-12-29</t>
  </si>
  <si>
    <t>2007-09-29</t>
  </si>
  <si>
    <t>2007-06-30</t>
  </si>
  <si>
    <t>2007-03-31</t>
  </si>
  <si>
    <t>2006-12-31</t>
  </si>
  <si>
    <t>2006-10-01</t>
  </si>
  <si>
    <t>2006-07-02</t>
  </si>
  <si>
    <t>2006-03-26</t>
  </si>
  <si>
    <t>2005-12-25</t>
  </si>
  <si>
    <t>2005-09-25</t>
  </si>
  <si>
    <t>2005-06-26</t>
  </si>
  <si>
    <t>2005-03-27</t>
  </si>
  <si>
    <t>2004-12-26</t>
  </si>
  <si>
    <t>2004-09-26</t>
  </si>
  <si>
    <t>2004-06-27</t>
  </si>
  <si>
    <t>2004-03-28</t>
  </si>
  <si>
    <t>2003-12-28</t>
  </si>
  <si>
    <t>2003-09-28</t>
  </si>
  <si>
    <t>2003-06-29</t>
  </si>
  <si>
    <t>2003-03-30</t>
  </si>
  <si>
    <t>2002-12-29</t>
  </si>
  <si>
    <t>2002-09-29</t>
  </si>
  <si>
    <t>2002-06-30</t>
  </si>
  <si>
    <t>2002-03-31</t>
  </si>
  <si>
    <t>2001-12-30</t>
  </si>
  <si>
    <t>2001-09-30</t>
  </si>
  <si>
    <t>2001-07-01</t>
  </si>
  <si>
    <t>2001-04-01</t>
  </si>
  <si>
    <t>2000-12-31</t>
  </si>
  <si>
    <t>2000-10-01</t>
  </si>
  <si>
    <t>2000-07-02</t>
  </si>
  <si>
    <t>2000-04-02</t>
  </si>
  <si>
    <t>1999-12-26</t>
  </si>
  <si>
    <t>1999-09-26</t>
  </si>
  <si>
    <t>1999-06-27</t>
  </si>
  <si>
    <t>1999-03-28</t>
  </si>
  <si>
    <t>1998-12-27</t>
  </si>
  <si>
    <t>1998-09-27</t>
  </si>
  <si>
    <t>1998-06-28</t>
  </si>
  <si>
    <t>1998-03-29</t>
  </si>
  <si>
    <t>1997-12-28</t>
  </si>
  <si>
    <t>1997-09-28</t>
  </si>
  <si>
    <t>1997-06-29</t>
  </si>
  <si>
    <t>1997-03-30</t>
  </si>
  <si>
    <t>1996-12-29</t>
  </si>
  <si>
    <t>1996-09-29</t>
  </si>
  <si>
    <t>1996-06-30</t>
  </si>
  <si>
    <t>1996-03-31</t>
  </si>
  <si>
    <t>1995-12-31</t>
  </si>
  <si>
    <t>1995-10-01</t>
  </si>
  <si>
    <t>1995-07-02</t>
  </si>
  <si>
    <t>1995-04-02</t>
  </si>
  <si>
    <t>1994-12-25</t>
  </si>
  <si>
    <t>1994-09-25</t>
  </si>
  <si>
    <t>1994-06-26</t>
  </si>
  <si>
    <t>1994-03-27</t>
  </si>
  <si>
    <t>1993-12-26</t>
  </si>
  <si>
    <t>1993-09-30</t>
  </si>
  <si>
    <t>1993-06-30</t>
  </si>
  <si>
    <t>1993-03-31</t>
  </si>
  <si>
    <t>1992-12-31</t>
  </si>
  <si>
    <t>1992-09-30</t>
  </si>
  <si>
    <t>1992-06-30</t>
  </si>
  <si>
    <t>1992-03-31</t>
  </si>
  <si>
    <t>1991-12-31</t>
  </si>
  <si>
    <t>1991-09-30</t>
  </si>
  <si>
    <t>1991-06-30</t>
  </si>
  <si>
    <t>1991-03-31</t>
  </si>
  <si>
    <t>1990-12-31</t>
  </si>
  <si>
    <t>1990-09-30</t>
  </si>
  <si>
    <t>1990-06-30</t>
  </si>
  <si>
    <t>1990-03-31</t>
  </si>
  <si>
    <t>1989-12-31</t>
  </si>
  <si>
    <t>1989-09-30</t>
  </si>
  <si>
    <t>1989-06-30</t>
  </si>
  <si>
    <t>1989-03-31</t>
  </si>
  <si>
    <t>1988-12-31</t>
  </si>
  <si>
    <t>1988-09-30</t>
  </si>
  <si>
    <t>1988-06-30</t>
  </si>
  <si>
    <t>1988-03-31</t>
  </si>
  <si>
    <t>1987-12-31</t>
  </si>
  <si>
    <t>1987-09-30</t>
  </si>
  <si>
    <t>1987-06-30</t>
  </si>
  <si>
    <t>1987-03-31</t>
  </si>
  <si>
    <t>1986-12-31</t>
  </si>
  <si>
    <t>1986-09-30</t>
  </si>
  <si>
    <t>1986-06-30</t>
  </si>
  <si>
    <t>1986-03-31</t>
  </si>
  <si>
    <t>1985-12-31</t>
  </si>
  <si>
    <t>1985-09-30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</si>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</sst>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4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  <xf numFmtId="44" fontId="0" fillId="0" borderId="0" xfId="0" applyNumberFormat="1"/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B1" s="72" t="s">
        <v>1</v>
      </c>
    </row>
    <row r="2" spans="1:2" x14ac:dyDescent="0.25">
      <c r="A2" s="72" t="s">
        <v>2</v>
      </c>
      <c r="B2">
        <v>11348000000</v>
      </c>
    </row>
    <row r="3" spans="1:2" x14ac:dyDescent="0.25">
      <c r="A3" s="72" t="s">
        <v>3</v>
      </c>
      <c r="B3">
        <v>1719000000</v>
      </c>
    </row>
    <row r="4" spans="1:2" x14ac:dyDescent="0.25">
      <c r="A4" s="72" t="s">
        <v>4</v>
      </c>
      <c r="B4">
        <v>2.950718368608064E-2</v>
      </c>
    </row>
    <row r="5" spans="1:2" x14ac:dyDescent="0.25">
      <c r="A5" s="72" t="s">
        <v>5</v>
      </c>
      <c r="B5">
        <v>5.9918557300756251E-2</v>
      </c>
    </row>
    <row r="6" spans="1:2" x14ac:dyDescent="0.25">
      <c r="A6" s="72" t="s">
        <v>6</v>
      </c>
      <c r="B6">
        <v>0.21</v>
      </c>
    </row>
    <row r="7" spans="1:2" x14ac:dyDescent="0.25">
      <c r="A7" s="72" t="s">
        <v>7</v>
      </c>
      <c r="B7">
        <v>56538000000</v>
      </c>
    </row>
    <row r="8" spans="1:2" x14ac:dyDescent="0.25">
      <c r="A8" s="72" t="s">
        <v>8</v>
      </c>
      <c r="B8">
        <v>0.97049281631391937</v>
      </c>
    </row>
    <row r="9" spans="1:2" x14ac:dyDescent="0.25">
      <c r="A9" s="72" t="s">
        <v>9</v>
      </c>
      <c r="B9">
        <v>0.1653061677014348</v>
      </c>
    </row>
    <row r="10" spans="1:2" x14ac:dyDescent="0.25">
      <c r="A10" s="72" t="s">
        <v>10</v>
      </c>
      <c r="B10">
        <v>4.0729999542236328E-2</v>
      </c>
    </row>
    <row r="11" spans="1:2" x14ac:dyDescent="0.25">
      <c r="A11" s="72" t="s">
        <v>11</v>
      </c>
      <c r="B11">
        <v>1.7984144266774891</v>
      </c>
    </row>
    <row r="12" spans="1:2" x14ac:dyDescent="0.25">
      <c r="A12" s="72" t="s">
        <v>12</v>
      </c>
      <c r="B12">
        <v>6.9270000457763672E-2</v>
      </c>
    </row>
    <row r="13" spans="1:2" x14ac:dyDescent="0.25">
      <c r="A13" s="72" t="s">
        <v>13</v>
      </c>
      <c r="B13">
        <v>0.02</v>
      </c>
    </row>
    <row r="14" spans="1:2" x14ac:dyDescent="0.25">
      <c r="A14" s="72" t="s">
        <v>14</v>
      </c>
      <c r="B14">
        <v>0.16182519026904441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abSelected="1" topLeftCell="A2" zoomScale="85" zoomScaleNormal="85" workbookViewId="0">
      <selection activeCell="A2" sqref="A2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5" t="str">
        <f>Python!A31</f>
        <v>2017-07-01</v>
      </c>
      <c r="E1" s="65" t="str">
        <f>Python!A27</f>
        <v>2018-06-30</v>
      </c>
      <c r="F1" s="65" t="str">
        <f>Python!A23</f>
        <v>2019-06-29</v>
      </c>
      <c r="G1" s="65" t="str">
        <f>Python!A19</f>
        <v>2020-06-27</v>
      </c>
      <c r="H1" s="65" t="str">
        <f>Python!A15</f>
        <v>2021-06-26</v>
      </c>
      <c r="I1" s="65" t="str">
        <f>Python!A11</f>
        <v>2022-06-25</v>
      </c>
      <c r="J1" s="65" t="str">
        <f>Python!A7</f>
        <v>2023-07-01</v>
      </c>
      <c r="K1" s="65" t="str">
        <f>Python!A3</f>
        <v>2024-06-29</v>
      </c>
      <c r="L1" s="28">
        <f t="shared" ref="L1:U1" si="0">EDATE(K1, 12)</f>
        <v>45837</v>
      </c>
      <c r="M1" s="28">
        <f t="shared" si="0"/>
        <v>46202</v>
      </c>
      <c r="N1" s="28">
        <f t="shared" si="0"/>
        <v>46567</v>
      </c>
      <c r="O1" s="28">
        <f t="shared" si="0"/>
        <v>46933</v>
      </c>
      <c r="P1" s="28">
        <f t="shared" si="0"/>
        <v>47298</v>
      </c>
      <c r="Q1" s="28">
        <f t="shared" si="0"/>
        <v>47663</v>
      </c>
      <c r="R1" s="28">
        <f t="shared" si="0"/>
        <v>48028</v>
      </c>
      <c r="S1" s="28">
        <f t="shared" si="0"/>
        <v>48394</v>
      </c>
      <c r="T1" s="28">
        <f t="shared" si="0"/>
        <v>48759</v>
      </c>
      <c r="U1" s="28">
        <f t="shared" si="0"/>
        <v>49124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3" t="s">
        <v>15</v>
      </c>
      <c r="C3" s="44"/>
      <c r="D3" s="44">
        <f t="shared" ref="D3:U3" si="1">YEAR(D1)</f>
        <v>2017</v>
      </c>
      <c r="E3" s="44">
        <f t="shared" si="1"/>
        <v>2018</v>
      </c>
      <c r="F3" s="44">
        <f t="shared" si="1"/>
        <v>2019</v>
      </c>
      <c r="G3" s="44">
        <f t="shared" si="1"/>
        <v>2020</v>
      </c>
      <c r="H3" s="44">
        <f t="shared" si="1"/>
        <v>2021</v>
      </c>
      <c r="I3" s="44">
        <f t="shared" si="1"/>
        <v>2022</v>
      </c>
      <c r="J3" s="44">
        <f t="shared" si="1"/>
        <v>2023</v>
      </c>
      <c r="K3" s="53">
        <f t="shared" si="1"/>
        <v>2024</v>
      </c>
      <c r="L3" s="44">
        <f t="shared" si="1"/>
        <v>2025</v>
      </c>
      <c r="M3" s="44">
        <f t="shared" si="1"/>
        <v>2026</v>
      </c>
      <c r="N3" s="44">
        <f t="shared" si="1"/>
        <v>2027</v>
      </c>
      <c r="O3" s="44">
        <f t="shared" si="1"/>
        <v>2028</v>
      </c>
      <c r="P3" s="44">
        <f t="shared" si="1"/>
        <v>2029</v>
      </c>
      <c r="Q3" s="44">
        <f t="shared" si="1"/>
        <v>2030</v>
      </c>
      <c r="R3" s="44">
        <f t="shared" si="1"/>
        <v>2031</v>
      </c>
      <c r="S3" s="44">
        <f t="shared" si="1"/>
        <v>2032</v>
      </c>
      <c r="T3" s="44">
        <f t="shared" si="1"/>
        <v>2033</v>
      </c>
      <c r="U3" s="44">
        <f t="shared" si="1"/>
        <v>2034</v>
      </c>
      <c r="V3" s="45" t="s">
        <v>16</v>
      </c>
    </row>
    <row r="4" spans="2:22" s="1" customFormat="1" x14ac:dyDescent="0.25">
      <c r="B4" s="47" t="s">
        <v>17</v>
      </c>
      <c r="C4" s="36"/>
      <c r="D4" s="36">
        <f>IFERROR(INDEX(Python!$1:$1048576,MATCH(DCF_Simple!D$1,Python!$A:$A,0),MATCH(DCF_Simple!$B4,Python!$1:$1,0))/1000000,0)</f>
        <v>4742</v>
      </c>
      <c r="E4" s="36">
        <f>IFERROR(INDEX(Python!$1:$1048576,MATCH(DCF_Simple!E$1,Python!$A:$A,0),MATCH(DCF_Simple!$B4,Python!$1:$1,0))/1000000,0)</f>
        <v>6327</v>
      </c>
      <c r="F4" s="36">
        <f>IFERROR(INDEX(Python!$1:$1048576,MATCH(DCF_Simple!F$1,Python!$A:$A,0),MATCH(DCF_Simple!$B4,Python!$1:$1,0))/1000000,0)</f>
        <v>5875</v>
      </c>
      <c r="G4" s="36">
        <f>IFERROR(INDEX(Python!$1:$1048576,MATCH(DCF_Simple!G$1,Python!$A:$A,0),MATCH(DCF_Simple!$B4,Python!$1:$1,0))/1000000,0)</f>
        <v>7646</v>
      </c>
      <c r="H4" s="36">
        <f>IFERROR(INDEX(Python!$1:$1048576,MATCH(DCF_Simple!H$1,Python!$A:$A,0),MATCH(DCF_Simple!$B4,Python!$1:$1,0))/1000000,0)</f>
        <v>13340</v>
      </c>
      <c r="I4" s="36">
        <f>IFERROR(INDEX(Python!$1:$1048576,MATCH(DCF_Simple!I$1,Python!$A:$A,0),MATCH(DCF_Simple!$B4,Python!$1:$1,0))/1000000,0)</f>
        <v>21576</v>
      </c>
      <c r="J4" s="36">
        <f>IFERROR(INDEX(Python!$1:$1048576,MATCH(DCF_Simple!J$1,Python!$A:$A,0),MATCH(DCF_Simple!$B4,Python!$1:$1,0))/1000000,0)</f>
        <v>21876</v>
      </c>
      <c r="K4" s="54">
        <f>IFERROR(INDEX(Python!$1:$1048576,MATCH(DCF_Simple!K$1,Python!$A:$A,0),MATCH(DCF_Simple!$B4,Python!$1:$1,0))/1000000,0)</f>
        <v>23276</v>
      </c>
      <c r="L4" s="37">
        <f t="shared" ref="L4:U4" si="2">K4*(1+L5)</f>
        <v>26930.653048275864</v>
      </c>
      <c r="M4" s="36">
        <f t="shared" si="2"/>
        <v>31159.137034138599</v>
      </c>
      <c r="N4" s="36">
        <f t="shared" si="2"/>
        <v>36051.551329698828</v>
      </c>
      <c r="O4" s="36">
        <f t="shared" si="2"/>
        <v>41712.142151238506</v>
      </c>
      <c r="P4" s="36">
        <f t="shared" si="2"/>
        <v>48261.523808874692</v>
      </c>
      <c r="Q4" s="36">
        <f t="shared" si="2"/>
        <v>55839.248723058488</v>
      </c>
      <c r="R4" s="36">
        <f t="shared" si="2"/>
        <v>64606.780969112784</v>
      </c>
      <c r="S4" s="36">
        <f t="shared" si="2"/>
        <v>74750.936709276866</v>
      </c>
      <c r="T4" s="36">
        <f t="shared" si="2"/>
        <v>86487.864820036222</v>
      </c>
      <c r="U4" s="36">
        <f t="shared" si="2"/>
        <v>100067.6525328484</v>
      </c>
      <c r="V4" s="19">
        <f>U4</f>
        <v>100067.6525328484</v>
      </c>
    </row>
    <row r="5" spans="2:22" s="1" customFormat="1" x14ac:dyDescent="0.25">
      <c r="B5" s="10" t="s">
        <v>18</v>
      </c>
      <c r="C5" s="30"/>
      <c r="D5" s="30"/>
      <c r="E5" s="42">
        <f t="shared" ref="E5:K5" si="3">IFERROR(E4/D4-1,"")</f>
        <v>0.33424715309995778</v>
      </c>
      <c r="F5" s="42">
        <f t="shared" si="3"/>
        <v>-7.143986091354515E-2</v>
      </c>
      <c r="G5" s="42">
        <f t="shared" si="3"/>
        <v>0.30144680851063832</v>
      </c>
      <c r="H5" s="42">
        <f t="shared" si="3"/>
        <v>0.74470311273868695</v>
      </c>
      <c r="I5" s="42">
        <f t="shared" si="3"/>
        <v>0.61739130434782608</v>
      </c>
      <c r="J5" s="42">
        <f t="shared" si="3"/>
        <v>1.3904338153504003E-2</v>
      </c>
      <c r="K5" s="57">
        <f t="shared" si="3"/>
        <v>6.3997074419455124E-2</v>
      </c>
      <c r="L5" s="38">
        <f>Python!F2</f>
        <v>0.15701379310344829</v>
      </c>
      <c r="M5" s="38">
        <f>L5</f>
        <v>0.15701379310344829</v>
      </c>
      <c r="N5" s="38">
        <f t="shared" ref="N5:U5" si="4">M5</f>
        <v>0.15701379310344829</v>
      </c>
      <c r="O5" s="38">
        <f t="shared" si="4"/>
        <v>0.15701379310344829</v>
      </c>
      <c r="P5" s="38">
        <f t="shared" si="4"/>
        <v>0.15701379310344829</v>
      </c>
      <c r="Q5" s="38">
        <f t="shared" si="4"/>
        <v>0.15701379310344829</v>
      </c>
      <c r="R5" s="38">
        <f t="shared" si="4"/>
        <v>0.15701379310344829</v>
      </c>
      <c r="S5" s="38">
        <f t="shared" si="4"/>
        <v>0.15701379310344829</v>
      </c>
      <c r="T5" s="38">
        <f t="shared" si="4"/>
        <v>0.15701379310344829</v>
      </c>
      <c r="U5" s="38">
        <f t="shared" si="4"/>
        <v>0.15701379310344829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5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1"/>
      <c r="D7" s="51">
        <f>IFERROR(INDEX(Python!$1:$1048576,MATCH(DCF_Simple!D$1,Python!$A:$A,0),MATCH(DCF_Simple!$B7,Python!$1:$1,0))/1000000,0)</f>
        <v>-229</v>
      </c>
      <c r="E7" s="51">
        <f>IFERROR(INDEX(Python!$1:$1048576,MATCH(DCF_Simple!E$1,Python!$A:$A,0),MATCH(DCF_Simple!$B7,Python!$1:$1,0))/1000000,0)</f>
        <v>151</v>
      </c>
      <c r="F7" s="51">
        <f>IFERROR(INDEX(Python!$1:$1048576,MATCH(DCF_Simple!F$1,Python!$A:$A,0),MATCH(DCF_Simple!$B7,Python!$1:$1,0))/1000000,0)</f>
        <v>-212</v>
      </c>
      <c r="G7" s="51">
        <f>IFERROR(INDEX(Python!$1:$1048576,MATCH(DCF_Simple!G$1,Python!$A:$A,0),MATCH(DCF_Simple!$B7,Python!$1:$1,0))/1000000,0)</f>
        <v>611</v>
      </c>
      <c r="H7" s="51">
        <f>IFERROR(INDEX(Python!$1:$1048576,MATCH(DCF_Simple!H$1,Python!$A:$A,0),MATCH(DCF_Simple!$B7,Python!$1:$1,0))/1000000,0)</f>
        <v>2465</v>
      </c>
      <c r="I7" s="51">
        <f>IFERROR(INDEX(Python!$1:$1048576,MATCH(DCF_Simple!I$1,Python!$A:$A,0),MATCH(DCF_Simple!$B7,Python!$1:$1,0))/1000000,0)</f>
        <v>3330</v>
      </c>
      <c r="J7" s="51">
        <f>IFERROR(INDEX(Python!$1:$1048576,MATCH(DCF_Simple!J$1,Python!$A:$A,0),MATCH(DCF_Simple!$B7,Python!$1:$1,0))/1000000,0)</f>
        <v>1867</v>
      </c>
      <c r="K7" s="56">
        <f>IFERROR(INDEX(Python!$1:$1048576,MATCH(DCF_Simple!K$1,Python!$A:$A,0),MATCH(DCF_Simple!$B7,Python!$1:$1,0))/1000000,0)</f>
        <v>1357</v>
      </c>
      <c r="L7" s="63">
        <f t="shared" ref="L7:U7" si="5">L8*L4</f>
        <v>2363.5767795254956</v>
      </c>
      <c r="M7" s="63">
        <f t="shared" si="5"/>
        <v>2734.6909349700263</v>
      </c>
      <c r="N7" s="63">
        <f t="shared" si="5"/>
        <v>3164.0751316352853</v>
      </c>
      <c r="O7" s="63">
        <f t="shared" si="5"/>
        <v>3660.878569717634</v>
      </c>
      <c r="P7" s="63">
        <f t="shared" si="5"/>
        <v>4235.6870000401259</v>
      </c>
      <c r="Q7" s="63">
        <f t="shared" si="5"/>
        <v>4900.7482823153923</v>
      </c>
      <c r="R7" s="63">
        <f t="shared" si="5"/>
        <v>5670.2333591669412</v>
      </c>
      <c r="S7" s="63">
        <f t="shared" si="5"/>
        <v>6560.5382066714501</v>
      </c>
      <c r="T7" s="63">
        <f t="shared" si="5"/>
        <v>7590.6331953010294</v>
      </c>
      <c r="U7" s="63">
        <f t="shared" si="5"/>
        <v>8782.4673053521929</v>
      </c>
      <c r="V7" s="64">
        <f>U7</f>
        <v>8782.4673053521929</v>
      </c>
    </row>
    <row r="8" spans="2:22" s="1" customFormat="1" x14ac:dyDescent="0.25">
      <c r="B8" s="10" t="s">
        <v>20</v>
      </c>
      <c r="C8" s="42"/>
      <c r="D8" s="42">
        <f t="shared" ref="D8:K8" si="6">IFERROR(D7/D$4,"")</f>
        <v>-4.8291859974694221E-2</v>
      </c>
      <c r="E8" s="42">
        <f t="shared" si="6"/>
        <v>2.3865971234392287E-2</v>
      </c>
      <c r="F8" s="42">
        <f t="shared" si="6"/>
        <v>-3.6085106382978724E-2</v>
      </c>
      <c r="G8" s="42">
        <f t="shared" si="6"/>
        <v>7.9911064608945856E-2</v>
      </c>
      <c r="H8" s="42">
        <f t="shared" si="6"/>
        <v>0.18478260869565216</v>
      </c>
      <c r="I8" s="42">
        <f t="shared" si="6"/>
        <v>0.15433815350389321</v>
      </c>
      <c r="J8" s="42">
        <f t="shared" si="6"/>
        <v>8.5344669957944777E-2</v>
      </c>
      <c r="K8" s="57">
        <f t="shared" si="6"/>
        <v>5.8300395256916999E-2</v>
      </c>
      <c r="L8" s="38">
        <f>AVERAGE(F8:K8)</f>
        <v>8.7765297606729034E-2</v>
      </c>
      <c r="M8" s="38">
        <f t="shared" ref="M8:U8" si="7">L8</f>
        <v>8.7765297606729034E-2</v>
      </c>
      <c r="N8" s="38">
        <f t="shared" si="7"/>
        <v>8.7765297606729034E-2</v>
      </c>
      <c r="O8" s="38">
        <f t="shared" si="7"/>
        <v>8.7765297606729034E-2</v>
      </c>
      <c r="P8" s="38">
        <f t="shared" si="7"/>
        <v>8.7765297606729034E-2</v>
      </c>
      <c r="Q8" s="38">
        <f t="shared" si="7"/>
        <v>8.7765297606729034E-2</v>
      </c>
      <c r="R8" s="38">
        <f t="shared" si="7"/>
        <v>8.7765297606729034E-2</v>
      </c>
      <c r="S8" s="38">
        <f t="shared" si="7"/>
        <v>8.7765297606729034E-2</v>
      </c>
      <c r="T8" s="38">
        <f t="shared" si="7"/>
        <v>8.7765297606729034E-2</v>
      </c>
      <c r="U8" s="38">
        <f t="shared" si="7"/>
        <v>8.7765297606729034E-2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7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6" t="s">
        <v>21</v>
      </c>
      <c r="C10" s="35"/>
      <c r="D10" s="17">
        <f>IFERROR(INDEX(Python!$1:$1048576,MATCH(DCF_Simple!D$1,Python!$A:$A,0),MATCH(DCF_Simple!$B10,Python!$1:$1,0))/1000000,0)</f>
        <v>945</v>
      </c>
      <c r="E10" s="17">
        <f>IFERROR(INDEX(Python!$1:$1048576,MATCH(DCF_Simple!E$1,Python!$A:$A,0),MATCH(DCF_Simple!$B10,Python!$1:$1,0))/1000000,0)</f>
        <v>1147</v>
      </c>
      <c r="F10" s="17">
        <f>IFERROR(INDEX(Python!$1:$1048576,MATCH(DCF_Simple!F$1,Python!$A:$A,0),MATCH(DCF_Simple!$B10,Python!$1:$1,0))/1000000,0)</f>
        <v>1109</v>
      </c>
      <c r="G10" s="17">
        <f>IFERROR(INDEX(Python!$1:$1048576,MATCH(DCF_Simple!G$1,Python!$A:$A,0),MATCH(DCF_Simple!$B10,Python!$1:$1,0))/1000000,0)</f>
        <v>1227</v>
      </c>
      <c r="H10" s="17">
        <f>IFERROR(INDEX(Python!$1:$1048576,MATCH(DCF_Simple!H$1,Python!$A:$A,0),MATCH(DCF_Simple!$B10,Python!$1:$1,0))/1000000,0)</f>
        <v>1232</v>
      </c>
      <c r="I10" s="17">
        <f>IFERROR(INDEX(Python!$1:$1048576,MATCH(DCF_Simple!I$1,Python!$A:$A,0),MATCH(DCF_Simple!$B10,Python!$1:$1,0))/1000000,0)</f>
        <v>1632</v>
      </c>
      <c r="J10" s="17">
        <f>IFERROR(INDEX(Python!$1:$1048576,MATCH(DCF_Simple!J$1,Python!$A:$A,0),MATCH(DCF_Simple!$B10,Python!$1:$1,0))/1000000,0)</f>
        <v>1627</v>
      </c>
      <c r="K10" s="68">
        <f>IFERROR(INDEX(Python!$1:$1048576,MATCH(DCF_Simple!K$1,Python!$A:$A,0),MATCH(DCF_Simple!$B10,Python!$1:$1,0))/1000000,0)</f>
        <v>1637</v>
      </c>
      <c r="L10" s="17">
        <f t="shared" ref="L10:U10" si="8">K10*(1+L11)</f>
        <v>1647.061462814997</v>
      </c>
      <c r="M10" s="17">
        <f t="shared" si="8"/>
        <v>1657.1847662127534</v>
      </c>
      <c r="N10" s="17">
        <f t="shared" si="8"/>
        <v>1667.3702902828993</v>
      </c>
      <c r="O10" s="17">
        <f t="shared" si="8"/>
        <v>1677.6184174512023</v>
      </c>
      <c r="P10" s="17">
        <f t="shared" si="8"/>
        <v>1687.9295324939262</v>
      </c>
      <c r="Q10" s="17">
        <f t="shared" si="8"/>
        <v>1698.3040225522784</v>
      </c>
      <c r="R10" s="17">
        <f t="shared" si="8"/>
        <v>1708.7422771469451</v>
      </c>
      <c r="S10" s="17">
        <f t="shared" si="8"/>
        <v>1719.244688192716</v>
      </c>
      <c r="T10" s="17">
        <f t="shared" si="8"/>
        <v>1729.8116500131998</v>
      </c>
      <c r="U10" s="17">
        <f t="shared" si="8"/>
        <v>1740.4435593556288</v>
      </c>
      <c r="V10" s="69">
        <f>U10</f>
        <v>1740.4435593556288</v>
      </c>
    </row>
    <row r="11" spans="2:22" s="1" customFormat="1" x14ac:dyDescent="0.25">
      <c r="B11" s="10" t="s">
        <v>22</v>
      </c>
      <c r="C11" s="42"/>
      <c r="D11" s="42"/>
      <c r="E11" s="42">
        <f t="shared" ref="E11:K11" si="9">IFERROR(E10/D10-1,"")</f>
        <v>0.21375661375661381</v>
      </c>
      <c r="F11" s="42">
        <f t="shared" si="9"/>
        <v>-3.3129904097646046E-2</v>
      </c>
      <c r="G11" s="42">
        <f t="shared" si="9"/>
        <v>0.10640216411181247</v>
      </c>
      <c r="H11" s="42">
        <f t="shared" si="9"/>
        <v>4.0749796251018378E-3</v>
      </c>
      <c r="I11" s="42">
        <f t="shared" si="9"/>
        <v>0.32467532467532467</v>
      </c>
      <c r="J11" s="42">
        <f t="shared" si="9"/>
        <v>-3.0637254901960675E-3</v>
      </c>
      <c r="K11" s="57">
        <f t="shared" si="9"/>
        <v>6.1462814996926518E-3</v>
      </c>
      <c r="L11" s="66">
        <f t="shared" ref="L11:U11" si="10">K11</f>
        <v>6.1462814996926518E-3</v>
      </c>
      <c r="M11" s="66">
        <f t="shared" si="10"/>
        <v>6.1462814996926518E-3</v>
      </c>
      <c r="N11" s="66">
        <f t="shared" si="10"/>
        <v>6.1462814996926518E-3</v>
      </c>
      <c r="O11" s="66">
        <f t="shared" si="10"/>
        <v>6.1462814996926518E-3</v>
      </c>
      <c r="P11" s="66">
        <f t="shared" si="10"/>
        <v>6.1462814996926518E-3</v>
      </c>
      <c r="Q11" s="66">
        <f t="shared" si="10"/>
        <v>6.1462814996926518E-3</v>
      </c>
      <c r="R11" s="66">
        <f t="shared" si="10"/>
        <v>6.1462814996926518E-3</v>
      </c>
      <c r="S11" s="66">
        <f t="shared" si="10"/>
        <v>6.1462814996926518E-3</v>
      </c>
      <c r="T11" s="66">
        <f t="shared" si="10"/>
        <v>6.1462814996926518E-3</v>
      </c>
      <c r="U11" s="66">
        <f t="shared" si="10"/>
        <v>6.1462814996926518E-3</v>
      </c>
      <c r="V11" s="67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7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8" t="s">
        <v>23</v>
      </c>
      <c r="C13" s="52"/>
      <c r="D13" s="52">
        <f t="shared" ref="D13:K13" si="11">IFERROR(D7/D10,0)</f>
        <v>-0.24232804232804234</v>
      </c>
      <c r="E13" s="52">
        <f t="shared" si="11"/>
        <v>0.13164777680906714</v>
      </c>
      <c r="F13" s="52">
        <f t="shared" si="11"/>
        <v>-0.19116321009918846</v>
      </c>
      <c r="G13" s="52">
        <f t="shared" si="11"/>
        <v>0.49796251018744908</v>
      </c>
      <c r="H13" s="52">
        <f t="shared" si="11"/>
        <v>2.0008116883116882</v>
      </c>
      <c r="I13" s="52">
        <f t="shared" si="11"/>
        <v>2.0404411764705883</v>
      </c>
      <c r="J13" s="52">
        <f t="shared" si="11"/>
        <v>1.1475107559926245</v>
      </c>
      <c r="K13" s="58">
        <f t="shared" si="11"/>
        <v>0.82895540623091024</v>
      </c>
      <c r="L13" s="52">
        <f t="shared" ref="L13:U13" si="12">L7/L10</f>
        <v>1.4350264594776569</v>
      </c>
      <c r="M13" s="52">
        <f t="shared" si="12"/>
        <v>1.6502027961672321</v>
      </c>
      <c r="N13" s="52">
        <f t="shared" si="12"/>
        <v>1.8976439427251899</v>
      </c>
      <c r="O13" s="52">
        <f t="shared" si="12"/>
        <v>2.1821878751662669</v>
      </c>
      <c r="P13" s="52">
        <f t="shared" si="12"/>
        <v>2.5093980041820068</v>
      </c>
      <c r="Q13" s="52">
        <f t="shared" si="12"/>
        <v>2.8856719510976334</v>
      </c>
      <c r="R13" s="52">
        <f t="shared" si="12"/>
        <v>3.318366634337873</v>
      </c>
      <c r="S13" s="52">
        <f t="shared" si="12"/>
        <v>3.8159421120957142</v>
      </c>
      <c r="T13" s="52">
        <f t="shared" si="12"/>
        <v>4.3881269936198581</v>
      </c>
      <c r="U13" s="52">
        <f t="shared" si="12"/>
        <v>5.0461086532468533</v>
      </c>
      <c r="V13" s="70">
        <f>U13*(1+WACC!$B$13)/(WACC!$B$14-WACC!$B$13)</f>
        <v>36.291372615455685</v>
      </c>
    </row>
    <row r="14" spans="2:22" ht="15.75" customHeight="1" thickBot="1" x14ac:dyDescent="0.3">
      <c r="B14" s="49" t="s">
        <v>24</v>
      </c>
      <c r="C14" s="50"/>
      <c r="D14" s="50"/>
      <c r="E14" s="50"/>
      <c r="F14" s="50"/>
      <c r="G14" s="50"/>
      <c r="H14" s="50"/>
      <c r="I14" s="50"/>
      <c r="J14" s="50"/>
      <c r="K14" s="59"/>
      <c r="L14" s="61">
        <f>L13/((1+WACC!$B$14)^(L3-$K$3))</f>
        <v>1.2351483437412363</v>
      </c>
      <c r="M14" s="61">
        <f>M13/((1+WACC!$B$14)^(M3-$K$3))</f>
        <v>1.2225193497237852</v>
      </c>
      <c r="N14" s="61">
        <f>N13/((1+WACC!$B$14)^(N3-$K$3))</f>
        <v>1.210019483102813</v>
      </c>
      <c r="O14" s="61">
        <f>O13/((1+WACC!$B$14)^(O3-$K$3))</f>
        <v>1.1976474235922783</v>
      </c>
      <c r="P14" s="61">
        <f>P13/((1+WACC!$B$14)^(P3-$K$3))</f>
        <v>1.1854018644056388</v>
      </c>
      <c r="Q14" s="61">
        <f>Q13/((1+WACC!$B$14)^(Q3-$K$3))</f>
        <v>1.1732815121178246</v>
      </c>
      <c r="R14" s="61">
        <f>R13/((1+WACC!$B$14)^(R3-$K$3))</f>
        <v>1.1612850865286191</v>
      </c>
      <c r="S14" s="61">
        <f>S13/((1+WACC!$B$14)^(S3-$K$3))</f>
        <v>1.1494113205274417</v>
      </c>
      <c r="T14" s="61">
        <f>T13/((1+WACC!$B$14)^(T3-$K$3))</f>
        <v>1.1376589599595088</v>
      </c>
      <c r="U14" s="61">
        <f>U13/((1+WACC!$B$14)^(U3-$K$3))</f>
        <v>1.1260267634933665</v>
      </c>
      <c r="V14" s="62">
        <f>V13/((1+WACC!$B$14)^(U3-$K$3))</f>
        <v>8.0983307449432882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8.0983307449432882</v>
      </c>
      <c r="L17" s="16">
        <f>C17/$C$19</f>
        <v>0.40701815816511278</v>
      </c>
      <c r="O17" s="18"/>
      <c r="U17" s="73"/>
    </row>
    <row r="18" spans="2:22" x14ac:dyDescent="0.25">
      <c r="B18" s="8" t="s">
        <v>26</v>
      </c>
      <c r="C18" s="32">
        <f>SUM(14:14)-V14</f>
        <v>11.798400107192512</v>
      </c>
      <c r="K18" s="3"/>
      <c r="L18" s="16">
        <f>C18/$C$19</f>
        <v>0.59298184183488722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19.8967308521358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1">
        <f>Python!E3/1000000/K10</f>
        <v>3.2620647525962125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1.0500916310323762</v>
      </c>
      <c r="F21" s="14"/>
      <c r="G21" s="14"/>
      <c r="H21" s="14"/>
    </row>
    <row r="22" spans="2:22" ht="15.75" customHeight="1" thickBot="1" x14ac:dyDescent="0.3">
      <c r="B22" s="34" t="s">
        <v>30</v>
      </c>
      <c r="C22" s="60">
        <f>C19+C20-C21</f>
        <v>22.108703973699637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8"/>
  <sheetViews>
    <sheetView workbookViewId="0"/>
  </sheetViews>
  <sheetFormatPr defaultRowHeight="15" x14ac:dyDescent="0.25"/>
  <sheetData>
    <row r="1" spans="1:6" x14ac:dyDescent="0.25">
      <c r="A1" s="72" t="s">
        <v>31</v>
      </c>
      <c r="B1" s="72" t="s">
        <v>17</v>
      </c>
      <c r="C1" s="72" t="s">
        <v>19</v>
      </c>
      <c r="D1" s="72" t="s">
        <v>21</v>
      </c>
      <c r="E1" s="72" t="s">
        <v>28</v>
      </c>
      <c r="F1" s="72" t="s">
        <v>32</v>
      </c>
    </row>
    <row r="2" spans="1:6" x14ac:dyDescent="0.25">
      <c r="A2" s="72" t="s">
        <v>33</v>
      </c>
      <c r="F2">
        <v>0.15701379310344829</v>
      </c>
    </row>
    <row r="3" spans="1:6" x14ac:dyDescent="0.25">
      <c r="A3" s="72" t="s">
        <v>34</v>
      </c>
      <c r="B3">
        <v>23276000000</v>
      </c>
      <c r="C3">
        <v>1357000000</v>
      </c>
      <c r="D3">
        <v>1637000000</v>
      </c>
      <c r="E3">
        <v>5340000000</v>
      </c>
      <c r="F3">
        <v>6.8965290539279689E-2</v>
      </c>
    </row>
    <row r="4" spans="1:6" x14ac:dyDescent="0.25">
      <c r="A4" s="72" t="s">
        <v>35</v>
      </c>
      <c r="B4">
        <v>22800000000</v>
      </c>
      <c r="C4">
        <v>1172000000</v>
      </c>
      <c r="D4">
        <v>1639000000</v>
      </c>
      <c r="E4">
        <v>6035000000</v>
      </c>
      <c r="F4">
        <v>2.315735849056599E-2</v>
      </c>
    </row>
    <row r="5" spans="1:6" x14ac:dyDescent="0.25">
      <c r="A5" s="72" t="s">
        <v>36</v>
      </c>
      <c r="B5">
        <v>22680000000</v>
      </c>
      <c r="C5">
        <v>1121000000</v>
      </c>
      <c r="D5">
        <v>1628000000</v>
      </c>
      <c r="E5">
        <v>5773000000</v>
      </c>
      <c r="F5">
        <v>7.9942846936953416E-3</v>
      </c>
    </row>
    <row r="6" spans="1:6" x14ac:dyDescent="0.25">
      <c r="A6" s="72" t="s">
        <v>37</v>
      </c>
      <c r="B6">
        <v>22111000000</v>
      </c>
      <c r="C6">
        <v>1322000000</v>
      </c>
      <c r="D6">
        <v>1629000000</v>
      </c>
      <c r="E6">
        <v>5785000000</v>
      </c>
      <c r="F6">
        <v>-3.5061994609164371E-2</v>
      </c>
    </row>
    <row r="7" spans="1:6" x14ac:dyDescent="0.25">
      <c r="A7" s="72" t="s">
        <v>38</v>
      </c>
      <c r="B7">
        <v>21876000000</v>
      </c>
      <c r="C7">
        <v>1867000000</v>
      </c>
      <c r="D7">
        <v>1627000000</v>
      </c>
      <c r="E7">
        <v>6285000000</v>
      </c>
      <c r="F7">
        <v>-0.18920763358778631</v>
      </c>
    </row>
    <row r="8" spans="1:6" x14ac:dyDescent="0.25">
      <c r="A8" s="72" t="s">
        <v>39</v>
      </c>
      <c r="B8">
        <v>23067000000</v>
      </c>
      <c r="C8">
        <v>2519000000</v>
      </c>
      <c r="D8">
        <v>1611000000</v>
      </c>
      <c r="E8">
        <v>5939000000</v>
      </c>
      <c r="F8">
        <v>-9.9718022762018022E-2</v>
      </c>
    </row>
    <row r="9" spans="1:6" x14ac:dyDescent="0.25">
      <c r="A9" s="72" t="s">
        <v>40</v>
      </c>
      <c r="B9">
        <v>23601000000</v>
      </c>
      <c r="C9">
        <v>3115000000</v>
      </c>
      <c r="D9">
        <v>1618000000</v>
      </c>
      <c r="E9">
        <v>5855000000</v>
      </c>
      <c r="F9">
        <v>0.16403025279734759</v>
      </c>
    </row>
    <row r="10" spans="1:6" x14ac:dyDescent="0.25">
      <c r="A10" s="72" t="s">
        <v>41</v>
      </c>
      <c r="B10">
        <v>22828000000</v>
      </c>
      <c r="C10">
        <v>3408000000</v>
      </c>
      <c r="D10">
        <v>1625000000</v>
      </c>
      <c r="E10">
        <v>5591000000</v>
      </c>
    </row>
    <row r="11" spans="1:6" x14ac:dyDescent="0.25">
      <c r="A11" s="72" t="s">
        <v>42</v>
      </c>
      <c r="B11">
        <v>21576000000</v>
      </c>
      <c r="C11">
        <v>3330000000</v>
      </c>
      <c r="D11">
        <v>1632000000</v>
      </c>
      <c r="E11">
        <v>5992000000</v>
      </c>
    </row>
    <row r="12" spans="1:6" x14ac:dyDescent="0.25">
      <c r="A12" s="72" t="s">
        <v>43</v>
      </c>
      <c r="B12">
        <v>18876000000</v>
      </c>
      <c r="C12">
        <v>3312000000</v>
      </c>
      <c r="D12">
        <v>1410000000</v>
      </c>
      <c r="E12">
        <v>6532000000</v>
      </c>
      <c r="F12">
        <v>0.29572401451378799</v>
      </c>
    </row>
    <row r="13" spans="1:6" x14ac:dyDescent="0.25">
      <c r="A13" s="72" t="s">
        <v>44</v>
      </c>
      <c r="B13">
        <v>16434000000</v>
      </c>
      <c r="C13">
        <v>3220000000</v>
      </c>
      <c r="D13">
        <v>1222000000</v>
      </c>
      <c r="E13">
        <v>3608000000</v>
      </c>
      <c r="F13">
        <v>0.54332305795314428</v>
      </c>
    </row>
    <row r="14" spans="1:6" x14ac:dyDescent="0.25">
      <c r="A14" s="72" t="s">
        <v>45</v>
      </c>
      <c r="B14">
        <v>14852000000</v>
      </c>
      <c r="C14">
        <v>2964000000</v>
      </c>
      <c r="D14">
        <v>1230000000</v>
      </c>
      <c r="E14">
        <v>3608000000</v>
      </c>
      <c r="F14">
        <v>0.46649053909318111</v>
      </c>
    </row>
    <row r="15" spans="1:6" x14ac:dyDescent="0.25">
      <c r="A15" s="72" t="s">
        <v>46</v>
      </c>
      <c r="B15">
        <v>13340000000</v>
      </c>
      <c r="C15">
        <v>2465000000</v>
      </c>
      <c r="D15">
        <v>1232000000</v>
      </c>
      <c r="E15">
        <v>3793000000</v>
      </c>
      <c r="F15">
        <v>1.128379917184265</v>
      </c>
    </row>
    <row r="16" spans="1:6" x14ac:dyDescent="0.25">
      <c r="A16" s="72" t="s">
        <v>47</v>
      </c>
      <c r="B16">
        <v>11422000000</v>
      </c>
      <c r="C16">
        <v>1729000000</v>
      </c>
      <c r="D16">
        <v>1231000000</v>
      </c>
      <c r="E16">
        <v>3116000000</v>
      </c>
      <c r="F16">
        <v>0.79418812989921617</v>
      </c>
    </row>
    <row r="17" spans="1:6" x14ac:dyDescent="0.25">
      <c r="A17" s="72" t="s">
        <v>48</v>
      </c>
      <c r="B17">
        <v>9763000000</v>
      </c>
      <c r="C17">
        <v>777000000</v>
      </c>
      <c r="D17">
        <v>1226000000</v>
      </c>
      <c r="E17">
        <v>2290000000</v>
      </c>
      <c r="F17">
        <v>0.41830747531734841</v>
      </c>
    </row>
    <row r="18" spans="1:6" x14ac:dyDescent="0.25">
      <c r="A18" s="72" t="s">
        <v>49</v>
      </c>
      <c r="B18">
        <v>8646000000</v>
      </c>
      <c r="C18">
        <v>697000000</v>
      </c>
      <c r="D18">
        <v>1215000000</v>
      </c>
      <c r="E18">
        <v>1771000000</v>
      </c>
      <c r="F18">
        <v>0.36558280621876738</v>
      </c>
    </row>
    <row r="19" spans="1:6" x14ac:dyDescent="0.25">
      <c r="A19" s="72" t="s">
        <v>50</v>
      </c>
      <c r="B19">
        <v>7646000000</v>
      </c>
      <c r="C19">
        <v>611000000</v>
      </c>
      <c r="D19">
        <v>1227000000</v>
      </c>
      <c r="E19">
        <v>1775000000</v>
      </c>
      <c r="F19">
        <v>0.1217069451338995</v>
      </c>
    </row>
    <row r="20" spans="1:6" x14ac:dyDescent="0.25">
      <c r="A20" s="72" t="s">
        <v>51</v>
      </c>
      <c r="B20">
        <v>7245000000</v>
      </c>
      <c r="C20">
        <v>431000000</v>
      </c>
      <c r="D20">
        <v>1224000000</v>
      </c>
      <c r="E20">
        <v>1385000000</v>
      </c>
      <c r="F20">
        <v>0.40408805031446549</v>
      </c>
    </row>
    <row r="21" spans="1:6" x14ac:dyDescent="0.25">
      <c r="A21" s="72" t="s">
        <v>52</v>
      </c>
      <c r="B21">
        <v>6731000000</v>
      </c>
      <c r="C21">
        <v>276000000</v>
      </c>
      <c r="D21">
        <v>1188000000</v>
      </c>
      <c r="E21">
        <v>1503000000</v>
      </c>
      <c r="F21">
        <v>0.45210095137420708</v>
      </c>
    </row>
    <row r="22" spans="1:6" x14ac:dyDescent="0.25">
      <c r="A22" s="72" t="s">
        <v>53</v>
      </c>
      <c r="B22">
        <v>6023000000</v>
      </c>
      <c r="C22">
        <v>-95000000</v>
      </c>
      <c r="D22">
        <v>1117000000</v>
      </c>
      <c r="E22">
        <v>1209000000</v>
      </c>
      <c r="F22">
        <v>8.9534180278281861E-2</v>
      </c>
    </row>
    <row r="23" spans="1:6" x14ac:dyDescent="0.25">
      <c r="A23" s="72" t="s">
        <v>54</v>
      </c>
      <c r="B23">
        <v>5875000000</v>
      </c>
      <c r="C23">
        <v>-212000000</v>
      </c>
      <c r="D23">
        <v>1109000000</v>
      </c>
      <c r="E23">
        <v>1128000000</v>
      </c>
      <c r="F23">
        <v>-0.12813211845102501</v>
      </c>
    </row>
    <row r="24" spans="1:6" x14ac:dyDescent="0.25">
      <c r="A24" s="72" t="s">
        <v>55</v>
      </c>
      <c r="B24">
        <v>6100000000</v>
      </c>
      <c r="C24">
        <v>-272000000</v>
      </c>
      <c r="D24">
        <v>1094000000</v>
      </c>
      <c r="E24">
        <v>1194000000</v>
      </c>
      <c r="F24">
        <v>-0.35640558591378269</v>
      </c>
    </row>
    <row r="25" spans="1:6" x14ac:dyDescent="0.25">
      <c r="A25" s="72" t="s">
        <v>56</v>
      </c>
      <c r="B25">
        <v>6475000000</v>
      </c>
      <c r="C25">
        <v>-129000000</v>
      </c>
      <c r="D25">
        <v>1079000000</v>
      </c>
      <c r="E25">
        <v>1156000000</v>
      </c>
      <c r="F25">
        <v>-4.1216216216216177E-2</v>
      </c>
    </row>
    <row r="26" spans="1:6" x14ac:dyDescent="0.25">
      <c r="A26" s="72" t="s">
        <v>57</v>
      </c>
      <c r="B26">
        <v>6396000000</v>
      </c>
      <c r="C26">
        <v>181000000</v>
      </c>
      <c r="D26">
        <v>1076000000</v>
      </c>
      <c r="E26">
        <v>1056000000</v>
      </c>
      <c r="F26">
        <v>-7.1304836883749223E-2</v>
      </c>
    </row>
    <row r="27" spans="1:6" x14ac:dyDescent="0.25">
      <c r="A27" s="72" t="s">
        <v>58</v>
      </c>
      <c r="B27">
        <v>6327000000</v>
      </c>
      <c r="C27">
        <v>151000000</v>
      </c>
      <c r="D27">
        <v>1147000000</v>
      </c>
      <c r="E27">
        <v>983000000</v>
      </c>
      <c r="F27">
        <v>0.33434650409165312</v>
      </c>
    </row>
    <row r="28" spans="1:6" x14ac:dyDescent="0.25">
      <c r="A28" s="72" t="s">
        <v>59</v>
      </c>
      <c r="B28">
        <v>5722000000</v>
      </c>
      <c r="C28">
        <v>145000000</v>
      </c>
      <c r="D28">
        <v>1039000000</v>
      </c>
      <c r="E28">
        <v>1045000000</v>
      </c>
      <c r="F28">
        <v>0.36945676219512191</v>
      </c>
    </row>
    <row r="29" spans="1:6" x14ac:dyDescent="0.25">
      <c r="A29" s="72" t="s">
        <v>60</v>
      </c>
      <c r="B29">
        <v>5253000000</v>
      </c>
      <c r="C29">
        <v>-45000000</v>
      </c>
      <c r="D29">
        <v>1037000000</v>
      </c>
      <c r="E29">
        <v>1185000000</v>
      </c>
      <c r="F29">
        <v>-0.24276672694394211</v>
      </c>
    </row>
    <row r="30" spans="1:6" x14ac:dyDescent="0.25">
      <c r="A30" s="72" t="s">
        <v>61</v>
      </c>
      <c r="B30">
        <v>5019000000</v>
      </c>
      <c r="C30">
        <v>-217000000</v>
      </c>
      <c r="D30">
        <v>1042000000</v>
      </c>
      <c r="E30">
        <v>879000000</v>
      </c>
      <c r="F30">
        <v>-3.045141545524099E-2</v>
      </c>
    </row>
    <row r="31" spans="1:6" x14ac:dyDescent="0.25">
      <c r="A31" s="72" t="s">
        <v>62</v>
      </c>
      <c r="B31">
        <v>4742000000</v>
      </c>
      <c r="C31">
        <v>-229000000</v>
      </c>
      <c r="D31">
        <v>945000000</v>
      </c>
      <c r="E31">
        <v>844000000</v>
      </c>
    </row>
    <row r="32" spans="1:6" x14ac:dyDescent="0.25">
      <c r="A32" s="72" t="s">
        <v>63</v>
      </c>
      <c r="B32">
        <v>4618000000</v>
      </c>
      <c r="C32">
        <v>-241000000</v>
      </c>
      <c r="D32">
        <v>939000000</v>
      </c>
      <c r="E32">
        <v>943000000</v>
      </c>
      <c r="F32">
        <v>0.41586538461538458</v>
      </c>
    </row>
    <row r="33" spans="1:6" x14ac:dyDescent="0.25">
      <c r="A33" s="72" t="s">
        <v>64</v>
      </c>
      <c r="B33">
        <v>4272000000</v>
      </c>
      <c r="C33">
        <v>13000000</v>
      </c>
      <c r="D33">
        <v>931000000</v>
      </c>
      <c r="E33">
        <v>1264000000</v>
      </c>
      <c r="F33">
        <v>1.3089770354906061</v>
      </c>
    </row>
    <row r="34" spans="1:6" x14ac:dyDescent="0.25">
      <c r="A34" s="72" t="s">
        <v>65</v>
      </c>
      <c r="B34">
        <v>4124000000</v>
      </c>
      <c r="C34">
        <v>-133000000</v>
      </c>
      <c r="D34">
        <v>815000000</v>
      </c>
      <c r="E34">
        <v>1258000000</v>
      </c>
    </row>
    <row r="35" spans="1:6" x14ac:dyDescent="0.25">
      <c r="A35" s="72" t="s">
        <v>66</v>
      </c>
      <c r="B35">
        <v>3878000000</v>
      </c>
      <c r="C35">
        <v>-237000000</v>
      </c>
      <c r="D35">
        <v>821000000</v>
      </c>
      <c r="E35">
        <v>957000000</v>
      </c>
      <c r="F35">
        <v>0.74437367303609348</v>
      </c>
    </row>
    <row r="36" spans="1:6" x14ac:dyDescent="0.25">
      <c r="A36" s="72" t="s">
        <v>67</v>
      </c>
      <c r="B36">
        <v>3793000000</v>
      </c>
      <c r="C36">
        <v>-206000000</v>
      </c>
      <c r="D36">
        <v>793000000</v>
      </c>
      <c r="E36">
        <v>716000000</v>
      </c>
      <c r="F36">
        <v>-0.1249190941747573</v>
      </c>
    </row>
    <row r="37" spans="1:6" x14ac:dyDescent="0.25">
      <c r="A37" s="72" t="s">
        <v>68</v>
      </c>
      <c r="B37">
        <v>3991000000</v>
      </c>
      <c r="C37">
        <v>-333000000</v>
      </c>
      <c r="D37">
        <v>791000000</v>
      </c>
      <c r="E37">
        <v>785000000</v>
      </c>
      <c r="F37">
        <v>-0.22679580306698949</v>
      </c>
    </row>
    <row r="38" spans="1:6" x14ac:dyDescent="0.25">
      <c r="A38" s="72" t="s">
        <v>69</v>
      </c>
      <c r="B38">
        <v>4272000000</v>
      </c>
      <c r="C38">
        <v>-260000000</v>
      </c>
      <c r="D38">
        <v>785000000</v>
      </c>
      <c r="E38">
        <v>755000000</v>
      </c>
      <c r="F38">
        <v>-0.47589840727781663</v>
      </c>
    </row>
    <row r="39" spans="1:6" x14ac:dyDescent="0.25">
      <c r="A39" s="72" t="s">
        <v>70</v>
      </c>
      <c r="B39">
        <v>4640000000</v>
      </c>
      <c r="C39">
        <v>-187000000</v>
      </c>
      <c r="D39">
        <v>778000000</v>
      </c>
      <c r="E39">
        <v>829000000</v>
      </c>
      <c r="F39">
        <v>-0.34628730048577372</v>
      </c>
    </row>
    <row r="40" spans="1:6" x14ac:dyDescent="0.25">
      <c r="A40" s="72" t="s">
        <v>71</v>
      </c>
      <c r="B40">
        <v>5139000000</v>
      </c>
      <c r="C40">
        <v>-163000000</v>
      </c>
      <c r="D40">
        <v>777000000</v>
      </c>
      <c r="E40">
        <v>906000000</v>
      </c>
      <c r="F40">
        <v>-0.45255905511811018</v>
      </c>
    </row>
    <row r="41" spans="1:6" x14ac:dyDescent="0.25">
      <c r="A41" s="72" t="s">
        <v>72</v>
      </c>
      <c r="B41">
        <v>5506000000</v>
      </c>
      <c r="C41">
        <v>-193000000</v>
      </c>
      <c r="D41">
        <v>776000000</v>
      </c>
      <c r="E41">
        <v>1040000000</v>
      </c>
      <c r="F41">
        <v>33.321079735682822</v>
      </c>
    </row>
    <row r="42" spans="1:6" x14ac:dyDescent="0.25">
      <c r="A42" s="72" t="s">
        <v>73</v>
      </c>
      <c r="B42">
        <v>5856000000</v>
      </c>
      <c r="C42">
        <v>-287000000</v>
      </c>
      <c r="D42">
        <v>785000000</v>
      </c>
      <c r="E42">
        <v>938000000</v>
      </c>
      <c r="F42">
        <v>0.30412959137577</v>
      </c>
    </row>
    <row r="43" spans="1:6" x14ac:dyDescent="0.25">
      <c r="A43" s="72" t="s">
        <v>74</v>
      </c>
      <c r="B43">
        <v>5888000000</v>
      </c>
      <c r="C43">
        <v>-270000000</v>
      </c>
      <c r="D43">
        <v>764000000</v>
      </c>
      <c r="E43">
        <v>948000000</v>
      </c>
      <c r="F43">
        <v>0.86175710594315236</v>
      </c>
    </row>
    <row r="44" spans="1:6" x14ac:dyDescent="0.25">
      <c r="A44" s="72" t="s">
        <v>75</v>
      </c>
      <c r="B44">
        <v>5608000000</v>
      </c>
      <c r="C44">
        <v>-282000000</v>
      </c>
      <c r="D44">
        <v>761000000</v>
      </c>
      <c r="E44">
        <v>902000000</v>
      </c>
    </row>
    <row r="45" spans="1:6" x14ac:dyDescent="0.25">
      <c r="A45" s="72" t="s">
        <v>76</v>
      </c>
      <c r="B45">
        <v>5299000000</v>
      </c>
      <c r="C45">
        <v>-232000000</v>
      </c>
      <c r="D45">
        <v>766000000</v>
      </c>
      <c r="E45">
        <v>1097000000</v>
      </c>
      <c r="F45">
        <v>0.1464646458874459</v>
      </c>
    </row>
    <row r="46" spans="1:6" x14ac:dyDescent="0.25">
      <c r="A46" s="72" t="s">
        <v>77</v>
      </c>
      <c r="B46">
        <v>4865000000</v>
      </c>
      <c r="C46">
        <v>-540000000</v>
      </c>
      <c r="D46">
        <v>764000000</v>
      </c>
      <c r="E46">
        <v>1060000000</v>
      </c>
      <c r="F46">
        <v>-0.42434988179669031</v>
      </c>
    </row>
    <row r="47" spans="1:6" x14ac:dyDescent="0.25">
      <c r="A47" s="72" t="s">
        <v>78</v>
      </c>
      <c r="B47">
        <v>4673000000</v>
      </c>
      <c r="C47">
        <v>-818000000</v>
      </c>
      <c r="D47">
        <v>752000000</v>
      </c>
      <c r="E47">
        <v>968000000</v>
      </c>
      <c r="F47">
        <v>9.5541401273885329E-2</v>
      </c>
    </row>
    <row r="48" spans="1:6" x14ac:dyDescent="0.25">
      <c r="A48" s="72" t="s">
        <v>79</v>
      </c>
      <c r="B48">
        <v>4925000000</v>
      </c>
      <c r="C48">
        <v>-713000000</v>
      </c>
      <c r="D48">
        <v>749000000</v>
      </c>
      <c r="E48">
        <v>1003000000</v>
      </c>
      <c r="F48">
        <v>-4.9551080126182923E-2</v>
      </c>
    </row>
    <row r="49" spans="1:6" x14ac:dyDescent="0.25">
      <c r="A49" s="72" t="s">
        <v>80</v>
      </c>
      <c r="B49">
        <v>5422000000</v>
      </c>
      <c r="C49">
        <v>-471000000</v>
      </c>
      <c r="D49">
        <v>747000000</v>
      </c>
      <c r="E49">
        <v>1002000000</v>
      </c>
      <c r="F49">
        <v>-2.4246008870490891E-2</v>
      </c>
    </row>
    <row r="50" spans="1:6" x14ac:dyDescent="0.25">
      <c r="A50" s="72" t="s">
        <v>81</v>
      </c>
      <c r="B50">
        <v>5958000000</v>
      </c>
      <c r="C50">
        <v>-63000000</v>
      </c>
      <c r="D50">
        <v>745000000</v>
      </c>
      <c r="E50">
        <v>1300000000</v>
      </c>
      <c r="F50">
        <v>-0.43683431952662721</v>
      </c>
    </row>
    <row r="51" spans="1:6" x14ac:dyDescent="0.25">
      <c r="A51" s="72" t="s">
        <v>82</v>
      </c>
      <c r="B51">
        <v>6379000000</v>
      </c>
      <c r="C51">
        <v>340000000</v>
      </c>
      <c r="D51">
        <v>755000000</v>
      </c>
      <c r="E51">
        <v>1579000000</v>
      </c>
      <c r="F51">
        <v>4.733163913595928E-2</v>
      </c>
    </row>
    <row r="52" spans="1:6" x14ac:dyDescent="0.25">
      <c r="A52" s="72" t="s">
        <v>83</v>
      </c>
      <c r="B52">
        <v>6540000000</v>
      </c>
      <c r="C52">
        <v>405000000</v>
      </c>
      <c r="D52">
        <v>734000000</v>
      </c>
      <c r="E52">
        <v>1544000000</v>
      </c>
      <c r="F52">
        <v>-0.26301921884686918</v>
      </c>
    </row>
    <row r="53" spans="1:6" x14ac:dyDescent="0.25">
      <c r="A53" s="72" t="s">
        <v>84</v>
      </c>
      <c r="B53">
        <v>6568000000</v>
      </c>
      <c r="C53">
        <v>132000000</v>
      </c>
      <c r="D53">
        <v>734000000</v>
      </c>
      <c r="E53">
        <v>1765000000</v>
      </c>
      <c r="F53">
        <v>-0.13644633110976351</v>
      </c>
    </row>
    <row r="54" spans="1:6" x14ac:dyDescent="0.25">
      <c r="A54" s="72" t="s">
        <v>85</v>
      </c>
      <c r="B54">
        <v>6526000000</v>
      </c>
      <c r="C54">
        <v>-219000000</v>
      </c>
      <c r="D54">
        <v>741000000</v>
      </c>
      <c r="E54">
        <v>1807000000</v>
      </c>
      <c r="F54">
        <v>-0.30366707911001228</v>
      </c>
    </row>
    <row r="55" spans="1:6" x14ac:dyDescent="0.25">
      <c r="A55" s="72" t="s">
        <v>86</v>
      </c>
      <c r="B55">
        <v>6454000000</v>
      </c>
      <c r="C55">
        <v>-505000000</v>
      </c>
      <c r="D55">
        <v>743000000</v>
      </c>
      <c r="E55">
        <v>1861000000</v>
      </c>
      <c r="F55">
        <v>-0.15359279431336961</v>
      </c>
    </row>
    <row r="56" spans="1:6" x14ac:dyDescent="0.25">
      <c r="A56" s="72" t="s">
        <v>87</v>
      </c>
      <c r="B56">
        <v>6533000000</v>
      </c>
      <c r="C56">
        <v>-741000000</v>
      </c>
      <c r="D56">
        <v>764000000</v>
      </c>
      <c r="E56">
        <v>1745000000</v>
      </c>
      <c r="F56">
        <v>-0.35951397712833538</v>
      </c>
    </row>
    <row r="57" spans="1:6" x14ac:dyDescent="0.25">
      <c r="A57" s="72" t="s">
        <v>88</v>
      </c>
      <c r="B57">
        <v>6494000000</v>
      </c>
      <c r="C57">
        <v>-560000000</v>
      </c>
      <c r="D57">
        <v>764000000</v>
      </c>
      <c r="E57">
        <v>1789000000</v>
      </c>
      <c r="F57">
        <v>-0.21285367132442279</v>
      </c>
    </row>
    <row r="58" spans="1:6" x14ac:dyDescent="0.25">
      <c r="A58" s="72" t="s">
        <v>89</v>
      </c>
      <c r="B58">
        <v>6491000000</v>
      </c>
      <c r="C58">
        <v>668000000</v>
      </c>
      <c r="D58">
        <v>713000000</v>
      </c>
      <c r="E58">
        <v>1726000000</v>
      </c>
      <c r="F58">
        <v>-0.5363896848137536</v>
      </c>
    </row>
    <row r="59" spans="1:6" x14ac:dyDescent="0.25">
      <c r="A59" s="72" t="s">
        <v>90</v>
      </c>
      <c r="B59">
        <v>6269000000</v>
      </c>
      <c r="C59">
        <v>584000000</v>
      </c>
      <c r="D59">
        <v>709000000</v>
      </c>
      <c r="E59">
        <v>1896000000</v>
      </c>
      <c r="F59">
        <v>0.29576910895270281</v>
      </c>
    </row>
    <row r="60" spans="1:6" x14ac:dyDescent="0.25">
      <c r="A60" s="72" t="s">
        <v>91</v>
      </c>
      <c r="B60">
        <v>5800000000</v>
      </c>
      <c r="C60">
        <v>457000000</v>
      </c>
      <c r="D60">
        <v>754000000</v>
      </c>
      <c r="E60">
        <v>1932000000</v>
      </c>
      <c r="F60">
        <v>-0.40564523789294821</v>
      </c>
    </row>
    <row r="61" spans="1:6" x14ac:dyDescent="0.25">
      <c r="A61" s="72" t="s">
        <v>92</v>
      </c>
      <c r="B61">
        <v>5403000000</v>
      </c>
      <c r="C61">
        <v>7000000</v>
      </c>
      <c r="D61">
        <v>754000000</v>
      </c>
      <c r="E61">
        <v>2676000000</v>
      </c>
      <c r="F61">
        <v>-0.84114013691931544</v>
      </c>
    </row>
    <row r="62" spans="1:6" x14ac:dyDescent="0.25">
      <c r="A62" s="72" t="s">
        <v>93</v>
      </c>
      <c r="B62">
        <v>4984000000</v>
      </c>
      <c r="C62">
        <v>-1333000000</v>
      </c>
      <c r="D62">
        <v>694000000</v>
      </c>
      <c r="E62">
        <v>2511000000</v>
      </c>
      <c r="F62">
        <v>0.83408408389639632</v>
      </c>
    </row>
    <row r="63" spans="1:6" x14ac:dyDescent="0.25">
      <c r="A63" s="72" t="s">
        <v>94</v>
      </c>
      <c r="B63">
        <v>5364000000</v>
      </c>
      <c r="C63">
        <v>-1392000000</v>
      </c>
      <c r="D63">
        <v>667000000</v>
      </c>
      <c r="E63">
        <v>2514000000</v>
      </c>
      <c r="F63">
        <v>-0.1581367909562639</v>
      </c>
    </row>
    <row r="64" spans="1:6" x14ac:dyDescent="0.25">
      <c r="A64" s="72" t="s">
        <v>95</v>
      </c>
      <c r="B64">
        <v>5529000000</v>
      </c>
      <c r="C64">
        <v>-1484000000</v>
      </c>
      <c r="D64">
        <v>626000000</v>
      </c>
      <c r="E64">
        <v>2719000000</v>
      </c>
      <c r="F64">
        <v>-0.2179401993355482</v>
      </c>
    </row>
    <row r="65" spans="1:6" x14ac:dyDescent="0.25">
      <c r="A65" s="72" t="s">
        <v>96</v>
      </c>
      <c r="B65">
        <v>5857000000</v>
      </c>
      <c r="C65">
        <v>-1316000000</v>
      </c>
      <c r="D65">
        <v>626000000</v>
      </c>
      <c r="E65">
        <v>1096000000</v>
      </c>
      <c r="F65">
        <v>-0.48621960225988697</v>
      </c>
    </row>
    <row r="66" spans="1:6" x14ac:dyDescent="0.25">
      <c r="A66" s="72" t="s">
        <v>97</v>
      </c>
      <c r="B66">
        <v>6400000000</v>
      </c>
      <c r="C66">
        <v>-1158000000</v>
      </c>
      <c r="D66">
        <v>608000000</v>
      </c>
      <c r="E66">
        <v>1341000000</v>
      </c>
      <c r="F66">
        <v>2.3880090496323532</v>
      </c>
    </row>
    <row r="67" spans="1:6" x14ac:dyDescent="0.25">
      <c r="A67" s="72" t="s">
        <v>98</v>
      </c>
      <c r="B67">
        <v>6256000000</v>
      </c>
      <c r="C67">
        <v>-1056000000</v>
      </c>
      <c r="D67">
        <v>607000000</v>
      </c>
      <c r="E67">
        <v>1567000000</v>
      </c>
      <c r="F67">
        <v>-0.14339622641509431</v>
      </c>
    </row>
    <row r="68" spans="1:6" x14ac:dyDescent="0.25">
      <c r="A68" s="72" t="s">
        <v>99</v>
      </c>
      <c r="B68">
        <v>6285000000</v>
      </c>
      <c r="C68">
        <v>-1757000000</v>
      </c>
      <c r="D68">
        <v>606000000</v>
      </c>
      <c r="E68">
        <v>1753000000</v>
      </c>
      <c r="F68">
        <v>0.20600162206001629</v>
      </c>
    </row>
    <row r="69" spans="1:6" x14ac:dyDescent="0.25">
      <c r="A69" s="72" t="s">
        <v>100</v>
      </c>
      <c r="B69">
        <v>6013000000</v>
      </c>
      <c r="C69">
        <v>-1995000000</v>
      </c>
      <c r="D69">
        <v>606000000</v>
      </c>
      <c r="E69">
        <v>1889000000</v>
      </c>
      <c r="F69">
        <v>1.0748211729906541</v>
      </c>
    </row>
    <row r="70" spans="1:6" x14ac:dyDescent="0.25">
      <c r="A70" s="72" t="s">
        <v>101</v>
      </c>
      <c r="B70">
        <v>6015853000</v>
      </c>
      <c r="C70">
        <v>-2184802000</v>
      </c>
      <c r="D70">
        <v>554000000</v>
      </c>
      <c r="E70">
        <v>1528000000</v>
      </c>
      <c r="F70">
        <v>0.60305033887657777</v>
      </c>
    </row>
    <row r="71" spans="1:6" x14ac:dyDescent="0.25">
      <c r="A71" s="72" t="s">
        <v>102</v>
      </c>
      <c r="B71">
        <v>5711475000</v>
      </c>
      <c r="C71">
        <v>-2183509000</v>
      </c>
      <c r="D71">
        <v>552000000</v>
      </c>
      <c r="E71">
        <v>1594000000</v>
      </c>
      <c r="F71">
        <v>-3.7124053842302551E-2</v>
      </c>
    </row>
    <row r="72" spans="1:6" x14ac:dyDescent="0.25">
      <c r="A72" s="72" t="s">
        <v>103</v>
      </c>
      <c r="B72">
        <v>5549842000</v>
      </c>
      <c r="C72">
        <v>-1371023000</v>
      </c>
      <c r="D72">
        <v>549000000</v>
      </c>
      <c r="E72">
        <v>1167000000</v>
      </c>
      <c r="F72">
        <v>-0.35571937562961747</v>
      </c>
    </row>
    <row r="73" spans="1:6" x14ac:dyDescent="0.25">
      <c r="A73" s="72" t="s">
        <v>104</v>
      </c>
      <c r="B73">
        <v>5649000000</v>
      </c>
      <c r="C73">
        <v>-570000000</v>
      </c>
      <c r="D73">
        <v>549000000</v>
      </c>
      <c r="E73">
        <v>1541000000</v>
      </c>
      <c r="F73">
        <v>1.083127060354375</v>
      </c>
    </row>
    <row r="74" spans="1:6" x14ac:dyDescent="0.25">
      <c r="A74" s="72" t="s">
        <v>105</v>
      </c>
      <c r="B74">
        <v>5714423000</v>
      </c>
      <c r="C74">
        <v>32941000</v>
      </c>
      <c r="D74">
        <v>497000000</v>
      </c>
      <c r="E74">
        <v>2356903000</v>
      </c>
      <c r="F74">
        <v>-0.22503036404411739</v>
      </c>
    </row>
    <row r="75" spans="1:6" x14ac:dyDescent="0.25">
      <c r="A75" s="72" t="s">
        <v>106</v>
      </c>
      <c r="B75">
        <v>5909556000</v>
      </c>
      <c r="C75">
        <v>294438000</v>
      </c>
      <c r="D75">
        <v>500176000</v>
      </c>
      <c r="E75">
        <v>2530062000</v>
      </c>
      <c r="F75">
        <v>0.18000624723196279</v>
      </c>
    </row>
    <row r="76" spans="1:6" x14ac:dyDescent="0.25">
      <c r="A76" s="72" t="s">
        <v>107</v>
      </c>
      <c r="B76">
        <v>5953107000</v>
      </c>
      <c r="C76">
        <v>492850000</v>
      </c>
      <c r="D76">
        <v>495326000</v>
      </c>
      <c r="E76">
        <v>2632663000</v>
      </c>
      <c r="F76">
        <v>-0.17115951453904521</v>
      </c>
    </row>
    <row r="77" spans="1:6" x14ac:dyDescent="0.25">
      <c r="A77" s="72" t="s">
        <v>108</v>
      </c>
      <c r="B77">
        <v>5847577000</v>
      </c>
      <c r="C77">
        <v>-30318000</v>
      </c>
      <c r="D77">
        <v>495326000</v>
      </c>
      <c r="E77">
        <v>1794766000</v>
      </c>
      <c r="F77">
        <v>0.45399024773167168</v>
      </c>
    </row>
    <row r="78" spans="1:6" x14ac:dyDescent="0.25">
      <c r="A78" s="72" t="s">
        <v>109</v>
      </c>
      <c r="B78">
        <v>5273007000</v>
      </c>
      <c r="C78">
        <v>-346648000</v>
      </c>
      <c r="D78">
        <v>443681000</v>
      </c>
      <c r="E78">
        <v>1342167000</v>
      </c>
      <c r="F78">
        <v>0.14029487542548799</v>
      </c>
    </row>
    <row r="79" spans="1:6" x14ac:dyDescent="0.25">
      <c r="A79" s="72" t="s">
        <v>110</v>
      </c>
      <c r="B79">
        <v>4989711000</v>
      </c>
      <c r="C79">
        <v>-556791000</v>
      </c>
      <c r="D79">
        <v>405739000</v>
      </c>
      <c r="E79">
        <v>1220064000</v>
      </c>
      <c r="F79">
        <v>0.66410822713234752</v>
      </c>
    </row>
    <row r="80" spans="1:6" x14ac:dyDescent="0.25">
      <c r="A80" s="72" t="s">
        <v>111</v>
      </c>
      <c r="B80">
        <v>4991630000</v>
      </c>
      <c r="C80">
        <v>-624974000</v>
      </c>
      <c r="D80">
        <v>393077000</v>
      </c>
      <c r="E80">
        <v>1084809000</v>
      </c>
      <c r="F80">
        <v>-0.50397635779698535</v>
      </c>
    </row>
    <row r="81" spans="1:6" x14ac:dyDescent="0.25">
      <c r="A81" s="72" t="s">
        <v>112</v>
      </c>
      <c r="B81">
        <v>5001435000</v>
      </c>
      <c r="C81">
        <v>-353616000</v>
      </c>
      <c r="D81">
        <v>393077000</v>
      </c>
      <c r="E81">
        <v>1195559000</v>
      </c>
      <c r="F81">
        <v>0.44127205449932122</v>
      </c>
    </row>
    <row r="82" spans="1:6" x14ac:dyDescent="0.25">
      <c r="A82" s="72" t="s">
        <v>113</v>
      </c>
      <c r="B82">
        <v>4943322000</v>
      </c>
      <c r="C82">
        <v>-19614000</v>
      </c>
      <c r="D82">
        <v>417576000</v>
      </c>
      <c r="E82">
        <v>1185177000</v>
      </c>
      <c r="F82">
        <v>0.2995945516634706</v>
      </c>
    </row>
    <row r="83" spans="1:6" x14ac:dyDescent="0.25">
      <c r="A83" s="72" t="s">
        <v>114</v>
      </c>
      <c r="B83">
        <v>4657622000</v>
      </c>
      <c r="C83">
        <v>-219000</v>
      </c>
      <c r="D83">
        <v>420053000</v>
      </c>
      <c r="E83">
        <v>1142274000</v>
      </c>
      <c r="F83">
        <v>0.95548777936369933</v>
      </c>
    </row>
    <row r="84" spans="1:6" x14ac:dyDescent="0.25">
      <c r="A84" s="72" t="s">
        <v>115</v>
      </c>
      <c r="B84">
        <v>4041046000</v>
      </c>
      <c r="C84">
        <v>-11359000</v>
      </c>
      <c r="D84">
        <v>417963000</v>
      </c>
      <c r="E84">
        <v>1096387000</v>
      </c>
      <c r="F84">
        <v>-0.42323077579752427</v>
      </c>
    </row>
    <row r="85" spans="1:6" x14ac:dyDescent="0.25">
      <c r="A85" s="72" t="s">
        <v>116</v>
      </c>
      <c r="B85">
        <v>3519168000</v>
      </c>
      <c r="C85">
        <v>-274730000</v>
      </c>
      <c r="D85">
        <v>417963000</v>
      </c>
      <c r="E85">
        <v>1313367000</v>
      </c>
      <c r="F85">
        <v>0.75633349212592682</v>
      </c>
    </row>
    <row r="86" spans="1:6" x14ac:dyDescent="0.25">
      <c r="A86" s="72" t="s">
        <v>117</v>
      </c>
      <c r="B86">
        <v>3000005000</v>
      </c>
      <c r="C86">
        <v>-736574000</v>
      </c>
      <c r="D86">
        <v>347334000</v>
      </c>
      <c r="E86">
        <v>1075939000</v>
      </c>
      <c r="F86">
        <v>6.5068817673992134</v>
      </c>
    </row>
    <row r="87" spans="1:6" x14ac:dyDescent="0.25">
      <c r="A87" s="72" t="s">
        <v>118</v>
      </c>
      <c r="B87">
        <v>2554473000</v>
      </c>
      <c r="C87">
        <v>-902004000</v>
      </c>
      <c r="D87">
        <v>346320000</v>
      </c>
      <c r="E87">
        <v>738801000</v>
      </c>
      <c r="F87">
        <v>0.42432771002450442</v>
      </c>
    </row>
    <row r="88" spans="1:6" x14ac:dyDescent="0.25">
      <c r="A88" s="72" t="s">
        <v>119</v>
      </c>
      <c r="B88">
        <v>2509511000</v>
      </c>
      <c r="C88">
        <v>-1064665000</v>
      </c>
      <c r="D88">
        <v>345012000</v>
      </c>
      <c r="E88">
        <v>800009000</v>
      </c>
      <c r="F88">
        <v>-9.4656736206493286E-2</v>
      </c>
    </row>
    <row r="89" spans="1:6" x14ac:dyDescent="0.25">
      <c r="A89" s="72" t="s">
        <v>120</v>
      </c>
      <c r="B89">
        <v>2697029000</v>
      </c>
      <c r="C89">
        <v>-794057000</v>
      </c>
      <c r="D89">
        <v>345012000</v>
      </c>
      <c r="E89">
        <v>1037705000</v>
      </c>
      <c r="F89">
        <v>-0.32010137801996702</v>
      </c>
    </row>
    <row r="90" spans="1:6" x14ac:dyDescent="0.25">
      <c r="A90" s="72" t="s">
        <v>121</v>
      </c>
      <c r="B90">
        <v>2962472000</v>
      </c>
      <c r="C90">
        <v>-583431000</v>
      </c>
      <c r="D90">
        <v>342780000</v>
      </c>
      <c r="E90">
        <v>865824000</v>
      </c>
      <c r="F90">
        <v>-0.39921001344875762</v>
      </c>
    </row>
    <row r="91" spans="1:6" x14ac:dyDescent="0.25">
      <c r="A91" s="72" t="s">
        <v>122</v>
      </c>
      <c r="B91">
        <v>3220115000</v>
      </c>
      <c r="C91">
        <v>-384927000</v>
      </c>
      <c r="D91">
        <v>341782000</v>
      </c>
      <c r="E91">
        <v>1099943000</v>
      </c>
      <c r="F91">
        <v>-0.49226806317900579</v>
      </c>
    </row>
    <row r="92" spans="1:6" x14ac:dyDescent="0.25">
      <c r="A92" s="72" t="s">
        <v>123</v>
      </c>
      <c r="B92">
        <v>3605080000</v>
      </c>
      <c r="C92">
        <v>-483813000</v>
      </c>
      <c r="D92">
        <v>340806000</v>
      </c>
      <c r="E92">
        <v>1276723000</v>
      </c>
      <c r="F92">
        <v>0.51773253686444631</v>
      </c>
    </row>
    <row r="93" spans="1:6" x14ac:dyDescent="0.25">
      <c r="A93" s="72" t="s">
        <v>124</v>
      </c>
      <c r="B93">
        <v>3891754000</v>
      </c>
      <c r="C93">
        <v>-511220000</v>
      </c>
      <c r="D93">
        <v>340806000</v>
      </c>
      <c r="E93">
        <v>869997000</v>
      </c>
      <c r="F93">
        <v>0.25551408644862211</v>
      </c>
    </row>
    <row r="94" spans="1:6" x14ac:dyDescent="0.25">
      <c r="A94" s="72" t="s">
        <v>125</v>
      </c>
      <c r="B94">
        <v>4115053000</v>
      </c>
      <c r="C94">
        <v>-463605000</v>
      </c>
      <c r="D94">
        <v>345044000</v>
      </c>
      <c r="E94">
        <v>903534000</v>
      </c>
      <c r="F94">
        <v>-0.36521434272458059</v>
      </c>
    </row>
    <row r="95" spans="1:6" x14ac:dyDescent="0.25">
      <c r="A95" s="72" t="s">
        <v>126</v>
      </c>
      <c r="B95">
        <v>4555732000</v>
      </c>
      <c r="C95">
        <v>-372857000</v>
      </c>
      <c r="D95">
        <v>340533000</v>
      </c>
      <c r="E95">
        <v>1057163000</v>
      </c>
      <c r="F95">
        <v>-0.32654213853458158</v>
      </c>
    </row>
    <row r="96" spans="1:6" x14ac:dyDescent="0.25">
      <c r="A96" s="72" t="s">
        <v>127</v>
      </c>
      <c r="B96">
        <v>4740905000</v>
      </c>
      <c r="C96">
        <v>126385000</v>
      </c>
      <c r="D96">
        <v>351785000</v>
      </c>
      <c r="E96">
        <v>1595556000</v>
      </c>
      <c r="F96">
        <v>-2.915408748302473E-2</v>
      </c>
    </row>
    <row r="97" spans="1:6" x14ac:dyDescent="0.25">
      <c r="A97" s="72" t="s">
        <v>128</v>
      </c>
      <c r="B97">
        <v>4644187000</v>
      </c>
      <c r="C97">
        <v>400078000</v>
      </c>
      <c r="D97">
        <v>351785000</v>
      </c>
      <c r="E97">
        <v>1293165000</v>
      </c>
      <c r="F97">
        <v>0.25724471410432442</v>
      </c>
    </row>
    <row r="98" spans="1:6" x14ac:dyDescent="0.25">
      <c r="A98" s="72" t="s">
        <v>129</v>
      </c>
      <c r="B98">
        <v>4437725000</v>
      </c>
      <c r="C98">
        <v>592442000</v>
      </c>
      <c r="D98">
        <v>352893000</v>
      </c>
      <c r="E98">
        <v>1233497000</v>
      </c>
      <c r="F98">
        <v>0.76504227625824539</v>
      </c>
    </row>
    <row r="99" spans="1:6" x14ac:dyDescent="0.25">
      <c r="A99" s="72" t="s">
        <v>130</v>
      </c>
      <c r="B99">
        <v>3893368000</v>
      </c>
      <c r="C99">
        <v>383346000</v>
      </c>
      <c r="D99">
        <v>352437000</v>
      </c>
      <c r="E99">
        <v>1079893000</v>
      </c>
      <c r="F99">
        <v>0.80549373812192382</v>
      </c>
    </row>
    <row r="100" spans="1:6" x14ac:dyDescent="0.25">
      <c r="A100" s="72" t="s">
        <v>131</v>
      </c>
      <c r="B100">
        <v>3318040000</v>
      </c>
      <c r="C100">
        <v>75806000</v>
      </c>
      <c r="D100">
        <v>343884000</v>
      </c>
      <c r="E100">
        <v>919183000</v>
      </c>
      <c r="F100">
        <v>-0.21135088102623051</v>
      </c>
    </row>
    <row r="101" spans="1:6" x14ac:dyDescent="0.25">
      <c r="A101" s="72" t="s">
        <v>132</v>
      </c>
      <c r="B101">
        <v>2857604000</v>
      </c>
      <c r="C101">
        <v>-359852000</v>
      </c>
      <c r="D101">
        <v>343884000</v>
      </c>
      <c r="E101">
        <v>596511000</v>
      </c>
      <c r="F101">
        <v>13.36803072944398</v>
      </c>
    </row>
    <row r="102" spans="1:6" x14ac:dyDescent="0.25">
      <c r="A102" s="72" t="s">
        <v>133</v>
      </c>
      <c r="B102">
        <v>2677714000</v>
      </c>
      <c r="C102">
        <v>-642748000</v>
      </c>
      <c r="D102">
        <v>295223000</v>
      </c>
      <c r="E102">
        <v>377035000</v>
      </c>
      <c r="F102">
        <v>0.23357798133037491</v>
      </c>
    </row>
    <row r="103" spans="1:6" x14ac:dyDescent="0.25">
      <c r="A103" s="72" t="s">
        <v>134</v>
      </c>
      <c r="B103">
        <v>2701449000</v>
      </c>
      <c r="C103">
        <v>-798017000</v>
      </c>
      <c r="D103">
        <v>149540000</v>
      </c>
      <c r="E103">
        <v>650830000</v>
      </c>
      <c r="F103">
        <v>0.31515674082402412</v>
      </c>
    </row>
    <row r="104" spans="1:6" x14ac:dyDescent="0.25">
      <c r="A104" s="72" t="s">
        <v>135</v>
      </c>
      <c r="B104">
        <v>2632878000</v>
      </c>
      <c r="C104">
        <v>-826871000</v>
      </c>
      <c r="D104">
        <v>291818000</v>
      </c>
      <c r="E104">
        <v>489145000</v>
      </c>
      <c r="F104">
        <v>0.10938956025263651</v>
      </c>
    </row>
    <row r="105" spans="1:6" x14ac:dyDescent="0.25">
      <c r="A105" s="72" t="s">
        <v>136</v>
      </c>
      <c r="B105">
        <v>2542141000</v>
      </c>
      <c r="C105">
        <v>-851757000</v>
      </c>
      <c r="D105">
        <v>291818000</v>
      </c>
      <c r="E105">
        <v>697025000</v>
      </c>
      <c r="F105">
        <v>0.80099841642869607</v>
      </c>
    </row>
    <row r="106" spans="1:6" x14ac:dyDescent="0.25">
      <c r="A106" s="72" t="s">
        <v>137</v>
      </c>
      <c r="B106">
        <v>2366492000</v>
      </c>
      <c r="C106">
        <v>-802889000</v>
      </c>
      <c r="D106">
        <v>285966000</v>
      </c>
      <c r="E106">
        <v>580510000</v>
      </c>
      <c r="F106">
        <v>7.0471772112013191</v>
      </c>
    </row>
    <row r="107" spans="1:6" x14ac:dyDescent="0.25">
      <c r="A107" s="72" t="s">
        <v>138</v>
      </c>
      <c r="B107">
        <v>2277209000</v>
      </c>
      <c r="C107">
        <v>-572312000</v>
      </c>
      <c r="D107">
        <v>280869565</v>
      </c>
      <c r="E107">
        <v>692443000</v>
      </c>
      <c r="F107">
        <v>-0.55723634748999684</v>
      </c>
    </row>
    <row r="108" spans="1:6" x14ac:dyDescent="0.25">
      <c r="A108" s="72" t="s">
        <v>139</v>
      </c>
      <c r="B108">
        <v>2345232000</v>
      </c>
      <c r="C108">
        <v>-453297000</v>
      </c>
      <c r="D108">
        <v>285000000</v>
      </c>
      <c r="E108">
        <v>306804000</v>
      </c>
      <c r="F108">
        <v>-0.38112016144956778</v>
      </c>
    </row>
    <row r="109" spans="1:6" x14ac:dyDescent="0.25">
      <c r="A109" s="72" t="s">
        <v>140</v>
      </c>
      <c r="B109">
        <v>2356375000</v>
      </c>
      <c r="C109">
        <v>-286285000</v>
      </c>
      <c r="D109">
        <v>285006000</v>
      </c>
      <c r="E109">
        <v>467032000</v>
      </c>
      <c r="F109">
        <v>0.58673933519566557</v>
      </c>
    </row>
    <row r="110" spans="1:6" x14ac:dyDescent="0.25">
      <c r="A110" s="72" t="s">
        <v>141</v>
      </c>
      <c r="B110">
        <v>2240072000</v>
      </c>
      <c r="C110">
        <v>-253335000</v>
      </c>
      <c r="D110">
        <v>283460000</v>
      </c>
      <c r="E110">
        <v>441010000</v>
      </c>
      <c r="F110">
        <v>-3.0395401674904069E-2</v>
      </c>
    </row>
    <row r="111" spans="1:6" x14ac:dyDescent="0.25">
      <c r="A111" s="72" t="s">
        <v>142</v>
      </c>
      <c r="B111">
        <v>2100290000</v>
      </c>
      <c r="C111">
        <v>-289000000</v>
      </c>
      <c r="D111">
        <v>295838000</v>
      </c>
      <c r="E111">
        <v>543015000</v>
      </c>
      <c r="F111">
        <v>2.2664801780797541</v>
      </c>
    </row>
    <row r="112" spans="1:6" x14ac:dyDescent="0.25">
      <c r="A112" s="72" t="s">
        <v>143</v>
      </c>
      <c r="B112">
        <v>1960806000</v>
      </c>
      <c r="C112">
        <v>-327707000</v>
      </c>
      <c r="D112">
        <v>294644000</v>
      </c>
      <c r="E112">
        <v>628887000</v>
      </c>
      <c r="F112">
        <v>-0.7971378819283661</v>
      </c>
    </row>
    <row r="113" spans="1:6" x14ac:dyDescent="0.25">
      <c r="A113" s="72" t="s">
        <v>144</v>
      </c>
      <c r="B113">
        <v>1953019000</v>
      </c>
      <c r="C113">
        <v>-411781000</v>
      </c>
      <c r="D113">
        <v>294644000</v>
      </c>
      <c r="E113">
        <v>386198000</v>
      </c>
      <c r="F113">
        <v>8.927219410855125E-2</v>
      </c>
    </row>
    <row r="114" spans="1:6" x14ac:dyDescent="0.25">
      <c r="A114" s="72" t="s">
        <v>145</v>
      </c>
      <c r="B114">
        <v>2049180000</v>
      </c>
      <c r="C114">
        <v>-427189000</v>
      </c>
      <c r="D114">
        <v>272164000</v>
      </c>
      <c r="E114">
        <v>361344000</v>
      </c>
    </row>
    <row r="115" spans="1:6" x14ac:dyDescent="0.25">
      <c r="A115" s="72" t="s">
        <v>146</v>
      </c>
      <c r="B115">
        <v>2182703000</v>
      </c>
      <c r="C115">
        <v>-313241000</v>
      </c>
      <c r="D115">
        <v>270532000</v>
      </c>
      <c r="E115">
        <v>281658000</v>
      </c>
    </row>
    <row r="116" spans="1:6" x14ac:dyDescent="0.25">
      <c r="A116" s="72" t="s">
        <v>147</v>
      </c>
      <c r="B116">
        <v>2353840000</v>
      </c>
      <c r="C116">
        <v>-110381000</v>
      </c>
      <c r="D116">
        <v>276798000</v>
      </c>
      <c r="E116">
        <v>409299000</v>
      </c>
    </row>
    <row r="117" spans="1:6" x14ac:dyDescent="0.25">
      <c r="A117" s="72" t="s">
        <v>148</v>
      </c>
      <c r="B117">
        <v>2429724000</v>
      </c>
      <c r="C117">
        <v>-8917000</v>
      </c>
      <c r="D117">
        <v>276798000</v>
      </c>
      <c r="E117">
        <v>490647000</v>
      </c>
    </row>
    <row r="118" spans="1:6" x14ac:dyDescent="0.25">
      <c r="A118" s="72" t="s">
        <v>149</v>
      </c>
      <c r="B118">
        <v>2381904000</v>
      </c>
      <c r="C118">
        <v>-89586000</v>
      </c>
      <c r="D118">
        <v>214638000</v>
      </c>
      <c r="E118">
        <v>492923000</v>
      </c>
    </row>
    <row r="119" spans="1:6" x14ac:dyDescent="0.25">
      <c r="A119" s="72" t="s">
        <v>150</v>
      </c>
      <c r="B119">
        <v>2334633000</v>
      </c>
      <c r="C119">
        <v>-46572000</v>
      </c>
      <c r="D119">
        <v>214612000</v>
      </c>
      <c r="E119">
        <v>548960000</v>
      </c>
    </row>
    <row r="120" spans="1:6" x14ac:dyDescent="0.25">
      <c r="A120" s="72" t="s">
        <v>151</v>
      </c>
      <c r="B120">
        <v>2241716000</v>
      </c>
      <c r="C120">
        <v>-53342000</v>
      </c>
      <c r="D120">
        <v>213434000</v>
      </c>
      <c r="E120">
        <v>487528000</v>
      </c>
    </row>
    <row r="121" spans="1:6" x14ac:dyDescent="0.25">
      <c r="A121" s="72" t="s">
        <v>152</v>
      </c>
      <c r="B121">
        <v>2134700000</v>
      </c>
      <c r="C121">
        <v>24431000</v>
      </c>
      <c r="D121">
        <v>213434000</v>
      </c>
      <c r="E121">
        <v>377854000</v>
      </c>
    </row>
    <row r="122" spans="1:6" x14ac:dyDescent="0.25">
      <c r="A122" s="72" t="s">
        <v>153</v>
      </c>
      <c r="B122">
        <v>2002871000</v>
      </c>
      <c r="C122">
        <v>235773000</v>
      </c>
      <c r="D122">
        <v>209744000</v>
      </c>
      <c r="E122">
        <v>518985000</v>
      </c>
    </row>
    <row r="123" spans="1:6" x14ac:dyDescent="0.25">
      <c r="A123" s="72" t="s">
        <v>154</v>
      </c>
      <c r="B123">
        <v>1878157000</v>
      </c>
      <c r="C123">
        <v>232800000</v>
      </c>
      <c r="D123">
        <v>208498000</v>
      </c>
      <c r="E123">
        <v>571329000</v>
      </c>
    </row>
    <row r="124" spans="1:6" x14ac:dyDescent="0.25">
      <c r="A124" s="72" t="s">
        <v>155</v>
      </c>
      <c r="B124">
        <v>1753960000</v>
      </c>
      <c r="C124">
        <v>167326000</v>
      </c>
      <c r="D124">
        <v>207340000</v>
      </c>
      <c r="E124">
        <v>542687000</v>
      </c>
    </row>
    <row r="125" spans="1:6" x14ac:dyDescent="0.25">
      <c r="A125" s="72" t="s">
        <v>156</v>
      </c>
      <c r="B125">
        <v>1648280000</v>
      </c>
      <c r="C125">
        <v>132559000</v>
      </c>
      <c r="D125">
        <v>207340000</v>
      </c>
      <c r="E125">
        <v>60423000</v>
      </c>
    </row>
    <row r="126" spans="1:6" x14ac:dyDescent="0.25">
      <c r="A126" s="72" t="s">
        <v>157</v>
      </c>
      <c r="B126">
        <v>1635100000</v>
      </c>
      <c r="C126">
        <v>27800000</v>
      </c>
      <c r="D126">
        <v>195666667</v>
      </c>
      <c r="E126">
        <v>25800000</v>
      </c>
    </row>
    <row r="127" spans="1:6" x14ac:dyDescent="0.25">
      <c r="A127" s="72" t="s">
        <v>158</v>
      </c>
      <c r="B127">
        <v>1573400000</v>
      </c>
      <c r="C127">
        <v>93900000</v>
      </c>
      <c r="D127">
        <v>193125000</v>
      </c>
      <c r="E127">
        <v>43100000</v>
      </c>
    </row>
    <row r="128" spans="1:6" x14ac:dyDescent="0.25">
      <c r="A128" s="72" t="s">
        <v>159</v>
      </c>
      <c r="B128">
        <v>1514500000</v>
      </c>
      <c r="C128">
        <v>99700000</v>
      </c>
      <c r="D128">
        <v>190000000</v>
      </c>
      <c r="E128">
        <v>80500000</v>
      </c>
    </row>
    <row r="129" spans="1:5" x14ac:dyDescent="0.25">
      <c r="A129" s="72" t="s">
        <v>160</v>
      </c>
      <c r="B129">
        <v>1514500000</v>
      </c>
      <c r="C129">
        <v>166600000</v>
      </c>
      <c r="D129">
        <v>190000000</v>
      </c>
      <c r="E129">
        <v>52000000</v>
      </c>
    </row>
    <row r="130" spans="1:5" x14ac:dyDescent="0.25">
      <c r="A130" s="72" t="s">
        <v>161</v>
      </c>
      <c r="B130">
        <v>1480400000</v>
      </c>
      <c r="C130">
        <v>233200000</v>
      </c>
      <c r="D130">
        <v>186000000</v>
      </c>
      <c r="E130">
        <v>163300000</v>
      </c>
    </row>
    <row r="131" spans="1:5" x14ac:dyDescent="0.25">
      <c r="A131" s="72" t="s">
        <v>162</v>
      </c>
      <c r="B131">
        <v>1413100000</v>
      </c>
      <c r="C131">
        <v>189400000</v>
      </c>
      <c r="D131">
        <v>184761905</v>
      </c>
      <c r="E131">
        <v>97800000</v>
      </c>
    </row>
    <row r="132" spans="1:5" x14ac:dyDescent="0.25">
      <c r="A132" s="72" t="s">
        <v>163</v>
      </c>
      <c r="B132">
        <v>1359700000</v>
      </c>
      <c r="C132">
        <v>164100000</v>
      </c>
      <c r="D132">
        <v>191395349</v>
      </c>
      <c r="E132">
        <v>167600000</v>
      </c>
    </row>
    <row r="133" spans="1:5" x14ac:dyDescent="0.25">
      <c r="A133" s="72" t="s">
        <v>164</v>
      </c>
      <c r="B133">
        <v>1226600000</v>
      </c>
      <c r="C133">
        <v>78100000</v>
      </c>
      <c r="D133">
        <v>191395349</v>
      </c>
      <c r="E133">
        <v>153900000</v>
      </c>
    </row>
    <row r="134" spans="1:5" x14ac:dyDescent="0.25">
      <c r="A134" s="72" t="s">
        <v>165</v>
      </c>
      <c r="B134">
        <v>1126400000</v>
      </c>
      <c r="C134">
        <v>-26200000</v>
      </c>
      <c r="D134">
        <v>181250000</v>
      </c>
      <c r="E134">
        <v>87600000</v>
      </c>
    </row>
    <row r="135" spans="1:5" x14ac:dyDescent="0.25">
      <c r="A135" s="72" t="s">
        <v>166</v>
      </c>
      <c r="B135">
        <v>1091200000</v>
      </c>
      <c r="C135">
        <v>-77900000</v>
      </c>
      <c r="D135">
        <v>163333333</v>
      </c>
      <c r="E135">
        <v>77000000</v>
      </c>
    </row>
    <row r="136" spans="1:5" x14ac:dyDescent="0.25">
      <c r="A136" s="72" t="s">
        <v>167</v>
      </c>
      <c r="B136">
        <v>1062100000</v>
      </c>
      <c r="C136">
        <v>-142500000</v>
      </c>
      <c r="D136">
        <v>160000000</v>
      </c>
      <c r="E136">
        <v>70200000</v>
      </c>
    </row>
    <row r="137" spans="1:5" x14ac:dyDescent="0.25">
      <c r="A137" s="72" t="s">
        <v>168</v>
      </c>
      <c r="B137">
        <v>1059300000</v>
      </c>
      <c r="C137">
        <v>-196200000</v>
      </c>
      <c r="D137">
        <v>160000000</v>
      </c>
      <c r="E137">
        <v>49100000</v>
      </c>
    </row>
    <row r="138" spans="1:5" x14ac:dyDescent="0.25">
      <c r="A138" s="72" t="s">
        <v>169</v>
      </c>
      <c r="B138">
        <v>1078600000</v>
      </c>
      <c r="C138">
        <v>-189000000</v>
      </c>
      <c r="D138">
        <v>156923077</v>
      </c>
      <c r="E138">
        <v>43100000</v>
      </c>
    </row>
    <row r="139" spans="1:5" x14ac:dyDescent="0.25">
      <c r="A139" s="72" t="s">
        <v>170</v>
      </c>
      <c r="B139">
        <v>1099200000</v>
      </c>
      <c r="C139">
        <v>-144000000</v>
      </c>
      <c r="D139">
        <v>170000000</v>
      </c>
      <c r="E139">
        <v>19800000</v>
      </c>
    </row>
    <row r="140" spans="1:5" x14ac:dyDescent="0.25">
      <c r="A140" s="72" t="s">
        <v>171</v>
      </c>
      <c r="B140">
        <v>1106400000</v>
      </c>
      <c r="C140">
        <v>-54700000</v>
      </c>
      <c r="D140">
        <v>150000000</v>
      </c>
      <c r="E140">
        <v>76200000</v>
      </c>
    </row>
    <row r="141" spans="1:5" x14ac:dyDescent="0.25">
      <c r="A141" s="72" t="s">
        <v>172</v>
      </c>
      <c r="B141">
        <v>1104500000</v>
      </c>
      <c r="C141">
        <v>-6500000</v>
      </c>
      <c r="D141">
        <v>150000000</v>
      </c>
      <c r="E141">
        <v>79700000</v>
      </c>
    </row>
    <row r="142" spans="1:5" x14ac:dyDescent="0.25">
      <c r="A142" s="72" t="s">
        <v>173</v>
      </c>
      <c r="B142">
        <v>1067400000</v>
      </c>
      <c r="C142">
        <v>0</v>
      </c>
      <c r="D142">
        <v>158333333</v>
      </c>
      <c r="E142">
        <v>136400000</v>
      </c>
    </row>
    <row r="143" spans="1:5" x14ac:dyDescent="0.25">
      <c r="A143" s="72" t="s">
        <v>174</v>
      </c>
      <c r="B143">
        <v>1078100000</v>
      </c>
      <c r="C143">
        <v>0</v>
      </c>
      <c r="D143">
        <v>159894000</v>
      </c>
    </row>
    <row r="144" spans="1:5" x14ac:dyDescent="0.25">
      <c r="A144" s="72" t="s">
        <v>175</v>
      </c>
      <c r="B144">
        <v>1111300000</v>
      </c>
      <c r="C144">
        <v>0</v>
      </c>
      <c r="D144">
        <v>159882000</v>
      </c>
    </row>
    <row r="145" spans="1:5" x14ac:dyDescent="0.25">
      <c r="A145" s="72" t="s">
        <v>176</v>
      </c>
      <c r="B145">
        <v>1125900000</v>
      </c>
      <c r="C145">
        <v>0</v>
      </c>
      <c r="D145">
        <v>159882000</v>
      </c>
      <c r="E145">
        <v>286800000</v>
      </c>
    </row>
    <row r="146" spans="1:5" x14ac:dyDescent="0.25">
      <c r="A146" s="72" t="s">
        <v>177</v>
      </c>
      <c r="B146">
        <v>1140400000</v>
      </c>
      <c r="C146">
        <v>0</v>
      </c>
      <c r="D146">
        <v>156014000</v>
      </c>
    </row>
    <row r="147" spans="1:5" x14ac:dyDescent="0.25">
      <c r="A147" s="72" t="s">
        <v>178</v>
      </c>
      <c r="B147">
        <v>1115800000</v>
      </c>
      <c r="C147">
        <v>0</v>
      </c>
      <c r="D147">
        <v>156014000</v>
      </c>
    </row>
    <row r="148" spans="1:5" x14ac:dyDescent="0.25">
      <c r="A148" s="72" t="s">
        <v>179</v>
      </c>
      <c r="B148">
        <v>1281300000</v>
      </c>
      <c r="C148">
        <v>0</v>
      </c>
      <c r="D148">
        <v>154600000</v>
      </c>
    </row>
    <row r="149" spans="1:5" x14ac:dyDescent="0.25">
      <c r="A149" s="72" t="s">
        <v>180</v>
      </c>
      <c r="B149">
        <v>1167300000</v>
      </c>
      <c r="C149">
        <v>0</v>
      </c>
      <c r="D149">
        <v>154600000</v>
      </c>
      <c r="E149">
        <v>235200000</v>
      </c>
    </row>
    <row r="150" spans="1:5" x14ac:dyDescent="0.25">
      <c r="A150" s="72" t="s">
        <v>181</v>
      </c>
      <c r="B150">
        <v>1054900000</v>
      </c>
      <c r="C150">
        <v>0</v>
      </c>
      <c r="D150">
        <v>154600000</v>
      </c>
    </row>
    <row r="151" spans="1:5" x14ac:dyDescent="0.25">
      <c r="A151" s="72" t="s">
        <v>182</v>
      </c>
      <c r="B151">
        <v>951700000</v>
      </c>
      <c r="C151">
        <v>0</v>
      </c>
      <c r="D151">
        <v>161028000</v>
      </c>
    </row>
    <row r="152" spans="1:5" x14ac:dyDescent="0.25">
      <c r="A152" s="72" t="s">
        <v>183</v>
      </c>
      <c r="B152">
        <v>632000000</v>
      </c>
      <c r="C152">
        <v>0</v>
      </c>
      <c r="D152">
        <v>161028000</v>
      </c>
      <c r="E152">
        <v>28900000</v>
      </c>
    </row>
    <row r="153" spans="1:5" x14ac:dyDescent="0.25">
      <c r="A153" s="72" t="s">
        <v>184</v>
      </c>
      <c r="B153">
        <v>615200000</v>
      </c>
      <c r="C153">
        <v>0</v>
      </c>
      <c r="D153">
        <v>114318000</v>
      </c>
    </row>
    <row r="154" spans="1:5" x14ac:dyDescent="0.25">
      <c r="A154" s="72" t="s">
        <v>185</v>
      </c>
      <c r="B154">
        <v>609100000</v>
      </c>
      <c r="C154">
        <v>0</v>
      </c>
      <c r="D154">
        <v>114318000</v>
      </c>
    </row>
    <row r="155" spans="1:5" x14ac:dyDescent="0.25">
      <c r="A155" s="72" t="s">
        <v>186</v>
      </c>
      <c r="B155">
        <v>579500000</v>
      </c>
      <c r="C155">
        <v>0</v>
      </c>
      <c r="D155">
        <v>114318000</v>
      </c>
    </row>
    <row r="156" spans="1:5" x14ac:dyDescent="0.25">
      <c r="A156" s="72" t="s">
        <v>187</v>
      </c>
      <c r="D156">
        <v>114318000</v>
      </c>
      <c r="E156">
        <v>15400000</v>
      </c>
    </row>
    <row r="157" spans="1:5" x14ac:dyDescent="0.25">
      <c r="A157" s="72" t="s">
        <v>188</v>
      </c>
      <c r="D157">
        <v>111864000</v>
      </c>
    </row>
    <row r="158" spans="1:5" x14ac:dyDescent="0.25">
      <c r="A158" s="72" t="s">
        <v>189</v>
      </c>
      <c r="D158">
        <v>111864000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190</v>
      </c>
      <c r="B1" s="27" t="s">
        <v>191</v>
      </c>
      <c r="C1" t="s">
        <v>192</v>
      </c>
      <c r="D1" t="s">
        <v>193</v>
      </c>
      <c r="F1" s="27" t="s">
        <v>191</v>
      </c>
      <c r="G1" t="s">
        <v>192</v>
      </c>
      <c r="H1" t="s">
        <v>193</v>
      </c>
      <c r="J1" t="s">
        <v>194</v>
      </c>
      <c r="K1" t="s">
        <v>192</v>
      </c>
      <c r="L1" t="s">
        <v>193</v>
      </c>
      <c r="N1" t="s">
        <v>195</v>
      </c>
      <c r="O1" t="s">
        <v>192</v>
      </c>
      <c r="P1" t="s">
        <v>193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196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197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198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199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200</v>
      </c>
    </row>
    <row r="7" spans="1:46" x14ac:dyDescent="0.25">
      <c r="A7" s="27" t="s">
        <v>201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202</v>
      </c>
    </row>
    <row r="8" spans="1:46" x14ac:dyDescent="0.25">
      <c r="A8" s="27" t="s">
        <v>203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204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205</v>
      </c>
    </row>
    <row r="10" spans="1:46" x14ac:dyDescent="0.25">
      <c r="A10" s="27" t="s">
        <v>206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207</v>
      </c>
    </row>
    <row r="11" spans="1:46" x14ac:dyDescent="0.25">
      <c r="A11" s="27" t="s">
        <v>208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209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210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211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212</v>
      </c>
    </row>
    <row r="15" spans="1:46" x14ac:dyDescent="0.25">
      <c r="A15" s="27" t="s">
        <v>213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214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215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216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217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218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219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220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221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222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223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224</v>
      </c>
      <c r="J26">
        <v>0.61799999999999999</v>
      </c>
      <c r="N26">
        <v>-0.36399999999999999</v>
      </c>
    </row>
    <row r="27" spans="1:17" x14ac:dyDescent="0.25">
      <c r="A27" s="27" t="s">
        <v>225</v>
      </c>
    </row>
    <row r="28" spans="1:17" x14ac:dyDescent="0.25">
      <c r="A28" s="27" t="s">
        <v>226</v>
      </c>
    </row>
    <row r="29" spans="1:17" x14ac:dyDescent="0.25">
      <c r="A29" s="27" t="s">
        <v>227</v>
      </c>
    </row>
    <row r="31" spans="1:17" x14ac:dyDescent="0.25">
      <c r="A31" s="26" t="s">
        <v>228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229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2" t="s">
        <v>230</v>
      </c>
      <c r="C1" s="72" t="s">
        <v>231</v>
      </c>
      <c r="D1" s="72" t="s">
        <v>11</v>
      </c>
      <c r="E1" s="72" t="s">
        <v>9</v>
      </c>
    </row>
    <row r="2" spans="1:5" x14ac:dyDescent="0.25">
      <c r="A2" s="72">
        <v>0</v>
      </c>
      <c r="B2">
        <v>3</v>
      </c>
      <c r="C2" t="s">
        <v>232</v>
      </c>
      <c r="D2">
        <v>1.9681442946515739</v>
      </c>
      <c r="E2">
        <v>0.1770633557336958</v>
      </c>
    </row>
    <row r="3" spans="1:5" x14ac:dyDescent="0.25">
      <c r="A3" s="72">
        <v>1</v>
      </c>
      <c r="B3">
        <v>3</v>
      </c>
      <c r="C3" t="s">
        <v>233</v>
      </c>
      <c r="D3">
        <v>1.9080143848826581</v>
      </c>
      <c r="E3">
        <v>0.17289815685647769</v>
      </c>
    </row>
    <row r="4" spans="1:5" x14ac:dyDescent="0.25">
      <c r="A4" s="72">
        <v>2</v>
      </c>
      <c r="B4">
        <v>3</v>
      </c>
      <c r="C4" t="s">
        <v>234</v>
      </c>
      <c r="D4">
        <v>2.0988286904437912</v>
      </c>
      <c r="E4">
        <v>0.18611586389004531</v>
      </c>
    </row>
    <row r="5" spans="1:5" x14ac:dyDescent="0.25">
      <c r="A5" s="72">
        <v>3</v>
      </c>
      <c r="B5">
        <v>5</v>
      </c>
      <c r="C5" t="s">
        <v>232</v>
      </c>
      <c r="D5">
        <v>1.6888144684723201</v>
      </c>
      <c r="E5">
        <v>0.15771417854639189</v>
      </c>
    </row>
    <row r="6" spans="1:5" x14ac:dyDescent="0.25">
      <c r="A6" s="72">
        <v>4</v>
      </c>
      <c r="B6">
        <v>5</v>
      </c>
      <c r="C6" t="s">
        <v>233</v>
      </c>
      <c r="D6">
        <v>1.531602549294246</v>
      </c>
      <c r="E6">
        <v>0.14682410883296079</v>
      </c>
    </row>
    <row r="7" spans="1:5" x14ac:dyDescent="0.25">
      <c r="A7" s="72">
        <v>5</v>
      </c>
      <c r="B7">
        <v>5</v>
      </c>
      <c r="C7" t="s">
        <v>234</v>
      </c>
      <c r="D7">
        <v>1.5674394948901449</v>
      </c>
      <c r="E7">
        <v>0.14930653407079361</v>
      </c>
    </row>
    <row r="8" spans="1:5" x14ac:dyDescent="0.25">
      <c r="A8" s="72">
        <v>6</v>
      </c>
      <c r="B8" t="s">
        <v>228</v>
      </c>
      <c r="D8">
        <v>1.7938073137724559</v>
      </c>
      <c r="E8">
        <v>0.16498703298839409</v>
      </c>
    </row>
    <row r="9" spans="1:5" x14ac:dyDescent="0.25">
      <c r="A9" s="72">
        <v>7</v>
      </c>
      <c r="B9" t="s">
        <v>229</v>
      </c>
      <c r="D9">
        <v>1.7984144266774891</v>
      </c>
      <c r="E9">
        <v>0.1653061677014348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2024-10-18T21:33:11Z</dcterms:modified>
</cp:coreProperties>
</file>