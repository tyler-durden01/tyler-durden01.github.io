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7" documentId="11_A863712640A063C4C4574C95CE5F2A7F75BB8EED" xr6:coauthVersionLast="47" xr6:coauthVersionMax="47" xr10:uidLastSave="{E63A540E-A4E1-49B2-B8BC-E9A13887EE6F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" l="1"/>
  <c r="M11" i="3"/>
  <c r="L8" i="3"/>
  <c r="O32" i="5"/>
  <c r="O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L3" i="5"/>
  <c r="K3" i="5"/>
  <c r="K32" i="5" s="1"/>
  <c r="H3" i="5"/>
  <c r="G3" i="5"/>
  <c r="G32" i="5" s="1"/>
  <c r="D3" i="5"/>
  <c r="C3" i="5"/>
  <c r="R2" i="5"/>
  <c r="H2" i="5"/>
  <c r="G2" i="5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G10" i="3"/>
  <c r="E10" i="3"/>
  <c r="L5" i="3"/>
  <c r="N5" i="3" s="1"/>
  <c r="O5" i="3" s="1"/>
  <c r="P5" i="3" s="1"/>
  <c r="Q5" i="3" s="1"/>
  <c r="R5" i="3" s="1"/>
  <c r="S5" i="3" s="1"/>
  <c r="T5" i="3" s="1"/>
  <c r="U5" i="3" s="1"/>
  <c r="G4" i="3"/>
  <c r="G5" i="3" s="1"/>
  <c r="F4" i="3"/>
  <c r="F5" i="3" s="1"/>
  <c r="D4" i="3"/>
  <c r="I3" i="3"/>
  <c r="H3" i="3"/>
  <c r="D3" i="3"/>
  <c r="K1" i="3"/>
  <c r="K10" i="3" s="1"/>
  <c r="J1" i="3"/>
  <c r="J4" i="3" s="1"/>
  <c r="I1" i="3"/>
  <c r="I7" i="3" s="1"/>
  <c r="H1" i="3"/>
  <c r="H7" i="3" s="1"/>
  <c r="G1" i="3"/>
  <c r="G3" i="3" s="1"/>
  <c r="F1" i="3"/>
  <c r="F3" i="3" s="1"/>
  <c r="E1" i="3"/>
  <c r="E4" i="3" s="1"/>
  <c r="E5" i="3" s="1"/>
  <c r="D1" i="3"/>
  <c r="D10" i="3" s="1"/>
  <c r="C21" i="3" l="1"/>
  <c r="C20" i="3"/>
  <c r="E1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I13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I11" i="3"/>
  <c r="G31" i="5"/>
  <c r="J7" i="3"/>
  <c r="K7" i="3"/>
  <c r="F10" i="3"/>
  <c r="F11" i="3" s="1"/>
  <c r="L1" i="3"/>
  <c r="J3" i="3"/>
  <c r="H4" i="3"/>
  <c r="H5" i="3" s="1"/>
  <c r="D7" i="3"/>
  <c r="K3" i="3"/>
  <c r="I4" i="3"/>
  <c r="I5" i="3" s="1"/>
  <c r="E7" i="3"/>
  <c r="H10" i="3"/>
  <c r="H11" i="3" s="1"/>
  <c r="K31" i="5"/>
  <c r="E3" i="3"/>
  <c r="K4" i="3"/>
  <c r="G7" i="3"/>
  <c r="J10" i="3"/>
  <c r="J11" i="3" s="1"/>
  <c r="F7" i="3"/>
  <c r="F8" i="3" l="1"/>
  <c r="F13" i="3"/>
  <c r="J8" i="3"/>
  <c r="J13" i="3"/>
  <c r="D8" i="3"/>
  <c r="D13" i="3"/>
  <c r="G11" i="3"/>
  <c r="K11" i="3"/>
  <c r="L11" i="3" s="1"/>
  <c r="L3" i="3"/>
  <c r="M1" i="3"/>
  <c r="I8" i="3"/>
  <c r="J5" i="3"/>
  <c r="G13" i="3"/>
  <c r="G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H8" i="3"/>
  <c r="E8" i="3"/>
  <c r="E13" i="3"/>
  <c r="K8" i="3"/>
  <c r="K13" i="3"/>
  <c r="H13" i="3"/>
  <c r="M8" i="3" l="1"/>
  <c r="L7" i="3"/>
  <c r="N11" i="3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/>
  <c r="N1" i="3"/>
  <c r="N3" i="3" l="1"/>
  <c r="O1" i="3"/>
  <c r="L14" i="3"/>
  <c r="N8" i="3"/>
  <c r="M7" i="3"/>
  <c r="M13" i="3" s="1"/>
  <c r="M14" i="3" s="1"/>
  <c r="O3" i="3" l="1"/>
  <c r="P1" i="3"/>
  <c r="O8" i="3"/>
  <c r="N7" i="3"/>
  <c r="N13" i="3" s="1"/>
  <c r="N14" i="3" s="1"/>
  <c r="Q1" i="3" l="1"/>
  <c r="P3" i="3"/>
  <c r="O7" i="3"/>
  <c r="O13" i="3" s="1"/>
  <c r="O14" i="3" s="1"/>
  <c r="P8" i="3"/>
  <c r="P7" i="3" l="1"/>
  <c r="P13" i="3" s="1"/>
  <c r="P14" i="3" s="1"/>
  <c r="Q8" i="3"/>
  <c r="R1" i="3"/>
  <c r="Q3" i="3"/>
  <c r="R3" i="3" l="1"/>
  <c r="S1" i="3"/>
  <c r="Q7" i="3"/>
  <c r="Q13" i="3" s="1"/>
  <c r="Q14" i="3" s="1"/>
  <c r="R8" i="3"/>
  <c r="S3" i="3" l="1"/>
  <c r="T1" i="3"/>
  <c r="S8" i="3"/>
  <c r="R7" i="3"/>
  <c r="R13" i="3" s="1"/>
  <c r="R14" i="3" s="1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V7" i="3" l="1"/>
  <c r="U13" i="3"/>
  <c r="U14" i="3" l="1"/>
  <c r="V13" i="3"/>
  <c r="V14" i="3" s="1"/>
  <c r="C18" i="3" l="1"/>
  <c r="C17" i="3"/>
  <c r="C19" i="3" l="1"/>
  <c r="C22" i="3" s="1"/>
  <c r="L18" i="3"/>
  <c r="L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<sst xmlns="http://schemas.openxmlformats.org/spreadsheetml/2006/main" count="253" uniqueCount="235">
  <si>
    <t>This sheet contains FactSet XML data for use with this workbook's =FDS codes.  Modifying the worksheet's contents may damage the workbook's =FDS functionality.</t>
  </si>
  <si>
    <t>PCAR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</si>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</sst>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23473700000</v>
      </c>
    </row>
    <row r="3" spans="1:2" x14ac:dyDescent="0.25">
      <c r="A3" s="72" t="s">
        <v>3</v>
      </c>
      <c r="B3">
        <v>14405000000</v>
      </c>
    </row>
    <row r="4" spans="1:2" x14ac:dyDescent="0.25">
      <c r="A4" s="72" t="s">
        <v>4</v>
      </c>
      <c r="B4">
        <v>0.44864348026498152</v>
      </c>
    </row>
    <row r="5" spans="1:2" x14ac:dyDescent="0.25">
      <c r="A5" s="72" t="s">
        <v>5</v>
      </c>
      <c r="B5">
        <v>-6.3380770565775769E-3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17702900000</v>
      </c>
    </row>
    <row r="8" spans="1:2" x14ac:dyDescent="0.25">
      <c r="A8" s="72" t="s">
        <v>8</v>
      </c>
      <c r="B8">
        <v>0.55135651973501854</v>
      </c>
    </row>
    <row r="9" spans="1:2" x14ac:dyDescent="0.25">
      <c r="A9" s="72" t="s">
        <v>9</v>
      </c>
      <c r="B9">
        <v>0.1003449061298749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0.86061651788190585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5.3079424027312999E-2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M10" sqref="M10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2017-06-30</v>
      </c>
      <c r="E1" s="65" t="str">
        <f>Python!A27</f>
        <v>2018-06-30</v>
      </c>
      <c r="F1" s="65" t="str">
        <f>Python!A23</f>
        <v>2019-06-30</v>
      </c>
      <c r="G1" s="65" t="str">
        <f>Python!A19</f>
        <v>2020-06-30</v>
      </c>
      <c r="H1" s="65" t="str">
        <f>Python!A15</f>
        <v>2021-06-30</v>
      </c>
      <c r="I1" s="65" t="str">
        <f>Python!A11</f>
        <v>2022-06-30</v>
      </c>
      <c r="J1" s="65" t="str">
        <f>Python!A7</f>
        <v>2023-06-30</v>
      </c>
      <c r="K1" s="65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17262.2</v>
      </c>
      <c r="E4" s="36">
        <f>IFERROR(INDEX(Python!$1:$1048576,MATCH(DCF_Simple!E$1,Python!$A:$A,0),MATCH(DCF_Simple!$B4,Python!$1:$1,0))/1000000,0)</f>
        <v>21973.5</v>
      </c>
      <c r="F4" s="36">
        <f>IFERROR(INDEX(Python!$1:$1048576,MATCH(DCF_Simple!F$1,Python!$A:$A,0),MATCH(DCF_Simple!$B4,Python!$1:$1,0))/1000000,0)</f>
        <v>24921.200000000001</v>
      </c>
      <c r="G4" s="36">
        <f>IFERROR(INDEX(Python!$1:$1048576,MATCH(DCF_Simple!G$1,Python!$A:$A,0),MATCH(DCF_Simple!$B4,Python!$1:$1,0))/1000000,0)</f>
        <v>20708.099999999999</v>
      </c>
      <c r="H4" s="36">
        <f>IFERROR(INDEX(Python!$1:$1048576,MATCH(DCF_Simple!H$1,Python!$A:$A,0),MATCH(DCF_Simple!$B4,Python!$1:$1,0))/1000000,0)</f>
        <v>22194</v>
      </c>
      <c r="I4" s="36">
        <f>IFERROR(INDEX(Python!$1:$1048576,MATCH(DCF_Simple!I$1,Python!$A:$A,0),MATCH(DCF_Simple!$B4,Python!$1:$1,0))/1000000,0)</f>
        <v>25464.2</v>
      </c>
      <c r="J4" s="36">
        <f>IFERROR(INDEX(Python!$1:$1048576,MATCH(DCF_Simple!J$1,Python!$A:$A,0),MATCH(DCF_Simple!$B4,Python!$1:$1,0))/1000000,0)</f>
        <v>32542.799999999999</v>
      </c>
      <c r="K4" s="54">
        <f>IFERROR(INDEX(Python!$1:$1048576,MATCH(DCF_Simple!K$1,Python!$A:$A,0),MATCH(DCF_Simple!$B4,Python!$1:$1,0))/1000000,0)</f>
        <v>35289.800000000003</v>
      </c>
      <c r="L4" s="37">
        <f t="shared" ref="L4:U4" si="2">K4*(1+L5)</f>
        <v>31043.410066924247</v>
      </c>
      <c r="M4" s="36">
        <f t="shared" si="2"/>
        <v>33526.882872278191</v>
      </c>
      <c r="N4" s="36">
        <f t="shared" si="2"/>
        <v>36209.033502060447</v>
      </c>
      <c r="O4" s="36">
        <f t="shared" si="2"/>
        <v>39105.756182225283</v>
      </c>
      <c r="P4" s="36">
        <f t="shared" si="2"/>
        <v>42234.216676803306</v>
      </c>
      <c r="Q4" s="36">
        <f t="shared" si="2"/>
        <v>45612.954010947571</v>
      </c>
      <c r="R4" s="36">
        <f t="shared" si="2"/>
        <v>49261.990331823377</v>
      </c>
      <c r="S4" s="36">
        <f t="shared" si="2"/>
        <v>53202.949558369248</v>
      </c>
      <c r="T4" s="36">
        <f t="shared" si="2"/>
        <v>57459.185523038788</v>
      </c>
      <c r="U4" s="36">
        <f t="shared" si="2"/>
        <v>62055.920364881895</v>
      </c>
      <c r="V4" s="19">
        <f>U4</f>
        <v>62055.920364881895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0.27292581478606426</v>
      </c>
      <c r="F5" s="42">
        <f t="shared" si="3"/>
        <v>0.13414795094090604</v>
      </c>
      <c r="G5" s="42">
        <f t="shared" si="3"/>
        <v>-0.16905686724555813</v>
      </c>
      <c r="H5" s="42">
        <f t="shared" si="3"/>
        <v>7.1754530835759889E-2</v>
      </c>
      <c r="I5" s="42">
        <f t="shared" si="3"/>
        <v>0.14734612958457238</v>
      </c>
      <c r="J5" s="42">
        <f t="shared" si="3"/>
        <v>0.27798242238122528</v>
      </c>
      <c r="K5" s="57">
        <f t="shared" si="3"/>
        <v>8.4411912926976251E-2</v>
      </c>
      <c r="L5" s="38">
        <f>Python!F2</f>
        <v>-0.1203291016972541</v>
      </c>
      <c r="M5" s="38">
        <v>0.08</v>
      </c>
      <c r="N5" s="38">
        <f t="shared" ref="N5:U5" si="4">M5</f>
        <v>0.08</v>
      </c>
      <c r="O5" s="38">
        <f t="shared" si="4"/>
        <v>0.08</v>
      </c>
      <c r="P5" s="38">
        <f t="shared" si="4"/>
        <v>0.08</v>
      </c>
      <c r="Q5" s="38">
        <f t="shared" si="4"/>
        <v>0.08</v>
      </c>
      <c r="R5" s="38">
        <f t="shared" si="4"/>
        <v>0.08</v>
      </c>
      <c r="S5" s="38">
        <f t="shared" si="4"/>
        <v>0.08</v>
      </c>
      <c r="T5" s="38">
        <f t="shared" si="4"/>
        <v>0.08</v>
      </c>
      <c r="U5" s="38">
        <f t="shared" si="4"/>
        <v>0.08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-125.4</v>
      </c>
      <c r="E7" s="51">
        <f>IFERROR(INDEX(Python!$1:$1048576,MATCH(DCF_Simple!E$1,Python!$A:$A,0),MATCH(DCF_Simple!$B7,Python!$1:$1,0))/1000000,0)</f>
        <v>880.2</v>
      </c>
      <c r="F7" s="51">
        <f>IFERROR(INDEX(Python!$1:$1048576,MATCH(DCF_Simple!F$1,Python!$A:$A,0),MATCH(DCF_Simple!$B7,Python!$1:$1,0))/1000000,0)</f>
        <v>1039.3</v>
      </c>
      <c r="G7" s="51">
        <f>IFERROR(INDEX(Python!$1:$1048576,MATCH(DCF_Simple!G$1,Python!$A:$A,0),MATCH(DCF_Simple!$B7,Python!$1:$1,0))/1000000,0)</f>
        <v>1219.3</v>
      </c>
      <c r="H7" s="51">
        <f>IFERROR(INDEX(Python!$1:$1048576,MATCH(DCF_Simple!H$1,Python!$A:$A,0),MATCH(DCF_Simple!$B7,Python!$1:$1,0))/1000000,0)</f>
        <v>814.2</v>
      </c>
      <c r="I7" s="51">
        <f>IFERROR(INDEX(Python!$1:$1048576,MATCH(DCF_Simple!I$1,Python!$A:$A,0),MATCH(DCF_Simple!$B7,Python!$1:$1,0))/1000000,0)</f>
        <v>837.7</v>
      </c>
      <c r="J7" s="51">
        <f>IFERROR(INDEX(Python!$1:$1048576,MATCH(DCF_Simple!J$1,Python!$A:$A,0),MATCH(DCF_Simple!$B7,Python!$1:$1,0))/1000000,0)</f>
        <v>2375.1999999999998</v>
      </c>
      <c r="K7" s="56">
        <f>IFERROR(INDEX(Python!$1:$1048576,MATCH(DCF_Simple!K$1,Python!$A:$A,0),MATCH(DCF_Simple!$B7,Python!$1:$1,0))/1000000,0)</f>
        <v>2875.0000009999999</v>
      </c>
      <c r="L7" s="63">
        <f t="shared" ref="L7:U7" si="5">L8*L4</f>
        <v>1617.2691864992612</v>
      </c>
      <c r="M7" s="63">
        <f t="shared" si="5"/>
        <v>1746.6507214192022</v>
      </c>
      <c r="N7" s="63">
        <f t="shared" si="5"/>
        <v>1886.3827791327385</v>
      </c>
      <c r="O7" s="63">
        <f t="shared" si="5"/>
        <v>2037.2934014633577</v>
      </c>
      <c r="P7" s="63">
        <f t="shared" si="5"/>
        <v>2200.2768735804261</v>
      </c>
      <c r="Q7" s="63">
        <f t="shared" si="5"/>
        <v>2376.2990234668605</v>
      </c>
      <c r="R7" s="63">
        <f t="shared" si="5"/>
        <v>2566.402945344209</v>
      </c>
      <c r="S7" s="63">
        <f t="shared" si="5"/>
        <v>2771.7151809717461</v>
      </c>
      <c r="T7" s="63">
        <f t="shared" si="5"/>
        <v>2993.4523954494857</v>
      </c>
      <c r="U7" s="63">
        <f t="shared" si="5"/>
        <v>3232.9285870854446</v>
      </c>
      <c r="V7" s="64">
        <f>U7</f>
        <v>3232.9285870854446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-7.2644274773783178E-3</v>
      </c>
      <c r="E8" s="42">
        <f t="shared" si="6"/>
        <v>4.0057341798074957E-2</v>
      </c>
      <c r="F8" s="42">
        <f t="shared" si="6"/>
        <v>4.1703449272105675E-2</v>
      </c>
      <c r="G8" s="42">
        <f t="shared" si="6"/>
        <v>5.8880341508878171E-2</v>
      </c>
      <c r="H8" s="42">
        <f t="shared" si="6"/>
        <v>3.6685590700189244E-2</v>
      </c>
      <c r="I8" s="42">
        <f t="shared" si="6"/>
        <v>3.2897165432253912E-2</v>
      </c>
      <c r="J8" s="42">
        <f t="shared" si="6"/>
        <v>7.2986958712833561E-2</v>
      </c>
      <c r="K8" s="57">
        <f t="shared" si="6"/>
        <v>8.1468299650323886E-2</v>
      </c>
      <c r="L8" s="38">
        <f>AVERAGE(E8:K8)</f>
        <v>5.2097021010665621E-2</v>
      </c>
      <c r="M8" s="38">
        <f t="shared" ref="M8:U8" si="7">L8</f>
        <v>5.2097021010665621E-2</v>
      </c>
      <c r="N8" s="38">
        <f t="shared" si="7"/>
        <v>5.2097021010665621E-2</v>
      </c>
      <c r="O8" s="38">
        <f t="shared" si="7"/>
        <v>5.2097021010665621E-2</v>
      </c>
      <c r="P8" s="38">
        <f t="shared" si="7"/>
        <v>5.2097021010665621E-2</v>
      </c>
      <c r="Q8" s="38">
        <f t="shared" si="7"/>
        <v>5.2097021010665621E-2</v>
      </c>
      <c r="R8" s="38">
        <f t="shared" si="7"/>
        <v>5.2097021010665621E-2</v>
      </c>
      <c r="S8" s="38">
        <f t="shared" si="7"/>
        <v>5.2097021010665621E-2</v>
      </c>
      <c r="T8" s="38">
        <f t="shared" si="7"/>
        <v>5.2097021010665621E-2</v>
      </c>
      <c r="U8" s="38">
        <f t="shared" si="7"/>
        <v>5.2097021010665621E-2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529.04999999999995</v>
      </c>
      <c r="E10" s="17">
        <f>IFERROR(INDEX(Python!$1:$1048576,MATCH(DCF_Simple!E$1,Python!$A:$A,0),MATCH(DCF_Simple!$B10,Python!$1:$1,0))/1000000,0)</f>
        <v>528.75</v>
      </c>
      <c r="F10" s="17">
        <f>IFERROR(INDEX(Python!$1:$1048576,MATCH(DCF_Simple!F$1,Python!$A:$A,0),MATCH(DCF_Simple!$B10,Python!$1:$1,0))/1000000,0)</f>
        <v>521.54999999999995</v>
      </c>
      <c r="G10" s="17">
        <f>IFERROR(INDEX(Python!$1:$1048576,MATCH(DCF_Simple!G$1,Python!$A:$A,0),MATCH(DCF_Simple!$B10,Python!$1:$1,0))/1000000,0)</f>
        <v>520.20000000000005</v>
      </c>
      <c r="H10" s="17">
        <f>IFERROR(INDEX(Python!$1:$1048576,MATCH(DCF_Simple!H$1,Python!$A:$A,0),MATCH(DCF_Simple!$B10,Python!$1:$1,0))/1000000,0)</f>
        <v>522.75</v>
      </c>
      <c r="I10" s="17">
        <f>IFERROR(INDEX(Python!$1:$1048576,MATCH(DCF_Simple!I$1,Python!$A:$A,0),MATCH(DCF_Simple!$B10,Python!$1:$1,0))/1000000,0)</f>
        <v>523.20000000000005</v>
      </c>
      <c r="J10" s="17">
        <f>IFERROR(INDEX(Python!$1:$1048576,MATCH(DCF_Simple!J$1,Python!$A:$A,0),MATCH(DCF_Simple!$B10,Python!$1:$1,0))/1000000,0)</f>
        <v>524.79999899999996</v>
      </c>
      <c r="K10" s="68">
        <f>IFERROR(INDEX(Python!$1:$1048576,MATCH(DCF_Simple!K$1,Python!$A:$A,0),MATCH(DCF_Simple!$B10,Python!$1:$1,0))/1000000,0)</f>
        <v>526.6</v>
      </c>
      <c r="L10" s="17">
        <f t="shared" ref="L10:U10" si="8">K10*(1+L11)</f>
        <v>528.4061747873593</v>
      </c>
      <c r="M10" s="17">
        <f t="shared" si="8"/>
        <v>528.06484411614326</v>
      </c>
      <c r="N10" s="17">
        <f t="shared" si="8"/>
        <v>527.72373393180385</v>
      </c>
      <c r="O10" s="17">
        <f t="shared" si="8"/>
        <v>527.38284409191488</v>
      </c>
      <c r="P10" s="17">
        <f t="shared" si="8"/>
        <v>527.04217445414201</v>
      </c>
      <c r="Q10" s="17">
        <f t="shared" si="8"/>
        <v>526.70172487624291</v>
      </c>
      <c r="R10" s="17">
        <f t="shared" si="8"/>
        <v>526.36149521606717</v>
      </c>
      <c r="S10" s="17">
        <f t="shared" si="8"/>
        <v>526.02148533155605</v>
      </c>
      <c r="T10" s="17">
        <f t="shared" si="8"/>
        <v>525.68169508074277</v>
      </c>
      <c r="U10" s="17">
        <f t="shared" si="8"/>
        <v>525.34212432175207</v>
      </c>
      <c r="V10" s="69">
        <f>U10</f>
        <v>525.34212432175207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-5.6705415367164225E-4</v>
      </c>
      <c r="F11" s="42">
        <f t="shared" si="9"/>
        <v>-1.3617021276595809E-2</v>
      </c>
      <c r="G11" s="42">
        <f t="shared" si="9"/>
        <v>-2.5884383088867757E-3</v>
      </c>
      <c r="H11" s="42">
        <f t="shared" si="9"/>
        <v>4.9019607843137081E-3</v>
      </c>
      <c r="I11" s="42">
        <f t="shared" si="9"/>
        <v>8.6083213773324729E-4</v>
      </c>
      <c r="J11" s="42">
        <f t="shared" si="9"/>
        <v>3.0581020642199697E-3</v>
      </c>
      <c r="K11" s="57">
        <f t="shared" si="9"/>
        <v>3.4298799608039054E-3</v>
      </c>
      <c r="L11" s="66">
        <f t="shared" ref="L11:U11" si="10">K11</f>
        <v>3.4298799608039054E-3</v>
      </c>
      <c r="M11" s="66">
        <f>AVERAGE(E11:K11)</f>
        <v>-6.459626845833423E-4</v>
      </c>
      <c r="N11" s="66">
        <f t="shared" si="10"/>
        <v>-6.459626845833423E-4</v>
      </c>
      <c r="O11" s="66">
        <f t="shared" si="10"/>
        <v>-6.459626845833423E-4</v>
      </c>
      <c r="P11" s="66">
        <f t="shared" si="10"/>
        <v>-6.459626845833423E-4</v>
      </c>
      <c r="Q11" s="66">
        <f t="shared" si="10"/>
        <v>-6.459626845833423E-4</v>
      </c>
      <c r="R11" s="66">
        <f t="shared" si="10"/>
        <v>-6.459626845833423E-4</v>
      </c>
      <c r="S11" s="66">
        <f t="shared" si="10"/>
        <v>-6.459626845833423E-4</v>
      </c>
      <c r="T11" s="66">
        <f t="shared" si="10"/>
        <v>-6.459626845833423E-4</v>
      </c>
      <c r="U11" s="66">
        <f t="shared" si="10"/>
        <v>-6.459626845833423E-4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-0.23702863623476045</v>
      </c>
      <c r="E13" s="52">
        <f t="shared" si="11"/>
        <v>1.6646808510638298</v>
      </c>
      <c r="F13" s="52">
        <f t="shared" si="11"/>
        <v>1.9927140255009108</v>
      </c>
      <c r="G13" s="52">
        <f t="shared" si="11"/>
        <v>2.3439061899269511</v>
      </c>
      <c r="H13" s="52">
        <f t="shared" si="11"/>
        <v>1.5575322812051651</v>
      </c>
      <c r="I13" s="52">
        <f t="shared" si="11"/>
        <v>1.6011085626911314</v>
      </c>
      <c r="J13" s="52">
        <f t="shared" si="11"/>
        <v>4.5259146427704167</v>
      </c>
      <c r="K13" s="58">
        <f t="shared" si="11"/>
        <v>5.4595518439042916</v>
      </c>
      <c r="L13" s="52">
        <f t="shared" ref="L13:U13" si="12">L7/L10</f>
        <v>3.0606553512552748</v>
      </c>
      <c r="M13" s="52">
        <f t="shared" si="12"/>
        <v>3.3076443942082263</v>
      </c>
      <c r="N13" s="52">
        <f t="shared" si="12"/>
        <v>3.5745649813364468</v>
      </c>
      <c r="O13" s="52">
        <f t="shared" si="12"/>
        <v>3.8630255501983832</v>
      </c>
      <c r="P13" s="52">
        <f t="shared" si="12"/>
        <v>4.1747643361923634</v>
      </c>
      <c r="Q13" s="52">
        <f t="shared" si="12"/>
        <v>4.5116598469944451</v>
      </c>
      <c r="R13" s="52">
        <f t="shared" si="12"/>
        <v>4.8757421822633917</v>
      </c>
      <c r="S13" s="52">
        <f t="shared" si="12"/>
        <v>5.2692052668242422</v>
      </c>
      <c r="T13" s="52">
        <f t="shared" si="12"/>
        <v>5.6944200710464203</v>
      </c>
      <c r="U13" s="52">
        <f t="shared" si="12"/>
        <v>6.1539488980811274</v>
      </c>
      <c r="V13" s="70">
        <f>U13*(1+WACC!$B$13)/(WACC!$B$14-WACC!$B$13)</f>
        <v>189.75626271061847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2.9063860535327417</v>
      </c>
      <c r="M14" s="61">
        <f>M13/((1+WACC!$B$14)^(M3-$K$3))</f>
        <v>2.9826106056684951</v>
      </c>
      <c r="N14" s="61">
        <f>N13/((1+WACC!$B$14)^(N3-$K$3))</f>
        <v>3.0608342667461721</v>
      </c>
      <c r="O14" s="61">
        <f>O13/((1+WACC!$B$14)^(O3-$K$3))</f>
        <v>3.1411094665465926</v>
      </c>
      <c r="P14" s="61">
        <f>P13/((1+WACC!$B$14)^(P3-$K$3))</f>
        <v>3.2234900099041623</v>
      </c>
      <c r="Q14" s="61">
        <f>Q13/((1+WACC!$B$14)^(Q3-$K$3))</f>
        <v>3.3080311127698194</v>
      </c>
      <c r="R14" s="61">
        <f>R13/((1+WACC!$B$14)^(R3-$K$3))</f>
        <v>3.3947894392197844</v>
      </c>
      <c r="S14" s="61">
        <f>S13/((1+WACC!$B$14)^(S3-$K$3))</f>
        <v>3.4838231394349304</v>
      </c>
      <c r="T14" s="61">
        <f>T13/((1+WACC!$B$14)^(T3-$K$3))</f>
        <v>3.575191888676216</v>
      </c>
      <c r="U14" s="61">
        <f>U13/((1+WACC!$B$14)^(U3-$K$3))</f>
        <v>3.6689569272823146</v>
      </c>
      <c r="V14" s="62">
        <f>V13/((1+WACC!$B$14)^(U3-$K$3))</f>
        <v>113.1318387750038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113.1318387750038</v>
      </c>
      <c r="L17" s="16">
        <f>C17/$C$19</f>
        <v>0.77552863670548866</v>
      </c>
      <c r="O17" s="18"/>
    </row>
    <row r="18" spans="2:22" x14ac:dyDescent="0.25">
      <c r="B18" s="8" t="s">
        <v>26</v>
      </c>
      <c r="C18" s="32">
        <f>SUM(14:14)-V14</f>
        <v>32.745222909781219</v>
      </c>
      <c r="K18" s="3"/>
      <c r="L18" s="16">
        <f>C18/$C$19</f>
        <v>0.22447136329451134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145.87706168478502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15.224078997341435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27.354728446638813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133.74641223548764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-0.1203291016972541</v>
      </c>
    </row>
    <row r="3" spans="1:6" x14ac:dyDescent="0.25">
      <c r="A3" s="72" t="s">
        <v>34</v>
      </c>
      <c r="B3">
        <v>35289800000</v>
      </c>
      <c r="C3">
        <v>2875000001</v>
      </c>
      <c r="D3">
        <v>526600000</v>
      </c>
      <c r="E3">
        <v>8017000000</v>
      </c>
      <c r="F3">
        <v>-6.8809128373737538E-2</v>
      </c>
    </row>
    <row r="4" spans="1:6" x14ac:dyDescent="0.25">
      <c r="A4" s="72" t="s">
        <v>35</v>
      </c>
      <c r="B4">
        <v>35398400000</v>
      </c>
      <c r="C4">
        <v>3651700000</v>
      </c>
      <c r="D4">
        <v>526299999</v>
      </c>
      <c r="E4">
        <v>7727200000</v>
      </c>
      <c r="F4">
        <v>-2.6027663012049621E-2</v>
      </c>
    </row>
    <row r="5" spans="1:6" x14ac:dyDescent="0.25">
      <c r="A5" s="72" t="s">
        <v>36</v>
      </c>
      <c r="B5">
        <v>35127400000</v>
      </c>
      <c r="C5">
        <v>2927500000</v>
      </c>
      <c r="D5">
        <v>525600000</v>
      </c>
      <c r="E5">
        <v>8659300000</v>
      </c>
      <c r="F5">
        <v>2.6605572298419311E-2</v>
      </c>
    </row>
    <row r="6" spans="1:6" x14ac:dyDescent="0.25">
      <c r="A6" s="72" t="s">
        <v>37</v>
      </c>
      <c r="B6">
        <v>34180300000</v>
      </c>
      <c r="C6">
        <v>3044300000</v>
      </c>
      <c r="D6">
        <v>525299999</v>
      </c>
      <c r="E6">
        <v>7649400000</v>
      </c>
      <c r="F6">
        <v>0.13146665911119301</v>
      </c>
    </row>
    <row r="7" spans="1:6" x14ac:dyDescent="0.25">
      <c r="A7" s="72" t="s">
        <v>38</v>
      </c>
      <c r="B7">
        <v>32542800000</v>
      </c>
      <c r="C7">
        <v>2375200000</v>
      </c>
      <c r="D7">
        <v>524799999</v>
      </c>
      <c r="E7">
        <v>6836400000</v>
      </c>
      <c r="F7">
        <v>0.14993085336723139</v>
      </c>
    </row>
    <row r="8" spans="1:6" x14ac:dyDescent="0.25">
      <c r="A8" s="72" t="s">
        <v>39</v>
      </c>
      <c r="B8">
        <v>30820400000</v>
      </c>
      <c r="C8">
        <v>1938800000</v>
      </c>
      <c r="D8">
        <v>524400000</v>
      </c>
      <c r="E8">
        <v>6049000000</v>
      </c>
      <c r="F8">
        <v>0.1910731390785774</v>
      </c>
    </row>
    <row r="9" spans="1:6" x14ac:dyDescent="0.25">
      <c r="A9" s="72" t="s">
        <v>40</v>
      </c>
      <c r="B9">
        <v>28819700000</v>
      </c>
      <c r="C9">
        <v>1636500000</v>
      </c>
      <c r="D9">
        <v>523799979</v>
      </c>
      <c r="E9">
        <v>6305100000</v>
      </c>
    </row>
    <row r="10" spans="1:6" x14ac:dyDescent="0.25">
      <c r="A10" s="72" t="s">
        <v>41</v>
      </c>
      <c r="B10">
        <v>27376300000</v>
      </c>
      <c r="C10">
        <v>1271900000</v>
      </c>
      <c r="D10">
        <v>523350000</v>
      </c>
      <c r="E10">
        <v>4762900000</v>
      </c>
    </row>
    <row r="11" spans="1:6" x14ac:dyDescent="0.25">
      <c r="A11" s="72" t="s">
        <v>42</v>
      </c>
      <c r="B11">
        <v>25464200000</v>
      </c>
      <c r="C11">
        <v>837700000</v>
      </c>
      <c r="D11">
        <v>523200000</v>
      </c>
      <c r="E11">
        <v>4790500000</v>
      </c>
      <c r="F11">
        <v>5.6719329043960258E-2</v>
      </c>
    </row>
    <row r="12" spans="1:6" x14ac:dyDescent="0.25">
      <c r="A12" s="72" t="s">
        <v>43</v>
      </c>
      <c r="B12">
        <v>24149400000</v>
      </c>
      <c r="C12">
        <v>465400000</v>
      </c>
      <c r="D12">
        <v>523200000</v>
      </c>
      <c r="E12">
        <v>4672400000</v>
      </c>
      <c r="F12">
        <v>-2.214312941578989E-2</v>
      </c>
    </row>
    <row r="13" spans="1:6" x14ac:dyDescent="0.25">
      <c r="A13" s="72" t="s">
        <v>44</v>
      </c>
      <c r="B13">
        <v>23522300000</v>
      </c>
      <c r="C13">
        <v>553900000</v>
      </c>
      <c r="D13">
        <v>522750000</v>
      </c>
      <c r="E13">
        <v>4813000000</v>
      </c>
      <c r="F13">
        <v>4.737815608950191E-2</v>
      </c>
    </row>
    <row r="14" spans="1:6" x14ac:dyDescent="0.25">
      <c r="A14" s="72" t="s">
        <v>45</v>
      </c>
      <c r="B14">
        <v>22404800000</v>
      </c>
      <c r="C14">
        <v>267600000</v>
      </c>
      <c r="D14">
        <v>522450000</v>
      </c>
      <c r="E14">
        <v>3647800000</v>
      </c>
      <c r="F14">
        <v>0.12683549432739061</v>
      </c>
    </row>
    <row r="15" spans="1:6" x14ac:dyDescent="0.25">
      <c r="A15" s="72" t="s">
        <v>46</v>
      </c>
      <c r="B15">
        <v>22194000000</v>
      </c>
      <c r="C15">
        <v>814200000</v>
      </c>
      <c r="D15">
        <v>522750000</v>
      </c>
      <c r="E15">
        <v>4403300000</v>
      </c>
      <c r="F15">
        <v>0.82802886813402132</v>
      </c>
    </row>
    <row r="16" spans="1:6" x14ac:dyDescent="0.25">
      <c r="A16" s="72" t="s">
        <v>47</v>
      </c>
      <c r="B16">
        <v>19412300000</v>
      </c>
      <c r="C16">
        <v>1558600000</v>
      </c>
      <c r="D16">
        <v>522600000</v>
      </c>
      <c r="E16">
        <v>4651100000</v>
      </c>
      <c r="F16">
        <v>8.1296859561772239E-2</v>
      </c>
    </row>
    <row r="17" spans="1:6" x14ac:dyDescent="0.25">
      <c r="A17" s="72" t="s">
        <v>48</v>
      </c>
      <c r="B17">
        <v>18728500000</v>
      </c>
      <c r="C17">
        <v>1348800000</v>
      </c>
      <c r="D17">
        <v>522000000</v>
      </c>
      <c r="E17">
        <v>4834000000</v>
      </c>
      <c r="F17">
        <v>-5.2373420682665262E-2</v>
      </c>
    </row>
    <row r="18" spans="1:6" x14ac:dyDescent="0.25">
      <c r="A18" s="72" t="s">
        <v>49</v>
      </c>
      <c r="B18">
        <v>19277100000</v>
      </c>
      <c r="C18">
        <v>1458100000</v>
      </c>
      <c r="D18">
        <v>521400000</v>
      </c>
      <c r="E18">
        <v>4413200000</v>
      </c>
      <c r="F18">
        <v>-0.56875046882362179</v>
      </c>
    </row>
    <row r="19" spans="1:6" x14ac:dyDescent="0.25">
      <c r="A19" s="72" t="s">
        <v>50</v>
      </c>
      <c r="B19">
        <v>20708100000</v>
      </c>
      <c r="C19">
        <v>1219300000</v>
      </c>
      <c r="D19">
        <v>520200000</v>
      </c>
      <c r="E19">
        <v>4167300000</v>
      </c>
      <c r="F19">
        <v>-0.66691824589990789</v>
      </c>
    </row>
    <row r="20" spans="1:6" x14ac:dyDescent="0.25">
      <c r="A20" s="72" t="s">
        <v>51</v>
      </c>
      <c r="B20">
        <v>24273800000</v>
      </c>
      <c r="C20">
        <v>886100000</v>
      </c>
      <c r="D20">
        <v>520950000</v>
      </c>
      <c r="E20">
        <v>4328100000</v>
      </c>
      <c r="F20">
        <v>-3.8864744438051442E-2</v>
      </c>
    </row>
    <row r="21" spans="1:6" x14ac:dyDescent="0.25">
      <c r="A21" s="72" t="s">
        <v>52</v>
      </c>
      <c r="B21">
        <v>25368900000</v>
      </c>
      <c r="C21">
        <v>889500000</v>
      </c>
      <c r="D21">
        <v>521100000</v>
      </c>
      <c r="E21">
        <v>5169400000</v>
      </c>
      <c r="F21">
        <v>-3.8610665955379993E-2</v>
      </c>
    </row>
    <row r="22" spans="1:6" x14ac:dyDescent="0.25">
      <c r="A22" s="72" t="s">
        <v>53</v>
      </c>
      <c r="B22">
        <v>25531400000</v>
      </c>
      <c r="C22">
        <v>1016700000</v>
      </c>
      <c r="D22">
        <v>520800000</v>
      </c>
      <c r="E22">
        <v>4643000000</v>
      </c>
      <c r="F22">
        <v>3.6476613917454159E-2</v>
      </c>
    </row>
    <row r="23" spans="1:6" x14ac:dyDescent="0.25">
      <c r="A23" s="72" t="s">
        <v>54</v>
      </c>
      <c r="B23">
        <v>24921200000</v>
      </c>
      <c r="C23">
        <v>1039300000</v>
      </c>
      <c r="D23">
        <v>521550000</v>
      </c>
      <c r="E23">
        <v>4181200000</v>
      </c>
      <c r="F23">
        <v>0.1609602044718528</v>
      </c>
    </row>
    <row r="24" spans="1:6" x14ac:dyDescent="0.25">
      <c r="A24" s="72" t="s">
        <v>55</v>
      </c>
      <c r="B24">
        <v>24098500000</v>
      </c>
      <c r="C24">
        <v>859400000</v>
      </c>
      <c r="D24">
        <v>521700000</v>
      </c>
      <c r="E24">
        <v>3814700000</v>
      </c>
      <c r="F24">
        <v>4.6004686416696083E-2</v>
      </c>
    </row>
    <row r="25" spans="1:6" x14ac:dyDescent="0.25">
      <c r="A25" s="72" t="s">
        <v>56</v>
      </c>
      <c r="B25">
        <v>23495700000</v>
      </c>
      <c r="C25">
        <v>1040000000</v>
      </c>
      <c r="D25">
        <v>524400000</v>
      </c>
      <c r="E25">
        <v>4299600000</v>
      </c>
      <c r="F25">
        <v>6.7538324533421346E-2</v>
      </c>
    </row>
    <row r="26" spans="1:6" x14ac:dyDescent="0.25">
      <c r="A26" s="72" t="s">
        <v>57</v>
      </c>
      <c r="B26">
        <v>22670600000</v>
      </c>
      <c r="C26">
        <v>904700000</v>
      </c>
      <c r="D26">
        <v>527250000</v>
      </c>
      <c r="E26">
        <v>3792300000</v>
      </c>
      <c r="F26">
        <v>0.10841303219558469</v>
      </c>
    </row>
    <row r="27" spans="1:6" x14ac:dyDescent="0.25">
      <c r="A27" s="72" t="s">
        <v>58</v>
      </c>
      <c r="B27">
        <v>21973500000</v>
      </c>
      <c r="C27">
        <v>880200000</v>
      </c>
      <c r="D27">
        <v>528750000</v>
      </c>
      <c r="E27">
        <v>3444800000</v>
      </c>
      <c r="F27">
        <v>0.1021041278006887</v>
      </c>
    </row>
    <row r="28" spans="1:6" x14ac:dyDescent="0.25">
      <c r="A28" s="72" t="s">
        <v>59</v>
      </c>
      <c r="B28">
        <v>20872500000</v>
      </c>
      <c r="C28">
        <v>841400000</v>
      </c>
      <c r="D28">
        <v>530250000</v>
      </c>
      <c r="E28">
        <v>3472000000</v>
      </c>
      <c r="F28">
        <v>0.2053367354114066</v>
      </c>
    </row>
    <row r="29" spans="1:6" x14ac:dyDescent="0.25">
      <c r="A29" s="72" t="s">
        <v>60</v>
      </c>
      <c r="B29">
        <v>19456400000</v>
      </c>
      <c r="C29">
        <v>869200000</v>
      </c>
      <c r="D29">
        <v>529800000</v>
      </c>
      <c r="E29">
        <v>3621900000</v>
      </c>
      <c r="F29">
        <v>0.27183222959196202</v>
      </c>
    </row>
    <row r="30" spans="1:6" x14ac:dyDescent="0.25">
      <c r="A30" s="72" t="s">
        <v>61</v>
      </c>
      <c r="B30">
        <v>18072500000</v>
      </c>
      <c r="C30">
        <v>768500000</v>
      </c>
      <c r="D30">
        <v>529350000</v>
      </c>
      <c r="E30">
        <v>3421300000</v>
      </c>
      <c r="F30">
        <v>0.12801807313973729</v>
      </c>
    </row>
    <row r="31" spans="1:6" x14ac:dyDescent="0.25">
      <c r="A31" s="72" t="s">
        <v>62</v>
      </c>
      <c r="B31">
        <v>17262200000</v>
      </c>
      <c r="C31">
        <v>-125400000</v>
      </c>
      <c r="D31">
        <v>529050000</v>
      </c>
      <c r="E31">
        <v>3004700000</v>
      </c>
      <c r="F31">
        <v>-4.4536202755369736E-3</v>
      </c>
    </row>
    <row r="32" spans="1:6" x14ac:dyDescent="0.25">
      <c r="A32" s="72" t="s">
        <v>63</v>
      </c>
      <c r="B32">
        <v>16971200000</v>
      </c>
      <c r="C32">
        <v>138700000</v>
      </c>
      <c r="D32">
        <v>529050000</v>
      </c>
      <c r="E32">
        <v>2894700000</v>
      </c>
      <c r="F32">
        <v>-2.5641384883720919E-2</v>
      </c>
    </row>
    <row r="33" spans="1:6" x14ac:dyDescent="0.25">
      <c r="A33" s="72" t="s">
        <v>64</v>
      </c>
      <c r="B33">
        <v>17033300000</v>
      </c>
      <c r="C33">
        <v>335900000</v>
      </c>
      <c r="D33">
        <v>527850000</v>
      </c>
      <c r="E33">
        <v>2922600000</v>
      </c>
      <c r="F33">
        <v>-1.9752776846600709E-2</v>
      </c>
    </row>
    <row r="34" spans="1:6" x14ac:dyDescent="0.25">
      <c r="A34" s="72" t="s">
        <v>65</v>
      </c>
      <c r="B34">
        <v>17317900000</v>
      </c>
      <c r="C34">
        <v>306500000</v>
      </c>
      <c r="D34">
        <v>527700000</v>
      </c>
      <c r="E34">
        <v>2801200000</v>
      </c>
      <c r="F34">
        <v>-0.1055218920201353</v>
      </c>
    </row>
    <row r="35" spans="1:6" x14ac:dyDescent="0.25">
      <c r="A35" s="72" t="s">
        <v>66</v>
      </c>
      <c r="B35">
        <v>17915700000</v>
      </c>
      <c r="C35">
        <v>1206600000</v>
      </c>
      <c r="D35">
        <v>527400000</v>
      </c>
      <c r="E35">
        <v>3397200000</v>
      </c>
      <c r="F35">
        <v>-0.16402603397704671</v>
      </c>
    </row>
    <row r="36" spans="1:6" x14ac:dyDescent="0.25">
      <c r="A36" s="72" t="s">
        <v>67</v>
      </c>
      <c r="B36">
        <v>18582400000</v>
      </c>
      <c r="C36">
        <v>1128700000</v>
      </c>
      <c r="D36">
        <v>526950000</v>
      </c>
      <c r="E36">
        <v>3231100000</v>
      </c>
      <c r="F36">
        <v>-0.13719101765058869</v>
      </c>
    </row>
    <row r="37" spans="1:6" x14ac:dyDescent="0.25">
      <c r="A37" s="72" t="s">
        <v>68</v>
      </c>
      <c r="B37">
        <v>19115100000</v>
      </c>
      <c r="C37">
        <v>830800000</v>
      </c>
      <c r="D37">
        <v>530850000</v>
      </c>
      <c r="E37">
        <v>3378000000</v>
      </c>
      <c r="F37">
        <v>-0.11447962610615151</v>
      </c>
    </row>
    <row r="38" spans="1:6" x14ac:dyDescent="0.25">
      <c r="A38" s="72" t="s">
        <v>69</v>
      </c>
      <c r="B38">
        <v>19878900000</v>
      </c>
      <c r="C38">
        <v>663800000</v>
      </c>
      <c r="D38">
        <v>533850000</v>
      </c>
      <c r="E38">
        <v>3450700000</v>
      </c>
      <c r="F38">
        <v>-5.7117425736547323E-2</v>
      </c>
    </row>
    <row r="39" spans="1:6" x14ac:dyDescent="0.25">
      <c r="A39" s="72" t="s">
        <v>70</v>
      </c>
      <c r="B39">
        <v>19960100000</v>
      </c>
      <c r="C39">
        <v>791800000</v>
      </c>
      <c r="D39">
        <v>534450000</v>
      </c>
      <c r="E39">
        <v>3275000000</v>
      </c>
      <c r="F39">
        <v>1.462199448529411E-2</v>
      </c>
    </row>
    <row r="40" spans="1:6" x14ac:dyDescent="0.25">
      <c r="A40" s="72" t="s">
        <v>71</v>
      </c>
      <c r="B40">
        <v>19449800000</v>
      </c>
      <c r="C40">
        <v>644300000</v>
      </c>
      <c r="D40">
        <v>534150000</v>
      </c>
      <c r="E40">
        <v>2714500000</v>
      </c>
      <c r="F40">
        <v>5.1335065184136663E-2</v>
      </c>
    </row>
    <row r="41" spans="1:6" x14ac:dyDescent="0.25">
      <c r="A41" s="72" t="s">
        <v>72</v>
      </c>
      <c r="B41">
        <v>18997000000</v>
      </c>
      <c r="C41">
        <v>586300000</v>
      </c>
      <c r="D41">
        <v>533700000</v>
      </c>
      <c r="E41">
        <v>2937100000</v>
      </c>
      <c r="F41">
        <v>9.3057897105829568E-2</v>
      </c>
    </row>
    <row r="42" spans="1:6" x14ac:dyDescent="0.25">
      <c r="A42" s="72" t="s">
        <v>73</v>
      </c>
      <c r="B42">
        <v>18476800000</v>
      </c>
      <c r="C42">
        <v>678100000</v>
      </c>
      <c r="D42">
        <v>534450000</v>
      </c>
      <c r="E42">
        <v>2860600000</v>
      </c>
      <c r="F42">
        <v>5.7950351619729723E-2</v>
      </c>
    </row>
    <row r="43" spans="1:6" x14ac:dyDescent="0.25">
      <c r="A43" s="72" t="s">
        <v>74</v>
      </c>
      <c r="B43">
        <v>17848500000</v>
      </c>
      <c r="C43">
        <v>377200000</v>
      </c>
      <c r="D43">
        <v>534450000</v>
      </c>
      <c r="E43">
        <v>2639800000</v>
      </c>
      <c r="F43">
        <v>5.0767740030229103E-2</v>
      </c>
    </row>
    <row r="44" spans="1:6" x14ac:dyDescent="0.25">
      <c r="A44" s="72" t="s">
        <v>75</v>
      </c>
      <c r="B44">
        <v>17579400000</v>
      </c>
      <c r="C44">
        <v>531300000</v>
      </c>
      <c r="D44">
        <v>534000000</v>
      </c>
      <c r="E44">
        <v>2461600000</v>
      </c>
      <c r="F44">
        <v>0.10160237010422241</v>
      </c>
    </row>
    <row r="45" spans="1:6" x14ac:dyDescent="0.25">
      <c r="A45" s="72" t="s">
        <v>76</v>
      </c>
      <c r="B45">
        <v>17123800000</v>
      </c>
      <c r="C45">
        <v>502900000</v>
      </c>
      <c r="D45">
        <v>533400000</v>
      </c>
      <c r="E45">
        <v>2925200000</v>
      </c>
      <c r="F45">
        <v>0.13834764348261189</v>
      </c>
    </row>
    <row r="46" spans="1:6" x14ac:dyDescent="0.25">
      <c r="A46" s="72" t="s">
        <v>77</v>
      </c>
      <c r="B46">
        <v>16521900000</v>
      </c>
      <c r="C46">
        <v>414100000</v>
      </c>
      <c r="D46">
        <v>533100000</v>
      </c>
      <c r="E46">
        <v>2831500000</v>
      </c>
      <c r="F46">
        <v>9.9745334275692432E-2</v>
      </c>
    </row>
    <row r="47" spans="1:6" x14ac:dyDescent="0.25">
      <c r="A47" s="72" t="s">
        <v>78</v>
      </c>
      <c r="B47">
        <v>16042000000</v>
      </c>
      <c r="C47">
        <v>382900000</v>
      </c>
      <c r="D47">
        <v>532500000</v>
      </c>
      <c r="E47">
        <v>2522800000</v>
      </c>
      <c r="F47">
        <v>-0.11752128107331961</v>
      </c>
    </row>
    <row r="48" spans="1:6" x14ac:dyDescent="0.25">
      <c r="A48" s="72" t="s">
        <v>79</v>
      </c>
      <c r="B48">
        <v>16198700000</v>
      </c>
      <c r="C48">
        <v>-116600000</v>
      </c>
      <c r="D48">
        <v>532200000</v>
      </c>
      <c r="E48">
        <v>2379800000</v>
      </c>
      <c r="F48">
        <v>-0.1177992688329236</v>
      </c>
    </row>
    <row r="49" spans="1:6" x14ac:dyDescent="0.25">
      <c r="A49" s="72" t="s">
        <v>80</v>
      </c>
      <c r="B49">
        <v>16789100000</v>
      </c>
      <c r="C49">
        <v>-284400000</v>
      </c>
      <c r="D49">
        <v>531450000</v>
      </c>
      <c r="E49">
        <v>2395900000</v>
      </c>
      <c r="F49">
        <v>-0.20428649396091991</v>
      </c>
    </row>
    <row r="50" spans="1:6" x14ac:dyDescent="0.25">
      <c r="A50" s="72" t="s">
        <v>81</v>
      </c>
      <c r="B50">
        <v>17536200000</v>
      </c>
      <c r="C50">
        <v>-358400000</v>
      </c>
      <c r="D50">
        <v>531450000</v>
      </c>
      <c r="E50">
        <v>2706400000</v>
      </c>
      <c r="F50">
        <v>-0.1162250872659791</v>
      </c>
    </row>
    <row r="51" spans="1:6" x14ac:dyDescent="0.25">
      <c r="A51" s="72" t="s">
        <v>82</v>
      </c>
      <c r="B51">
        <v>17973100000</v>
      </c>
      <c r="C51">
        <v>-1121900000</v>
      </c>
      <c r="D51">
        <v>535200000</v>
      </c>
      <c r="E51">
        <v>2648400000</v>
      </c>
      <c r="F51">
        <v>0.1117981152321559</v>
      </c>
    </row>
    <row r="52" spans="1:6" x14ac:dyDescent="0.25">
      <c r="A52" s="72" t="s">
        <v>83</v>
      </c>
      <c r="B52">
        <v>17476600000</v>
      </c>
      <c r="C52">
        <v>-625500000</v>
      </c>
      <c r="D52">
        <v>536700000</v>
      </c>
      <c r="E52">
        <v>2870900000</v>
      </c>
      <c r="F52">
        <v>0.24674138141064689</v>
      </c>
    </row>
    <row r="53" spans="1:6" x14ac:dyDescent="0.25">
      <c r="A53" s="72" t="s">
        <v>84</v>
      </c>
      <c r="B53">
        <v>16245500000</v>
      </c>
      <c r="C53">
        <v>-54700000</v>
      </c>
      <c r="D53">
        <v>546600000</v>
      </c>
      <c r="E53">
        <v>3016800000</v>
      </c>
      <c r="F53">
        <v>0.42799866510776741</v>
      </c>
    </row>
    <row r="54" spans="1:6" x14ac:dyDescent="0.25">
      <c r="A54" s="72" t="s">
        <v>85</v>
      </c>
      <c r="B54">
        <v>14452200000</v>
      </c>
      <c r="C54">
        <v>22000000</v>
      </c>
      <c r="D54">
        <v>546300000</v>
      </c>
      <c r="E54">
        <v>2795300000</v>
      </c>
      <c r="F54">
        <v>0.52215964955752203</v>
      </c>
    </row>
    <row r="55" spans="1:6" x14ac:dyDescent="0.25">
      <c r="A55" s="72" t="s">
        <v>86</v>
      </c>
      <c r="B55">
        <v>12737600000</v>
      </c>
      <c r="C55">
        <v>1068800000</v>
      </c>
      <c r="D55">
        <v>550800000</v>
      </c>
      <c r="E55">
        <v>2925600000</v>
      </c>
      <c r="F55">
        <v>0.88980375044947868</v>
      </c>
    </row>
    <row r="56" spans="1:6" x14ac:dyDescent="0.25">
      <c r="A56" s="72" t="s">
        <v>87</v>
      </c>
      <c r="B56">
        <v>11001700000</v>
      </c>
      <c r="C56">
        <v>1283800000</v>
      </c>
      <c r="D56">
        <v>550800000</v>
      </c>
      <c r="E56">
        <v>2691400000</v>
      </c>
      <c r="F56">
        <v>0.52990028322330285</v>
      </c>
    </row>
    <row r="57" spans="1:6" x14ac:dyDescent="0.25">
      <c r="A57" s="72" t="s">
        <v>88</v>
      </c>
      <c r="B57">
        <v>9702400000</v>
      </c>
      <c r="C57">
        <v>1146000000</v>
      </c>
      <c r="D57">
        <v>549300000</v>
      </c>
      <c r="E57">
        <v>2491300000</v>
      </c>
      <c r="F57">
        <v>0.4332082551594747</v>
      </c>
    </row>
    <row r="58" spans="1:6" x14ac:dyDescent="0.25">
      <c r="A58" s="72" t="s">
        <v>89</v>
      </c>
      <c r="B58">
        <v>8883600000</v>
      </c>
      <c r="C58">
        <v>1197800000</v>
      </c>
      <c r="D58">
        <v>549150000</v>
      </c>
      <c r="E58">
        <v>2412100000</v>
      </c>
      <c r="F58">
        <v>0.2326040120987902</v>
      </c>
    </row>
    <row r="59" spans="1:6" x14ac:dyDescent="0.25">
      <c r="A59" s="72" t="s">
        <v>90</v>
      </c>
      <c r="B59">
        <v>8341300000</v>
      </c>
      <c r="C59">
        <v>1310400000</v>
      </c>
      <c r="D59">
        <v>549000000</v>
      </c>
      <c r="E59">
        <v>2193000000</v>
      </c>
      <c r="F59">
        <v>-1.1128367645465429E-2</v>
      </c>
    </row>
    <row r="60" spans="1:6" x14ac:dyDescent="0.25">
      <c r="A60" s="72" t="s">
        <v>91</v>
      </c>
      <c r="B60">
        <v>7962300000</v>
      </c>
      <c r="C60">
        <v>824700000</v>
      </c>
      <c r="D60">
        <v>548550000</v>
      </c>
      <c r="E60">
        <v>2101400000</v>
      </c>
      <c r="F60">
        <v>-0.11289595657868221</v>
      </c>
    </row>
    <row r="61" spans="1:6" x14ac:dyDescent="0.25">
      <c r="A61" s="72" t="s">
        <v>92</v>
      </c>
      <c r="B61">
        <v>7963200000</v>
      </c>
      <c r="C61">
        <v>639700000</v>
      </c>
      <c r="D61">
        <v>547350000</v>
      </c>
      <c r="E61">
        <v>2131500000</v>
      </c>
      <c r="F61">
        <v>-0.41849276922549461</v>
      </c>
    </row>
    <row r="62" spans="1:6" x14ac:dyDescent="0.25">
      <c r="A62" s="72" t="s">
        <v>93</v>
      </c>
      <c r="B62">
        <v>8747900000</v>
      </c>
      <c r="C62">
        <v>-363400000</v>
      </c>
      <c r="D62">
        <v>547500000</v>
      </c>
      <c r="E62">
        <v>2039500000</v>
      </c>
      <c r="F62">
        <v>-0.74893255761691924</v>
      </c>
    </row>
    <row r="63" spans="1:6" x14ac:dyDescent="0.25">
      <c r="A63" s="72" t="s">
        <v>94</v>
      </c>
      <c r="B63">
        <v>10752600000</v>
      </c>
      <c r="C63">
        <v>-235200000</v>
      </c>
      <c r="D63">
        <v>546600000</v>
      </c>
      <c r="E63">
        <v>2034800000</v>
      </c>
      <c r="F63">
        <v>-0.61180114066869296</v>
      </c>
    </row>
    <row r="64" spans="1:6" x14ac:dyDescent="0.25">
      <c r="A64" s="72" t="s">
        <v>95</v>
      </c>
      <c r="B64">
        <v>13019300000</v>
      </c>
      <c r="C64">
        <v>-239400000</v>
      </c>
      <c r="D64">
        <v>546000000</v>
      </c>
      <c r="E64">
        <v>2102200000</v>
      </c>
      <c r="F64">
        <v>-0.63977394754214911</v>
      </c>
    </row>
    <row r="65" spans="1:6" x14ac:dyDescent="0.25">
      <c r="A65" s="72" t="s">
        <v>96</v>
      </c>
      <c r="B65">
        <v>14972500000</v>
      </c>
      <c r="C65">
        <v>-245100000</v>
      </c>
      <c r="D65">
        <v>548850000</v>
      </c>
      <c r="E65">
        <v>2130600000</v>
      </c>
      <c r="F65">
        <v>-0.24916529593275341</v>
      </c>
    </row>
    <row r="66" spans="1:6" x14ac:dyDescent="0.25">
      <c r="A66" s="72" t="s">
        <v>97</v>
      </c>
      <c r="B66">
        <v>15815100000</v>
      </c>
      <c r="C66">
        <v>710700000</v>
      </c>
      <c r="D66">
        <v>547200000</v>
      </c>
      <c r="E66">
        <v>1946800000</v>
      </c>
      <c r="F66">
        <v>0.12956940186617749</v>
      </c>
    </row>
    <row r="67" spans="1:6" x14ac:dyDescent="0.25">
      <c r="A67" s="72" t="s">
        <v>98</v>
      </c>
      <c r="B67">
        <v>15571900000</v>
      </c>
      <c r="C67">
        <v>316300000</v>
      </c>
      <c r="D67">
        <v>549750000</v>
      </c>
      <c r="E67">
        <v>2275000000</v>
      </c>
      <c r="F67">
        <v>8.0905350896076644E-2</v>
      </c>
    </row>
    <row r="68" spans="1:6" x14ac:dyDescent="0.25">
      <c r="A68" s="72" t="s">
        <v>99</v>
      </c>
      <c r="B68">
        <v>15175600000</v>
      </c>
      <c r="C68">
        <v>621300000</v>
      </c>
      <c r="D68">
        <v>552450000</v>
      </c>
      <c r="E68">
        <v>2385600000</v>
      </c>
      <c r="F68">
        <v>-3.6593381854686857E-2</v>
      </c>
    </row>
    <row r="69" spans="1:6" x14ac:dyDescent="0.25">
      <c r="A69" s="72" t="s">
        <v>100</v>
      </c>
      <c r="B69">
        <v>15221700000</v>
      </c>
      <c r="C69">
        <v>788000000</v>
      </c>
      <c r="D69">
        <v>559950000</v>
      </c>
      <c r="E69">
        <v>2636600000</v>
      </c>
      <c r="F69">
        <v>2.665565381886981E-2</v>
      </c>
    </row>
    <row r="70" spans="1:6" x14ac:dyDescent="0.25">
      <c r="A70" s="72" t="s">
        <v>101</v>
      </c>
      <c r="B70">
        <v>15691400000</v>
      </c>
      <c r="C70">
        <v>898200000</v>
      </c>
      <c r="D70">
        <v>558900000</v>
      </c>
      <c r="E70">
        <v>2422500000</v>
      </c>
      <c r="F70">
        <v>-0.1496796887335331</v>
      </c>
    </row>
    <row r="71" spans="1:6" x14ac:dyDescent="0.25">
      <c r="A71" s="72" t="s">
        <v>102</v>
      </c>
      <c r="B71">
        <v>16135100000</v>
      </c>
      <c r="C71">
        <v>877700000</v>
      </c>
      <c r="D71">
        <v>562950000</v>
      </c>
      <c r="E71">
        <v>2480200000</v>
      </c>
      <c r="F71">
        <v>-0.1535417528790787</v>
      </c>
    </row>
    <row r="72" spans="1:6" x14ac:dyDescent="0.25">
      <c r="A72" s="72" t="s">
        <v>103</v>
      </c>
      <c r="B72">
        <v>16586900000</v>
      </c>
      <c r="C72">
        <v>815700000</v>
      </c>
      <c r="D72">
        <v>562725000</v>
      </c>
      <c r="E72">
        <v>2393900000</v>
      </c>
      <c r="F72">
        <v>-0.1468220352052341</v>
      </c>
    </row>
    <row r="73" spans="1:6" x14ac:dyDescent="0.25">
      <c r="A73" s="72" t="s">
        <v>104</v>
      </c>
      <c r="B73">
        <v>16454100000</v>
      </c>
      <c r="C73">
        <v>898400000</v>
      </c>
      <c r="D73">
        <v>565650000</v>
      </c>
      <c r="E73">
        <v>2674200000</v>
      </c>
      <c r="F73">
        <v>0.18644912627235219</v>
      </c>
    </row>
    <row r="74" spans="1:6" x14ac:dyDescent="0.25">
      <c r="A74" s="72" t="s">
        <v>105</v>
      </c>
      <c r="B74">
        <v>15860100000</v>
      </c>
      <c r="C74">
        <v>740600000</v>
      </c>
      <c r="D74">
        <v>563625000</v>
      </c>
      <c r="E74">
        <v>2434500000</v>
      </c>
      <c r="F74">
        <v>9.883580062129349E-2</v>
      </c>
    </row>
    <row r="75" spans="1:6" x14ac:dyDescent="0.25">
      <c r="A75" s="72" t="s">
        <v>106</v>
      </c>
      <c r="B75">
        <v>15195700000</v>
      </c>
      <c r="C75">
        <v>536000000</v>
      </c>
      <c r="D75">
        <v>565650000</v>
      </c>
      <c r="E75">
        <v>2169600000</v>
      </c>
      <c r="F75">
        <v>0.1005277397761153</v>
      </c>
    </row>
    <row r="76" spans="1:6" x14ac:dyDescent="0.25">
      <c r="A76" s="72" t="s">
        <v>107</v>
      </c>
      <c r="B76">
        <v>14583100000</v>
      </c>
      <c r="C76">
        <v>422000000</v>
      </c>
      <c r="D76">
        <v>570825000</v>
      </c>
      <c r="E76">
        <v>2154800000</v>
      </c>
      <c r="F76">
        <v>5.5119262176788857E-2</v>
      </c>
    </row>
    <row r="77" spans="1:6" x14ac:dyDescent="0.25">
      <c r="A77" s="72" t="s">
        <v>108</v>
      </c>
      <c r="B77">
        <v>14057400000</v>
      </c>
      <c r="C77">
        <v>138300000</v>
      </c>
      <c r="D77">
        <v>583200000</v>
      </c>
      <c r="E77">
        <v>2290300000</v>
      </c>
      <c r="F77">
        <v>0.1534216847417251</v>
      </c>
    </row>
    <row r="78" spans="1:6" x14ac:dyDescent="0.25">
      <c r="A78" s="72" t="s">
        <v>109</v>
      </c>
      <c r="B78">
        <v>13612800000</v>
      </c>
      <c r="C78">
        <v>-272300000</v>
      </c>
      <c r="D78">
        <v>579375000</v>
      </c>
      <c r="E78">
        <v>1708900000</v>
      </c>
      <c r="F78">
        <v>0.18286189252176291</v>
      </c>
    </row>
    <row r="79" spans="1:6" x14ac:dyDescent="0.25">
      <c r="A79" s="72" t="s">
        <v>110</v>
      </c>
      <c r="B79">
        <v>12989600000</v>
      </c>
      <c r="C79">
        <v>6900000</v>
      </c>
      <c r="D79">
        <v>587587500</v>
      </c>
      <c r="E79">
        <v>1854500000</v>
      </c>
      <c r="F79">
        <v>0.22673096239414381</v>
      </c>
    </row>
    <row r="80" spans="1:6" x14ac:dyDescent="0.25">
      <c r="A80" s="72" t="s">
        <v>111</v>
      </c>
      <c r="B80">
        <v>12221000000</v>
      </c>
      <c r="C80">
        <v>111500000</v>
      </c>
      <c r="D80">
        <v>590962500</v>
      </c>
      <c r="E80">
        <v>1866300000</v>
      </c>
      <c r="F80">
        <v>0.27189513612921279</v>
      </c>
    </row>
    <row r="81" spans="1:6" x14ac:dyDescent="0.25">
      <c r="A81" s="72" t="s">
        <v>112</v>
      </c>
      <c r="B81">
        <v>11396300000</v>
      </c>
      <c r="C81">
        <v>257500000</v>
      </c>
      <c r="D81">
        <v>592987500</v>
      </c>
      <c r="E81">
        <v>2219500000</v>
      </c>
      <c r="F81">
        <v>0.44532028630968568</v>
      </c>
    </row>
    <row r="82" spans="1:6" x14ac:dyDescent="0.25">
      <c r="A82" s="72" t="s">
        <v>113</v>
      </c>
      <c r="B82">
        <v>10413300000</v>
      </c>
      <c r="C82">
        <v>635100000</v>
      </c>
      <c r="D82">
        <v>590625000</v>
      </c>
      <c r="E82">
        <v>1993500000</v>
      </c>
      <c r="F82">
        <v>0.34994274568860823</v>
      </c>
    </row>
    <row r="83" spans="1:6" x14ac:dyDescent="0.25">
      <c r="A83" s="72" t="s">
        <v>114</v>
      </c>
      <c r="B83">
        <v>9554000000</v>
      </c>
      <c r="C83">
        <v>652700000</v>
      </c>
      <c r="D83">
        <v>593662500</v>
      </c>
      <c r="E83">
        <v>1776800000</v>
      </c>
      <c r="F83">
        <v>0.17720902494781821</v>
      </c>
    </row>
    <row r="84" spans="1:6" x14ac:dyDescent="0.25">
      <c r="A84" s="72" t="s">
        <v>115</v>
      </c>
      <c r="B84">
        <v>8779400000</v>
      </c>
      <c r="C84">
        <v>494600000</v>
      </c>
      <c r="D84">
        <v>596362500</v>
      </c>
      <c r="E84">
        <v>1730600000</v>
      </c>
      <c r="F84">
        <v>0.13472635538397329</v>
      </c>
    </row>
    <row r="85" spans="1:6" x14ac:dyDescent="0.25">
      <c r="A85" s="72" t="s">
        <v>116</v>
      </c>
      <c r="B85">
        <v>8194900000</v>
      </c>
      <c r="C85">
        <v>449400000</v>
      </c>
      <c r="D85">
        <v>594337500</v>
      </c>
      <c r="E85">
        <v>1724100000</v>
      </c>
      <c r="F85">
        <v>6.4015111516414702E-2</v>
      </c>
    </row>
    <row r="86" spans="1:6" x14ac:dyDescent="0.25">
      <c r="A86" s="72" t="s">
        <v>117</v>
      </c>
      <c r="B86">
        <v>7906500000</v>
      </c>
      <c r="C86">
        <v>251100000</v>
      </c>
      <c r="D86">
        <v>595350000</v>
      </c>
      <c r="E86">
        <v>1645700000</v>
      </c>
      <c r="F86">
        <v>-3.1336761007864533E-2</v>
      </c>
    </row>
    <row r="87" spans="1:6" x14ac:dyDescent="0.25">
      <c r="A87" s="72" t="s">
        <v>118</v>
      </c>
      <c r="B87">
        <v>7844300000</v>
      </c>
      <c r="C87">
        <v>486600000</v>
      </c>
      <c r="D87">
        <v>593662500</v>
      </c>
      <c r="E87">
        <v>1501200000</v>
      </c>
      <c r="F87">
        <v>4.4722302697302707E-2</v>
      </c>
    </row>
    <row r="88" spans="1:6" x14ac:dyDescent="0.25">
      <c r="A88" s="72" t="s">
        <v>119</v>
      </c>
      <c r="B88">
        <v>7633900000</v>
      </c>
      <c r="C88">
        <v>511200000</v>
      </c>
      <c r="D88">
        <v>590962500</v>
      </c>
      <c r="E88">
        <v>1366000000</v>
      </c>
      <c r="F88">
        <v>-8.8149945387945405E-2</v>
      </c>
    </row>
    <row r="89" spans="1:6" x14ac:dyDescent="0.25">
      <c r="A89" s="72" t="s">
        <v>120</v>
      </c>
      <c r="B89">
        <v>7218600000</v>
      </c>
      <c r="C89">
        <v>455200000</v>
      </c>
      <c r="D89">
        <v>589275000</v>
      </c>
      <c r="E89">
        <v>1308300000</v>
      </c>
      <c r="F89">
        <v>-0.2343696849368572</v>
      </c>
    </row>
    <row r="90" spans="1:6" x14ac:dyDescent="0.25">
      <c r="A90" s="72" t="s">
        <v>121</v>
      </c>
      <c r="B90">
        <v>6835800000</v>
      </c>
      <c r="C90">
        <v>781200000</v>
      </c>
      <c r="D90">
        <v>588768750</v>
      </c>
      <c r="E90">
        <v>1293000000</v>
      </c>
      <c r="F90">
        <v>-7.3105984944374147E-2</v>
      </c>
    </row>
    <row r="91" spans="1:6" x14ac:dyDescent="0.25">
      <c r="A91" s="72" t="s">
        <v>122</v>
      </c>
      <c r="B91">
        <v>6340600000</v>
      </c>
      <c r="C91">
        <v>368000000</v>
      </c>
      <c r="D91">
        <v>592232143</v>
      </c>
      <c r="E91">
        <v>1122300000</v>
      </c>
      <c r="F91">
        <v>5.1690809576619527E-2</v>
      </c>
    </row>
    <row r="92" spans="1:6" x14ac:dyDescent="0.25">
      <c r="A92" s="72" t="s">
        <v>123</v>
      </c>
      <c r="B92">
        <v>6071700000</v>
      </c>
      <c r="C92">
        <v>358200000</v>
      </c>
      <c r="D92">
        <v>583959375</v>
      </c>
      <c r="E92">
        <v>1085500000</v>
      </c>
      <c r="F92">
        <v>-0.10497138769670961</v>
      </c>
    </row>
    <row r="93" spans="1:6" x14ac:dyDescent="0.25">
      <c r="A93" s="72" t="s">
        <v>124</v>
      </c>
      <c r="B93">
        <v>6108000000</v>
      </c>
      <c r="C93">
        <v>316400000</v>
      </c>
      <c r="D93">
        <v>583307522</v>
      </c>
      <c r="E93">
        <v>1062100000</v>
      </c>
      <c r="F93">
        <v>-0.29242179556193548</v>
      </c>
    </row>
    <row r="94" spans="1:6" x14ac:dyDescent="0.25">
      <c r="A94" s="72" t="s">
        <v>125</v>
      </c>
      <c r="B94">
        <v>6243700000</v>
      </c>
      <c r="C94">
        <v>240200000</v>
      </c>
      <c r="D94">
        <v>583335393</v>
      </c>
      <c r="E94">
        <v>978800000</v>
      </c>
      <c r="F94">
        <v>-0.40721004956908691</v>
      </c>
    </row>
    <row r="95" spans="1:6" x14ac:dyDescent="0.25">
      <c r="A95" s="72" t="s">
        <v>126</v>
      </c>
      <c r="B95">
        <v>6517900000</v>
      </c>
      <c r="C95">
        <v>216500000</v>
      </c>
      <c r="D95">
        <v>579293125</v>
      </c>
      <c r="E95">
        <v>839100000</v>
      </c>
      <c r="F95">
        <v>-0.28488019057405772</v>
      </c>
    </row>
    <row r="96" spans="1:6" x14ac:dyDescent="0.25">
      <c r="A96" s="72" t="s">
        <v>127</v>
      </c>
      <c r="B96">
        <v>7125900000</v>
      </c>
      <c r="C96">
        <v>75400000</v>
      </c>
      <c r="D96">
        <v>579003625</v>
      </c>
      <c r="E96">
        <v>805000000</v>
      </c>
      <c r="F96">
        <v>-0.40407809934371391</v>
      </c>
    </row>
    <row r="97" spans="1:6" x14ac:dyDescent="0.25">
      <c r="A97" s="72" t="s">
        <v>128</v>
      </c>
      <c r="B97">
        <v>7919400000</v>
      </c>
      <c r="C97">
        <v>299500000</v>
      </c>
      <c r="D97">
        <v>585500654</v>
      </c>
      <c r="E97">
        <v>931400000</v>
      </c>
      <c r="F97">
        <v>-0.32647273664761739</v>
      </c>
    </row>
    <row r="98" spans="1:6" x14ac:dyDescent="0.25">
      <c r="A98" s="72" t="s">
        <v>129</v>
      </c>
      <c r="B98">
        <v>8574800000</v>
      </c>
      <c r="C98">
        <v>307600000</v>
      </c>
      <c r="D98">
        <v>584279442</v>
      </c>
      <c r="E98">
        <v>941800000</v>
      </c>
      <c r="F98">
        <v>-3.1928528699176277E-2</v>
      </c>
    </row>
    <row r="99" spans="1:6" x14ac:dyDescent="0.25">
      <c r="A99" s="72" t="s">
        <v>130</v>
      </c>
      <c r="B99">
        <v>9069600000</v>
      </c>
      <c r="C99">
        <v>465200000</v>
      </c>
      <c r="D99">
        <v>582187500</v>
      </c>
      <c r="E99">
        <v>973900000</v>
      </c>
      <c r="F99">
        <v>-0.13999766835498781</v>
      </c>
    </row>
    <row r="100" spans="1:6" x14ac:dyDescent="0.25">
      <c r="A100" s="72" t="s">
        <v>131</v>
      </c>
      <c r="B100">
        <v>9199200000</v>
      </c>
      <c r="C100">
        <v>657100000</v>
      </c>
      <c r="D100">
        <v>594076705</v>
      </c>
      <c r="E100">
        <v>1014900000</v>
      </c>
      <c r="F100">
        <v>2.7238007059588561E-2</v>
      </c>
    </row>
    <row r="101" spans="1:6" x14ac:dyDescent="0.25">
      <c r="A101" s="72" t="s">
        <v>132</v>
      </c>
      <c r="B101">
        <v>9021000000</v>
      </c>
      <c r="C101">
        <v>533800000</v>
      </c>
      <c r="D101">
        <v>598071862</v>
      </c>
      <c r="E101">
        <v>1059100000</v>
      </c>
      <c r="F101">
        <v>4.1314306456730071E-4</v>
      </c>
    </row>
    <row r="102" spans="1:6" x14ac:dyDescent="0.25">
      <c r="A102" s="72" t="s">
        <v>133</v>
      </c>
      <c r="B102">
        <v>8897600000</v>
      </c>
      <c r="C102">
        <v>539600000</v>
      </c>
      <c r="D102">
        <v>599246283</v>
      </c>
      <c r="E102">
        <v>963800000</v>
      </c>
      <c r="F102">
        <v>2.4571878062619179E-2</v>
      </c>
    </row>
    <row r="103" spans="1:6" x14ac:dyDescent="0.25">
      <c r="A103" s="72" t="s">
        <v>134</v>
      </c>
      <c r="B103">
        <v>8566200000</v>
      </c>
      <c r="C103">
        <v>522800000</v>
      </c>
      <c r="D103">
        <v>597293980</v>
      </c>
      <c r="E103">
        <v>449600000</v>
      </c>
      <c r="F103">
        <v>-1.6435341789260319E-2</v>
      </c>
    </row>
    <row r="104" spans="1:6" x14ac:dyDescent="0.25">
      <c r="A104" s="72" t="s">
        <v>135</v>
      </c>
      <c r="B104">
        <v>8219400000</v>
      </c>
      <c r="C104">
        <v>437800000</v>
      </c>
      <c r="D104">
        <v>595815827</v>
      </c>
      <c r="E104">
        <v>435700000</v>
      </c>
      <c r="F104">
        <v>5.1864064852981562E-2</v>
      </c>
    </row>
    <row r="105" spans="1:6" x14ac:dyDescent="0.25">
      <c r="A105" s="72" t="s">
        <v>136</v>
      </c>
      <c r="B105">
        <v>7885800000</v>
      </c>
      <c r="C105">
        <v>355800000</v>
      </c>
      <c r="D105">
        <v>597183962</v>
      </c>
      <c r="E105">
        <v>432400000</v>
      </c>
      <c r="F105">
        <v>4.0787874225923559E-2</v>
      </c>
    </row>
    <row r="106" spans="1:6" x14ac:dyDescent="0.25">
      <c r="A106" s="72" t="s">
        <v>137</v>
      </c>
      <c r="B106">
        <v>7555100000</v>
      </c>
      <c r="C106">
        <v>352300000</v>
      </c>
      <c r="D106">
        <v>595196530</v>
      </c>
      <c r="E106">
        <v>376300000</v>
      </c>
      <c r="F106">
        <v>0.13433971095898431</v>
      </c>
    </row>
    <row r="107" spans="1:6" x14ac:dyDescent="0.25">
      <c r="A107" s="72" t="s">
        <v>138</v>
      </c>
      <c r="B107">
        <v>7325500000</v>
      </c>
      <c r="C107">
        <v>336000000</v>
      </c>
      <c r="D107">
        <v>597738963</v>
      </c>
      <c r="E107">
        <v>281600000</v>
      </c>
      <c r="F107">
        <v>0.1620529521741754</v>
      </c>
    </row>
    <row r="108" spans="1:6" x14ac:dyDescent="0.25">
      <c r="A108" s="72" t="s">
        <v>139</v>
      </c>
      <c r="B108">
        <v>7059900000</v>
      </c>
      <c r="C108">
        <v>351900000</v>
      </c>
      <c r="D108">
        <v>594446308</v>
      </c>
      <c r="E108">
        <v>293100000</v>
      </c>
      <c r="F108">
        <v>0.20377108832285809</v>
      </c>
    </row>
    <row r="109" spans="1:6" x14ac:dyDescent="0.25">
      <c r="A109" s="72" t="s">
        <v>140</v>
      </c>
      <c r="B109">
        <v>6751900000</v>
      </c>
      <c r="C109">
        <v>305400000</v>
      </c>
      <c r="D109">
        <v>593380102</v>
      </c>
      <c r="E109">
        <v>337900000</v>
      </c>
      <c r="F109">
        <v>0.46802507836990598</v>
      </c>
    </row>
    <row r="110" spans="1:6" x14ac:dyDescent="0.25">
      <c r="A110" s="72" t="s">
        <v>141</v>
      </c>
      <c r="B110">
        <v>6154700000</v>
      </c>
      <c r="C110">
        <v>-168300000</v>
      </c>
      <c r="D110">
        <v>595458635</v>
      </c>
      <c r="E110">
        <v>231400000</v>
      </c>
      <c r="F110">
        <v>0.31657943336925293</v>
      </c>
    </row>
    <row r="111" spans="1:6" x14ac:dyDescent="0.25">
      <c r="A111" s="72" t="s">
        <v>142</v>
      </c>
      <c r="B111">
        <v>5559200000</v>
      </c>
      <c r="C111">
        <v>-233700000</v>
      </c>
      <c r="D111">
        <v>588987984</v>
      </c>
      <c r="E111">
        <v>228000000</v>
      </c>
      <c r="F111">
        <v>0.50831440254429805</v>
      </c>
    </row>
    <row r="112" spans="1:6" x14ac:dyDescent="0.25">
      <c r="A112" s="72" t="s">
        <v>143</v>
      </c>
      <c r="B112">
        <v>5001600000</v>
      </c>
      <c r="C112">
        <v>-245600000</v>
      </c>
      <c r="D112">
        <v>592974431</v>
      </c>
      <c r="E112">
        <v>190700000</v>
      </c>
      <c r="F112">
        <v>0.38214873012972772</v>
      </c>
    </row>
    <row r="113" spans="1:6" x14ac:dyDescent="0.25">
      <c r="A113" s="72" t="s">
        <v>144</v>
      </c>
      <c r="B113">
        <v>4584700000</v>
      </c>
      <c r="C113">
        <v>-230100000</v>
      </c>
      <c r="D113">
        <v>590793750</v>
      </c>
      <c r="E113">
        <v>222900000</v>
      </c>
      <c r="F113">
        <v>9.4527362326299436E-2</v>
      </c>
    </row>
    <row r="114" spans="1:6" x14ac:dyDescent="0.25">
      <c r="A114" s="72" t="s">
        <v>145</v>
      </c>
      <c r="B114">
        <v>4474500000</v>
      </c>
      <c r="C114">
        <v>230400000</v>
      </c>
      <c r="D114">
        <v>586767306</v>
      </c>
      <c r="E114">
        <v>132500000</v>
      </c>
    </row>
    <row r="115" spans="1:6" x14ac:dyDescent="0.25">
      <c r="A115" s="72" t="s">
        <v>146</v>
      </c>
      <c r="B115">
        <v>4573000000</v>
      </c>
      <c r="C115">
        <v>260000000</v>
      </c>
      <c r="D115">
        <v>584793117</v>
      </c>
      <c r="E115">
        <v>115900000</v>
      </c>
    </row>
    <row r="116" spans="1:6" x14ac:dyDescent="0.25">
      <c r="A116" s="72" t="s">
        <v>147</v>
      </c>
      <c r="B116">
        <v>4740900000</v>
      </c>
      <c r="C116">
        <v>214000000</v>
      </c>
      <c r="D116">
        <v>588164225</v>
      </c>
      <c r="E116">
        <v>120800000</v>
      </c>
    </row>
    <row r="117" spans="1:6" x14ac:dyDescent="0.25">
      <c r="A117" s="72" t="s">
        <v>148</v>
      </c>
      <c r="B117">
        <v>4829900000</v>
      </c>
      <c r="C117">
        <v>204600000</v>
      </c>
      <c r="D117">
        <v>590793750</v>
      </c>
      <c r="E117">
        <v>184000000</v>
      </c>
    </row>
    <row r="118" spans="1:6" x14ac:dyDescent="0.25">
      <c r="A118" s="72" t="s">
        <v>149</v>
      </c>
      <c r="B118">
        <v>4834100000</v>
      </c>
      <c r="C118">
        <v>247100000</v>
      </c>
      <c r="D118">
        <v>588201521</v>
      </c>
      <c r="E118">
        <v>184100000</v>
      </c>
    </row>
    <row r="119" spans="1:6" x14ac:dyDescent="0.25">
      <c r="A119" s="72" t="s">
        <v>150</v>
      </c>
      <c r="B119">
        <v>4789900000</v>
      </c>
      <c r="C119">
        <v>203800000</v>
      </c>
      <c r="D119">
        <v>587340158</v>
      </c>
      <c r="E119">
        <v>279800000</v>
      </c>
    </row>
    <row r="120" spans="1:6" x14ac:dyDescent="0.25">
      <c r="A120" s="72" t="s">
        <v>151</v>
      </c>
      <c r="B120">
        <v>4641800000</v>
      </c>
      <c r="C120">
        <v>211300000</v>
      </c>
      <c r="D120">
        <v>587882900</v>
      </c>
      <c r="E120">
        <v>307300000</v>
      </c>
    </row>
    <row r="121" spans="1:6" x14ac:dyDescent="0.25">
      <c r="A121" s="72" t="s">
        <v>152</v>
      </c>
      <c r="B121">
        <v>4490100000</v>
      </c>
      <c r="C121">
        <v>253900000</v>
      </c>
      <c r="D121">
        <v>590793750</v>
      </c>
      <c r="E121">
        <v>311300000</v>
      </c>
    </row>
    <row r="122" spans="1:6" x14ac:dyDescent="0.25">
      <c r="A122" s="72" t="s">
        <v>153</v>
      </c>
      <c r="B122">
        <v>4258200000</v>
      </c>
      <c r="C122">
        <v>235700000</v>
      </c>
      <c r="D122">
        <v>584320014</v>
      </c>
      <c r="E122">
        <v>311400000</v>
      </c>
    </row>
    <row r="123" spans="1:6" x14ac:dyDescent="0.25">
      <c r="A123" s="72" t="s">
        <v>154</v>
      </c>
      <c r="B123">
        <v>4015700000</v>
      </c>
      <c r="C123">
        <v>213200000</v>
      </c>
      <c r="D123">
        <v>589963623</v>
      </c>
      <c r="E123">
        <v>268400000</v>
      </c>
    </row>
    <row r="124" spans="1:6" x14ac:dyDescent="0.25">
      <c r="A124" s="72" t="s">
        <v>155</v>
      </c>
      <c r="B124">
        <v>3772900000</v>
      </c>
      <c r="C124">
        <v>197600000</v>
      </c>
      <c r="D124">
        <v>590045020</v>
      </c>
      <c r="E124">
        <v>272000000</v>
      </c>
    </row>
    <row r="125" spans="1:6" x14ac:dyDescent="0.25">
      <c r="A125" s="72" t="s">
        <v>156</v>
      </c>
      <c r="B125">
        <v>3502400000</v>
      </c>
      <c r="C125">
        <v>119500000</v>
      </c>
      <c r="D125">
        <v>588893030</v>
      </c>
      <c r="E125">
        <v>223200000</v>
      </c>
    </row>
    <row r="126" spans="1:6" x14ac:dyDescent="0.25">
      <c r="A126" s="72" t="s">
        <v>157</v>
      </c>
      <c r="B126">
        <v>3335500000</v>
      </c>
      <c r="C126">
        <v>-3000000</v>
      </c>
      <c r="D126">
        <v>588551465</v>
      </c>
      <c r="E126">
        <v>183400000</v>
      </c>
    </row>
    <row r="127" spans="1:6" x14ac:dyDescent="0.25">
      <c r="A127" s="72" t="s">
        <v>158</v>
      </c>
      <c r="B127">
        <v>3132900000</v>
      </c>
      <c r="C127">
        <v>8500000</v>
      </c>
      <c r="D127">
        <v>591851219</v>
      </c>
      <c r="E127">
        <v>190900000</v>
      </c>
    </row>
    <row r="128" spans="1:6" x14ac:dyDescent="0.25">
      <c r="A128" s="72" t="s">
        <v>159</v>
      </c>
      <c r="B128">
        <v>2867800000</v>
      </c>
      <c r="C128">
        <v>25100000</v>
      </c>
      <c r="D128">
        <v>593296186</v>
      </c>
      <c r="E128">
        <v>213800000</v>
      </c>
    </row>
    <row r="129" spans="1:5" x14ac:dyDescent="0.25">
      <c r="A129" s="72" t="s">
        <v>160</v>
      </c>
      <c r="B129">
        <v>2735200000</v>
      </c>
      <c r="C129">
        <v>39500000</v>
      </c>
      <c r="D129">
        <v>588242370</v>
      </c>
      <c r="E129">
        <v>250400000</v>
      </c>
    </row>
    <row r="130" spans="1:5" x14ac:dyDescent="0.25">
      <c r="A130" s="72" t="s">
        <v>161</v>
      </c>
      <c r="B130">
        <v>2604200000</v>
      </c>
      <c r="C130">
        <v>113400000</v>
      </c>
      <c r="D130">
        <v>574712644</v>
      </c>
      <c r="E130">
        <v>251200000</v>
      </c>
    </row>
    <row r="131" spans="1:5" x14ac:dyDescent="0.25">
      <c r="A131" s="72" t="s">
        <v>162</v>
      </c>
      <c r="B131">
        <v>2498000000</v>
      </c>
      <c r="C131">
        <v>100700000</v>
      </c>
      <c r="D131">
        <v>560813769</v>
      </c>
      <c r="E131">
        <v>261600000</v>
      </c>
    </row>
    <row r="132" spans="1:5" x14ac:dyDescent="0.25">
      <c r="A132" s="72" t="s">
        <v>163</v>
      </c>
      <c r="B132">
        <v>2436600000</v>
      </c>
      <c r="C132">
        <v>128100000</v>
      </c>
      <c r="D132">
        <v>584647587</v>
      </c>
      <c r="E132">
        <v>271900000</v>
      </c>
    </row>
    <row r="133" spans="1:5" x14ac:dyDescent="0.25">
      <c r="A133" s="72" t="s">
        <v>164</v>
      </c>
      <c r="B133">
        <v>2331900000</v>
      </c>
      <c r="C133">
        <v>98200000</v>
      </c>
      <c r="D133">
        <v>589942739</v>
      </c>
      <c r="E133">
        <v>294900000</v>
      </c>
    </row>
    <row r="134" spans="1:5" x14ac:dyDescent="0.25">
      <c r="A134" s="72" t="s">
        <v>165</v>
      </c>
      <c r="B134">
        <v>2418800000</v>
      </c>
      <c r="C134">
        <v>129400000</v>
      </c>
      <c r="D134">
        <v>585614551</v>
      </c>
      <c r="E134">
        <v>275400000</v>
      </c>
    </row>
    <row r="135" spans="1:5" x14ac:dyDescent="0.25">
      <c r="A135" s="72" t="s">
        <v>166</v>
      </c>
      <c r="B135">
        <v>2467100000</v>
      </c>
      <c r="C135">
        <v>105700000</v>
      </c>
      <c r="D135">
        <v>592504134</v>
      </c>
      <c r="E135">
        <v>248600000</v>
      </c>
    </row>
    <row r="136" spans="1:5" x14ac:dyDescent="0.25">
      <c r="A136" s="72" t="s">
        <v>167</v>
      </c>
      <c r="B136">
        <v>2595900000</v>
      </c>
      <c r="C136">
        <v>54200000</v>
      </c>
      <c r="D136">
        <v>541320823</v>
      </c>
      <c r="E136">
        <v>229300000</v>
      </c>
    </row>
    <row r="137" spans="1:5" x14ac:dyDescent="0.25">
      <c r="A137" s="72" t="s">
        <v>168</v>
      </c>
      <c r="B137">
        <v>2778100000</v>
      </c>
      <c r="C137">
        <v>49300000</v>
      </c>
      <c r="D137">
        <v>603444465</v>
      </c>
      <c r="E137">
        <v>329300000</v>
      </c>
    </row>
    <row r="138" spans="1:5" x14ac:dyDescent="0.25">
      <c r="A138" s="72" t="s">
        <v>169</v>
      </c>
      <c r="B138">
        <v>2912800000</v>
      </c>
      <c r="C138">
        <v>84800000</v>
      </c>
      <c r="D138">
        <v>589457138</v>
      </c>
      <c r="E138">
        <v>354200000</v>
      </c>
    </row>
    <row r="139" spans="1:5" x14ac:dyDescent="0.25">
      <c r="A139" s="72" t="s">
        <v>170</v>
      </c>
      <c r="B139">
        <v>3130200000</v>
      </c>
      <c r="C139">
        <v>101700000</v>
      </c>
      <c r="D139">
        <v>593659214</v>
      </c>
      <c r="E139">
        <v>349400000</v>
      </c>
    </row>
    <row r="140" spans="1:5" x14ac:dyDescent="0.25">
      <c r="A140" s="72" t="s">
        <v>171</v>
      </c>
      <c r="B140">
        <v>3348900000</v>
      </c>
      <c r="C140">
        <v>100700000</v>
      </c>
      <c r="D140">
        <v>594448655</v>
      </c>
      <c r="E140">
        <v>361500000</v>
      </c>
    </row>
    <row r="141" spans="1:5" x14ac:dyDescent="0.25">
      <c r="A141" s="72" t="s">
        <v>172</v>
      </c>
      <c r="B141">
        <v>3472900000</v>
      </c>
      <c r="C141">
        <v>140900000</v>
      </c>
      <c r="D141">
        <v>611085943</v>
      </c>
      <c r="E141">
        <v>457100000</v>
      </c>
    </row>
    <row r="142" spans="1:5" x14ac:dyDescent="0.25">
      <c r="A142" s="72" t="s">
        <v>173</v>
      </c>
      <c r="B142">
        <v>3453300000</v>
      </c>
      <c r="C142">
        <v>26900000</v>
      </c>
      <c r="D142">
        <v>610079576</v>
      </c>
      <c r="E142">
        <v>282100000</v>
      </c>
    </row>
    <row r="143" spans="1:5" x14ac:dyDescent="0.25">
      <c r="A143" s="72" t="s">
        <v>174</v>
      </c>
      <c r="B143">
        <v>3374500000</v>
      </c>
      <c r="C143">
        <v>0</v>
      </c>
      <c r="D143">
        <v>610142495</v>
      </c>
      <c r="E143">
        <v>283100000</v>
      </c>
    </row>
    <row r="144" spans="1:5" x14ac:dyDescent="0.25">
      <c r="A144" s="72" t="s">
        <v>175</v>
      </c>
      <c r="B144">
        <v>3228200000</v>
      </c>
      <c r="C144">
        <v>0</v>
      </c>
      <c r="D144">
        <v>625414855</v>
      </c>
    </row>
    <row r="145" spans="1:5" x14ac:dyDescent="0.25">
      <c r="A145" s="72" t="s">
        <v>176</v>
      </c>
      <c r="B145">
        <v>3112200000</v>
      </c>
      <c r="C145">
        <v>0</v>
      </c>
      <c r="D145">
        <v>625499605</v>
      </c>
      <c r="E145">
        <v>360800000</v>
      </c>
    </row>
    <row r="146" spans="1:5" x14ac:dyDescent="0.25">
      <c r="A146" s="72" t="s">
        <v>177</v>
      </c>
      <c r="B146">
        <v>2963400000</v>
      </c>
      <c r="C146">
        <v>0</v>
      </c>
      <c r="D146">
        <v>625414855</v>
      </c>
    </row>
    <row r="147" spans="1:5" x14ac:dyDescent="0.25">
      <c r="A147" s="72" t="s">
        <v>178</v>
      </c>
      <c r="B147">
        <v>2795900000</v>
      </c>
      <c r="C147">
        <v>0</v>
      </c>
      <c r="D147">
        <v>625035927</v>
      </c>
    </row>
    <row r="148" spans="1:5" x14ac:dyDescent="0.25">
      <c r="A148" s="72" t="s">
        <v>179</v>
      </c>
      <c r="B148">
        <v>2649100000</v>
      </c>
      <c r="C148">
        <v>0</v>
      </c>
      <c r="D148">
        <v>625414855</v>
      </c>
    </row>
    <row r="149" spans="1:5" x14ac:dyDescent="0.25">
      <c r="A149" s="72" t="s">
        <v>180</v>
      </c>
      <c r="B149">
        <v>2448200000</v>
      </c>
      <c r="C149">
        <v>0</v>
      </c>
      <c r="D149">
        <v>626903930</v>
      </c>
      <c r="E149">
        <v>334300000</v>
      </c>
    </row>
    <row r="150" spans="1:5" x14ac:dyDescent="0.25">
      <c r="A150" s="72" t="s">
        <v>181</v>
      </c>
      <c r="B150">
        <v>2252000000</v>
      </c>
      <c r="C150">
        <v>0</v>
      </c>
      <c r="D150">
        <v>624747942</v>
      </c>
    </row>
    <row r="151" spans="1:5" x14ac:dyDescent="0.25">
      <c r="A151" s="72" t="s">
        <v>182</v>
      </c>
      <c r="B151">
        <v>2049200000</v>
      </c>
      <c r="C151">
        <v>0</v>
      </c>
      <c r="D151">
        <v>624747942</v>
      </c>
    </row>
    <row r="152" spans="1:5" x14ac:dyDescent="0.25">
      <c r="A152" s="72" t="s">
        <v>183</v>
      </c>
      <c r="B152">
        <v>1870700000</v>
      </c>
      <c r="C152">
        <v>0</v>
      </c>
      <c r="D152">
        <v>624747942</v>
      </c>
    </row>
    <row r="153" spans="1:5" x14ac:dyDescent="0.25">
      <c r="A153" s="72" t="s">
        <v>184</v>
      </c>
      <c r="B153">
        <v>1795600000</v>
      </c>
      <c r="C153">
        <v>0</v>
      </c>
      <c r="D153">
        <v>623512030</v>
      </c>
      <c r="E153">
        <v>21900000</v>
      </c>
    </row>
    <row r="154" spans="1:5" x14ac:dyDescent="0.25">
      <c r="A154" s="72" t="s">
        <v>185</v>
      </c>
      <c r="B154">
        <v>1790100000</v>
      </c>
      <c r="C154">
        <v>0</v>
      </c>
      <c r="D154">
        <v>625975668</v>
      </c>
    </row>
    <row r="155" spans="1:5" x14ac:dyDescent="0.25">
      <c r="A155" s="72" t="s">
        <v>186</v>
      </c>
      <c r="B155">
        <v>1786100000</v>
      </c>
      <c r="C155">
        <v>0</v>
      </c>
      <c r="D155">
        <v>632068855</v>
      </c>
    </row>
    <row r="156" spans="1:5" x14ac:dyDescent="0.25">
      <c r="A156" s="72" t="s">
        <v>187</v>
      </c>
      <c r="D156">
        <v>632068855</v>
      </c>
    </row>
    <row r="157" spans="1:5" x14ac:dyDescent="0.25">
      <c r="A157" s="72" t="s">
        <v>188</v>
      </c>
      <c r="D157">
        <v>627816851</v>
      </c>
      <c r="E157">
        <v>19600000</v>
      </c>
    </row>
    <row r="158" spans="1:5" x14ac:dyDescent="0.25">
      <c r="A158" s="72" t="s">
        <v>189</v>
      </c>
      <c r="D158">
        <v>632068855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212</v>
      </c>
    </row>
    <row r="15" spans="1:46" x14ac:dyDescent="0.25">
      <c r="A15" s="27" t="s">
        <v>213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224</v>
      </c>
      <c r="J26">
        <v>0.61799999999999999</v>
      </c>
      <c r="N26">
        <v>-0.36399999999999999</v>
      </c>
    </row>
    <row r="27" spans="1:17" x14ac:dyDescent="0.25">
      <c r="A27" s="27" t="s">
        <v>225</v>
      </c>
    </row>
    <row r="28" spans="1:17" x14ac:dyDescent="0.25">
      <c r="A28" s="27" t="s">
        <v>226</v>
      </c>
    </row>
    <row r="29" spans="1:17" x14ac:dyDescent="0.25">
      <c r="A29" s="27" t="s">
        <v>227</v>
      </c>
    </row>
    <row r="31" spans="1:17" x14ac:dyDescent="0.25">
      <c r="A31" s="26" t="s">
        <v>228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230</v>
      </c>
      <c r="C1" s="72" t="s">
        <v>231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232</v>
      </c>
      <c r="D2">
        <v>1.091904570379773</v>
      </c>
      <c r="E2">
        <v>0.1163662296322774</v>
      </c>
    </row>
    <row r="3" spans="1:5" x14ac:dyDescent="0.25">
      <c r="A3" s="72">
        <v>1</v>
      </c>
      <c r="B3">
        <v>3</v>
      </c>
      <c r="C3" t="s">
        <v>233</v>
      </c>
      <c r="D3">
        <v>0.79877264677688142</v>
      </c>
      <c r="E3">
        <v>9.6060981150120003E-2</v>
      </c>
    </row>
    <row r="4" spans="1:5" x14ac:dyDescent="0.25">
      <c r="A4" s="72">
        <v>2</v>
      </c>
      <c r="B4">
        <v>3</v>
      </c>
      <c r="C4" t="s">
        <v>234</v>
      </c>
      <c r="D4">
        <v>0.78560778147223509</v>
      </c>
      <c r="E4">
        <v>9.5149050924440759E-2</v>
      </c>
    </row>
    <row r="5" spans="1:5" x14ac:dyDescent="0.25">
      <c r="A5" s="72">
        <v>3</v>
      </c>
      <c r="B5">
        <v>5</v>
      </c>
      <c r="C5" t="s">
        <v>232</v>
      </c>
      <c r="D5">
        <v>0.89800820672650472</v>
      </c>
      <c r="E5">
        <v>0.1029350284332568</v>
      </c>
    </row>
    <row r="6" spans="1:5" x14ac:dyDescent="0.25">
      <c r="A6" s="72">
        <v>4</v>
      </c>
      <c r="B6">
        <v>5</v>
      </c>
      <c r="C6" t="s">
        <v>233</v>
      </c>
      <c r="D6">
        <v>0.89619794612677317</v>
      </c>
      <c r="E6">
        <v>0.1028096316806848</v>
      </c>
    </row>
    <row r="7" spans="1:5" x14ac:dyDescent="0.25">
      <c r="A7" s="72">
        <v>5</v>
      </c>
      <c r="B7">
        <v>5</v>
      </c>
      <c r="C7" t="s">
        <v>234</v>
      </c>
      <c r="D7">
        <v>0.82503508963703842</v>
      </c>
      <c r="E7">
        <v>9.7880180579065071E-2</v>
      </c>
    </row>
    <row r="8" spans="1:5" x14ac:dyDescent="0.25">
      <c r="A8" s="72">
        <v>6</v>
      </c>
      <c r="B8" t="s">
        <v>228</v>
      </c>
      <c r="D8">
        <v>0.88258770685320087</v>
      </c>
      <c r="E8">
        <v>0.1018668503999742</v>
      </c>
    </row>
    <row r="9" spans="1:5" x14ac:dyDescent="0.25">
      <c r="A9" s="72">
        <v>7</v>
      </c>
      <c r="B9" t="s">
        <v>229</v>
      </c>
      <c r="D9">
        <v>0.86061651788190585</v>
      </c>
      <c r="E9">
        <v>0.1003449061298749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2024-10-18T21:27:13Z</dcterms:modified>
</cp:coreProperties>
</file>