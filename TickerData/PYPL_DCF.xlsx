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6" documentId="11_8F2770261600C8E6E52E827338F746DC62E0571C" xr6:coauthVersionLast="47" xr6:coauthVersionMax="47" xr10:uidLastSave="{56FC43A7-DD6F-4B24-8478-3EFB3CB65CE2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M5" i="3"/>
  <c r="L5" i="3"/>
  <c r="G32" i="5"/>
  <c r="O31" i="5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H3" i="5"/>
  <c r="G3" i="5"/>
  <c r="D3" i="5"/>
  <c r="C3" i="5"/>
  <c r="R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H2" i="5"/>
  <c r="G2" i="5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I10" i="3"/>
  <c r="G10" i="3"/>
  <c r="G11" i="3" s="1"/>
  <c r="F10" i="3"/>
  <c r="F11" i="3" s="1"/>
  <c r="J4" i="3"/>
  <c r="H4" i="3"/>
  <c r="H5" i="3" s="1"/>
  <c r="G4" i="3"/>
  <c r="J3" i="3"/>
  <c r="I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D1" i="3"/>
  <c r="D10" i="3" s="1"/>
  <c r="N5" i="3" l="1"/>
  <c r="O5" i="3" s="1"/>
  <c r="P5" i="3" s="1"/>
  <c r="Q5" i="3" s="1"/>
  <c r="R5" i="3" s="1"/>
  <c r="S5" i="3" s="1"/>
  <c r="T5" i="3" s="1"/>
  <c r="U5" i="3" s="1"/>
  <c r="J8" i="3"/>
  <c r="C21" i="3"/>
  <c r="C20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E11" i="3"/>
  <c r="I13" i="3"/>
  <c r="G5" i="3"/>
  <c r="K7" i="3"/>
  <c r="K3" i="3"/>
  <c r="I4" i="3"/>
  <c r="I5" i="3" s="1"/>
  <c r="E7" i="3"/>
  <c r="H10" i="3"/>
  <c r="H11" i="3" s="1"/>
  <c r="K31" i="5"/>
  <c r="L1" i="3"/>
  <c r="E3" i="3"/>
  <c r="K4" i="3"/>
  <c r="G7" i="3"/>
  <c r="J10" i="3"/>
  <c r="J11" i="3" s="1"/>
  <c r="D7" i="3"/>
  <c r="D3" i="3"/>
  <c r="F3" i="3"/>
  <c r="D4" i="3"/>
  <c r="H7" i="3"/>
  <c r="F7" i="3"/>
  <c r="E4" i="3"/>
  <c r="E5" i="3" s="1"/>
  <c r="L3" i="3" l="1"/>
  <c r="M1" i="3"/>
  <c r="F5" i="3"/>
  <c r="H8" i="3"/>
  <c r="H13" i="3"/>
  <c r="I8" i="3"/>
  <c r="K11" i="3"/>
  <c r="G8" i="3"/>
  <c r="G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J5" i="3"/>
  <c r="K8" i="3"/>
  <c r="K13" i="3"/>
  <c r="D8" i="3"/>
  <c r="D13" i="3"/>
  <c r="E13" i="3"/>
  <c r="E8" i="3"/>
  <c r="I11" i="3"/>
  <c r="J13" i="3"/>
  <c r="F8" i="3"/>
  <c r="F13" i="3"/>
  <c r="M11" i="3" l="1"/>
  <c r="N11" i="3" s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N1" i="3"/>
  <c r="M3" i="3"/>
  <c r="L8" i="3"/>
  <c r="M8" i="3" l="1"/>
  <c r="L7" i="3"/>
  <c r="L13" i="3" s="1"/>
  <c r="L14" i="3" s="1"/>
  <c r="N3" i="3"/>
  <c r="O1" i="3"/>
  <c r="O3" i="3" l="1"/>
  <c r="P1" i="3"/>
  <c r="N8" i="3"/>
  <c r="M7" i="3"/>
  <c r="M13" i="3" s="1"/>
  <c r="M14" i="3" s="1"/>
  <c r="P3" i="3" l="1"/>
  <c r="Q1" i="3"/>
  <c r="O8" i="3"/>
  <c r="N7" i="3"/>
  <c r="N13" i="3" s="1"/>
  <c r="N14" i="3" s="1"/>
  <c r="O7" i="3" l="1"/>
  <c r="O13" i="3" s="1"/>
  <c r="O14" i="3" s="1"/>
  <c r="P8" i="3"/>
  <c r="R1" i="3"/>
  <c r="Q3" i="3"/>
  <c r="R3" i="3" l="1"/>
  <c r="S1" i="3"/>
  <c r="P7" i="3"/>
  <c r="P13" i="3" s="1"/>
  <c r="P14" i="3" s="1"/>
  <c r="Q8" i="3"/>
  <c r="T1" i="3" l="1"/>
  <c r="S3" i="3"/>
  <c r="Q7" i="3"/>
  <c r="Q13" i="3" s="1"/>
  <c r="Q14" i="3" s="1"/>
  <c r="R8" i="3"/>
  <c r="R7" i="3" l="1"/>
  <c r="R13" i="3" s="1"/>
  <c r="R14" i="3" s="1"/>
  <c r="S8" i="3"/>
  <c r="T3" i="3"/>
  <c r="U1" i="3"/>
  <c r="U3" i="3" s="1"/>
  <c r="S7" i="3" l="1"/>
  <c r="S13" i="3" s="1"/>
  <c r="S14" i="3" s="1"/>
  <c r="T8" i="3"/>
  <c r="U8" i="3" l="1"/>
  <c r="U7" i="3" s="1"/>
  <c r="T7" i="3"/>
  <c r="T13" i="3" s="1"/>
  <c r="T14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<sst xmlns="http://schemas.openxmlformats.org/spreadsheetml/2006/main" count="139" uniqueCount="121">
  <si>
    <t>This sheet contains FactSet XML data for use with this workbook's =FDS codes.  Modifying the worksheet's contents may damage the workbook's =FDS functionality.</t>
  </si>
  <si>
    <t>PYPL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</si>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</sst>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63394000000</v>
      </c>
    </row>
    <row r="3" spans="1:2" x14ac:dyDescent="0.25">
      <c r="A3" s="72" t="s">
        <v>3</v>
      </c>
      <c r="B3">
        <v>9727000000</v>
      </c>
    </row>
    <row r="4" spans="1:2" x14ac:dyDescent="0.25">
      <c r="A4" s="72" t="s">
        <v>4</v>
      </c>
      <c r="B4">
        <v>0.32050479422715739</v>
      </c>
    </row>
    <row r="5" spans="1:2" x14ac:dyDescent="0.25">
      <c r="A5" s="72" t="s">
        <v>5</v>
      </c>
      <c r="B5">
        <v>3.6187930502724383E-2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20622000000</v>
      </c>
    </row>
    <row r="8" spans="1:2" x14ac:dyDescent="0.25">
      <c r="A8" s="72" t="s">
        <v>8</v>
      </c>
      <c r="B8">
        <v>0.67949520577284261</v>
      </c>
    </row>
    <row r="9" spans="1:2" x14ac:dyDescent="0.25">
      <c r="A9" s="72" t="s">
        <v>9</v>
      </c>
      <c r="B9">
        <v>0.13959514867958839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1.4272433735240639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0.1040169744001605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1" sqref="L11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2017-06-30</v>
      </c>
      <c r="E1" s="65" t="str">
        <f>Python!A27</f>
        <v>2018-06-30</v>
      </c>
      <c r="F1" s="65" t="str">
        <f>Python!A23</f>
        <v>2019-06-30</v>
      </c>
      <c r="G1" s="65" t="str">
        <f>Python!A19</f>
        <v>2020-06-30</v>
      </c>
      <c r="H1" s="65" t="str">
        <f>Python!A15</f>
        <v>2021-06-30</v>
      </c>
      <c r="I1" s="65" t="str">
        <f>Python!A11</f>
        <v>2022-06-30</v>
      </c>
      <c r="J1" s="65" t="str">
        <f>Python!A7</f>
        <v>2023-06-30</v>
      </c>
      <c r="K1" s="65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11759</v>
      </c>
      <c r="E4" s="36">
        <f>IFERROR(INDEX(Python!$1:$1048576,MATCH(DCF_Simple!E$1,Python!$A:$A,0),MATCH(DCF_Simple!$B4,Python!$1:$1,0))/1000000,0)</f>
        <v>14525</v>
      </c>
      <c r="F4" s="36">
        <f>IFERROR(INDEX(Python!$1:$1048576,MATCH(DCF_Simple!F$1,Python!$A:$A,0),MATCH(DCF_Simple!$B4,Python!$1:$1,0))/1000000,0)</f>
        <v>16342</v>
      </c>
      <c r="G4" s="36">
        <f>IFERROR(INDEX(Python!$1:$1048576,MATCH(DCF_Simple!G$1,Python!$A:$A,0),MATCH(DCF_Simple!$B4,Python!$1:$1,0))/1000000,0)</f>
        <v>19218</v>
      </c>
      <c r="H4" s="36">
        <f>IFERROR(INDEX(Python!$1:$1048576,MATCH(DCF_Simple!H$1,Python!$A:$A,0),MATCH(DCF_Simple!$B4,Python!$1:$1,0))/1000000,0)</f>
        <v>23846</v>
      </c>
      <c r="I4" s="36">
        <f>IFERROR(INDEX(Python!$1:$1048576,MATCH(DCF_Simple!I$1,Python!$A:$A,0),MATCH(DCF_Simple!$B4,Python!$1:$1,0))/1000000,0)</f>
        <v>26389</v>
      </c>
      <c r="J4" s="36">
        <f>IFERROR(INDEX(Python!$1:$1048576,MATCH(DCF_Simple!J$1,Python!$A:$A,0),MATCH(DCF_Simple!$B4,Python!$1:$1,0))/1000000,0)</f>
        <v>28556</v>
      </c>
      <c r="K4" s="54">
        <f>IFERROR(INDEX(Python!$1:$1048576,MATCH(DCF_Simple!K$1,Python!$A:$A,0),MATCH(DCF_Simple!$B4,Python!$1:$1,0))/1000000,0)</f>
        <v>31005</v>
      </c>
      <c r="L4" s="37">
        <f t="shared" ref="L4:U4" si="2">K4*(1+L5)</f>
        <v>32923.105223779996</v>
      </c>
      <c r="M4" s="36">
        <f t="shared" si="2"/>
        <v>34959.872845543934</v>
      </c>
      <c r="N4" s="36">
        <f t="shared" si="2"/>
        <v>37122.643841438861</v>
      </c>
      <c r="O4" s="36">
        <f t="shared" si="2"/>
        <v>39419.21333257862</v>
      </c>
      <c r="P4" s="36">
        <f t="shared" si="2"/>
        <v>41857.858680442419</v>
      </c>
      <c r="Q4" s="36">
        <f t="shared" si="2"/>
        <v>44447.369320377962</v>
      </c>
      <c r="R4" s="36">
        <f t="shared" si="2"/>
        <v>47197.07844073583</v>
      </c>
      <c r="S4" s="36">
        <f t="shared" si="2"/>
        <v>50116.896621814027</v>
      </c>
      <c r="T4" s="36">
        <f t="shared" si="2"/>
        <v>53217.3475558551</v>
      </c>
      <c r="U4" s="36">
        <f t="shared" si="2"/>
        <v>56509.605976838851</v>
      </c>
      <c r="V4" s="19">
        <f>U4</f>
        <v>56509.605976838851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0.23522408368058501</v>
      </c>
      <c r="F5" s="42">
        <f t="shared" si="3"/>
        <v>0.12509466437177275</v>
      </c>
      <c r="G5" s="42">
        <f t="shared" si="3"/>
        <v>0.1759882511320523</v>
      </c>
      <c r="H5" s="42">
        <f t="shared" si="3"/>
        <v>0.24081590175876788</v>
      </c>
      <c r="I5" s="42">
        <f t="shared" si="3"/>
        <v>0.10664262350079667</v>
      </c>
      <c r="J5" s="42">
        <f t="shared" si="3"/>
        <v>8.2117548978741128E-2</v>
      </c>
      <c r="K5" s="57">
        <f t="shared" si="3"/>
        <v>8.5761311107998228E-2</v>
      </c>
      <c r="L5" s="38">
        <f>Python!F2</f>
        <v>6.1864383930978713E-2</v>
      </c>
      <c r="M5" s="38">
        <f>L5</f>
        <v>6.1864383930978713E-2</v>
      </c>
      <c r="N5" s="38">
        <f t="shared" ref="N5:U5" si="4">M5</f>
        <v>6.1864383930978713E-2</v>
      </c>
      <c r="O5" s="38">
        <f t="shared" si="4"/>
        <v>6.1864383930978713E-2</v>
      </c>
      <c r="P5" s="38">
        <f t="shared" si="4"/>
        <v>6.1864383930978713E-2</v>
      </c>
      <c r="Q5" s="38">
        <f t="shared" si="4"/>
        <v>6.1864383930978713E-2</v>
      </c>
      <c r="R5" s="38">
        <f t="shared" si="4"/>
        <v>6.1864383930978713E-2</v>
      </c>
      <c r="S5" s="38">
        <f t="shared" si="4"/>
        <v>6.1864383930978713E-2</v>
      </c>
      <c r="T5" s="38">
        <f t="shared" si="4"/>
        <v>6.1864383930978713E-2</v>
      </c>
      <c r="U5" s="38">
        <f t="shared" si="4"/>
        <v>6.1864383930978713E-2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2739</v>
      </c>
      <c r="E7" s="51">
        <f>IFERROR(INDEX(Python!$1:$1048576,MATCH(DCF_Simple!E$1,Python!$A:$A,0),MATCH(DCF_Simple!$B7,Python!$1:$1,0))/1000000,0)</f>
        <v>-183</v>
      </c>
      <c r="F7" s="51">
        <f>IFERROR(INDEX(Python!$1:$1048576,MATCH(DCF_Simple!F$1,Python!$A:$A,0),MATCH(DCF_Simple!$B7,Python!$1:$1,0))/1000000,0)</f>
        <v>7201</v>
      </c>
      <c r="G7" s="51">
        <f>IFERROR(INDEX(Python!$1:$1048576,MATCH(DCF_Simple!G$1,Python!$A:$A,0),MATCH(DCF_Simple!$B7,Python!$1:$1,0))/1000000,0)</f>
        <v>4317</v>
      </c>
      <c r="H7" s="51">
        <f>IFERROR(INDEX(Python!$1:$1048576,MATCH(DCF_Simple!H$1,Python!$A:$A,0),MATCH(DCF_Simple!$B7,Python!$1:$1,0))/1000000,0)</f>
        <v>4790</v>
      </c>
      <c r="I7" s="51">
        <f>IFERROR(INDEX(Python!$1:$1048576,MATCH(DCF_Simple!I$1,Python!$A:$A,0),MATCH(DCF_Simple!$B7,Python!$1:$1,0))/1000000,0)</f>
        <v>4394</v>
      </c>
      <c r="J7" s="51">
        <f>IFERROR(INDEX(Python!$1:$1048576,MATCH(DCF_Simple!J$1,Python!$A:$A,0),MATCH(DCF_Simple!$B7,Python!$1:$1,0))/1000000,0)</f>
        <v>3222</v>
      </c>
      <c r="K7" s="56">
        <f>IFERROR(INDEX(Python!$1:$1048576,MATCH(DCF_Simple!K$1,Python!$A:$A,0),MATCH(DCF_Simple!$B7,Python!$1:$1,0))/1000000,0)</f>
        <v>6701</v>
      </c>
      <c r="L7" s="63">
        <f t="shared" ref="L7:U7" si="5">L8*L4</f>
        <v>6510.3148121524664</v>
      </c>
      <c r="M7" s="63">
        <f t="shared" si="5"/>
        <v>6913.0714272030045</v>
      </c>
      <c r="N7" s="63">
        <f t="shared" si="5"/>
        <v>7340.7443321177698</v>
      </c>
      <c r="O7" s="63">
        <f t="shared" si="5"/>
        <v>7794.87495781906</v>
      </c>
      <c r="P7" s="63">
        <f t="shared" si="5"/>
        <v>8277.1000949035497</v>
      </c>
      <c r="Q7" s="63">
        <f t="shared" si="5"/>
        <v>8789.1577930098047</v>
      </c>
      <c r="R7" s="63">
        <f t="shared" si="5"/>
        <v>9332.8936251465166</v>
      </c>
      <c r="S7" s="63">
        <f t="shared" si="5"/>
        <v>9910.267339559563</v>
      </c>
      <c r="T7" s="63">
        <f t="shared" si="5"/>
        <v>10523.359923112715</v>
      </c>
      <c r="U7" s="63">
        <f t="shared" si="5"/>
        <v>11174.381101640036</v>
      </c>
      <c r="V7" s="64">
        <f>U7</f>
        <v>11174.381101640036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0.23292797006548177</v>
      </c>
      <c r="E8" s="42">
        <f t="shared" si="6"/>
        <v>-1.2598967297762479E-2</v>
      </c>
      <c r="F8" s="42">
        <f t="shared" si="6"/>
        <v>0.44064374005629664</v>
      </c>
      <c r="G8" s="42">
        <f t="shared" si="6"/>
        <v>0.22463315641586012</v>
      </c>
      <c r="H8" s="42">
        <f t="shared" si="6"/>
        <v>0.20087226369202382</v>
      </c>
      <c r="I8" s="42">
        <f t="shared" si="6"/>
        <v>0.1665087725946417</v>
      </c>
      <c r="J8" s="42">
        <f t="shared" si="6"/>
        <v>0.11283092870149881</v>
      </c>
      <c r="K8" s="57">
        <f t="shared" si="6"/>
        <v>0.21612643122077085</v>
      </c>
      <c r="L8" s="38">
        <f>AVERAGE(D8:K8)</f>
        <v>0.19774303693110143</v>
      </c>
      <c r="M8" s="38">
        <f t="shared" ref="M8:U8" si="7">L8</f>
        <v>0.19774303693110143</v>
      </c>
      <c r="N8" s="38">
        <f t="shared" si="7"/>
        <v>0.19774303693110143</v>
      </c>
      <c r="O8" s="38">
        <f t="shared" si="7"/>
        <v>0.19774303693110143</v>
      </c>
      <c r="P8" s="38">
        <f t="shared" si="7"/>
        <v>0.19774303693110143</v>
      </c>
      <c r="Q8" s="38">
        <f t="shared" si="7"/>
        <v>0.19774303693110143</v>
      </c>
      <c r="R8" s="38">
        <f t="shared" si="7"/>
        <v>0.19774303693110143</v>
      </c>
      <c r="S8" s="38">
        <f t="shared" si="7"/>
        <v>0.19774303693110143</v>
      </c>
      <c r="T8" s="38">
        <f t="shared" si="7"/>
        <v>0.19774303693110143</v>
      </c>
      <c r="U8" s="38">
        <f t="shared" si="7"/>
        <v>0.19774303693110143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1215</v>
      </c>
      <c r="E10" s="17">
        <f>IFERROR(INDEX(Python!$1:$1048576,MATCH(DCF_Simple!E$1,Python!$A:$A,0),MATCH(DCF_Simple!$B10,Python!$1:$1,0))/1000000,0)</f>
        <v>1202</v>
      </c>
      <c r="F10" s="17">
        <f>IFERROR(INDEX(Python!$1:$1048576,MATCH(DCF_Simple!F$1,Python!$A:$A,0),MATCH(DCF_Simple!$B10,Python!$1:$1,0))/1000000,0)</f>
        <v>1187</v>
      </c>
      <c r="G10" s="17">
        <f>IFERROR(INDEX(Python!$1:$1048576,MATCH(DCF_Simple!G$1,Python!$A:$A,0),MATCH(DCF_Simple!$B10,Python!$1:$1,0))/1000000,0)</f>
        <v>1184</v>
      </c>
      <c r="H10" s="17">
        <f>IFERROR(INDEX(Python!$1:$1048576,MATCH(DCF_Simple!H$1,Python!$A:$A,0),MATCH(DCF_Simple!$B10,Python!$1:$1,0))/1000000,0)</f>
        <v>1186</v>
      </c>
      <c r="I10" s="17">
        <f>IFERROR(INDEX(Python!$1:$1048576,MATCH(DCF_Simple!I$1,Python!$A:$A,0),MATCH(DCF_Simple!$B10,Python!$1:$1,0))/1000000,0)</f>
        <v>1158</v>
      </c>
      <c r="J10" s="17">
        <f>IFERROR(INDEX(Python!$1:$1048576,MATCH(DCF_Simple!J$1,Python!$A:$A,0),MATCH(DCF_Simple!$B10,Python!$1:$1,0))/1000000,0)</f>
        <v>1114</v>
      </c>
      <c r="K10" s="68">
        <f>IFERROR(INDEX(Python!$1:$1048576,MATCH(DCF_Simple!K$1,Python!$A:$A,0),MATCH(DCF_Simple!$B10,Python!$1:$1,0))/1000000,0)</f>
        <v>1047</v>
      </c>
      <c r="L10" s="17">
        <f t="shared" ref="L10:U10" si="8">K10*(1+L11)</f>
        <v>1025.1975828274433</v>
      </c>
      <c r="M10" s="17">
        <f t="shared" si="8"/>
        <v>1003.8491727175094</v>
      </c>
      <c r="N10" s="17">
        <f t="shared" si="8"/>
        <v>982.94531556190941</v>
      </c>
      <c r="O10" s="17">
        <f t="shared" si="8"/>
        <v>962.47675412189869</v>
      </c>
      <c r="P10" s="17">
        <f t="shared" si="8"/>
        <v>942.43442392872396</v>
      </c>
      <c r="Q10" s="17">
        <f t="shared" si="8"/>
        <v>922.80944926943812</v>
      </c>
      <c r="R10" s="17">
        <f t="shared" si="8"/>
        <v>903.59313925630568</v>
      </c>
      <c r="S10" s="17">
        <f t="shared" si="8"/>
        <v>884.77698397805716</v>
      </c>
      <c r="T10" s="17">
        <f t="shared" si="8"/>
        <v>866.35265073128903</v>
      </c>
      <c r="U10" s="17">
        <f t="shared" si="8"/>
        <v>848.31198033033968</v>
      </c>
      <c r="V10" s="69">
        <f>U10</f>
        <v>848.31198033033968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-1.0699588477366295E-2</v>
      </c>
      <c r="F11" s="42">
        <f t="shared" si="9"/>
        <v>-1.2479201331114798E-2</v>
      </c>
      <c r="G11" s="42">
        <f t="shared" si="9"/>
        <v>-2.5273799494524019E-3</v>
      </c>
      <c r="H11" s="42">
        <f t="shared" si="9"/>
        <v>1.6891891891892552E-3</v>
      </c>
      <c r="I11" s="42">
        <f t="shared" si="9"/>
        <v>-2.3608768971332239E-2</v>
      </c>
      <c r="J11" s="42">
        <f t="shared" si="9"/>
        <v>-3.7996545768566481E-2</v>
      </c>
      <c r="K11" s="57">
        <f t="shared" si="9"/>
        <v>-6.0143626570915654E-2</v>
      </c>
      <c r="L11" s="66">
        <f>AVERAGE(E11:K11)</f>
        <v>-2.0823703125651231E-2</v>
      </c>
      <c r="M11" s="66">
        <f t="shared" ref="L11:U11" si="10">L11</f>
        <v>-2.0823703125651231E-2</v>
      </c>
      <c r="N11" s="66">
        <f t="shared" si="10"/>
        <v>-2.0823703125651231E-2</v>
      </c>
      <c r="O11" s="66">
        <f t="shared" si="10"/>
        <v>-2.0823703125651231E-2</v>
      </c>
      <c r="P11" s="66">
        <f t="shared" si="10"/>
        <v>-2.0823703125651231E-2</v>
      </c>
      <c r="Q11" s="66">
        <f t="shared" si="10"/>
        <v>-2.0823703125651231E-2</v>
      </c>
      <c r="R11" s="66">
        <f t="shared" si="10"/>
        <v>-2.0823703125651231E-2</v>
      </c>
      <c r="S11" s="66">
        <f t="shared" si="10"/>
        <v>-2.0823703125651231E-2</v>
      </c>
      <c r="T11" s="66">
        <f t="shared" si="10"/>
        <v>-2.0823703125651231E-2</v>
      </c>
      <c r="U11" s="66">
        <f t="shared" si="10"/>
        <v>-2.0823703125651231E-2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2.2543209876543209</v>
      </c>
      <c r="E13" s="52">
        <f t="shared" si="11"/>
        <v>-0.15224625623960067</v>
      </c>
      <c r="F13" s="52">
        <f t="shared" si="11"/>
        <v>6.0665543386689134</v>
      </c>
      <c r="G13" s="52">
        <f t="shared" si="11"/>
        <v>3.6461148648648649</v>
      </c>
      <c r="H13" s="52">
        <f t="shared" si="11"/>
        <v>4.0387858347386176</v>
      </c>
      <c r="I13" s="52">
        <f t="shared" si="11"/>
        <v>3.7944732297063903</v>
      </c>
      <c r="J13" s="52">
        <f t="shared" si="11"/>
        <v>2.8922800718132855</v>
      </c>
      <c r="K13" s="58">
        <f t="shared" si="11"/>
        <v>6.400191021967526</v>
      </c>
      <c r="L13" s="52">
        <f t="shared" ref="L13:U13" si="12">L7/L10</f>
        <v>6.3503025379725786</v>
      </c>
      <c r="M13" s="52">
        <f t="shared" si="12"/>
        <v>6.8865638535007232</v>
      </c>
      <c r="N13" s="52">
        <f t="shared" si="12"/>
        <v>7.4681106017798848</v>
      </c>
      <c r="O13" s="52">
        <f t="shared" si="12"/>
        <v>8.0987669826172564</v>
      </c>
      <c r="P13" s="52">
        <f t="shared" si="12"/>
        <v>8.7826801364054852</v>
      </c>
      <c r="Q13" s="52">
        <f t="shared" si="12"/>
        <v>9.5243474153498635</v>
      </c>
      <c r="R13" s="52">
        <f t="shared" si="12"/>
        <v>10.328645957657306</v>
      </c>
      <c r="S13" s="52">
        <f t="shared" si="12"/>
        <v>11.200864759164375</v>
      </c>
      <c r="T13" s="52">
        <f t="shared" si="12"/>
        <v>12.146739453304539</v>
      </c>
      <c r="U13" s="52">
        <f t="shared" si="12"/>
        <v>13.172490028124605</v>
      </c>
      <c r="V13" s="70">
        <f>U13*(1+WACC!$B$13)/(WACC!$B$14-WACC!$B$13)</f>
        <v>159.91934873414615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5.7519971931798004</v>
      </c>
      <c r="M14" s="61">
        <f>M13/((1+WACC!$B$14)^(M3-$K$3))</f>
        <v>5.6500342066020224</v>
      </c>
      <c r="N14" s="61">
        <f>N13/((1+WACC!$B$14)^(N3-$K$3))</f>
        <v>5.5498786705988339</v>
      </c>
      <c r="O14" s="61">
        <f>O13/((1+WACC!$B$14)^(O3-$K$3))</f>
        <v>5.4514985453321634</v>
      </c>
      <c r="P14" s="61">
        <f>P13/((1+WACC!$B$14)^(P3-$K$3))</f>
        <v>5.3548623589192825</v>
      </c>
      <c r="Q14" s="61">
        <f>Q13/((1+WACC!$B$14)^(Q3-$K$3))</f>
        <v>5.2599391973649388</v>
      </c>
      <c r="R14" s="61">
        <f>R13/((1+WACC!$B$14)^(R3-$K$3))</f>
        <v>5.1666986946719309</v>
      </c>
      <c r="S14" s="61">
        <f>S13/((1+WACC!$B$14)^(S3-$K$3))</f>
        <v>5.0751110231270076</v>
      </c>
      <c r="T14" s="61">
        <f>T13/((1+WACC!$B$14)^(T3-$K$3))</f>
        <v>4.9851468837589623</v>
      </c>
      <c r="U14" s="61">
        <f>U13/((1+WACC!$B$14)^(U3-$K$3))</f>
        <v>4.8967774969658544</v>
      </c>
      <c r="V14" s="62">
        <f>V13/((1+WACC!$B$14)^(U3-$K$3))</f>
        <v>59.448856407469371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59.448856407469371</v>
      </c>
      <c r="L17" s="16">
        <f>C17/$C$19</f>
        <v>0.52800811477922771</v>
      </c>
      <c r="O17" s="18"/>
    </row>
    <row r="18" spans="2:22" x14ac:dyDescent="0.25">
      <c r="B18" s="8" t="s">
        <v>26</v>
      </c>
      <c r="C18" s="32">
        <f>SUM(14:14)-V14</f>
        <v>53.141944270520789</v>
      </c>
      <c r="K18" s="3"/>
      <c r="L18" s="16">
        <f>C18/$C$19</f>
        <v>0.47199188522077234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112.59080067799016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13.004775549188157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9.2903533906399236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116.30522283653839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6.1864383930978713E-2</v>
      </c>
    </row>
    <row r="3" spans="1:6" x14ac:dyDescent="0.25">
      <c r="A3" s="72" t="s">
        <v>34</v>
      </c>
      <c r="B3">
        <v>31005000000</v>
      </c>
      <c r="C3">
        <v>6701000000</v>
      </c>
      <c r="D3">
        <v>1047000000</v>
      </c>
      <c r="E3">
        <v>13616000000</v>
      </c>
      <c r="F3">
        <v>7.3542964045560488E-2</v>
      </c>
    </row>
    <row r="4" spans="1:6" x14ac:dyDescent="0.25">
      <c r="A4" s="72" t="s">
        <v>35</v>
      </c>
      <c r="B4">
        <v>30430000000</v>
      </c>
      <c r="C4">
        <v>4983000000</v>
      </c>
      <c r="D4">
        <v>1072000000</v>
      </c>
      <c r="E4">
        <v>14318000000</v>
      </c>
      <c r="F4">
        <v>6.760424857954539E-2</v>
      </c>
    </row>
    <row r="5" spans="1:6" x14ac:dyDescent="0.25">
      <c r="A5" s="72" t="s">
        <v>36</v>
      </c>
      <c r="B5">
        <v>29771000000</v>
      </c>
      <c r="C5">
        <v>4220000000</v>
      </c>
      <c r="D5">
        <v>1084000000</v>
      </c>
      <c r="E5">
        <v>14057000000</v>
      </c>
      <c r="F5">
        <v>6.620479479886221E-2</v>
      </c>
    </row>
    <row r="6" spans="1:6" x14ac:dyDescent="0.25">
      <c r="A6" s="72" t="s">
        <v>37</v>
      </c>
      <c r="B6">
        <v>29128000000</v>
      </c>
      <c r="C6">
        <v>2750000000</v>
      </c>
      <c r="D6">
        <v>1098000000</v>
      </c>
      <c r="E6">
        <v>11541000000</v>
      </c>
      <c r="F6">
        <v>1.702892199824713E-2</v>
      </c>
    </row>
    <row r="7" spans="1:6" x14ac:dyDescent="0.25">
      <c r="A7" s="72" t="s">
        <v>38</v>
      </c>
      <c r="B7">
        <v>28556000000</v>
      </c>
      <c r="C7">
        <v>3222000000</v>
      </c>
      <c r="D7">
        <v>1114000000</v>
      </c>
      <c r="E7">
        <v>9891000000</v>
      </c>
      <c r="F7">
        <v>6.8558624742873997E-2</v>
      </c>
    </row>
    <row r="8" spans="1:6" x14ac:dyDescent="0.25">
      <c r="A8" s="72" t="s">
        <v>39</v>
      </c>
      <c r="B8">
        <v>28075000000</v>
      </c>
      <c r="C8">
        <v>4647000000</v>
      </c>
      <c r="D8">
        <v>1134000000</v>
      </c>
      <c r="E8">
        <v>10647000000</v>
      </c>
      <c r="F8">
        <v>7.6122165664044505E-2</v>
      </c>
    </row>
    <row r="9" spans="1:6" x14ac:dyDescent="0.25">
      <c r="A9" s="72" t="s">
        <v>40</v>
      </c>
      <c r="B9">
        <v>27518000000</v>
      </c>
      <c r="C9">
        <v>4673000000</v>
      </c>
      <c r="D9">
        <v>1144000000</v>
      </c>
      <c r="E9">
        <v>10851000000</v>
      </c>
      <c r="F9">
        <v>-1.4783174327840379E-2</v>
      </c>
    </row>
    <row r="10" spans="1:6" x14ac:dyDescent="0.25">
      <c r="A10" s="72" t="s">
        <v>41</v>
      </c>
      <c r="B10">
        <v>27053000000</v>
      </c>
      <c r="C10">
        <v>4681000000</v>
      </c>
      <c r="D10">
        <v>1157000000</v>
      </c>
      <c r="E10">
        <v>10828000000</v>
      </c>
    </row>
    <row r="11" spans="1:6" x14ac:dyDescent="0.25">
      <c r="A11" s="72" t="s">
        <v>42</v>
      </c>
      <c r="B11">
        <v>26389000000</v>
      </c>
      <c r="C11">
        <v>4394000000</v>
      </c>
      <c r="D11">
        <v>1158000000</v>
      </c>
      <c r="E11">
        <v>9284000000</v>
      </c>
    </row>
    <row r="12" spans="1:6" x14ac:dyDescent="0.25">
      <c r="A12" s="72" t="s">
        <v>43</v>
      </c>
      <c r="B12">
        <v>25821000000</v>
      </c>
      <c r="C12">
        <v>4378000000</v>
      </c>
      <c r="D12">
        <v>1172000000</v>
      </c>
      <c r="E12">
        <v>7965000000</v>
      </c>
      <c r="F12">
        <v>7.458975634012921E-2</v>
      </c>
    </row>
    <row r="13" spans="1:6" x14ac:dyDescent="0.25">
      <c r="A13" s="72" t="s">
        <v>44</v>
      </c>
      <c r="B13">
        <v>25371000000</v>
      </c>
      <c r="C13">
        <v>4889000000</v>
      </c>
      <c r="D13">
        <v>1187000000</v>
      </c>
      <c r="E13">
        <v>9500000000</v>
      </c>
      <c r="F13">
        <v>4.8539895356442209E-2</v>
      </c>
    </row>
    <row r="14" spans="1:6" x14ac:dyDescent="0.25">
      <c r="A14" s="72" t="s">
        <v>45</v>
      </c>
      <c r="B14">
        <v>24569000000</v>
      </c>
      <c r="C14">
        <v>5003000000</v>
      </c>
      <c r="D14">
        <v>1187000000</v>
      </c>
      <c r="E14">
        <v>13292000000</v>
      </c>
      <c r="F14">
        <v>0.1453214874519142</v>
      </c>
    </row>
    <row r="15" spans="1:6" x14ac:dyDescent="0.25">
      <c r="A15" s="72" t="s">
        <v>46</v>
      </c>
      <c r="B15">
        <v>23846000000</v>
      </c>
      <c r="C15">
        <v>4790000000</v>
      </c>
      <c r="D15">
        <v>1186000000</v>
      </c>
      <c r="E15">
        <v>12395000000</v>
      </c>
      <c r="F15">
        <v>0.18660900969397451</v>
      </c>
    </row>
    <row r="16" spans="1:6" x14ac:dyDescent="0.25">
      <c r="A16" s="72" t="s">
        <v>47</v>
      </c>
      <c r="B16">
        <v>22869000000</v>
      </c>
      <c r="C16">
        <v>5310000000</v>
      </c>
      <c r="D16">
        <v>1190000000</v>
      </c>
      <c r="E16">
        <v>13086000000</v>
      </c>
      <c r="F16">
        <v>0.27664140320485048</v>
      </c>
    </row>
    <row r="17" spans="1:6" x14ac:dyDescent="0.25">
      <c r="A17" s="72" t="s">
        <v>48</v>
      </c>
      <c r="B17">
        <v>21454000000</v>
      </c>
      <c r="C17">
        <v>4988000000</v>
      </c>
      <c r="D17">
        <v>1172000000</v>
      </c>
      <c r="E17">
        <v>13083000000</v>
      </c>
      <c r="F17">
        <v>0.22759121144930461</v>
      </c>
    </row>
    <row r="18" spans="1:6" x14ac:dyDescent="0.25">
      <c r="A18" s="72" t="s">
        <v>49</v>
      </c>
      <c r="B18">
        <v>20299000000</v>
      </c>
      <c r="C18">
        <v>4467000000</v>
      </c>
      <c r="D18">
        <v>1190000000</v>
      </c>
      <c r="E18">
        <v>14158000000</v>
      </c>
      <c r="F18">
        <v>9.5421884193695794E-2</v>
      </c>
    </row>
    <row r="19" spans="1:6" x14ac:dyDescent="0.25">
      <c r="A19" s="72" t="s">
        <v>50</v>
      </c>
      <c r="B19">
        <v>19218000000</v>
      </c>
      <c r="C19">
        <v>4317000000</v>
      </c>
      <c r="D19">
        <v>1184000000</v>
      </c>
      <c r="E19">
        <v>13048000000</v>
      </c>
      <c r="F19">
        <v>5.0647475029035327E-3</v>
      </c>
    </row>
    <row r="20" spans="1:6" x14ac:dyDescent="0.25">
      <c r="A20" s="72" t="s">
        <v>51</v>
      </c>
      <c r="B20">
        <v>18262000000</v>
      </c>
      <c r="C20">
        <v>3773000000</v>
      </c>
      <c r="D20">
        <v>1185000000</v>
      </c>
      <c r="E20">
        <v>10186000000</v>
      </c>
      <c r="F20">
        <v>0.27125176162790687</v>
      </c>
    </row>
    <row r="21" spans="1:6" x14ac:dyDescent="0.25">
      <c r="A21" s="72" t="s">
        <v>52</v>
      </c>
      <c r="B21">
        <v>17772000000</v>
      </c>
      <c r="C21">
        <v>3367000000</v>
      </c>
      <c r="D21">
        <v>1187000000</v>
      </c>
      <c r="E21">
        <v>10761000000</v>
      </c>
      <c r="F21">
        <v>0.14662278892569811</v>
      </c>
    </row>
    <row r="22" spans="1:6" x14ac:dyDescent="0.25">
      <c r="A22" s="72" t="s">
        <v>53</v>
      </c>
      <c r="B22">
        <v>17037000000</v>
      </c>
      <c r="C22">
        <v>3677000000</v>
      </c>
      <c r="D22">
        <v>1188000000</v>
      </c>
      <c r="E22">
        <v>10462000000</v>
      </c>
      <c r="F22">
        <v>1.332217567200655E-2</v>
      </c>
    </row>
    <row r="23" spans="1:6" x14ac:dyDescent="0.25">
      <c r="A23" s="72" t="s">
        <v>54</v>
      </c>
      <c r="B23">
        <v>16342000000</v>
      </c>
      <c r="C23">
        <v>7201000000</v>
      </c>
      <c r="D23">
        <v>1187000000</v>
      </c>
      <c r="E23">
        <v>8415000000</v>
      </c>
      <c r="F23">
        <v>-2.661123541612653E-2</v>
      </c>
    </row>
    <row r="24" spans="1:6" x14ac:dyDescent="0.25">
      <c r="A24" s="72" t="s">
        <v>55</v>
      </c>
      <c r="B24">
        <v>15894000000</v>
      </c>
      <c r="C24">
        <v>5996000000</v>
      </c>
      <c r="D24">
        <v>1188000000</v>
      </c>
      <c r="E24">
        <v>7849000000</v>
      </c>
      <c r="F24">
        <v>-2.3400480325644461E-2</v>
      </c>
    </row>
    <row r="25" spans="1:6" x14ac:dyDescent="0.25">
      <c r="A25" s="72" t="s">
        <v>56</v>
      </c>
      <c r="B25">
        <v>15451000000</v>
      </c>
      <c r="C25">
        <v>4660000000</v>
      </c>
      <c r="D25">
        <v>1196000000</v>
      </c>
      <c r="E25">
        <v>9109000000</v>
      </c>
      <c r="F25">
        <v>9.6022234508547077E-2</v>
      </c>
    </row>
    <row r="26" spans="1:6" x14ac:dyDescent="0.25">
      <c r="A26" s="72" t="s">
        <v>57</v>
      </c>
      <c r="B26">
        <v>14969000000</v>
      </c>
      <c r="C26">
        <v>3423000000</v>
      </c>
      <c r="D26">
        <v>1199000000</v>
      </c>
      <c r="E26">
        <v>9587000000</v>
      </c>
      <c r="F26">
        <v>5.8660080271688793E-2</v>
      </c>
    </row>
    <row r="27" spans="1:6" x14ac:dyDescent="0.25">
      <c r="A27" s="72" t="s">
        <v>58</v>
      </c>
      <c r="B27">
        <v>14525000000</v>
      </c>
      <c r="C27">
        <v>-183000000</v>
      </c>
      <c r="D27">
        <v>1202000000</v>
      </c>
      <c r="E27">
        <v>4965000000</v>
      </c>
      <c r="F27">
        <v>0.20870535714285721</v>
      </c>
    </row>
    <row r="28" spans="1:6" x14ac:dyDescent="0.25">
      <c r="A28" s="72" t="s">
        <v>59</v>
      </c>
      <c r="B28">
        <v>13804000000</v>
      </c>
      <c r="C28">
        <v>734000000</v>
      </c>
      <c r="D28">
        <v>1217000000</v>
      </c>
      <c r="E28">
        <v>6306000000</v>
      </c>
      <c r="F28">
        <v>0.17346306924369759</v>
      </c>
    </row>
    <row r="29" spans="1:6" x14ac:dyDescent="0.25">
      <c r="A29" s="72" t="s">
        <v>60</v>
      </c>
      <c r="B29">
        <v>13094000000</v>
      </c>
      <c r="C29">
        <v>1864000000</v>
      </c>
      <c r="D29">
        <v>1228000000</v>
      </c>
      <c r="E29">
        <v>5695000000</v>
      </c>
      <c r="F29">
        <v>0.18744777524320691</v>
      </c>
    </row>
    <row r="30" spans="1:6" x14ac:dyDescent="0.25">
      <c r="A30" s="72" t="s">
        <v>61</v>
      </c>
      <c r="B30">
        <v>12331000000</v>
      </c>
      <c r="C30">
        <v>2962000000</v>
      </c>
      <c r="D30">
        <v>1223000000</v>
      </c>
      <c r="E30">
        <v>4921000000</v>
      </c>
      <c r="F30">
        <v>0.13526841732283471</v>
      </c>
    </row>
    <row r="31" spans="1:6" x14ac:dyDescent="0.25">
      <c r="A31" s="72" t="s">
        <v>62</v>
      </c>
      <c r="B31">
        <v>11759000000</v>
      </c>
      <c r="C31">
        <v>2739000000</v>
      </c>
      <c r="D31">
        <v>1215000000</v>
      </c>
      <c r="E31">
        <v>4091000000</v>
      </c>
      <c r="F31">
        <v>0.1062182113207548</v>
      </c>
    </row>
    <row r="32" spans="1:6" x14ac:dyDescent="0.25">
      <c r="A32" s="72" t="s">
        <v>63</v>
      </c>
      <c r="B32">
        <v>11273000000</v>
      </c>
      <c r="C32">
        <v>2487000000</v>
      </c>
      <c r="D32">
        <v>1216000000</v>
      </c>
      <c r="E32">
        <v>4055000000</v>
      </c>
      <c r="F32">
        <v>8.9685176886792561E-2</v>
      </c>
    </row>
    <row r="33" spans="1:6" x14ac:dyDescent="0.25">
      <c r="A33" s="72" t="s">
        <v>64</v>
      </c>
      <c r="B33">
        <v>10842000000</v>
      </c>
      <c r="C33">
        <v>2489000000</v>
      </c>
      <c r="D33">
        <v>1216000000</v>
      </c>
      <c r="E33">
        <v>4975000000</v>
      </c>
      <c r="F33">
        <v>0.16627543035993739</v>
      </c>
    </row>
    <row r="34" spans="1:6" x14ac:dyDescent="0.25">
      <c r="A34" s="72" t="s">
        <v>65</v>
      </c>
      <c r="B34">
        <v>10417000000</v>
      </c>
      <c r="C34">
        <v>2282000000</v>
      </c>
      <c r="D34">
        <v>1214000000</v>
      </c>
      <c r="E34">
        <v>5088000000</v>
      </c>
      <c r="F34">
        <v>0.18113374667847659</v>
      </c>
    </row>
    <row r="35" spans="1:6" x14ac:dyDescent="0.25">
      <c r="A35" s="72" t="s">
        <v>66</v>
      </c>
      <c r="B35">
        <v>10008000000</v>
      </c>
      <c r="C35">
        <v>2183000000</v>
      </c>
      <c r="D35">
        <v>1215000000</v>
      </c>
      <c r="E35">
        <v>4957000000</v>
      </c>
      <c r="F35">
        <v>0.15367871136264699</v>
      </c>
    </row>
    <row r="36" spans="1:6" x14ac:dyDescent="0.25">
      <c r="A36" s="72" t="s">
        <v>67</v>
      </c>
      <c r="B36">
        <v>9655000000</v>
      </c>
      <c r="C36">
        <v>2079000000</v>
      </c>
      <c r="D36">
        <v>1225000000</v>
      </c>
      <c r="E36">
        <v>4767000000</v>
      </c>
      <c r="F36">
        <v>0.12610504726251759</v>
      </c>
    </row>
    <row r="37" spans="1:6" x14ac:dyDescent="0.25">
      <c r="A37" s="72" t="s">
        <v>68</v>
      </c>
      <c r="B37">
        <v>9248000000</v>
      </c>
      <c r="C37">
        <v>1824000000</v>
      </c>
      <c r="D37">
        <v>1230000000</v>
      </c>
      <c r="E37">
        <v>3411000000</v>
      </c>
      <c r="F37">
        <v>0.13315093479252171</v>
      </c>
    </row>
    <row r="38" spans="1:6" x14ac:dyDescent="0.25">
      <c r="A38" s="72" t="s">
        <v>69</v>
      </c>
      <c r="B38">
        <v>8885000000</v>
      </c>
      <c r="C38">
        <v>1768000000</v>
      </c>
      <c r="D38">
        <v>1227000000</v>
      </c>
      <c r="E38">
        <v>4299000000</v>
      </c>
      <c r="F38">
        <v>6.9530420253164582E-2</v>
      </c>
    </row>
    <row r="39" spans="1:6" x14ac:dyDescent="0.25">
      <c r="A39" s="72" t="s">
        <v>70</v>
      </c>
      <c r="B39">
        <v>8602000000</v>
      </c>
      <c r="C39">
        <v>1680000000</v>
      </c>
      <c r="D39">
        <v>1220000000</v>
      </c>
      <c r="E39">
        <v>4408000000</v>
      </c>
      <c r="F39">
        <v>8.8143155824508268E-2</v>
      </c>
    </row>
    <row r="40" spans="1:6" x14ac:dyDescent="0.25">
      <c r="A40" s="72" t="s">
        <v>71</v>
      </c>
      <c r="B40">
        <v>8288000000</v>
      </c>
      <c r="C40">
        <v>1753000000</v>
      </c>
      <c r="D40">
        <v>1220000000</v>
      </c>
      <c r="E40">
        <v>2375000000</v>
      </c>
    </row>
    <row r="41" spans="1:6" x14ac:dyDescent="0.25">
      <c r="A41" s="72" t="s">
        <v>72</v>
      </c>
      <c r="B41">
        <v>8025000000</v>
      </c>
      <c r="C41">
        <v>1728000000</v>
      </c>
      <c r="D41">
        <v>1216000000</v>
      </c>
      <c r="E41">
        <v>2230000000</v>
      </c>
    </row>
    <row r="42" spans="1:6" x14ac:dyDescent="0.25">
      <c r="A42" s="72" t="s">
        <v>73</v>
      </c>
      <c r="D42">
        <v>1188000000</v>
      </c>
    </row>
    <row r="43" spans="1:6" x14ac:dyDescent="0.25">
      <c r="A43" s="72" t="s">
        <v>74</v>
      </c>
      <c r="D43">
        <v>1188000000</v>
      </c>
    </row>
    <row r="44" spans="1:6" x14ac:dyDescent="0.25">
      <c r="A44" s="72" t="s">
        <v>75</v>
      </c>
      <c r="D44">
        <v>1188000000</v>
      </c>
      <c r="E44">
        <v>1925000000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76</v>
      </c>
      <c r="B1" s="27" t="s">
        <v>77</v>
      </c>
      <c r="C1" t="s">
        <v>78</v>
      </c>
      <c r="D1" t="s">
        <v>79</v>
      </c>
      <c r="F1" s="27" t="s">
        <v>77</v>
      </c>
      <c r="G1" t="s">
        <v>78</v>
      </c>
      <c r="H1" t="s">
        <v>79</v>
      </c>
      <c r="J1" t="s">
        <v>80</v>
      </c>
      <c r="K1" t="s">
        <v>78</v>
      </c>
      <c r="L1" t="s">
        <v>79</v>
      </c>
      <c r="N1" t="s">
        <v>81</v>
      </c>
      <c r="O1" t="s">
        <v>78</v>
      </c>
      <c r="P1" t="s">
        <v>79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82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83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84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85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86</v>
      </c>
    </row>
    <row r="7" spans="1:46" x14ac:dyDescent="0.25">
      <c r="A7" s="27" t="s">
        <v>87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88</v>
      </c>
    </row>
    <row r="8" spans="1:46" x14ac:dyDescent="0.25">
      <c r="A8" s="27" t="s">
        <v>89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90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91</v>
      </c>
    </row>
    <row r="10" spans="1:46" x14ac:dyDescent="0.25">
      <c r="A10" s="27" t="s">
        <v>92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93</v>
      </c>
    </row>
    <row r="11" spans="1:46" x14ac:dyDescent="0.25">
      <c r="A11" s="27" t="s">
        <v>94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95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96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97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98</v>
      </c>
    </row>
    <row r="15" spans="1:46" x14ac:dyDescent="0.25">
      <c r="A15" s="27" t="s">
        <v>99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100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101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102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103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104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105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106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107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108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109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110</v>
      </c>
      <c r="J26">
        <v>0.61799999999999999</v>
      </c>
      <c r="N26">
        <v>-0.36399999999999999</v>
      </c>
    </row>
    <row r="27" spans="1:17" x14ac:dyDescent="0.25">
      <c r="A27" s="27" t="s">
        <v>111</v>
      </c>
    </row>
    <row r="28" spans="1:17" x14ac:dyDescent="0.25">
      <c r="A28" s="27" t="s">
        <v>112</v>
      </c>
    </row>
    <row r="29" spans="1:17" x14ac:dyDescent="0.25">
      <c r="A29" s="27" t="s">
        <v>113</v>
      </c>
    </row>
    <row r="31" spans="1:17" x14ac:dyDescent="0.25">
      <c r="A31" s="26" t="s">
        <v>114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115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116</v>
      </c>
      <c r="C1" s="72" t="s">
        <v>117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118</v>
      </c>
      <c r="D2">
        <v>1.4125805049964451</v>
      </c>
      <c r="E2">
        <v>0.13857945176996811</v>
      </c>
    </row>
    <row r="3" spans="1:5" x14ac:dyDescent="0.25">
      <c r="A3" s="72">
        <v>1</v>
      </c>
      <c r="B3">
        <v>3</v>
      </c>
      <c r="C3" t="s">
        <v>119</v>
      </c>
      <c r="D3">
        <v>1.5010668726549301</v>
      </c>
      <c r="E3">
        <v>0.14470890249817719</v>
      </c>
    </row>
    <row r="4" spans="1:5" x14ac:dyDescent="0.25">
      <c r="A4" s="72">
        <v>2</v>
      </c>
      <c r="B4">
        <v>3</v>
      </c>
      <c r="C4" t="s">
        <v>120</v>
      </c>
      <c r="D4">
        <v>1.521423525742857</v>
      </c>
      <c r="E4">
        <v>0.14611900786689641</v>
      </c>
    </row>
    <row r="5" spans="1:5" x14ac:dyDescent="0.25">
      <c r="A5" s="72">
        <v>3</v>
      </c>
      <c r="B5">
        <v>5</v>
      </c>
      <c r="C5" t="s">
        <v>118</v>
      </c>
      <c r="D5">
        <v>1.4419062420516831</v>
      </c>
      <c r="E5">
        <v>0.14061084558920869</v>
      </c>
    </row>
    <row r="6" spans="1:5" x14ac:dyDescent="0.25">
      <c r="A6" s="72">
        <v>4</v>
      </c>
      <c r="B6">
        <v>5</v>
      </c>
      <c r="C6" t="s">
        <v>119</v>
      </c>
      <c r="D6">
        <v>1.310283883490275</v>
      </c>
      <c r="E6">
        <v>0.13149336475140799</v>
      </c>
    </row>
    <row r="7" spans="1:5" x14ac:dyDescent="0.25">
      <c r="A7" s="72">
        <v>5</v>
      </c>
      <c r="B7">
        <v>5</v>
      </c>
      <c r="C7" t="s">
        <v>120</v>
      </c>
      <c r="D7">
        <v>1.3402684954064601</v>
      </c>
      <c r="E7">
        <v>0.13357039883256799</v>
      </c>
    </row>
    <row r="8" spans="1:5" x14ac:dyDescent="0.25">
      <c r="A8" s="72">
        <v>6</v>
      </c>
      <c r="B8" t="s">
        <v>114</v>
      </c>
      <c r="D8">
        <v>1.421254920723775</v>
      </c>
      <c r="E8">
        <v>0.13918032855137111</v>
      </c>
    </row>
    <row r="9" spans="1:5" x14ac:dyDescent="0.25">
      <c r="A9" s="72">
        <v>7</v>
      </c>
      <c r="B9" t="s">
        <v>115</v>
      </c>
      <c r="D9">
        <v>1.4272433735240639</v>
      </c>
      <c r="E9">
        <v>0.13959514867958839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2024-10-18T21:35:52Z</dcterms:modified>
</cp:coreProperties>
</file>