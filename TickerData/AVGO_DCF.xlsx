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2" documentId="11_8F277026E13841D2C6E6C506B762873F63E0B8FA" xr6:coauthVersionLast="47" xr6:coauthVersionMax="47" xr10:uidLastSave="{EF0FDBDA-730E-4ACC-9384-17F23BB73981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G32" i="5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C32" i="5" s="1"/>
  <c r="R3" i="5"/>
  <c r="P3" i="5"/>
  <c r="O3" i="5"/>
  <c r="O32" i="5" s="1"/>
  <c r="L3" i="5"/>
  <c r="K3" i="5"/>
  <c r="K32" i="5" s="1"/>
  <c r="H3" i="5"/>
  <c r="G3" i="5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D2" i="5"/>
  <c r="C2" i="5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J10" i="3"/>
  <c r="J11" i="3" s="1"/>
  <c r="I10" i="3"/>
  <c r="I11" i="3" s="1"/>
  <c r="H10" i="3"/>
  <c r="H11" i="3" s="1"/>
  <c r="G10" i="3"/>
  <c r="G11" i="3" s="1"/>
  <c r="F10" i="3"/>
  <c r="F11" i="3" s="1"/>
  <c r="N5" i="3"/>
  <c r="O5" i="3" s="1"/>
  <c r="P5" i="3" s="1"/>
  <c r="Q5" i="3" s="1"/>
  <c r="R5" i="3" s="1"/>
  <c r="S5" i="3" s="1"/>
  <c r="T5" i="3" s="1"/>
  <c r="U5" i="3" s="1"/>
  <c r="L5" i="3"/>
  <c r="J4" i="3"/>
  <c r="J5" i="3" s="1"/>
  <c r="I4" i="3"/>
  <c r="I5" i="3" s="1"/>
  <c r="H4" i="3"/>
  <c r="H5" i="3" s="1"/>
  <c r="G4" i="3"/>
  <c r="J3" i="3"/>
  <c r="I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4" i="3" s="1"/>
  <c r="K11" i="3" l="1"/>
  <c r="M11" i="3" s="1"/>
  <c r="N11" i="3" s="1"/>
  <c r="O11" i="3" s="1"/>
  <c r="P11" i="3" s="1"/>
  <c r="Q11" i="3" s="1"/>
  <c r="R11" i="3" s="1"/>
  <c r="S11" i="3" s="1"/>
  <c r="T11" i="3" s="1"/>
  <c r="U11" i="3" s="1"/>
  <c r="C20" i="3"/>
  <c r="C21" i="3"/>
  <c r="L10" i="3"/>
  <c r="I13" i="3"/>
  <c r="I8" i="3"/>
  <c r="J8" i="3"/>
  <c r="J13" i="3"/>
  <c r="G5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7" i="3"/>
  <c r="D7" i="3"/>
  <c r="K3" i="3"/>
  <c r="E7" i="3"/>
  <c r="K31" i="5"/>
  <c r="L1" i="3"/>
  <c r="O31" i="5"/>
  <c r="F7" i="3"/>
  <c r="E3" i="3"/>
  <c r="K4" i="3"/>
  <c r="G7" i="3"/>
  <c r="D3" i="3"/>
  <c r="H7" i="3"/>
  <c r="E4" i="3"/>
  <c r="E5" i="3" s="1"/>
  <c r="D10" i="3"/>
  <c r="E11" i="3" s="1"/>
  <c r="F3" i="3"/>
  <c r="M10" i="3" l="1"/>
  <c r="N10" i="3" s="1"/>
  <c r="O10" i="3" s="1"/>
  <c r="P10" i="3" s="1"/>
  <c r="Q10" i="3" s="1"/>
  <c r="R10" i="3" s="1"/>
  <c r="S10" i="3" s="1"/>
  <c r="T10" i="3" s="1"/>
  <c r="U10" i="3" s="1"/>
  <c r="V10" i="3" s="1"/>
  <c r="K8" i="3"/>
  <c r="K13" i="3"/>
  <c r="E8" i="3"/>
  <c r="E13" i="3"/>
  <c r="D8" i="3"/>
  <c r="D13" i="3"/>
  <c r="G8" i="3"/>
  <c r="G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F8" i="3"/>
  <c r="F13" i="3"/>
  <c r="L3" i="3"/>
  <c r="M1" i="3"/>
  <c r="F5" i="3"/>
  <c r="H13" i="3"/>
  <c r="H8" i="3"/>
  <c r="N1" i="3" l="1"/>
  <c r="M3" i="3"/>
  <c r="L8" i="3"/>
  <c r="M8" i="3" l="1"/>
  <c r="L7" i="3"/>
  <c r="L13" i="3" s="1"/>
  <c r="L14" i="3" s="1"/>
  <c r="N3" i="3"/>
  <c r="O1" i="3"/>
  <c r="O3" i="3" l="1"/>
  <c r="P1" i="3"/>
  <c r="N8" i="3"/>
  <c r="M7" i="3"/>
  <c r="M13" i="3" s="1"/>
  <c r="M14" i="3" s="1"/>
  <c r="P3" i="3" l="1"/>
  <c r="Q1" i="3"/>
  <c r="O8" i="3"/>
  <c r="N7" i="3"/>
  <c r="N13" i="3" s="1"/>
  <c r="N14" i="3" s="1"/>
  <c r="R1" i="3" l="1"/>
  <c r="Q3" i="3"/>
  <c r="O7" i="3"/>
  <c r="O13" i="3" s="1"/>
  <c r="O14" i="3" s="1"/>
  <c r="P8" i="3"/>
  <c r="P7" i="3" l="1"/>
  <c r="P13" i="3" s="1"/>
  <c r="P14" i="3" s="1"/>
  <c r="Q8" i="3"/>
  <c r="S1" i="3"/>
  <c r="R3" i="3"/>
  <c r="T1" i="3" l="1"/>
  <c r="S3" i="3"/>
  <c r="Q7" i="3"/>
  <c r="Q13" i="3" s="1"/>
  <c r="Q14" i="3" s="1"/>
  <c r="R8" i="3"/>
  <c r="R7" i="3" l="1"/>
  <c r="R13" i="3" s="1"/>
  <c r="R14" i="3" s="1"/>
  <c r="S8" i="3"/>
  <c r="T3" i="3"/>
  <c r="U1" i="3"/>
  <c r="U3" i="3" s="1"/>
  <c r="T8" i="3" l="1"/>
  <c r="S7" i="3"/>
  <c r="S13" i="3" s="1"/>
  <c r="S14" i="3" s="1"/>
  <c r="U8" i="3" l="1"/>
  <c r="U7" i="3" s="1"/>
  <c r="T7" i="3"/>
  <c r="T13" i="3" s="1"/>
  <c r="T14" i="3" s="1"/>
  <c r="V7" i="3" l="1"/>
  <c r="U13" i="3"/>
  <c r="V13" i="3" l="1"/>
  <c r="V14" i="3" s="1"/>
  <c r="U14" i="3"/>
  <c r="C18" i="3" l="1"/>
  <c r="C17" i="3"/>
  <c r="C19" i="3" l="1"/>
  <c r="C22" i="3" s="1"/>
  <c r="L18" i="3"/>
  <c r="L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<sst xmlns="http://schemas.openxmlformats.org/spreadsheetml/2006/main" count="162" uniqueCount="139">
  <si>
    <t>This sheet contains FactSet XML data for use with this workbook's =FDS codes.  Modifying the worksheet's contents may damage the workbook's =FDS functionality.</t>
  </si>
  <si>
    <t>AVGO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</si>
  <si>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</si>
  <si>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</si>
  <si>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</si>
  <si>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</si>
  <si>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</si>
  <si>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</si>
  <si>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</si>
  <si>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</si>
  <si>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</si>
  <si>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</si>
  <si>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</si>
  <si>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</si>
  <si>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</si>
  <si>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</si>
  <si>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</si>
  <si>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</si>
  <si>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</si>
  <si>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</si>
  <si>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</si>
  <si>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</si>
  <si>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</si>
  <si>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</si>
  <si>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</si>
  <si>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</si>
  <si>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</si>
  <si>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</si>
  <si>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</si>
  <si>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</si>
  <si>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</si>
  <si>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</si>
  <si>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</si>
  <si>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2024-11-04</t>
  </si>
  <si>
    <t>2024-08-04</t>
  </si>
  <si>
    <t>2024-05-05</t>
  </si>
  <si>
    <t>2024-02-04</t>
  </si>
  <si>
    <t>2023-10-29</t>
  </si>
  <si>
    <t>2023-07-30</t>
  </si>
  <si>
    <t>2023-04-30</t>
  </si>
  <si>
    <t>2023-01-29</t>
  </si>
  <si>
    <t>2022-10-30</t>
  </si>
  <si>
    <t>2022-07-31</t>
  </si>
  <si>
    <t>2022-05-01</t>
  </si>
  <si>
    <t>2022-01-30</t>
  </si>
  <si>
    <t>2021-10-31</t>
  </si>
  <si>
    <t>2021-08-01</t>
  </si>
  <si>
    <t>2021-05-02</t>
  </si>
  <si>
    <t>2021-01-31</t>
  </si>
  <si>
    <t>2020-11-01</t>
  </si>
  <si>
    <t>2020-08-02</t>
  </si>
  <si>
    <t>2020-05-03</t>
  </si>
  <si>
    <t>2020-02-02</t>
  </si>
  <si>
    <t>2019-11-03</t>
  </si>
  <si>
    <t>2019-08-04</t>
  </si>
  <si>
    <t>2019-05-05</t>
  </si>
  <si>
    <t>2019-02-03</t>
  </si>
  <si>
    <t>2018-11-04</t>
  </si>
  <si>
    <t>2018-08-05</t>
  </si>
  <si>
    <t>2018-05-06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</si>
  <si>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</si>
  <si>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</si>
  <si>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</si>
  <si>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</si>
  <si>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</si>
  <si>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</si>
  <si>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</si>
  <si>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</si>
  <si>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</si>
  <si>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</si>
  <si>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</si>
  <si>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</si>
  <si>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</si>
  <si>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</si>
  <si>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</si>
  <si>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</si>
  <si>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</si>
  <si>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</si>
  <si>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</si>
  <si>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</si>
  <si>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</si>
  <si>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</si>
  <si>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</si>
  <si>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</si>
  <si>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</si>
  <si>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</si>
  <si>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</si>
  <si>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</si>
  <si>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2011-01-31</t>
  </si>
  <si>
    <t>2010-10-31</t>
  </si>
  <si>
    <t>2010-07-31</t>
  </si>
  <si>
    <t>2010-04-30</t>
  </si>
  <si>
    <t>2010-01-31</t>
  </si>
  <si>
    <t>2009-10-31</t>
  </si>
  <si>
    <t>2009-07-31</t>
  </si>
  <si>
    <t>2009-04-30</t>
  </si>
  <si>
    <t>2009-01-31</t>
  </si>
  <si>
    <t>2008-10-31</t>
  </si>
  <si>
    <t>2008-07-31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</si>
  <si>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</si>
  <si>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</si>
  <si>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</si>
  <si>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</si>
  <si>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</si>
  <si>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</si>
  <si>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</si>
  <si>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</si>
  <si>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</si>
  <si>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</si>
  <si>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</si>
  <si>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</si>
  <si>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</si>
  <si>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</si>
  <si>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</si>
  <si>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</si>
  <si>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</si>
  <si>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2022-04-30</t>
  </si>
  <si>
    <t>2022-01-31</t>
  </si>
  <si>
    <t>add more to show the return, and also the market cap valuations</t>
  </si>
  <si>
    <t>2021-07-31</t>
  </si>
  <si>
    <t>2021-04-30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</si>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</sst>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102315000000</v>
      </c>
    </row>
    <row r="3" spans="1:2" x14ac:dyDescent="0.25">
      <c r="A3" s="72" t="s">
        <v>3</v>
      </c>
      <c r="B3">
        <v>66798000000</v>
      </c>
    </row>
    <row r="4" spans="1:2" x14ac:dyDescent="0.25">
      <c r="A4" s="72" t="s">
        <v>4</v>
      </c>
      <c r="B4">
        <v>0.50432996851618361</v>
      </c>
    </row>
    <row r="5" spans="1:2" x14ac:dyDescent="0.25">
      <c r="A5" s="72" t="s">
        <v>5</v>
      </c>
      <c r="B5">
        <v>5.1528488876912477E-2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65651000000</v>
      </c>
    </row>
    <row r="8" spans="1:2" x14ac:dyDescent="0.25">
      <c r="A8" s="72" t="s">
        <v>8</v>
      </c>
      <c r="B8">
        <v>0.49567003148381639</v>
      </c>
    </row>
    <row r="9" spans="1:2" x14ac:dyDescent="0.25">
      <c r="A9" s="72" t="s">
        <v>9</v>
      </c>
      <c r="B9">
        <v>0.13530756728913049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1.3653467175095719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8.7597921464855982E-2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A2" sqref="A2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2017-07-31</v>
      </c>
      <c r="E1" s="65" t="str">
        <f>Python!A27</f>
        <v>2018-08-05</v>
      </c>
      <c r="F1" s="65" t="str">
        <f>Python!A23</f>
        <v>2019-08-04</v>
      </c>
      <c r="G1" s="65" t="str">
        <f>Python!A19</f>
        <v>2020-08-02</v>
      </c>
      <c r="H1" s="65" t="str">
        <f>Python!A15</f>
        <v>2021-08-01</v>
      </c>
      <c r="I1" s="65" t="str">
        <f>Python!A11</f>
        <v>2022-07-31</v>
      </c>
      <c r="J1" s="65" t="str">
        <f>Python!A7</f>
        <v>2023-07-30</v>
      </c>
      <c r="K1" s="65" t="str">
        <f>Python!A3</f>
        <v>2024-08-04</v>
      </c>
      <c r="L1" s="28">
        <f t="shared" ref="L1:U1" si="0">EDATE(K1, 12)</f>
        <v>45873</v>
      </c>
      <c r="M1" s="28">
        <f t="shared" si="0"/>
        <v>46238</v>
      </c>
      <c r="N1" s="28">
        <f t="shared" si="0"/>
        <v>46603</v>
      </c>
      <c r="O1" s="28">
        <f t="shared" si="0"/>
        <v>46969</v>
      </c>
      <c r="P1" s="28">
        <f t="shared" si="0"/>
        <v>47334</v>
      </c>
      <c r="Q1" s="28">
        <f t="shared" si="0"/>
        <v>47699</v>
      </c>
      <c r="R1" s="28">
        <f t="shared" si="0"/>
        <v>48064</v>
      </c>
      <c r="S1" s="28">
        <f t="shared" si="0"/>
        <v>48430</v>
      </c>
      <c r="T1" s="28">
        <f t="shared" si="0"/>
        <v>48795</v>
      </c>
      <c r="U1" s="28">
        <f t="shared" si="0"/>
        <v>49160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16928</v>
      </c>
      <c r="E4" s="36">
        <f>IFERROR(INDEX(Python!$1:$1048576,MATCH(DCF_Simple!E$1,Python!$A:$A,0),MATCH(DCF_Simple!$B4,Python!$1:$1,0))/1000000,0)</f>
        <v>20248</v>
      </c>
      <c r="F4" s="36">
        <f>IFERROR(INDEX(Python!$1:$1048576,MATCH(DCF_Simple!F$1,Python!$A:$A,0),MATCH(DCF_Simple!$B4,Python!$1:$1,0))/1000000,0)</f>
        <v>22265</v>
      </c>
      <c r="G4" s="36">
        <f>IFERROR(INDEX(Python!$1:$1048576,MATCH(DCF_Simple!G$1,Python!$A:$A,0),MATCH(DCF_Simple!$B4,Python!$1:$1,0))/1000000,0)</f>
        <v>23197</v>
      </c>
      <c r="H4" s="36">
        <f>IFERROR(INDEX(Python!$1:$1048576,MATCH(DCF_Simple!H$1,Python!$A:$A,0),MATCH(DCF_Simple!$B4,Python!$1:$1,0))/1000000,0)</f>
        <v>26510</v>
      </c>
      <c r="I4" s="36">
        <f>IFERROR(INDEX(Python!$1:$1048576,MATCH(DCF_Simple!I$1,Python!$A:$A,0),MATCH(DCF_Simple!$B4,Python!$1:$1,0))/1000000,0)</f>
        <v>31680</v>
      </c>
      <c r="J4" s="36">
        <f>IFERROR(INDEX(Python!$1:$1048576,MATCH(DCF_Simple!J$1,Python!$A:$A,0),MATCH(DCF_Simple!$B4,Python!$1:$1,0))/1000000,0)</f>
        <v>35454</v>
      </c>
      <c r="K4" s="54">
        <f>IFERROR(INDEX(Python!$1:$1048576,MATCH(DCF_Simple!K$1,Python!$A:$A,0),MATCH(DCF_Simple!$B4,Python!$1:$1,0))/1000000,0)</f>
        <v>46815</v>
      </c>
      <c r="L4" s="37">
        <f t="shared" ref="L4:U4" si="2">K4*(1+L5)</f>
        <v>70753.355406132338</v>
      </c>
      <c r="M4" s="36">
        <f t="shared" si="2"/>
        <v>81366.358717052179</v>
      </c>
      <c r="N4" s="36">
        <f t="shared" si="2"/>
        <v>93571.312524609995</v>
      </c>
      <c r="O4" s="36">
        <f t="shared" si="2"/>
        <v>107607.00940330149</v>
      </c>
      <c r="P4" s="36">
        <f t="shared" si="2"/>
        <v>123748.06081379671</v>
      </c>
      <c r="Q4" s="36">
        <f t="shared" si="2"/>
        <v>142310.26993586621</v>
      </c>
      <c r="R4" s="36">
        <f t="shared" si="2"/>
        <v>163656.81042624611</v>
      </c>
      <c r="S4" s="36">
        <f t="shared" si="2"/>
        <v>188205.33199018301</v>
      </c>
      <c r="T4" s="36">
        <f t="shared" si="2"/>
        <v>216436.13178871045</v>
      </c>
      <c r="U4" s="36">
        <f t="shared" si="2"/>
        <v>248901.551557017</v>
      </c>
      <c r="V4" s="19">
        <f>U4</f>
        <v>248901.551557017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0.19612476370510401</v>
      </c>
      <c r="F5" s="42">
        <f t="shared" si="3"/>
        <v>9.9614776768075952E-2</v>
      </c>
      <c r="G5" s="42">
        <f t="shared" si="3"/>
        <v>4.1859420615315557E-2</v>
      </c>
      <c r="H5" s="42">
        <f t="shared" si="3"/>
        <v>0.14282019226624132</v>
      </c>
      <c r="I5" s="42">
        <f t="shared" si="3"/>
        <v>0.19502074688796678</v>
      </c>
      <c r="J5" s="42">
        <f t="shared" si="3"/>
        <v>0.11912878787878789</v>
      </c>
      <c r="K5" s="57">
        <f t="shared" si="3"/>
        <v>0.32044339143679124</v>
      </c>
      <c r="L5" s="38">
        <f>Python!F2</f>
        <v>0.51133942980096836</v>
      </c>
      <c r="M5" s="38">
        <v>0.15</v>
      </c>
      <c r="N5" s="38">
        <f t="shared" ref="N5:U5" si="4">M5</f>
        <v>0.15</v>
      </c>
      <c r="O5" s="38">
        <f t="shared" si="4"/>
        <v>0.15</v>
      </c>
      <c r="P5" s="38">
        <f t="shared" si="4"/>
        <v>0.15</v>
      </c>
      <c r="Q5" s="38">
        <f t="shared" si="4"/>
        <v>0.15</v>
      </c>
      <c r="R5" s="38">
        <f t="shared" si="4"/>
        <v>0.15</v>
      </c>
      <c r="S5" s="38">
        <f t="shared" si="4"/>
        <v>0.15</v>
      </c>
      <c r="T5" s="38">
        <f t="shared" si="4"/>
        <v>0.15</v>
      </c>
      <c r="U5" s="38">
        <f t="shared" si="4"/>
        <v>0.15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4915</v>
      </c>
      <c r="E7" s="51">
        <f>IFERROR(INDEX(Python!$1:$1048576,MATCH(DCF_Simple!E$1,Python!$A:$A,0),MATCH(DCF_Simple!$B7,Python!$1:$1,0))/1000000,0)</f>
        <v>7442</v>
      </c>
      <c r="F7" s="51">
        <f>IFERROR(INDEX(Python!$1:$1048576,MATCH(DCF_Simple!F$1,Python!$A:$A,0),MATCH(DCF_Simple!$B7,Python!$1:$1,0))/1000000,0)</f>
        <v>9411</v>
      </c>
      <c r="G7" s="51">
        <f>IFERROR(INDEX(Python!$1:$1048576,MATCH(DCF_Simple!G$1,Python!$A:$A,0),MATCH(DCF_Simple!$B7,Python!$1:$1,0))/1000000,0)</f>
        <v>10735</v>
      </c>
      <c r="H7" s="51">
        <f>IFERROR(INDEX(Python!$1:$1048576,MATCH(DCF_Simple!H$1,Python!$A:$A,0),MATCH(DCF_Simple!$B7,Python!$1:$1,0))/1000000,0)</f>
        <v>13114</v>
      </c>
      <c r="I7" s="51">
        <f>IFERROR(INDEX(Python!$1:$1048576,MATCH(DCF_Simple!I$1,Python!$A:$A,0),MATCH(DCF_Simple!$B7,Python!$1:$1,0))/1000000,0)</f>
        <v>15304</v>
      </c>
      <c r="J7" s="51">
        <f>IFERROR(INDEX(Python!$1:$1048576,MATCH(DCF_Simple!J$1,Python!$A:$A,0),MATCH(DCF_Simple!$B7,Python!$1:$1,0))/1000000,0)</f>
        <v>17371</v>
      </c>
      <c r="K7" s="56">
        <f>IFERROR(INDEX(Python!$1:$1048576,MATCH(DCF_Simple!K$1,Python!$A:$A,0),MATCH(DCF_Simple!$B7,Python!$1:$1,0))/1000000,0)</f>
        <v>18655</v>
      </c>
      <c r="L7" s="63">
        <f t="shared" ref="L7:U7" si="5">L8*L4</f>
        <v>30154.644910241099</v>
      </c>
      <c r="M7" s="63">
        <f t="shared" si="5"/>
        <v>34677.841646777255</v>
      </c>
      <c r="N7" s="63">
        <f t="shared" si="5"/>
        <v>39879.51789379384</v>
      </c>
      <c r="O7" s="63">
        <f t="shared" si="5"/>
        <v>45861.44557786292</v>
      </c>
      <c r="P7" s="63">
        <f t="shared" si="5"/>
        <v>52740.662414542348</v>
      </c>
      <c r="Q7" s="63">
        <f t="shared" si="5"/>
        <v>60651.761776723702</v>
      </c>
      <c r="R7" s="63">
        <f t="shared" si="5"/>
        <v>69749.526043232254</v>
      </c>
      <c r="S7" s="63">
        <f t="shared" si="5"/>
        <v>80211.954949717081</v>
      </c>
      <c r="T7" s="63">
        <f t="shared" si="5"/>
        <v>92243.748192174637</v>
      </c>
      <c r="U7" s="63">
        <f t="shared" si="5"/>
        <v>106080.31042100082</v>
      </c>
      <c r="V7" s="64">
        <f>U7</f>
        <v>106080.31042100082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0.29034735349716445</v>
      </c>
      <c r="E8" s="42">
        <f t="shared" si="6"/>
        <v>0.36754247333069934</v>
      </c>
      <c r="F8" s="42">
        <f t="shared" si="6"/>
        <v>0.42268133842353467</v>
      </c>
      <c r="G8" s="42">
        <f t="shared" si="6"/>
        <v>0.46277535888261412</v>
      </c>
      <c r="H8" s="42">
        <f t="shared" si="6"/>
        <v>0.49468125235760091</v>
      </c>
      <c r="I8" s="42">
        <f t="shared" si="6"/>
        <v>0.48308080808080806</v>
      </c>
      <c r="J8" s="42">
        <f t="shared" si="6"/>
        <v>0.48995881987928019</v>
      </c>
      <c r="K8" s="57">
        <f t="shared" si="6"/>
        <v>0.39848339207518957</v>
      </c>
      <c r="L8" s="38">
        <f>AVERAGE(D8:K8)</f>
        <v>0.42619384956586148</v>
      </c>
      <c r="M8" s="38">
        <f t="shared" ref="M8:U8" si="7">L8</f>
        <v>0.42619384956586148</v>
      </c>
      <c r="N8" s="38">
        <f t="shared" si="7"/>
        <v>0.42619384956586148</v>
      </c>
      <c r="O8" s="38">
        <f t="shared" si="7"/>
        <v>0.42619384956586148</v>
      </c>
      <c r="P8" s="38">
        <f t="shared" si="7"/>
        <v>0.42619384956586148</v>
      </c>
      <c r="Q8" s="38">
        <f t="shared" si="7"/>
        <v>0.42619384956586148</v>
      </c>
      <c r="R8" s="38">
        <f t="shared" si="7"/>
        <v>0.42619384956586148</v>
      </c>
      <c r="S8" s="38">
        <f t="shared" si="7"/>
        <v>0.42619384956586148</v>
      </c>
      <c r="T8" s="38">
        <f t="shared" si="7"/>
        <v>0.42619384956586148</v>
      </c>
      <c r="U8" s="38">
        <f t="shared" si="7"/>
        <v>0.42619384956586148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4449.9999100000005</v>
      </c>
      <c r="E10" s="17">
        <f>IFERROR(INDEX(Python!$1:$1048576,MATCH(DCF_Simple!E$1,Python!$A:$A,0),MATCH(DCF_Simple!$B10,Python!$1:$1,0))/1000000,0)</f>
        <v>4409.9999100000005</v>
      </c>
      <c r="F10" s="17">
        <f>IFERROR(INDEX(Python!$1:$1048576,MATCH(DCF_Simple!F$1,Python!$A:$A,0),MATCH(DCF_Simple!$B10,Python!$1:$1,0))/1000000,0)</f>
        <v>4179.9999100000005</v>
      </c>
      <c r="G10" s="17">
        <f>IFERROR(INDEX(Python!$1:$1048576,MATCH(DCF_Simple!G$1,Python!$A:$A,0),MATCH(DCF_Simple!$B10,Python!$1:$1,0))/1000000,0)</f>
        <v>4219.9999100000005</v>
      </c>
      <c r="H10" s="17">
        <f>IFERROR(INDEX(Python!$1:$1048576,MATCH(DCF_Simple!H$1,Python!$A:$A,0),MATCH(DCF_Simple!$B10,Python!$1:$1,0))/1000000,0)</f>
        <v>4300.7517900000003</v>
      </c>
      <c r="I10" s="17">
        <f>IFERROR(INDEX(Python!$1:$1048576,MATCH(DCF_Simple!I$1,Python!$A:$A,0),MATCH(DCF_Simple!$B10,Python!$1:$1,0))/1000000,0)</f>
        <v>4310.7768500000002</v>
      </c>
      <c r="J10" s="17">
        <f>IFERROR(INDEX(Python!$1:$1048576,MATCH(DCF_Simple!J$1,Python!$A:$A,0),MATCH(DCF_Simple!$B10,Python!$1:$1,0))/1000000,0)</f>
        <v>4270</v>
      </c>
      <c r="K10" s="68">
        <f>IFERROR(INDEX(Python!$1:$1048576,MATCH(DCF_Simple!K$1,Python!$A:$A,0),MATCH(DCF_Simple!$B10,Python!$1:$1,0))/1000000,0)</f>
        <v>4663</v>
      </c>
      <c r="L10" s="17">
        <f t="shared" ref="L10:U10" si="8">K10*(1+L11)</f>
        <v>4697.9532659735851</v>
      </c>
      <c r="M10" s="17">
        <f t="shared" si="8"/>
        <v>4733.1685372661113</v>
      </c>
      <c r="N10" s="17">
        <f t="shared" si="8"/>
        <v>4768.6477778367453</v>
      </c>
      <c r="O10" s="17">
        <f t="shared" si="8"/>
        <v>4804.3929663662484</v>
      </c>
      <c r="P10" s="17">
        <f t="shared" si="8"/>
        <v>4840.4060963673255</v>
      </c>
      <c r="Q10" s="17">
        <f t="shared" si="8"/>
        <v>4876.689176295803</v>
      </c>
      <c r="R10" s="17">
        <f t="shared" si="8"/>
        <v>4913.2442296626423</v>
      </c>
      <c r="S10" s="17">
        <f t="shared" si="8"/>
        <v>4950.0732951467899</v>
      </c>
      <c r="T10" s="17">
        <f t="shared" si="8"/>
        <v>4987.178426708876</v>
      </c>
      <c r="U10" s="17">
        <f t="shared" si="8"/>
        <v>5024.561693705763</v>
      </c>
      <c r="V10" s="69">
        <f>U10</f>
        <v>5024.561693705763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-8.9887642267389989E-3</v>
      </c>
      <c r="F11" s="42">
        <f t="shared" si="9"/>
        <v>-5.2154196075709258E-2</v>
      </c>
      <c r="G11" s="42">
        <f t="shared" si="9"/>
        <v>9.5693781964698577E-3</v>
      </c>
      <c r="H11" s="42">
        <f t="shared" si="9"/>
        <v>1.9135516995781199E-2</v>
      </c>
      <c r="I11" s="42">
        <f t="shared" si="9"/>
        <v>2.331001761903595E-3</v>
      </c>
      <c r="J11" s="42">
        <f t="shared" si="9"/>
        <v>-9.4592811038224367E-3</v>
      </c>
      <c r="K11" s="57">
        <f t="shared" si="9"/>
        <v>9.2037470725995219E-2</v>
      </c>
      <c r="L11" s="66">
        <f>AVERAGE(E11:K11)</f>
        <v>7.4958751819827396E-3</v>
      </c>
      <c r="M11" s="66">
        <f t="shared" ref="L11:U11" si="10">L11</f>
        <v>7.4958751819827396E-3</v>
      </c>
      <c r="N11" s="66">
        <f t="shared" si="10"/>
        <v>7.4958751819827396E-3</v>
      </c>
      <c r="O11" s="66">
        <f t="shared" si="10"/>
        <v>7.4958751819827396E-3</v>
      </c>
      <c r="P11" s="66">
        <f t="shared" si="10"/>
        <v>7.4958751819827396E-3</v>
      </c>
      <c r="Q11" s="66">
        <f t="shared" si="10"/>
        <v>7.4958751819827396E-3</v>
      </c>
      <c r="R11" s="66">
        <f t="shared" si="10"/>
        <v>7.4958751819827396E-3</v>
      </c>
      <c r="S11" s="66">
        <f t="shared" si="10"/>
        <v>7.4958751819827396E-3</v>
      </c>
      <c r="T11" s="66">
        <f t="shared" si="10"/>
        <v>7.4958751819827396E-3</v>
      </c>
      <c r="U11" s="66">
        <f t="shared" si="10"/>
        <v>7.4958751819827396E-3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1.1044944043605609</v>
      </c>
      <c r="E13" s="52">
        <f t="shared" si="11"/>
        <v>1.6875283791105564</v>
      </c>
      <c r="F13" s="52">
        <f t="shared" si="11"/>
        <v>2.2514354551744473</v>
      </c>
      <c r="G13" s="52">
        <f t="shared" si="11"/>
        <v>2.5438389168117301</v>
      </c>
      <c r="H13" s="52">
        <f t="shared" si="11"/>
        <v>3.0492343293310586</v>
      </c>
      <c r="I13" s="52">
        <f t="shared" si="11"/>
        <v>3.5501721690836305</v>
      </c>
      <c r="J13" s="52">
        <f t="shared" si="11"/>
        <v>4.0681498829039811</v>
      </c>
      <c r="K13" s="58">
        <f t="shared" si="11"/>
        <v>4.0006433626420757</v>
      </c>
      <c r="L13" s="52">
        <f t="shared" ref="L13:U13" si="12">L7/L10</f>
        <v>6.4186770712781813</v>
      </c>
      <c r="M13" s="52">
        <f t="shared" si="12"/>
        <v>7.3265596552805734</v>
      </c>
      <c r="N13" s="52">
        <f t="shared" si="12"/>
        <v>8.3628566737811845</v>
      </c>
      <c r="O13" s="52">
        <f t="shared" si="12"/>
        <v>9.5457315625348897</v>
      </c>
      <c r="P13" s="52">
        <f t="shared" si="12"/>
        <v>10.895916864108504</v>
      </c>
      <c r="Q13" s="52">
        <f t="shared" si="12"/>
        <v>12.437077612314241</v>
      </c>
      <c r="R13" s="52">
        <f t="shared" si="12"/>
        <v>14.196226115147029</v>
      </c>
      <c r="S13" s="52">
        <f t="shared" si="12"/>
        <v>16.20419540622953</v>
      </c>
      <c r="T13" s="52">
        <f t="shared" si="12"/>
        <v>18.496179663066087</v>
      </c>
      <c r="U13" s="52">
        <f t="shared" si="12"/>
        <v>21.112351064150921</v>
      </c>
      <c r="V13" s="70">
        <f>U13*(1+WACC!$B$13)/(WACC!$B$14-WACC!$B$13)</f>
        <v>318.56893849361529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5.9017003844886355</v>
      </c>
      <c r="M14" s="61">
        <f>M13/((1+WACC!$B$14)^(M3-$K$3))</f>
        <v>6.1938880605857163</v>
      </c>
      <c r="N14" s="61">
        <f>N13/((1+WACC!$B$14)^(N3-$K$3))</f>
        <v>6.5005416757344312</v>
      </c>
      <c r="O14" s="61">
        <f>O13/((1+WACC!$B$14)^(O3-$K$3))</f>
        <v>6.8223774250715525</v>
      </c>
      <c r="P14" s="61">
        <f>P13/((1+WACC!$B$14)^(P3-$K$3))</f>
        <v>7.1601469618864186</v>
      </c>
      <c r="Q14" s="61">
        <f>Q13/((1+WACC!$B$14)^(Q3-$K$3))</f>
        <v>7.5146391531209709</v>
      </c>
      <c r="R14" s="61">
        <f>R13/((1+WACC!$B$14)^(R3-$K$3))</f>
        <v>7.8866819217829383</v>
      </c>
      <c r="S14" s="61">
        <f>S13/((1+WACC!$B$14)^(S3-$K$3))</f>
        <v>8.2771441805752044</v>
      </c>
      <c r="T14" s="61">
        <f>T13/((1+WACC!$B$14)^(T3-$K$3))</f>
        <v>8.686937861257336</v>
      </c>
      <c r="U14" s="61">
        <f>U13/((1+WACC!$B$14)^(U3-$K$3))</f>
        <v>9.1170200444789185</v>
      </c>
      <c r="V14" s="62">
        <f>V13/((1+WACC!$B$14)^(U3-$K$3))</f>
        <v>137.56873353277905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137.56873353277905</v>
      </c>
      <c r="L17" s="16">
        <f>C17/$C$19</f>
        <v>0.65004421046156569</v>
      </c>
      <c r="O17" s="18"/>
    </row>
    <row r="18" spans="2:22" x14ac:dyDescent="0.25">
      <c r="B18" s="8" t="s">
        <v>26</v>
      </c>
      <c r="C18" s="32">
        <f>SUM(14:14)-V14</f>
        <v>74.061077668982136</v>
      </c>
      <c r="K18" s="3"/>
      <c r="L18" s="16">
        <f>C18/$C$19</f>
        <v>0.34995578953843437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211.62981120176119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2.1342483379798414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14.325112588462364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199.43894695127867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0.51133942980096836</v>
      </c>
    </row>
    <row r="3" spans="1:6" x14ac:dyDescent="0.25">
      <c r="A3" s="72" t="s">
        <v>34</v>
      </c>
      <c r="B3">
        <v>46815000000</v>
      </c>
      <c r="C3">
        <v>18655000000</v>
      </c>
      <c r="D3">
        <v>4663000000</v>
      </c>
      <c r="E3">
        <v>9952000000</v>
      </c>
      <c r="F3">
        <v>0.4622153445245607</v>
      </c>
    </row>
    <row r="4" spans="1:6" x14ac:dyDescent="0.25">
      <c r="A4" s="72" t="s">
        <v>35</v>
      </c>
      <c r="B4">
        <v>42619000000</v>
      </c>
      <c r="C4">
        <v>18461000000</v>
      </c>
      <c r="D4">
        <v>4800000000</v>
      </c>
      <c r="E4">
        <v>9809000000</v>
      </c>
      <c r="F4">
        <v>0.38060407236917437</v>
      </c>
    </row>
    <row r="5" spans="1:6" x14ac:dyDescent="0.25">
      <c r="A5" s="72" t="s">
        <v>36</v>
      </c>
      <c r="B5">
        <v>38865000000</v>
      </c>
      <c r="C5">
        <v>18393000000</v>
      </c>
      <c r="D5">
        <v>4670000000</v>
      </c>
      <c r="E5">
        <v>11864000000</v>
      </c>
      <c r="F5">
        <v>0.32299781682557488</v>
      </c>
    </row>
    <row r="6" spans="1:6" x14ac:dyDescent="0.25">
      <c r="A6" s="72" t="s">
        <v>37</v>
      </c>
      <c r="B6">
        <v>35819000000</v>
      </c>
      <c r="C6">
        <v>17633000000</v>
      </c>
      <c r="D6">
        <v>4270000000</v>
      </c>
      <c r="E6">
        <v>14189000000</v>
      </c>
      <c r="F6">
        <v>5.3867861142217199E-2</v>
      </c>
    </row>
    <row r="7" spans="1:6" x14ac:dyDescent="0.25">
      <c r="A7" s="72" t="s">
        <v>38</v>
      </c>
      <c r="B7">
        <v>35454000000</v>
      </c>
      <c r="C7">
        <v>17371000000</v>
      </c>
      <c r="D7">
        <v>4270000000</v>
      </c>
      <c r="E7">
        <v>12055000000</v>
      </c>
      <c r="F7">
        <v>9.584711720226835E-2</v>
      </c>
    </row>
    <row r="8" spans="1:6" x14ac:dyDescent="0.25">
      <c r="A8" s="72" t="s">
        <v>39</v>
      </c>
      <c r="B8">
        <v>35042000000</v>
      </c>
      <c r="C8">
        <v>17082000000</v>
      </c>
      <c r="D8">
        <v>4270000000</v>
      </c>
      <c r="E8">
        <v>11553000000</v>
      </c>
      <c r="F8">
        <v>7.4620510921880712E-2</v>
      </c>
    </row>
    <row r="9" spans="1:6" x14ac:dyDescent="0.25">
      <c r="A9" s="72" t="s">
        <v>40</v>
      </c>
      <c r="B9">
        <v>34412000000</v>
      </c>
      <c r="C9">
        <v>16860000000</v>
      </c>
      <c r="D9">
        <v>4290000000</v>
      </c>
      <c r="E9">
        <v>12647000000</v>
      </c>
      <c r="F9">
        <v>0.15511549441993239</v>
      </c>
    </row>
    <row r="10" spans="1:6" x14ac:dyDescent="0.25">
      <c r="A10" s="72" t="s">
        <v>41</v>
      </c>
      <c r="B10">
        <v>33203000000</v>
      </c>
      <c r="C10">
        <v>16312000000</v>
      </c>
      <c r="D10">
        <v>4290000000</v>
      </c>
      <c r="E10">
        <v>12416000000</v>
      </c>
      <c r="F10">
        <v>0.20190900499527481</v>
      </c>
    </row>
    <row r="11" spans="1:6" x14ac:dyDescent="0.25">
      <c r="A11" s="72" t="s">
        <v>42</v>
      </c>
      <c r="B11">
        <v>31680000000</v>
      </c>
      <c r="C11">
        <v>15304000000</v>
      </c>
      <c r="D11">
        <v>4310776850</v>
      </c>
      <c r="E11">
        <v>9977000000</v>
      </c>
    </row>
    <row r="12" spans="1:6" x14ac:dyDescent="0.25">
      <c r="A12" s="72" t="s">
        <v>43</v>
      </c>
      <c r="B12">
        <v>29994000000</v>
      </c>
      <c r="C12">
        <v>14422000000</v>
      </c>
      <c r="D12">
        <v>4250626480</v>
      </c>
      <c r="E12">
        <v>9005000000</v>
      </c>
    </row>
    <row r="13" spans="1:6" x14ac:dyDescent="0.25">
      <c r="A13" s="72" t="s">
        <v>44</v>
      </c>
      <c r="B13">
        <v>28501000000</v>
      </c>
      <c r="C13">
        <v>13707000000</v>
      </c>
      <c r="D13">
        <v>4290000000</v>
      </c>
      <c r="E13">
        <v>10219000000</v>
      </c>
      <c r="F13">
        <v>0.18638166791885791</v>
      </c>
    </row>
    <row r="14" spans="1:6" x14ac:dyDescent="0.25">
      <c r="A14" s="72" t="s">
        <v>45</v>
      </c>
      <c r="B14">
        <v>27450000000</v>
      </c>
      <c r="C14">
        <v>13321000000</v>
      </c>
      <c r="D14">
        <v>4310776850</v>
      </c>
      <c r="E14">
        <v>12163000000</v>
      </c>
      <c r="F14">
        <v>0.17202876140405141</v>
      </c>
    </row>
    <row r="15" spans="1:6" x14ac:dyDescent="0.25">
      <c r="A15" s="72" t="s">
        <v>46</v>
      </c>
      <c r="B15">
        <v>26510000000</v>
      </c>
      <c r="C15">
        <v>13114000000</v>
      </c>
      <c r="D15">
        <v>4300751790</v>
      </c>
      <c r="E15">
        <v>11105000000</v>
      </c>
      <c r="F15">
        <v>0.1043439311114929</v>
      </c>
    </row>
    <row r="16" spans="1:6" x14ac:dyDescent="0.25">
      <c r="A16" s="72" t="s">
        <v>47</v>
      </c>
      <c r="B16">
        <v>25553000000</v>
      </c>
      <c r="C16">
        <v>12761000000</v>
      </c>
      <c r="D16">
        <v>4300751790</v>
      </c>
      <c r="E16">
        <v>9518000000</v>
      </c>
      <c r="F16">
        <v>0.1328648554510623</v>
      </c>
    </row>
    <row r="17" spans="1:6" x14ac:dyDescent="0.25">
      <c r="A17" s="72" t="s">
        <v>48</v>
      </c>
      <c r="B17">
        <v>24685000000</v>
      </c>
      <c r="C17">
        <v>12383000000</v>
      </c>
      <c r="D17">
        <v>4290726730</v>
      </c>
      <c r="E17">
        <v>9552000000</v>
      </c>
      <c r="F17">
        <v>0.12739431785592359</v>
      </c>
    </row>
    <row r="18" spans="1:6" x14ac:dyDescent="0.25">
      <c r="A18" s="72" t="s">
        <v>49</v>
      </c>
      <c r="B18">
        <v>23888000000</v>
      </c>
      <c r="C18">
        <v>11598000000</v>
      </c>
      <c r="D18">
        <v>4270676600</v>
      </c>
      <c r="E18">
        <v>7618000000</v>
      </c>
      <c r="F18">
        <v>6.4914059729916929E-2</v>
      </c>
    </row>
    <row r="19" spans="1:6" x14ac:dyDescent="0.25">
      <c r="A19" s="72" t="s">
        <v>50</v>
      </c>
      <c r="B19">
        <v>23197000000</v>
      </c>
      <c r="C19">
        <v>10735000000</v>
      </c>
      <c r="D19">
        <v>4219999910</v>
      </c>
      <c r="E19">
        <v>8857000000</v>
      </c>
      <c r="F19">
        <v>2.4211409791477841E-2</v>
      </c>
    </row>
    <row r="20" spans="1:6" x14ac:dyDescent="0.25">
      <c r="A20" s="72" t="s">
        <v>51</v>
      </c>
      <c r="B20">
        <v>22891000000</v>
      </c>
      <c r="C20">
        <v>9969000000</v>
      </c>
      <c r="D20">
        <v>4169999910</v>
      </c>
      <c r="E20">
        <v>9207000000</v>
      </c>
      <c r="F20">
        <v>4.0783034257748867E-2</v>
      </c>
    </row>
    <row r="21" spans="1:6" x14ac:dyDescent="0.25">
      <c r="A21" s="72" t="s">
        <v>52</v>
      </c>
      <c r="B21">
        <v>22666000000</v>
      </c>
      <c r="C21">
        <v>9446000000</v>
      </c>
      <c r="D21">
        <v>4199999910</v>
      </c>
      <c r="E21">
        <v>6444000000</v>
      </c>
      <c r="F21">
        <v>2.7338877353601632E-2</v>
      </c>
    </row>
    <row r="22" spans="1:6" x14ac:dyDescent="0.25">
      <c r="A22" s="72" t="s">
        <v>53</v>
      </c>
      <c r="B22">
        <v>22597000000</v>
      </c>
      <c r="C22">
        <v>9265000000</v>
      </c>
      <c r="D22">
        <v>4159999910</v>
      </c>
      <c r="E22">
        <v>5055000000</v>
      </c>
      <c r="F22">
        <v>5.3110844048493748E-2</v>
      </c>
    </row>
    <row r="23" spans="1:6" x14ac:dyDescent="0.25">
      <c r="A23" s="72" t="s">
        <v>54</v>
      </c>
      <c r="B23">
        <v>22265000000</v>
      </c>
      <c r="C23">
        <v>9411000000</v>
      </c>
      <c r="D23">
        <v>4179999910</v>
      </c>
      <c r="E23">
        <v>5462000000</v>
      </c>
      <c r="F23">
        <v>8.2942138257949827E-2</v>
      </c>
    </row>
    <row r="24" spans="1:6" x14ac:dyDescent="0.25">
      <c r="A24" s="72" t="s">
        <v>55</v>
      </c>
      <c r="B24">
        <v>21813000000</v>
      </c>
      <c r="C24">
        <v>9231000000</v>
      </c>
      <c r="D24">
        <v>4219999910</v>
      </c>
      <c r="E24">
        <v>5328000000</v>
      </c>
      <c r="F24">
        <v>8.9759422018348634E-2</v>
      </c>
    </row>
    <row r="25" spans="1:6" x14ac:dyDescent="0.25">
      <c r="A25" s="72" t="s">
        <v>56</v>
      </c>
      <c r="B25">
        <v>21310000000</v>
      </c>
      <c r="C25">
        <v>8813000000</v>
      </c>
      <c r="D25">
        <v>4189999910</v>
      </c>
      <c r="E25">
        <v>5093000000</v>
      </c>
      <c r="F25">
        <v>2.4069798948751719E-2</v>
      </c>
    </row>
    <row r="26" spans="1:6" x14ac:dyDescent="0.25">
      <c r="A26" s="72" t="s">
        <v>57</v>
      </c>
      <c r="B26">
        <v>20848000000</v>
      </c>
      <c r="C26">
        <v>8245000000</v>
      </c>
      <c r="D26">
        <v>4229999910</v>
      </c>
      <c r="E26">
        <v>4292000000</v>
      </c>
      <c r="F26">
        <v>7.1993901940545113E-2</v>
      </c>
    </row>
    <row r="27" spans="1:6" x14ac:dyDescent="0.25">
      <c r="A27" s="72" t="s">
        <v>58</v>
      </c>
      <c r="B27">
        <v>20248000000</v>
      </c>
      <c r="C27">
        <v>7442000000</v>
      </c>
      <c r="D27">
        <v>4409999910</v>
      </c>
      <c r="E27">
        <v>4136000000</v>
      </c>
      <c r="F27">
        <v>0.10026887743670181</v>
      </c>
    </row>
    <row r="28" spans="1:6" x14ac:dyDescent="0.25">
      <c r="A28" s="72" t="s">
        <v>59</v>
      </c>
      <c r="B28">
        <v>19648000000</v>
      </c>
      <c r="C28">
        <v>6716000000</v>
      </c>
      <c r="D28">
        <v>4479999910</v>
      </c>
      <c r="E28">
        <v>8187000000</v>
      </c>
      <c r="F28">
        <v>0.16649084439140821</v>
      </c>
    </row>
    <row r="29" spans="1:6" x14ac:dyDescent="0.25">
      <c r="A29" s="72" t="s">
        <v>60</v>
      </c>
      <c r="B29">
        <v>18824000000</v>
      </c>
      <c r="C29">
        <v>5919000000</v>
      </c>
      <c r="D29">
        <v>4259999910</v>
      </c>
      <c r="E29">
        <v>7076000000</v>
      </c>
      <c r="F29">
        <v>0.26918588934525262</v>
      </c>
    </row>
    <row r="30" spans="1:6" x14ac:dyDescent="0.25">
      <c r="A30" s="72" t="s">
        <v>61</v>
      </c>
      <c r="B30">
        <v>17636000000</v>
      </c>
      <c r="C30">
        <v>5482000000</v>
      </c>
      <c r="D30">
        <v>4239999910</v>
      </c>
      <c r="E30">
        <v>11204000000</v>
      </c>
      <c r="F30">
        <v>0.1530421421663444</v>
      </c>
    </row>
    <row r="31" spans="1:6" x14ac:dyDescent="0.25">
      <c r="A31" s="72" t="s">
        <v>62</v>
      </c>
      <c r="B31">
        <v>16928000000</v>
      </c>
      <c r="C31">
        <v>4915000000</v>
      </c>
      <c r="D31">
        <v>4449999910</v>
      </c>
      <c r="E31">
        <v>5449000000</v>
      </c>
      <c r="F31">
        <v>0.15650815084388189</v>
      </c>
    </row>
    <row r="32" spans="1:6" x14ac:dyDescent="0.25">
      <c r="A32" s="72" t="s">
        <v>63</v>
      </c>
      <c r="B32">
        <v>16257000000</v>
      </c>
      <c r="C32">
        <v>4245000000</v>
      </c>
      <c r="D32">
        <v>4419999910</v>
      </c>
      <c r="E32">
        <v>4454000000</v>
      </c>
      <c r="F32">
        <v>0.11904627421632299</v>
      </c>
    </row>
    <row r="33" spans="1:6" x14ac:dyDescent="0.25">
      <c r="A33" s="72" t="s">
        <v>64</v>
      </c>
      <c r="B33">
        <v>15608000000</v>
      </c>
      <c r="C33">
        <v>3382000000</v>
      </c>
      <c r="D33">
        <v>4389999910</v>
      </c>
      <c r="E33">
        <v>3536000000</v>
      </c>
      <c r="F33">
        <v>1.23636071541502</v>
      </c>
    </row>
    <row r="34" spans="1:6" x14ac:dyDescent="0.25">
      <c r="A34" s="72" t="s">
        <v>65</v>
      </c>
      <c r="B34">
        <v>13240000000</v>
      </c>
      <c r="C34">
        <v>2688000000</v>
      </c>
      <c r="D34">
        <v>4209999910</v>
      </c>
      <c r="E34">
        <v>3097000000</v>
      </c>
      <c r="F34">
        <v>1.1879727293478259</v>
      </c>
    </row>
    <row r="35" spans="1:6" x14ac:dyDescent="0.25">
      <c r="A35" s="72" t="s">
        <v>66</v>
      </c>
      <c r="B35">
        <v>10944000000</v>
      </c>
      <c r="C35">
        <v>2005000000</v>
      </c>
      <c r="D35">
        <v>4189999910</v>
      </c>
      <c r="E35">
        <v>1961000000</v>
      </c>
      <c r="F35">
        <v>1.082646284726225</v>
      </c>
    </row>
    <row r="36" spans="1:6" x14ac:dyDescent="0.25">
      <c r="A36" s="72" t="s">
        <v>67</v>
      </c>
      <c r="B36">
        <v>8887000000</v>
      </c>
      <c r="C36">
        <v>1718000000</v>
      </c>
      <c r="D36">
        <v>4149999910</v>
      </c>
      <c r="E36">
        <v>2041000000</v>
      </c>
      <c r="F36">
        <v>1.055655347583643</v>
      </c>
    </row>
    <row r="37" spans="1:6" x14ac:dyDescent="0.25">
      <c r="A37" s="72" t="s">
        <v>68</v>
      </c>
      <c r="B37">
        <v>6960000000</v>
      </c>
      <c r="C37">
        <v>1740000000</v>
      </c>
      <c r="D37">
        <v>2889999940</v>
      </c>
      <c r="E37">
        <v>2169000000</v>
      </c>
      <c r="F37">
        <v>3.1376146177370057E-2</v>
      </c>
    </row>
    <row r="38" spans="1:6" x14ac:dyDescent="0.25">
      <c r="A38" s="72" t="s">
        <v>69</v>
      </c>
      <c r="B38">
        <v>6824000000</v>
      </c>
      <c r="C38">
        <v>1725000000</v>
      </c>
      <c r="D38">
        <v>2869999940</v>
      </c>
      <c r="E38">
        <v>1822000000</v>
      </c>
      <c r="F38">
        <v>9.4022514465408769E-2</v>
      </c>
    </row>
    <row r="39" spans="1:6" x14ac:dyDescent="0.25">
      <c r="A39" s="72" t="s">
        <v>70</v>
      </c>
      <c r="B39">
        <v>6574000000</v>
      </c>
      <c r="C39">
        <v>1441000000</v>
      </c>
      <c r="D39">
        <v>2869999940</v>
      </c>
      <c r="E39">
        <v>1354000000</v>
      </c>
      <c r="F39">
        <v>0.30332957683215128</v>
      </c>
    </row>
    <row r="40" spans="1:6" x14ac:dyDescent="0.25">
      <c r="A40" s="72" t="s">
        <v>71</v>
      </c>
      <c r="B40">
        <v>6108000000</v>
      </c>
      <c r="C40">
        <v>1216000000</v>
      </c>
      <c r="D40">
        <v>2839999940</v>
      </c>
      <c r="E40">
        <v>2508000000</v>
      </c>
      <c r="F40">
        <v>1.1649668915834519</v>
      </c>
    </row>
    <row r="41" spans="1:6" x14ac:dyDescent="0.25">
      <c r="A41" s="72" t="s">
        <v>72</v>
      </c>
      <c r="B41">
        <v>5195000000</v>
      </c>
      <c r="C41">
        <v>908000000</v>
      </c>
      <c r="D41">
        <v>2779999940</v>
      </c>
      <c r="E41">
        <v>2569000000</v>
      </c>
      <c r="F41">
        <v>1.127760894217207</v>
      </c>
    </row>
    <row r="42" spans="1:6" x14ac:dyDescent="0.25">
      <c r="A42" s="72" t="s">
        <v>73</v>
      </c>
      <c r="B42">
        <v>4269000000</v>
      </c>
      <c r="C42">
        <v>766000000</v>
      </c>
      <c r="D42">
        <v>2719999940</v>
      </c>
      <c r="E42">
        <v>1604000000</v>
      </c>
      <c r="F42">
        <v>0.77202097425474259</v>
      </c>
    </row>
    <row r="43" spans="1:6" x14ac:dyDescent="0.25">
      <c r="A43" s="72" t="s">
        <v>74</v>
      </c>
      <c r="B43">
        <v>3417000000</v>
      </c>
      <c r="C43">
        <v>729000000</v>
      </c>
      <c r="D43">
        <v>2519999940</v>
      </c>
      <c r="E43">
        <v>1277000000</v>
      </c>
      <c r="F43">
        <v>0.59870502639751555</v>
      </c>
    </row>
    <row r="44" spans="1:6" x14ac:dyDescent="0.25">
      <c r="A44" s="72" t="s">
        <v>75</v>
      </c>
      <c r="B44">
        <v>2792000000</v>
      </c>
      <c r="C44">
        <v>582000000</v>
      </c>
      <c r="D44">
        <v>2579999940</v>
      </c>
      <c r="E44">
        <v>1278000000</v>
      </c>
      <c r="F44">
        <v>9.9620715302491059E-2</v>
      </c>
    </row>
    <row r="45" spans="1:6" x14ac:dyDescent="0.25">
      <c r="A45" s="72" t="s">
        <v>76</v>
      </c>
      <c r="B45">
        <v>2653000000</v>
      </c>
      <c r="C45">
        <v>548000000</v>
      </c>
      <c r="D45">
        <v>2549999940</v>
      </c>
      <c r="E45">
        <v>1112000000</v>
      </c>
      <c r="F45">
        <v>0.13621794791666669</v>
      </c>
    </row>
    <row r="46" spans="1:6" x14ac:dyDescent="0.25">
      <c r="A46" s="72" t="s">
        <v>77</v>
      </c>
      <c r="B46">
        <v>2520000000</v>
      </c>
      <c r="C46">
        <v>489000000</v>
      </c>
      <c r="D46">
        <v>2529999940</v>
      </c>
      <c r="E46">
        <v>985000000</v>
      </c>
      <c r="F46">
        <v>9.2233009708737823E-2</v>
      </c>
    </row>
    <row r="47" spans="1:6" x14ac:dyDescent="0.25">
      <c r="A47" s="72" t="s">
        <v>78</v>
      </c>
      <c r="B47">
        <v>2400000000</v>
      </c>
      <c r="C47">
        <v>476000000</v>
      </c>
      <c r="D47">
        <v>2519999940</v>
      </c>
      <c r="E47">
        <v>863000000</v>
      </c>
    </row>
    <row r="48" spans="1:6" x14ac:dyDescent="0.25">
      <c r="A48" s="72" t="s">
        <v>79</v>
      </c>
      <c r="B48">
        <v>2362000000</v>
      </c>
      <c r="C48">
        <v>467000000</v>
      </c>
      <c r="D48">
        <v>2509999940</v>
      </c>
      <c r="E48">
        <v>1219000000</v>
      </c>
    </row>
    <row r="49" spans="1:5" x14ac:dyDescent="0.25">
      <c r="A49" s="72" t="s">
        <v>80</v>
      </c>
      <c r="B49">
        <v>2377000000</v>
      </c>
      <c r="C49">
        <v>478000000</v>
      </c>
      <c r="D49">
        <v>2509999940</v>
      </c>
      <c r="E49">
        <v>1151000000</v>
      </c>
    </row>
    <row r="50" spans="1:5" x14ac:dyDescent="0.25">
      <c r="A50" s="72" t="s">
        <v>81</v>
      </c>
      <c r="B50">
        <v>2364000000</v>
      </c>
      <c r="C50">
        <v>452000000</v>
      </c>
      <c r="D50">
        <v>2510000000</v>
      </c>
      <c r="E50">
        <v>1084000000</v>
      </c>
    </row>
    <row r="51" spans="1:5" x14ac:dyDescent="0.25">
      <c r="A51" s="72" t="s">
        <v>82</v>
      </c>
      <c r="B51">
        <v>2369000000</v>
      </c>
      <c r="C51">
        <v>468000000</v>
      </c>
      <c r="D51">
        <v>2499999950</v>
      </c>
      <c r="E51">
        <v>973000000</v>
      </c>
    </row>
    <row r="52" spans="1:5" x14ac:dyDescent="0.25">
      <c r="A52" s="72" t="s">
        <v>83</v>
      </c>
      <c r="B52">
        <v>2366000000</v>
      </c>
      <c r="C52">
        <v>594000000</v>
      </c>
      <c r="D52">
        <v>2499999950</v>
      </c>
      <c r="E52">
        <v>954000000</v>
      </c>
    </row>
    <row r="53" spans="1:5" x14ac:dyDescent="0.25">
      <c r="A53" s="72" t="s">
        <v>84</v>
      </c>
      <c r="B53">
        <v>2349000000</v>
      </c>
      <c r="C53">
        <v>671000000</v>
      </c>
      <c r="D53">
        <v>2499999950</v>
      </c>
      <c r="E53">
        <v>819000000</v>
      </c>
    </row>
    <row r="54" spans="1:5" x14ac:dyDescent="0.25">
      <c r="A54" s="72" t="s">
        <v>85</v>
      </c>
      <c r="B54">
        <v>2336000000</v>
      </c>
      <c r="C54">
        <v>614000000</v>
      </c>
      <c r="D54">
        <v>2500000000</v>
      </c>
      <c r="E54">
        <v>829000000</v>
      </c>
    </row>
    <row r="55" spans="1:5" x14ac:dyDescent="0.25">
      <c r="A55" s="72" t="s">
        <v>86</v>
      </c>
      <c r="B55">
        <v>2285000000</v>
      </c>
      <c r="C55">
        <v>643000000</v>
      </c>
      <c r="D55">
        <v>2529999940</v>
      </c>
      <c r="E55">
        <v>704000000</v>
      </c>
    </row>
    <row r="56" spans="1:5" x14ac:dyDescent="0.25">
      <c r="A56" s="72" t="s">
        <v>87</v>
      </c>
      <c r="B56">
        <v>2232000000</v>
      </c>
      <c r="C56">
        <v>569000000</v>
      </c>
      <c r="D56">
        <v>2519999940</v>
      </c>
      <c r="E56">
        <v>596000000</v>
      </c>
    </row>
    <row r="57" spans="1:5" x14ac:dyDescent="0.25">
      <c r="A57" s="72" t="s">
        <v>88</v>
      </c>
      <c r="B57">
        <v>2187000000</v>
      </c>
      <c r="C57">
        <v>434000000</v>
      </c>
      <c r="D57">
        <v>2499999950</v>
      </c>
      <c r="E57">
        <v>363000000</v>
      </c>
    </row>
    <row r="58" spans="1:5" x14ac:dyDescent="0.25">
      <c r="A58" s="72" t="s">
        <v>89</v>
      </c>
      <c r="B58">
        <v>2093000000</v>
      </c>
      <c r="C58">
        <v>431000000</v>
      </c>
      <c r="D58">
        <v>2500000000</v>
      </c>
      <c r="E58">
        <v>561000000</v>
      </c>
    </row>
    <row r="59" spans="1:5" x14ac:dyDescent="0.25">
      <c r="A59" s="72" t="s">
        <v>90</v>
      </c>
      <c r="B59">
        <v>1949000000</v>
      </c>
      <c r="C59">
        <v>269000000</v>
      </c>
      <c r="D59">
        <v>2469999950</v>
      </c>
      <c r="E59">
        <v>367000000</v>
      </c>
    </row>
    <row r="60" spans="1:5" x14ac:dyDescent="0.25">
      <c r="A60" s="72" t="s">
        <v>91</v>
      </c>
      <c r="B60">
        <v>1762000000</v>
      </c>
      <c r="C60">
        <v>173000000</v>
      </c>
      <c r="D60">
        <v>2459999950</v>
      </c>
      <c r="E60">
        <v>256000000</v>
      </c>
    </row>
    <row r="61" spans="1:5" x14ac:dyDescent="0.25">
      <c r="A61" s="72" t="s">
        <v>92</v>
      </c>
      <c r="B61">
        <v>1572000000</v>
      </c>
      <c r="C61">
        <v>129000000</v>
      </c>
      <c r="D61">
        <v>2439999950</v>
      </c>
      <c r="E61">
        <v>144000000</v>
      </c>
    </row>
    <row r="62" spans="1:5" x14ac:dyDescent="0.25">
      <c r="A62" s="72" t="s">
        <v>93</v>
      </c>
      <c r="B62">
        <v>1484000000</v>
      </c>
      <c r="C62">
        <v>81000000</v>
      </c>
      <c r="D62">
        <v>2440000000</v>
      </c>
      <c r="E62">
        <v>472000000</v>
      </c>
    </row>
    <row r="63" spans="1:5" x14ac:dyDescent="0.25">
      <c r="A63" s="72" t="s">
        <v>94</v>
      </c>
      <c r="B63">
        <v>1503000000</v>
      </c>
      <c r="C63">
        <v>152000000</v>
      </c>
      <c r="D63">
        <v>2179999950</v>
      </c>
      <c r="E63">
        <v>254000000</v>
      </c>
    </row>
    <row r="64" spans="1:5" x14ac:dyDescent="0.25">
      <c r="A64" s="72" t="s">
        <v>95</v>
      </c>
      <c r="B64">
        <v>1579000000</v>
      </c>
      <c r="C64">
        <v>174000000</v>
      </c>
      <c r="D64">
        <v>2139999950</v>
      </c>
      <c r="E64">
        <v>241000000</v>
      </c>
    </row>
    <row r="65" spans="1:5" x14ac:dyDescent="0.25">
      <c r="A65" s="72" t="s">
        <v>96</v>
      </c>
      <c r="D65">
        <v>2189999950</v>
      </c>
    </row>
    <row r="66" spans="1:5" x14ac:dyDescent="0.25">
      <c r="A66" s="72" t="s">
        <v>97</v>
      </c>
      <c r="D66">
        <v>2190000000</v>
      </c>
      <c r="E66">
        <v>213000000</v>
      </c>
    </row>
    <row r="67" spans="1:5" x14ac:dyDescent="0.25">
      <c r="A67" s="72" t="s">
        <v>98</v>
      </c>
      <c r="D67">
        <v>2189999950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99</v>
      </c>
      <c r="B1" s="27" t="s">
        <v>100</v>
      </c>
      <c r="C1" t="s">
        <v>101</v>
      </c>
      <c r="D1" t="s">
        <v>102</v>
      </c>
      <c r="F1" s="27" t="s">
        <v>100</v>
      </c>
      <c r="G1" t="s">
        <v>101</v>
      </c>
      <c r="H1" t="s">
        <v>102</v>
      </c>
      <c r="J1" t="s">
        <v>103</v>
      </c>
      <c r="K1" t="s">
        <v>101</v>
      </c>
      <c r="L1" t="s">
        <v>102</v>
      </c>
      <c r="N1" t="s">
        <v>104</v>
      </c>
      <c r="O1" t="s">
        <v>101</v>
      </c>
      <c r="P1" t="s">
        <v>102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105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106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107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108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109</v>
      </c>
    </row>
    <row r="7" spans="1:46" x14ac:dyDescent="0.25">
      <c r="A7" s="27" t="s">
        <v>110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111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112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113</v>
      </c>
    </row>
    <row r="10" spans="1:46" x14ac:dyDescent="0.25">
      <c r="A10" s="27" t="s">
        <v>114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115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116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117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118</v>
      </c>
    </row>
    <row r="15" spans="1:46" x14ac:dyDescent="0.25">
      <c r="A15" s="27" t="s">
        <v>119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120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121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122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123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124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125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126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127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128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129</v>
      </c>
      <c r="J26">
        <v>0.61799999999999999</v>
      </c>
      <c r="N26">
        <v>-0.36399999999999999</v>
      </c>
    </row>
    <row r="27" spans="1:17" x14ac:dyDescent="0.25">
      <c r="A27" s="27" t="s">
        <v>130</v>
      </c>
    </row>
    <row r="28" spans="1:17" x14ac:dyDescent="0.25">
      <c r="A28" s="27" t="s">
        <v>131</v>
      </c>
    </row>
    <row r="29" spans="1:17" x14ac:dyDescent="0.25">
      <c r="A29" s="27" t="s">
        <v>60</v>
      </c>
    </row>
    <row r="31" spans="1:17" x14ac:dyDescent="0.25">
      <c r="A31" s="26" t="s">
        <v>132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133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134</v>
      </c>
      <c r="C1" s="72" t="s">
        <v>135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136</v>
      </c>
      <c r="D2">
        <v>1.354592510060953</v>
      </c>
      <c r="E2">
        <v>0.13456262333424179</v>
      </c>
    </row>
    <row r="3" spans="1:5" x14ac:dyDescent="0.25">
      <c r="A3" s="72">
        <v>1</v>
      </c>
      <c r="B3">
        <v>3</v>
      </c>
      <c r="C3" t="s">
        <v>137</v>
      </c>
      <c r="D3">
        <v>1.59646218773814</v>
      </c>
      <c r="E3">
        <v>0.15131693601765969</v>
      </c>
    </row>
    <row r="4" spans="1:5" x14ac:dyDescent="0.25">
      <c r="A4" s="72">
        <v>2</v>
      </c>
      <c r="B4">
        <v>3</v>
      </c>
      <c r="C4" t="s">
        <v>138</v>
      </c>
      <c r="D4">
        <v>1.517682702491248</v>
      </c>
      <c r="E4">
        <v>0.14585988103854511</v>
      </c>
    </row>
    <row r="5" spans="1:5" x14ac:dyDescent="0.25">
      <c r="A5" s="72">
        <v>3</v>
      </c>
      <c r="B5">
        <v>5</v>
      </c>
      <c r="C5" t="s">
        <v>136</v>
      </c>
      <c r="D5">
        <v>1.1832609146654409</v>
      </c>
      <c r="E5">
        <v>0.12269448364276531</v>
      </c>
    </row>
    <row r="6" spans="1:5" x14ac:dyDescent="0.25">
      <c r="A6" s="72">
        <v>4</v>
      </c>
      <c r="B6">
        <v>5</v>
      </c>
      <c r="C6" t="s">
        <v>137</v>
      </c>
      <c r="D6">
        <v>1.3265659986526139</v>
      </c>
      <c r="E6">
        <v>0.1326212268761566</v>
      </c>
    </row>
    <row r="7" spans="1:5" x14ac:dyDescent="0.25">
      <c r="A7" s="72">
        <v>5</v>
      </c>
      <c r="B7">
        <v>5</v>
      </c>
      <c r="C7" t="s">
        <v>138</v>
      </c>
      <c r="D7">
        <v>1.3761009249581919</v>
      </c>
      <c r="E7">
        <v>0.13605251124401929</v>
      </c>
    </row>
    <row r="8" spans="1:5" x14ac:dyDescent="0.25">
      <c r="A8" s="72">
        <v>6</v>
      </c>
      <c r="B8" t="s">
        <v>132</v>
      </c>
      <c r="D8">
        <v>1.3924442064277649</v>
      </c>
      <c r="E8">
        <v>0.13718461035889801</v>
      </c>
    </row>
    <row r="9" spans="1:5" x14ac:dyDescent="0.25">
      <c r="A9" s="72">
        <v>7</v>
      </c>
      <c r="B9" t="s">
        <v>133</v>
      </c>
      <c r="D9">
        <v>1.3653467175095719</v>
      </c>
      <c r="E9">
        <v>0.13530756728913049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2024-10-18T21:17:27Z</dcterms:modified>
</cp:coreProperties>
</file>