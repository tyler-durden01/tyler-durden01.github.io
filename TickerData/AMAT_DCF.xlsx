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5" documentId="11_3EDE71AF8130E5A7AD60C2A353425DFDDB9F261C" xr6:coauthVersionLast="47" xr6:coauthVersionMax="47" xr10:uidLastSave="{5385697C-9129-4221-AD13-ED21C347407D}"/>
  <bookViews>
    <workbookView xWindow="-120" yWindow="-120" windowWidth="29040" windowHeight="15720" firstSheet="1" activeTab="1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O32" i="5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G10" i="3"/>
  <c r="G11" i="3" s="1"/>
  <c r="F10" i="3"/>
  <c r="F11" i="3" s="1"/>
  <c r="E10" i="3"/>
  <c r="L5" i="3"/>
  <c r="N5" i="3" s="1"/>
  <c r="O5" i="3" s="1"/>
  <c r="P5" i="3" s="1"/>
  <c r="Q5" i="3" s="1"/>
  <c r="R5" i="3" s="1"/>
  <c r="S5" i="3" s="1"/>
  <c r="T5" i="3" s="1"/>
  <c r="U5" i="3" s="1"/>
  <c r="H4" i="3"/>
  <c r="H5" i="3" s="1"/>
  <c r="G4" i="3"/>
  <c r="G5" i="3" s="1"/>
  <c r="F4" i="3"/>
  <c r="I3" i="3"/>
  <c r="H3" i="3"/>
  <c r="K1" i="3"/>
  <c r="K10" i="3" s="1"/>
  <c r="J1" i="3"/>
  <c r="J7" i="3" s="1"/>
  <c r="I1" i="3"/>
  <c r="I7" i="3" s="1"/>
  <c r="H1" i="3"/>
  <c r="H7" i="3" s="1"/>
  <c r="G1" i="3"/>
  <c r="G3" i="3" s="1"/>
  <c r="F1" i="3"/>
  <c r="F3" i="3" s="1"/>
  <c r="E1" i="3"/>
  <c r="E4" i="3" s="1"/>
  <c r="D1" i="3"/>
  <c r="D10" i="3" s="1"/>
  <c r="E11" i="3" l="1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F5" i="3"/>
  <c r="C21" i="3"/>
  <c r="C20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13" i="3"/>
  <c r="H8" i="3"/>
  <c r="K3" i="3"/>
  <c r="I4" i="3"/>
  <c r="I5" i="3" s="1"/>
  <c r="E7" i="3"/>
  <c r="H10" i="3"/>
  <c r="H11" i="3" s="1"/>
  <c r="K31" i="5"/>
  <c r="D3" i="3"/>
  <c r="J4" i="3"/>
  <c r="J5" i="3" s="1"/>
  <c r="F7" i="3"/>
  <c r="I10" i="3"/>
  <c r="I11" i="3" s="1"/>
  <c r="K7" i="3"/>
  <c r="E3" i="3"/>
  <c r="K4" i="3"/>
  <c r="G7" i="3"/>
  <c r="J10" i="3"/>
  <c r="L1" i="3"/>
  <c r="J3" i="3"/>
  <c r="D7" i="3"/>
  <c r="D4" i="3"/>
  <c r="E5" i="3" s="1"/>
  <c r="D8" i="3" l="1"/>
  <c r="D13" i="3"/>
  <c r="F8" i="3"/>
  <c r="F13" i="3"/>
  <c r="L3" i="3"/>
  <c r="M1" i="3"/>
  <c r="J11" i="3"/>
  <c r="G13" i="3"/>
  <c r="G8" i="3"/>
  <c r="K11" i="3"/>
  <c r="L11" i="3" s="1"/>
  <c r="J8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J13" i="3"/>
  <c r="E8" i="3"/>
  <c r="E13" i="3"/>
  <c r="I13" i="3"/>
  <c r="K13" i="3"/>
  <c r="K8" i="3"/>
  <c r="I8" i="3"/>
  <c r="M3" i="3" l="1"/>
  <c r="N1" i="3"/>
  <c r="N11" i="3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L8" i="3"/>
  <c r="L7" i="3" l="1"/>
  <c r="L13" i="3" s="1"/>
  <c r="L14" i="3" s="1"/>
  <c r="M8" i="3"/>
  <c r="N3" i="3"/>
  <c r="O1" i="3"/>
  <c r="O3" i="3" l="1"/>
  <c r="P1" i="3"/>
  <c r="N8" i="3"/>
  <c r="M7" i="3"/>
  <c r="M13" i="3" s="1"/>
  <c r="M14" i="3" s="1"/>
  <c r="Q1" i="3" l="1"/>
  <c r="P3" i="3"/>
  <c r="O8" i="3"/>
  <c r="N7" i="3"/>
  <c r="N13" i="3" s="1"/>
  <c r="N14" i="3" s="1"/>
  <c r="P8" i="3" l="1"/>
  <c r="O7" i="3"/>
  <c r="O13" i="3" s="1"/>
  <c r="O14" i="3" s="1"/>
  <c r="R1" i="3"/>
  <c r="Q3" i="3"/>
  <c r="R3" i="3" l="1"/>
  <c r="S1" i="3"/>
  <c r="Q8" i="3"/>
  <c r="P7" i="3"/>
  <c r="P13" i="3" s="1"/>
  <c r="P14" i="3" s="1"/>
  <c r="Q7" i="3" l="1"/>
  <c r="Q13" i="3" s="1"/>
  <c r="Q14" i="3" s="1"/>
  <c r="R8" i="3"/>
  <c r="T1" i="3"/>
  <c r="S3" i="3"/>
  <c r="T3" i="3" l="1"/>
  <c r="U1" i="3"/>
  <c r="U3" i="3" s="1"/>
  <c r="R7" i="3"/>
  <c r="R13" i="3" s="1"/>
  <c r="R14" i="3" s="1"/>
  <c r="S8" i="3"/>
  <c r="S7" i="3" l="1"/>
  <c r="S13" i="3" s="1"/>
  <c r="S14" i="3" s="1"/>
  <c r="T8" i="3"/>
  <c r="U8" i="3" l="1"/>
  <c r="U7" i="3" s="1"/>
  <c r="T7" i="3"/>
  <c r="T13" i="3" s="1"/>
  <c r="T14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<sst xmlns="http://schemas.openxmlformats.org/spreadsheetml/2006/main" count="253" uniqueCount="231">
  <si>
    <t>This sheet contains FactSet XML data for use with this workbook's =FDS codes.  Modifying the worksheet's contents may damage the workbook's =FDS functionality.</t>
  </si>
  <si>
    <t>AMAT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</si>
  <si>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</si>
  <si>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</si>
  <si>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</si>
  <si>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</si>
  <si>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</si>
  <si>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</si>
  <si>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</si>
  <si>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</si>
  <si>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</si>
  <si>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</si>
  <si>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</si>
  <si>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</si>
  <si>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</si>
  <si>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</si>
  <si>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</si>
  <si>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</si>
  <si>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</si>
  <si>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</si>
  <si>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</si>
  <si>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</si>
  <si>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</si>
  <si>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</si>
  <si>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</si>
  <si>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</si>
  <si>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</si>
  <si>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</si>
  <si>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</si>
  <si>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</si>
  <si>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</si>
  <si>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</si>
  <si>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</si>
  <si>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2024-10-28</t>
  </si>
  <si>
    <t>2024-07-28</t>
  </si>
  <si>
    <t>2024-04-28</t>
  </si>
  <si>
    <t>2024-01-28</t>
  </si>
  <si>
    <t>2023-10-29</t>
  </si>
  <si>
    <t>2023-07-30</t>
  </si>
  <si>
    <t>2023-04-30</t>
  </si>
  <si>
    <t>2023-01-29</t>
  </si>
  <si>
    <t>2022-10-30</t>
  </si>
  <si>
    <t>2022-07-31</t>
  </si>
  <si>
    <t>2022-05-01</t>
  </si>
  <si>
    <t>2022-01-30</t>
  </si>
  <si>
    <t>2021-10-31</t>
  </si>
  <si>
    <t>2021-08-01</t>
  </si>
  <si>
    <t>2021-05-02</t>
  </si>
  <si>
    <t>2021-01-31</t>
  </si>
  <si>
    <t>2020-10-25</t>
  </si>
  <si>
    <t>2020-07-26</t>
  </si>
  <si>
    <t>2020-04-26</t>
  </si>
  <si>
    <t>2020-01-26</t>
  </si>
  <si>
    <t>2019-10-27</t>
  </si>
  <si>
    <t>2019-07-28</t>
  </si>
  <si>
    <t>2019-04-28</t>
  </si>
  <si>
    <t>2019-01-27</t>
  </si>
  <si>
    <t>2018-10-28</t>
  </si>
  <si>
    <t>2018-07-29</t>
  </si>
  <si>
    <t>2018-04-29</t>
  </si>
  <si>
    <t>2018-01-28</t>
  </si>
  <si>
    <t>2017-10-29</t>
  </si>
  <si>
    <t>2017-07-30</t>
  </si>
  <si>
    <t>2017-04-30</t>
  </si>
  <si>
    <t>2017-01-29</t>
  </si>
  <si>
    <t>2016-10-30</t>
  </si>
  <si>
    <t>2016-07-31</t>
  </si>
  <si>
    <t>2016-05-01</t>
  </si>
  <si>
    <t>2016-01-31</t>
  </si>
  <si>
    <t>2015-10-25</t>
  </si>
  <si>
    <t>2015-07-26</t>
  </si>
  <si>
    <t>2015-04-26</t>
  </si>
  <si>
    <t>2015-01-25</t>
  </si>
  <si>
    <t>2014-10-26</t>
  </si>
  <si>
    <t>2014-07-27</t>
  </si>
  <si>
    <t>2014-04-27</t>
  </si>
  <si>
    <t>2014-01-26</t>
  </si>
  <si>
    <t>2013-10-27</t>
  </si>
  <si>
    <t>2013-07-28</t>
  </si>
  <si>
    <t>2013-04-28</t>
  </si>
  <si>
    <t>2013-01-27</t>
  </si>
  <si>
    <t>2012-10-28</t>
  </si>
  <si>
    <t>2012-07-29</t>
  </si>
  <si>
    <t>2012-04-29</t>
  </si>
  <si>
    <t>2012-01-29</t>
  </si>
  <si>
    <t>2011-10-30</t>
  </si>
  <si>
    <t>2011-07-31</t>
  </si>
  <si>
    <t>2011-05-01</t>
  </si>
  <si>
    <t>2011-01-30</t>
  </si>
  <si>
    <t>2010-10-31</t>
  </si>
  <si>
    <t>2010-08-01</t>
  </si>
  <si>
    <t>2010-05-02</t>
  </si>
  <si>
    <t>2010-01-31</t>
  </si>
  <si>
    <t>2009-10-25</t>
  </si>
  <si>
    <t>2009-07-26</t>
  </si>
  <si>
    <t>2009-04-26</t>
  </si>
  <si>
    <t>2009-01-25</t>
  </si>
  <si>
    <t>2008-10-26</t>
  </si>
  <si>
    <t>2008-07-27</t>
  </si>
  <si>
    <t>2008-04-27</t>
  </si>
  <si>
    <t>2008-01-27</t>
  </si>
  <si>
    <t>2007-10-28</t>
  </si>
  <si>
    <t>2007-07-29</t>
  </si>
  <si>
    <t>2007-04-29</t>
  </si>
  <si>
    <t>2007-01-28</t>
  </si>
  <si>
    <t>2006-10-29</t>
  </si>
  <si>
    <t>2006-07-30</t>
  </si>
  <si>
    <t>2006-04-30</t>
  </si>
  <si>
    <t>2006-01-29</t>
  </si>
  <si>
    <t>2005-10-30</t>
  </si>
  <si>
    <t>2005-07-31</t>
  </si>
  <si>
    <t>2005-05-01</t>
  </si>
  <si>
    <t>2005-01-30</t>
  </si>
  <si>
    <t>2004-10-31</t>
  </si>
  <si>
    <t>2004-08-01</t>
  </si>
  <si>
    <t>2004-05-02</t>
  </si>
  <si>
    <t>2004-02-01</t>
  </si>
  <si>
    <t>2003-10-26</t>
  </si>
  <si>
    <t>2003-07-27</t>
  </si>
  <si>
    <t>2003-04-27</t>
  </si>
  <si>
    <t>2003-01-26</t>
  </si>
  <si>
    <t>2002-10-27</t>
  </si>
  <si>
    <t>2002-07-28</t>
  </si>
  <si>
    <t>2002-04-28</t>
  </si>
  <si>
    <t>2002-01-27</t>
  </si>
  <si>
    <t>2001-10-28</t>
  </si>
  <si>
    <t>2001-07-29</t>
  </si>
  <si>
    <t>2001-04-29</t>
  </si>
  <si>
    <t>2001-01-28</t>
  </si>
  <si>
    <t>2000-10-29</t>
  </si>
  <si>
    <t>2000-07-30</t>
  </si>
  <si>
    <t>2000-04-30</t>
  </si>
  <si>
    <t>2000-01-30</t>
  </si>
  <si>
    <t>1999-10-31</t>
  </si>
  <si>
    <t>1999-08-01</t>
  </si>
  <si>
    <t>1999-05-02</t>
  </si>
  <si>
    <t>1999-01-31</t>
  </si>
  <si>
    <t>1998-10-25</t>
  </si>
  <si>
    <t>1998-07-26</t>
  </si>
  <si>
    <t>1998-04-26</t>
  </si>
  <si>
    <t>1998-01-25</t>
  </si>
  <si>
    <t>1997-10-26</t>
  </si>
  <si>
    <t>1997-07-27</t>
  </si>
  <si>
    <t>1997-04-27</t>
  </si>
  <si>
    <t>1997-01-26</t>
  </si>
  <si>
    <t>1996-10-27</t>
  </si>
  <si>
    <t>1996-07-28</t>
  </si>
  <si>
    <t>1996-04-28</t>
  </si>
  <si>
    <t>1996-01-28</t>
  </si>
  <si>
    <t>1995-10-29</t>
  </si>
  <si>
    <t>1995-07-30</t>
  </si>
  <si>
    <t>1995-04-30</t>
  </si>
  <si>
    <t>1995-01-29</t>
  </si>
  <si>
    <t>1994-10-30</t>
  </si>
  <si>
    <t>1994-07-31</t>
  </si>
  <si>
    <t>1994-05-01</t>
  </si>
  <si>
    <t>1994-01-30</t>
  </si>
  <si>
    <t>1993-10-31</t>
  </si>
  <si>
    <t>1993-07-31</t>
  </si>
  <si>
    <t>1993-04-30</t>
  </si>
  <si>
    <t>1993-01-31</t>
  </si>
  <si>
    <t>1992-10-31</t>
  </si>
  <si>
    <t>1992-07-31</t>
  </si>
  <si>
    <t>1992-04-30</t>
  </si>
  <si>
    <t>1992-01-31</t>
  </si>
  <si>
    <t>1991-10-31</t>
  </si>
  <si>
    <t>1991-07-31</t>
  </si>
  <si>
    <t>1991-04-30</t>
  </si>
  <si>
    <t>1991-01-31</t>
  </si>
  <si>
    <t>1990-10-31</t>
  </si>
  <si>
    <t>1990-07-31</t>
  </si>
  <si>
    <t>1990-04-30</t>
  </si>
  <si>
    <t>1990-01-31</t>
  </si>
  <si>
    <t>1989-10-31</t>
  </si>
  <si>
    <t>1989-07-31</t>
  </si>
  <si>
    <t>1989-04-30</t>
  </si>
  <si>
    <t>1989-01-31</t>
  </si>
  <si>
    <t>1988-10-31</t>
  </si>
  <si>
    <t>1988-07-31</t>
  </si>
  <si>
    <t>1988-04-30</t>
  </si>
  <si>
    <t>1988-01-31</t>
  </si>
  <si>
    <t>1987-10-31</t>
  </si>
  <si>
    <t>1987-07-31</t>
  </si>
  <si>
    <t>1987-04-30</t>
  </si>
  <si>
    <t>1987-01-31</t>
  </si>
  <si>
    <t>1986-10-31</t>
  </si>
  <si>
    <t>1986-07-31</t>
  </si>
  <si>
    <t>1986-04-30</t>
  </si>
  <si>
    <t>1986-01-31</t>
  </si>
  <si>
    <t>1985-10-31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</si>
  <si>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</si>
  <si>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</si>
  <si>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</si>
  <si>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</si>
  <si>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</si>
  <si>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</si>
  <si>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</si>
  <si>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</si>
  <si>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</si>
  <si>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</si>
  <si>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</si>
  <si>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</si>
  <si>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</si>
  <si>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</si>
  <si>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</si>
  <si>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</si>
  <si>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</si>
  <si>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2022-04-30</t>
  </si>
  <si>
    <t>2022-01-31</t>
  </si>
  <si>
    <t>add more to show the return, and also the market cap valuations</t>
  </si>
  <si>
    <t>2021-07-31</t>
  </si>
  <si>
    <t>2021-04-30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</si>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</sst>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14807000000</v>
      </c>
    </row>
    <row r="3" spans="1:2" x14ac:dyDescent="0.25">
      <c r="A3" s="73" t="s">
        <v>3</v>
      </c>
      <c r="B3">
        <v>6158000000</v>
      </c>
    </row>
    <row r="4" spans="1:2" x14ac:dyDescent="0.25">
      <c r="A4" s="73" t="s">
        <v>4</v>
      </c>
      <c r="B4">
        <v>0.24633970717657411</v>
      </c>
    </row>
    <row r="5" spans="1:2" x14ac:dyDescent="0.25">
      <c r="A5" s="73" t="s">
        <v>5</v>
      </c>
      <c r="B5">
        <v>3.8811302370899643E-2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18840000000</v>
      </c>
    </row>
    <row r="8" spans="1:2" x14ac:dyDescent="0.25">
      <c r="A8" s="73" t="s">
        <v>8</v>
      </c>
      <c r="B8">
        <v>0.75366029282342584</v>
      </c>
    </row>
    <row r="9" spans="1:2" x14ac:dyDescent="0.25">
      <c r="A9" s="73" t="s">
        <v>9</v>
      </c>
      <c r="B9">
        <v>0.158645356249768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1.7022571954424739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0.12711770988661611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opLeftCell="A2" zoomScale="85" zoomScaleNormal="85" workbookViewId="0">
      <selection activeCell="D23" sqref="D23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2017-07-30</v>
      </c>
      <c r="E1" s="66" t="str">
        <f>Python!A27</f>
        <v>2018-07-29</v>
      </c>
      <c r="F1" s="66" t="str">
        <f>Python!A23</f>
        <v>2019-07-28</v>
      </c>
      <c r="G1" s="66" t="str">
        <f>Python!A19</f>
        <v>2020-07-26</v>
      </c>
      <c r="H1" s="66" t="str">
        <f>Python!A15</f>
        <v>2021-08-01</v>
      </c>
      <c r="I1" s="66" t="str">
        <f>Python!A11</f>
        <v>2022-07-31</v>
      </c>
      <c r="J1" s="66" t="str">
        <f>Python!A7</f>
        <v>2023-07-30</v>
      </c>
      <c r="K1" s="66" t="str">
        <f>Python!A3</f>
        <v>2024-07-28</v>
      </c>
      <c r="L1" s="28">
        <f t="shared" ref="L1:U1" si="0">EDATE(K1, 12)</f>
        <v>45866</v>
      </c>
      <c r="M1" s="28">
        <f t="shared" si="0"/>
        <v>46231</v>
      </c>
      <c r="N1" s="28">
        <f t="shared" si="0"/>
        <v>46596</v>
      </c>
      <c r="O1" s="28">
        <f t="shared" si="0"/>
        <v>46962</v>
      </c>
      <c r="P1" s="28">
        <f t="shared" si="0"/>
        <v>47327</v>
      </c>
      <c r="Q1" s="28">
        <f t="shared" si="0"/>
        <v>47692</v>
      </c>
      <c r="R1" s="28">
        <f t="shared" si="0"/>
        <v>48057</v>
      </c>
      <c r="S1" s="28">
        <f t="shared" si="0"/>
        <v>48423</v>
      </c>
      <c r="T1" s="28">
        <f t="shared" si="0"/>
        <v>48788</v>
      </c>
      <c r="U1" s="28">
        <f t="shared" si="0"/>
        <v>49153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13865</v>
      </c>
      <c r="E4" s="36">
        <f>IFERROR(INDEX(Python!$1:$1048576,MATCH(DCF_Simple!E$1,Python!$A:$A,0),MATCH(DCF_Simple!$B4,Python!$1:$1,0))/1000000,0)</f>
        <v>17208</v>
      </c>
      <c r="F4" s="36">
        <f>IFERROR(INDEX(Python!$1:$1048576,MATCH(DCF_Simple!F$1,Python!$A:$A,0),MATCH(DCF_Simple!$B4,Python!$1:$1,0))/1000000,0)</f>
        <v>14868</v>
      </c>
      <c r="G4" s="36">
        <f>IFERROR(INDEX(Python!$1:$1048576,MATCH(DCF_Simple!G$1,Python!$A:$A,0),MATCH(DCF_Simple!$B4,Python!$1:$1,0))/1000000,0)</f>
        <v>16268</v>
      </c>
      <c r="H4" s="36">
        <f>IFERROR(INDEX(Python!$1:$1048576,MATCH(DCF_Simple!H$1,Python!$A:$A,0),MATCH(DCF_Simple!$B4,Python!$1:$1,0))/1000000,0)</f>
        <v>21628</v>
      </c>
      <c r="I4" s="36">
        <f>IFERROR(INDEX(Python!$1:$1048576,MATCH(DCF_Simple!I$1,Python!$A:$A,0),MATCH(DCF_Simple!$B4,Python!$1:$1,0))/1000000,0)</f>
        <v>25159</v>
      </c>
      <c r="J4" s="36">
        <f>IFERROR(INDEX(Python!$1:$1048576,MATCH(DCF_Simple!J$1,Python!$A:$A,0),MATCH(DCF_Simple!$B4,Python!$1:$1,0))/1000000,0)</f>
        <v>26543</v>
      </c>
      <c r="K4" s="55">
        <f>IFERROR(INDEX(Python!$1:$1048576,MATCH(DCF_Simple!K$1,Python!$A:$A,0),MATCH(DCF_Simple!$B4,Python!$1:$1,0))/1000000,0)</f>
        <v>26847</v>
      </c>
      <c r="L4" s="37">
        <f t="shared" ref="L4:U4" si="2">K4*(1+L5)</f>
        <v>27769.49374832664</v>
      </c>
      <c r="M4" s="36">
        <f t="shared" si="2"/>
        <v>30546.443123159308</v>
      </c>
      <c r="N4" s="36">
        <f t="shared" si="2"/>
        <v>33601.087435475245</v>
      </c>
      <c r="O4" s="36">
        <f t="shared" si="2"/>
        <v>36961.196179022772</v>
      </c>
      <c r="P4" s="36">
        <f t="shared" si="2"/>
        <v>40657.315796925053</v>
      </c>
      <c r="Q4" s="36">
        <f t="shared" si="2"/>
        <v>44723.047376617564</v>
      </c>
      <c r="R4" s="36">
        <f t="shared" si="2"/>
        <v>49195.352114279325</v>
      </c>
      <c r="S4" s="36">
        <f t="shared" si="2"/>
        <v>54114.887325707263</v>
      </c>
      <c r="T4" s="36">
        <f t="shared" si="2"/>
        <v>59526.376058277994</v>
      </c>
      <c r="U4" s="36">
        <f t="shared" si="2"/>
        <v>65479.013664105798</v>
      </c>
      <c r="V4" s="19">
        <f>U4</f>
        <v>65479.013664105798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0.24111071042192567</v>
      </c>
      <c r="F5" s="42">
        <f t="shared" si="3"/>
        <v>-0.13598326359832635</v>
      </c>
      <c r="G5" s="42">
        <f t="shared" si="3"/>
        <v>9.4161958568738324E-2</v>
      </c>
      <c r="H5" s="42">
        <f t="shared" si="3"/>
        <v>0.3294811900663881</v>
      </c>
      <c r="I5" s="42">
        <f t="shared" si="3"/>
        <v>0.16326058812650279</v>
      </c>
      <c r="J5" s="42">
        <f t="shared" si="3"/>
        <v>5.50101355379784E-2</v>
      </c>
      <c r="K5" s="58">
        <f t="shared" si="3"/>
        <v>1.1453113815318439E-2</v>
      </c>
      <c r="L5" s="43">
        <f>Python!F2</f>
        <v>3.4361148296891297E-2</v>
      </c>
      <c r="M5" s="43">
        <v>0.1</v>
      </c>
      <c r="N5" s="38">
        <f t="shared" ref="N5:U5" si="4">M5</f>
        <v>0.1</v>
      </c>
      <c r="O5" s="38">
        <f t="shared" si="4"/>
        <v>0.1</v>
      </c>
      <c r="P5" s="38">
        <f t="shared" si="4"/>
        <v>0.1</v>
      </c>
      <c r="Q5" s="38">
        <f t="shared" si="4"/>
        <v>0.1</v>
      </c>
      <c r="R5" s="38">
        <f t="shared" si="4"/>
        <v>0.1</v>
      </c>
      <c r="S5" s="38">
        <f t="shared" si="4"/>
        <v>0.1</v>
      </c>
      <c r="T5" s="38">
        <f t="shared" si="4"/>
        <v>0.1</v>
      </c>
      <c r="U5" s="38">
        <f t="shared" si="4"/>
        <v>0.1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3398</v>
      </c>
      <c r="E7" s="52">
        <f>IFERROR(INDEX(Python!$1:$1048576,MATCH(DCF_Simple!E$1,Python!$A:$A,0),MATCH(DCF_Simple!$B7,Python!$1:$1,0))/1000000,0)</f>
        <v>2828</v>
      </c>
      <c r="F7" s="52">
        <f>IFERROR(INDEX(Python!$1:$1048576,MATCH(DCF_Simple!F$1,Python!$A:$A,0),MATCH(DCF_Simple!$B7,Python!$1:$1,0))/1000000,0)</f>
        <v>2989</v>
      </c>
      <c r="G7" s="52">
        <f>IFERROR(INDEX(Python!$1:$1048576,MATCH(DCF_Simple!G$1,Python!$A:$A,0),MATCH(DCF_Simple!$B7,Python!$1:$1,0))/1000000,0)</f>
        <v>2958</v>
      </c>
      <c r="H7" s="52">
        <f>IFERROR(INDEX(Python!$1:$1048576,MATCH(DCF_Simple!H$1,Python!$A:$A,0),MATCH(DCF_Simple!$B7,Python!$1:$1,0))/1000000,0)</f>
        <v>4985</v>
      </c>
      <c r="I7" s="52">
        <f>IFERROR(INDEX(Python!$1:$1048576,MATCH(DCF_Simple!I$1,Python!$A:$A,0),MATCH(DCF_Simple!$B7,Python!$1:$1,0))/1000000,0)</f>
        <v>4920</v>
      </c>
      <c r="J7" s="52">
        <f>IFERROR(INDEX(Python!$1:$1048576,MATCH(DCF_Simple!J$1,Python!$A:$A,0),MATCH(DCF_Simple!$B7,Python!$1:$1,0))/1000000,0)</f>
        <v>6982</v>
      </c>
      <c r="K7" s="57">
        <f>IFERROR(INDEX(Python!$1:$1048576,MATCH(DCF_Simple!K$1,Python!$A:$A,0),MATCH(DCF_Simple!$B7,Python!$1:$1,0))/1000000,0)</f>
        <v>6565</v>
      </c>
      <c r="L7" s="64">
        <f t="shared" ref="L7:U7" si="5">L8*L4</f>
        <v>5990.9491638180662</v>
      </c>
      <c r="M7" s="64">
        <f t="shared" si="5"/>
        <v>6590.044080199873</v>
      </c>
      <c r="N7" s="64">
        <f t="shared" si="5"/>
        <v>7249.0484882198625</v>
      </c>
      <c r="O7" s="64">
        <f t="shared" si="5"/>
        <v>7973.9533370418485</v>
      </c>
      <c r="P7" s="64">
        <f t="shared" si="5"/>
        <v>8771.3486707460343</v>
      </c>
      <c r="Q7" s="64">
        <f t="shared" si="5"/>
        <v>9648.483537820639</v>
      </c>
      <c r="R7" s="64">
        <f t="shared" si="5"/>
        <v>10613.331891602704</v>
      </c>
      <c r="S7" s="64">
        <f t="shared" si="5"/>
        <v>11674.665080762976</v>
      </c>
      <c r="T7" s="64">
        <f t="shared" si="5"/>
        <v>12842.131588839275</v>
      </c>
      <c r="U7" s="64">
        <f t="shared" si="5"/>
        <v>14126.344747723202</v>
      </c>
      <c r="V7" s="65">
        <f>U7</f>
        <v>14126.344747723202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0.24507753335737467</v>
      </c>
      <c r="E8" s="42">
        <f t="shared" si="6"/>
        <v>0.16434216643421665</v>
      </c>
      <c r="F8" s="42">
        <f t="shared" si="6"/>
        <v>0.20103578154425611</v>
      </c>
      <c r="G8" s="42">
        <f t="shared" si="6"/>
        <v>0.18182935824932384</v>
      </c>
      <c r="H8" s="42">
        <f t="shared" si="6"/>
        <v>0.23048825596449046</v>
      </c>
      <c r="I8" s="42">
        <f t="shared" si="6"/>
        <v>0.19555626217258237</v>
      </c>
      <c r="J8" s="42">
        <f t="shared" si="6"/>
        <v>0.26304487058734882</v>
      </c>
      <c r="K8" s="58">
        <f t="shared" si="6"/>
        <v>0.2445338399076247</v>
      </c>
      <c r="L8" s="38">
        <f>AVERAGE(D8:K8)</f>
        <v>0.21573850852715218</v>
      </c>
      <c r="M8" s="38">
        <f t="shared" ref="M8:U8" si="7">L8</f>
        <v>0.21573850852715218</v>
      </c>
      <c r="N8" s="38">
        <f t="shared" si="7"/>
        <v>0.21573850852715218</v>
      </c>
      <c r="O8" s="38">
        <f t="shared" si="7"/>
        <v>0.21573850852715218</v>
      </c>
      <c r="P8" s="38">
        <f t="shared" si="7"/>
        <v>0.21573850852715218</v>
      </c>
      <c r="Q8" s="38">
        <f t="shared" si="7"/>
        <v>0.21573850852715218</v>
      </c>
      <c r="R8" s="38">
        <f t="shared" si="7"/>
        <v>0.21573850852715218</v>
      </c>
      <c r="S8" s="38">
        <f t="shared" si="7"/>
        <v>0.21573850852715218</v>
      </c>
      <c r="T8" s="38">
        <f t="shared" si="7"/>
        <v>0.21573850852715218</v>
      </c>
      <c r="U8" s="38">
        <f t="shared" si="7"/>
        <v>0.21573850852715218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1083</v>
      </c>
      <c r="E10" s="17">
        <f>IFERROR(INDEX(Python!$1:$1048576,MATCH(DCF_Simple!E$1,Python!$A:$A,0),MATCH(DCF_Simple!$B10,Python!$1:$1,0))/1000000,0)</f>
        <v>1005</v>
      </c>
      <c r="F10" s="17">
        <f>IFERROR(INDEX(Python!$1:$1048576,MATCH(DCF_Simple!F$1,Python!$A:$A,0),MATCH(DCF_Simple!$B10,Python!$1:$1,0))/1000000,0)</f>
        <v>937</v>
      </c>
      <c r="G10" s="17">
        <f>IFERROR(INDEX(Python!$1:$1048576,MATCH(DCF_Simple!G$1,Python!$A:$A,0),MATCH(DCF_Simple!$B10,Python!$1:$1,0))/1000000,0)</f>
        <v>922</v>
      </c>
      <c r="H10" s="17">
        <f>IFERROR(INDEX(Python!$1:$1048576,MATCH(DCF_Simple!H$1,Python!$A:$A,0),MATCH(DCF_Simple!$B10,Python!$1:$1,0))/1000000,0)</f>
        <v>918</v>
      </c>
      <c r="I10" s="17">
        <f>IFERROR(INDEX(Python!$1:$1048576,MATCH(DCF_Simple!I$1,Python!$A:$A,0),MATCH(DCF_Simple!$B10,Python!$1:$1,0))/1000000,0)</f>
        <v>869</v>
      </c>
      <c r="J10" s="17">
        <f>IFERROR(INDEX(Python!$1:$1048576,MATCH(DCF_Simple!J$1,Python!$A:$A,0),MATCH(DCF_Simple!$B10,Python!$1:$1,0))/1000000,0)</f>
        <v>843</v>
      </c>
      <c r="K10" s="69">
        <f>IFERROR(INDEX(Python!$1:$1048576,MATCH(DCF_Simple!K$1,Python!$A:$A,0),MATCH(DCF_Simple!$B10,Python!$1:$1,0))/1000000,0)</f>
        <v>833</v>
      </c>
      <c r="L10" s="17">
        <f t="shared" ref="L10:U10" si="8">K10*(1+L11)</f>
        <v>823.11862396204037</v>
      </c>
      <c r="M10" s="17">
        <f t="shared" si="8"/>
        <v>803.59030548132773</v>
      </c>
      <c r="N10" s="17">
        <f t="shared" si="8"/>
        <v>784.52529230264861</v>
      </c>
      <c r="O10" s="17">
        <f t="shared" si="8"/>
        <v>765.91259260389074</v>
      </c>
      <c r="P10" s="17">
        <f t="shared" si="8"/>
        <v>747.74147534163956</v>
      </c>
      <c r="Q10" s="17">
        <f t="shared" si="8"/>
        <v>730.0014640642579</v>
      </c>
      <c r="R10" s="17">
        <f t="shared" si="8"/>
        <v>712.68233087174883</v>
      </c>
      <c r="S10" s="17">
        <f t="shared" si="8"/>
        <v>695.77409051891971</v>
      </c>
      <c r="T10" s="17">
        <f t="shared" si="8"/>
        <v>679.26699465844717</v>
      </c>
      <c r="U10" s="17">
        <f t="shared" si="8"/>
        <v>663.15152622052437</v>
      </c>
      <c r="V10" s="70">
        <f>U10</f>
        <v>663.15152622052437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-7.2022160664819923E-2</v>
      </c>
      <c r="F11" s="42">
        <f t="shared" si="9"/>
        <v>-6.7661691542288516E-2</v>
      </c>
      <c r="G11" s="42">
        <f t="shared" si="9"/>
        <v>-1.6008537886872953E-2</v>
      </c>
      <c r="H11" s="42">
        <f t="shared" si="9"/>
        <v>-4.3383947939262812E-3</v>
      </c>
      <c r="I11" s="42">
        <f t="shared" si="9"/>
        <v>-5.3376906318082784E-2</v>
      </c>
      <c r="J11" s="42">
        <f t="shared" si="9"/>
        <v>-2.9919447640966657E-2</v>
      </c>
      <c r="K11" s="58">
        <f t="shared" si="9"/>
        <v>-1.1862396204033177E-2</v>
      </c>
      <c r="L11" s="67">
        <f t="shared" ref="L11:U11" si="10">K11</f>
        <v>-1.1862396204033177E-2</v>
      </c>
      <c r="M11" s="67">
        <f>L11*2</f>
        <v>-2.3724792408066353E-2</v>
      </c>
      <c r="N11" s="67">
        <f t="shared" si="10"/>
        <v>-2.3724792408066353E-2</v>
      </c>
      <c r="O11" s="67">
        <f t="shared" si="10"/>
        <v>-2.3724792408066353E-2</v>
      </c>
      <c r="P11" s="67">
        <f t="shared" si="10"/>
        <v>-2.3724792408066353E-2</v>
      </c>
      <c r="Q11" s="67">
        <f t="shared" si="10"/>
        <v>-2.3724792408066353E-2</v>
      </c>
      <c r="R11" s="67">
        <f t="shared" si="10"/>
        <v>-2.3724792408066353E-2</v>
      </c>
      <c r="S11" s="67">
        <f t="shared" si="10"/>
        <v>-2.3724792408066353E-2</v>
      </c>
      <c r="T11" s="67">
        <f t="shared" si="10"/>
        <v>-2.3724792408066353E-2</v>
      </c>
      <c r="U11" s="67">
        <f t="shared" si="10"/>
        <v>-2.3724792408066353E-2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3.1375807940904892</v>
      </c>
      <c r="E13" s="53">
        <f t="shared" si="11"/>
        <v>2.8139303482587064</v>
      </c>
      <c r="F13" s="53">
        <f t="shared" si="11"/>
        <v>3.1899679829242262</v>
      </c>
      <c r="G13" s="53">
        <f t="shared" si="11"/>
        <v>3.2082429501084597</v>
      </c>
      <c r="H13" s="53">
        <f t="shared" si="11"/>
        <v>5.4302832244008714</v>
      </c>
      <c r="I13" s="53">
        <f t="shared" si="11"/>
        <v>5.6616800920598385</v>
      </c>
      <c r="J13" s="53">
        <f t="shared" si="11"/>
        <v>8.2823250296559898</v>
      </c>
      <c r="K13" s="59">
        <f t="shared" si="11"/>
        <v>7.8811524609843939</v>
      </c>
      <c r="L13" s="53">
        <f t="shared" ref="L13:U13" si="12">L7/L10</f>
        <v>7.278354528027724</v>
      </c>
      <c r="M13" s="53">
        <f t="shared" si="12"/>
        <v>8.2007510982261334</v>
      </c>
      <c r="N13" s="53">
        <f t="shared" si="12"/>
        <v>9.2400443419016955</v>
      </c>
      <c r="O13" s="53">
        <f t="shared" si="12"/>
        <v>10.411048746349261</v>
      </c>
      <c r="P13" s="53">
        <f t="shared" si="12"/>
        <v>11.730456260619283</v>
      </c>
      <c r="Q13" s="53">
        <f t="shared" si="12"/>
        <v>13.217074229006393</v>
      </c>
      <c r="R13" s="53">
        <f t="shared" si="12"/>
        <v>14.892093478198818</v>
      </c>
      <c r="S13" s="53">
        <f t="shared" si="12"/>
        <v>16.779390379506399</v>
      </c>
      <c r="T13" s="53">
        <f t="shared" si="12"/>
        <v>18.905867191878837</v>
      </c>
      <c r="U13" s="53">
        <f t="shared" si="12"/>
        <v>21.301835537095073</v>
      </c>
      <c r="V13" s="71">
        <f>U13*(1+WACC!$B$13)/(WACC!$B$14-WACC!$B$13)</f>
        <v>202.841082682181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6.4574928281092312</v>
      </c>
      <c r="M14" s="62">
        <f>M13/((1+WACC!$B$14)^(M3-$K$3))</f>
        <v>6.4552799804314036</v>
      </c>
      <c r="N14" s="62">
        <f>N13/((1+WACC!$B$14)^(N3-$K$3))</f>
        <v>6.4530678910501784</v>
      </c>
      <c r="O14" s="62">
        <f>O13/((1+WACC!$B$14)^(O3-$K$3))</f>
        <v>6.4508565597056959</v>
      </c>
      <c r="P14" s="62">
        <f>P13/((1+WACC!$B$14)^(P3-$K$3))</f>
        <v>6.4486459861381977</v>
      </c>
      <c r="Q14" s="62">
        <f>Q13/((1+WACC!$B$14)^(Q3-$K$3))</f>
        <v>6.4464361700880062</v>
      </c>
      <c r="R14" s="62">
        <f>R13/((1+WACC!$B$14)^(R3-$K$3))</f>
        <v>6.4442271112955378</v>
      </c>
      <c r="S14" s="62">
        <f>S13/((1+WACC!$B$14)^(S3-$K$3))</f>
        <v>6.442018809501298</v>
      </c>
      <c r="T14" s="62">
        <f>T13/((1+WACC!$B$14)^(T3-$K$3))</f>
        <v>6.4398112644458756</v>
      </c>
      <c r="U14" s="62">
        <f>U13/((1+WACC!$B$14)^(U3-$K$3))</f>
        <v>6.4376044758699544</v>
      </c>
      <c r="V14" s="63">
        <f>V13/((1+WACC!$B$14)^(U3-$K$3))</f>
        <v>61.300382283544238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61.300382283544238</v>
      </c>
      <c r="L17" s="16">
        <f>C17/$C$19</f>
        <v>0.48737810372348406</v>
      </c>
      <c r="O17" s="18"/>
    </row>
    <row r="18" spans="2:22" x14ac:dyDescent="0.25">
      <c r="B18" s="8" t="s">
        <v>26</v>
      </c>
      <c r="C18" s="32">
        <f>SUM(14:14)-V14</f>
        <v>64.475441076635391</v>
      </c>
      <c r="K18" s="3"/>
      <c r="L18" s="16">
        <f>C18/$C$19</f>
        <v>0.51262189627651589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125.77582336017963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10.927971188475389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7.3925570228091235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129.31123752584591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3.4361148296891297E-2</v>
      </c>
    </row>
    <row r="3" spans="1:6" x14ac:dyDescent="0.25">
      <c r="A3" s="73" t="s">
        <v>34</v>
      </c>
      <c r="B3">
        <v>26847000000</v>
      </c>
      <c r="C3">
        <v>6565000000</v>
      </c>
      <c r="D3">
        <v>833000000</v>
      </c>
      <c r="E3">
        <v>9103000000</v>
      </c>
      <c r="F3">
        <v>3.918398941634238E-2</v>
      </c>
    </row>
    <row r="4" spans="1:6" x14ac:dyDescent="0.25">
      <c r="A4" s="73" t="s">
        <v>35</v>
      </c>
      <c r="B4">
        <v>26501000000</v>
      </c>
      <c r="C4">
        <v>6805000000</v>
      </c>
      <c r="D4">
        <v>836000000</v>
      </c>
      <c r="E4">
        <v>7557000000</v>
      </c>
      <c r="F4">
        <v>-1.4099764253393651E-2</v>
      </c>
    </row>
    <row r="5" spans="1:6" x14ac:dyDescent="0.25">
      <c r="A5" s="73" t="s">
        <v>36</v>
      </c>
      <c r="B5">
        <v>26485000000</v>
      </c>
      <c r="C5">
        <v>7707000000</v>
      </c>
      <c r="D5">
        <v>837000000</v>
      </c>
      <c r="E5">
        <v>7492000000</v>
      </c>
      <c r="F5">
        <v>-3.7936349903546551E-2</v>
      </c>
    </row>
    <row r="6" spans="1:6" x14ac:dyDescent="0.25">
      <c r="A6" s="73" t="s">
        <v>37</v>
      </c>
      <c r="B6">
        <v>26517000000</v>
      </c>
      <c r="C6">
        <v>7594000000</v>
      </c>
      <c r="D6">
        <v>842000000</v>
      </c>
      <c r="E6">
        <v>6869000000</v>
      </c>
      <c r="F6">
        <v>-8.9626611349829632E-2</v>
      </c>
    </row>
    <row r="7" spans="1:6" x14ac:dyDescent="0.25">
      <c r="A7" s="73" t="s">
        <v>38</v>
      </c>
      <c r="B7">
        <v>26543000000</v>
      </c>
      <c r="C7">
        <v>6982000000</v>
      </c>
      <c r="D7">
        <v>843000000</v>
      </c>
      <c r="E7">
        <v>6535000000</v>
      </c>
      <c r="F7">
        <v>-5.5228527607361973E-2</v>
      </c>
    </row>
    <row r="8" spans="1:6" x14ac:dyDescent="0.25">
      <c r="A8" s="73" t="s">
        <v>39</v>
      </c>
      <c r="B8">
        <v>26638000000</v>
      </c>
      <c r="C8">
        <v>5913000000</v>
      </c>
      <c r="D8">
        <v>847000000</v>
      </c>
      <c r="E8">
        <v>5098000000</v>
      </c>
      <c r="F8">
        <v>2.1223378702962311E-2</v>
      </c>
    </row>
    <row r="9" spans="1:6" x14ac:dyDescent="0.25">
      <c r="A9" s="73" t="s">
        <v>40</v>
      </c>
      <c r="B9">
        <v>26253000000</v>
      </c>
      <c r="C9">
        <v>4081000000</v>
      </c>
      <c r="D9">
        <v>849000000</v>
      </c>
      <c r="E9">
        <v>4047000000</v>
      </c>
      <c r="F9">
        <v>6.6156912773082333E-2</v>
      </c>
    </row>
    <row r="10" spans="1:6" x14ac:dyDescent="0.25">
      <c r="A10" s="73" t="s">
        <v>41</v>
      </c>
      <c r="B10">
        <v>25785000000</v>
      </c>
      <c r="C10">
        <v>4612000000</v>
      </c>
      <c r="D10">
        <v>859000000</v>
      </c>
      <c r="E10">
        <v>2581000000</v>
      </c>
    </row>
    <row r="11" spans="1:6" x14ac:dyDescent="0.25">
      <c r="A11" s="73" t="s">
        <v>42</v>
      </c>
      <c r="B11">
        <v>25159000000</v>
      </c>
      <c r="C11">
        <v>4920000000</v>
      </c>
      <c r="D11">
        <v>869000000</v>
      </c>
      <c r="E11">
        <v>3548000000</v>
      </c>
    </row>
    <row r="12" spans="1:6" x14ac:dyDescent="0.25">
      <c r="A12" s="73" t="s">
        <v>43</v>
      </c>
      <c r="B12">
        <v>24835000000</v>
      </c>
      <c r="C12">
        <v>5210000000</v>
      </c>
      <c r="D12">
        <v>883000000</v>
      </c>
      <c r="E12">
        <v>3922000000</v>
      </c>
      <c r="F12">
        <v>0.1420297384450018</v>
      </c>
    </row>
    <row r="13" spans="1:6" x14ac:dyDescent="0.25">
      <c r="A13" s="73" t="s">
        <v>44</v>
      </c>
      <c r="B13">
        <v>24172000000</v>
      </c>
      <c r="C13">
        <v>5988000000</v>
      </c>
      <c r="D13">
        <v>897000000</v>
      </c>
      <c r="E13">
        <v>5737000000</v>
      </c>
      <c r="F13">
        <v>0.19434327779930261</v>
      </c>
    </row>
    <row r="14" spans="1:6" x14ac:dyDescent="0.25">
      <c r="A14" s="73" t="s">
        <v>45</v>
      </c>
      <c r="B14">
        <v>23063000000</v>
      </c>
      <c r="C14">
        <v>4774000000</v>
      </c>
      <c r="D14">
        <v>907000000</v>
      </c>
      <c r="E14">
        <v>5459000000</v>
      </c>
      <c r="F14">
        <v>0.32644837883959038</v>
      </c>
    </row>
    <row r="15" spans="1:6" x14ac:dyDescent="0.25">
      <c r="A15" s="73" t="s">
        <v>46</v>
      </c>
      <c r="B15">
        <v>21628000000</v>
      </c>
      <c r="C15">
        <v>4985000000</v>
      </c>
      <c r="D15">
        <v>918000000</v>
      </c>
      <c r="E15">
        <v>6510000000</v>
      </c>
      <c r="F15">
        <v>0.4517337883959045</v>
      </c>
    </row>
    <row r="16" spans="1:6" x14ac:dyDescent="0.25">
      <c r="A16" s="73" t="s">
        <v>47</v>
      </c>
      <c r="B16">
        <v>19827000000</v>
      </c>
      <c r="C16">
        <v>4216000000</v>
      </c>
      <c r="D16">
        <v>927000000</v>
      </c>
      <c r="E16">
        <v>6765000000</v>
      </c>
      <c r="F16">
        <v>0.36569623452110189</v>
      </c>
    </row>
    <row r="17" spans="1:6" x14ac:dyDescent="0.25">
      <c r="A17" s="73" t="s">
        <v>48</v>
      </c>
      <c r="B17">
        <v>18202000000</v>
      </c>
      <c r="C17">
        <v>3797000000</v>
      </c>
      <c r="D17">
        <v>925000000</v>
      </c>
      <c r="E17">
        <v>6623000000</v>
      </c>
      <c r="F17">
        <v>0.19405574243152321</v>
      </c>
    </row>
    <row r="18" spans="1:6" x14ac:dyDescent="0.25">
      <c r="A18" s="73" t="s">
        <v>49</v>
      </c>
      <c r="B18">
        <v>17202000000</v>
      </c>
      <c r="C18">
        <v>3382000000</v>
      </c>
      <c r="D18">
        <v>921000000</v>
      </c>
      <c r="E18">
        <v>5738000000</v>
      </c>
      <c r="F18">
        <v>0.16341315689930741</v>
      </c>
    </row>
    <row r="19" spans="1:6" x14ac:dyDescent="0.25">
      <c r="A19" s="73" t="s">
        <v>50</v>
      </c>
      <c r="B19">
        <v>16268000000</v>
      </c>
      <c r="C19">
        <v>2958000000</v>
      </c>
      <c r="D19">
        <v>922000000</v>
      </c>
      <c r="E19">
        <v>4756000000</v>
      </c>
      <c r="F19">
        <v>0.1058155794497473</v>
      </c>
    </row>
    <row r="20" spans="1:6" x14ac:dyDescent="0.25">
      <c r="A20" s="73" t="s">
        <v>51</v>
      </c>
      <c r="B20">
        <v>15435000000</v>
      </c>
      <c r="C20">
        <v>2872000000</v>
      </c>
      <c r="D20">
        <v>923000000</v>
      </c>
      <c r="E20">
        <v>5704000000</v>
      </c>
      <c r="F20">
        <v>0.1809277677309975</v>
      </c>
    </row>
    <row r="21" spans="1:6" x14ac:dyDescent="0.25">
      <c r="A21" s="73" t="s">
        <v>52</v>
      </c>
      <c r="B21">
        <v>15017000000</v>
      </c>
      <c r="C21">
        <v>2990000000</v>
      </c>
      <c r="D21">
        <v>927000000</v>
      </c>
      <c r="E21">
        <v>3960000000</v>
      </c>
      <c r="F21">
        <v>5.2398897148947521E-2</v>
      </c>
    </row>
    <row r="22" spans="1:6" x14ac:dyDescent="0.25">
      <c r="A22" s="73" t="s">
        <v>53</v>
      </c>
      <c r="B22">
        <v>14608000000</v>
      </c>
      <c r="C22">
        <v>2806000000</v>
      </c>
      <c r="D22">
        <v>931000000</v>
      </c>
      <c r="E22">
        <v>3618000000</v>
      </c>
      <c r="F22">
        <v>-0.1115346287992028</v>
      </c>
    </row>
    <row r="23" spans="1:6" x14ac:dyDescent="0.25">
      <c r="A23" s="73" t="s">
        <v>54</v>
      </c>
      <c r="B23">
        <v>14868000000</v>
      </c>
      <c r="C23">
        <v>2989000000</v>
      </c>
      <c r="D23">
        <v>937000000</v>
      </c>
      <c r="E23">
        <v>3561000000</v>
      </c>
      <c r="F23">
        <v>-0.24586851857654429</v>
      </c>
    </row>
    <row r="24" spans="1:6" x14ac:dyDescent="0.25">
      <c r="A24" s="73" t="s">
        <v>55</v>
      </c>
      <c r="B24">
        <v>15774000000</v>
      </c>
      <c r="C24">
        <v>2795000000</v>
      </c>
      <c r="D24">
        <v>948000000</v>
      </c>
      <c r="E24">
        <v>3623000000</v>
      </c>
      <c r="F24">
        <v>-0.26937345566017079</v>
      </c>
    </row>
    <row r="25" spans="1:6" x14ac:dyDescent="0.25">
      <c r="A25" s="73" t="s">
        <v>56</v>
      </c>
      <c r="B25">
        <v>16802000000</v>
      </c>
      <c r="C25">
        <v>2603000000</v>
      </c>
      <c r="D25">
        <v>965000000</v>
      </c>
      <c r="E25">
        <v>3712000000</v>
      </c>
      <c r="F25">
        <v>-0.12932128139866789</v>
      </c>
    </row>
    <row r="26" spans="1:6" x14ac:dyDescent="0.25">
      <c r="A26" s="73" t="s">
        <v>57</v>
      </c>
      <c r="B26">
        <v>17253000000</v>
      </c>
      <c r="C26">
        <v>3165000000</v>
      </c>
      <c r="D26">
        <v>984000000</v>
      </c>
      <c r="E26">
        <v>4030000000</v>
      </c>
      <c r="F26">
        <v>-5.2910052910052907E-2</v>
      </c>
    </row>
    <row r="27" spans="1:6" x14ac:dyDescent="0.25">
      <c r="A27" s="73" t="s">
        <v>58</v>
      </c>
      <c r="B27">
        <v>17208000000</v>
      </c>
      <c r="C27">
        <v>2828000000</v>
      </c>
      <c r="D27">
        <v>1005000000</v>
      </c>
      <c r="E27">
        <v>3984000000</v>
      </c>
      <c r="F27">
        <v>8.3854166666666563E-2</v>
      </c>
    </row>
    <row r="28" spans="1:6" x14ac:dyDescent="0.25">
      <c r="A28" s="73" t="s">
        <v>59</v>
      </c>
      <c r="B28">
        <v>16484000000</v>
      </c>
      <c r="C28">
        <v>3614000000</v>
      </c>
      <c r="D28">
        <v>1040000000</v>
      </c>
      <c r="E28">
        <v>5352000000</v>
      </c>
      <c r="F28">
        <v>0.20663781838691489</v>
      </c>
    </row>
    <row r="29" spans="1:6" x14ac:dyDescent="0.25">
      <c r="A29" s="73" t="s">
        <v>60</v>
      </c>
      <c r="B29">
        <v>15463000000</v>
      </c>
      <c r="C29">
        <v>3945000000</v>
      </c>
      <c r="D29">
        <v>1071000000</v>
      </c>
      <c r="E29">
        <v>7454000000</v>
      </c>
      <c r="F29">
        <v>0.1859797159853569</v>
      </c>
    </row>
    <row r="30" spans="1:6" x14ac:dyDescent="0.25">
      <c r="A30" s="73" t="s">
        <v>61</v>
      </c>
      <c r="B30">
        <v>14537000000</v>
      </c>
      <c r="C30">
        <v>3264000000</v>
      </c>
      <c r="D30">
        <v>1076000000</v>
      </c>
      <c r="E30">
        <v>7276000000</v>
      </c>
      <c r="F30">
        <v>0.22571513345465569</v>
      </c>
    </row>
    <row r="31" spans="1:6" x14ac:dyDescent="0.25">
      <c r="A31" s="73" t="s">
        <v>62</v>
      </c>
      <c r="B31">
        <v>13865000000</v>
      </c>
      <c r="C31">
        <v>3398000000</v>
      </c>
      <c r="D31">
        <v>1083000000</v>
      </c>
      <c r="E31">
        <v>7231000000</v>
      </c>
      <c r="F31">
        <v>0.29632408082240352</v>
      </c>
    </row>
    <row r="32" spans="1:6" x14ac:dyDescent="0.25">
      <c r="A32" s="73" t="s">
        <v>63</v>
      </c>
      <c r="B32">
        <v>12942000000</v>
      </c>
      <c r="C32">
        <v>3043000000</v>
      </c>
      <c r="D32">
        <v>1087000000</v>
      </c>
      <c r="E32">
        <v>6744000000</v>
      </c>
      <c r="F32">
        <v>0.39238439673469377</v>
      </c>
    </row>
    <row r="33" spans="1:6" x14ac:dyDescent="0.25">
      <c r="A33" s="73" t="s">
        <v>64</v>
      </c>
      <c r="B33">
        <v>11846000000</v>
      </c>
      <c r="C33">
        <v>2656000000</v>
      </c>
      <c r="D33">
        <v>1089000000</v>
      </c>
      <c r="E33">
        <v>4147000000</v>
      </c>
      <c r="F33">
        <v>0.43069323260965892</v>
      </c>
    </row>
    <row r="34" spans="1:6" x14ac:dyDescent="0.25">
      <c r="A34" s="73" t="s">
        <v>65</v>
      </c>
      <c r="B34">
        <v>10825000000</v>
      </c>
      <c r="C34">
        <v>2213000000</v>
      </c>
      <c r="D34">
        <v>1093000000</v>
      </c>
      <c r="E34">
        <v>3749000000</v>
      </c>
      <c r="F34">
        <v>0.37121851942567557</v>
      </c>
    </row>
    <row r="35" spans="1:6" x14ac:dyDescent="0.25">
      <c r="A35" s="73" t="s">
        <v>66</v>
      </c>
      <c r="B35">
        <v>9896000000</v>
      </c>
      <c r="C35">
        <v>1922000000</v>
      </c>
      <c r="D35">
        <v>1093000000</v>
      </c>
      <c r="E35">
        <v>3266000000</v>
      </c>
      <c r="F35">
        <v>8.7614457831325376E-2</v>
      </c>
    </row>
    <row r="36" spans="1:6" x14ac:dyDescent="0.25">
      <c r="A36" s="73" t="s">
        <v>67</v>
      </c>
      <c r="B36">
        <v>9565000000</v>
      </c>
      <c r="C36">
        <v>1274000000</v>
      </c>
      <c r="D36">
        <v>1119000000</v>
      </c>
      <c r="E36">
        <v>2640000000</v>
      </c>
      <c r="F36">
        <v>-5.5740232596232619E-2</v>
      </c>
    </row>
    <row r="37" spans="1:6" x14ac:dyDescent="0.25">
      <c r="A37" s="73" t="s">
        <v>68</v>
      </c>
      <c r="B37">
        <v>9557000000</v>
      </c>
      <c r="C37">
        <v>1074000000</v>
      </c>
      <c r="D37">
        <v>1154000000</v>
      </c>
      <c r="E37">
        <v>3116000000</v>
      </c>
      <c r="F37">
        <v>-8.0037173802458672E-2</v>
      </c>
    </row>
    <row r="38" spans="1:6" x14ac:dyDescent="0.25">
      <c r="A38" s="73" t="s">
        <v>69</v>
      </c>
      <c r="B38">
        <v>9659000000</v>
      </c>
      <c r="C38">
        <v>946000000</v>
      </c>
      <c r="D38">
        <v>1190000000</v>
      </c>
      <c r="E38">
        <v>4965000000</v>
      </c>
      <c r="F38">
        <v>4.5936395759717419E-2</v>
      </c>
    </row>
    <row r="39" spans="1:6" x14ac:dyDescent="0.25">
      <c r="A39" s="73" t="s">
        <v>70</v>
      </c>
      <c r="B39">
        <v>9555000000</v>
      </c>
      <c r="C39">
        <v>872000000</v>
      </c>
      <c r="D39">
        <v>1231000000</v>
      </c>
      <c r="E39">
        <v>2743000000</v>
      </c>
      <c r="F39">
        <v>9.9337748344370924E-2</v>
      </c>
    </row>
    <row r="40" spans="1:6" x14ac:dyDescent="0.25">
      <c r="A40" s="73" t="s">
        <v>71</v>
      </c>
      <c r="B40">
        <v>9330000000</v>
      </c>
      <c r="C40">
        <v>1108000000</v>
      </c>
      <c r="D40">
        <v>1241000000</v>
      </c>
      <c r="E40">
        <v>3230000000</v>
      </c>
      <c r="F40">
        <v>2.037017849553679E-3</v>
      </c>
    </row>
    <row r="41" spans="1:6" x14ac:dyDescent="0.25">
      <c r="A41" s="73" t="s">
        <v>72</v>
      </c>
      <c r="B41">
        <v>9241000000</v>
      </c>
      <c r="C41">
        <v>1246000000</v>
      </c>
      <c r="D41">
        <v>1240000000</v>
      </c>
      <c r="E41">
        <v>3087000000</v>
      </c>
      <c r="F41">
        <v>7.7168949771689421E-2</v>
      </c>
    </row>
    <row r="42" spans="1:6" x14ac:dyDescent="0.25">
      <c r="A42" s="73" t="s">
        <v>73</v>
      </c>
      <c r="B42">
        <v>9072000000</v>
      </c>
      <c r="C42">
        <v>1559000000</v>
      </c>
      <c r="D42">
        <v>1236000000</v>
      </c>
      <c r="E42">
        <v>3162000000</v>
      </c>
      <c r="F42">
        <v>0.1388329979879275</v>
      </c>
    </row>
    <row r="43" spans="1:6" x14ac:dyDescent="0.25">
      <c r="A43" s="73" t="s">
        <v>74</v>
      </c>
      <c r="B43">
        <v>8796000000</v>
      </c>
      <c r="C43">
        <v>1184000000</v>
      </c>
      <c r="D43">
        <v>1233000000</v>
      </c>
      <c r="E43">
        <v>2871000000</v>
      </c>
      <c r="F43">
        <v>0.10587703392405071</v>
      </c>
    </row>
    <row r="44" spans="1:6" x14ac:dyDescent="0.25">
      <c r="A44" s="73" t="s">
        <v>75</v>
      </c>
      <c r="B44">
        <v>8506000000</v>
      </c>
      <c r="C44">
        <v>989000000</v>
      </c>
      <c r="D44">
        <v>1229000000</v>
      </c>
      <c r="E44">
        <v>2599000000</v>
      </c>
      <c r="F44">
        <v>0.19260010136847441</v>
      </c>
    </row>
    <row r="45" spans="1:6" x14ac:dyDescent="0.25">
      <c r="A45" s="73" t="s">
        <v>76</v>
      </c>
      <c r="B45">
        <v>8126000000</v>
      </c>
      <c r="C45">
        <v>790000000</v>
      </c>
      <c r="D45">
        <v>1225000000</v>
      </c>
      <c r="E45">
        <v>2289000000</v>
      </c>
      <c r="F45">
        <v>0.3317117660521296</v>
      </c>
    </row>
    <row r="46" spans="1:6" x14ac:dyDescent="0.25">
      <c r="A46" s="73" t="s">
        <v>77</v>
      </c>
      <c r="B46">
        <v>7509000000</v>
      </c>
      <c r="C46">
        <v>433000000</v>
      </c>
      <c r="D46">
        <v>1222000000</v>
      </c>
      <c r="E46">
        <v>1891000000</v>
      </c>
      <c r="F46">
        <v>0.1442092472660996</v>
      </c>
    </row>
    <row r="47" spans="1:6" x14ac:dyDescent="0.25">
      <c r="A47" s="73" t="s">
        <v>78</v>
      </c>
      <c r="B47">
        <v>7167000000</v>
      </c>
      <c r="C47">
        <v>834000000</v>
      </c>
      <c r="D47">
        <v>1220000000</v>
      </c>
      <c r="E47">
        <v>1975000000</v>
      </c>
      <c r="F47">
        <v>-0.1102337934272301</v>
      </c>
    </row>
    <row r="48" spans="1:6" x14ac:dyDescent="0.25">
      <c r="A48" s="73" t="s">
        <v>79</v>
      </c>
      <c r="B48">
        <v>7535000000</v>
      </c>
      <c r="C48">
        <v>1121000000</v>
      </c>
      <c r="D48">
        <v>1203000000</v>
      </c>
      <c r="E48">
        <v>1770000000</v>
      </c>
      <c r="F48">
        <v>-0.36912140889413608</v>
      </c>
    </row>
    <row r="49" spans="1:6" x14ac:dyDescent="0.25">
      <c r="A49" s="73" t="s">
        <v>80</v>
      </c>
      <c r="B49">
        <v>8103000000</v>
      </c>
      <c r="C49">
        <v>1512000000</v>
      </c>
      <c r="D49">
        <v>1212000000</v>
      </c>
      <c r="E49">
        <v>1753000000</v>
      </c>
      <c r="F49">
        <v>-0.64070351758793964</v>
      </c>
    </row>
    <row r="50" spans="1:6" x14ac:dyDescent="0.25">
      <c r="A50" s="73" t="s">
        <v>81</v>
      </c>
      <c r="B50">
        <v>8719000000</v>
      </c>
      <c r="C50">
        <v>1689000000</v>
      </c>
      <c r="D50">
        <v>1220000000</v>
      </c>
      <c r="E50">
        <v>1937000000</v>
      </c>
      <c r="F50">
        <v>-0.62265016047684552</v>
      </c>
    </row>
    <row r="51" spans="1:6" x14ac:dyDescent="0.25">
      <c r="A51" s="73" t="s">
        <v>82</v>
      </c>
      <c r="B51">
        <v>9254000000</v>
      </c>
      <c r="C51">
        <v>1944000000</v>
      </c>
      <c r="D51">
        <v>1268000000</v>
      </c>
      <c r="E51">
        <v>2164000000</v>
      </c>
      <c r="F51">
        <v>-0.22936849659131689</v>
      </c>
    </row>
    <row r="52" spans="1:6" x14ac:dyDescent="0.25">
      <c r="A52" s="73" t="s">
        <v>83</v>
      </c>
      <c r="B52">
        <v>9698000000</v>
      </c>
      <c r="C52">
        <v>1877000000</v>
      </c>
      <c r="D52">
        <v>1301000000</v>
      </c>
      <c r="E52">
        <v>2170000000</v>
      </c>
      <c r="F52">
        <v>-0.2108082928022362</v>
      </c>
    </row>
    <row r="53" spans="1:6" x14ac:dyDescent="0.25">
      <c r="A53" s="73" t="s">
        <v>84</v>
      </c>
      <c r="B53">
        <v>10019000000</v>
      </c>
      <c r="C53">
        <v>1960000000</v>
      </c>
      <c r="D53">
        <v>1310000000</v>
      </c>
      <c r="E53">
        <v>1997000000</v>
      </c>
      <c r="F53">
        <v>-0.4566890048399106</v>
      </c>
    </row>
    <row r="54" spans="1:6" x14ac:dyDescent="0.25">
      <c r="A54" s="73" t="s">
        <v>85</v>
      </c>
      <c r="B54">
        <v>10516000000</v>
      </c>
      <c r="C54">
        <v>2217000000</v>
      </c>
      <c r="D54">
        <v>1330000000</v>
      </c>
      <c r="E54">
        <v>6243000000</v>
      </c>
      <c r="F54">
        <v>-0.31604540687734167</v>
      </c>
    </row>
    <row r="55" spans="1:6" x14ac:dyDescent="0.25">
      <c r="A55" s="73" t="s">
        <v>86</v>
      </c>
      <c r="B55">
        <v>11221435000</v>
      </c>
      <c r="C55">
        <v>2082082000</v>
      </c>
      <c r="D55">
        <v>1330000000</v>
      </c>
      <c r="E55">
        <v>5757000000</v>
      </c>
      <c r="F55">
        <v>4.3670384345001027E-2</v>
      </c>
    </row>
    <row r="56" spans="1:6" x14ac:dyDescent="0.25">
      <c r="A56" s="73" t="s">
        <v>87</v>
      </c>
      <c r="B56">
        <v>10952225000</v>
      </c>
      <c r="C56">
        <v>1800810000</v>
      </c>
      <c r="D56">
        <v>1333000000</v>
      </c>
      <c r="E56">
        <v>3308000000</v>
      </c>
      <c r="F56">
        <v>0.2139558491683875</v>
      </c>
    </row>
    <row r="57" spans="1:6" x14ac:dyDescent="0.25">
      <c r="A57" s="73" t="s">
        <v>88</v>
      </c>
      <c r="B57">
        <v>10385765000</v>
      </c>
      <c r="C57">
        <v>1641042000</v>
      </c>
      <c r="D57">
        <v>1335000000</v>
      </c>
      <c r="E57">
        <v>2746000000</v>
      </c>
      <c r="F57">
        <v>0.3316912773094518</v>
      </c>
    </row>
    <row r="58" spans="1:6" x14ac:dyDescent="0.25">
      <c r="A58" s="73" t="s">
        <v>89</v>
      </c>
      <c r="B58">
        <v>9548667000</v>
      </c>
      <c r="C58">
        <v>1553772000</v>
      </c>
      <c r="D58">
        <v>1348804000</v>
      </c>
      <c r="E58">
        <v>2584582000</v>
      </c>
      <c r="F58">
        <v>0.62835487495364895</v>
      </c>
    </row>
    <row r="59" spans="1:6" x14ac:dyDescent="0.25">
      <c r="A59" s="73" t="s">
        <v>90</v>
      </c>
      <c r="B59">
        <v>8188626000</v>
      </c>
      <c r="C59">
        <v>1242936000</v>
      </c>
      <c r="D59">
        <v>1348808000</v>
      </c>
      <c r="E59">
        <v>2348136000</v>
      </c>
      <c r="F59">
        <v>0.91447531268192006</v>
      </c>
    </row>
    <row r="60" spans="1:6" x14ac:dyDescent="0.25">
      <c r="A60" s="73" t="s">
        <v>91</v>
      </c>
      <c r="B60">
        <v>6804576000</v>
      </c>
      <c r="C60">
        <v>1114216000</v>
      </c>
      <c r="D60">
        <v>1352436000</v>
      </c>
      <c r="E60">
        <v>2334862000</v>
      </c>
      <c r="F60">
        <v>1.148033030839829</v>
      </c>
    </row>
    <row r="61" spans="1:6" x14ac:dyDescent="0.25">
      <c r="A61" s="73" t="s">
        <v>92</v>
      </c>
      <c r="B61">
        <v>5529113000</v>
      </c>
      <c r="C61">
        <v>656503000</v>
      </c>
      <c r="D61">
        <v>1349567000</v>
      </c>
      <c r="E61">
        <v>2154176000</v>
      </c>
      <c r="F61">
        <v>0.38660982933802113</v>
      </c>
    </row>
    <row r="62" spans="1:6" x14ac:dyDescent="0.25">
      <c r="A62" s="73" t="s">
        <v>93</v>
      </c>
      <c r="B62">
        <v>5013607000</v>
      </c>
      <c r="C62">
        <v>84238000</v>
      </c>
      <c r="D62">
        <v>1333091000</v>
      </c>
      <c r="E62">
        <v>2214730000</v>
      </c>
      <c r="F62">
        <v>-0.79630298280990586</v>
      </c>
    </row>
    <row r="63" spans="1:6" x14ac:dyDescent="0.25">
      <c r="A63" s="73" t="s">
        <v>94</v>
      </c>
      <c r="B63">
        <v>5530890000</v>
      </c>
      <c r="C63">
        <v>-47085000</v>
      </c>
      <c r="D63">
        <v>1333278000</v>
      </c>
      <c r="E63">
        <v>2138658000</v>
      </c>
      <c r="F63">
        <v>0.63578202847360199</v>
      </c>
    </row>
    <row r="64" spans="1:6" x14ac:dyDescent="0.25">
      <c r="A64" s="73" t="s">
        <v>95</v>
      </c>
      <c r="B64">
        <v>6245318000</v>
      </c>
      <c r="C64">
        <v>67512000</v>
      </c>
      <c r="D64">
        <v>1331729000</v>
      </c>
      <c r="E64">
        <v>2064365000</v>
      </c>
      <c r="F64">
        <v>-0.6046120354530562</v>
      </c>
    </row>
    <row r="65" spans="1:6" x14ac:dyDescent="0.25">
      <c r="A65" s="73" t="s">
        <v>96</v>
      </c>
      <c r="B65">
        <v>7375239000</v>
      </c>
      <c r="C65">
        <v>848440000</v>
      </c>
      <c r="D65">
        <v>1329223000</v>
      </c>
      <c r="E65">
        <v>1917392000</v>
      </c>
    </row>
    <row r="66" spans="1:6" x14ac:dyDescent="0.25">
      <c r="A66" s="73" t="s">
        <v>97</v>
      </c>
      <c r="B66">
        <v>8129240000</v>
      </c>
      <c r="C66">
        <v>1422562000</v>
      </c>
      <c r="D66">
        <v>1374507000</v>
      </c>
      <c r="E66">
        <v>2100668000</v>
      </c>
      <c r="F66">
        <v>-0.32846856923656681</v>
      </c>
    </row>
    <row r="67" spans="1:6" x14ac:dyDescent="0.25">
      <c r="A67" s="73" t="s">
        <v>98</v>
      </c>
      <c r="B67">
        <v>8452607000</v>
      </c>
      <c r="C67">
        <v>1991489000</v>
      </c>
      <c r="D67">
        <v>1367557000</v>
      </c>
      <c r="E67">
        <v>2297675000</v>
      </c>
      <c r="F67">
        <v>-0.27832426910906122</v>
      </c>
    </row>
    <row r="68" spans="1:6" x14ac:dyDescent="0.25">
      <c r="A68" s="73" t="s">
        <v>99</v>
      </c>
      <c r="B68">
        <v>9165423000</v>
      </c>
      <c r="C68">
        <v>2307481000</v>
      </c>
      <c r="D68">
        <v>1373314000</v>
      </c>
      <c r="E68">
        <v>2455356000</v>
      </c>
      <c r="F68">
        <v>-0.22087930158632271</v>
      </c>
    </row>
    <row r="69" spans="1:6" x14ac:dyDescent="0.25">
      <c r="A69" s="73" t="s">
        <v>100</v>
      </c>
      <c r="B69">
        <v>9544986000</v>
      </c>
      <c r="C69">
        <v>1937803000</v>
      </c>
      <c r="D69">
        <v>1383886000</v>
      </c>
      <c r="E69">
        <v>1905556000</v>
      </c>
      <c r="F69">
        <v>-0.20293473097357501</v>
      </c>
    </row>
    <row r="70" spans="1:6" x14ac:dyDescent="0.25">
      <c r="A70" s="73" t="s">
        <v>101</v>
      </c>
      <c r="B70">
        <v>9734856000</v>
      </c>
      <c r="C70">
        <v>1944512000</v>
      </c>
      <c r="D70">
        <v>1427002000</v>
      </c>
      <c r="E70">
        <v>2369579000</v>
      </c>
      <c r="F70">
        <v>-9.1408346844469635E-2</v>
      </c>
    </row>
    <row r="71" spans="1:6" x14ac:dyDescent="0.25">
      <c r="A71" s="73" t="s">
        <v>102</v>
      </c>
      <c r="B71">
        <v>9886105000</v>
      </c>
      <c r="C71">
        <v>1927378000</v>
      </c>
      <c r="D71">
        <v>1407264000</v>
      </c>
      <c r="E71">
        <v>2407936000</v>
      </c>
      <c r="F71">
        <v>-7.9403110665346111E-2</v>
      </c>
    </row>
    <row r="72" spans="1:6" x14ac:dyDescent="0.25">
      <c r="A72" s="73" t="s">
        <v>103</v>
      </c>
      <c r="B72">
        <v>9868564000</v>
      </c>
      <c r="C72">
        <v>1685170000</v>
      </c>
      <c r="D72">
        <v>1407255000</v>
      </c>
      <c r="E72">
        <v>2017793000</v>
      </c>
      <c r="F72">
        <v>-7.318015060822558E-2</v>
      </c>
    </row>
    <row r="73" spans="1:6" x14ac:dyDescent="0.25">
      <c r="A73" s="73" t="s">
        <v>104</v>
      </c>
      <c r="B73">
        <v>9586689000</v>
      </c>
      <c r="C73">
        <v>1715624000</v>
      </c>
      <c r="D73">
        <v>1409014000</v>
      </c>
      <c r="E73">
        <v>2082820000</v>
      </c>
      <c r="F73">
        <v>0.18215833024690031</v>
      </c>
    </row>
    <row r="74" spans="1:6" x14ac:dyDescent="0.25">
      <c r="A74" s="73" t="s">
        <v>105</v>
      </c>
      <c r="B74">
        <v>9167014000</v>
      </c>
      <c r="C74">
        <v>1756245000</v>
      </c>
      <c r="D74">
        <v>1565072000</v>
      </c>
      <c r="E74">
        <v>1897338000</v>
      </c>
      <c r="F74">
        <v>0.51458764987311723</v>
      </c>
    </row>
    <row r="75" spans="1:6" x14ac:dyDescent="0.25">
      <c r="A75" s="73" t="s">
        <v>106</v>
      </c>
      <c r="B75">
        <v>8366841000</v>
      </c>
      <c r="C75">
        <v>1291423000</v>
      </c>
      <c r="D75">
        <v>1562615000</v>
      </c>
      <c r="E75">
        <v>2832776000</v>
      </c>
      <c r="F75">
        <v>0.46110789748139941</v>
      </c>
    </row>
    <row r="76" spans="1:6" x14ac:dyDescent="0.25">
      <c r="A76" s="73" t="s">
        <v>107</v>
      </c>
      <c r="B76">
        <v>7455336000</v>
      </c>
      <c r="C76">
        <v>1246409000</v>
      </c>
      <c r="D76">
        <v>1586404000</v>
      </c>
      <c r="E76">
        <v>3328777000</v>
      </c>
      <c r="F76">
        <v>6.8322454087145434E-2</v>
      </c>
    </row>
    <row r="77" spans="1:6" x14ac:dyDescent="0.25">
      <c r="A77" s="73" t="s">
        <v>108</v>
      </c>
      <c r="B77">
        <v>7068839000</v>
      </c>
      <c r="C77">
        <v>1205738000</v>
      </c>
      <c r="D77">
        <v>1608165000</v>
      </c>
      <c r="E77">
        <v>5808136000</v>
      </c>
      <c r="F77">
        <v>-1.8110200856352069E-2</v>
      </c>
    </row>
    <row r="78" spans="1:6" x14ac:dyDescent="0.25">
      <c r="A78" s="73" t="s">
        <v>109</v>
      </c>
      <c r="B78">
        <v>6991823000</v>
      </c>
      <c r="C78">
        <v>1047490000</v>
      </c>
      <c r="D78">
        <v>1657493000</v>
      </c>
      <c r="E78">
        <v>5935341000</v>
      </c>
      <c r="F78">
        <v>-0.35784113067418</v>
      </c>
    </row>
    <row r="79" spans="1:6" x14ac:dyDescent="0.25">
      <c r="A79" s="73" t="s">
        <v>110</v>
      </c>
      <c r="B79">
        <v>7477061000</v>
      </c>
      <c r="C79">
        <v>1379366000</v>
      </c>
      <c r="D79">
        <v>1641818000</v>
      </c>
      <c r="E79">
        <v>6228443000</v>
      </c>
      <c r="F79">
        <v>-0.27021955573681927</v>
      </c>
    </row>
    <row r="80" spans="1:6" x14ac:dyDescent="0.25">
      <c r="A80" s="73" t="s">
        <v>111</v>
      </c>
      <c r="B80">
        <v>8081275000</v>
      </c>
      <c r="C80">
        <v>1747238000</v>
      </c>
      <c r="D80">
        <v>1671822000</v>
      </c>
      <c r="E80">
        <v>6406863000</v>
      </c>
      <c r="F80">
        <v>-0.12898486451398719</v>
      </c>
    </row>
    <row r="81" spans="1:6" x14ac:dyDescent="0.25">
      <c r="A81" s="73" t="s">
        <v>112</v>
      </c>
      <c r="B81">
        <v>8238191000</v>
      </c>
      <c r="C81">
        <v>1500223000</v>
      </c>
      <c r="D81">
        <v>1687140000</v>
      </c>
      <c r="E81">
        <v>6398219000</v>
      </c>
      <c r="F81">
        <v>7.7412310151159014E-2</v>
      </c>
    </row>
    <row r="82" spans="1:6" x14ac:dyDescent="0.25">
      <c r="A82" s="73" t="s">
        <v>113</v>
      </c>
      <c r="B82">
        <v>8013063000</v>
      </c>
      <c r="C82">
        <v>1436694000</v>
      </c>
      <c r="D82">
        <v>1721645000</v>
      </c>
      <c r="E82">
        <v>6577996000</v>
      </c>
      <c r="F82">
        <v>0.73767385040761746</v>
      </c>
    </row>
    <row r="83" spans="1:6" x14ac:dyDescent="0.25">
      <c r="A83" s="73" t="s">
        <v>114</v>
      </c>
      <c r="B83">
        <v>7030703000</v>
      </c>
      <c r="C83">
        <v>1163204000</v>
      </c>
      <c r="D83">
        <v>1721690000</v>
      </c>
      <c r="E83">
        <v>6596087000</v>
      </c>
      <c r="F83">
        <v>0.96381273204025542</v>
      </c>
    </row>
    <row r="84" spans="1:6" x14ac:dyDescent="0.25">
      <c r="A84" s="73" t="s">
        <v>115</v>
      </c>
      <c r="B84">
        <v>5889458000</v>
      </c>
      <c r="C84">
        <v>561406000</v>
      </c>
      <c r="D84">
        <v>1729506000</v>
      </c>
      <c r="E84">
        <v>5906689000</v>
      </c>
      <c r="F84">
        <v>0.57418781730473079</v>
      </c>
    </row>
    <row r="85" spans="1:6" x14ac:dyDescent="0.25">
      <c r="A85" s="73" t="s">
        <v>116</v>
      </c>
      <c r="B85">
        <v>4978530000</v>
      </c>
      <c r="C85">
        <v>667044000</v>
      </c>
      <c r="D85">
        <v>1735268000</v>
      </c>
      <c r="E85">
        <v>5697294000</v>
      </c>
      <c r="F85">
        <v>-1.638732642199037E-2</v>
      </c>
    </row>
    <row r="86" spans="1:6" x14ac:dyDescent="0.25">
      <c r="A86" s="73" t="s">
        <v>117</v>
      </c>
      <c r="B86">
        <v>4477291000</v>
      </c>
      <c r="C86">
        <v>536474000</v>
      </c>
      <c r="D86">
        <v>1659557000</v>
      </c>
      <c r="E86">
        <v>5493206000</v>
      </c>
      <c r="F86">
        <v>-0.32434021489965398</v>
      </c>
    </row>
    <row r="87" spans="1:6" x14ac:dyDescent="0.25">
      <c r="A87" s="73" t="s">
        <v>118</v>
      </c>
      <c r="B87">
        <v>4701991000</v>
      </c>
      <c r="C87">
        <v>472570000</v>
      </c>
      <c r="D87">
        <v>1659365000</v>
      </c>
      <c r="E87">
        <v>5232702000</v>
      </c>
      <c r="F87">
        <v>-0.39992409374096549</v>
      </c>
    </row>
    <row r="88" spans="1:6" x14ac:dyDescent="0.25">
      <c r="A88" s="73" t="s">
        <v>119</v>
      </c>
      <c r="B88">
        <v>5066766000</v>
      </c>
      <c r="C88">
        <v>452706000</v>
      </c>
      <c r="D88">
        <v>1655927000</v>
      </c>
      <c r="E88">
        <v>5219744000</v>
      </c>
      <c r="F88">
        <v>-0.21014948913592379</v>
      </c>
    </row>
    <row r="89" spans="1:6" x14ac:dyDescent="0.25">
      <c r="A89" s="73" t="s">
        <v>120</v>
      </c>
      <c r="B89">
        <v>5116061000</v>
      </c>
      <c r="C89">
        <v>71106000</v>
      </c>
      <c r="D89">
        <v>1650612000</v>
      </c>
      <c r="E89">
        <v>4988934000</v>
      </c>
      <c r="F89">
        <v>2.7838916098594648</v>
      </c>
    </row>
    <row r="90" spans="1:6" x14ac:dyDescent="0.25">
      <c r="A90" s="73" t="s">
        <v>121</v>
      </c>
      <c r="B90">
        <v>5062312000</v>
      </c>
      <c r="C90">
        <v>75058000</v>
      </c>
      <c r="D90">
        <v>1701557000</v>
      </c>
      <c r="E90">
        <v>4929526000</v>
      </c>
      <c r="F90">
        <v>-7.5848729918688518E-2</v>
      </c>
    </row>
    <row r="91" spans="1:6" x14ac:dyDescent="0.25">
      <c r="A91" s="73" t="s">
        <v>122</v>
      </c>
      <c r="B91">
        <v>4985424000</v>
      </c>
      <c r="C91">
        <v>224710000</v>
      </c>
      <c r="D91">
        <v>1703196000</v>
      </c>
      <c r="E91">
        <v>4852047000</v>
      </c>
      <c r="F91">
        <v>-0.21833306444176381</v>
      </c>
    </row>
    <row r="92" spans="1:6" x14ac:dyDescent="0.25">
      <c r="A92" s="73" t="s">
        <v>123</v>
      </c>
      <c r="B92">
        <v>4859613000</v>
      </c>
      <c r="C92">
        <v>310800000</v>
      </c>
      <c r="D92">
        <v>1719777000</v>
      </c>
      <c r="E92">
        <v>4790714000</v>
      </c>
      <c r="F92">
        <v>-0.59621563446778758</v>
      </c>
    </row>
    <row r="93" spans="1:6" x14ac:dyDescent="0.25">
      <c r="A93" s="73" t="s">
        <v>124</v>
      </c>
      <c r="B93">
        <v>5612576000</v>
      </c>
      <c r="C93">
        <v>1052328000</v>
      </c>
      <c r="D93">
        <v>1636418000</v>
      </c>
      <c r="E93">
        <v>4888287000</v>
      </c>
    </row>
    <row r="94" spans="1:6" x14ac:dyDescent="0.25">
      <c r="A94" s="73" t="s">
        <v>125</v>
      </c>
      <c r="B94">
        <v>7343248000</v>
      </c>
      <c r="C94">
        <v>869684000</v>
      </c>
      <c r="D94">
        <v>1694658000</v>
      </c>
      <c r="E94">
        <v>4841392000</v>
      </c>
      <c r="F94">
        <v>-0.56690773768450597</v>
      </c>
    </row>
    <row r="95" spans="1:6" x14ac:dyDescent="0.25">
      <c r="A95" s="73" t="s">
        <v>126</v>
      </c>
      <c r="B95">
        <v>8894601000</v>
      </c>
      <c r="C95">
        <v>1126157000</v>
      </c>
      <c r="D95">
        <v>1707810000</v>
      </c>
      <c r="E95">
        <v>4680922000</v>
      </c>
      <c r="F95">
        <v>-0.80772525025365771</v>
      </c>
    </row>
    <row r="96" spans="1:6" x14ac:dyDescent="0.25">
      <c r="A96" s="73" t="s">
        <v>127</v>
      </c>
      <c r="B96">
        <v>10292758000</v>
      </c>
      <c r="C96">
        <v>1309696000</v>
      </c>
      <c r="D96">
        <v>1695824000</v>
      </c>
      <c r="E96">
        <v>4540387000</v>
      </c>
      <c r="F96">
        <v>-2.3118850829052181E-2</v>
      </c>
    </row>
    <row r="97" spans="1:6" x14ac:dyDescent="0.25">
      <c r="A97" s="73" t="s">
        <v>128</v>
      </c>
      <c r="B97">
        <v>10573354000</v>
      </c>
      <c r="C97">
        <v>938138000</v>
      </c>
      <c r="D97">
        <v>1689786000</v>
      </c>
      <c r="E97">
        <v>3934002000</v>
      </c>
      <c r="F97">
        <v>0.33177546250749851</v>
      </c>
    </row>
    <row r="98" spans="1:6" x14ac:dyDescent="0.25">
      <c r="A98" s="73" t="s">
        <v>129</v>
      </c>
      <c r="B98">
        <v>9509222000</v>
      </c>
      <c r="C98">
        <v>1268560000</v>
      </c>
      <c r="D98">
        <v>1718338000</v>
      </c>
      <c r="E98">
        <v>4228039000</v>
      </c>
      <c r="F98">
        <v>0.81625846758224219</v>
      </c>
    </row>
    <row r="99" spans="1:6" x14ac:dyDescent="0.25">
      <c r="A99" s="73" t="s">
        <v>130</v>
      </c>
      <c r="B99">
        <v>8154559000</v>
      </c>
      <c r="C99">
        <v>1088659000</v>
      </c>
      <c r="D99">
        <v>1724142000</v>
      </c>
      <c r="E99">
        <v>3747328000</v>
      </c>
      <c r="F99">
        <v>0.85137276386466687</v>
      </c>
    </row>
    <row r="100" spans="1:6" x14ac:dyDescent="0.25">
      <c r="A100" s="73" t="s">
        <v>131</v>
      </c>
      <c r="B100">
        <v>6856031000</v>
      </c>
      <c r="C100">
        <v>1003645000</v>
      </c>
      <c r="D100">
        <v>1722400000</v>
      </c>
      <c r="E100">
        <v>3373928000</v>
      </c>
      <c r="F100">
        <v>0.88957204187544736</v>
      </c>
    </row>
    <row r="101" spans="1:6" x14ac:dyDescent="0.25">
      <c r="A101" s="73" t="s">
        <v>132</v>
      </c>
      <c r="B101">
        <v>5783600000</v>
      </c>
      <c r="C101">
        <v>778700000</v>
      </c>
      <c r="D101">
        <v>1698020000</v>
      </c>
      <c r="E101">
        <v>3004200000</v>
      </c>
      <c r="F101">
        <v>1.197384369023569</v>
      </c>
    </row>
    <row r="102" spans="1:6" x14ac:dyDescent="0.25">
      <c r="A102" s="73" t="s">
        <v>133</v>
      </c>
      <c r="B102">
        <v>4859100000</v>
      </c>
      <c r="C102">
        <v>729300000</v>
      </c>
      <c r="D102">
        <v>1584172000</v>
      </c>
      <c r="E102">
        <v>2760500000</v>
      </c>
      <c r="F102">
        <v>1.034777926322044</v>
      </c>
    </row>
    <row r="103" spans="1:6" x14ac:dyDescent="0.25">
      <c r="A103" s="73" t="s">
        <v>134</v>
      </c>
      <c r="B103">
        <v>3966800000</v>
      </c>
      <c r="C103">
        <v>504000000</v>
      </c>
      <c r="D103">
        <v>1648496000</v>
      </c>
      <c r="E103">
        <v>2258600000</v>
      </c>
      <c r="F103">
        <v>0.46064443188241938</v>
      </c>
    </row>
    <row r="104" spans="1:6" x14ac:dyDescent="0.25">
      <c r="A104" s="73" t="s">
        <v>135</v>
      </c>
      <c r="B104">
        <v>3417800000</v>
      </c>
      <c r="C104">
        <v>685400000</v>
      </c>
      <c r="D104">
        <v>1639664000</v>
      </c>
      <c r="E104">
        <v>2017700000</v>
      </c>
      <c r="F104">
        <v>-0.30333248321006551</v>
      </c>
    </row>
    <row r="105" spans="1:6" x14ac:dyDescent="0.25">
      <c r="A105" s="73" t="s">
        <v>136</v>
      </c>
      <c r="B105">
        <v>3476500000</v>
      </c>
      <c r="C105">
        <v>530100000</v>
      </c>
      <c r="D105">
        <v>1552932000</v>
      </c>
      <c r="E105">
        <v>1924300000</v>
      </c>
      <c r="F105">
        <v>-0.53157260839642118</v>
      </c>
    </row>
    <row r="106" spans="1:6" x14ac:dyDescent="0.25">
      <c r="A106" s="73" t="s">
        <v>137</v>
      </c>
      <c r="B106">
        <v>4041700000</v>
      </c>
      <c r="C106">
        <v>367800000</v>
      </c>
      <c r="D106">
        <v>1514032000</v>
      </c>
      <c r="E106">
        <v>1763600000</v>
      </c>
      <c r="F106">
        <v>-0.42164948453608242</v>
      </c>
    </row>
    <row r="107" spans="1:6" x14ac:dyDescent="0.25">
      <c r="A107" s="73" t="s">
        <v>138</v>
      </c>
      <c r="B107">
        <v>4648900000</v>
      </c>
      <c r="C107">
        <v>142700000</v>
      </c>
      <c r="D107">
        <v>1512288000</v>
      </c>
      <c r="E107">
        <v>1602800000</v>
      </c>
      <c r="F107">
        <v>-0.33068482784714343</v>
      </c>
    </row>
    <row r="108" spans="1:6" x14ac:dyDescent="0.25">
      <c r="A108" s="73" t="s">
        <v>139</v>
      </c>
      <c r="B108">
        <v>4821600000</v>
      </c>
      <c r="C108">
        <v>58200000</v>
      </c>
      <c r="D108">
        <v>1516988000</v>
      </c>
      <c r="E108">
        <v>1216200000</v>
      </c>
      <c r="F108">
        <v>0.30569430569430578</v>
      </c>
    </row>
    <row r="109" spans="1:6" x14ac:dyDescent="0.25">
      <c r="A109" s="73" t="s">
        <v>140</v>
      </c>
      <c r="B109">
        <v>4546200000</v>
      </c>
      <c r="C109">
        <v>203900000</v>
      </c>
      <c r="D109">
        <v>1526000000</v>
      </c>
      <c r="E109">
        <v>1398800000</v>
      </c>
      <c r="F109">
        <v>0.56460875807609479</v>
      </c>
    </row>
    <row r="110" spans="1:6" x14ac:dyDescent="0.25">
      <c r="A110" s="73" t="s">
        <v>141</v>
      </c>
      <c r="B110">
        <v>4074300000</v>
      </c>
      <c r="C110">
        <v>362300000</v>
      </c>
      <c r="D110">
        <v>3022704000</v>
      </c>
      <c r="E110">
        <v>1542900000</v>
      </c>
      <c r="F110">
        <v>0.35207341154605643</v>
      </c>
    </row>
    <row r="111" spans="1:6" x14ac:dyDescent="0.25">
      <c r="A111" s="73" t="s">
        <v>142</v>
      </c>
      <c r="B111">
        <v>3654800000</v>
      </c>
      <c r="C111">
        <v>644300000</v>
      </c>
      <c r="D111">
        <v>1516800000</v>
      </c>
      <c r="E111">
        <v>1103800000</v>
      </c>
      <c r="F111">
        <v>-0.24174287340864259</v>
      </c>
    </row>
    <row r="112" spans="1:6" x14ac:dyDescent="0.25">
      <c r="A112" s="73" t="s">
        <v>143</v>
      </c>
      <c r="B112">
        <v>3713000000</v>
      </c>
      <c r="C112">
        <v>503900000</v>
      </c>
      <c r="D112">
        <v>1503192000</v>
      </c>
      <c r="E112">
        <v>1074900000</v>
      </c>
      <c r="F112">
        <v>-0.31536483819487549</v>
      </c>
    </row>
    <row r="113" spans="1:6" x14ac:dyDescent="0.25">
      <c r="A113" s="73" t="s">
        <v>144</v>
      </c>
      <c r="B113">
        <v>3940000000</v>
      </c>
      <c r="C113">
        <v>301300000</v>
      </c>
      <c r="D113">
        <v>1483456000</v>
      </c>
      <c r="E113">
        <v>1066500000</v>
      </c>
      <c r="F113">
        <v>-0.33067461080146071</v>
      </c>
    </row>
    <row r="114" spans="1:6" x14ac:dyDescent="0.25">
      <c r="A114" s="73" t="s">
        <v>145</v>
      </c>
      <c r="B114">
        <v>4144800000</v>
      </c>
      <c r="C114">
        <v>239500000</v>
      </c>
      <c r="D114">
        <v>1468856000</v>
      </c>
      <c r="E114">
        <v>1037600000</v>
      </c>
    </row>
    <row r="115" spans="1:6" x14ac:dyDescent="0.25">
      <c r="A115" s="73" t="s">
        <v>146</v>
      </c>
      <c r="B115">
        <v>4266600000</v>
      </c>
      <c r="C115">
        <v>33400000</v>
      </c>
      <c r="D115">
        <v>1470434783</v>
      </c>
      <c r="E115">
        <v>787500000</v>
      </c>
    </row>
    <row r="116" spans="1:6" x14ac:dyDescent="0.25">
      <c r="A116" s="73" t="s">
        <v>147</v>
      </c>
      <c r="B116">
        <v>4048900000</v>
      </c>
      <c r="C116">
        <v>-191400000</v>
      </c>
      <c r="D116">
        <v>1429230769</v>
      </c>
      <c r="E116">
        <v>642400000</v>
      </c>
    </row>
    <row r="117" spans="1:6" x14ac:dyDescent="0.25">
      <c r="A117" s="73" t="s">
        <v>148</v>
      </c>
      <c r="B117">
        <v>3596400000</v>
      </c>
      <c r="C117">
        <v>-43000000</v>
      </c>
      <c r="D117">
        <v>1472008000</v>
      </c>
      <c r="E117">
        <v>812600000</v>
      </c>
    </row>
    <row r="118" spans="1:6" x14ac:dyDescent="0.25">
      <c r="A118" s="73" t="s">
        <v>149</v>
      </c>
      <c r="B118">
        <v>3061900000</v>
      </c>
      <c r="C118">
        <v>-122900000</v>
      </c>
      <c r="D118">
        <v>2837568000</v>
      </c>
      <c r="E118">
        <v>769300000</v>
      </c>
    </row>
    <row r="119" spans="1:6" x14ac:dyDescent="0.25">
      <c r="A119" s="73" t="s">
        <v>150</v>
      </c>
      <c r="B119">
        <v>2547000000</v>
      </c>
      <c r="C119">
        <v>-91100000</v>
      </c>
      <c r="D119">
        <v>1422032000</v>
      </c>
      <c r="E119">
        <v>699800000</v>
      </c>
    </row>
    <row r="120" spans="1:6" x14ac:dyDescent="0.25">
      <c r="A120" s="73" t="s">
        <v>151</v>
      </c>
      <c r="B120">
        <v>2089500000</v>
      </c>
      <c r="C120">
        <v>-72000000</v>
      </c>
      <c r="D120">
        <v>1387248000</v>
      </c>
      <c r="E120">
        <v>404400000</v>
      </c>
    </row>
    <row r="121" spans="1:6" x14ac:dyDescent="0.25">
      <c r="A121" s="73" t="s">
        <v>152</v>
      </c>
      <c r="B121">
        <v>1825400000</v>
      </c>
      <c r="C121">
        <v>-61900000</v>
      </c>
      <c r="D121">
        <v>1380928000</v>
      </c>
      <c r="E121">
        <v>403300000</v>
      </c>
    </row>
    <row r="122" spans="1:6" x14ac:dyDescent="0.25">
      <c r="A122" s="73" t="s">
        <v>153</v>
      </c>
      <c r="B122">
        <v>1659700000</v>
      </c>
      <c r="C122">
        <v>-69400000</v>
      </c>
      <c r="D122">
        <v>1360336000</v>
      </c>
      <c r="E122">
        <v>160300000</v>
      </c>
    </row>
    <row r="123" spans="1:6" x14ac:dyDescent="0.25">
      <c r="A123" s="73" t="s">
        <v>154</v>
      </c>
      <c r="B123">
        <v>1519300000</v>
      </c>
      <c r="C123">
        <v>-58900000</v>
      </c>
      <c r="D123">
        <v>1376528000</v>
      </c>
      <c r="E123">
        <v>288000000</v>
      </c>
    </row>
    <row r="124" spans="1:6" x14ac:dyDescent="0.25">
      <c r="A124" s="73" t="s">
        <v>155</v>
      </c>
      <c r="B124">
        <v>1360500000</v>
      </c>
      <c r="C124">
        <v>-12600000</v>
      </c>
      <c r="D124">
        <v>1356176000</v>
      </c>
      <c r="E124">
        <v>329100000</v>
      </c>
    </row>
    <row r="125" spans="1:6" x14ac:dyDescent="0.25">
      <c r="A125" s="73" t="s">
        <v>156</v>
      </c>
      <c r="B125">
        <v>1204900000</v>
      </c>
      <c r="C125">
        <v>-2700000</v>
      </c>
      <c r="D125">
        <v>1331920000</v>
      </c>
      <c r="E125">
        <v>222500000</v>
      </c>
    </row>
    <row r="126" spans="1:6" x14ac:dyDescent="0.25">
      <c r="A126" s="73" t="s">
        <v>157</v>
      </c>
      <c r="B126">
        <v>1080100000</v>
      </c>
      <c r="C126">
        <v>17600000</v>
      </c>
      <c r="D126">
        <v>1246250000</v>
      </c>
      <c r="E126">
        <v>119600000</v>
      </c>
    </row>
    <row r="127" spans="1:6" x14ac:dyDescent="0.25">
      <c r="A127" s="73" t="s">
        <v>158</v>
      </c>
      <c r="B127">
        <v>963200000</v>
      </c>
      <c r="C127">
        <v>-21900000</v>
      </c>
      <c r="D127">
        <v>1128000000</v>
      </c>
      <c r="E127">
        <v>78100000</v>
      </c>
    </row>
    <row r="128" spans="1:6" x14ac:dyDescent="0.25">
      <c r="A128" s="73" t="s">
        <v>159</v>
      </c>
      <c r="B128">
        <v>875600000</v>
      </c>
      <c r="C128">
        <v>-6200000</v>
      </c>
      <c r="D128">
        <v>1115000000</v>
      </c>
      <c r="E128">
        <v>98000000</v>
      </c>
    </row>
    <row r="129" spans="1:5" x14ac:dyDescent="0.25">
      <c r="A129" s="73" t="s">
        <v>160</v>
      </c>
      <c r="B129">
        <v>800000000</v>
      </c>
      <c r="C129">
        <v>-18700000</v>
      </c>
      <c r="D129">
        <v>980000000</v>
      </c>
      <c r="E129">
        <v>114600000</v>
      </c>
    </row>
    <row r="130" spans="1:5" x14ac:dyDescent="0.25">
      <c r="A130" s="73" t="s">
        <v>161</v>
      </c>
      <c r="B130">
        <v>751400000</v>
      </c>
      <c r="C130">
        <v>-7400000</v>
      </c>
      <c r="D130">
        <v>1128571429</v>
      </c>
      <c r="E130">
        <v>159500000</v>
      </c>
    </row>
    <row r="131" spans="1:5" x14ac:dyDescent="0.25">
      <c r="A131" s="73" t="s">
        <v>162</v>
      </c>
      <c r="B131">
        <v>701500000</v>
      </c>
      <c r="C131">
        <v>9400000</v>
      </c>
      <c r="D131">
        <v>1070000000</v>
      </c>
      <c r="E131">
        <v>136300000</v>
      </c>
    </row>
    <row r="132" spans="1:5" x14ac:dyDescent="0.25">
      <c r="A132" s="73" t="s">
        <v>163</v>
      </c>
      <c r="B132">
        <v>675000000</v>
      </c>
      <c r="C132">
        <v>-3900000</v>
      </c>
      <c r="D132">
        <v>940000000</v>
      </c>
      <c r="E132">
        <v>115000000</v>
      </c>
    </row>
    <row r="133" spans="1:5" x14ac:dyDescent="0.25">
      <c r="A133" s="73" t="s">
        <v>164</v>
      </c>
      <c r="B133">
        <v>661000000</v>
      </c>
      <c r="C133">
        <v>9300000</v>
      </c>
      <c r="D133">
        <v>1093472000</v>
      </c>
      <c r="E133">
        <v>129600000</v>
      </c>
    </row>
    <row r="134" spans="1:5" x14ac:dyDescent="0.25">
      <c r="A134" s="73" t="s">
        <v>165</v>
      </c>
      <c r="B134">
        <v>638600000</v>
      </c>
      <c r="C134">
        <v>-28500000</v>
      </c>
      <c r="D134">
        <v>1048000000</v>
      </c>
      <c r="E134">
        <v>125200000</v>
      </c>
    </row>
    <row r="135" spans="1:5" x14ac:dyDescent="0.25">
      <c r="A135" s="73" t="s">
        <v>166</v>
      </c>
      <c r="B135">
        <v>619000000</v>
      </c>
      <c r="C135">
        <v>-3200000</v>
      </c>
      <c r="D135">
        <v>840000000</v>
      </c>
      <c r="E135">
        <v>121100000</v>
      </c>
    </row>
    <row r="136" spans="1:5" x14ac:dyDescent="0.25">
      <c r="A136" s="73" t="s">
        <v>167</v>
      </c>
      <c r="B136">
        <v>595900000</v>
      </c>
      <c r="C136">
        <v>-52800000</v>
      </c>
      <c r="D136">
        <v>840000000</v>
      </c>
      <c r="E136">
        <v>119000000</v>
      </c>
    </row>
    <row r="137" spans="1:5" x14ac:dyDescent="0.25">
      <c r="A137" s="73" t="s">
        <v>168</v>
      </c>
      <c r="B137">
        <v>572900000</v>
      </c>
      <c r="C137">
        <v>-71000000</v>
      </c>
      <c r="D137">
        <v>840000000</v>
      </c>
      <c r="E137">
        <v>41700000</v>
      </c>
    </row>
    <row r="138" spans="1:5" x14ac:dyDescent="0.25">
      <c r="A138" s="73" t="s">
        <v>169</v>
      </c>
      <c r="B138">
        <v>567100000</v>
      </c>
      <c r="C138">
        <v>-68700000</v>
      </c>
      <c r="D138">
        <v>974285714</v>
      </c>
      <c r="E138">
        <v>57100000</v>
      </c>
    </row>
    <row r="139" spans="1:5" x14ac:dyDescent="0.25">
      <c r="A139" s="73" t="s">
        <v>170</v>
      </c>
      <c r="B139">
        <v>568200000</v>
      </c>
      <c r="C139">
        <v>-94700000</v>
      </c>
      <c r="D139">
        <v>950000000</v>
      </c>
      <c r="E139">
        <v>39900000</v>
      </c>
    </row>
    <row r="140" spans="1:5" x14ac:dyDescent="0.25">
      <c r="A140" s="73" t="s">
        <v>171</v>
      </c>
      <c r="B140">
        <v>554200000</v>
      </c>
      <c r="C140">
        <v>-52800000</v>
      </c>
      <c r="D140">
        <v>1050000000</v>
      </c>
      <c r="E140">
        <v>43200000</v>
      </c>
    </row>
    <row r="141" spans="1:5" x14ac:dyDescent="0.25">
      <c r="A141" s="73" t="s">
        <v>172</v>
      </c>
      <c r="B141">
        <v>533900000</v>
      </c>
      <c r="C141">
        <v>-44100000</v>
      </c>
      <c r="D141">
        <v>740000000</v>
      </c>
      <c r="E141">
        <v>51200000</v>
      </c>
    </row>
    <row r="142" spans="1:5" x14ac:dyDescent="0.25">
      <c r="A142" s="73" t="s">
        <v>173</v>
      </c>
      <c r="B142">
        <v>501800000</v>
      </c>
      <c r="C142">
        <v>0</v>
      </c>
      <c r="D142">
        <v>1030000000</v>
      </c>
      <c r="E142">
        <v>57400000</v>
      </c>
    </row>
    <row r="143" spans="1:5" x14ac:dyDescent="0.25">
      <c r="A143" s="73" t="s">
        <v>174</v>
      </c>
      <c r="B143">
        <v>472500000</v>
      </c>
      <c r="C143">
        <v>0</v>
      </c>
      <c r="D143">
        <v>1071232000</v>
      </c>
    </row>
    <row r="144" spans="1:5" x14ac:dyDescent="0.25">
      <c r="A144" s="73" t="s">
        <v>175</v>
      </c>
      <c r="B144">
        <v>445700000</v>
      </c>
      <c r="C144">
        <v>0</v>
      </c>
      <c r="D144">
        <v>1067072000</v>
      </c>
    </row>
    <row r="145" spans="1:5" x14ac:dyDescent="0.25">
      <c r="A145" s="73" t="s">
        <v>176</v>
      </c>
      <c r="B145">
        <v>405500000</v>
      </c>
      <c r="C145">
        <v>0</v>
      </c>
      <c r="D145">
        <v>1014912000</v>
      </c>
    </row>
    <row r="146" spans="1:5" x14ac:dyDescent="0.25">
      <c r="A146" s="73" t="s">
        <v>177</v>
      </c>
      <c r="B146">
        <v>362800000</v>
      </c>
      <c r="C146">
        <v>0</v>
      </c>
      <c r="D146">
        <v>1000000000</v>
      </c>
      <c r="E146">
        <v>100800000</v>
      </c>
    </row>
    <row r="147" spans="1:5" x14ac:dyDescent="0.25">
      <c r="A147" s="73" t="s">
        <v>178</v>
      </c>
      <c r="B147">
        <v>303300000</v>
      </c>
      <c r="C147">
        <v>0</v>
      </c>
      <c r="D147">
        <v>1042240000</v>
      </c>
    </row>
    <row r="148" spans="1:5" x14ac:dyDescent="0.25">
      <c r="A148" s="73" t="s">
        <v>179</v>
      </c>
      <c r="B148">
        <v>244000000</v>
      </c>
      <c r="C148">
        <v>0</v>
      </c>
      <c r="D148">
        <v>1047232000</v>
      </c>
    </row>
    <row r="149" spans="1:5" x14ac:dyDescent="0.25">
      <c r="A149" s="73" t="s">
        <v>180</v>
      </c>
      <c r="B149">
        <v>202300000</v>
      </c>
      <c r="C149">
        <v>0</v>
      </c>
      <c r="D149">
        <v>990272000</v>
      </c>
    </row>
    <row r="150" spans="1:5" x14ac:dyDescent="0.25">
      <c r="A150" s="73" t="s">
        <v>181</v>
      </c>
      <c r="B150">
        <v>174400000</v>
      </c>
      <c r="C150">
        <v>0</v>
      </c>
      <c r="D150">
        <v>990272000</v>
      </c>
      <c r="E150">
        <v>70700000</v>
      </c>
    </row>
    <row r="151" spans="1:5" x14ac:dyDescent="0.25">
      <c r="A151" s="73" t="s">
        <v>182</v>
      </c>
      <c r="B151">
        <v>161400000</v>
      </c>
      <c r="C151">
        <v>0</v>
      </c>
      <c r="D151">
        <v>840448000</v>
      </c>
    </row>
    <row r="152" spans="1:5" x14ac:dyDescent="0.25">
      <c r="A152" s="73" t="s">
        <v>183</v>
      </c>
      <c r="B152">
        <v>156500000</v>
      </c>
      <c r="C152">
        <v>0</v>
      </c>
      <c r="D152">
        <v>840448000</v>
      </c>
    </row>
    <row r="153" spans="1:5" x14ac:dyDescent="0.25">
      <c r="A153" s="73" t="s">
        <v>184</v>
      </c>
      <c r="B153">
        <v>151600000</v>
      </c>
      <c r="C153">
        <v>0</v>
      </c>
      <c r="D153">
        <v>840448000</v>
      </c>
    </row>
    <row r="154" spans="1:5" x14ac:dyDescent="0.25">
      <c r="A154" s="73" t="s">
        <v>185</v>
      </c>
      <c r="B154">
        <v>149400000</v>
      </c>
      <c r="C154">
        <v>0</v>
      </c>
      <c r="D154">
        <v>840448000</v>
      </c>
      <c r="E154">
        <v>21800000</v>
      </c>
    </row>
    <row r="155" spans="1:5" x14ac:dyDescent="0.25">
      <c r="A155" s="73" t="s">
        <v>186</v>
      </c>
      <c r="B155">
        <v>144400000</v>
      </c>
      <c r="C155">
        <v>0</v>
      </c>
      <c r="D155">
        <v>833344000</v>
      </c>
    </row>
    <row r="156" spans="1:5" x14ac:dyDescent="0.25">
      <c r="A156" s="73" t="s">
        <v>187</v>
      </c>
      <c r="D156">
        <v>841344000</v>
      </c>
    </row>
    <row r="157" spans="1:5" x14ac:dyDescent="0.25">
      <c r="A157" s="73" t="s">
        <v>188</v>
      </c>
      <c r="D157">
        <v>840832000</v>
      </c>
    </row>
    <row r="158" spans="1:5" x14ac:dyDescent="0.25">
      <c r="A158" s="73" t="s">
        <v>189</v>
      </c>
      <c r="D158">
        <v>620000000</v>
      </c>
      <c r="E158">
        <v>35700000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190</v>
      </c>
      <c r="B1" s="27" t="s">
        <v>191</v>
      </c>
      <c r="C1" t="s">
        <v>192</v>
      </c>
      <c r="D1" t="s">
        <v>193</v>
      </c>
      <c r="F1" s="27" t="s">
        <v>191</v>
      </c>
      <c r="G1" t="s">
        <v>192</v>
      </c>
      <c r="H1" t="s">
        <v>193</v>
      </c>
      <c r="J1" t="s">
        <v>194</v>
      </c>
      <c r="K1" t="s">
        <v>192</v>
      </c>
      <c r="L1" t="s">
        <v>193</v>
      </c>
      <c r="N1" t="s">
        <v>195</v>
      </c>
      <c r="O1" t="s">
        <v>192</v>
      </c>
      <c r="P1" t="s">
        <v>193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200</v>
      </c>
    </row>
    <row r="7" spans="1:46" x14ac:dyDescent="0.25">
      <c r="A7" s="27" t="s">
        <v>201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202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203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204</v>
      </c>
    </row>
    <row r="10" spans="1:46" x14ac:dyDescent="0.25">
      <c r="A10" s="27" t="s">
        <v>205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206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207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208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45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209</v>
      </c>
    </row>
    <row r="15" spans="1:46" x14ac:dyDescent="0.25">
      <c r="A15" s="27" t="s">
        <v>210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211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213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214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215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216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217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218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219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220</v>
      </c>
      <c r="J26">
        <v>0.61799999999999999</v>
      </c>
      <c r="N26">
        <v>-0.36399999999999999</v>
      </c>
    </row>
    <row r="27" spans="1:17" x14ac:dyDescent="0.25">
      <c r="A27" s="27" t="s">
        <v>221</v>
      </c>
    </row>
    <row r="28" spans="1:17" x14ac:dyDescent="0.25">
      <c r="A28" s="27" t="s">
        <v>222</v>
      </c>
    </row>
    <row r="29" spans="1:17" x14ac:dyDescent="0.25">
      <c r="A29" s="27" t="s">
        <v>223</v>
      </c>
    </row>
    <row r="31" spans="1:17" x14ac:dyDescent="0.25">
      <c r="A31" s="26" t="s">
        <v>224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225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226</v>
      </c>
      <c r="C1" s="73" t="s">
        <v>227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228</v>
      </c>
      <c r="D2">
        <v>1.723392423101973</v>
      </c>
      <c r="E2">
        <v>0.1601093934794165</v>
      </c>
    </row>
    <row r="3" spans="1:5" x14ac:dyDescent="0.25">
      <c r="A3" s="73">
        <v>1</v>
      </c>
      <c r="B3">
        <v>3</v>
      </c>
      <c r="C3" t="s">
        <v>229</v>
      </c>
      <c r="D3">
        <v>1.822422218671335</v>
      </c>
      <c r="E3">
        <v>0.1669691874638384</v>
      </c>
    </row>
    <row r="4" spans="1:5" x14ac:dyDescent="0.25">
      <c r="A4" s="73">
        <v>2</v>
      </c>
      <c r="B4">
        <v>3</v>
      </c>
      <c r="C4" t="s">
        <v>230</v>
      </c>
      <c r="D4">
        <v>1.809168394547614</v>
      </c>
      <c r="E4">
        <v>0.1660510950607211</v>
      </c>
    </row>
    <row r="5" spans="1:5" x14ac:dyDescent="0.25">
      <c r="A5" s="73">
        <v>3</v>
      </c>
      <c r="B5">
        <v>5</v>
      </c>
      <c r="C5" t="s">
        <v>228</v>
      </c>
      <c r="D5">
        <v>1.537349779955528</v>
      </c>
      <c r="E5">
        <v>0.14722221950349859</v>
      </c>
    </row>
    <row r="6" spans="1:5" x14ac:dyDescent="0.25">
      <c r="A6" s="73">
        <v>4</v>
      </c>
      <c r="B6">
        <v>5</v>
      </c>
      <c r="C6" t="s">
        <v>229</v>
      </c>
      <c r="D6">
        <v>1.6811219677829741</v>
      </c>
      <c r="E6">
        <v>0.1571813190201195</v>
      </c>
    </row>
    <row r="7" spans="1:5" x14ac:dyDescent="0.25">
      <c r="A7" s="73">
        <v>5</v>
      </c>
      <c r="B7">
        <v>5</v>
      </c>
      <c r="C7" t="s">
        <v>230</v>
      </c>
      <c r="D7">
        <v>1.6441348415020021</v>
      </c>
      <c r="E7">
        <v>0.1546192207657052</v>
      </c>
    </row>
    <row r="8" spans="1:5" x14ac:dyDescent="0.25">
      <c r="A8" s="73">
        <v>6</v>
      </c>
      <c r="B8" t="s">
        <v>224</v>
      </c>
      <c r="D8">
        <v>1.702931604260238</v>
      </c>
      <c r="E8">
        <v>0.15869207254888321</v>
      </c>
    </row>
    <row r="9" spans="1:5" x14ac:dyDescent="0.25">
      <c r="A9" s="73">
        <v>7</v>
      </c>
      <c r="B9" t="s">
        <v>225</v>
      </c>
      <c r="D9">
        <v>1.7022571954424739</v>
      </c>
      <c r="E9">
        <v>0.158645356249768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2024-10-18T20:59:45Z</dcterms:modified>
</cp:coreProperties>
</file>