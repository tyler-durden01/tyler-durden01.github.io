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1" activeTab="2" autoFilterDateGrouping="1"/>
  </bookViews>
  <sheets>
    <sheet xmlns:r="http://schemas.openxmlformats.org/officeDocument/2006/relationships" name="__FDSCACHE__" sheetId="1" state="veryHidden" r:id="rId1"/>
    <sheet xmlns:r="http://schemas.openxmlformats.org/officeDocument/2006/relationships" name="WACC" sheetId="2" state="visible" r:id="rId2"/>
    <sheet xmlns:r="http://schemas.openxmlformats.org/officeDocument/2006/relationships" name="DCF_Simple" sheetId="3" state="visible" r:id="rId3"/>
    <sheet xmlns:r="http://schemas.openxmlformats.org/officeDocument/2006/relationships" name="Python" sheetId="4" state="visible" r:id="rId4"/>
    <sheet xmlns:r="http://schemas.openxmlformats.org/officeDocument/2006/relationships" name="Sheet3" sheetId="5" state="visible" r:id="rId5"/>
  </sheets>
  <definedNames/>
  <calcPr calcId="191029" calcMode="autoNoTable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  <numFmt numFmtId="171" formatCode="_(&quot;$&quot;* #,##0.00_);_(&quot;$&quot;* \(#,##0.00\);_(&quot;$&quot;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Arial"/>
      <family val="2"/>
      <sz val="10"/>
    </font>
    <font>
      <name val="Calibri"/>
      <family val="2"/>
      <i val="1"/>
      <color rgb="FF0005C6"/>
      <sz val="11"/>
      <scheme val="minor"/>
    </font>
    <font>
      <name val="Calibri"/>
      <family val="2"/>
      <color rgb="FF0005C6"/>
      <sz val="11"/>
      <scheme val="minor"/>
    </font>
    <font>
      <name val="Calibri"/>
      <family val="2"/>
      <color rgb="FF388127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</borders>
  <cellStyleXfs count="6">
    <xf numFmtId="0" fontId="1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 applyAlignment="1">
      <alignment vertical="top"/>
    </xf>
  </cellStyleXfs>
  <cellXfs count="103">
    <xf numFmtId="0" fontId="0" fillId="0" borderId="0" pivotButton="0" quotePrefix="0" xfId="0"/>
    <xf numFmtId="0" fontId="5" fillId="3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5" fillId="3" borderId="6" pivotButton="0" quotePrefix="0" xfId="0"/>
    <xf numFmtId="0" fontId="3" fillId="0" borderId="6" pivotButton="0" quotePrefix="0" xfId="0"/>
    <xf numFmtId="0" fontId="0" fillId="0" borderId="6" pivotButton="0" quotePrefix="1" xfId="0"/>
    <xf numFmtId="0" fontId="0" fillId="0" borderId="7" pivotButton="0" quotePrefix="1" xfId="0"/>
    <xf numFmtId="0" fontId="0" fillId="0" borderId="7" pivotButton="0" quotePrefix="0" xfId="0"/>
    <xf numFmtId="0" fontId="0" fillId="0" borderId="4" pivotButton="0" quotePrefix="0" xfId="0"/>
    <xf numFmtId="0" fontId="7" fillId="3" borderId="6" applyAlignment="1" pivotButton="0" quotePrefix="0" xfId="0">
      <alignment horizontal="left" indent="1"/>
    </xf>
    <xf numFmtId="164" fontId="0" fillId="0" borderId="0" pivotButton="0" quotePrefix="0" xfId="0"/>
    <xf numFmtId="164" fontId="12" fillId="0" borderId="0" applyAlignment="1" pivotButton="0" quotePrefix="0" xfId="0">
      <alignment horizontal="right"/>
    </xf>
    <xf numFmtId="165" fontId="3" fillId="0" borderId="0" pivotButton="0" quotePrefix="0" xfId="4"/>
    <xf numFmtId="37" fontId="5" fillId="0" borderId="0" pivotButton="0" quotePrefix="0" xfId="0"/>
    <xf numFmtId="37" fontId="6" fillId="0" borderId="0" pivotButton="0" quotePrefix="0" xfId="0"/>
    <xf numFmtId="164" fontId="1" fillId="0" borderId="0" pivotButton="0" quotePrefix="0" xfId="1"/>
    <xf numFmtId="166" fontId="1" fillId="0" borderId="0" pivotButton="0" quotePrefix="0" xfId="3"/>
    <xf numFmtId="43" fontId="0" fillId="0" borderId="0" pivotButton="0" quotePrefix="0" xfId="0"/>
    <xf numFmtId="165" fontId="5" fillId="3" borderId="2" pivotButton="0" quotePrefix="0" xfId="4"/>
    <xf numFmtId="164" fontId="11" fillId="3" borderId="2" pivotButton="0" quotePrefix="0" xfId="1"/>
    <xf numFmtId="166" fontId="8" fillId="3" borderId="2" pivotButton="0" quotePrefix="0" xfId="3"/>
    <xf numFmtId="0" fontId="6" fillId="3" borderId="4" pivotButton="0" quotePrefix="0" xfId="0"/>
    <xf numFmtId="167" fontId="0" fillId="0" borderId="0" pivotButton="0" quotePrefix="0" xfId="0"/>
    <xf numFmtId="168" fontId="0" fillId="0" borderId="0" pivotButton="0" quotePrefix="0" xfId="0"/>
    <xf numFmtId="164" fontId="7" fillId="3" borderId="2" pivotButton="0" quotePrefix="0" xfId="1"/>
    <xf numFmtId="0" fontId="14" fillId="0" borderId="0" applyAlignment="1" pivotButton="0" quotePrefix="0" xfId="0">
      <alignment horizontal="center" vertical="top"/>
    </xf>
    <xf numFmtId="0" fontId="14" fillId="0" borderId="10" applyAlignment="1" pivotButton="0" quotePrefix="0" xfId="0">
      <alignment horizontal="center" vertical="top"/>
    </xf>
    <xf numFmtId="169" fontId="0" fillId="0" borderId="0" pivotButton="0" quotePrefix="0" xfId="0"/>
    <xf numFmtId="169" fontId="0" fillId="5" borderId="0" pivotButton="0" quotePrefix="0" xfId="0"/>
    <xf numFmtId="14" fontId="14" fillId="0" borderId="10" applyAlignment="1" pivotButton="0" quotePrefix="0" xfId="0">
      <alignment horizontal="center" vertical="top"/>
    </xf>
    <xf numFmtId="164" fontId="7" fillId="3" borderId="0" pivotButton="0" quotePrefix="0" xfId="1"/>
    <xf numFmtId="39" fontId="5" fillId="0" borderId="5" pivotButton="0" quotePrefix="0" xfId="0"/>
    <xf numFmtId="39" fontId="5" fillId="0" borderId="1" pivotButton="0" quotePrefix="0" xfId="0"/>
    <xf numFmtId="39" fontId="6" fillId="0" borderId="2" pivotButton="0" quotePrefix="0" xfId="0"/>
    <xf numFmtId="0" fontId="3" fillId="0" borderId="11" pivotButton="0" quotePrefix="0" xfId="0"/>
    <xf numFmtId="169" fontId="14" fillId="0" borderId="10" applyAlignment="1" pivotButton="0" quotePrefix="0" xfId="0">
      <alignment horizontal="center" vertical="top"/>
    </xf>
    <xf numFmtId="2" fontId="5" fillId="0" borderId="0" pivotButton="0" quotePrefix="0" xfId="1"/>
    <xf numFmtId="165" fontId="5" fillId="3" borderId="0" pivotButton="0" quotePrefix="0" xfId="4"/>
    <xf numFmtId="165" fontId="5" fillId="0" borderId="0" pivotButton="0" quotePrefix="0" xfId="1"/>
    <xf numFmtId="164" fontId="11" fillId="3" borderId="0" pivotButton="0" quotePrefix="0" xfId="1"/>
    <xf numFmtId="3" fontId="5" fillId="3" borderId="0" pivotButton="0" quotePrefix="0" xfId="0"/>
    <xf numFmtId="166" fontId="13" fillId="3" borderId="0" pivotButton="0" quotePrefix="0" xfId="3"/>
    <xf numFmtId="166" fontId="8" fillId="3" borderId="0" pivotButton="0" quotePrefix="0" xfId="3"/>
    <xf numFmtId="170" fontId="7" fillId="0" borderId="0" pivotButton="0" quotePrefix="0" xfId="1"/>
    <xf numFmtId="164" fontId="11" fillId="0" borderId="0" pivotButton="0" quotePrefix="0" xfId="1"/>
    <xf numFmtId="0" fontId="9" fillId="2" borderId="4" pivotButton="0" quotePrefix="0" xfId="0"/>
    <xf numFmtId="0" fontId="2" fillId="2" borderId="3" applyAlignment="1" pivotButton="0" quotePrefix="0" xfId="0">
      <alignment horizontal="right"/>
    </xf>
    <xf numFmtId="0" fontId="2" fillId="2" borderId="5" applyAlignment="1" pivotButton="0" quotePrefix="0" xfId="0">
      <alignment horizontal="right"/>
    </xf>
    <xf numFmtId="0" fontId="0" fillId="0" borderId="6" pivotButton="0" quotePrefix="0" xfId="0"/>
    <xf numFmtId="0" fontId="6" fillId="3" borderId="6" pivotButton="0" quotePrefix="0" xfId="0"/>
    <xf numFmtId="0" fontId="3" fillId="0" borderId="4" pivotButton="0" quotePrefix="0" xfId="0"/>
    <xf numFmtId="0" fontId="3" fillId="0" borderId="8" applyAlignment="1" pivotButton="0" quotePrefix="0" xfId="0">
      <alignment horizontal="left" indent="1"/>
    </xf>
    <xf numFmtId="165" fontId="3" fillId="0" borderId="13" pivotButton="0" quotePrefix="0" xfId="4"/>
    <xf numFmtId="37" fontId="5" fillId="3" borderId="3" pivotButton="0" quotePrefix="0" xfId="0"/>
    <xf numFmtId="171" fontId="1" fillId="0" borderId="3" pivotButton="0" quotePrefix="0" xfId="4"/>
    <xf numFmtId="0" fontId="2" fillId="2" borderId="14" applyAlignment="1" pivotButton="0" quotePrefix="0" xfId="0">
      <alignment horizontal="right"/>
    </xf>
    <xf numFmtId="165" fontId="5" fillId="0" borderId="15" pivotButton="0" quotePrefix="0" xfId="4"/>
    <xf numFmtId="3" fontId="5" fillId="3" borderId="15" pivotButton="0" quotePrefix="0" xfId="0"/>
    <xf numFmtId="37" fontId="5" fillId="3" borderId="14" pivotButton="0" quotePrefix="0" xfId="0"/>
    <xf numFmtId="170" fontId="7" fillId="0" borderId="15" pivotButton="0" quotePrefix="0" xfId="1"/>
    <xf numFmtId="171" fontId="1" fillId="0" borderId="14" pivotButton="0" quotePrefix="0" xfId="4"/>
    <xf numFmtId="165" fontId="3" fillId="0" borderId="16" pivotButton="0" quotePrefix="0" xfId="4"/>
    <xf numFmtId="171" fontId="6" fillId="4" borderId="12" pivotButton="0" quotePrefix="0" xfId="0"/>
    <xf numFmtId="171" fontId="1" fillId="0" borderId="13" pivotButton="0" quotePrefix="0" xfId="4"/>
    <xf numFmtId="171" fontId="1" fillId="0" borderId="9" pivotButton="0" quotePrefix="0" xfId="4"/>
    <xf numFmtId="37" fontId="5" fillId="3" borderId="3" pivotButton="0" quotePrefix="0" xfId="1"/>
    <xf numFmtId="37" fontId="5" fillId="3" borderId="5" pivotButton="0" quotePrefix="0" xfId="1"/>
    <xf numFmtId="14" fontId="15" fillId="0" borderId="0" applyAlignment="1" pivotButton="0" quotePrefix="0" xfId="0">
      <alignment horizontal="center" vertical="top"/>
    </xf>
    <xf numFmtId="170" fontId="11" fillId="0" borderId="0" pivotButton="0" quotePrefix="0" xfId="1"/>
    <xf numFmtId="170" fontId="11" fillId="0" borderId="2" pivotButton="0" quotePrefix="0" xfId="1"/>
    <xf numFmtId="166" fontId="1" fillId="0" borderId="15" pivotButton="0" quotePrefix="0" xfId="3"/>
    <xf numFmtId="166" fontId="1" fillId="0" borderId="2" pivotButton="0" quotePrefix="0" xfId="3"/>
    <xf numFmtId="171" fontId="1" fillId="0" borderId="5" pivotButton="0" quotePrefix="0" xfId="4"/>
    <xf numFmtId="39" fontId="5" fillId="0" borderId="2" pivotButton="0" quotePrefix="0" xfId="0"/>
    <xf numFmtId="169" fontId="0" fillId="0" borderId="0" pivotButton="0" quotePrefix="0" xfId="0"/>
    <xf numFmtId="165" fontId="5" fillId="3" borderId="0" pivotButton="0" quotePrefix="0" xfId="4"/>
    <xf numFmtId="165" fontId="5" fillId="0" borderId="15" pivotButton="0" quotePrefix="0" xfId="4"/>
    <xf numFmtId="165" fontId="5" fillId="0" borderId="0" pivotButton="0" quotePrefix="0" xfId="1"/>
    <xf numFmtId="165" fontId="5" fillId="3" borderId="2" pivotButton="0" quotePrefix="0" xfId="4"/>
    <xf numFmtId="170" fontId="7" fillId="0" borderId="0" pivotButton="0" quotePrefix="0" xfId="1"/>
    <xf numFmtId="170" fontId="7" fillId="0" borderId="15" pivotButton="0" quotePrefix="0" xfId="1"/>
    <xf numFmtId="166" fontId="13" fillId="3" borderId="0" pivotButton="0" quotePrefix="0" xfId="3"/>
    <xf numFmtId="166" fontId="8" fillId="3" borderId="0" pivotButton="0" quotePrefix="0" xfId="3"/>
    <xf numFmtId="166" fontId="8" fillId="3" borderId="2" pivotButton="0" quotePrefix="0" xfId="3"/>
    <xf numFmtId="166" fontId="1" fillId="0" borderId="0" pivotButton="0" quotePrefix="0" xfId="3"/>
    <xf numFmtId="166" fontId="1" fillId="0" borderId="15" pivotButton="0" quotePrefix="0" xfId="3"/>
    <xf numFmtId="166" fontId="1" fillId="0" borderId="2" pivotButton="0" quotePrefix="0" xfId="3"/>
    <xf numFmtId="170" fontId="11" fillId="0" borderId="0" pivotButton="0" quotePrefix="0" xfId="1"/>
    <xf numFmtId="170" fontId="11" fillId="0" borderId="2" pivotButton="0" quotePrefix="0" xfId="1"/>
    <xf numFmtId="171" fontId="1" fillId="0" borderId="3" pivotButton="0" quotePrefix="0" xfId="4"/>
    <xf numFmtId="171" fontId="1" fillId="0" borderId="14" pivotButton="0" quotePrefix="0" xfId="4"/>
    <xf numFmtId="171" fontId="1" fillId="0" borderId="5" pivotButton="0" quotePrefix="0" xfId="4"/>
    <xf numFmtId="165" fontId="3" fillId="0" borderId="13" pivotButton="0" quotePrefix="0" xfId="4"/>
    <xf numFmtId="165" fontId="3" fillId="0" borderId="16" pivotButton="0" quotePrefix="0" xfId="4"/>
    <xf numFmtId="171" fontId="1" fillId="0" borderId="13" pivotButton="0" quotePrefix="0" xfId="4"/>
    <xf numFmtId="171" fontId="1" fillId="0" borderId="9" pivotButton="0" quotePrefix="0" xfId="4"/>
    <xf numFmtId="165" fontId="3" fillId="0" borderId="0" pivotButton="0" quotePrefix="0" xfId="4"/>
    <xf numFmtId="168" fontId="0" fillId="0" borderId="0" pivotButton="0" quotePrefix="0" xfId="0"/>
    <xf numFmtId="167" fontId="0" fillId="0" borderId="0" pivotButton="0" quotePrefix="0" xfId="0"/>
    <xf numFmtId="171" fontId="6" fillId="4" borderId="12" pivotButton="0" quotePrefix="0" xfId="0"/>
    <xf numFmtId="169" fontId="0" fillId="5" borderId="0" pivotButton="0" quotePrefix="0" xfId="0"/>
    <xf numFmtId="169" fontId="14" fillId="0" borderId="10" applyAlignment="1" pivotButton="0" quotePrefix="0" xfId="0">
      <alignment horizontal="center" vertical="top"/>
    </xf>
  </cellXfs>
  <cellStyles count="6">
    <cellStyle name="Normal" xfId="0" builtinId="0"/>
    <cellStyle name="Percent" xfId="1" builtinId="5"/>
    <cellStyle name="Normal 2" xfId="2"/>
    <cellStyle name="Comma" xfId="3" builtinId="3"/>
    <cellStyle name="Currency" xfId="4" builtinId="4"/>
    <cellStyle name="Normal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Ben Chon</author>
  </authors>
  <commentList>
    <comment ref="A1" authorId="0" shapeId="0">
      <text>
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8.85546875" defaultRowHeight="15"/>
  <sheetData>
    <row r="1">
      <c r="A1" t="n"/>
      <c r="B1" t="inlineStr">
        <is>
          <t>This sheet contains FactSet XML data for use with this workbook's =FDS codes.  Modifying the worksheet's contents may damage the workbook's =FDS functionality.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5" sqref="B15"/>
    </sheetView>
  </sheetViews>
  <sheetFormatPr baseColWidth="8" defaultRowHeight="15"/>
  <cols>
    <col width="19.140625" bestFit="1" customWidth="1" min="1" max="1"/>
    <col width="11.85546875" bestFit="1" customWidth="1" min="2" max="2"/>
  </cols>
  <sheetData>
    <row r="1">
      <c r="B1" s="27" t="inlineStr">
        <is>
          <t>CRWD</t>
        </is>
      </c>
    </row>
    <row r="2">
      <c r="A2" s="27" t="inlineStr">
        <is>
          <t>Total Liabilities</t>
        </is>
      </c>
      <c r="B2" t="n">
        <v>4311884000</v>
      </c>
    </row>
    <row r="3">
      <c r="A3" s="27" t="inlineStr">
        <is>
          <t>Long-Term Debt</t>
        </is>
      </c>
      <c r="B3" t="n">
        <v>743238000</v>
      </c>
    </row>
    <row r="4">
      <c r="A4" s="27" t="inlineStr">
        <is>
          <t>% Debt</t>
        </is>
      </c>
      <c r="B4" t="n">
        <v>0.2045330709103458</v>
      </c>
    </row>
    <row r="5">
      <c r="A5" s="27" t="inlineStr">
        <is>
          <t>Cost of Debt</t>
        </is>
      </c>
      <c r="B5" t="n">
        <v>0.02694829919891071</v>
      </c>
    </row>
    <row r="6">
      <c r="A6" s="27" t="inlineStr">
        <is>
          <t>Tax Rate</t>
        </is>
      </c>
      <c r="B6" t="n">
        <v>0.21</v>
      </c>
    </row>
    <row r="7">
      <c r="A7" s="27" t="inlineStr">
        <is>
          <t>Total Equity</t>
        </is>
      </c>
      <c r="B7" t="n">
        <v>2890590000</v>
      </c>
    </row>
    <row r="8">
      <c r="A8" s="27" t="inlineStr">
        <is>
          <t>% Equity</t>
        </is>
      </c>
      <c r="B8" t="n">
        <v>0.7954669290896542</v>
      </c>
    </row>
    <row r="9">
      <c r="A9" s="27" t="inlineStr">
        <is>
          <t>CAPM</t>
        </is>
      </c>
      <c r="B9" t="n">
        <v>0.119721612349059</v>
      </c>
    </row>
    <row r="10">
      <c r="A10" s="27" t="inlineStr">
        <is>
          <t>Risk-Free Rate</t>
        </is>
      </c>
      <c r="B10" t="n">
        <v>0.04098000049591064</v>
      </c>
    </row>
    <row r="11">
      <c r="A11" s="27" t="inlineStr">
        <is>
          <t>Beta</t>
        </is>
      </c>
      <c r="B11" t="n">
        <v>1.140852106909722</v>
      </c>
    </row>
    <row r="12">
      <c r="A12" s="27" t="inlineStr">
        <is>
          <t>Market Risk Premium</t>
        </is>
      </c>
      <c r="B12" t="n">
        <v>0.06901999950408935</v>
      </c>
    </row>
    <row r="13">
      <c r="A13" s="27" t="inlineStr">
        <is>
          <t>Terminal Growth Rate</t>
        </is>
      </c>
      <c r="B13" t="n">
        <v>0.02</v>
      </c>
    </row>
    <row r="14">
      <c r="A14" s="27" t="inlineStr">
        <is>
          <t>WACC</t>
        </is>
      </c>
      <c r="B14" t="n">
        <v>0.09958891984982954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theme="9" tint="0.3999755851924192"/>
    <outlinePr summaryBelow="1" summaryRight="1"/>
    <pageSetUpPr fitToPage="1"/>
  </sheetPr>
  <dimension ref="B1:V22"/>
  <sheetViews>
    <sheetView showGridLines="0" tabSelected="1" topLeftCell="A2" zoomScale="85" zoomScaleNormal="85" workbookViewId="0">
      <selection activeCell="L29" sqref="L29"/>
    </sheetView>
  </sheetViews>
  <sheetFormatPr baseColWidth="8" defaultColWidth="9.5703125" defaultRowHeight="15" outlineLevelRow="1"/>
  <cols>
    <col width="4.140625" customWidth="1" min="1" max="1"/>
    <col width="21.140625" customWidth="1" min="2" max="2"/>
    <col width="10.5703125" customWidth="1" min="3" max="3"/>
    <col hidden="1" outlineLevel="1" width="10.5703125" customWidth="1" min="4" max="11"/>
    <col collapsed="1" width="10.5703125" customWidth="1" min="12" max="12"/>
    <col width="10.5703125" customWidth="1" min="13" max="22"/>
  </cols>
  <sheetData>
    <row r="1" hidden="1" outlineLevel="1">
      <c r="C1" s="75" t="n"/>
      <c r="D1" s="68">
        <f>Python!A31</f>
        <v/>
      </c>
      <c r="E1" s="68">
        <f>Python!A27</f>
        <v/>
      </c>
      <c r="F1" s="68">
        <f>Python!A23</f>
        <v/>
      </c>
      <c r="G1" s="68">
        <f>Python!A19</f>
        <v/>
      </c>
      <c r="H1" s="68">
        <f>Python!A15</f>
        <v/>
      </c>
      <c r="I1" s="68">
        <f>Python!A11</f>
        <v/>
      </c>
      <c r="J1" s="68">
        <f>Python!A7</f>
        <v/>
      </c>
      <c r="K1" s="68">
        <f>Python!A3</f>
        <v/>
      </c>
      <c r="L1" s="75">
        <f>EDATE(K1, 12)</f>
        <v/>
      </c>
      <c r="M1" s="75">
        <f>EDATE(L1, 12)</f>
        <v/>
      </c>
      <c r="N1" s="75">
        <f>EDATE(M1, 12)</f>
        <v/>
      </c>
      <c r="O1" s="75">
        <f>EDATE(N1, 12)</f>
        <v/>
      </c>
      <c r="P1" s="75">
        <f>EDATE(O1, 12)</f>
        <v/>
      </c>
      <c r="Q1" s="75">
        <f>EDATE(P1, 12)</f>
        <v/>
      </c>
      <c r="R1" s="75">
        <f>EDATE(Q1, 12)</f>
        <v/>
      </c>
      <c r="S1" s="75">
        <f>EDATE(R1, 12)</f>
        <v/>
      </c>
      <c r="T1" s="75">
        <f>EDATE(S1, 12)</f>
        <v/>
      </c>
      <c r="U1" s="75">
        <f>EDATE(T1, 12)</f>
        <v/>
      </c>
    </row>
    <row r="2" collapsed="1" ht="15.95" customHeight="1">
      <c r="C2" s="12" t="n"/>
      <c r="D2" s="12" t="n"/>
      <c r="E2" s="12" t="n"/>
      <c r="F2" s="12" t="n"/>
      <c r="G2" s="12" t="n"/>
      <c r="H2" s="12" t="n"/>
      <c r="J2" s="2" t="n"/>
    </row>
    <row r="3">
      <c r="B3" s="46" t="inlineStr">
        <is>
          <t>Figures in millions</t>
        </is>
      </c>
      <c r="C3" s="47" t="n"/>
      <c r="D3" s="47">
        <f>YEAR(D1)</f>
        <v/>
      </c>
      <c r="E3" s="47">
        <f>YEAR(E1)</f>
        <v/>
      </c>
      <c r="F3" s="47">
        <f>YEAR(F1)</f>
        <v/>
      </c>
      <c r="G3" s="47">
        <f>YEAR(G1)</f>
        <v/>
      </c>
      <c r="H3" s="47">
        <f>YEAR(H1)</f>
        <v/>
      </c>
      <c r="I3" s="47">
        <f>YEAR(I1)</f>
        <v/>
      </c>
      <c r="J3" s="47">
        <f>YEAR(J1)</f>
        <v/>
      </c>
      <c r="K3" s="56">
        <f>YEAR(K1)</f>
        <v/>
      </c>
      <c r="L3" s="47">
        <f>YEAR(L1)</f>
        <v/>
      </c>
      <c r="M3" s="47">
        <f>YEAR(M1)</f>
        <v/>
      </c>
      <c r="N3" s="47">
        <f>YEAR(N1)</f>
        <v/>
      </c>
      <c r="O3" s="47">
        <f>YEAR(O1)</f>
        <v/>
      </c>
      <c r="P3" s="47">
        <f>YEAR(P1)</f>
        <v/>
      </c>
      <c r="Q3" s="47">
        <f>YEAR(Q1)</f>
        <v/>
      </c>
      <c r="R3" s="47">
        <f>YEAR(R1)</f>
        <v/>
      </c>
      <c r="S3" s="47">
        <f>YEAR(S1)</f>
        <v/>
      </c>
      <c r="T3" s="47">
        <f>YEAR(T1)</f>
        <v/>
      </c>
      <c r="U3" s="47">
        <f>YEAR(U1)</f>
        <v/>
      </c>
      <c r="V3" s="48" t="inlineStr">
        <is>
          <t>Terminal</t>
        </is>
      </c>
    </row>
    <row r="4" customFormat="1" s="1">
      <c r="B4" s="50" t="inlineStr">
        <is>
          <t>Revenue</t>
        </is>
      </c>
      <c r="C4" s="76" t="n"/>
      <c r="D4" s="76">
        <f>IFERROR(INDEX(Python!$1:$1048576,MATCH(DCF_Simple!D$1,Python!$A:$A,0),MATCH(DCF_Simple!$B4,Python!$1:$1,0))/1000000,0)</f>
        <v/>
      </c>
      <c r="E4" s="76">
        <f>IFERROR(INDEX(Python!$1:$1048576,MATCH(DCF_Simple!E$1,Python!$A:$A,0),MATCH(DCF_Simple!$B4,Python!$1:$1,0))/1000000,0)</f>
        <v/>
      </c>
      <c r="F4" s="76">
        <f>IFERROR(INDEX(Python!$1:$1048576,MATCH(DCF_Simple!F$1,Python!$A:$A,0),MATCH(DCF_Simple!$B4,Python!$1:$1,0))/1000000,0)</f>
        <v/>
      </c>
      <c r="G4" s="76">
        <f>IFERROR(INDEX(Python!$1:$1048576,MATCH(DCF_Simple!G$1,Python!$A:$A,0),MATCH(DCF_Simple!$B4,Python!$1:$1,0))/1000000,0)</f>
        <v/>
      </c>
      <c r="H4" s="76">
        <f>IFERROR(INDEX(Python!$1:$1048576,MATCH(DCF_Simple!H$1,Python!$A:$A,0),MATCH(DCF_Simple!$B4,Python!$1:$1,0))/1000000,0)</f>
        <v/>
      </c>
      <c r="I4" s="76">
        <f>IFERROR(INDEX(Python!$1:$1048576,MATCH(DCF_Simple!I$1,Python!$A:$A,0),MATCH(DCF_Simple!$B4,Python!$1:$1,0))/1000000,0)</f>
        <v/>
      </c>
      <c r="J4" s="76">
        <f>IFERROR(INDEX(Python!$1:$1048576,MATCH(DCF_Simple!J$1,Python!$A:$A,0),MATCH(DCF_Simple!$B4,Python!$1:$1,0))/1000000,0)</f>
        <v/>
      </c>
      <c r="K4" s="77">
        <f>IFERROR(INDEX(Python!$1:$1048576,MATCH(DCF_Simple!K$1,Python!$A:$A,0),MATCH(DCF_Simple!$B4,Python!$1:$1,0))/1000000,0)</f>
        <v/>
      </c>
      <c r="L4" s="78">
        <f>K4*(1+L5)</f>
        <v/>
      </c>
      <c r="M4" s="76">
        <f>L4*(1+M5)</f>
        <v/>
      </c>
      <c r="N4" s="76">
        <f>M4*(1+N5)</f>
        <v/>
      </c>
      <c r="O4" s="76">
        <f>N4*(1+O5)</f>
        <v/>
      </c>
      <c r="P4" s="76">
        <f>O4*(1+P5)</f>
        <v/>
      </c>
      <c r="Q4" s="76">
        <f>P4*(1+Q5)</f>
        <v/>
      </c>
      <c r="R4" s="76">
        <f>Q4*(1+R5)</f>
        <v/>
      </c>
      <c r="S4" s="76">
        <f>R4*(1+S5)</f>
        <v/>
      </c>
      <c r="T4" s="76">
        <f>S4*(1+T5)</f>
        <v/>
      </c>
      <c r="U4" s="76">
        <f>T4*(1+U5)</f>
        <v/>
      </c>
      <c r="V4" s="79">
        <f>U4</f>
        <v/>
      </c>
    </row>
    <row r="5" customFormat="1" s="1">
      <c r="B5" s="10" t="inlineStr">
        <is>
          <t>Growth (y/y)</t>
        </is>
      </c>
      <c r="C5" s="31" t="n"/>
      <c r="D5" s="31" t="n"/>
      <c r="E5" s="80">
        <f>IFERROR(E4/D4-1,"")</f>
        <v/>
      </c>
      <c r="F5" s="80">
        <f>IFERROR(F4/E4-1,"")</f>
        <v/>
      </c>
      <c r="G5" s="80">
        <f>IFERROR(G4/F4-1,"")</f>
        <v/>
      </c>
      <c r="H5" s="80">
        <f>IFERROR(H4/G4-1,"")</f>
        <v/>
      </c>
      <c r="I5" s="80">
        <f>IFERROR(I4/H4-1,"")</f>
        <v/>
      </c>
      <c r="J5" s="80">
        <f>IFERROR(J4/I4-1,"")</f>
        <v/>
      </c>
      <c r="K5" s="81">
        <f>IFERROR(K4/J4-1,"")</f>
        <v/>
      </c>
      <c r="L5" s="45">
        <f>Python!F2</f>
        <v/>
      </c>
      <c r="M5" s="45">
        <f>L5/2</f>
        <v/>
      </c>
      <c r="N5" s="40">
        <f>M5</f>
        <v/>
      </c>
      <c r="O5" s="40">
        <f>N5</f>
        <v/>
      </c>
      <c r="P5" s="40">
        <f>O5</f>
        <v/>
      </c>
      <c r="Q5" s="40">
        <f>P5</f>
        <v/>
      </c>
      <c r="R5" s="40">
        <f>Q5</f>
        <v/>
      </c>
      <c r="S5" s="40">
        <f>R5</f>
        <v/>
      </c>
      <c r="T5" s="40">
        <f>S5</f>
        <v/>
      </c>
      <c r="U5" s="40">
        <f>T5</f>
        <v/>
      </c>
      <c r="V5" s="20" t="n"/>
    </row>
    <row r="6" ht="7.5" customFormat="1" customHeight="1" s="1">
      <c r="B6" s="4" t="n"/>
      <c r="C6" s="41" t="n"/>
      <c r="D6" s="41" t="n"/>
      <c r="E6" s="41" t="n"/>
      <c r="F6" s="41" t="n"/>
      <c r="G6" s="41" t="n"/>
      <c r="H6" s="41" t="n"/>
      <c r="I6" s="41" t="n"/>
      <c r="J6" s="41" t="n"/>
      <c r="K6" s="58" t="n"/>
      <c r="L6" s="82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4" t="n"/>
    </row>
    <row r="7" customFormat="1" s="1">
      <c r="B7" s="22" t="inlineStr">
        <is>
          <t>Free Cash Flow (FCF)</t>
        </is>
      </c>
      <c r="C7" s="54" t="n"/>
      <c r="D7" s="54">
        <f>IFERROR(INDEX(Python!$1:$1048576,MATCH(DCF_Simple!D$1,Python!$A:$A,0),MATCH(DCF_Simple!$B7,Python!$1:$1,0))/1000000,0)</f>
        <v/>
      </c>
      <c r="E7" s="54">
        <f>IFERROR(INDEX(Python!$1:$1048576,MATCH(DCF_Simple!E$1,Python!$A:$A,0),MATCH(DCF_Simple!$B7,Python!$1:$1,0))/1000000,0)</f>
        <v/>
      </c>
      <c r="F7" s="54">
        <f>IFERROR(INDEX(Python!$1:$1048576,MATCH(DCF_Simple!F$1,Python!$A:$A,0),MATCH(DCF_Simple!$B7,Python!$1:$1,0))/1000000,0)</f>
        <v/>
      </c>
      <c r="G7" s="54">
        <f>IFERROR(INDEX(Python!$1:$1048576,MATCH(DCF_Simple!G$1,Python!$A:$A,0),MATCH(DCF_Simple!$B7,Python!$1:$1,0))/1000000,0)</f>
        <v/>
      </c>
      <c r="H7" s="54">
        <f>IFERROR(INDEX(Python!$1:$1048576,MATCH(DCF_Simple!H$1,Python!$A:$A,0),MATCH(DCF_Simple!$B7,Python!$1:$1,0))/1000000,0)</f>
        <v/>
      </c>
      <c r="I7" s="54">
        <f>IFERROR(INDEX(Python!$1:$1048576,MATCH(DCF_Simple!I$1,Python!$A:$A,0),MATCH(DCF_Simple!$B7,Python!$1:$1,0))/1000000,0)</f>
        <v/>
      </c>
      <c r="J7" s="54">
        <f>IFERROR(INDEX(Python!$1:$1048576,MATCH(DCF_Simple!J$1,Python!$A:$A,0),MATCH(DCF_Simple!$B7,Python!$1:$1,0))/1000000,0)</f>
        <v/>
      </c>
      <c r="K7" s="59">
        <f>IFERROR(INDEX(Python!$1:$1048576,MATCH(DCF_Simple!K$1,Python!$A:$A,0),MATCH(DCF_Simple!$B7,Python!$1:$1,0))/1000000,0)</f>
        <v/>
      </c>
      <c r="L7" s="66">
        <f>L8*L4</f>
        <v/>
      </c>
      <c r="M7" s="66">
        <f>M8*M4</f>
        <v/>
      </c>
      <c r="N7" s="66">
        <f>N8*N4</f>
        <v/>
      </c>
      <c r="O7" s="66">
        <f>O8*O4</f>
        <v/>
      </c>
      <c r="P7" s="66">
        <f>P8*P4</f>
        <v/>
      </c>
      <c r="Q7" s="66">
        <f>Q8*Q4</f>
        <v/>
      </c>
      <c r="R7" s="66">
        <f>R8*R4</f>
        <v/>
      </c>
      <c r="S7" s="66">
        <f>S8*S4</f>
        <v/>
      </c>
      <c r="T7" s="66">
        <f>T8*T4</f>
        <v/>
      </c>
      <c r="U7" s="66">
        <f>U8*U4</f>
        <v/>
      </c>
      <c r="V7" s="67">
        <f>U7</f>
        <v/>
      </c>
    </row>
    <row r="8" customFormat="1" s="1">
      <c r="B8" s="10" t="inlineStr">
        <is>
          <t>FCF Margin</t>
        </is>
      </c>
      <c r="C8" s="80" t="n"/>
      <c r="D8" s="80">
        <f>IFERROR(D7/D$4,"")</f>
        <v/>
      </c>
      <c r="E8" s="80">
        <f>IFERROR(E7/E$4,"")</f>
        <v/>
      </c>
      <c r="F8" s="80">
        <f>IFERROR(F7/F$4,"")</f>
        <v/>
      </c>
      <c r="G8" s="80">
        <f>IFERROR(G7/G$4,"")</f>
        <v/>
      </c>
      <c r="H8" s="80">
        <f>IFERROR(H7/H$4,"")</f>
        <v/>
      </c>
      <c r="I8" s="80">
        <f>IFERROR(I7/I$4,"")</f>
        <v/>
      </c>
      <c r="J8" s="80">
        <f>IFERROR(J7/J$4,"")</f>
        <v/>
      </c>
      <c r="K8" s="81">
        <f>IFERROR(K7/K$4,"")</f>
        <v/>
      </c>
      <c r="L8" s="40">
        <f>AVERAGE(D8:K8)</f>
        <v/>
      </c>
      <c r="M8" s="40">
        <f>L8</f>
        <v/>
      </c>
      <c r="N8" s="40">
        <f>M8</f>
        <v/>
      </c>
      <c r="O8" s="40">
        <f>N8</f>
        <v/>
      </c>
      <c r="P8" s="40">
        <f>O8</f>
        <v/>
      </c>
      <c r="Q8" s="40">
        <f>P8</f>
        <v/>
      </c>
      <c r="R8" s="40">
        <f>Q8</f>
        <v/>
      </c>
      <c r="S8" s="40">
        <f>R8</f>
        <v/>
      </c>
      <c r="T8" s="40">
        <f>S8</f>
        <v/>
      </c>
      <c r="U8" s="40">
        <f>T8</f>
        <v/>
      </c>
      <c r="V8" s="20" t="n"/>
    </row>
    <row r="9" ht="7.5" customFormat="1" customHeight="1" s="1">
      <c r="B9" s="10" t="n"/>
      <c r="C9" s="80" t="n"/>
      <c r="D9" s="80" t="n"/>
      <c r="E9" s="80" t="n"/>
      <c r="F9" s="80" t="n"/>
      <c r="G9" s="80" t="n"/>
      <c r="H9" s="80" t="n"/>
      <c r="I9" s="80" t="n"/>
      <c r="J9" s="80" t="n"/>
      <c r="K9" s="8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25" t="n"/>
    </row>
    <row r="10" customFormat="1" s="1">
      <c r="B10" s="49" t="inlineStr">
        <is>
          <t>Shares Outstanding, Diluted</t>
        </is>
      </c>
      <c r="C10" s="37" t="n"/>
      <c r="D10" s="85">
        <f>IFERROR(INDEX(Python!$1:$1048576,MATCH(DCF_Simple!D$1,Python!$A:$A,0),MATCH(DCF_Simple!$B10,Python!$1:$1,0))/1000000,0)</f>
        <v/>
      </c>
      <c r="E10" s="85">
        <f>IFERROR(INDEX(Python!$1:$1048576,MATCH(DCF_Simple!E$1,Python!$A:$A,0),MATCH(DCF_Simple!$B10,Python!$1:$1,0))/1000000,0)</f>
        <v/>
      </c>
      <c r="F10" s="85">
        <f>IFERROR(INDEX(Python!$1:$1048576,MATCH(DCF_Simple!F$1,Python!$A:$A,0),MATCH(DCF_Simple!$B10,Python!$1:$1,0))/1000000,0)</f>
        <v/>
      </c>
      <c r="G10" s="85">
        <f>IFERROR(INDEX(Python!$1:$1048576,MATCH(DCF_Simple!G$1,Python!$A:$A,0),MATCH(DCF_Simple!$B10,Python!$1:$1,0))/1000000,0)</f>
        <v/>
      </c>
      <c r="H10" s="85">
        <f>IFERROR(INDEX(Python!$1:$1048576,MATCH(DCF_Simple!H$1,Python!$A:$A,0),MATCH(DCF_Simple!$B10,Python!$1:$1,0))/1000000,0)</f>
        <v/>
      </c>
      <c r="I10" s="85">
        <f>IFERROR(INDEX(Python!$1:$1048576,MATCH(DCF_Simple!I$1,Python!$A:$A,0),MATCH(DCF_Simple!$B10,Python!$1:$1,0))/1000000,0)</f>
        <v/>
      </c>
      <c r="J10" s="85">
        <f>IFERROR(INDEX(Python!$1:$1048576,MATCH(DCF_Simple!J$1,Python!$A:$A,0),MATCH(DCF_Simple!$B10,Python!$1:$1,0))/1000000,0)</f>
        <v/>
      </c>
      <c r="K10" s="86">
        <f>IFERROR(INDEX(Python!$1:$1048576,MATCH(DCF_Simple!K$1,Python!$A:$A,0),MATCH(DCF_Simple!$B10,Python!$1:$1,0))/1000000,0)</f>
        <v/>
      </c>
      <c r="L10" s="85">
        <f>K10*(1+L11)</f>
        <v/>
      </c>
      <c r="M10" s="85">
        <f>L10*(1+M11)</f>
        <v/>
      </c>
      <c r="N10" s="85">
        <f>M10*(1+N11)</f>
        <v/>
      </c>
      <c r="O10" s="85">
        <f>N10*(1+O11)</f>
        <v/>
      </c>
      <c r="P10" s="85">
        <f>O10*(1+P11)</f>
        <v/>
      </c>
      <c r="Q10" s="85">
        <f>P10*(1+Q11)</f>
        <v/>
      </c>
      <c r="R10" s="85">
        <f>Q10*(1+R11)</f>
        <v/>
      </c>
      <c r="S10" s="85">
        <f>R10*(1+S11)</f>
        <v/>
      </c>
      <c r="T10" s="85">
        <f>S10*(1+T11)</f>
        <v/>
      </c>
      <c r="U10" s="85">
        <f>T10*(1+U11)</f>
        <v/>
      </c>
      <c r="V10" s="87">
        <f>U10</f>
        <v/>
      </c>
    </row>
    <row r="11" customFormat="1" s="1">
      <c r="B11" s="10" t="inlineStr">
        <is>
          <t>Change (y/y)</t>
        </is>
      </c>
      <c r="C11" s="80" t="n"/>
      <c r="D11" s="80" t="n"/>
      <c r="E11" s="80">
        <f>IFERROR(E10/D10-1,"")</f>
        <v/>
      </c>
      <c r="F11" s="80">
        <f>IFERROR(F10/E10-1,"")</f>
        <v/>
      </c>
      <c r="G11" s="80">
        <f>IFERROR(G10/F10-1,"")</f>
        <v/>
      </c>
      <c r="H11" s="80">
        <f>IFERROR(H10/G10-1,"")</f>
        <v/>
      </c>
      <c r="I11" s="80">
        <f>IFERROR(I10/H10-1,"")</f>
        <v/>
      </c>
      <c r="J11" s="80">
        <f>IFERROR(J10/I10-1,"")</f>
        <v/>
      </c>
      <c r="K11" s="81">
        <f>IFERROR(K10/J10-1,"")</f>
        <v/>
      </c>
      <c r="L11" s="88">
        <f>K11</f>
        <v/>
      </c>
      <c r="M11" s="88">
        <f>L11</f>
        <v/>
      </c>
      <c r="N11" s="88">
        <f>M11</f>
        <v/>
      </c>
      <c r="O11" s="88">
        <f>N11</f>
        <v/>
      </c>
      <c r="P11" s="88">
        <f>O11</f>
        <v/>
      </c>
      <c r="Q11" s="88">
        <f>P11</f>
        <v/>
      </c>
      <c r="R11" s="88">
        <f>Q11</f>
        <v/>
      </c>
      <c r="S11" s="88">
        <f>R11</f>
        <v/>
      </c>
      <c r="T11" s="88">
        <f>S11</f>
        <v/>
      </c>
      <c r="U11" s="88">
        <f>T11</f>
        <v/>
      </c>
      <c r="V11" s="89" t="n"/>
    </row>
    <row r="12" ht="7.5" customFormat="1" customHeight="1" s="1">
      <c r="B12" s="1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25" t="n"/>
    </row>
    <row r="13">
      <c r="B13" s="51" t="inlineStr">
        <is>
          <t>FCF per share</t>
        </is>
      </c>
      <c r="C13" s="90" t="n"/>
      <c r="D13" s="90">
        <f>IFERROR(D7/D10,0)</f>
        <v/>
      </c>
      <c r="E13" s="90">
        <f>IFERROR(E7/E10,0)</f>
        <v/>
      </c>
      <c r="F13" s="90">
        <f>IFERROR(F7/F10,0)</f>
        <v/>
      </c>
      <c r="G13" s="90">
        <f>IFERROR(G7/G10,0)</f>
        <v/>
      </c>
      <c r="H13" s="90">
        <f>IFERROR(H7/H10,0)</f>
        <v/>
      </c>
      <c r="I13" s="90">
        <f>IFERROR(I7/I10,0)</f>
        <v/>
      </c>
      <c r="J13" s="90">
        <f>IFERROR(J7/J10,0)</f>
        <v/>
      </c>
      <c r="K13" s="91">
        <f>IFERROR(K7/K10,0)</f>
        <v/>
      </c>
      <c r="L13" s="90">
        <f>L7/L10</f>
        <v/>
      </c>
      <c r="M13" s="90">
        <f>M7/M10</f>
        <v/>
      </c>
      <c r="N13" s="90">
        <f>N7/N10</f>
        <v/>
      </c>
      <c r="O13" s="90">
        <f>O7/O10</f>
        <v/>
      </c>
      <c r="P13" s="90">
        <f>P7/P10</f>
        <v/>
      </c>
      <c r="Q13" s="90">
        <f>Q7/Q10</f>
        <v/>
      </c>
      <c r="R13" s="90">
        <f>R7/R10</f>
        <v/>
      </c>
      <c r="S13" s="90">
        <f>S7/S10</f>
        <v/>
      </c>
      <c r="T13" s="90">
        <f>T7/T10</f>
        <v/>
      </c>
      <c r="U13" s="90">
        <f>U7/U10</f>
        <v/>
      </c>
      <c r="V13" s="92">
        <f>U13*(1+WACC!$B$13)/(WACC!$B$14-WACC!$B$13)</f>
        <v/>
      </c>
    </row>
    <row r="14" ht="15.75" customHeight="1" thickBot="1">
      <c r="B14" s="52" t="inlineStr">
        <is>
          <t>Discounted FCF per share</t>
        </is>
      </c>
      <c r="C14" s="93" t="n"/>
      <c r="D14" s="93" t="n"/>
      <c r="E14" s="93" t="n"/>
      <c r="F14" s="93" t="n"/>
      <c r="G14" s="93" t="n"/>
      <c r="H14" s="93" t="n"/>
      <c r="I14" s="93" t="n"/>
      <c r="J14" s="93" t="n"/>
      <c r="K14" s="94" t="n"/>
      <c r="L14" s="95">
        <f>L13/((1+WACC!$B$14)^(L3-$K$3))</f>
        <v/>
      </c>
      <c r="M14" s="95">
        <f>M13/((1+WACC!$B$14)^(M3-$K$3))</f>
        <v/>
      </c>
      <c r="N14" s="95">
        <f>N13/((1+WACC!$B$14)^(N3-$K$3))</f>
        <v/>
      </c>
      <c r="O14" s="95">
        <f>O13/((1+WACC!$B$14)^(O3-$K$3))</f>
        <v/>
      </c>
      <c r="P14" s="95">
        <f>P13/((1+WACC!$B$14)^(P3-$K$3))</f>
        <v/>
      </c>
      <c r="Q14" s="95">
        <f>Q13/((1+WACC!$B$14)^(Q3-$K$3))</f>
        <v/>
      </c>
      <c r="R14" s="95">
        <f>R13/((1+WACC!$B$14)^(R3-$K$3))</f>
        <v/>
      </c>
      <c r="S14" s="95">
        <f>S13/((1+WACC!$B$14)^(S3-$K$3))</f>
        <v/>
      </c>
      <c r="T14" s="95">
        <f>T13/((1+WACC!$B$14)^(T3-$K$3))</f>
        <v/>
      </c>
      <c r="U14" s="95">
        <f>U13/((1+WACC!$B$14)^(U3-$K$3))</f>
        <v/>
      </c>
      <c r="V14" s="96">
        <f>V13/((1+WACC!$B$14)^(U3-$K$3))</f>
        <v/>
      </c>
    </row>
    <row r="15" ht="15.75" customHeight="1" thickTop="1">
      <c r="B15" s="3" t="n"/>
      <c r="C15" s="97" t="n"/>
      <c r="D15" s="97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</row>
    <row r="16">
      <c r="B16" s="3" t="n"/>
      <c r="C16" s="97" t="n"/>
      <c r="D16" s="97" t="n"/>
      <c r="E16" s="97" t="n"/>
      <c r="F16" s="97" t="n"/>
      <c r="G16" s="97" t="n"/>
      <c r="H16" s="97" t="n"/>
      <c r="I16" s="97" t="n"/>
      <c r="J16" s="97" t="n"/>
      <c r="L16" s="3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</row>
    <row r="17">
      <c r="B17" s="9" t="inlineStr">
        <is>
          <t>Terminal Value (TV)</t>
        </is>
      </c>
      <c r="C17" s="32">
        <f>V14</f>
        <v/>
      </c>
      <c r="L17" s="16">
        <f>C17/$C$19</f>
        <v/>
      </c>
      <c r="O17" s="18" t="n"/>
    </row>
    <row r="18">
      <c r="B18" s="8" t="inlineStr">
        <is>
          <t>Total Discounted FCF</t>
        </is>
      </c>
      <c r="C18" s="33">
        <f>SUM(14:14)-V14</f>
        <v/>
      </c>
      <c r="K18" s="3" t="n"/>
      <c r="L18" s="16">
        <f>C18/$C$19</f>
        <v/>
      </c>
      <c r="O18" s="98" t="n"/>
      <c r="P18" s="98" t="n"/>
      <c r="Q18" s="98" t="n"/>
      <c r="R18" s="98" t="n"/>
      <c r="S18" s="98" t="n"/>
      <c r="T18" s="98" t="n"/>
      <c r="U18" s="98" t="n"/>
      <c r="V18" s="98" t="n"/>
    </row>
    <row r="19">
      <c r="B19" s="5" t="inlineStr">
        <is>
          <t>Enterprise Value</t>
        </is>
      </c>
      <c r="C19" s="34">
        <f>C17+C18</f>
        <v/>
      </c>
      <c r="G19" s="15" t="n"/>
      <c r="H19" s="15" t="n"/>
      <c r="J19" s="3" t="n"/>
      <c r="K19" s="3" t="n"/>
      <c r="L19" s="99" t="n"/>
      <c r="M19" s="15" t="n"/>
      <c r="N19" s="15" t="n"/>
      <c r="O19" s="3" t="n"/>
      <c r="P19" s="3" t="n"/>
      <c r="Q19" s="3" t="n"/>
      <c r="R19" s="3" t="n"/>
      <c r="S19" s="3" t="n"/>
    </row>
    <row r="20">
      <c r="B20" s="6" t="inlineStr">
        <is>
          <t>Cash and Equivalents</t>
        </is>
      </c>
      <c r="C20" s="74">
        <f>Python!E3/1000000/K10</f>
        <v/>
      </c>
      <c r="G20" s="14" t="n"/>
      <c r="H20" s="14" t="n"/>
      <c r="N20" s="14" t="n"/>
    </row>
    <row r="21">
      <c r="B21" s="7" t="inlineStr">
        <is>
          <t>Debt</t>
        </is>
      </c>
      <c r="C21" s="33">
        <f>WACC!B3/1000000/K10</f>
        <v/>
      </c>
      <c r="F21" s="14" t="n"/>
      <c r="G21" s="14" t="n"/>
      <c r="H21" s="14" t="n"/>
    </row>
    <row r="22" ht="15.75" customHeight="1" thickBot="1">
      <c r="B22" s="35" t="inlineStr">
        <is>
          <t>Equity Value</t>
        </is>
      </c>
      <c r="C22" s="100">
        <f>C19+C20-C21</f>
        <v/>
      </c>
      <c r="F22" s="15" t="n"/>
      <c r="G22" s="15" t="n"/>
      <c r="H22" s="15" t="n"/>
      <c r="J22" s="3" t="n"/>
      <c r="K22" s="3" t="n"/>
      <c r="L22" s="3" t="n"/>
      <c r="M22" s="3" t="n"/>
      <c r="N22" s="3" t="n"/>
      <c r="O22" s="3" t="n"/>
    </row>
    <row r="23" ht="15.75" customHeight="1" thickTop="1"/>
  </sheetData>
  <pageMargins left="0.7" right="0.7" top="0.75" bottom="0.75" header="0.3" footer="0.3"/>
  <pageSetup orientation="landscape" scale="5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87"/>
  <sheetViews>
    <sheetView workbookViewId="0">
      <selection activeCell="A10" sqref="A10"/>
    </sheetView>
  </sheetViews>
  <sheetFormatPr baseColWidth="8" defaultRowHeight="15"/>
  <cols>
    <col width="10.42578125" bestFit="1" customWidth="1" min="1" max="1"/>
    <col width="11" bestFit="1" customWidth="1" min="2" max="2"/>
    <col width="11" customWidth="1" min="3" max="3"/>
    <col width="19.5703125" bestFit="1" customWidth="1" min="4" max="4"/>
    <col width="26.28515625" bestFit="1" customWidth="1" min="5" max="5"/>
    <col width="29.28515625" bestFit="1" customWidth="1" min="6" max="6"/>
    <col width="11" bestFit="1" customWidth="1" min="7" max="7"/>
    <col width="24" bestFit="1" customWidth="1" min="8" max="8"/>
    <col width="10.42578125" bestFit="1" customWidth="1" min="9" max="90"/>
  </cols>
  <sheetData>
    <row r="1">
      <c r="A1" s="27" t="n"/>
      <c r="B1" s="27" t="n"/>
      <c r="C1" s="27" t="n"/>
      <c r="D1" s="27" t="n"/>
      <c r="E1" s="27" t="n"/>
      <c r="F1" s="14" t="n"/>
      <c r="G1" s="26" t="n"/>
    </row>
    <row r="2">
      <c r="A2" s="101" t="n"/>
      <c r="B2" s="26" t="n"/>
      <c r="C2" s="26" t="n"/>
      <c r="D2" s="26" t="n"/>
      <c r="E2" s="26" t="n"/>
      <c r="F2" s="14" t="n"/>
      <c r="G2" s="16" t="n"/>
      <c r="H2" s="75" t="n"/>
    </row>
    <row r="3">
      <c r="A3" s="102" t="n"/>
      <c r="H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26" t="n"/>
      <c r="AY3" s="26" t="n"/>
      <c r="AZ3" s="26" t="n"/>
      <c r="BA3" s="26" t="n"/>
      <c r="BB3" s="26" t="n"/>
      <c r="BC3" s="26" t="n"/>
      <c r="BD3" s="26" t="n"/>
      <c r="BE3" s="26" t="n"/>
      <c r="BF3" s="26" t="n"/>
      <c r="BG3" s="26" t="n"/>
      <c r="BH3" s="26" t="n"/>
      <c r="BI3" s="26" t="n"/>
      <c r="BJ3" s="26" t="n"/>
      <c r="BK3" s="26" t="n"/>
      <c r="BL3" s="26" t="n"/>
      <c r="BM3" s="26" t="n"/>
      <c r="BN3" s="26" t="n"/>
      <c r="BO3" s="26" t="n"/>
      <c r="BP3" s="26" t="n"/>
      <c r="BQ3" s="26" t="n"/>
      <c r="BR3" s="26" t="n"/>
      <c r="BS3" s="26" t="n"/>
      <c r="BT3" s="2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</row>
    <row r="4">
      <c r="A4" s="102" t="n"/>
    </row>
    <row r="5">
      <c r="A5" s="102" t="n"/>
    </row>
    <row r="6">
      <c r="A6" s="102" t="n"/>
    </row>
    <row r="7">
      <c r="A7" s="102" t="n"/>
    </row>
    <row r="8">
      <c r="A8" s="102" t="n"/>
    </row>
    <row r="9">
      <c r="A9" s="102" t="n"/>
    </row>
    <row r="10">
      <c r="A10" s="102" t="n"/>
    </row>
    <row r="11">
      <c r="A11" s="102" t="n"/>
    </row>
    <row r="12">
      <c r="A12" s="30" t="n"/>
    </row>
    <row r="13">
      <c r="A13" s="30" t="n"/>
    </row>
    <row r="14">
      <c r="A14" s="30" t="n"/>
    </row>
    <row r="15">
      <c r="A15" s="30" t="n"/>
    </row>
    <row r="16">
      <c r="A16" s="30" t="n"/>
    </row>
    <row r="17">
      <c r="A17" s="30" t="n"/>
    </row>
    <row r="18">
      <c r="A18" s="30" t="n"/>
    </row>
    <row r="19">
      <c r="A19" s="30" t="n"/>
    </row>
    <row r="20">
      <c r="A20" s="30" t="n"/>
    </row>
    <row r="21">
      <c r="A21" s="30" t="n"/>
    </row>
    <row r="22">
      <c r="A22" s="30" t="n"/>
    </row>
    <row r="23">
      <c r="A23" s="30" t="n"/>
    </row>
    <row r="24">
      <c r="A24" s="30" t="n"/>
    </row>
    <row r="25">
      <c r="A25" s="30" t="n"/>
    </row>
    <row r="26">
      <c r="A26" s="30" t="n"/>
    </row>
    <row r="27">
      <c r="A27" s="30" t="n"/>
      <c r="D27" s="26" t="n"/>
    </row>
    <row r="28">
      <c r="A28" s="30" t="n"/>
      <c r="D28" s="26" t="n"/>
    </row>
    <row r="29">
      <c r="A29" s="30" t="n"/>
      <c r="D29" s="26" t="n"/>
    </row>
    <row r="30">
      <c r="D30" s="26" t="n"/>
    </row>
    <row r="31">
      <c r="D31" s="26" t="n"/>
    </row>
    <row r="32">
      <c r="D32" s="26" t="n"/>
    </row>
    <row r="33">
      <c r="D33" s="26" t="n"/>
    </row>
    <row r="34">
      <c r="D34" s="26" t="n"/>
    </row>
    <row r="35">
      <c r="D35" s="26" t="n"/>
    </row>
    <row r="36">
      <c r="D36" s="26" t="n"/>
    </row>
    <row r="37">
      <c r="D37" s="26" t="n"/>
    </row>
    <row r="38">
      <c r="D38" s="26" t="n"/>
    </row>
    <row r="39">
      <c r="D39" s="26" t="n"/>
    </row>
    <row r="40">
      <c r="D40" s="26" t="n"/>
    </row>
    <row r="41">
      <c r="D41" s="26" t="n"/>
    </row>
    <row r="42">
      <c r="D42" s="26" t="n"/>
    </row>
    <row r="43">
      <c r="D43" s="26" t="n"/>
    </row>
    <row r="44">
      <c r="D44" s="26" t="n"/>
    </row>
    <row r="45">
      <c r="D45" s="26" t="n"/>
    </row>
    <row r="46">
      <c r="D46" s="26" t="n"/>
    </row>
    <row r="47">
      <c r="D47" s="26" t="n"/>
    </row>
    <row r="48">
      <c r="D48" s="26" t="n"/>
    </row>
    <row r="49">
      <c r="D49" s="26" t="n"/>
    </row>
    <row r="50">
      <c r="D50" s="26" t="n"/>
    </row>
    <row r="51">
      <c r="D51" s="26" t="n"/>
    </row>
    <row r="52">
      <c r="D52" s="26" t="n"/>
    </row>
    <row r="53">
      <c r="D53" s="26" t="n"/>
    </row>
    <row r="54">
      <c r="D54" s="26" t="n"/>
    </row>
    <row r="55">
      <c r="D55" s="26" t="n"/>
    </row>
    <row r="56">
      <c r="D56" s="26" t="n"/>
    </row>
    <row r="57">
      <c r="D57" s="26" t="n"/>
    </row>
    <row r="58">
      <c r="D58" s="26" t="n"/>
    </row>
    <row r="59">
      <c r="D59" s="26" t="n"/>
    </row>
    <row r="60">
      <c r="D60" s="26" t="n"/>
    </row>
    <row r="61">
      <c r="D61" s="26" t="n"/>
    </row>
    <row r="62">
      <c r="D62" s="26" t="n"/>
    </row>
    <row r="63">
      <c r="D63" s="26" t="n"/>
    </row>
    <row r="64">
      <c r="D64" s="26" t="n"/>
    </row>
    <row r="65">
      <c r="D65" s="26" t="n"/>
    </row>
    <row r="66">
      <c r="D66" s="26" t="n"/>
    </row>
    <row r="67">
      <c r="D67" s="26" t="n"/>
    </row>
    <row r="68">
      <c r="D68" s="26" t="n"/>
    </row>
    <row r="69">
      <c r="D69" s="26" t="n"/>
    </row>
    <row r="70">
      <c r="D70" s="26" t="n"/>
    </row>
    <row r="71">
      <c r="D71" s="26" t="n"/>
    </row>
    <row r="72">
      <c r="D72" s="26" t="n"/>
    </row>
    <row r="73">
      <c r="D73" s="26" t="n"/>
    </row>
    <row r="74">
      <c r="D74" s="26" t="n"/>
    </row>
    <row r="75">
      <c r="D75" s="26" t="n"/>
    </row>
    <row r="76">
      <c r="D76" s="26" t="n"/>
    </row>
    <row r="77">
      <c r="D77" s="26" t="n"/>
    </row>
    <row r="78">
      <c r="D78" s="26" t="n"/>
    </row>
    <row r="79">
      <c r="D79" s="26" t="n"/>
    </row>
    <row r="80">
      <c r="D80" s="26" t="n"/>
    </row>
    <row r="81">
      <c r="D81" s="26" t="n"/>
    </row>
    <row r="82">
      <c r="D82" s="26" t="n"/>
    </row>
    <row r="83">
      <c r="D83" s="26" t="n"/>
    </row>
    <row r="84">
      <c r="D84" s="26" t="n"/>
    </row>
    <row r="85">
      <c r="D85" s="26" t="n"/>
    </row>
    <row r="86">
      <c r="D86" s="26" t="n"/>
    </row>
    <row r="87">
      <c r="D87" s="2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R14" sqref="R14"/>
    </sheetView>
  </sheetViews>
  <sheetFormatPr baseColWidth="8" defaultRowHeight="15"/>
  <cols>
    <col width="10.42578125" bestFit="1" customWidth="1" min="1" max="1"/>
    <col width="7.5703125" bestFit="1" customWidth="1" min="2" max="2"/>
    <col width="20" bestFit="1" customWidth="1" min="18" max="18"/>
  </cols>
  <sheetData>
    <row r="1">
      <c r="A1" s="27" t="inlineStr">
        <is>
          <t>date</t>
        </is>
      </c>
      <c r="B1" s="27" t="inlineStr">
        <is>
          <t>revenue</t>
        </is>
      </c>
      <c r="C1" t="inlineStr">
        <is>
          <t>Deriv1</t>
        </is>
      </c>
      <c r="D1" t="inlineStr">
        <is>
          <t>Static1</t>
        </is>
      </c>
      <c r="F1" s="27" t="inlineStr">
        <is>
          <t>revenue</t>
        </is>
      </c>
      <c r="G1" t="inlineStr">
        <is>
          <t>Deriv1</t>
        </is>
      </c>
      <c r="H1" t="inlineStr">
        <is>
          <t>Static1</t>
        </is>
      </c>
      <c r="J1" t="inlineStr">
        <is>
          <t>grossProfit_margin</t>
        </is>
      </c>
      <c r="K1" t="inlineStr">
        <is>
          <t>Deriv1</t>
        </is>
      </c>
      <c r="L1" t="inlineStr">
        <is>
          <t>Static1</t>
        </is>
      </c>
      <c r="N1" t="inlineStr">
        <is>
          <t>FCF_margin</t>
        </is>
      </c>
      <c r="O1" t="inlineStr">
        <is>
          <t>Deriv1</t>
        </is>
      </c>
      <c r="P1" t="inlineStr">
        <is>
          <t>Static1</t>
        </is>
      </c>
      <c r="R1" t="n">
        <v>2025</v>
      </c>
      <c r="S1">
        <f>R1+1</f>
        <v/>
      </c>
      <c r="T1">
        <f>S1+1</f>
        <v/>
      </c>
      <c r="U1">
        <f>T1+1</f>
        <v/>
      </c>
      <c r="V1">
        <f>U1+1</f>
        <v/>
      </c>
      <c r="W1">
        <f>V1+1</f>
        <v/>
      </c>
      <c r="X1">
        <f>W1+1</f>
        <v/>
      </c>
      <c r="Y1">
        <f>X1+1</f>
        <v/>
      </c>
      <c r="Z1">
        <f>Y1+1</f>
        <v/>
      </c>
      <c r="AA1">
        <f>Z1+1</f>
        <v/>
      </c>
      <c r="AB1">
        <f>AA1+1</f>
        <v/>
      </c>
      <c r="AC1">
        <f>AB1+1</f>
        <v/>
      </c>
      <c r="AD1">
        <f>AC1+1</f>
        <v/>
      </c>
      <c r="AE1">
        <f>AD1+1</f>
        <v/>
      </c>
      <c r="AF1">
        <f>AE1+1</f>
        <v/>
      </c>
      <c r="AG1">
        <f>AF1+1</f>
        <v/>
      </c>
      <c r="AH1">
        <f>AG1+1</f>
        <v/>
      </c>
      <c r="AI1">
        <f>AH1+1</f>
        <v/>
      </c>
      <c r="AJ1">
        <f>AI1+1</f>
        <v/>
      </c>
      <c r="AK1">
        <f>AJ1+1</f>
        <v/>
      </c>
      <c r="AL1">
        <f>AK1+1</f>
        <v/>
      </c>
      <c r="AM1">
        <f>AL1+1</f>
        <v/>
      </c>
      <c r="AN1">
        <f>AM1+1</f>
        <v/>
      </c>
      <c r="AO1">
        <f>AN1+1</f>
        <v/>
      </c>
      <c r="AP1">
        <f>AO1+1</f>
        <v/>
      </c>
      <c r="AQ1">
        <f>AP1+1</f>
        <v/>
      </c>
      <c r="AR1">
        <f>AQ1+1</f>
        <v/>
      </c>
      <c r="AS1">
        <f>AR1+1</f>
        <v/>
      </c>
      <c r="AT1">
        <f>AS1+1</f>
        <v/>
      </c>
    </row>
    <row r="2">
      <c r="A2" s="30" t="n">
        <v>45596</v>
      </c>
      <c r="B2" s="16" t="n">
        <v>0.2497996218896865</v>
      </c>
      <c r="C2" s="16">
        <f>B2/B3-1</f>
        <v/>
      </c>
      <c r="D2" s="16">
        <f>B2-B3</f>
        <v/>
      </c>
      <c r="E2" s="16" t="n"/>
      <c r="F2" s="16" t="n">
        <v>0.2497996218896865</v>
      </c>
      <c r="G2" s="16">
        <f>F2/F6-1</f>
        <v/>
      </c>
      <c r="H2" s="16">
        <f>F2-F6</f>
        <v/>
      </c>
      <c r="I2" s="16" t="n"/>
      <c r="K2" s="16" t="n"/>
      <c r="L2" s="16" t="n"/>
      <c r="M2" s="16" t="n"/>
      <c r="O2" s="16" t="n"/>
      <c r="P2" s="16" t="n"/>
      <c r="Q2" s="16" t="n"/>
      <c r="R2" s="16">
        <f>F2</f>
        <v/>
      </c>
      <c r="S2" s="16">
        <f>R2*(1+$G$32)</f>
        <v/>
      </c>
      <c r="T2" s="16">
        <f>S2*(1+$G$32)</f>
        <v/>
      </c>
      <c r="U2" s="16">
        <f>T2*(1+$G$32)</f>
        <v/>
      </c>
      <c r="V2" s="16">
        <f>U2*(1+$G$32)</f>
        <v/>
      </c>
      <c r="W2" s="16">
        <f>V2*(1+$G$32)</f>
        <v/>
      </c>
      <c r="X2" s="16">
        <f>W2*(1+$G$32)</f>
        <v/>
      </c>
      <c r="Y2" s="16">
        <f>X2*(1+$G$32)</f>
        <v/>
      </c>
      <c r="Z2" s="16">
        <f>Y2*(1+$G$32)</f>
        <v/>
      </c>
      <c r="AA2" s="16">
        <f>Z2*(1+$G$32)</f>
        <v/>
      </c>
      <c r="AB2" s="16">
        <f>AA2*(1+$G$32)</f>
        <v/>
      </c>
      <c r="AC2" s="16">
        <f>AB2*(1+$G$32)</f>
        <v/>
      </c>
      <c r="AD2" s="16">
        <f>AC2*(1+$G$32)</f>
        <v/>
      </c>
      <c r="AE2" s="16">
        <f>AD2*(1+$G$32)</f>
        <v/>
      </c>
      <c r="AF2" s="16">
        <f>AE2*(1+$G$32)</f>
        <v/>
      </c>
      <c r="AG2" s="16">
        <f>AF2*(1+$G$32)</f>
        <v/>
      </c>
      <c r="AH2" s="16">
        <f>AG2*(1+$G$32)</f>
        <v/>
      </c>
      <c r="AI2" s="16">
        <f>AH2*(1+$G$32)</f>
        <v/>
      </c>
      <c r="AJ2" s="16">
        <f>AI2*(1+$G$32)</f>
        <v/>
      </c>
      <c r="AK2" s="16">
        <f>AJ2*(1+$G$32)</f>
        <v/>
      </c>
      <c r="AL2" s="16">
        <f>AK2*(1+$G$32)</f>
        <v/>
      </c>
      <c r="AM2" s="16">
        <f>AL2*(1+$G$32)</f>
        <v/>
      </c>
      <c r="AN2" s="16">
        <f>AM2*(1+$G$32)</f>
        <v/>
      </c>
      <c r="AO2" s="16">
        <f>AN2*(1+$G$32)</f>
        <v/>
      </c>
      <c r="AP2" s="16">
        <f>AO2*(1+$G$32)</f>
        <v/>
      </c>
      <c r="AQ2" s="16">
        <f>AP2*(1+$G$32)</f>
        <v/>
      </c>
      <c r="AR2" s="16">
        <f>AQ2*(1+$G$32)</f>
        <v/>
      </c>
      <c r="AS2" s="16">
        <f>AR2*(1+$G$32)</f>
        <v/>
      </c>
      <c r="AT2" s="16">
        <f>AS2*(1+$G$32)</f>
        <v/>
      </c>
    </row>
    <row r="3">
      <c r="A3" s="27" t="inlineStr">
        <is>
          <t>2024-07-31</t>
        </is>
      </c>
      <c r="B3" s="16" t="n">
        <v>0.317</v>
      </c>
      <c r="C3" s="16">
        <f>B3/B4-1</f>
        <v/>
      </c>
      <c r="D3" s="16">
        <f>B3-B4</f>
        <v/>
      </c>
      <c r="E3" s="16" t="n"/>
      <c r="F3" s="16" t="n">
        <v>0.317</v>
      </c>
      <c r="G3" s="16">
        <f>F3/F7-1</f>
        <v/>
      </c>
      <c r="H3" s="16">
        <f>F3-F7</f>
        <v/>
      </c>
      <c r="I3" s="16" t="n"/>
      <c r="J3" t="n">
        <v>0.753</v>
      </c>
      <c r="K3" s="16">
        <f>J3/J7-1</f>
        <v/>
      </c>
      <c r="L3" s="16">
        <f>J3-J7</f>
        <v/>
      </c>
      <c r="M3" s="16" t="n"/>
      <c r="N3" t="n">
        <v>0.315</v>
      </c>
      <c r="O3" s="16">
        <f>N3/N7-1</f>
        <v/>
      </c>
      <c r="P3" s="16">
        <f>N3-N7</f>
        <v/>
      </c>
      <c r="Q3" s="16" t="n"/>
      <c r="R3">
        <f>J3</f>
        <v/>
      </c>
      <c r="S3" s="99">
        <f>R3*(1+($K$32/2))</f>
        <v/>
      </c>
      <c r="T3" s="99">
        <f>S3*(1+($K$32/2))</f>
        <v/>
      </c>
      <c r="U3" s="99">
        <f>T3*(1+($K$32/2))</f>
        <v/>
      </c>
      <c r="V3" s="99">
        <f>U3*(1+($K$32/2))</f>
        <v/>
      </c>
      <c r="W3" s="99">
        <f>V3*(1+($K$32/2))</f>
        <v/>
      </c>
      <c r="X3" s="99">
        <f>W3*(1+($K$32/2))</f>
        <v/>
      </c>
      <c r="Y3" s="99">
        <f>X3*(1+($K$32/2))</f>
        <v/>
      </c>
      <c r="Z3" s="99">
        <f>Y3*(1+($K$32/2))</f>
        <v/>
      </c>
      <c r="AA3" s="99">
        <f>Z3*(1+($K$32/2))</f>
        <v/>
      </c>
      <c r="AB3" s="99">
        <f>AA3*(1+($K$32/2))</f>
        <v/>
      </c>
      <c r="AC3" s="99">
        <f>AB3*(1+($K$32/2))</f>
        <v/>
      </c>
      <c r="AD3" s="99">
        <f>AC3*(1+($K$32/2))</f>
        <v/>
      </c>
      <c r="AE3" s="99">
        <f>AD3*(1+($K$32/2))</f>
        <v/>
      </c>
      <c r="AF3" s="99">
        <f>AE3*(1+($K$32/2))</f>
        <v/>
      </c>
      <c r="AG3" s="99">
        <f>AF3*(1+($K$32/2))</f>
        <v/>
      </c>
      <c r="AH3" s="99">
        <f>AG3*(1+($K$32/2))</f>
        <v/>
      </c>
      <c r="AI3" s="99">
        <f>AH3*(1+($K$32/2))</f>
        <v/>
      </c>
      <c r="AJ3" s="99">
        <f>AI3*(1+($K$32/2))</f>
        <v/>
      </c>
      <c r="AK3" s="99">
        <f>AJ3*(1+($K$32/2))</f>
        <v/>
      </c>
      <c r="AL3" s="99">
        <f>AK3*(1+($K$32/2))</f>
        <v/>
      </c>
      <c r="AM3" s="99">
        <f>AL3*(1+($K$32/2))</f>
        <v/>
      </c>
      <c r="AN3" s="99">
        <f>AM3*(1+($K$32/2))</f>
        <v/>
      </c>
      <c r="AO3" s="99">
        <f>AN3*(1+($K$32/2))</f>
        <v/>
      </c>
      <c r="AP3" s="99">
        <f>AO3*(1+($K$32/2))</f>
        <v/>
      </c>
      <c r="AQ3" s="99">
        <f>AP3*(1+($K$32/2))</f>
        <v/>
      </c>
      <c r="AR3" s="99">
        <f>AQ3*(1+($K$32/2))</f>
        <v/>
      </c>
      <c r="AS3" s="99">
        <f>AR3*(1+($K$32/2))</f>
        <v/>
      </c>
      <c r="AT3" s="99">
        <f>AS3*(1+($K$32/2))</f>
        <v/>
      </c>
    </row>
    <row r="4">
      <c r="A4" s="27" t="inlineStr">
        <is>
          <t>2024-04-30</t>
        </is>
      </c>
      <c r="B4" s="16" t="n">
        <v>0.33</v>
      </c>
      <c r="C4" s="16">
        <f>B4/B5-1</f>
        <v/>
      </c>
      <c r="D4" s="16">
        <f>B4-B5</f>
        <v/>
      </c>
      <c r="E4" s="16" t="n"/>
      <c r="F4" s="16" t="n">
        <v>0.33</v>
      </c>
      <c r="G4" s="16">
        <f>F4/F8-1</f>
        <v/>
      </c>
      <c r="H4" s="16">
        <f>F4-F8</f>
        <v/>
      </c>
      <c r="I4" s="16" t="n"/>
      <c r="J4" t="n">
        <v>0.753</v>
      </c>
      <c r="K4" s="16">
        <f>J4/J8-1</f>
        <v/>
      </c>
      <c r="L4" s="16">
        <f>J4-J8</f>
        <v/>
      </c>
      <c r="M4" s="16" t="n"/>
      <c r="N4" t="n">
        <v>0.312</v>
      </c>
      <c r="O4" s="16">
        <f>N4/N8-1</f>
        <v/>
      </c>
      <c r="P4" s="16">
        <f>N4-N8</f>
        <v/>
      </c>
      <c r="Q4" s="16" t="n"/>
    </row>
    <row r="5">
      <c r="A5" s="27" t="inlineStr">
        <is>
          <t>2024-01-31</t>
        </is>
      </c>
      <c r="B5" s="16" t="n">
        <v>0.326</v>
      </c>
      <c r="C5" s="16">
        <f>B5/B6-1</f>
        <v/>
      </c>
      <c r="D5" s="16">
        <f>B5-B6</f>
        <v/>
      </c>
      <c r="E5" s="16" t="n"/>
      <c r="F5" s="16" t="n">
        <v>0.326</v>
      </c>
      <c r="G5" s="16">
        <f>F5/F9-1</f>
        <v/>
      </c>
      <c r="H5" s="16">
        <f>F5-F9</f>
        <v/>
      </c>
      <c r="I5" s="16" t="n"/>
      <c r="J5" t="n">
        <v>0.752</v>
      </c>
      <c r="K5" s="16">
        <f>J5/J9-1</f>
        <v/>
      </c>
      <c r="L5" s="16">
        <f>J5-J9</f>
        <v/>
      </c>
      <c r="M5" s="16" t="n"/>
      <c r="N5" t="n">
        <v>0.304</v>
      </c>
      <c r="O5" s="16">
        <f>N5/N9-1</f>
        <v/>
      </c>
      <c r="P5" s="16">
        <f>N5-N9</f>
        <v/>
      </c>
      <c r="Q5" s="16" t="n"/>
    </row>
    <row r="6">
      <c r="A6" s="27" t="inlineStr">
        <is>
          <t>2023-10-31</t>
        </is>
      </c>
      <c r="B6" s="16" t="n">
        <v>0.353</v>
      </c>
      <c r="C6" s="16">
        <f>B6/B7-1</f>
        <v/>
      </c>
      <c r="D6" s="16">
        <f>B6-B7</f>
        <v/>
      </c>
      <c r="E6" s="16" t="n"/>
      <c r="F6" s="16" t="n">
        <v>0.353</v>
      </c>
      <c r="G6" s="16">
        <f>F6/F10-1</f>
        <v/>
      </c>
      <c r="H6" s="16">
        <f>F6-F10</f>
        <v/>
      </c>
      <c r="I6" s="16" t="n"/>
      <c r="J6" t="n">
        <v>0.746</v>
      </c>
      <c r="K6" s="16">
        <f>J6/J10-1</f>
        <v/>
      </c>
      <c r="L6" s="16">
        <f>J6-J10</f>
        <v/>
      </c>
      <c r="M6" s="16" t="n"/>
      <c r="N6" t="n">
        <v>0.303</v>
      </c>
      <c r="O6" s="16">
        <f>N6/N10-1</f>
        <v/>
      </c>
      <c r="P6" s="16">
        <f>N6-N10</f>
        <v/>
      </c>
      <c r="Q6" s="16" t="n"/>
      <c r="R6" t="inlineStr">
        <is>
          <t># Get a mathematical function written to get the first derivative. Maybe start with a graph, and go from there?</t>
        </is>
      </c>
    </row>
    <row r="7">
      <c r="A7" s="27" t="inlineStr">
        <is>
          <t>2023-07-31</t>
        </is>
      </c>
      <c r="B7" s="16" t="n">
        <v>0.367</v>
      </c>
      <c r="C7" s="16">
        <f>B7/B8-1</f>
        <v/>
      </c>
      <c r="D7" s="16">
        <f>B7-B8</f>
        <v/>
      </c>
      <c r="E7" s="16" t="n"/>
      <c r="F7" s="16" t="n">
        <v>0.367</v>
      </c>
      <c r="G7" s="16">
        <f>F7/F11-1</f>
        <v/>
      </c>
      <c r="H7" s="16">
        <f>F7-F11</f>
        <v/>
      </c>
      <c r="I7" s="16" t="n"/>
      <c r="J7" t="n">
        <v>0.74</v>
      </c>
      <c r="K7" s="16">
        <f>J7/J11-1</f>
        <v/>
      </c>
      <c r="L7" s="16">
        <f>J7-J11</f>
        <v/>
      </c>
      <c r="M7" s="16" t="n"/>
      <c r="N7" t="n">
        <v>0.302</v>
      </c>
      <c r="O7" s="16">
        <f>N7/N11-1</f>
        <v/>
      </c>
      <c r="P7" s="16">
        <f>N7-N11</f>
        <v/>
      </c>
      <c r="Q7" s="16" t="n"/>
      <c r="S7" t="inlineStr">
        <is>
          <t>calculus functions in python/r, to start, do a static program maybe, just to get a foundation going. Might be a little bit of a detour for now</t>
        </is>
      </c>
    </row>
    <row r="8">
      <c r="A8" s="27" t="inlineStr">
        <is>
          <t>2023-04-30</t>
        </is>
      </c>
      <c r="B8" s="16" t="n">
        <v>0.42</v>
      </c>
      <c r="C8" s="16">
        <f>B8/B9-1</f>
        <v/>
      </c>
      <c r="D8" s="16">
        <f>B8-B9</f>
        <v/>
      </c>
      <c r="E8" s="16" t="n"/>
      <c r="F8" s="16" t="n">
        <v>0.42</v>
      </c>
      <c r="G8" s="16">
        <f>F8/F12-1</f>
        <v/>
      </c>
      <c r="H8" s="16">
        <f>F8-F12</f>
        <v/>
      </c>
      <c r="I8" s="16" t="n"/>
      <c r="J8" t="n">
        <v>0.737</v>
      </c>
      <c r="K8" s="16">
        <f>J8/J12-1</f>
        <v/>
      </c>
      <c r="L8" s="16">
        <f>J8-J12</f>
        <v/>
      </c>
      <c r="M8" s="16" t="n"/>
      <c r="N8" t="n">
        <v>0.305</v>
      </c>
      <c r="O8" s="16">
        <f>N8/N12-1</f>
        <v/>
      </c>
      <c r="P8" s="16">
        <f>N8-N12</f>
        <v/>
      </c>
      <c r="Q8" s="16" t="n"/>
    </row>
    <row r="9">
      <c r="A9" s="27" t="inlineStr">
        <is>
          <t>2023-01-31</t>
        </is>
      </c>
      <c r="B9" s="16" t="n">
        <v>0.479</v>
      </c>
      <c r="C9" s="16">
        <f>B9/B10-1</f>
        <v/>
      </c>
      <c r="D9" s="16">
        <f>B9-B10</f>
        <v/>
      </c>
      <c r="E9" s="16" t="n"/>
      <c r="F9" s="16" t="n">
        <v>0.479</v>
      </c>
      <c r="G9" s="16">
        <f>F9/F13-1</f>
        <v/>
      </c>
      <c r="H9" s="16">
        <f>F9-F13</f>
        <v/>
      </c>
      <c r="I9" s="16" t="n"/>
      <c r="J9" t="n">
        <v>0.732</v>
      </c>
      <c r="K9" s="16">
        <f>J9/J13-1</f>
        <v/>
      </c>
      <c r="L9" s="16">
        <f>J9-J13</f>
        <v/>
      </c>
      <c r="M9" s="16" t="n"/>
      <c r="N9" t="n">
        <v>0.301</v>
      </c>
      <c r="O9" s="16">
        <f>N9/N13-1</f>
        <v/>
      </c>
      <c r="P9" s="16">
        <f>N9-N13</f>
        <v/>
      </c>
      <c r="Q9" s="16" t="n"/>
      <c r="R9" s="3" t="inlineStr">
        <is>
          <t>I am leaving off by trying to determine a systematic way to project revenue growth. Keep it as simple as can be, for now</t>
        </is>
      </c>
    </row>
    <row r="10">
      <c r="A10" s="27" t="inlineStr">
        <is>
          <t>2022-10-31</t>
        </is>
      </c>
      <c r="B10" s="16" t="n">
        <v>0.528</v>
      </c>
      <c r="C10" s="16">
        <f>B10/B11-1</f>
        <v/>
      </c>
      <c r="D10" s="16">
        <f>B10-B11</f>
        <v/>
      </c>
      <c r="E10" s="16" t="n"/>
      <c r="F10" s="16" t="n">
        <v>0.528</v>
      </c>
      <c r="G10" s="16">
        <f>F10/F14-1</f>
        <v/>
      </c>
      <c r="H10" s="16">
        <f>F10-F14</f>
        <v/>
      </c>
      <c r="I10" s="16" t="n"/>
      <c r="J10" t="n">
        <v>0.735</v>
      </c>
      <c r="K10" s="16">
        <f>J10/J14-1</f>
        <v/>
      </c>
      <c r="L10" s="16">
        <f>J10-J14</f>
        <v/>
      </c>
      <c r="M10" s="16" t="n"/>
      <c r="N10" t="n">
        <v>0.292</v>
      </c>
      <c r="O10" s="16">
        <f>N10/N14-1</f>
        <v/>
      </c>
      <c r="P10" s="16">
        <f>N10-N14</f>
        <v/>
      </c>
      <c r="Q10" s="16" t="n"/>
      <c r="R10" t="inlineStr">
        <is>
          <t>Current figures are quarterly. I need annual</t>
        </is>
      </c>
    </row>
    <row r="11">
      <c r="A11" s="27" t="inlineStr">
        <is>
          <t>2022-07-31</t>
        </is>
      </c>
      <c r="B11" s="16" t="n">
        <v>0.585</v>
      </c>
      <c r="C11" s="16">
        <f>B11/B12-1</f>
        <v/>
      </c>
      <c r="D11" s="16">
        <f>B11-B12</f>
        <v/>
      </c>
      <c r="E11" s="16" t="n"/>
      <c r="F11" s="16" t="n">
        <v>0.585</v>
      </c>
      <c r="G11" s="16">
        <f>F11/F15-1</f>
        <v/>
      </c>
      <c r="H11" s="16">
        <f>F11-F15</f>
        <v/>
      </c>
      <c r="I11" s="16" t="n"/>
      <c r="J11" t="n">
        <v>0.737</v>
      </c>
      <c r="K11" s="16">
        <f>J11/J15-1</f>
        <v/>
      </c>
      <c r="L11" s="16">
        <f>J11-J15</f>
        <v/>
      </c>
      <c r="M11" s="16" t="n"/>
      <c r="N11" t="n">
        <v>0.296</v>
      </c>
      <c r="O11" s="16">
        <f>N11/N15-1</f>
        <v/>
      </c>
      <c r="P11" s="16">
        <f>N11-N15</f>
        <v/>
      </c>
      <c r="Q11" s="16" t="n"/>
    </row>
    <row r="12">
      <c r="A12" s="27" t="inlineStr">
        <is>
          <t>2022-04-30</t>
        </is>
      </c>
      <c r="B12" s="16" t="n">
        <v>0.611</v>
      </c>
      <c r="C12" s="16">
        <f>B12/B13-1</f>
        <v/>
      </c>
      <c r="D12" s="16">
        <f>B12-B13</f>
        <v/>
      </c>
      <c r="E12" s="16" t="n"/>
      <c r="F12" s="16" t="n">
        <v>0.611</v>
      </c>
      <c r="G12" s="16">
        <f>F12/F16-1</f>
        <v/>
      </c>
      <c r="H12" s="16">
        <f>F12-F16</f>
        <v/>
      </c>
      <c r="I12" s="16" t="n"/>
      <c r="J12" t="n">
        <v>0.736</v>
      </c>
      <c r="K12" s="16">
        <f>J12/J16-1</f>
        <v/>
      </c>
      <c r="L12" s="16">
        <f>J12-J16</f>
        <v/>
      </c>
      <c r="M12" s="16" t="n"/>
      <c r="N12" t="n">
        <v>0.294</v>
      </c>
      <c r="O12" s="16">
        <f>N12/N16-1</f>
        <v/>
      </c>
      <c r="P12" s="16">
        <f>N12-N16</f>
        <v/>
      </c>
      <c r="Q12" s="16" t="n"/>
    </row>
    <row r="13">
      <c r="A13" s="27" t="inlineStr">
        <is>
          <t>2022-01-31</t>
        </is>
      </c>
      <c r="B13" s="16" t="n">
        <v>0.627</v>
      </c>
      <c r="C13" s="16">
        <f>B13/B14-1</f>
        <v/>
      </c>
      <c r="D13" s="16">
        <f>B13-B14</f>
        <v/>
      </c>
      <c r="E13" s="16" t="n"/>
      <c r="F13" s="16" t="n">
        <v>0.627</v>
      </c>
      <c r="G13" s="16">
        <f>F13/F17-1</f>
        <v/>
      </c>
      <c r="H13" s="16">
        <f>F13-F17</f>
        <v/>
      </c>
      <c r="I13" s="16" t="n"/>
      <c r="J13" t="n">
        <v>0.736</v>
      </c>
      <c r="K13" s="16">
        <f>J13/J17-1</f>
        <v/>
      </c>
      <c r="L13" s="16">
        <f>J13-J17</f>
        <v/>
      </c>
      <c r="M13" s="16" t="n"/>
      <c r="N13" t="n">
        <v>0.304</v>
      </c>
      <c r="O13" s="16">
        <f>N13/N17-1</f>
        <v/>
      </c>
      <c r="P13" s="16">
        <f>N13-N17</f>
        <v/>
      </c>
      <c r="Q13" s="16" t="n"/>
    </row>
    <row r="14">
      <c r="A14" s="27" t="inlineStr">
        <is>
          <t>2021-10-31</t>
        </is>
      </c>
      <c r="B14" s="16" t="n">
        <v>0.635</v>
      </c>
      <c r="C14" s="16">
        <f>B14/B15-1</f>
        <v/>
      </c>
      <c r="D14" s="16">
        <f>B14-B15</f>
        <v/>
      </c>
      <c r="E14" s="16" t="n"/>
      <c r="F14" s="16" t="n">
        <v>0.635</v>
      </c>
      <c r="G14" s="16">
        <f>F14/F18-1</f>
        <v/>
      </c>
      <c r="H14" s="16">
        <f>F14-F18</f>
        <v/>
      </c>
      <c r="I14" s="16" t="n"/>
      <c r="J14" t="n">
        <v>0.738</v>
      </c>
      <c r="K14" s="16">
        <f>J14/J18-1</f>
        <v/>
      </c>
      <c r="L14" s="16">
        <f>J14-J18</f>
        <v/>
      </c>
      <c r="M14" s="16" t="n"/>
      <c r="N14" t="n">
        <v>0.32</v>
      </c>
      <c r="O14" s="16">
        <f>N14/N18-1</f>
        <v/>
      </c>
      <c r="P14" s="16">
        <f>N14-N18</f>
        <v/>
      </c>
      <c r="Q14" s="16" t="n"/>
      <c r="R14" t="inlineStr">
        <is>
          <t>add more to show the return, and also the market cap valuations</t>
        </is>
      </c>
    </row>
    <row r="15">
      <c r="A15" s="27" t="inlineStr">
        <is>
          <t>2021-07-31</t>
        </is>
      </c>
      <c r="B15" s="16" t="n">
        <v>0.697</v>
      </c>
      <c r="C15" s="16">
        <f>B15/B16-1</f>
        <v/>
      </c>
      <c r="D15" s="16">
        <f>B15-B16</f>
        <v/>
      </c>
      <c r="E15" s="16" t="n"/>
      <c r="F15" s="16" t="n">
        <v>0.697</v>
      </c>
      <c r="G15" s="16">
        <f>F15/F19-1</f>
        <v/>
      </c>
      <c r="H15" s="16">
        <f>F15-F19</f>
        <v/>
      </c>
      <c r="I15" s="16" t="n"/>
      <c r="J15" t="n">
        <v>0.739</v>
      </c>
      <c r="K15" s="16">
        <f>J15/J19-1</f>
        <v/>
      </c>
      <c r="L15" s="16">
        <f>J15-J19</f>
        <v/>
      </c>
      <c r="M15" s="16" t="n"/>
      <c r="N15" t="n">
        <v>0.32</v>
      </c>
      <c r="O15" s="16">
        <f>N15/N19-1</f>
        <v/>
      </c>
      <c r="P15" s="16">
        <f>N15-N19</f>
        <v/>
      </c>
      <c r="Q15" s="16" t="n"/>
    </row>
    <row r="16">
      <c r="A16" s="27" t="inlineStr">
        <is>
          <t>2021-04-30</t>
        </is>
      </c>
      <c r="B16" s="16" t="n">
        <v>0.701</v>
      </c>
      <c r="C16" s="16">
        <f>B16/B17-1</f>
        <v/>
      </c>
      <c r="D16" s="16">
        <f>B16-B17</f>
        <v/>
      </c>
      <c r="E16" s="16" t="n"/>
      <c r="F16" s="16" t="n">
        <v>0.701</v>
      </c>
      <c r="G16" s="16">
        <f>F16/F20-1</f>
        <v/>
      </c>
      <c r="H16" s="16">
        <f>F16-F20</f>
        <v/>
      </c>
      <c r="I16" s="16" t="n"/>
      <c r="J16" t="n">
        <v>0.739</v>
      </c>
      <c r="K16" s="16">
        <f>J16/J20-1</f>
        <v/>
      </c>
      <c r="L16" s="16">
        <f>J16-J20</f>
        <v/>
      </c>
      <c r="M16" s="16" t="n"/>
      <c r="N16" t="n">
        <v>0.323</v>
      </c>
      <c r="O16" s="16">
        <f>N16/N20-1</f>
        <v/>
      </c>
      <c r="P16" s="16">
        <f>N16-N20</f>
        <v/>
      </c>
      <c r="Q16" s="16" t="n"/>
    </row>
    <row r="17">
      <c r="A17" s="27" t="inlineStr">
        <is>
          <t>2021-01-31</t>
        </is>
      </c>
      <c r="B17" s="16" t="n">
        <v>0.742</v>
      </c>
      <c r="C17" s="16">
        <f>B17/B18-1</f>
        <v/>
      </c>
      <c r="D17" s="16">
        <f>B17-B18</f>
        <v/>
      </c>
      <c r="E17" s="16" t="n"/>
      <c r="F17" s="16" t="n">
        <v>0.742</v>
      </c>
      <c r="G17" s="16">
        <f>F17/F21-1</f>
        <v/>
      </c>
      <c r="H17" s="16">
        <f>F17-F21</f>
        <v/>
      </c>
      <c r="I17" s="16" t="n"/>
      <c r="J17" t="n">
        <v>0.737</v>
      </c>
      <c r="K17" s="16">
        <f>J17/J21-1</f>
        <v/>
      </c>
      <c r="L17" s="16">
        <f>J17-J21</f>
        <v/>
      </c>
      <c r="M17" s="16" t="n"/>
      <c r="N17" t="n">
        <v>0.335</v>
      </c>
      <c r="O17" s="16">
        <f>N17/N21-1</f>
        <v/>
      </c>
      <c r="P17" s="16">
        <f>N17-N21</f>
        <v/>
      </c>
      <c r="Q17" s="16" t="n"/>
    </row>
    <row r="18">
      <c r="A18" s="27" t="inlineStr">
        <is>
          <t>2020-10-31</t>
        </is>
      </c>
      <c r="B18" s="16" t="n">
        <v>0.858</v>
      </c>
      <c r="C18" s="16">
        <f>B18/B19-1</f>
        <v/>
      </c>
      <c r="D18" s="16">
        <f>B18-B19</f>
        <v/>
      </c>
      <c r="E18" s="16" t="n"/>
      <c r="F18" s="16" t="n">
        <v>0.858</v>
      </c>
      <c r="G18" s="16">
        <f>F18/F22-1</f>
        <v/>
      </c>
      <c r="H18" s="16">
        <f>F18-F22</f>
        <v/>
      </c>
      <c r="I18" s="16" t="n"/>
      <c r="J18" t="n">
        <v>0.729</v>
      </c>
      <c r="K18" s="16">
        <f>J18/J22-1</f>
        <v/>
      </c>
      <c r="L18" s="16">
        <f>J18-J22</f>
        <v/>
      </c>
      <c r="M18" s="16" t="n"/>
      <c r="N18" t="n">
        <v>0.323</v>
      </c>
      <c r="O18" s="16">
        <f>N18/N22-1</f>
        <v/>
      </c>
      <c r="P18" s="16">
        <f>N18-N22</f>
        <v/>
      </c>
      <c r="Q18" s="16" t="n"/>
    </row>
    <row r="19">
      <c r="A19" s="27" t="inlineStr">
        <is>
          <t>2020-07-31</t>
        </is>
      </c>
      <c r="B19" s="16" t="n">
        <v>0.84</v>
      </c>
      <c r="C19" s="16">
        <f>B19/B20-1</f>
        <v/>
      </c>
      <c r="D19" s="16">
        <f>B19-B20</f>
        <v/>
      </c>
      <c r="E19" s="16" t="n"/>
      <c r="F19" s="16" t="n">
        <v>0.84</v>
      </c>
      <c r="G19" s="16">
        <f>F19/F23-1</f>
        <v/>
      </c>
      <c r="H19" s="16">
        <f>F19-F23</f>
        <v/>
      </c>
      <c r="I19" s="16" t="n"/>
      <c r="J19" t="n">
        <v>0.722</v>
      </c>
      <c r="K19" s="16">
        <f>J19/J23-1</f>
        <v/>
      </c>
      <c r="L19" s="16">
        <f>J19-J23</f>
        <v/>
      </c>
      <c r="M19" s="16" t="n"/>
      <c r="N19" t="n">
        <v>0.271</v>
      </c>
      <c r="O19" s="16">
        <f>N19/N23-1</f>
        <v/>
      </c>
      <c r="P19" s="16">
        <f>N19-N23</f>
        <v/>
      </c>
      <c r="Q19" s="16" t="n"/>
    </row>
    <row r="20">
      <c r="A20" s="27" t="inlineStr">
        <is>
          <t>2020-04-30</t>
        </is>
      </c>
      <c r="B20" s="16" t="n">
        <v>0.853</v>
      </c>
      <c r="C20" s="16">
        <f>B20/B21-1</f>
        <v/>
      </c>
      <c r="D20" s="16">
        <f>B20-B21</f>
        <v/>
      </c>
      <c r="E20" s="16" t="n"/>
      <c r="F20" s="16" t="n">
        <v>0.853</v>
      </c>
      <c r="G20" s="16">
        <f>F20/F24-1</f>
        <v/>
      </c>
      <c r="H20" s="16">
        <f>F20-F24</f>
        <v/>
      </c>
      <c r="I20" s="16" t="n"/>
      <c r="J20" t="n">
        <v>0.717</v>
      </c>
      <c r="K20" s="16">
        <f>J20/J24-1</f>
        <v/>
      </c>
      <c r="L20" s="16">
        <f>J20-J24</f>
        <v/>
      </c>
      <c r="M20" s="16" t="n"/>
      <c r="N20" t="n">
        <v>0.205</v>
      </c>
      <c r="O20" s="16">
        <f>N20/N24-1</f>
        <v/>
      </c>
      <c r="P20" s="16">
        <f>N20-N24</f>
        <v/>
      </c>
      <c r="Q20" s="16" t="n"/>
    </row>
    <row r="21">
      <c r="A21" s="27" t="inlineStr">
        <is>
          <t>2020-01-31</t>
        </is>
      </c>
      <c r="B21" s="16" t="n">
        <v>0.891</v>
      </c>
      <c r="C21" s="16">
        <f>B21/B22-1</f>
        <v/>
      </c>
      <c r="D21" s="16">
        <f>B21-B22</f>
        <v/>
      </c>
      <c r="E21" s="16" t="n"/>
      <c r="F21" s="16" t="n">
        <v>0.891</v>
      </c>
      <c r="G21" s="16">
        <f>F21/F25-1</f>
        <v/>
      </c>
      <c r="H21" s="16">
        <f>F21-F25</f>
        <v/>
      </c>
      <c r="I21" s="16" t="n"/>
      <c r="J21" t="n">
        <v>0.706</v>
      </c>
      <c r="K21" s="16">
        <f>J21/J25-1</f>
        <v/>
      </c>
      <c r="L21" s="16">
        <f>J21-J25</f>
        <v/>
      </c>
      <c r="M21" s="16" t="n"/>
      <c r="N21" t="n">
        <v>0.026</v>
      </c>
      <c r="O21" s="16">
        <f>N21/N25-1</f>
        <v/>
      </c>
      <c r="P21" s="16">
        <f>N21-N25</f>
        <v/>
      </c>
      <c r="Q21" s="16" t="n"/>
    </row>
    <row r="22">
      <c r="A22" s="27" t="inlineStr">
        <is>
          <t>2019-10-31</t>
        </is>
      </c>
      <c r="B22" s="16" t="n">
        <v>0.885</v>
      </c>
      <c r="C22" s="16">
        <f>B22/B23-1</f>
        <v/>
      </c>
      <c r="D22" s="16">
        <f>B22-B23</f>
        <v/>
      </c>
      <c r="E22" s="16" t="n"/>
      <c r="F22" s="16" t="n">
        <v>0.885</v>
      </c>
      <c r="G22" s="16" t="n"/>
      <c r="H22" s="16" t="n"/>
      <c r="I22" s="16" t="n"/>
      <c r="J22" t="n">
        <v>0.694</v>
      </c>
      <c r="K22" s="16" t="n"/>
      <c r="L22" s="16" t="n"/>
      <c r="M22" s="16" t="n"/>
      <c r="N22" t="n">
        <v>-0.094</v>
      </c>
      <c r="O22" s="16" t="n"/>
      <c r="P22" s="16" t="n"/>
      <c r="Q22" s="16" t="n"/>
    </row>
    <row r="23">
      <c r="A23" s="27" t="inlineStr">
        <is>
          <t>2019-07-31</t>
        </is>
      </c>
      <c r="B23" s="16" t="n">
        <v>0.9409999999999999</v>
      </c>
      <c r="C23" s="16">
        <f>B23/B24-1</f>
        <v/>
      </c>
      <c r="D23" s="16">
        <f>B23-B24</f>
        <v/>
      </c>
      <c r="E23" s="16" t="n"/>
      <c r="F23" s="16" t="n">
        <v>0.9409999999999999</v>
      </c>
      <c r="G23" s="16" t="n"/>
      <c r="H23" s="16" t="n"/>
      <c r="I23" s="16" t="n"/>
      <c r="J23" t="n">
        <v>0.6860000000000001</v>
      </c>
      <c r="K23" s="16" t="n"/>
      <c r="L23" s="16" t="n"/>
      <c r="M23" s="16" t="n"/>
      <c r="N23" t="n">
        <v>-0.167</v>
      </c>
      <c r="O23" s="16" t="n"/>
      <c r="P23" s="16" t="n"/>
      <c r="Q23" s="16" t="n"/>
    </row>
    <row r="24">
      <c r="A24" s="27" t="inlineStr">
        <is>
          <t>2019-04-30</t>
        </is>
      </c>
      <c r="B24" s="16" t="n">
        <v>1.032</v>
      </c>
      <c r="C24" s="16">
        <f>B24/B25-1</f>
        <v/>
      </c>
      <c r="D24" s="16">
        <f>B24-B25</f>
        <v/>
      </c>
      <c r="E24" s="16" t="n"/>
      <c r="F24" s="16" t="n">
        <v>1.032</v>
      </c>
      <c r="G24" s="16" t="n"/>
      <c r="H24" s="16" t="n"/>
      <c r="I24" s="16" t="n"/>
      <c r="J24" t="n">
        <v>0.675</v>
      </c>
      <c r="K24" s="16" t="n"/>
      <c r="L24" s="16" t="n"/>
      <c r="M24" s="16" t="n"/>
      <c r="N24" t="n">
        <v>-0.218</v>
      </c>
      <c r="O24" s="16" t="n"/>
      <c r="P24" s="16" t="n"/>
      <c r="Q24" s="16" t="n"/>
    </row>
    <row r="25">
      <c r="A25" s="27" t="inlineStr">
        <is>
          <t>2019-01-31</t>
        </is>
      </c>
      <c r="B25" s="16" t="n">
        <v>1.078</v>
      </c>
      <c r="C25" s="16" t="n"/>
      <c r="D25" s="16" t="n"/>
      <c r="E25" s="16" t="n"/>
      <c r="F25" s="16" t="n">
        <v>1.078</v>
      </c>
      <c r="G25" s="16" t="n"/>
      <c r="H25" s="16" t="n"/>
      <c r="I25" s="16" t="n"/>
      <c r="J25" t="n">
        <v>0.651</v>
      </c>
      <c r="K25" s="16" t="n"/>
      <c r="L25" s="16" t="n"/>
      <c r="M25" s="16" t="n"/>
      <c r="N25" t="n">
        <v>-0.263</v>
      </c>
      <c r="O25" s="16" t="n"/>
      <c r="P25" s="16" t="n"/>
      <c r="Q25" s="16" t="n"/>
    </row>
    <row r="26">
      <c r="A26" s="27" t="inlineStr">
        <is>
          <t>2018-10-31</t>
        </is>
      </c>
      <c r="J26" t="n">
        <v>0.618</v>
      </c>
      <c r="N26" t="n">
        <v>-0.364</v>
      </c>
    </row>
    <row r="27">
      <c r="A27" s="27" t="inlineStr">
        <is>
          <t>2018-07-31</t>
        </is>
      </c>
    </row>
    <row r="28">
      <c r="A28" s="27" t="inlineStr">
        <is>
          <t>2018-04-30</t>
        </is>
      </c>
    </row>
    <row r="29">
      <c r="A29" s="27" t="inlineStr">
        <is>
          <t>2018-01-31</t>
        </is>
      </c>
    </row>
    <row r="31">
      <c r="A31" s="26" t="inlineStr">
        <is>
          <t>Mean</t>
        </is>
      </c>
      <c r="C31" s="11">
        <f>AVERAGE(C2:C24)</f>
        <v/>
      </c>
      <c r="G31" s="11">
        <f>AVERAGE(G2:G24)</f>
        <v/>
      </c>
      <c r="K31" s="11">
        <f>AVERAGE(K2:K24)</f>
        <v/>
      </c>
      <c r="O31" s="11">
        <f>AVERAGE(O2:O8)</f>
        <v/>
      </c>
    </row>
    <row r="32">
      <c r="A32" s="26" t="inlineStr">
        <is>
          <t>Median</t>
        </is>
      </c>
      <c r="C32" s="11">
        <f>MEDIAN(C2:C24)</f>
        <v/>
      </c>
      <c r="G32" s="11">
        <f>MEDIAN(G2:G24)</f>
        <v/>
      </c>
      <c r="K32" s="11">
        <f>MEDIAN(K2:K24)</f>
        <v/>
      </c>
      <c r="O32" s="11">
        <f>MEDIAN(O2:O8)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Chon</dc:creator>
  <dcterms:created xmlns:dcterms="http://purl.org/dc/terms/" xmlns:xsi="http://www.w3.org/2001/XMLSchema-instance" xsi:type="dcterms:W3CDTF">2022-06-12T18:45:32Z</dcterms:created>
  <dcterms:modified xmlns:dcterms="http://purl.org/dc/terms/" xmlns:xsi="http://www.w3.org/2001/XMLSchema-instance" xsi:type="dcterms:W3CDTF">2024-10-18T19:59:49Z</dcterms:modified>
  <cp:lastModifiedBy>Kyle Jennings</cp:lastModifiedBy>
  <cp:lastPrinted>2024-10-14T23:30:42Z</cp:lastPrinted>
</cp:coreProperties>
</file>