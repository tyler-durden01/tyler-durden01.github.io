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" documentId="11_0BC0B0A4C82C01B5DF504BE27B93BDDDDC79BE19" xr6:coauthVersionLast="47" xr6:coauthVersionMax="47" xr10:uidLastSave="{E07E47D3-CE67-475E-A536-873ACD1744FA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M5" i="3"/>
  <c r="O32" i="5"/>
  <c r="K32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1" i="5" s="1"/>
  <c r="H3" i="5"/>
  <c r="G3" i="5"/>
  <c r="D3" i="5"/>
  <c r="C3" i="5"/>
  <c r="R2" i="5"/>
  <c r="H2" i="5"/>
  <c r="G2" i="5"/>
  <c r="G3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D2" i="5"/>
  <c r="C2" i="5"/>
  <c r="C32" i="5" s="1"/>
  <c r="T1" i="5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S1" i="5"/>
  <c r="H10" i="3"/>
  <c r="H11" i="3" s="1"/>
  <c r="G10" i="3"/>
  <c r="D10" i="3"/>
  <c r="L5" i="3"/>
  <c r="H4" i="3"/>
  <c r="F4" i="3"/>
  <c r="F5" i="3" s="1"/>
  <c r="E4" i="3"/>
  <c r="E5" i="3" s="1"/>
  <c r="K3" i="3"/>
  <c r="H3" i="3"/>
  <c r="G3" i="3"/>
  <c r="L1" i="3"/>
  <c r="L3" i="3" s="1"/>
  <c r="K1" i="3"/>
  <c r="K10" i="3" s="1"/>
  <c r="J1" i="3"/>
  <c r="J10" i="3" s="1"/>
  <c r="I1" i="3"/>
  <c r="I10" i="3" s="1"/>
  <c r="I11" i="3" s="1"/>
  <c r="H1" i="3"/>
  <c r="H7" i="3" s="1"/>
  <c r="G1" i="3"/>
  <c r="G7" i="3" s="1"/>
  <c r="F1" i="3"/>
  <c r="F3" i="3" s="1"/>
  <c r="E1" i="3"/>
  <c r="E7" i="3" s="1"/>
  <c r="D1" i="3"/>
  <c r="D4" i="3" s="1"/>
  <c r="N5" i="3" l="1"/>
  <c r="O5" i="3" s="1"/>
  <c r="P5" i="3" s="1"/>
  <c r="Q5" i="3" s="1"/>
  <c r="R5" i="3" s="1"/>
  <c r="S5" i="3" s="1"/>
  <c r="T5" i="3" s="1"/>
  <c r="U5" i="3" s="1"/>
  <c r="G13" i="3"/>
  <c r="H8" i="3"/>
  <c r="H13" i="3"/>
  <c r="J11" i="3"/>
  <c r="H5" i="3"/>
  <c r="C20" i="3"/>
  <c r="C21" i="3"/>
  <c r="K11" i="3"/>
  <c r="M11" i="3" s="1"/>
  <c r="N11" i="3" s="1"/>
  <c r="O11" i="3" s="1"/>
  <c r="P11" i="3" s="1"/>
  <c r="Q11" i="3" s="1"/>
  <c r="R11" i="3" s="1"/>
  <c r="S11" i="3" s="1"/>
  <c r="T11" i="3" s="1"/>
  <c r="U11" i="3" s="1"/>
  <c r="E8" i="3"/>
  <c r="J7" i="3"/>
  <c r="E10" i="3"/>
  <c r="E11" i="3" s="1"/>
  <c r="I3" i="3"/>
  <c r="G4" i="3"/>
  <c r="G5" i="3" s="1"/>
  <c r="K7" i="3"/>
  <c r="F10" i="3"/>
  <c r="C31" i="5"/>
  <c r="G31" i="5"/>
  <c r="J3" i="3"/>
  <c r="M1" i="3"/>
  <c r="I4" i="3"/>
  <c r="I5" i="3" s="1"/>
  <c r="J4" i="3"/>
  <c r="I7" i="3"/>
  <c r="F7" i="3"/>
  <c r="E3" i="3"/>
  <c r="K4" i="3"/>
  <c r="D7" i="3"/>
  <c r="D3" i="3"/>
  <c r="M3" i="3" l="1"/>
  <c r="N1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5" i="3"/>
  <c r="E13" i="3"/>
  <c r="D8" i="3"/>
  <c r="D13" i="3"/>
  <c r="F13" i="3"/>
  <c r="F8" i="3"/>
  <c r="F11" i="3"/>
  <c r="G11" i="3"/>
  <c r="J8" i="3"/>
  <c r="J13" i="3"/>
  <c r="K8" i="3"/>
  <c r="K13" i="3"/>
  <c r="G8" i="3"/>
  <c r="I8" i="3"/>
  <c r="I13" i="3"/>
  <c r="J5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N3" i="3" l="1"/>
  <c r="O1" i="3"/>
  <c r="L8" i="3"/>
  <c r="P1" i="3" l="1"/>
  <c r="O3" i="3"/>
  <c r="M8" i="3"/>
  <c r="L7" i="3"/>
  <c r="L13" i="3" s="1"/>
  <c r="L14" i="3" s="1"/>
  <c r="M7" i="3" l="1"/>
  <c r="M13" i="3" s="1"/>
  <c r="M14" i="3" s="1"/>
  <c r="N8" i="3"/>
  <c r="P3" i="3"/>
  <c r="Q1" i="3"/>
  <c r="Q3" i="3" l="1"/>
  <c r="R1" i="3"/>
  <c r="N7" i="3"/>
  <c r="N13" i="3" s="1"/>
  <c r="N14" i="3" s="1"/>
  <c r="O8" i="3"/>
  <c r="O7" i="3" l="1"/>
  <c r="O13" i="3" s="1"/>
  <c r="O14" i="3" s="1"/>
  <c r="P8" i="3"/>
  <c r="R3" i="3"/>
  <c r="S1" i="3"/>
  <c r="P7" i="3" l="1"/>
  <c r="P13" i="3" s="1"/>
  <c r="P14" i="3" s="1"/>
  <c r="Q8" i="3"/>
  <c r="S3" i="3"/>
  <c r="T1" i="3"/>
  <c r="R8" i="3" l="1"/>
  <c r="Q7" i="3"/>
  <c r="Q13" i="3" s="1"/>
  <c r="Q14" i="3" s="1"/>
  <c r="T3" i="3"/>
  <c r="U1" i="3"/>
  <c r="U3" i="3" s="1"/>
  <c r="S8" i="3" l="1"/>
  <c r="R7" i="3"/>
  <c r="R13" i="3" s="1"/>
  <c r="R14" i="3" s="1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<sst xmlns="http://schemas.openxmlformats.org/spreadsheetml/2006/main" count="155" uniqueCount="137">
  <si>
    <t>This sheet contains FactSet XML data for use with this workbook's =FDS codes.  Modifying the worksheet's contents may damage the workbook's =FDS functionality.</t>
  </si>
  <si>
    <t>META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</si>
  <si>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</si>
  <si>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</si>
  <si>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</si>
  <si>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</si>
  <si>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</si>
  <si>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</si>
  <si>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</si>
  <si>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</si>
  <si>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</si>
  <si>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</si>
  <si>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</si>
  <si>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</si>
  <si>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</si>
  <si>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</si>
  <si>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</si>
  <si>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</si>
  <si>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</si>
  <si>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</si>
  <si>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</si>
  <si>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</si>
  <si>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</si>
  <si>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</si>
  <si>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</si>
  <si>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</si>
  <si>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</si>
  <si>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</si>
  <si>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</si>
  <si>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</si>
  <si>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</si>
  <si>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</si>
  <si>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</si>
  <si>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</si>
  <si>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</si>
  <si>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</si>
  <si>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</si>
  <si>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</si>
  <si>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</si>
  <si>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</si>
  <si>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</si>
  <si>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</si>
  <si>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</si>
  <si>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</si>
  <si>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</si>
  <si>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</si>
  <si>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</si>
  <si>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</si>
  <si>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</si>
  <si>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</si>
  <si>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</si>
  <si>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</si>
  <si>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</si>
  <si>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</si>
  <si>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</si>
  <si>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</si>
  <si>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</si>
  <si>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</si>
  <si>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</si>
  <si>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</si>
  <si>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</si>
  <si>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</si>
  <si>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</si>
  <si>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</si>
  <si>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</si>
  <si>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</si>
  <si>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</si>
  <si>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</si>
  <si>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</si>
  <si>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</si>
  <si>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</si>
  <si>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</si>
  <si>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</si>
  <si>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</si>
  <si>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</si>
  <si>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</si>
  <si>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</si>
  <si>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</si>
  <si>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</si>
  <si>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</si>
  <si>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</si>
  <si>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</si>
  <si>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</si>
  <si>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</si>
  <si>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</si>
  <si>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</si>
  <si>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</si>
  <si>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</si>
  <si>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2001-12-31</t>
  </si>
  <si>
    <t>2001-09-30</t>
  </si>
  <si>
    <t>2001-06-30</t>
  </si>
  <si>
    <t>2001-03-31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</si>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</sst>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73475000000</v>
      </c>
    </row>
    <row r="3" spans="1:2" x14ac:dyDescent="0.25">
      <c r="A3" s="73" t="s">
        <v>3</v>
      </c>
      <c r="B3">
        <v>18389000000</v>
      </c>
    </row>
    <row r="4" spans="1:2" x14ac:dyDescent="0.25">
      <c r="A4" s="73" t="s">
        <v>4</v>
      </c>
      <c r="B4">
        <v>0.1049888097195579</v>
      </c>
    </row>
    <row r="5" spans="1:2" x14ac:dyDescent="0.25">
      <c r="A5" s="73" t="s">
        <v>5</v>
      </c>
      <c r="B5">
        <v>2.882157811735277E-2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156763000000</v>
      </c>
    </row>
    <row r="8" spans="1:2" x14ac:dyDescent="0.25">
      <c r="A8" s="73" t="s">
        <v>8</v>
      </c>
      <c r="B8">
        <v>0.89501119028044218</v>
      </c>
    </row>
    <row r="9" spans="1:2" x14ac:dyDescent="0.25">
      <c r="A9" s="73" t="s">
        <v>9</v>
      </c>
      <c r="B9">
        <v>0.12684660413170021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1.243202021371028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0.11591962525976129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K14" sqref="K1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33173</v>
      </c>
      <c r="E4" s="36">
        <f>IFERROR(INDEX(Python!$1:$1048576,MATCH(DCF_Simple!E$1,Python!$A:$A,0),MATCH(DCF_Simple!$B4,Python!$1:$1,0))/1000000,0)</f>
        <v>48497</v>
      </c>
      <c r="F4" s="36">
        <f>IFERROR(INDEX(Python!$1:$1048576,MATCH(DCF_Simple!F$1,Python!$A:$A,0),MATCH(DCF_Simple!$B4,Python!$1:$1,0))/1000000,0)</f>
        <v>62604</v>
      </c>
      <c r="G4" s="36">
        <f>IFERROR(INDEX(Python!$1:$1048576,MATCH(DCF_Simple!G$1,Python!$A:$A,0),MATCH(DCF_Simple!$B4,Python!$1:$1,0))/1000000,0)</f>
        <v>75158</v>
      </c>
      <c r="H4" s="36">
        <f>IFERROR(INDEX(Python!$1:$1048576,MATCH(DCF_Simple!H$1,Python!$A:$A,0),MATCH(DCF_Simple!$B4,Python!$1:$1,0))/1000000,0)</f>
        <v>104790</v>
      </c>
      <c r="I4" s="36">
        <f>IFERROR(INDEX(Python!$1:$1048576,MATCH(DCF_Simple!I$1,Python!$A:$A,0),MATCH(DCF_Simple!$B4,Python!$1:$1,0))/1000000,0)</f>
        <v>119411</v>
      </c>
      <c r="J4" s="36">
        <f>IFERROR(INDEX(Python!$1:$1048576,MATCH(DCF_Simple!J$1,Python!$A:$A,0),MATCH(DCF_Simple!$B4,Python!$1:$1,0))/1000000,0)</f>
        <v>120523</v>
      </c>
      <c r="K4" s="55">
        <f>IFERROR(INDEX(Python!$1:$1048576,MATCH(DCF_Simple!K$1,Python!$A:$A,0),MATCH(DCF_Simple!$B4,Python!$1:$1,0))/1000000,0)</f>
        <v>149783</v>
      </c>
      <c r="L4" s="37">
        <f t="shared" ref="L4:U4" si="2">K4*(1+L5)</f>
        <v>176504.96097346689</v>
      </c>
      <c r="M4" s="36">
        <f t="shared" si="2"/>
        <v>197497.81365036737</v>
      </c>
      <c r="N4" s="36">
        <f t="shared" si="2"/>
        <v>220987.47922750298</v>
      </c>
      <c r="O4" s="36">
        <f t="shared" si="2"/>
        <v>247270.91947346838</v>
      </c>
      <c r="P4" s="36">
        <f t="shared" si="2"/>
        <v>276680.4157004247</v>
      </c>
      <c r="Q4" s="36">
        <f t="shared" si="2"/>
        <v>309587.76954106678</v>
      </c>
      <c r="R4" s="36">
        <f t="shared" si="2"/>
        <v>346409.00335059589</v>
      </c>
      <c r="S4" s="36">
        <f t="shared" si="2"/>
        <v>387609.61965726258</v>
      </c>
      <c r="T4" s="36">
        <f t="shared" si="2"/>
        <v>433710.48615266685</v>
      </c>
      <c r="U4" s="36">
        <f t="shared" si="2"/>
        <v>485294.42062121985</v>
      </c>
      <c r="V4" s="19">
        <f>U4</f>
        <v>485294.42062121985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0.461941940734935</v>
      </c>
      <c r="F5" s="42">
        <f t="shared" si="3"/>
        <v>0.29088397220446627</v>
      </c>
      <c r="G5" s="42">
        <f t="shared" si="3"/>
        <v>0.20053031755159423</v>
      </c>
      <c r="H5" s="42">
        <f t="shared" si="3"/>
        <v>0.39426275313339887</v>
      </c>
      <c r="I5" s="42">
        <f t="shared" si="3"/>
        <v>0.13952667239240379</v>
      </c>
      <c r="J5" s="42">
        <f t="shared" si="3"/>
        <v>9.312374906834453E-3</v>
      </c>
      <c r="K5" s="58">
        <f t="shared" si="3"/>
        <v>0.24277523792139255</v>
      </c>
      <c r="L5" s="43">
        <f>Python!F2</f>
        <v>0.1784044983306976</v>
      </c>
      <c r="M5" s="43">
        <f>L5/1.5</f>
        <v>0.11893633222046507</v>
      </c>
      <c r="N5" s="38">
        <f t="shared" ref="N5:U5" si="4">M5</f>
        <v>0.11893633222046507</v>
      </c>
      <c r="O5" s="38">
        <f t="shared" si="4"/>
        <v>0.11893633222046507</v>
      </c>
      <c r="P5" s="38">
        <f t="shared" si="4"/>
        <v>0.11893633222046507</v>
      </c>
      <c r="Q5" s="38">
        <f t="shared" si="4"/>
        <v>0.11893633222046507</v>
      </c>
      <c r="R5" s="38">
        <f t="shared" si="4"/>
        <v>0.11893633222046507</v>
      </c>
      <c r="S5" s="38">
        <f t="shared" si="4"/>
        <v>0.11893633222046507</v>
      </c>
      <c r="T5" s="38">
        <f t="shared" si="4"/>
        <v>0.11893633222046507</v>
      </c>
      <c r="U5" s="38">
        <f t="shared" si="4"/>
        <v>0.11893633222046507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13846</v>
      </c>
      <c r="E7" s="52">
        <f>IFERROR(INDEX(Python!$1:$1048576,MATCH(DCF_Simple!E$1,Python!$A:$A,0),MATCH(DCF_Simple!$B7,Python!$1:$1,0))/1000000,0)</f>
        <v>17669</v>
      </c>
      <c r="F7" s="52">
        <f>IFERROR(INDEX(Python!$1:$1048576,MATCH(DCF_Simple!F$1,Python!$A:$A,0),MATCH(DCF_Simple!$B7,Python!$1:$1,0))/1000000,0)</f>
        <v>17924</v>
      </c>
      <c r="G7" s="52">
        <f>IFERROR(INDEX(Python!$1:$1048576,MATCH(DCF_Simple!G$1,Python!$A:$A,0),MATCH(DCF_Simple!$B7,Python!$1:$1,0))/1000000,0)</f>
        <v>18824</v>
      </c>
      <c r="H7" s="52">
        <f>IFERROR(INDEX(Python!$1:$1048576,MATCH(DCF_Simple!H$1,Python!$A:$A,0),MATCH(DCF_Simple!$B7,Python!$1:$1,0))/1000000,0)</f>
        <v>32170</v>
      </c>
      <c r="I7" s="52">
        <f>IFERROR(INDEX(Python!$1:$1048576,MATCH(DCF_Simple!I$1,Python!$A:$A,0),MATCH(DCF_Simple!$B7,Python!$1:$1,0))/1000000,0)</f>
        <v>35772</v>
      </c>
      <c r="J7" s="52">
        <f>IFERROR(INDEX(Python!$1:$1048576,MATCH(DCF_Simple!J$1,Python!$A:$A,0),MATCH(DCF_Simple!$B7,Python!$1:$1,0))/1000000,0)</f>
        <v>24033</v>
      </c>
      <c r="K7" s="57">
        <f>IFERROR(INDEX(Python!$1:$1048576,MATCH(DCF_Simple!K$1,Python!$A:$A,0),MATCH(DCF_Simple!$B7,Python!$1:$1,0))/1000000,0)</f>
        <v>49641</v>
      </c>
      <c r="L7" s="64">
        <f t="shared" ref="L7:U7" si="5">L8*L4</f>
        <v>54184.304304370155</v>
      </c>
      <c r="M7" s="64">
        <f t="shared" si="5"/>
        <v>60628.786722249497</v>
      </c>
      <c r="N7" s="64">
        <f t="shared" si="5"/>
        <v>67839.75224197068</v>
      </c>
      <c r="O7" s="64">
        <f t="shared" si="5"/>
        <v>75908.363552375755</v>
      </c>
      <c r="P7" s="64">
        <f t="shared" si="5"/>
        <v>84936.625898152954</v>
      </c>
      <c r="Q7" s="64">
        <f t="shared" si="5"/>
        <v>95038.676653661023</v>
      </c>
      <c r="R7" s="64">
        <f t="shared" si="5"/>
        <v>106342.22827393422</v>
      </c>
      <c r="S7" s="64">
        <f t="shared" si="5"/>
        <v>118990.18286498739</v>
      </c>
      <c r="T7" s="64">
        <f t="shared" si="5"/>
        <v>133142.43878519142</v>
      </c>
      <c r="U7" s="64">
        <f t="shared" si="5"/>
        <v>148977.91211718987</v>
      </c>
      <c r="V7" s="65">
        <f>U7</f>
        <v>148977.91211718987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0.41738763452205108</v>
      </c>
      <c r="E8" s="42">
        <f t="shared" si="6"/>
        <v>0.36433181433903128</v>
      </c>
      <c r="F8" s="42">
        <f t="shared" si="6"/>
        <v>0.28630758417992458</v>
      </c>
      <c r="G8" s="42">
        <f t="shared" si="6"/>
        <v>0.25045903297054206</v>
      </c>
      <c r="H8" s="42">
        <f t="shared" si="6"/>
        <v>0.30699494226548335</v>
      </c>
      <c r="I8" s="42">
        <f t="shared" si="6"/>
        <v>0.29957039133748148</v>
      </c>
      <c r="J8" s="42">
        <f t="shared" si="6"/>
        <v>0.19940592252101258</v>
      </c>
      <c r="K8" s="58">
        <f t="shared" si="6"/>
        <v>0.33141945347602864</v>
      </c>
      <c r="L8" s="38">
        <f>AVERAGE(D8:K8)</f>
        <v>0.30698459695144437</v>
      </c>
      <c r="M8" s="38">
        <f t="shared" ref="M8:U8" si="7">L8</f>
        <v>0.30698459695144437</v>
      </c>
      <c r="N8" s="38">
        <f t="shared" si="7"/>
        <v>0.30698459695144437</v>
      </c>
      <c r="O8" s="38">
        <f t="shared" si="7"/>
        <v>0.30698459695144437</v>
      </c>
      <c r="P8" s="38">
        <f t="shared" si="7"/>
        <v>0.30698459695144437</v>
      </c>
      <c r="Q8" s="38">
        <f t="shared" si="7"/>
        <v>0.30698459695144437</v>
      </c>
      <c r="R8" s="38">
        <f t="shared" si="7"/>
        <v>0.30698459695144437</v>
      </c>
      <c r="S8" s="38">
        <f t="shared" si="7"/>
        <v>0.30698459695144437</v>
      </c>
      <c r="T8" s="38">
        <f t="shared" si="7"/>
        <v>0.30698459695144437</v>
      </c>
      <c r="U8" s="38">
        <f t="shared" si="7"/>
        <v>0.30698459695144437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2951</v>
      </c>
      <c r="E10" s="17">
        <f>IFERROR(INDEX(Python!$1:$1048576,MATCH(DCF_Simple!E$1,Python!$A:$A,0),MATCH(DCF_Simple!$B10,Python!$1:$1,0))/1000000,0)</f>
        <v>2934.4827580000001</v>
      </c>
      <c r="F10" s="17">
        <f>IFERROR(INDEX(Python!$1:$1048576,MATCH(DCF_Simple!F$1,Python!$A:$A,0),MATCH(DCF_Simple!$B10,Python!$1:$1,0))/1000000,0)</f>
        <v>2875</v>
      </c>
      <c r="G10" s="17">
        <f>IFERROR(INDEX(Python!$1:$1048576,MATCH(DCF_Simple!G$1,Python!$A:$A,0),MATCH(DCF_Simple!$B10,Python!$1:$1,0))/1000000,0)</f>
        <v>2879</v>
      </c>
      <c r="H10" s="17">
        <f>IFERROR(INDEX(Python!$1:$1048576,MATCH(DCF_Simple!H$1,Python!$A:$A,0),MATCH(DCF_Simple!$B10,Python!$1:$1,0))/1000000,0)</f>
        <v>2879.2243760000001</v>
      </c>
      <c r="I10" s="17">
        <f>IFERROR(INDEX(Python!$1:$1048576,MATCH(DCF_Simple!I$1,Python!$A:$A,0),MATCH(DCF_Simple!$B10,Python!$1:$1,0))/1000000,0)</f>
        <v>2713</v>
      </c>
      <c r="J10" s="17">
        <f>IFERROR(INDEX(Python!$1:$1048576,MATCH(DCF_Simple!J$1,Python!$A:$A,0),MATCH(DCF_Simple!$B10,Python!$1:$1,0))/1000000,0)</f>
        <v>2612</v>
      </c>
      <c r="K10" s="69">
        <f>IFERROR(INDEX(Python!$1:$1048576,MATCH(DCF_Simple!K$1,Python!$A:$A,0),MATCH(DCF_Simple!$B10,Python!$1:$1,0))/1000000,0)</f>
        <v>2610</v>
      </c>
      <c r="L10" s="17">
        <f t="shared" ref="L10:U10" si="8">K10*(1+L11)</f>
        <v>2565.2107590940554</v>
      </c>
      <c r="M10" s="17">
        <f t="shared" si="8"/>
        <v>2521.1901297210343</v>
      </c>
      <c r="N10" s="17">
        <f t="shared" si="8"/>
        <v>2477.9249220238062</v>
      </c>
      <c r="O10" s="17">
        <f t="shared" si="8"/>
        <v>2435.402172491481</v>
      </c>
      <c r="P10" s="17">
        <f t="shared" si="8"/>
        <v>2393.6091400751661</v>
      </c>
      <c r="Q10" s="17">
        <f t="shared" si="8"/>
        <v>2352.5333023703779</v>
      </c>
      <c r="R10" s="17">
        <f t="shared" si="8"/>
        <v>2312.1623518649662</v>
      </c>
      <c r="S10" s="17">
        <f t="shared" si="8"/>
        <v>2272.4841922514279</v>
      </c>
      <c r="T10" s="17">
        <f t="shared" si="8"/>
        <v>2233.4869348025004</v>
      </c>
      <c r="U10" s="17">
        <f t="shared" si="8"/>
        <v>2195.1588948089566</v>
      </c>
      <c r="V10" s="70">
        <f>U10</f>
        <v>2195.1588948089566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-5.5971677397491648E-3</v>
      </c>
      <c r="F11" s="42">
        <f t="shared" si="9"/>
        <v>-2.027027006304194E-2</v>
      </c>
      <c r="G11" s="42">
        <f t="shared" si="9"/>
        <v>1.3913043478261944E-3</v>
      </c>
      <c r="H11" s="42">
        <f t="shared" si="9"/>
        <v>7.7935394234174282E-5</v>
      </c>
      <c r="I11" s="42">
        <f t="shared" si="9"/>
        <v>-5.7732345344661762E-2</v>
      </c>
      <c r="J11" s="42">
        <f t="shared" si="9"/>
        <v>-3.7228160707703628E-2</v>
      </c>
      <c r="K11" s="58">
        <f t="shared" si="9"/>
        <v>-7.6569678407345521E-4</v>
      </c>
      <c r="L11" s="67">
        <f>AVERAGE(E11:K11)</f>
        <v>-1.7160628699595653E-2</v>
      </c>
      <c r="M11" s="67">
        <f t="shared" ref="L11:U11" si="10">L11</f>
        <v>-1.7160628699595653E-2</v>
      </c>
      <c r="N11" s="67">
        <f t="shared" si="10"/>
        <v>-1.7160628699595653E-2</v>
      </c>
      <c r="O11" s="67">
        <f t="shared" si="10"/>
        <v>-1.7160628699595653E-2</v>
      </c>
      <c r="P11" s="67">
        <f t="shared" si="10"/>
        <v>-1.7160628699595653E-2</v>
      </c>
      <c r="Q11" s="67">
        <f t="shared" si="10"/>
        <v>-1.7160628699595653E-2</v>
      </c>
      <c r="R11" s="67">
        <f t="shared" si="10"/>
        <v>-1.7160628699595653E-2</v>
      </c>
      <c r="S11" s="67">
        <f t="shared" si="10"/>
        <v>-1.7160628699595653E-2</v>
      </c>
      <c r="T11" s="67">
        <f t="shared" si="10"/>
        <v>-1.7160628699595653E-2</v>
      </c>
      <c r="U11" s="67">
        <f t="shared" si="10"/>
        <v>-1.7160628699595653E-2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4.6919688241274145</v>
      </c>
      <c r="E13" s="53">
        <f t="shared" si="11"/>
        <v>6.0211633385238654</v>
      </c>
      <c r="F13" s="53">
        <f t="shared" si="11"/>
        <v>6.2344347826086954</v>
      </c>
      <c r="G13" s="53">
        <f t="shared" si="11"/>
        <v>6.5383813824244532</v>
      </c>
      <c r="H13" s="53">
        <f t="shared" si="11"/>
        <v>11.17314797282058</v>
      </c>
      <c r="I13" s="53">
        <f t="shared" si="11"/>
        <v>13.185403612237376</v>
      </c>
      <c r="J13" s="53">
        <f t="shared" si="11"/>
        <v>9.2009954058192953</v>
      </c>
      <c r="K13" s="59">
        <f t="shared" si="11"/>
        <v>19.019540229885056</v>
      </c>
      <c r="L13" s="53">
        <f t="shared" ref="L13:U13" si="12">L7/L10</f>
        <v>21.122749509871149</v>
      </c>
      <c r="M13" s="53">
        <f t="shared" si="12"/>
        <v>24.04768526083274</v>
      </c>
      <c r="N13" s="53">
        <f t="shared" si="12"/>
        <v>27.37764636814082</v>
      </c>
      <c r="O13" s="53">
        <f t="shared" si="12"/>
        <v>31.168718008787636</v>
      </c>
      <c r="P13" s="53">
        <f t="shared" si="12"/>
        <v>35.484751656440324</v>
      </c>
      <c r="Q13" s="53">
        <f t="shared" si="12"/>
        <v>40.398440505773692</v>
      </c>
      <c r="R13" s="53">
        <f t="shared" si="12"/>
        <v>45.992543814304248</v>
      </c>
      <c r="S13" s="53">
        <f t="shared" si="12"/>
        <v>52.361280782815804</v>
      </c>
      <c r="T13" s="53">
        <f t="shared" si="12"/>
        <v>59.611917450936311</v>
      </c>
      <c r="U13" s="53">
        <f t="shared" si="12"/>
        <v>67.866573335300785</v>
      </c>
      <c r="V13" s="71">
        <f>U13*(1+WACC!$B$13)/(WACC!$B$14-WACC!$B$13)</f>
        <v>721.68656429318366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18.928558143203407</v>
      </c>
      <c r="M14" s="62">
        <f>M13/((1+WACC!$B$14)^(M3-$K$3))</f>
        <v>19.311119366533756</v>
      </c>
      <c r="N14" s="62">
        <f>N13/((1+WACC!$B$14)^(N3-$K$3))</f>
        <v>19.701412456627995</v>
      </c>
      <c r="O14" s="62">
        <f>O13/((1+WACC!$B$14)^(O3-$K$3))</f>
        <v>20.09959368066643</v>
      </c>
      <c r="P14" s="62">
        <f>P13/((1+WACC!$B$14)^(P3-$K$3))</f>
        <v>20.50582246411339</v>
      </c>
      <c r="Q14" s="62">
        <f>Q13/((1+WACC!$B$14)^(Q3-$K$3))</f>
        <v>20.92026145454874</v>
      </c>
      <c r="R14" s="62">
        <f>R13/((1+WACC!$B$14)^(R3-$K$3))</f>
        <v>21.343076586789358</v>
      </c>
      <c r="S14" s="62">
        <f>S13/((1+WACC!$B$14)^(S3-$K$3))</f>
        <v>21.774437149326829</v>
      </c>
      <c r="T14" s="62">
        <f>T13/((1+WACC!$B$14)^(T3-$K$3))</f>
        <v>22.214515852107855</v>
      </c>
      <c r="U14" s="62">
        <f>U13/((1+WACC!$B$14)^(U3-$K$3))</f>
        <v>22.663488895684619</v>
      </c>
      <c r="V14" s="63">
        <f>V13/((1+WACC!$B$14)^(U3-$K$3))</f>
        <v>241.00134472998084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241.00134472998084</v>
      </c>
      <c r="L17" s="16">
        <f>C17/$C$19</f>
        <v>0.53739328719039725</v>
      </c>
      <c r="O17" s="18"/>
    </row>
    <row r="18" spans="2:22" x14ac:dyDescent="0.25">
      <c r="B18" s="8" t="s">
        <v>26</v>
      </c>
      <c r="C18" s="32">
        <f>SUM(14:14)-V14</f>
        <v>207.4622860496024</v>
      </c>
      <c r="K18" s="3"/>
      <c r="L18" s="16">
        <f>C18/$C$19</f>
        <v>0.46260671280960275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448.46363077958324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22.291187739463602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7.0455938697318006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463.70922464931505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0.1784044983306976</v>
      </c>
    </row>
    <row r="3" spans="1:6" x14ac:dyDescent="0.25">
      <c r="A3" s="73" t="s">
        <v>34</v>
      </c>
      <c r="B3">
        <v>149783000000</v>
      </c>
      <c r="C3">
        <v>49641000000</v>
      </c>
      <c r="D3">
        <v>2610000000</v>
      </c>
      <c r="E3">
        <v>58180000000</v>
      </c>
      <c r="F3">
        <v>0.19570748760898771</v>
      </c>
    </row>
    <row r="4" spans="1:6" x14ac:dyDescent="0.25">
      <c r="A4" s="73" t="s">
        <v>35</v>
      </c>
      <c r="B4">
        <v>142711000000</v>
      </c>
      <c r="C4">
        <v>49537000000</v>
      </c>
      <c r="D4">
        <v>2625000000</v>
      </c>
      <c r="E4">
        <v>58204000000</v>
      </c>
      <c r="F4">
        <v>0.26188431701867693</v>
      </c>
    </row>
    <row r="5" spans="1:6" x14ac:dyDescent="0.25">
      <c r="A5" s="73" t="s">
        <v>36</v>
      </c>
      <c r="B5">
        <v>134901000000</v>
      </c>
      <c r="C5">
        <v>43847000000</v>
      </c>
      <c r="D5">
        <v>2630000000</v>
      </c>
      <c r="E5">
        <v>65403000000</v>
      </c>
      <c r="F5">
        <v>0.21774599720192761</v>
      </c>
    </row>
    <row r="6" spans="1:6" x14ac:dyDescent="0.25">
      <c r="A6" s="73" t="s">
        <v>37</v>
      </c>
      <c r="B6">
        <v>126955000000</v>
      </c>
      <c r="C6">
        <v>37576000000</v>
      </c>
      <c r="D6">
        <v>2641000000</v>
      </c>
      <c r="E6">
        <v>61123000000</v>
      </c>
      <c r="F6">
        <v>0.14192105073248171</v>
      </c>
    </row>
    <row r="7" spans="1:6" x14ac:dyDescent="0.25">
      <c r="A7" s="73" t="s">
        <v>38</v>
      </c>
      <c r="B7">
        <v>120523000000</v>
      </c>
      <c r="C7">
        <v>24033000000</v>
      </c>
      <c r="D7">
        <v>2612000000</v>
      </c>
      <c r="E7">
        <v>53446000000</v>
      </c>
      <c r="F7">
        <v>-2.9619734924710261E-2</v>
      </c>
    </row>
    <row r="8" spans="1:6" x14ac:dyDescent="0.25">
      <c r="A8" s="73" t="s">
        <v>39</v>
      </c>
      <c r="B8">
        <v>117346000000</v>
      </c>
      <c r="C8">
        <v>17565000000</v>
      </c>
      <c r="D8">
        <v>2596000000</v>
      </c>
      <c r="E8">
        <v>37439000000</v>
      </c>
      <c r="F8">
        <v>-9.0798337394295547E-3</v>
      </c>
    </row>
    <row r="9" spans="1:6" x14ac:dyDescent="0.25">
      <c r="A9" s="73" t="s">
        <v>40</v>
      </c>
      <c r="B9">
        <v>116609000000</v>
      </c>
      <c r="C9">
        <v>19044000000</v>
      </c>
      <c r="D9">
        <v>2640000000</v>
      </c>
      <c r="E9">
        <v>40738000000</v>
      </c>
      <c r="F9">
        <v>-6.5771732351281531E-2</v>
      </c>
    </row>
    <row r="10" spans="1:6" x14ac:dyDescent="0.25">
      <c r="A10" s="73" t="s">
        <v>41</v>
      </c>
      <c r="B10">
        <v>118115000000</v>
      </c>
      <c r="C10">
        <v>26310000000</v>
      </c>
      <c r="D10">
        <v>2687000000</v>
      </c>
      <c r="E10">
        <v>41776000000</v>
      </c>
    </row>
    <row r="11" spans="1:6" x14ac:dyDescent="0.25">
      <c r="A11" s="73" t="s">
        <v>42</v>
      </c>
      <c r="B11">
        <v>119411000000</v>
      </c>
      <c r="C11">
        <v>35772000000</v>
      </c>
      <c r="D11">
        <v>2713000000</v>
      </c>
      <c r="E11">
        <v>40489000000</v>
      </c>
      <c r="F11">
        <v>4.0983048182412267E-2</v>
      </c>
    </row>
    <row r="12" spans="1:6" x14ac:dyDescent="0.25">
      <c r="A12" s="73" t="s">
        <v>43</v>
      </c>
      <c r="B12">
        <v>119666000000</v>
      </c>
      <c r="C12">
        <v>39781000000</v>
      </c>
      <c r="D12">
        <v>2742000000</v>
      </c>
      <c r="E12">
        <v>43890000000</v>
      </c>
      <c r="F12">
        <v>-2.7702418707731269E-4</v>
      </c>
    </row>
    <row r="13" spans="1:6" x14ac:dyDescent="0.25">
      <c r="A13" s="73" t="s">
        <v>44</v>
      </c>
      <c r="B13">
        <v>117929000000</v>
      </c>
      <c r="C13">
        <v>39116000000</v>
      </c>
      <c r="D13">
        <v>2799000000</v>
      </c>
      <c r="E13">
        <v>47998000000</v>
      </c>
      <c r="F13">
        <v>1.088629239099448E-2</v>
      </c>
    </row>
    <row r="14" spans="1:6" x14ac:dyDescent="0.25">
      <c r="A14" s="73" t="s">
        <v>45</v>
      </c>
      <c r="B14">
        <v>112330000000</v>
      </c>
      <c r="C14">
        <v>35809000000</v>
      </c>
      <c r="D14">
        <v>2859000000</v>
      </c>
      <c r="E14">
        <v>58075000000</v>
      </c>
      <c r="F14">
        <v>0.37613414066138812</v>
      </c>
    </row>
    <row r="15" spans="1:6" x14ac:dyDescent="0.25">
      <c r="A15" s="73" t="s">
        <v>46</v>
      </c>
      <c r="B15">
        <v>104790000000</v>
      </c>
      <c r="C15">
        <v>32170000000</v>
      </c>
      <c r="D15">
        <v>2879224376</v>
      </c>
      <c r="E15">
        <v>64080000000</v>
      </c>
      <c r="F15">
        <v>0.57765826510408314</v>
      </c>
    </row>
    <row r="16" spans="1:6" x14ac:dyDescent="0.25">
      <c r="A16" s="73" t="s">
        <v>47</v>
      </c>
      <c r="B16">
        <v>94400000000</v>
      </c>
      <c r="C16">
        <v>24159000000</v>
      </c>
      <c r="D16">
        <v>2882000000</v>
      </c>
      <c r="E16">
        <v>64219000000</v>
      </c>
      <c r="F16">
        <v>0.32586119411399911</v>
      </c>
    </row>
    <row r="17" spans="1:6" x14ac:dyDescent="0.25">
      <c r="A17" s="73" t="s">
        <v>48</v>
      </c>
      <c r="B17">
        <v>85966000000</v>
      </c>
      <c r="C17">
        <v>23632000000</v>
      </c>
      <c r="D17">
        <v>2892924158</v>
      </c>
      <c r="E17">
        <v>61954000000</v>
      </c>
      <c r="F17">
        <v>5.859580542643017E-2</v>
      </c>
    </row>
    <row r="18" spans="1:6" x14ac:dyDescent="0.25">
      <c r="A18" s="73" t="s">
        <v>49</v>
      </c>
      <c r="B18">
        <v>78976000000</v>
      </c>
      <c r="C18">
        <v>19188000000</v>
      </c>
      <c r="D18">
        <v>2895202952</v>
      </c>
      <c r="E18">
        <v>55620000000</v>
      </c>
      <c r="F18">
        <v>-0.14276044533197371</v>
      </c>
    </row>
    <row r="19" spans="1:6" x14ac:dyDescent="0.25">
      <c r="A19" s="73" t="s">
        <v>50</v>
      </c>
      <c r="B19">
        <v>75158000000</v>
      </c>
      <c r="C19">
        <v>18824000000</v>
      </c>
      <c r="D19">
        <v>2879000000</v>
      </c>
      <c r="E19">
        <v>58240000000</v>
      </c>
      <c r="F19">
        <v>-0.14541533424138339</v>
      </c>
    </row>
    <row r="20" spans="1:6" x14ac:dyDescent="0.25">
      <c r="A20" s="73" t="s">
        <v>51</v>
      </c>
      <c r="B20">
        <v>73357000000</v>
      </c>
      <c r="C20">
        <v>23183000000</v>
      </c>
      <c r="D20">
        <v>2868000000</v>
      </c>
      <c r="E20">
        <v>60289000000</v>
      </c>
      <c r="F20">
        <v>0.21082614114213699</v>
      </c>
    </row>
    <row r="21" spans="1:6" x14ac:dyDescent="0.25">
      <c r="A21" s="73" t="s">
        <v>52</v>
      </c>
      <c r="B21">
        <v>70697000000</v>
      </c>
      <c r="C21">
        <v>21211000000</v>
      </c>
      <c r="D21">
        <v>2871000000</v>
      </c>
      <c r="E21">
        <v>54855000000</v>
      </c>
      <c r="F21">
        <v>0.2318165609554215</v>
      </c>
    </row>
    <row r="22" spans="1:6" x14ac:dyDescent="0.25">
      <c r="A22" s="73" t="s">
        <v>53</v>
      </c>
      <c r="B22">
        <v>66529000000</v>
      </c>
      <c r="C22">
        <v>19546000000</v>
      </c>
      <c r="D22">
        <v>2874000000</v>
      </c>
      <c r="E22">
        <v>52269000000</v>
      </c>
      <c r="F22">
        <v>0.1585526939608071</v>
      </c>
    </row>
    <row r="23" spans="1:6" x14ac:dyDescent="0.25">
      <c r="A23" s="73" t="s">
        <v>54</v>
      </c>
      <c r="B23">
        <v>62604000000</v>
      </c>
      <c r="C23">
        <v>17924000000</v>
      </c>
      <c r="D23">
        <v>2875000000</v>
      </c>
      <c r="E23">
        <v>48596000000</v>
      </c>
      <c r="F23">
        <v>1.6366383974756249</v>
      </c>
    </row>
    <row r="24" spans="1:6" x14ac:dyDescent="0.25">
      <c r="A24" s="73" t="s">
        <v>55</v>
      </c>
      <c r="B24">
        <v>58949000000</v>
      </c>
      <c r="C24">
        <v>15782000000</v>
      </c>
      <c r="D24">
        <v>2869000000</v>
      </c>
      <c r="E24">
        <v>45243000000</v>
      </c>
      <c r="F24">
        <v>1.4162096527661709</v>
      </c>
    </row>
    <row r="25" spans="1:6" x14ac:dyDescent="0.25">
      <c r="A25" s="73" t="s">
        <v>56</v>
      </c>
      <c r="B25">
        <v>55838000000</v>
      </c>
      <c r="C25">
        <v>15359000000</v>
      </c>
      <c r="D25">
        <v>2886000465</v>
      </c>
      <c r="E25">
        <v>41114000000</v>
      </c>
      <c r="F25">
        <v>0.19979360846438479</v>
      </c>
    </row>
    <row r="26" spans="1:6" x14ac:dyDescent="0.25">
      <c r="A26" s="73" t="s">
        <v>57</v>
      </c>
      <c r="B26">
        <v>51896000000</v>
      </c>
      <c r="C26">
        <v>17449000000</v>
      </c>
      <c r="D26">
        <v>2918750000</v>
      </c>
      <c r="E26">
        <v>41206000000</v>
      </c>
      <c r="F26">
        <v>0.1101050321456236</v>
      </c>
    </row>
    <row r="27" spans="1:6" x14ac:dyDescent="0.25">
      <c r="A27" s="73" t="s">
        <v>58</v>
      </c>
      <c r="B27">
        <v>48497000000</v>
      </c>
      <c r="C27">
        <v>17669000000</v>
      </c>
      <c r="D27">
        <v>2934482758</v>
      </c>
      <c r="E27">
        <v>42309000000</v>
      </c>
      <c r="F27">
        <v>0.40316699281193008</v>
      </c>
    </row>
    <row r="28" spans="1:6" x14ac:dyDescent="0.25">
      <c r="A28" s="73" t="s">
        <v>59</v>
      </c>
      <c r="B28">
        <v>44587000000</v>
      </c>
      <c r="C28">
        <v>18745000000</v>
      </c>
      <c r="D28">
        <v>2945000000</v>
      </c>
      <c r="E28">
        <v>43956000000</v>
      </c>
      <c r="F28">
        <v>0.19006960321215141</v>
      </c>
    </row>
    <row r="29" spans="1:6" x14ac:dyDescent="0.25">
      <c r="A29" s="73" t="s">
        <v>60</v>
      </c>
      <c r="B29">
        <v>40653000000</v>
      </c>
      <c r="C29">
        <v>17484000000</v>
      </c>
      <c r="D29">
        <v>2954000000</v>
      </c>
      <c r="E29">
        <v>41711000000</v>
      </c>
      <c r="F29">
        <v>0.99412532637075723</v>
      </c>
    </row>
    <row r="30" spans="1:6" x14ac:dyDescent="0.25">
      <c r="A30" s="73" t="s">
        <v>61</v>
      </c>
      <c r="B30">
        <v>36490000000</v>
      </c>
      <c r="C30">
        <v>15737000000</v>
      </c>
      <c r="D30">
        <v>2956000000</v>
      </c>
      <c r="E30">
        <v>38289000000</v>
      </c>
      <c r="F30">
        <v>0.18590283540151201</v>
      </c>
    </row>
    <row r="31" spans="1:6" x14ac:dyDescent="0.25">
      <c r="A31" s="73" t="s">
        <v>62</v>
      </c>
      <c r="B31">
        <v>33173000000</v>
      </c>
      <c r="C31">
        <v>13846000000</v>
      </c>
      <c r="D31">
        <v>2951000000</v>
      </c>
      <c r="E31">
        <v>35452000000</v>
      </c>
      <c r="F31">
        <v>0.23979815242386571</v>
      </c>
    </row>
    <row r="32" spans="1:6" x14ac:dyDescent="0.25">
      <c r="A32" s="73" t="s">
        <v>63</v>
      </c>
      <c r="B32">
        <v>30288000000</v>
      </c>
      <c r="C32">
        <v>12133000000</v>
      </c>
      <c r="D32">
        <v>2944000000</v>
      </c>
      <c r="E32">
        <v>32306000000</v>
      </c>
      <c r="F32">
        <v>0.60718063043478265</v>
      </c>
    </row>
    <row r="33" spans="1:6" x14ac:dyDescent="0.25">
      <c r="A33" s="73" t="s">
        <v>64</v>
      </c>
      <c r="B33">
        <v>27638000000</v>
      </c>
      <c r="C33">
        <v>10197000000</v>
      </c>
      <c r="D33">
        <v>2938000000</v>
      </c>
      <c r="E33">
        <v>29449000000</v>
      </c>
      <c r="F33">
        <v>0.4011724406779662</v>
      </c>
    </row>
    <row r="34" spans="1:6" x14ac:dyDescent="0.25">
      <c r="A34" s="73" t="s">
        <v>65</v>
      </c>
      <c r="B34">
        <v>24670000000</v>
      </c>
      <c r="C34">
        <v>8671000000</v>
      </c>
      <c r="D34">
        <v>2931000000</v>
      </c>
      <c r="E34">
        <v>26140000000</v>
      </c>
      <c r="F34">
        <v>0.3861690264385691</v>
      </c>
    </row>
    <row r="35" spans="1:6" x14ac:dyDescent="0.25">
      <c r="A35" s="73" t="s">
        <v>66</v>
      </c>
      <c r="B35">
        <v>22160000000</v>
      </c>
      <c r="C35">
        <v>7601000000</v>
      </c>
      <c r="D35">
        <v>2921000000</v>
      </c>
      <c r="E35">
        <v>23293000000</v>
      </c>
      <c r="F35">
        <v>0.3460520207817912</v>
      </c>
    </row>
    <row r="36" spans="1:6" x14ac:dyDescent="0.25">
      <c r="A36" s="73" t="s">
        <v>67</v>
      </c>
      <c r="B36">
        <v>19766000000</v>
      </c>
      <c r="C36">
        <v>6729000000</v>
      </c>
      <c r="D36">
        <v>2905000000</v>
      </c>
      <c r="E36">
        <v>20621000000</v>
      </c>
      <c r="F36">
        <v>0.2231324981653966</v>
      </c>
    </row>
    <row r="37" spans="1:6" x14ac:dyDescent="0.25">
      <c r="A37" s="73" t="s">
        <v>68</v>
      </c>
      <c r="B37">
        <v>17927000000</v>
      </c>
      <c r="C37">
        <v>6076000000</v>
      </c>
      <c r="D37">
        <v>2878000000</v>
      </c>
      <c r="E37">
        <v>18434000000</v>
      </c>
      <c r="F37">
        <v>0.30555601194494941</v>
      </c>
    </row>
    <row r="38" spans="1:6" x14ac:dyDescent="0.25">
      <c r="A38" s="73" t="s">
        <v>69</v>
      </c>
      <c r="B38">
        <v>15937000000</v>
      </c>
      <c r="C38">
        <v>5007000000</v>
      </c>
      <c r="D38">
        <v>2863000000</v>
      </c>
      <c r="E38">
        <v>15834000000</v>
      </c>
      <c r="F38">
        <v>0.28197797002809871</v>
      </c>
    </row>
    <row r="39" spans="1:6" x14ac:dyDescent="0.25">
      <c r="A39" s="73" t="s">
        <v>70</v>
      </c>
      <c r="B39">
        <v>14639000000</v>
      </c>
      <c r="C39">
        <v>4361000000</v>
      </c>
      <c r="D39">
        <v>2850000000</v>
      </c>
      <c r="E39">
        <v>14125000000</v>
      </c>
      <c r="F39">
        <v>0.30566323024054981</v>
      </c>
    </row>
    <row r="40" spans="1:6" x14ac:dyDescent="0.25">
      <c r="A40" s="73" t="s">
        <v>71</v>
      </c>
      <c r="B40">
        <v>13507000000</v>
      </c>
      <c r="C40">
        <v>3902000000</v>
      </c>
      <c r="D40">
        <v>2836000000</v>
      </c>
      <c r="E40">
        <v>12413000000</v>
      </c>
      <c r="F40">
        <v>0.34863537729816141</v>
      </c>
    </row>
    <row r="41" spans="1:6" x14ac:dyDescent="0.25">
      <c r="A41" s="73" t="s">
        <v>72</v>
      </c>
      <c r="B41">
        <v>12466000000</v>
      </c>
      <c r="C41">
        <v>3626000000</v>
      </c>
      <c r="D41">
        <v>2816000000</v>
      </c>
      <c r="E41">
        <v>11199000000</v>
      </c>
      <c r="F41">
        <v>0.35180886847195358</v>
      </c>
    </row>
    <row r="42" spans="1:6" x14ac:dyDescent="0.25">
      <c r="A42" s="73" t="s">
        <v>73</v>
      </c>
      <c r="B42">
        <v>11200000000</v>
      </c>
      <c r="C42">
        <v>3308000000</v>
      </c>
      <c r="D42">
        <v>2644000000</v>
      </c>
      <c r="E42">
        <v>14250000000</v>
      </c>
      <c r="F42">
        <v>0.47794389037698409</v>
      </c>
    </row>
    <row r="43" spans="1:6" x14ac:dyDescent="0.25">
      <c r="A43" s="73" t="s">
        <v>74</v>
      </c>
      <c r="B43">
        <v>10013000000</v>
      </c>
      <c r="C43">
        <v>3208000000</v>
      </c>
      <c r="D43">
        <v>2615000000</v>
      </c>
      <c r="E43">
        <v>13956000000</v>
      </c>
      <c r="F43">
        <v>0.22291387589630449</v>
      </c>
    </row>
    <row r="44" spans="1:6" x14ac:dyDescent="0.25">
      <c r="A44" s="73" t="s">
        <v>75</v>
      </c>
      <c r="B44">
        <v>8916000000</v>
      </c>
      <c r="C44">
        <v>3390000000</v>
      </c>
      <c r="D44">
        <v>2609000000</v>
      </c>
      <c r="E44">
        <v>12629000000</v>
      </c>
      <c r="F44">
        <v>0.21132897599451289</v>
      </c>
    </row>
    <row r="45" spans="1:6" x14ac:dyDescent="0.25">
      <c r="A45" s="73" t="s">
        <v>76</v>
      </c>
      <c r="B45">
        <v>7872000000</v>
      </c>
      <c r="C45">
        <v>2860000000</v>
      </c>
      <c r="D45">
        <v>2558000000</v>
      </c>
      <c r="E45">
        <v>11449000000</v>
      </c>
      <c r="F45">
        <v>0.42047420315457412</v>
      </c>
    </row>
    <row r="46" spans="1:6" x14ac:dyDescent="0.25">
      <c r="A46" s="73" t="s">
        <v>77</v>
      </c>
      <c r="B46">
        <v>6872000000</v>
      </c>
      <c r="C46">
        <v>2595000000</v>
      </c>
      <c r="D46">
        <v>2528000000</v>
      </c>
      <c r="E46">
        <v>9328000000</v>
      </c>
      <c r="F46">
        <v>0.21407290015847871</v>
      </c>
    </row>
    <row r="47" spans="1:6" x14ac:dyDescent="0.25">
      <c r="A47" s="73" t="s">
        <v>78</v>
      </c>
      <c r="B47">
        <v>6118000000</v>
      </c>
      <c r="C47">
        <v>2008000000</v>
      </c>
      <c r="D47">
        <v>2502000000</v>
      </c>
      <c r="E47">
        <v>10252000000</v>
      </c>
      <c r="F47">
        <v>0.12828947297297291</v>
      </c>
    </row>
    <row r="48" spans="1:6" x14ac:dyDescent="0.25">
      <c r="A48" s="73" t="s">
        <v>79</v>
      </c>
      <c r="B48">
        <v>5489000000</v>
      </c>
      <c r="C48">
        <v>783000000</v>
      </c>
      <c r="D48">
        <v>2499000000</v>
      </c>
      <c r="E48">
        <v>9472000000</v>
      </c>
      <c r="F48">
        <v>0.49291115311909262</v>
      </c>
    </row>
    <row r="49" spans="1:6" x14ac:dyDescent="0.25">
      <c r="A49" s="73" t="s">
        <v>80</v>
      </c>
      <c r="B49">
        <v>5089000000</v>
      </c>
      <c r="C49">
        <v>379000000</v>
      </c>
      <c r="D49">
        <v>2506000000</v>
      </c>
      <c r="E49">
        <v>9626000000</v>
      </c>
      <c r="F49">
        <v>0.23654236162687889</v>
      </c>
    </row>
    <row r="50" spans="1:6" x14ac:dyDescent="0.25">
      <c r="A50" s="73" t="s">
        <v>81</v>
      </c>
      <c r="B50">
        <v>4635000000</v>
      </c>
      <c r="C50">
        <v>221000000</v>
      </c>
      <c r="D50">
        <v>2420000019</v>
      </c>
      <c r="E50">
        <v>10452000000</v>
      </c>
      <c r="F50">
        <v>0.21261355660377371</v>
      </c>
    </row>
    <row r="51" spans="1:6" x14ac:dyDescent="0.25">
      <c r="A51" s="73" t="s">
        <v>82</v>
      </c>
      <c r="B51">
        <v>4327000000</v>
      </c>
      <c r="C51">
        <v>571000000</v>
      </c>
      <c r="D51">
        <v>1879000015</v>
      </c>
      <c r="E51">
        <v>10188000000</v>
      </c>
      <c r="F51">
        <v>0.32290502793296078</v>
      </c>
    </row>
    <row r="52" spans="1:6" x14ac:dyDescent="0.25">
      <c r="A52" s="73" t="s">
        <v>83</v>
      </c>
      <c r="B52">
        <v>4038000000</v>
      </c>
      <c r="C52">
        <v>739000000</v>
      </c>
      <c r="D52">
        <v>2138085037</v>
      </c>
      <c r="E52">
        <v>3910000000</v>
      </c>
    </row>
    <row r="53" spans="1:6" x14ac:dyDescent="0.25">
      <c r="A53" s="73" t="s">
        <v>84</v>
      </c>
      <c r="B53">
        <v>3711000000</v>
      </c>
      <c r="C53">
        <v>943000000</v>
      </c>
      <c r="D53">
        <v>2556000020</v>
      </c>
      <c r="E53">
        <v>3908000000</v>
      </c>
    </row>
    <row r="54" spans="1:6" x14ac:dyDescent="0.25">
      <c r="A54" s="73" t="s">
        <v>85</v>
      </c>
      <c r="B54">
        <v>36251000000</v>
      </c>
      <c r="C54">
        <v>13352000000</v>
      </c>
      <c r="D54">
        <v>2556000020</v>
      </c>
    </row>
    <row r="55" spans="1:6" x14ac:dyDescent="0.25">
      <c r="A55" s="73" t="s">
        <v>86</v>
      </c>
      <c r="B55">
        <v>64307000000</v>
      </c>
      <c r="C55">
        <v>22701000000</v>
      </c>
      <c r="D55">
        <v>2556000020</v>
      </c>
    </row>
    <row r="56" spans="1:6" x14ac:dyDescent="0.25">
      <c r="A56" s="73" t="s">
        <v>87</v>
      </c>
      <c r="B56">
        <v>92489000000</v>
      </c>
      <c r="C56">
        <v>31338000000</v>
      </c>
      <c r="D56">
        <v>2556000020</v>
      </c>
    </row>
    <row r="57" spans="1:6" x14ac:dyDescent="0.25">
      <c r="A57" s="73" t="s">
        <v>88</v>
      </c>
      <c r="B57">
        <v>119666000000</v>
      </c>
      <c r="C57">
        <v>39781000000</v>
      </c>
      <c r="D57">
        <v>2799000000</v>
      </c>
    </row>
    <row r="58" spans="1:6" x14ac:dyDescent="0.25">
      <c r="A58" s="73" t="s">
        <v>89</v>
      </c>
      <c r="D58">
        <v>2859000000</v>
      </c>
    </row>
    <row r="59" spans="1:6" x14ac:dyDescent="0.25">
      <c r="A59" s="73" t="s">
        <v>90</v>
      </c>
      <c r="D59">
        <v>2877000000</v>
      </c>
    </row>
    <row r="60" spans="1:6" x14ac:dyDescent="0.25">
      <c r="A60" s="73" t="s">
        <v>91</v>
      </c>
      <c r="D60">
        <v>2742000000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92</v>
      </c>
      <c r="B1" s="27" t="s">
        <v>93</v>
      </c>
      <c r="C1" t="s">
        <v>94</v>
      </c>
      <c r="D1" t="s">
        <v>95</v>
      </c>
      <c r="F1" s="27" t="s">
        <v>93</v>
      </c>
      <c r="G1" t="s">
        <v>94</v>
      </c>
      <c r="H1" t="s">
        <v>95</v>
      </c>
      <c r="J1" t="s">
        <v>96</v>
      </c>
      <c r="K1" t="s">
        <v>94</v>
      </c>
      <c r="L1" t="s">
        <v>95</v>
      </c>
      <c r="N1" t="s">
        <v>97</v>
      </c>
      <c r="O1" t="s">
        <v>94</v>
      </c>
      <c r="P1" t="s">
        <v>95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98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99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100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101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102</v>
      </c>
    </row>
    <row r="7" spans="1:46" x14ac:dyDescent="0.25">
      <c r="A7" s="27" t="s">
        <v>103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104</v>
      </c>
    </row>
    <row r="8" spans="1:46" x14ac:dyDescent="0.25">
      <c r="A8" s="27" t="s">
        <v>105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106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107</v>
      </c>
    </row>
    <row r="10" spans="1:46" x14ac:dyDescent="0.25">
      <c r="A10" s="27" t="s">
        <v>108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109</v>
      </c>
    </row>
    <row r="11" spans="1:46" x14ac:dyDescent="0.25">
      <c r="A11" s="27" t="s">
        <v>110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111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112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113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114</v>
      </c>
    </row>
    <row r="15" spans="1:46" x14ac:dyDescent="0.25">
      <c r="A15" s="27" t="s">
        <v>115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116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117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118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119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120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121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122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123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124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125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126</v>
      </c>
      <c r="J26">
        <v>0.61799999999999999</v>
      </c>
      <c r="N26">
        <v>-0.36399999999999999</v>
      </c>
    </row>
    <row r="27" spans="1:17" x14ac:dyDescent="0.25">
      <c r="A27" s="27" t="s">
        <v>127</v>
      </c>
    </row>
    <row r="28" spans="1:17" x14ac:dyDescent="0.25">
      <c r="A28" s="27" t="s">
        <v>128</v>
      </c>
    </row>
    <row r="29" spans="1:17" x14ac:dyDescent="0.25">
      <c r="A29" s="27" t="s">
        <v>129</v>
      </c>
    </row>
    <row r="31" spans="1:17" x14ac:dyDescent="0.25">
      <c r="A31" s="26" t="s">
        <v>130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131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132</v>
      </c>
      <c r="C1" s="73" t="s">
        <v>133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134</v>
      </c>
      <c r="D2">
        <v>1.1238817041293689</v>
      </c>
      <c r="E2">
        <v>0.1185812857017499</v>
      </c>
    </row>
    <row r="3" spans="1:5" x14ac:dyDescent="0.25">
      <c r="A3" s="73">
        <v>1</v>
      </c>
      <c r="B3">
        <v>3</v>
      </c>
      <c r="C3" t="s">
        <v>135</v>
      </c>
      <c r="D3">
        <v>1.2724870494209479</v>
      </c>
      <c r="E3">
        <v>0.12887517803812371</v>
      </c>
    </row>
    <row r="4" spans="1:5" x14ac:dyDescent="0.25">
      <c r="A4" s="73">
        <v>2</v>
      </c>
      <c r="B4">
        <v>3</v>
      </c>
      <c r="C4" t="s">
        <v>136</v>
      </c>
      <c r="D4">
        <v>1.7261118551347241</v>
      </c>
      <c r="E4">
        <v>0.16029776853756991</v>
      </c>
    </row>
    <row r="5" spans="1:5" x14ac:dyDescent="0.25">
      <c r="A5" s="73">
        <v>3</v>
      </c>
      <c r="B5">
        <v>5</v>
      </c>
      <c r="C5" t="s">
        <v>134</v>
      </c>
      <c r="D5">
        <v>1.213916993321108</v>
      </c>
      <c r="E5">
        <v>0.1248180302252766</v>
      </c>
    </row>
    <row r="6" spans="1:5" x14ac:dyDescent="0.25">
      <c r="A6" s="73">
        <v>4</v>
      </c>
      <c r="B6">
        <v>5</v>
      </c>
      <c r="C6" t="s">
        <v>135</v>
      </c>
      <c r="D6">
        <v>1.103269242230144</v>
      </c>
      <c r="E6">
        <v>0.117153460456555</v>
      </c>
    </row>
    <row r="7" spans="1:5" x14ac:dyDescent="0.25">
      <c r="A7" s="73">
        <v>5</v>
      </c>
      <c r="B7">
        <v>5</v>
      </c>
      <c r="C7" t="s">
        <v>136</v>
      </c>
      <c r="D7">
        <v>1.308233735650699</v>
      </c>
      <c r="E7">
        <v>0.13135135100962211</v>
      </c>
    </row>
    <row r="8" spans="1:5" x14ac:dyDescent="0.25">
      <c r="A8" s="73">
        <v>6</v>
      </c>
      <c r="B8" t="s">
        <v>130</v>
      </c>
      <c r="D8">
        <v>1.291316763314498</v>
      </c>
      <c r="E8">
        <v>0.1301795123281495</v>
      </c>
    </row>
    <row r="9" spans="1:5" x14ac:dyDescent="0.25">
      <c r="A9" s="73">
        <v>7</v>
      </c>
      <c r="B9" t="s">
        <v>131</v>
      </c>
      <c r="D9">
        <v>1.243202021371028</v>
      </c>
      <c r="E9">
        <v>0.12684660413170021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2024-10-18T20:44:39Z</dcterms:modified>
</cp:coreProperties>
</file>