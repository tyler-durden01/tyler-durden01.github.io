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40" documentId="11_1E5988A8EF7BC99C9BFCD2458D4C05DE349B3B82" xr6:coauthVersionLast="47" xr6:coauthVersionMax="47" xr10:uidLastSave="{CBF67824-BB46-46F6-B8BD-6C8B1E7D064B}"/>
  <bookViews>
    <workbookView xWindow="30612" yWindow="-108" windowWidth="30936" windowHeight="16776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" l="1"/>
  <c r="N5" i="3" s="1"/>
  <c r="O5" i="3" s="1"/>
  <c r="P5" i="3" s="1"/>
  <c r="Q5" i="3" s="1"/>
  <c r="R5" i="3" s="1"/>
  <c r="S5" i="3" s="1"/>
  <c r="T5" i="3" s="1"/>
  <c r="U5" i="3" s="1"/>
  <c r="L8" i="3"/>
  <c r="M8" i="3" s="1"/>
  <c r="N8" i="3" s="1"/>
  <c r="O8" i="3" s="1"/>
  <c r="P8" i="3" s="1"/>
  <c r="Q8" i="3" s="1"/>
  <c r="R8" i="3" s="1"/>
  <c r="S8" i="3" s="1"/>
  <c r="T8" i="3" s="1"/>
  <c r="U8" i="3" s="1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G31" i="5" s="1"/>
  <c r="D4" i="5"/>
  <c r="C4" i="5"/>
  <c r="R3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J10" i="3"/>
  <c r="F10" i="3"/>
  <c r="L5" i="3"/>
  <c r="H4" i="3"/>
  <c r="H5" i="3" s="1"/>
  <c r="G4" i="3"/>
  <c r="J3" i="3"/>
  <c r="I3" i="3"/>
  <c r="E3" i="3"/>
  <c r="K1" i="3"/>
  <c r="K7" i="3" s="1"/>
  <c r="J1" i="3"/>
  <c r="J7" i="3" s="1"/>
  <c r="I1" i="3"/>
  <c r="I7" i="3" s="1"/>
  <c r="H1" i="3"/>
  <c r="H3" i="3" s="1"/>
  <c r="G1" i="3"/>
  <c r="G7" i="3" s="1"/>
  <c r="F1" i="3"/>
  <c r="F4" i="3" s="1"/>
  <c r="E1" i="3"/>
  <c r="E10" i="3" s="1"/>
  <c r="E11" i="3" s="1"/>
  <c r="D1" i="3"/>
  <c r="D10" i="3" s="1"/>
  <c r="J13" i="3" l="1"/>
  <c r="F11" i="3"/>
  <c r="F5" i="3"/>
  <c r="G8" i="3"/>
  <c r="G5" i="3"/>
  <c r="I8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D7" i="3"/>
  <c r="G10" i="3"/>
  <c r="G11" i="3" s="1"/>
  <c r="K3" i="3"/>
  <c r="I4" i="3"/>
  <c r="I5" i="3" s="1"/>
  <c r="E7" i="3"/>
  <c r="H10" i="3"/>
  <c r="K31" i="5"/>
  <c r="D3" i="3"/>
  <c r="J4" i="3"/>
  <c r="J5" i="3" s="1"/>
  <c r="F7" i="3"/>
  <c r="I10" i="3"/>
  <c r="I11" i="3" s="1"/>
  <c r="O31" i="5"/>
  <c r="L1" i="3"/>
  <c r="K4" i="3"/>
  <c r="F3" i="3"/>
  <c r="D4" i="3"/>
  <c r="H7" i="3"/>
  <c r="K10" i="3"/>
  <c r="G3" i="3"/>
  <c r="E4" i="3"/>
  <c r="G13" i="3" l="1"/>
  <c r="H8" i="3"/>
  <c r="H13" i="3"/>
  <c r="J11" i="3"/>
  <c r="K11" i="3"/>
  <c r="P11" i="3" s="1"/>
  <c r="R11" i="3" s="1"/>
  <c r="S11" i="3" s="1"/>
  <c r="T11" i="3" s="1"/>
  <c r="U11" i="3" s="1"/>
  <c r="C21" i="3"/>
  <c r="L10" i="3"/>
  <c r="M10" i="3" s="1"/>
  <c r="N10" i="3" s="1"/>
  <c r="O10" i="3" s="1"/>
  <c r="P10" i="3" s="1"/>
  <c r="Q10" i="3" s="1"/>
  <c r="C20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H11" i="3"/>
  <c r="I13" i="3"/>
  <c r="D8" i="3"/>
  <c r="D13" i="3"/>
  <c r="L3" i="3"/>
  <c r="M1" i="3"/>
  <c r="E8" i="3"/>
  <c r="E13" i="3"/>
  <c r="K13" i="3"/>
  <c r="J8" i="3"/>
  <c r="F8" i="3"/>
  <c r="F13" i="3"/>
  <c r="E5" i="3"/>
  <c r="K8" i="3"/>
  <c r="R10" i="3" l="1"/>
  <c r="S10" i="3" s="1"/>
  <c r="T10" i="3" s="1"/>
  <c r="U10" i="3" s="1"/>
  <c r="V10" i="3" s="1"/>
  <c r="M3" i="3"/>
  <c r="N1" i="3"/>
  <c r="N3" i="3" l="1"/>
  <c r="O1" i="3"/>
  <c r="L7" i="3"/>
  <c r="L13" i="3" s="1"/>
  <c r="L14" i="3" s="1"/>
  <c r="O3" i="3" l="1"/>
  <c r="P1" i="3"/>
  <c r="M7" i="3"/>
  <c r="M13" i="3" s="1"/>
  <c r="M14" i="3" s="1"/>
  <c r="N7" i="3" l="1"/>
  <c r="N13" i="3" s="1"/>
  <c r="N14" i="3" s="1"/>
  <c r="P3" i="3"/>
  <c r="Q1" i="3"/>
  <c r="R1" i="3" l="1"/>
  <c r="Q3" i="3"/>
  <c r="O7" i="3"/>
  <c r="O13" i="3" s="1"/>
  <c r="O14" i="3" s="1"/>
  <c r="P7" i="3" l="1"/>
  <c r="P13" i="3" s="1"/>
  <c r="P14" i="3" s="1"/>
  <c r="R3" i="3"/>
  <c r="S1" i="3"/>
  <c r="T1" i="3" l="1"/>
  <c r="S3" i="3"/>
  <c r="Q7" i="3"/>
  <c r="Q13" i="3" s="1"/>
  <c r="Q14" i="3" s="1"/>
  <c r="R7" i="3" l="1"/>
  <c r="R13" i="3" s="1"/>
  <c r="R14" i="3" s="1"/>
  <c r="T3" i="3"/>
  <c r="U1" i="3"/>
  <c r="U3" i="3" s="1"/>
  <c r="S7" i="3" l="1"/>
  <c r="S13" i="3" s="1"/>
  <c r="S14" i="3" s="1"/>
  <c r="U7" i="3" l="1"/>
  <c r="T7" i="3"/>
  <c r="T13" i="3" s="1"/>
  <c r="T14" i="3" s="1"/>
  <c r="U13" i="3" l="1"/>
  <c r="V7" i="3"/>
  <c r="V13" i="3" l="1"/>
  <c r="V14" i="3" s="1"/>
  <c r="U14" i="3"/>
  <c r="C17" i="3" l="1"/>
  <c r="C18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<sst xmlns="http://schemas.openxmlformats.org/spreadsheetml/2006/main" count="119" uniqueCount="101">
  <si>
    <t>This sheet contains FactSet XML data for use with this workbook's =FDS codes.  Modifying the worksheet's contents may damage the workbook's =FDS functionality.</t>
  </si>
  <si>
    <t>PLTR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</si>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</sst>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5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39" fontId="5" fillId="0" borderId="2" xfId="0" applyNumberFormat="1" applyFon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  <xf numFmtId="44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8671875" defaultRowHeight="14.4" x14ac:dyDescent="0.3"/>
  <sheetData>
    <row r="1" spans="1:2" x14ac:dyDescent="0.3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4" sqref="B14"/>
    </sheetView>
  </sheetViews>
  <sheetFormatPr defaultRowHeight="14.4" x14ac:dyDescent="0.3"/>
  <sheetData>
    <row r="1" spans="1:2" x14ac:dyDescent="0.3">
      <c r="B1" s="73" t="s">
        <v>1</v>
      </c>
    </row>
    <row r="2" spans="1:2" x14ac:dyDescent="0.3">
      <c r="A2" s="73" t="s">
        <v>2</v>
      </c>
      <c r="B2">
        <v>1054074000</v>
      </c>
    </row>
    <row r="3" spans="1:2" x14ac:dyDescent="0.3">
      <c r="A3" s="73" t="s">
        <v>3</v>
      </c>
      <c r="B3">
        <v>214334000</v>
      </c>
    </row>
    <row r="4" spans="1:2" x14ac:dyDescent="0.3">
      <c r="A4" s="73" t="s">
        <v>4</v>
      </c>
      <c r="B4">
        <v>4.924795617788031E-2</v>
      </c>
    </row>
    <row r="5" spans="1:2" x14ac:dyDescent="0.3">
      <c r="A5" s="73" t="s">
        <v>5</v>
      </c>
      <c r="B5">
        <v>4.0964102755512424E-3</v>
      </c>
    </row>
    <row r="6" spans="1:2" x14ac:dyDescent="0.3">
      <c r="A6" s="73" t="s">
        <v>6</v>
      </c>
      <c r="B6">
        <v>0.21</v>
      </c>
    </row>
    <row r="7" spans="1:2" x14ac:dyDescent="0.3">
      <c r="A7" s="73" t="s">
        <v>7</v>
      </c>
      <c r="B7">
        <v>4137806000</v>
      </c>
    </row>
    <row r="8" spans="1:2" x14ac:dyDescent="0.3">
      <c r="A8" s="73" t="s">
        <v>8</v>
      </c>
      <c r="B8">
        <v>0.95075204382211964</v>
      </c>
    </row>
    <row r="9" spans="1:2" x14ac:dyDescent="0.3">
      <c r="A9" s="73" t="s">
        <v>9</v>
      </c>
      <c r="B9">
        <v>0.18022237084210299</v>
      </c>
    </row>
    <row r="10" spans="1:2" x14ac:dyDescent="0.3">
      <c r="A10" s="73" t="s">
        <v>10</v>
      </c>
      <c r="B10">
        <v>4.0710000991821288E-2</v>
      </c>
    </row>
    <row r="11" spans="1:2" x14ac:dyDescent="0.3">
      <c r="A11" s="73" t="s">
        <v>11</v>
      </c>
      <c r="B11">
        <v>2.0134560809246689</v>
      </c>
    </row>
    <row r="12" spans="1:2" x14ac:dyDescent="0.3">
      <c r="A12" s="73" t="s">
        <v>12</v>
      </c>
      <c r="B12">
        <v>6.9289999008178713E-2</v>
      </c>
    </row>
    <row r="13" spans="1:2" x14ac:dyDescent="0.3">
      <c r="A13" s="73" t="s">
        <v>13</v>
      </c>
      <c r="B13">
        <v>0.02</v>
      </c>
    </row>
    <row r="14" spans="1:2" x14ac:dyDescent="0.3">
      <c r="A14" s="73" t="s">
        <v>14</v>
      </c>
      <c r="B14">
        <v>0.17150616188924961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V11" sqref="V11"/>
    </sheetView>
  </sheetViews>
  <sheetFormatPr defaultColWidth="9.5546875" defaultRowHeight="14.4" outlineLevelRow="1" outlineLevelCol="1" x14ac:dyDescent="0.3"/>
  <cols>
    <col min="1" max="1" width="4.109375" customWidth="1"/>
    <col min="2" max="2" width="21.109375" customWidth="1"/>
    <col min="3" max="3" width="10.5546875" customWidth="1"/>
    <col min="4" max="11" width="10.5546875" customWidth="1" outlineLevel="1"/>
    <col min="12" max="22" width="10.5546875" customWidth="1"/>
  </cols>
  <sheetData>
    <row r="1" spans="2:22" hidden="1" outlineLevel="1" x14ac:dyDescent="0.3">
      <c r="C1" s="28"/>
      <c r="D1" s="66">
        <f>Python!A31</f>
        <v>0</v>
      </c>
      <c r="E1" s="66">
        <f>Python!A27</f>
        <v>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" customHeight="1" collapsed="1" x14ac:dyDescent="0.3">
      <c r="C2" s="12"/>
      <c r="D2" s="12"/>
      <c r="E2" s="12"/>
      <c r="F2" s="12"/>
      <c r="G2" s="12"/>
      <c r="H2" s="12"/>
      <c r="J2" s="2"/>
    </row>
    <row r="3" spans="2:22" x14ac:dyDescent="0.3">
      <c r="B3" s="44" t="s">
        <v>15</v>
      </c>
      <c r="C3" s="45"/>
      <c r="D3" s="45">
        <f t="shared" ref="D3:U3" si="1">YEAR(D1)</f>
        <v>1900</v>
      </c>
      <c r="E3" s="45">
        <f t="shared" si="1"/>
        <v>1900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3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36">
        <f>IFERROR(INDEX(Python!$1:$1048576,MATCH(DCF_Simple!G$1,Python!$A:$A,0),MATCH(DCF_Simple!$B4,Python!$1:$1,0))/1000000,0)</f>
        <v>901.11500000000001</v>
      </c>
      <c r="H4" s="36">
        <f>IFERROR(INDEX(Python!$1:$1048576,MATCH(DCF_Simple!H$1,Python!$A:$A,0),MATCH(DCF_Simple!$B4,Python!$1:$1,0))/1000000,0)</f>
        <v>1328.3330000000001</v>
      </c>
      <c r="I4" s="36">
        <f>IFERROR(INDEX(Python!$1:$1048576,MATCH(DCF_Simple!I$1,Python!$A:$A,0),MATCH(DCF_Simple!$B4,Python!$1:$1,0))/1000000,0)</f>
        <v>1744.38</v>
      </c>
      <c r="J4" s="36">
        <f>IFERROR(INDEX(Python!$1:$1048576,MATCH(DCF_Simple!J$1,Python!$A:$A,0),MATCH(DCF_Simple!$B4,Python!$1:$1,0))/1000000,0)</f>
        <v>2045.0070000000001</v>
      </c>
      <c r="K4" s="55">
        <f>IFERROR(INDEX(Python!$1:$1048576,MATCH(DCF_Simple!K$1,Python!$A:$A,0),MATCH(DCF_Simple!$B4,Python!$1:$1,0))/1000000,0)</f>
        <v>2478.9810000000002</v>
      </c>
      <c r="L4" s="37">
        <f t="shared" ref="L4:U4" si="2">K4*(1+L5)</f>
        <v>3113.9656415645009</v>
      </c>
      <c r="M4" s="36">
        <f t="shared" si="2"/>
        <v>3911.5999746848452</v>
      </c>
      <c r="N4" s="36">
        <f t="shared" si="2"/>
        <v>4913.5463017720494</v>
      </c>
      <c r="O4" s="36">
        <f t="shared" si="2"/>
        <v>6172.1386174216259</v>
      </c>
      <c r="P4" s="36">
        <f t="shared" si="2"/>
        <v>7753.1161350669336</v>
      </c>
      <c r="Q4" s="36">
        <f t="shared" si="2"/>
        <v>9739.0569994920425</v>
      </c>
      <c r="R4" s="36">
        <f t="shared" si="2"/>
        <v>12233.69153602084</v>
      </c>
      <c r="S4" s="36">
        <f t="shared" si="2"/>
        <v>15367.32032745202</v>
      </c>
      <c r="T4" s="36">
        <f t="shared" si="2"/>
        <v>19303.620117540762</v>
      </c>
      <c r="U4" s="36">
        <f t="shared" si="2"/>
        <v>24248.193029246784</v>
      </c>
      <c r="V4" s="19">
        <f>U4</f>
        <v>24248.193029246784</v>
      </c>
    </row>
    <row r="5" spans="2:22" s="1" customFormat="1" x14ac:dyDescent="0.3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 t="str">
        <f t="shared" si="3"/>
        <v/>
      </c>
      <c r="H5" s="42">
        <f t="shared" si="3"/>
        <v>0.47409931029890751</v>
      </c>
      <c r="I5" s="42">
        <f t="shared" si="3"/>
        <v>0.31320986529733141</v>
      </c>
      <c r="J5" s="42">
        <f t="shared" si="3"/>
        <v>0.17234031575688769</v>
      </c>
      <c r="K5" s="58">
        <f t="shared" si="3"/>
        <v>0.21221149854254784</v>
      </c>
      <c r="L5" s="43">
        <f>Python!F2</f>
        <v>0.25614744185796517</v>
      </c>
      <c r="M5" s="43">
        <f>L5</f>
        <v>0.25614744185796517</v>
      </c>
      <c r="N5" s="38">
        <f t="shared" ref="N5:U5" si="4">M5</f>
        <v>0.25614744185796517</v>
      </c>
      <c r="O5" s="38">
        <f t="shared" si="4"/>
        <v>0.25614744185796517</v>
      </c>
      <c r="P5" s="38">
        <f t="shared" si="4"/>
        <v>0.25614744185796517</v>
      </c>
      <c r="Q5" s="38">
        <f t="shared" si="4"/>
        <v>0.25614744185796517</v>
      </c>
      <c r="R5" s="38">
        <f t="shared" si="4"/>
        <v>0.25614744185796517</v>
      </c>
      <c r="S5" s="38">
        <f t="shared" si="4"/>
        <v>0.25614744185796517</v>
      </c>
      <c r="T5" s="38">
        <f t="shared" si="4"/>
        <v>0.25614744185796517</v>
      </c>
      <c r="U5" s="38">
        <f t="shared" si="4"/>
        <v>0.25614744185796517</v>
      </c>
      <c r="V5" s="20"/>
    </row>
    <row r="6" spans="2:22" s="1" customFormat="1" ht="7.5" customHeight="1" x14ac:dyDescent="0.3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3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0</v>
      </c>
      <c r="G7" s="52">
        <f>IFERROR(INDEX(Python!$1:$1048576,MATCH(DCF_Simple!G$1,Python!$A:$A,0),MATCH(DCF_Simple!$B7,Python!$1:$1,0))/1000000,0)</f>
        <v>-62.981999999999999</v>
      </c>
      <c r="H7" s="52">
        <f>IFERROR(INDEX(Python!$1:$1048576,MATCH(DCF_Simple!H$1,Python!$A:$A,0),MATCH(DCF_Simple!$B7,Python!$1:$1,0))/1000000,0)</f>
        <v>61.656999999999996</v>
      </c>
      <c r="I7" s="52">
        <f>IFERROR(INDEX(Python!$1:$1048576,MATCH(DCF_Simple!I$1,Python!$A:$A,0),MATCH(DCF_Simple!$B7,Python!$1:$1,0))/1000000,0)</f>
        <v>260.233</v>
      </c>
      <c r="J7" s="52">
        <f>IFERROR(INDEX(Python!$1:$1048576,MATCH(DCF_Simple!J$1,Python!$A:$A,0),MATCH(DCF_Simple!$B7,Python!$1:$1,0))/1000000,0)</f>
        <v>375.35399999999998</v>
      </c>
      <c r="K7" s="57">
        <f>IFERROR(INDEX(Python!$1:$1048576,MATCH(DCF_Simple!K$1,Python!$A:$A,0),MATCH(DCF_Simple!$B7,Python!$1:$1,0))/1000000,0)</f>
        <v>696.41300000000001</v>
      </c>
      <c r="L7" s="64">
        <f t="shared" ref="L7:U7" si="5">L8*L4</f>
        <v>902.82309920071168</v>
      </c>
      <c r="M7" s="64">
        <f t="shared" si="5"/>
        <v>1212.3109260049509</v>
      </c>
      <c r="N7" s="64">
        <f t="shared" si="5"/>
        <v>1621.112194473021</v>
      </c>
      <c r="O7" s="64">
        <f t="shared" si="5"/>
        <v>2159.7987084004703</v>
      </c>
      <c r="P7" s="64">
        <f t="shared" si="5"/>
        <v>2868.0879451867272</v>
      </c>
      <c r="Q7" s="64">
        <f t="shared" si="5"/>
        <v>3797.5224753598159</v>
      </c>
      <c r="R7" s="64">
        <f t="shared" si="5"/>
        <v>5014.9219735417782</v>
      </c>
      <c r="S7" s="64">
        <f t="shared" si="5"/>
        <v>6606.8278147308438</v>
      </c>
      <c r="T7" s="64">
        <f t="shared" si="5"/>
        <v>8685.2222606210144</v>
      </c>
      <c r="U7" s="64">
        <f t="shared" si="5"/>
        <v>11394.883585231879</v>
      </c>
      <c r="V7" s="65">
        <f>U7</f>
        <v>11394.883585231879</v>
      </c>
    </row>
    <row r="8" spans="2:22" s="1" customFormat="1" x14ac:dyDescent="0.3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 t="str">
        <f t="shared" si="6"/>
        <v/>
      </c>
      <c r="G8" s="42">
        <f t="shared" si="6"/>
        <v>-6.9893409831153622E-2</v>
      </c>
      <c r="H8" s="42">
        <f t="shared" si="6"/>
        <v>4.6416824696819244E-2</v>
      </c>
      <c r="I8" s="42">
        <f t="shared" si="6"/>
        <v>0.14918366410988432</v>
      </c>
      <c r="J8" s="42">
        <f t="shared" si="6"/>
        <v>0.18354655998732522</v>
      </c>
      <c r="K8" s="58">
        <f t="shared" si="6"/>
        <v>0.28092712287831167</v>
      </c>
      <c r="L8" s="38">
        <f>K8+0.009</f>
        <v>0.28992712287831168</v>
      </c>
      <c r="M8" s="38">
        <f>L8+0.02</f>
        <v>0.3099271228783117</v>
      </c>
      <c r="N8" s="38">
        <f t="shared" ref="N8:U8" si="7">M8+0.02</f>
        <v>0.32992712287831172</v>
      </c>
      <c r="O8" s="38">
        <f t="shared" si="7"/>
        <v>0.34992712287831174</v>
      </c>
      <c r="P8" s="38">
        <f t="shared" si="7"/>
        <v>0.36992712287831175</v>
      </c>
      <c r="Q8" s="38">
        <f t="shared" si="7"/>
        <v>0.38992712287831177</v>
      </c>
      <c r="R8" s="38">
        <f t="shared" si="7"/>
        <v>0.40992712287831179</v>
      </c>
      <c r="S8" s="38">
        <f t="shared" si="7"/>
        <v>0.42992712287831181</v>
      </c>
      <c r="T8" s="38">
        <f t="shared" si="7"/>
        <v>0.44992712287831182</v>
      </c>
      <c r="U8" s="38">
        <f t="shared" si="7"/>
        <v>0.46992712287831184</v>
      </c>
      <c r="V8" s="20"/>
    </row>
    <row r="9" spans="2:22" s="1" customFormat="1" ht="7.5" customHeight="1" x14ac:dyDescent="0.3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3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571.41291100000001</v>
      </c>
      <c r="G10" s="17">
        <f>IFERROR(INDEX(Python!$1:$1048576,MATCH(DCF_Simple!G$1,Python!$A:$A,0),MATCH(DCF_Simple!$B10,Python!$1:$1,0))/1000000,0)</f>
        <v>1587.519272</v>
      </c>
      <c r="H10" s="17">
        <f>IFERROR(INDEX(Python!$1:$1048576,MATCH(DCF_Simple!H$1,Python!$A:$A,0),MATCH(DCF_Simple!$B10,Python!$1:$1,0))/1000000,0)</f>
        <v>1894.606</v>
      </c>
      <c r="I10" s="17">
        <f>IFERROR(INDEX(Python!$1:$1048576,MATCH(DCF_Simple!I$1,Python!$A:$A,0),MATCH(DCF_Simple!$B10,Python!$1:$1,0))/1000000,0)</f>
        <v>2054.799</v>
      </c>
      <c r="J10" s="17">
        <f>IFERROR(INDEX(Python!$1:$1048576,MATCH(DCF_Simple!J$1,Python!$A:$A,0),MATCH(DCF_Simple!$B10,Python!$1:$1,0))/1000000,0)</f>
        <v>2278.1550000000002</v>
      </c>
      <c r="K10" s="69">
        <f>IFERROR(INDEX(Python!$1:$1048576,MATCH(DCF_Simple!K$1,Python!$A:$A,0),MATCH(DCF_Simple!$B10,Python!$1:$1,0))/1000000,0)</f>
        <v>2414.6959999999999</v>
      </c>
      <c r="L10" s="17">
        <f t="shared" ref="L10:U10" si="8">K10*(1+L11)</f>
        <v>2487.13688</v>
      </c>
      <c r="M10" s="17">
        <f t="shared" si="8"/>
        <v>2536.8796176000001</v>
      </c>
      <c r="N10" s="17">
        <f t="shared" si="8"/>
        <v>2562.2484137760002</v>
      </c>
      <c r="O10" s="17">
        <f t="shared" si="8"/>
        <v>2562.2484137760002</v>
      </c>
      <c r="P10" s="17">
        <f t="shared" si="8"/>
        <v>2562.2484137760002</v>
      </c>
      <c r="Q10" s="17">
        <f t="shared" si="8"/>
        <v>2511.0034455004802</v>
      </c>
      <c r="R10" s="17">
        <f t="shared" si="8"/>
        <v>2460.7833765904707</v>
      </c>
      <c r="S10" s="17">
        <f t="shared" si="8"/>
        <v>2411.5677090586614</v>
      </c>
      <c r="T10" s="17">
        <f t="shared" si="8"/>
        <v>2363.3363548774882</v>
      </c>
      <c r="U10" s="17">
        <f t="shared" si="8"/>
        <v>2316.0696277799384</v>
      </c>
      <c r="V10" s="70">
        <f>U10</f>
        <v>2316.0696277799384</v>
      </c>
    </row>
    <row r="11" spans="2:22" s="1" customFormat="1" x14ac:dyDescent="0.3">
      <c r="B11" s="10" t="s">
        <v>22</v>
      </c>
      <c r="C11" s="42"/>
      <c r="D11" s="42"/>
      <c r="E11" s="42" t="str">
        <f t="shared" ref="E11:K11" si="9">IFERROR(E10/D10-1,"")</f>
        <v/>
      </c>
      <c r="F11" s="42" t="str">
        <f t="shared" si="9"/>
        <v/>
      </c>
      <c r="G11" s="42">
        <f t="shared" si="9"/>
        <v>1.7782348656101683</v>
      </c>
      <c r="H11" s="42">
        <f t="shared" si="9"/>
        <v>0.1934381102744811</v>
      </c>
      <c r="I11" s="42">
        <f t="shared" si="9"/>
        <v>8.4552144350857006E-2</v>
      </c>
      <c r="J11" s="42">
        <f t="shared" si="9"/>
        <v>0.10869968303469113</v>
      </c>
      <c r="K11" s="58">
        <f t="shared" si="9"/>
        <v>5.9934903463548128E-2</v>
      </c>
      <c r="L11" s="67">
        <v>0.03</v>
      </c>
      <c r="M11" s="67">
        <v>0.02</v>
      </c>
      <c r="N11" s="67">
        <v>0.01</v>
      </c>
      <c r="O11" s="67">
        <v>0</v>
      </c>
      <c r="P11" s="67">
        <f t="shared" ref="P11:U11" si="10">O11</f>
        <v>0</v>
      </c>
      <c r="Q11" s="67">
        <v>-0.02</v>
      </c>
      <c r="R11" s="67">
        <f t="shared" si="10"/>
        <v>-0.02</v>
      </c>
      <c r="S11" s="67">
        <f t="shared" si="10"/>
        <v>-0.02</v>
      </c>
      <c r="T11" s="67">
        <f t="shared" si="10"/>
        <v>-0.02</v>
      </c>
      <c r="U11" s="67">
        <f t="shared" si="10"/>
        <v>-0.02</v>
      </c>
      <c r="V11" s="68"/>
    </row>
    <row r="12" spans="2:22" s="1" customFormat="1" ht="7.5" customHeight="1" x14ac:dyDescent="0.3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3">
      <c r="B13" s="49" t="s">
        <v>23</v>
      </c>
      <c r="C13" s="53"/>
      <c r="D13" s="53">
        <f t="shared" ref="D13:K13" si="11">IFERROR(D7/D10,0)</f>
        <v>0</v>
      </c>
      <c r="E13" s="53">
        <f t="shared" si="11"/>
        <v>0</v>
      </c>
      <c r="F13" s="53">
        <f t="shared" si="11"/>
        <v>0</v>
      </c>
      <c r="G13" s="53">
        <f t="shared" si="11"/>
        <v>-3.9673219160768713E-2</v>
      </c>
      <c r="H13" s="53">
        <f t="shared" si="11"/>
        <v>3.2543441749894174E-2</v>
      </c>
      <c r="I13" s="53">
        <f t="shared" si="11"/>
        <v>0.12664645057740442</v>
      </c>
      <c r="J13" s="53">
        <f t="shared" si="11"/>
        <v>0.16476227473547672</v>
      </c>
      <c r="K13" s="59">
        <f t="shared" si="11"/>
        <v>0.28840607678979052</v>
      </c>
      <c r="L13" s="53">
        <f t="shared" ref="L13:U13" si="12">L7/L10</f>
        <v>0.36299694900616475</v>
      </c>
      <c r="M13" s="53">
        <f t="shared" si="12"/>
        <v>0.47787483394732405</v>
      </c>
      <c r="N13" s="53">
        <f t="shared" si="12"/>
        <v>0.63269126668478592</v>
      </c>
      <c r="O13" s="53">
        <f t="shared" si="12"/>
        <v>0.84293103540946779</v>
      </c>
      <c r="P13" s="53">
        <f t="shared" si="12"/>
        <v>1.1193637313877811</v>
      </c>
      <c r="Q13" s="53">
        <f t="shared" si="12"/>
        <v>1.5123525545791967</v>
      </c>
      <c r="R13" s="53">
        <f t="shared" si="12"/>
        <v>2.0379371956300294</v>
      </c>
      <c r="S13" s="53">
        <f t="shared" si="12"/>
        <v>2.7396401892069506</v>
      </c>
      <c r="T13" s="53">
        <f t="shared" si="12"/>
        <v>3.6749835641026403</v>
      </c>
      <c r="U13" s="53">
        <f t="shared" si="12"/>
        <v>4.9199227210428944</v>
      </c>
      <c r="V13" s="72">
        <f>U13*(1+WACC!$B$13)/(WACC!$B$14-WACC!$B$13)</f>
        <v>33.122884989536757</v>
      </c>
    </row>
    <row r="14" spans="2:22" ht="15.75" customHeight="1" thickBot="1" x14ac:dyDescent="0.35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0.30985492079766058</v>
      </c>
      <c r="M14" s="62">
        <f>M13/((1+WACC!$B$14)^(M3-$K$3))</f>
        <v>0.34819698447570119</v>
      </c>
      <c r="N14" s="62">
        <f>N13/((1+WACC!$B$14)^(N3-$K$3))</f>
        <v>0.39351211550463677</v>
      </c>
      <c r="O14" s="62">
        <f>O13/((1+WACC!$B$14)^(O3-$K$3))</f>
        <v>0.44752132535479056</v>
      </c>
      <c r="P14" s="62">
        <f>P13/((1+WACC!$B$14)^(P3-$K$3))</f>
        <v>0.50728070643423118</v>
      </c>
      <c r="Q14" s="62">
        <f>Q13/((1+WACC!$B$14)^(Q3-$K$3))</f>
        <v>0.58504002745681827</v>
      </c>
      <c r="R14" s="62">
        <f>R13/((1+WACC!$B$14)^(R3-$K$3))</f>
        <v>0.67294373654445627</v>
      </c>
      <c r="S14" s="62">
        <f>S13/((1+WACC!$B$14)^(S3-$K$3))</f>
        <v>0.77221264787256139</v>
      </c>
      <c r="T14" s="62">
        <f>T13/((1+WACC!$B$14)^(T3-$K$3))</f>
        <v>0.88420752357230159</v>
      </c>
      <c r="U14" s="62">
        <f>U13/((1+WACC!$B$14)^(U3-$K$3))</f>
        <v>1.0104446034924257</v>
      </c>
      <c r="V14" s="63">
        <f>V13/((1+WACC!$B$14)^(U3-$K$3))</f>
        <v>6.8027166863066446</v>
      </c>
    </row>
    <row r="15" spans="2:22" ht="15.75" customHeight="1" thickTop="1" x14ac:dyDescent="0.3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3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3">
      <c r="B17" s="9" t="s">
        <v>25</v>
      </c>
      <c r="C17" s="31">
        <f>V14</f>
        <v>6.8027166863066446</v>
      </c>
      <c r="L17" s="16">
        <f>C17/$C$19</f>
        <v>0.5342196795234625</v>
      </c>
      <c r="O17" s="18"/>
    </row>
    <row r="18" spans="2:22" x14ac:dyDescent="0.3">
      <c r="B18" s="8" t="s">
        <v>26</v>
      </c>
      <c r="C18" s="32">
        <f>SUM(14:14)-V14</f>
        <v>5.9312145915055838</v>
      </c>
      <c r="K18" s="3"/>
      <c r="L18" s="16">
        <f>C18/$C$19</f>
        <v>0.46578032047653745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3">
      <c r="B19" s="5" t="s">
        <v>27</v>
      </c>
      <c r="C19" s="33">
        <f>C17+C18</f>
        <v>12.733931277812228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  <c r="U19" s="74"/>
    </row>
    <row r="20" spans="2:22" x14ac:dyDescent="0.3">
      <c r="B20" s="6" t="s">
        <v>28</v>
      </c>
      <c r="C20" s="71">
        <f>Python!C3/1000000/K10</f>
        <v>0.28840607678979052</v>
      </c>
      <c r="G20" s="14"/>
      <c r="H20" s="14"/>
      <c r="N20" s="14"/>
    </row>
    <row r="21" spans="2:22" x14ac:dyDescent="0.3">
      <c r="B21" s="7" t="s">
        <v>29</v>
      </c>
      <c r="C21" s="32">
        <f>WACC!B3/1000000/K10</f>
        <v>8.8762312108853464E-2</v>
      </c>
      <c r="F21" s="14"/>
      <c r="G21" s="14"/>
      <c r="H21" s="14"/>
    </row>
    <row r="22" spans="2:22" ht="15.75" customHeight="1" thickBot="1" x14ac:dyDescent="0.35">
      <c r="B22" s="34" t="s">
        <v>30</v>
      </c>
      <c r="C22" s="61">
        <f>C19+C20-C21</f>
        <v>12.933575042493166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3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selection activeCell="D24" sqref="D24"/>
    </sheetView>
  </sheetViews>
  <sheetFormatPr defaultRowHeight="14.4" x14ac:dyDescent="0.3"/>
  <cols>
    <col min="1" max="1" width="15" bestFit="1" customWidth="1"/>
    <col min="2" max="2" width="16.109375" bestFit="1" customWidth="1"/>
    <col min="3" max="3" width="18.33203125" bestFit="1" customWidth="1"/>
    <col min="4" max="4" width="24.77734375" bestFit="1" customWidth="1"/>
    <col min="5" max="5" width="19.109375" bestFit="1" customWidth="1"/>
    <col min="6" max="6" width="25.21875" bestFit="1" customWidth="1"/>
  </cols>
  <sheetData>
    <row r="1" spans="1:6" x14ac:dyDescent="0.3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3">
      <c r="A2" s="73" t="s">
        <v>33</v>
      </c>
      <c r="F2" s="16">
        <v>0.25614744185796517</v>
      </c>
    </row>
    <row r="3" spans="1:6" x14ac:dyDescent="0.3">
      <c r="A3" s="73" t="s">
        <v>34</v>
      </c>
      <c r="B3" s="17">
        <v>2478981000</v>
      </c>
      <c r="C3" s="17">
        <v>696413000</v>
      </c>
      <c r="D3" s="17">
        <v>2414696000</v>
      </c>
      <c r="E3" s="17">
        <v>3998459000</v>
      </c>
      <c r="F3" s="16">
        <v>0.22484197953562329</v>
      </c>
    </row>
    <row r="4" spans="1:6" x14ac:dyDescent="0.3">
      <c r="A4" s="73" t="s">
        <v>35</v>
      </c>
      <c r="B4" s="17">
        <v>2334164000</v>
      </c>
      <c r="C4" s="17">
        <v>641363000</v>
      </c>
      <c r="D4" s="17">
        <v>2400107000</v>
      </c>
      <c r="E4" s="17">
        <v>3867900000</v>
      </c>
      <c r="F4" s="16">
        <v>0.17176785748287271</v>
      </c>
    </row>
    <row r="5" spans="1:6" x14ac:dyDescent="0.3">
      <c r="A5" s="73" t="s">
        <v>36</v>
      </c>
      <c r="B5" s="17">
        <v>2225012000</v>
      </c>
      <c r="C5" s="17">
        <v>697069000</v>
      </c>
      <c r="D5" s="17">
        <v>2357742000</v>
      </c>
      <c r="E5" s="17">
        <v>3674549000</v>
      </c>
      <c r="F5" s="16">
        <v>0.18530585461952251</v>
      </c>
    </row>
    <row r="6" spans="1:6" x14ac:dyDescent="0.3">
      <c r="A6" s="73" t="s">
        <v>37</v>
      </c>
      <c r="B6" s="17">
        <v>2125286000</v>
      </c>
      <c r="C6" s="17">
        <v>474602000</v>
      </c>
      <c r="D6" s="17">
        <v>2325600000</v>
      </c>
      <c r="E6" s="17">
        <v>3283574000</v>
      </c>
      <c r="F6" s="16">
        <v>0.16213275299238311</v>
      </c>
    </row>
    <row r="7" spans="1:6" x14ac:dyDescent="0.3">
      <c r="A7" s="73" t="s">
        <v>38</v>
      </c>
      <c r="B7" s="17">
        <v>2045007000</v>
      </c>
      <c r="C7" s="17">
        <v>375354000</v>
      </c>
      <c r="D7" s="17">
        <v>2278155000</v>
      </c>
      <c r="E7" s="17">
        <v>3103252000</v>
      </c>
      <c r="F7" s="16">
        <v>0.12621297646984209</v>
      </c>
    </row>
    <row r="8" spans="1:6" x14ac:dyDescent="0.3">
      <c r="A8" s="73" t="s">
        <v>39</v>
      </c>
      <c r="B8" s="17">
        <v>1984700000</v>
      </c>
      <c r="C8" s="17">
        <v>346069000</v>
      </c>
      <c r="D8" s="17">
        <v>2217439000</v>
      </c>
      <c r="E8" s="17">
        <v>2904535000</v>
      </c>
      <c r="F8" s="16">
        <v>0.13272559856796251</v>
      </c>
    </row>
    <row r="9" spans="1:6" x14ac:dyDescent="0.3">
      <c r="A9" s="73" t="s">
        <v>40</v>
      </c>
      <c r="B9" s="17">
        <v>1905871000</v>
      </c>
      <c r="C9" s="17">
        <v>183710000</v>
      </c>
      <c r="D9" s="17">
        <v>2203733000</v>
      </c>
      <c r="E9" s="17">
        <v>2633675000</v>
      </c>
      <c r="F9" s="16">
        <v>0.16028710897342591</v>
      </c>
    </row>
    <row r="10" spans="1:6" x14ac:dyDescent="0.3">
      <c r="A10" s="73" t="s">
        <v>41</v>
      </c>
      <c r="B10" s="17">
        <v>1830114000</v>
      </c>
      <c r="C10" s="17">
        <v>197448000</v>
      </c>
      <c r="D10" s="17">
        <v>2073264999</v>
      </c>
      <c r="E10" s="17">
        <v>2468632000</v>
      </c>
      <c r="F10" s="16"/>
    </row>
    <row r="11" spans="1:6" x14ac:dyDescent="0.3">
      <c r="A11" s="73" t="s">
        <v>42</v>
      </c>
      <c r="B11" s="17">
        <v>1744380000</v>
      </c>
      <c r="C11" s="17">
        <v>260233000</v>
      </c>
      <c r="D11" s="17">
        <v>2054799000</v>
      </c>
      <c r="E11" s="17">
        <v>2457603000</v>
      </c>
      <c r="F11" s="16"/>
    </row>
    <row r="12" spans="1:6" x14ac:dyDescent="0.3">
      <c r="A12" s="73" t="s">
        <v>43</v>
      </c>
      <c r="B12" s="17">
        <v>1647012000</v>
      </c>
      <c r="C12" s="17">
        <v>225313000</v>
      </c>
      <c r="D12" s="17">
        <v>2036307000</v>
      </c>
      <c r="E12" s="17">
        <v>2521974000</v>
      </c>
      <c r="F12" s="16">
        <v>0.76589070842882001</v>
      </c>
    </row>
    <row r="13" spans="1:6" x14ac:dyDescent="0.3">
      <c r="A13" s="73" t="s">
        <v>44</v>
      </c>
      <c r="B13" s="17">
        <v>1541889000</v>
      </c>
      <c r="C13" s="17">
        <v>321224000</v>
      </c>
      <c r="D13" s="17">
        <v>2011764000</v>
      </c>
      <c r="E13" s="17">
        <v>2524827000</v>
      </c>
      <c r="F13" s="16">
        <v>0.28531998720858393</v>
      </c>
    </row>
    <row r="14" spans="1:6" x14ac:dyDescent="0.3">
      <c r="A14" s="73" t="s">
        <v>45</v>
      </c>
      <c r="B14" s="17">
        <v>1431113000</v>
      </c>
      <c r="C14" s="17">
        <v>210592000</v>
      </c>
      <c r="D14" s="17">
        <v>1964395000</v>
      </c>
      <c r="E14" s="17">
        <v>2483145000</v>
      </c>
      <c r="F14" s="16">
        <v>0.33056406073968603</v>
      </c>
    </row>
    <row r="15" spans="1:6" x14ac:dyDescent="0.3">
      <c r="A15" s="73" t="s">
        <v>46</v>
      </c>
      <c r="B15" s="17">
        <v>1328333000</v>
      </c>
      <c r="C15" s="17">
        <v>61657000</v>
      </c>
      <c r="D15" s="17">
        <v>1894606000</v>
      </c>
      <c r="E15" s="17">
        <v>2341156000</v>
      </c>
      <c r="F15" s="16">
        <v>0.39859223705679891</v>
      </c>
    </row>
    <row r="16" spans="1:6" x14ac:dyDescent="0.3">
      <c r="A16" s="73" t="s">
        <v>47</v>
      </c>
      <c r="B16" s="17">
        <v>1204580000</v>
      </c>
      <c r="C16" s="17">
        <v>97529000</v>
      </c>
      <c r="D16" s="17">
        <v>1821158000</v>
      </c>
      <c r="E16" s="17">
        <v>2339437000</v>
      </c>
      <c r="F16" s="16">
        <v>0.48798004596057171</v>
      </c>
    </row>
    <row r="17" spans="1:6" x14ac:dyDescent="0.3">
      <c r="A17" s="73" t="s">
        <v>48</v>
      </c>
      <c r="B17" s="17">
        <v>1092673000</v>
      </c>
      <c r="C17" s="17">
        <v>-308844000</v>
      </c>
      <c r="D17" s="17">
        <v>1792139544</v>
      </c>
      <c r="E17" s="17">
        <v>2011323000</v>
      </c>
      <c r="F17" s="16">
        <v>0.40431551984234249</v>
      </c>
    </row>
    <row r="18" spans="1:6" x14ac:dyDescent="0.3">
      <c r="A18" s="73" t="s">
        <v>49</v>
      </c>
      <c r="B18" s="17">
        <v>999940000</v>
      </c>
      <c r="C18" s="17">
        <v>46889000</v>
      </c>
      <c r="D18" s="17">
        <v>905462000</v>
      </c>
      <c r="E18" s="17">
        <v>1800190000</v>
      </c>
      <c r="F18" s="16"/>
    </row>
    <row r="19" spans="1:6" x14ac:dyDescent="0.3">
      <c r="A19" s="73" t="s">
        <v>50</v>
      </c>
      <c r="B19" s="17">
        <v>901115000</v>
      </c>
      <c r="C19" s="17">
        <v>-62982000</v>
      </c>
      <c r="D19" s="17">
        <v>1587519272</v>
      </c>
      <c r="E19" s="17">
        <v>1497591000</v>
      </c>
      <c r="F19" s="16"/>
    </row>
    <row r="20" spans="1:6" x14ac:dyDescent="0.3">
      <c r="A20" s="73" t="s">
        <v>51</v>
      </c>
      <c r="B20" s="17">
        <v>825546000</v>
      </c>
      <c r="C20" s="17">
        <v>-294709000</v>
      </c>
      <c r="D20" s="17">
        <v>905462000</v>
      </c>
      <c r="E20" s="17">
        <v>1079154000</v>
      </c>
      <c r="F20" s="16"/>
    </row>
    <row r="21" spans="1:6" x14ac:dyDescent="0.3">
      <c r="A21" s="73" t="s">
        <v>52</v>
      </c>
      <c r="B21" s="17">
        <v>757547000</v>
      </c>
      <c r="C21" s="17">
        <v>-178311000</v>
      </c>
      <c r="D21" s="17">
        <v>905462000</v>
      </c>
      <c r="E21" s="17">
        <v>1079154000</v>
      </c>
      <c r="F21" s="16"/>
    </row>
    <row r="22" spans="1:6" x14ac:dyDescent="0.3">
      <c r="A22" s="73" t="s">
        <v>53</v>
      </c>
      <c r="B22" s="17"/>
      <c r="C22" s="17"/>
      <c r="D22" s="17">
        <v>905462000</v>
      </c>
      <c r="E22" s="17"/>
      <c r="F22" s="16"/>
    </row>
    <row r="23" spans="1:6" x14ac:dyDescent="0.3">
      <c r="A23" s="73" t="s">
        <v>54</v>
      </c>
      <c r="B23" s="17"/>
      <c r="C23" s="17"/>
      <c r="D23" s="17">
        <v>571412911</v>
      </c>
      <c r="E23" s="17"/>
      <c r="F23" s="16"/>
    </row>
    <row r="24" spans="1:6" x14ac:dyDescent="0.3">
      <c r="A24" s="73" t="s">
        <v>55</v>
      </c>
      <c r="B24" s="17"/>
      <c r="C24" s="17"/>
      <c r="D24" s="17">
        <v>571412911</v>
      </c>
      <c r="E24" s="17">
        <v>1116342000</v>
      </c>
      <c r="F24" s="1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4.4" x14ac:dyDescent="0.3"/>
  <cols>
    <col min="1" max="1" width="10.44140625" bestFit="1" customWidth="1"/>
    <col min="2" max="2" width="7.5546875" bestFit="1" customWidth="1"/>
    <col min="18" max="18" width="20" bestFit="1" customWidth="1"/>
  </cols>
  <sheetData>
    <row r="1" spans="1:46" x14ac:dyDescent="0.3">
      <c r="A1" s="27" t="s">
        <v>56</v>
      </c>
      <c r="B1" s="27" t="s">
        <v>57</v>
      </c>
      <c r="C1" t="s">
        <v>58</v>
      </c>
      <c r="D1" t="s">
        <v>59</v>
      </c>
      <c r="F1" s="27" t="s">
        <v>57</v>
      </c>
      <c r="G1" t="s">
        <v>58</v>
      </c>
      <c r="H1" t="s">
        <v>59</v>
      </c>
      <c r="J1" t="s">
        <v>60</v>
      </c>
      <c r="K1" t="s">
        <v>58</v>
      </c>
      <c r="L1" t="s">
        <v>59</v>
      </c>
      <c r="N1" t="s">
        <v>61</v>
      </c>
      <c r="O1" t="s">
        <v>58</v>
      </c>
      <c r="P1" t="s">
        <v>59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3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3">
      <c r="A3" s="27" t="s">
        <v>62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3">
      <c r="A4" s="27" t="s">
        <v>63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3">
      <c r="A5" s="27" t="s">
        <v>64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3">
      <c r="A6" s="27" t="s">
        <v>65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66</v>
      </c>
    </row>
    <row r="7" spans="1:46" x14ac:dyDescent="0.3">
      <c r="A7" s="27" t="s">
        <v>67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68</v>
      </c>
    </row>
    <row r="8" spans="1:46" x14ac:dyDescent="0.3">
      <c r="A8" s="27" t="s">
        <v>69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3">
      <c r="A9" s="27" t="s">
        <v>70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71</v>
      </c>
    </row>
    <row r="10" spans="1:46" x14ac:dyDescent="0.3">
      <c r="A10" s="27" t="s">
        <v>72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73</v>
      </c>
    </row>
    <row r="11" spans="1:46" x14ac:dyDescent="0.3">
      <c r="A11" s="27" t="s">
        <v>74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3">
      <c r="A12" s="27" t="s">
        <v>75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3">
      <c r="A13" s="27" t="s">
        <v>76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3">
      <c r="A14" s="27" t="s">
        <v>77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78</v>
      </c>
    </row>
    <row r="15" spans="1:46" x14ac:dyDescent="0.3">
      <c r="A15" s="27" t="s">
        <v>79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3">
      <c r="A16" s="27" t="s">
        <v>80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3">
      <c r="A17" s="27" t="s">
        <v>81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3">
      <c r="A18" s="27" t="s">
        <v>82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3">
      <c r="A19" s="27" t="s">
        <v>83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3">
      <c r="A20" s="27" t="s">
        <v>84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3">
      <c r="A21" s="27" t="s">
        <v>85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3">
      <c r="A22" s="27" t="s">
        <v>86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3">
      <c r="A23" s="27" t="s">
        <v>87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3">
      <c r="A24" s="27" t="s">
        <v>88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3">
      <c r="A25" s="27" t="s">
        <v>89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3">
      <c r="A26" s="27" t="s">
        <v>90</v>
      </c>
      <c r="J26">
        <v>0.61799999999999999</v>
      </c>
      <c r="N26">
        <v>-0.36399999999999999</v>
      </c>
    </row>
    <row r="27" spans="1:17" x14ac:dyDescent="0.3">
      <c r="A27" s="27" t="s">
        <v>91</v>
      </c>
    </row>
    <row r="28" spans="1:17" x14ac:dyDescent="0.3">
      <c r="A28" s="27" t="s">
        <v>92</v>
      </c>
    </row>
    <row r="29" spans="1:17" x14ac:dyDescent="0.3">
      <c r="A29" s="27" t="s">
        <v>93</v>
      </c>
    </row>
    <row r="31" spans="1:17" x14ac:dyDescent="0.3">
      <c r="A31" s="26" t="s">
        <v>94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3">
      <c r="A32" s="26" t="s">
        <v>95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4" x14ac:dyDescent="0.3"/>
  <sheetData>
    <row r="1" spans="1:5" x14ac:dyDescent="0.3">
      <c r="B1" s="73" t="s">
        <v>96</v>
      </c>
      <c r="C1" s="73" t="s">
        <v>97</v>
      </c>
      <c r="D1" s="73" t="s">
        <v>11</v>
      </c>
      <c r="E1" s="73" t="s">
        <v>9</v>
      </c>
    </row>
    <row r="2" spans="1:5" x14ac:dyDescent="0.3">
      <c r="A2" s="73">
        <v>0</v>
      </c>
      <c r="B2">
        <v>3</v>
      </c>
      <c r="C2" t="s">
        <v>98</v>
      </c>
      <c r="D2">
        <v>1.718766133331449</v>
      </c>
      <c r="E2">
        <v>0.1598033046656486</v>
      </c>
    </row>
    <row r="3" spans="1:5" x14ac:dyDescent="0.3">
      <c r="A3" s="73">
        <v>1</v>
      </c>
      <c r="B3">
        <v>3</v>
      </c>
      <c r="C3" t="s">
        <v>99</v>
      </c>
      <c r="D3">
        <v>2.010871462624213</v>
      </c>
      <c r="E3">
        <v>0.18004328264262789</v>
      </c>
    </row>
    <row r="4" spans="1:5" x14ac:dyDescent="0.3">
      <c r="A4" s="73">
        <v>2</v>
      </c>
      <c r="B4">
        <v>3</v>
      </c>
      <c r="C4" t="s">
        <v>100</v>
      </c>
      <c r="D4">
        <v>2.1432800785834449</v>
      </c>
      <c r="E4">
        <v>0.18921787551111741</v>
      </c>
    </row>
    <row r="5" spans="1:5" x14ac:dyDescent="0.3">
      <c r="A5" s="73">
        <v>3</v>
      </c>
      <c r="B5">
        <v>5</v>
      </c>
      <c r="C5" t="s">
        <v>98</v>
      </c>
      <c r="D5">
        <v>2.7118544138660519</v>
      </c>
      <c r="E5">
        <v>0.22861439063892511</v>
      </c>
    </row>
    <row r="6" spans="1:5" x14ac:dyDescent="0.3">
      <c r="A6" s="73">
        <v>4</v>
      </c>
      <c r="B6">
        <v>5</v>
      </c>
      <c r="C6" t="s">
        <v>99</v>
      </c>
      <c r="D6">
        <v>2.0160406992251252</v>
      </c>
      <c r="E6">
        <v>0.18040145904157809</v>
      </c>
    </row>
    <row r="7" spans="1:5" x14ac:dyDescent="0.3">
      <c r="A7" s="73">
        <v>5</v>
      </c>
      <c r="B7">
        <v>5</v>
      </c>
      <c r="C7" t="s">
        <v>100</v>
      </c>
      <c r="D7">
        <v>1.914292549523366</v>
      </c>
      <c r="E7">
        <v>0.17335132984965931</v>
      </c>
    </row>
    <row r="8" spans="1:5" x14ac:dyDescent="0.3">
      <c r="A8" s="73">
        <v>6</v>
      </c>
      <c r="B8" t="s">
        <v>94</v>
      </c>
      <c r="D8">
        <v>2.085850889525608</v>
      </c>
      <c r="E8">
        <v>0.1852386070582594</v>
      </c>
    </row>
    <row r="9" spans="1:5" x14ac:dyDescent="0.3">
      <c r="A9" s="73">
        <v>7</v>
      </c>
      <c r="B9" t="s">
        <v>95</v>
      </c>
      <c r="D9">
        <v>2.0134560809246689</v>
      </c>
      <c r="E9">
        <v>0.18022237084210299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2024-10-24T13:43:00Z</dcterms:modified>
</cp:coreProperties>
</file>