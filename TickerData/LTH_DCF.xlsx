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3" documentId="11_1ED89CB0D7F5CF9D711D5E1419CC05DE349B3C0F" xr6:coauthVersionLast="47" xr6:coauthVersionMax="47" xr10:uidLastSave="{5E01A67A-E34D-4AB0-B7EF-1F49EA1B3A34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5" l="1"/>
  <c r="C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P3" i="5"/>
  <c r="O3" i="5"/>
  <c r="O32" i="5" s="1"/>
  <c r="L3" i="5"/>
  <c r="K3" i="5"/>
  <c r="K32" i="5" s="1"/>
  <c r="H3" i="5"/>
  <c r="G3" i="5"/>
  <c r="D3" i="5"/>
  <c r="C3" i="5"/>
  <c r="R2" i="5"/>
  <c r="H2" i="5"/>
  <c r="G2" i="5"/>
  <c r="G32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J10" i="3"/>
  <c r="J11" i="3" s="1"/>
  <c r="I10" i="3"/>
  <c r="I11" i="3" s="1"/>
  <c r="H10" i="3"/>
  <c r="H11" i="3" s="1"/>
  <c r="G10" i="3"/>
  <c r="F10" i="3"/>
  <c r="K7" i="3"/>
  <c r="M5" i="3"/>
  <c r="N5" i="3" s="1"/>
  <c r="O5" i="3" s="1"/>
  <c r="P5" i="3" s="1"/>
  <c r="Q5" i="3" s="1"/>
  <c r="R5" i="3" s="1"/>
  <c r="S5" i="3" s="1"/>
  <c r="T5" i="3" s="1"/>
  <c r="U5" i="3" s="1"/>
  <c r="L5" i="3"/>
  <c r="J4" i="3"/>
  <c r="J5" i="3" s="1"/>
  <c r="I4" i="3"/>
  <c r="I5" i="3" s="1"/>
  <c r="H4" i="3"/>
  <c r="G4" i="3"/>
  <c r="G5" i="3" s="1"/>
  <c r="J3" i="3"/>
  <c r="I3" i="3"/>
  <c r="K1" i="3"/>
  <c r="J1" i="3"/>
  <c r="J7" i="3" s="1"/>
  <c r="J8" i="3" s="1"/>
  <c r="I1" i="3"/>
  <c r="I7" i="3" s="1"/>
  <c r="H1" i="3"/>
  <c r="H3" i="3" s="1"/>
  <c r="G1" i="3"/>
  <c r="G3" i="3" s="1"/>
  <c r="F1" i="3"/>
  <c r="F4" i="3" s="1"/>
  <c r="E1" i="3"/>
  <c r="E10" i="3" s="1"/>
  <c r="D1" i="3"/>
  <c r="D10" i="3" s="1"/>
  <c r="I13" i="3" l="1"/>
  <c r="I8" i="3"/>
  <c r="H5" i="3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K4" i="3"/>
  <c r="K8" i="3" s="1"/>
  <c r="K3" i="3"/>
  <c r="K10" i="3"/>
  <c r="K13" i="3" s="1"/>
  <c r="L1" i="3"/>
  <c r="E11" i="3"/>
  <c r="F11" i="3"/>
  <c r="F5" i="3"/>
  <c r="G11" i="3"/>
  <c r="J13" i="3"/>
  <c r="S3" i="5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D3" i="3"/>
  <c r="E7" i="3"/>
  <c r="K31" i="5"/>
  <c r="E3" i="3"/>
  <c r="F3" i="3"/>
  <c r="D4" i="3"/>
  <c r="H7" i="3"/>
  <c r="D7" i="3"/>
  <c r="F7" i="3"/>
  <c r="O31" i="5"/>
  <c r="G7" i="3"/>
  <c r="E4" i="3"/>
  <c r="E13" i="3" l="1"/>
  <c r="E8" i="3"/>
  <c r="M1" i="3"/>
  <c r="L3" i="3"/>
  <c r="H13" i="3"/>
  <c r="H8" i="3"/>
  <c r="E5" i="3"/>
  <c r="F8" i="3"/>
  <c r="F13" i="3"/>
  <c r="K11" i="3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C21" i="3"/>
  <c r="C20" i="3"/>
  <c r="D8" i="3"/>
  <c r="D13" i="3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G8" i="3"/>
  <c r="G13" i="3"/>
  <c r="L8" i="3" l="1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M3" i="3"/>
  <c r="N1" i="3"/>
  <c r="M8" i="3" l="1"/>
  <c r="L7" i="3"/>
  <c r="L13" i="3" s="1"/>
  <c r="L14" i="3" s="1"/>
  <c r="O1" i="3"/>
  <c r="N3" i="3"/>
  <c r="N8" i="3" l="1"/>
  <c r="M7" i="3"/>
  <c r="M13" i="3" s="1"/>
  <c r="M14" i="3" s="1"/>
  <c r="O3" i="3"/>
  <c r="P1" i="3"/>
  <c r="O8" i="3" l="1"/>
  <c r="N7" i="3"/>
  <c r="N13" i="3" s="1"/>
  <c r="N14" i="3" s="1"/>
  <c r="P3" i="3"/>
  <c r="Q1" i="3"/>
  <c r="R1" i="3" l="1"/>
  <c r="Q3" i="3"/>
  <c r="O7" i="3"/>
  <c r="O13" i="3" s="1"/>
  <c r="O14" i="3" s="1"/>
  <c r="P8" i="3"/>
  <c r="Q8" i="3" l="1"/>
  <c r="P7" i="3"/>
  <c r="P13" i="3" s="1"/>
  <c r="P14" i="3" s="1"/>
  <c r="R3" i="3"/>
  <c r="S1" i="3"/>
  <c r="S3" i="3" l="1"/>
  <c r="T1" i="3"/>
  <c r="Q7" i="3"/>
  <c r="Q13" i="3" s="1"/>
  <c r="Q14" i="3" s="1"/>
  <c r="R8" i="3"/>
  <c r="R7" i="3" l="1"/>
  <c r="R13" i="3" s="1"/>
  <c r="R14" i="3" s="1"/>
  <c r="S8" i="3"/>
  <c r="U1" i="3"/>
  <c r="U3" i="3" s="1"/>
  <c r="T3" i="3"/>
  <c r="T8" i="3" l="1"/>
  <c r="S7" i="3"/>
  <c r="S13" i="3" s="1"/>
  <c r="S14" i="3" s="1"/>
  <c r="T7" i="3" l="1"/>
  <c r="T13" i="3" s="1"/>
  <c r="T14" i="3" s="1"/>
  <c r="U8" i="3"/>
  <c r="U7" i="3" s="1"/>
  <c r="U13" i="3" l="1"/>
  <c r="V7" i="3"/>
  <c r="U14" i="3" l="1"/>
  <c r="V13" i="3"/>
  <c r="V14" i="3" s="1"/>
  <c r="C17" i="3" l="1"/>
  <c r="C18" i="3"/>
  <c r="C19" i="3" l="1"/>
  <c r="C22" i="3" s="1"/>
  <c r="L17" i="3" l="1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<sst xmlns="http://schemas.openxmlformats.org/spreadsheetml/2006/main" count="115" uniqueCount="97">
  <si>
    <t>This sheet contains FactSet XML data for use with this workbook's =FDS codes.  Modifying the worksheet's contents may damage the workbook's =FDS functionality.</t>
  </si>
  <si>
    <t>LTH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</si>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</sst>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4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39" fontId="5" fillId="0" borderId="2" xfId="0" applyNumberFormat="1" applyFont="1" applyBorder="1"/>
    <xf numFmtId="44" fontId="1" fillId="0" borderId="5" xfId="4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3" t="s">
        <v>1</v>
      </c>
    </row>
    <row r="2" spans="1:2" x14ac:dyDescent="0.25">
      <c r="A2" s="73" t="s">
        <v>2</v>
      </c>
      <c r="B2">
        <v>4756756000</v>
      </c>
    </row>
    <row r="3" spans="1:2" x14ac:dyDescent="0.25">
      <c r="A3" s="73" t="s">
        <v>3</v>
      </c>
      <c r="B3">
        <v>1830241000</v>
      </c>
    </row>
    <row r="4" spans="1:2" x14ac:dyDescent="0.25">
      <c r="A4" s="73" t="s">
        <v>4</v>
      </c>
      <c r="B4">
        <v>0.43600648730340008</v>
      </c>
    </row>
    <row r="5" spans="1:2" x14ac:dyDescent="0.25">
      <c r="A5" s="73" t="s">
        <v>5</v>
      </c>
      <c r="B5">
        <v>4.2500000000000003E-2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2367497000</v>
      </c>
    </row>
    <row r="8" spans="1:2" x14ac:dyDescent="0.25">
      <c r="A8" s="73" t="s">
        <v>8</v>
      </c>
      <c r="B8">
        <v>0.56399351269659992</v>
      </c>
    </row>
    <row r="9" spans="1:2" x14ac:dyDescent="0.25">
      <c r="A9" s="73" t="s">
        <v>9</v>
      </c>
      <c r="B9">
        <v>0.16887157148864071</v>
      </c>
    </row>
    <row r="10" spans="1:2" x14ac:dyDescent="0.25">
      <c r="A10" s="73" t="s">
        <v>10</v>
      </c>
      <c r="B10">
        <v>4.0689997673034668E-2</v>
      </c>
    </row>
    <row r="11" spans="1:2" x14ac:dyDescent="0.25">
      <c r="A11" s="73" t="s">
        <v>11</v>
      </c>
      <c r="B11">
        <v>1.849395029752243</v>
      </c>
    </row>
    <row r="12" spans="1:2" x14ac:dyDescent="0.25">
      <c r="A12" s="73" t="s">
        <v>12</v>
      </c>
      <c r="B12">
        <v>6.9310002326965325E-2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0.1098813886096851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M8" sqref="M8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6">
        <f>Python!A31</f>
        <v>0</v>
      </c>
      <c r="E1" s="66">
        <f>Python!A27</f>
        <v>0</v>
      </c>
      <c r="F1" s="66">
        <f>Python!A23</f>
        <v>0</v>
      </c>
      <c r="G1" s="66" t="str">
        <f>Python!A19</f>
        <v>2020-06-30</v>
      </c>
      <c r="H1" s="66" t="str">
        <f>Python!A15</f>
        <v>2021-06-30</v>
      </c>
      <c r="I1" s="66" t="str">
        <f>Python!A11</f>
        <v>2022-06-30</v>
      </c>
      <c r="J1" s="66" t="str">
        <f>Python!A7</f>
        <v>2023-06-30</v>
      </c>
      <c r="K1" s="66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1900</v>
      </c>
      <c r="E3" s="45">
        <f t="shared" si="1"/>
        <v>1900</v>
      </c>
      <c r="F3" s="45">
        <f t="shared" si="1"/>
        <v>1900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0</v>
      </c>
      <c r="E4" s="36">
        <f>IFERROR(INDEX(Python!$1:$1048576,MATCH(DCF_Simple!E$1,Python!$A:$A,0),MATCH(DCF_Simple!$B4,Python!$1:$1,0))/1000000,0)</f>
        <v>0</v>
      </c>
      <c r="F4" s="36">
        <f>IFERROR(INDEX(Python!$1:$1048576,MATCH(DCF_Simple!F$1,Python!$A:$A,0),MATCH(DCF_Simple!$B4,Python!$1:$1,0))/1000000,0)</f>
        <v>0</v>
      </c>
      <c r="G4" s="36">
        <f>IFERROR(INDEX(Python!$1:$1048576,MATCH(DCF_Simple!G$1,Python!$A:$A,0),MATCH(DCF_Simple!$B4,Python!$1:$1,0))/1000000,0)</f>
        <v>0</v>
      </c>
      <c r="H4" s="36">
        <f>IFERROR(INDEX(Python!$1:$1048576,MATCH(DCF_Simple!H$1,Python!$A:$A,0),MATCH(DCF_Simple!$B4,Python!$1:$1,0))/1000000,0)</f>
        <v>1031.9839999999999</v>
      </c>
      <c r="I4" s="36">
        <f>IFERROR(INDEX(Python!$1:$1048576,MATCH(DCF_Simple!I$1,Python!$A:$A,0),MATCH(DCF_Simple!$B4,Python!$1:$1,0))/1000000,0)</f>
        <v>1599.0889999999999</v>
      </c>
      <c r="J4" s="36">
        <f>IFERROR(INDEX(Python!$1:$1048576,MATCH(DCF_Simple!J$1,Python!$A:$A,0),MATCH(DCF_Simple!$B4,Python!$1:$1,0))/1000000,0)</f>
        <v>2041.6179999999999</v>
      </c>
      <c r="K4" s="55">
        <f>IFERROR(INDEX(Python!$1:$1048576,MATCH(DCF_Simple!K$1,Python!$A:$A,0),MATCH(DCF_Simple!$B4,Python!$1:$1,0))/1000000,0)</f>
        <v>2408.489</v>
      </c>
      <c r="L4" s="37">
        <f t="shared" ref="L4:U4" si="2">K4*(1+L5)</f>
        <v>2789.4625640789027</v>
      </c>
      <c r="M4" s="36">
        <f t="shared" si="2"/>
        <v>3010.0804483419852</v>
      </c>
      <c r="N4" s="36">
        <f t="shared" si="2"/>
        <v>3248.1469449232582</v>
      </c>
      <c r="O4" s="36">
        <f t="shared" si="2"/>
        <v>3505.0420601302226</v>
      </c>
      <c r="P4" s="36">
        <f t="shared" si="2"/>
        <v>3782.2549446180219</v>
      </c>
      <c r="Q4" s="36">
        <f t="shared" si="2"/>
        <v>4081.39252558812</v>
      </c>
      <c r="R4" s="36">
        <f t="shared" si="2"/>
        <v>4404.1888217053747</v>
      </c>
      <c r="S4" s="36">
        <f t="shared" si="2"/>
        <v>4752.5149947295322</v>
      </c>
      <c r="T4" s="36">
        <f t="shared" si="2"/>
        <v>5128.3901961276988</v>
      </c>
      <c r="U4" s="36">
        <f t="shared" si="2"/>
        <v>5533.9932715426312</v>
      </c>
      <c r="V4" s="19">
        <f>U4</f>
        <v>5533.9932715426312</v>
      </c>
    </row>
    <row r="5" spans="2:22" s="1" customFormat="1" x14ac:dyDescent="0.25">
      <c r="B5" s="10" t="s">
        <v>18</v>
      </c>
      <c r="C5" s="30"/>
      <c r="D5" s="30"/>
      <c r="E5" s="42" t="str">
        <f t="shared" ref="E5:K5" si="3">IFERROR(E4/D4-1,"")</f>
        <v/>
      </c>
      <c r="F5" s="42" t="str">
        <f t="shared" si="3"/>
        <v/>
      </c>
      <c r="G5" s="42" t="str">
        <f t="shared" si="3"/>
        <v/>
      </c>
      <c r="H5" s="42" t="str">
        <f t="shared" si="3"/>
        <v/>
      </c>
      <c r="I5" s="42">
        <f t="shared" si="3"/>
        <v>0.54952886866463047</v>
      </c>
      <c r="J5" s="42">
        <f t="shared" si="3"/>
        <v>0.2767381928085304</v>
      </c>
      <c r="K5" s="58">
        <f t="shared" si="3"/>
        <v>0.17969620173803325</v>
      </c>
      <c r="L5" s="43">
        <f>Python!F2</f>
        <v>0.15817949099161449</v>
      </c>
      <c r="M5" s="43">
        <f>L5/2</f>
        <v>7.9089745495807245E-2</v>
      </c>
      <c r="N5" s="38">
        <f t="shared" ref="N5:U5" si="4">M5</f>
        <v>7.9089745495807245E-2</v>
      </c>
      <c r="O5" s="38">
        <f t="shared" si="4"/>
        <v>7.9089745495807245E-2</v>
      </c>
      <c r="P5" s="38">
        <f t="shared" si="4"/>
        <v>7.9089745495807245E-2</v>
      </c>
      <c r="Q5" s="38">
        <f t="shared" si="4"/>
        <v>7.9089745495807245E-2</v>
      </c>
      <c r="R5" s="38">
        <f t="shared" si="4"/>
        <v>7.9089745495807245E-2</v>
      </c>
      <c r="S5" s="38">
        <f t="shared" si="4"/>
        <v>7.9089745495807245E-2</v>
      </c>
      <c r="T5" s="38">
        <f t="shared" si="4"/>
        <v>7.9089745495807245E-2</v>
      </c>
      <c r="U5" s="38">
        <f t="shared" si="4"/>
        <v>7.9089745495807245E-2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0</v>
      </c>
      <c r="E7" s="52">
        <f>IFERROR(INDEX(Python!$1:$1048576,MATCH(DCF_Simple!E$1,Python!$A:$A,0),MATCH(DCF_Simple!$B7,Python!$1:$1,0))/1000000,0)</f>
        <v>0</v>
      </c>
      <c r="F7" s="52">
        <f>IFERROR(INDEX(Python!$1:$1048576,MATCH(DCF_Simple!F$1,Python!$A:$A,0),MATCH(DCF_Simple!$B7,Python!$1:$1,0))/1000000,0)</f>
        <v>0</v>
      </c>
      <c r="G7" s="52">
        <f>IFERROR(INDEX(Python!$1:$1048576,MATCH(DCF_Simple!G$1,Python!$A:$A,0),MATCH(DCF_Simple!$B7,Python!$1:$1,0))/1000000,0)</f>
        <v>0</v>
      </c>
      <c r="H7" s="52">
        <f>IFERROR(INDEX(Python!$1:$1048576,MATCH(DCF_Simple!H$1,Python!$A:$A,0),MATCH(DCF_Simple!$B7,Python!$1:$1,0))/1000000,0)</f>
        <v>-283.94200000000001</v>
      </c>
      <c r="I7" s="52">
        <f>IFERROR(INDEX(Python!$1:$1048576,MATCH(DCF_Simple!I$1,Python!$A:$A,0),MATCH(DCF_Simple!$B7,Python!$1:$1,0))/1000000,0)</f>
        <v>-386.24099999999999</v>
      </c>
      <c r="J7" s="52">
        <f>IFERROR(INDEX(Python!$1:$1048576,MATCH(DCF_Simple!J$1,Python!$A:$A,0),MATCH(DCF_Simple!$B7,Python!$1:$1,0))/1000000,0)</f>
        <v>-338.67899999999997</v>
      </c>
      <c r="K7" s="57">
        <f>IFERROR(INDEX(Python!$1:$1048576,MATCH(DCF_Simple!K$1,Python!$A:$A,0),MATCH(DCF_Simple!$B7,Python!$1:$1,0))/1000000,0)</f>
        <v>-150.38999999999999</v>
      </c>
      <c r="L7" s="64">
        <f t="shared" ref="L7:U7" si="5">L8*L4</f>
        <v>-519.54381708484539</v>
      </c>
      <c r="M7" s="64">
        <f t="shared" si="5"/>
        <v>-560.63440535200607</v>
      </c>
      <c r="N7" s="64">
        <f t="shared" si="5"/>
        <v>-604.97483778748938</v>
      </c>
      <c r="O7" s="64">
        <f t="shared" si="5"/>
        <v>-652.8221437394692</v>
      </c>
      <c r="P7" s="64">
        <f t="shared" si="5"/>
        <v>-704.45368094185119</v>
      </c>
      <c r="Q7" s="64">
        <f t="shared" si="5"/>
        <v>-760.16874328112681</v>
      </c>
      <c r="R7" s="64">
        <f t="shared" si="5"/>
        <v>-820.2902957210988</v>
      </c>
      <c r="S7" s="64">
        <f t="shared" si="5"/>
        <v>-885.16684644236102</v>
      </c>
      <c r="T7" s="64">
        <f t="shared" si="5"/>
        <v>-955.17446704881377</v>
      </c>
      <c r="U7" s="64">
        <f t="shared" si="5"/>
        <v>-1030.7189725517976</v>
      </c>
      <c r="V7" s="65">
        <f>U7</f>
        <v>-1030.7189725517976</v>
      </c>
    </row>
    <row r="8" spans="2:22" s="1" customFormat="1" x14ac:dyDescent="0.25">
      <c r="B8" s="10" t="s">
        <v>20</v>
      </c>
      <c r="C8" s="42"/>
      <c r="D8" s="42" t="str">
        <f t="shared" ref="D8:K8" si="6">IFERROR(D7/D$4,"")</f>
        <v/>
      </c>
      <c r="E8" s="42" t="str">
        <f t="shared" si="6"/>
        <v/>
      </c>
      <c r="F8" s="42" t="str">
        <f t="shared" si="6"/>
        <v/>
      </c>
      <c r="G8" s="42" t="str">
        <f t="shared" si="6"/>
        <v/>
      </c>
      <c r="H8" s="42">
        <f t="shared" si="6"/>
        <v>-0.27514186266453744</v>
      </c>
      <c r="I8" s="42">
        <f t="shared" si="6"/>
        <v>-0.24153815078460297</v>
      </c>
      <c r="J8" s="42">
        <f t="shared" si="6"/>
        <v>-0.16588754605415901</v>
      </c>
      <c r="K8" s="58">
        <f t="shared" si="6"/>
        <v>-6.2441638720376128E-2</v>
      </c>
      <c r="L8" s="38">
        <f>AVERAGE(D8:K8)</f>
        <v>-0.18625229955591888</v>
      </c>
      <c r="M8" s="38">
        <f t="shared" ref="M8:U8" si="7">L8</f>
        <v>-0.18625229955591888</v>
      </c>
      <c r="N8" s="38">
        <f t="shared" si="7"/>
        <v>-0.18625229955591888</v>
      </c>
      <c r="O8" s="38">
        <f t="shared" si="7"/>
        <v>-0.18625229955591888</v>
      </c>
      <c r="P8" s="38">
        <f t="shared" si="7"/>
        <v>-0.18625229955591888</v>
      </c>
      <c r="Q8" s="38">
        <f t="shared" si="7"/>
        <v>-0.18625229955591888</v>
      </c>
      <c r="R8" s="38">
        <f t="shared" si="7"/>
        <v>-0.18625229955591888</v>
      </c>
      <c r="S8" s="38">
        <f t="shared" si="7"/>
        <v>-0.18625229955591888</v>
      </c>
      <c r="T8" s="38">
        <f t="shared" si="7"/>
        <v>-0.18625229955591888</v>
      </c>
      <c r="U8" s="38">
        <f t="shared" si="7"/>
        <v>-0.18625229955591888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0</v>
      </c>
      <c r="E10" s="17">
        <f>IFERROR(INDEX(Python!$1:$1048576,MATCH(DCF_Simple!E$1,Python!$A:$A,0),MATCH(DCF_Simple!$B10,Python!$1:$1,0))/1000000,0)</f>
        <v>0</v>
      </c>
      <c r="F10" s="17">
        <f>IFERROR(INDEX(Python!$1:$1048576,MATCH(DCF_Simple!F$1,Python!$A:$A,0),MATCH(DCF_Simple!$B10,Python!$1:$1,0))/1000000,0)</f>
        <v>0</v>
      </c>
      <c r="G10" s="17">
        <f>IFERROR(INDEX(Python!$1:$1048576,MATCH(DCF_Simple!G$1,Python!$A:$A,0),MATCH(DCF_Simple!$B10,Python!$1:$1,0))/1000000,0)</f>
        <v>191.478758</v>
      </c>
      <c r="H10" s="17">
        <f>IFERROR(INDEX(Python!$1:$1048576,MATCH(DCF_Simple!H$1,Python!$A:$A,0),MATCH(DCF_Simple!$B10,Python!$1:$1,0))/1000000,0)</f>
        <v>198.11858000000001</v>
      </c>
      <c r="I10" s="17">
        <f>IFERROR(INDEX(Python!$1:$1048576,MATCH(DCF_Simple!I$1,Python!$A:$A,0),MATCH(DCF_Simple!$B10,Python!$1:$1,0))/1000000,0)</f>
        <v>193.69200000000001</v>
      </c>
      <c r="J10" s="17">
        <f>IFERROR(INDEX(Python!$1:$1048576,MATCH(DCF_Simple!J$1,Python!$A:$A,0),MATCH(DCF_Simple!$B10,Python!$1:$1,0))/1000000,0)</f>
        <v>204.821</v>
      </c>
      <c r="K10" s="69">
        <f>IFERROR(INDEX(Python!$1:$1048576,MATCH(DCF_Simple!K$1,Python!$A:$A,0),MATCH(DCF_Simple!$B10,Python!$1:$1,0))/1000000,0)</f>
        <v>206.04400000000001</v>
      </c>
      <c r="L10" s="17">
        <f t="shared" ref="L10:U10" si="8">K10*(1+L11)</f>
        <v>207.2743026154545</v>
      </c>
      <c r="M10" s="17">
        <f t="shared" si="8"/>
        <v>208.5119514507727</v>
      </c>
      <c r="N10" s="17">
        <f t="shared" si="8"/>
        <v>209.75699037072866</v>
      </c>
      <c r="O10" s="17">
        <f t="shared" si="8"/>
        <v>211.00946350201602</v>
      </c>
      <c r="P10" s="17">
        <f t="shared" si="8"/>
        <v>212.26941523481182</v>
      </c>
      <c r="Q10" s="17">
        <f t="shared" si="8"/>
        <v>213.53689022434989</v>
      </c>
      <c r="R10" s="17">
        <f t="shared" si="8"/>
        <v>214.81193339250348</v>
      </c>
      <c r="S10" s="17">
        <f t="shared" si="8"/>
        <v>216.09458992937732</v>
      </c>
      <c r="T10" s="17">
        <f t="shared" si="8"/>
        <v>217.38490529490934</v>
      </c>
      <c r="U10" s="17">
        <f t="shared" si="8"/>
        <v>218.68292522048182</v>
      </c>
      <c r="V10" s="70">
        <f>U10</f>
        <v>218.68292522048182</v>
      </c>
    </row>
    <row r="11" spans="2:22" s="1" customFormat="1" x14ac:dyDescent="0.25">
      <c r="B11" s="10" t="s">
        <v>22</v>
      </c>
      <c r="C11" s="42"/>
      <c r="D11" s="42"/>
      <c r="E11" s="42" t="str">
        <f t="shared" ref="E11:K11" si="9">IFERROR(E10/D10-1,"")</f>
        <v/>
      </c>
      <c r="F11" s="42" t="str">
        <f t="shared" si="9"/>
        <v/>
      </c>
      <c r="G11" s="42" t="str">
        <f t="shared" si="9"/>
        <v/>
      </c>
      <c r="H11" s="42">
        <f t="shared" si="9"/>
        <v>3.4676546209893466E-2</v>
      </c>
      <c r="I11" s="42">
        <f t="shared" si="9"/>
        <v>-2.234308362193993E-2</v>
      </c>
      <c r="J11" s="42">
        <f t="shared" si="9"/>
        <v>5.7457200090865967E-2</v>
      </c>
      <c r="K11" s="58">
        <f t="shared" si="9"/>
        <v>5.9710674198447666E-3</v>
      </c>
      <c r="L11" s="67">
        <f t="shared" ref="L11:U11" si="10">K11</f>
        <v>5.9710674198447666E-3</v>
      </c>
      <c r="M11" s="67">
        <f t="shared" si="10"/>
        <v>5.9710674198447666E-3</v>
      </c>
      <c r="N11" s="67">
        <f t="shared" si="10"/>
        <v>5.9710674198447666E-3</v>
      </c>
      <c r="O11" s="67">
        <f t="shared" si="10"/>
        <v>5.9710674198447666E-3</v>
      </c>
      <c r="P11" s="67">
        <f t="shared" si="10"/>
        <v>5.9710674198447666E-3</v>
      </c>
      <c r="Q11" s="67">
        <f t="shared" si="10"/>
        <v>5.9710674198447666E-3</v>
      </c>
      <c r="R11" s="67">
        <f t="shared" si="10"/>
        <v>5.9710674198447666E-3</v>
      </c>
      <c r="S11" s="67">
        <f t="shared" si="10"/>
        <v>5.9710674198447666E-3</v>
      </c>
      <c r="T11" s="67">
        <f t="shared" si="10"/>
        <v>5.9710674198447666E-3</v>
      </c>
      <c r="U11" s="67">
        <f t="shared" si="10"/>
        <v>5.9710674198447666E-3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1">IFERROR(D7/D10,0)</f>
        <v>0</v>
      </c>
      <c r="E13" s="53">
        <f t="shared" si="11"/>
        <v>0</v>
      </c>
      <c r="F13" s="53">
        <f t="shared" si="11"/>
        <v>0</v>
      </c>
      <c r="G13" s="53">
        <f t="shared" si="11"/>
        <v>0</v>
      </c>
      <c r="H13" s="53">
        <f t="shared" si="11"/>
        <v>-1.4331921821769569</v>
      </c>
      <c r="I13" s="53">
        <f t="shared" si="11"/>
        <v>-1.9940988786320548</v>
      </c>
      <c r="J13" s="53">
        <f t="shared" si="11"/>
        <v>-1.6535365026047133</v>
      </c>
      <c r="K13" s="59">
        <f t="shared" si="11"/>
        <v>-0.72989264428956913</v>
      </c>
      <c r="L13" s="53">
        <f t="shared" ref="L13:U13" si="12">L7/L10</f>
        <v>-2.506551996697481</v>
      </c>
      <c r="M13" s="53">
        <f t="shared" si="12"/>
        <v>-2.6887399089177171</v>
      </c>
      <c r="N13" s="53">
        <f t="shared" si="12"/>
        <v>-2.8841700899609823</v>
      </c>
      <c r="O13" s="53">
        <f t="shared" si="12"/>
        <v>-3.0938050498063658</v>
      </c>
      <c r="P13" s="53">
        <f t="shared" si="12"/>
        <v>-3.3186772581560398</v>
      </c>
      <c r="Q13" s="53">
        <f t="shared" si="12"/>
        <v>-3.5598942294348528</v>
      </c>
      <c r="R13" s="53">
        <f t="shared" si="12"/>
        <v>-3.8186439773914596</v>
      </c>
      <c r="S13" s="53">
        <f t="shared" si="12"/>
        <v>-4.096200866165348</v>
      </c>
      <c r="T13" s="53">
        <f t="shared" si="12"/>
        <v>-4.3939318866367572</v>
      </c>
      <c r="U13" s="53">
        <f t="shared" si="12"/>
        <v>-4.713303388971041</v>
      </c>
      <c r="V13" s="72">
        <f>U13*(1+WACC!$B$13)/(WACC!$B$14-WACC!$B$13)</f>
        <v>-53.487930383759398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-2.2583962776755482</v>
      </c>
      <c r="M14" s="62">
        <f>M13/((1+WACC!$B$14)^(M3-$K$3))</f>
        <v>-2.1827080780604415</v>
      </c>
      <c r="N14" s="62">
        <f>N13/((1+WACC!$B$14)^(N3-$K$3))</f>
        <v>-2.1095565030482026</v>
      </c>
      <c r="O14" s="62">
        <f>O13/((1+WACC!$B$14)^(O3-$K$3))</f>
        <v>-2.0388565398573331</v>
      </c>
      <c r="P14" s="62">
        <f>P13/((1+WACC!$B$14)^(P3-$K$3))</f>
        <v>-1.9705260248362417</v>
      </c>
      <c r="Q14" s="62">
        <f>Q13/((1+WACC!$B$14)^(Q3-$K$3))</f>
        <v>-1.9044855479771166</v>
      </c>
      <c r="R14" s="62">
        <f>R13/((1+WACC!$B$14)^(R3-$K$3))</f>
        <v>-1.8406583606299338</v>
      </c>
      <c r="S14" s="62">
        <f>S13/((1+WACC!$B$14)^(S3-$K$3))</f>
        <v>-1.7789702863093531</v>
      </c>
      <c r="T14" s="62">
        <f>T13/((1+WACC!$B$14)^(T3-$K$3))</f>
        <v>-1.7193496344908379</v>
      </c>
      <c r="U14" s="62">
        <f>U13/((1+WACC!$B$14)^(U3-$K$3))</f>
        <v>-1.661727117295829</v>
      </c>
      <c r="V14" s="63">
        <f>V13/((1+WACC!$B$14)^(U3-$K$3))</f>
        <v>-18.857760053109661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-18.857760053109661</v>
      </c>
      <c r="L17" s="16">
        <f>C17/$C$19</f>
        <v>0.49207428430094191</v>
      </c>
      <c r="O17" s="18"/>
    </row>
    <row r="18" spans="2:22" x14ac:dyDescent="0.25">
      <c r="B18" s="8" t="s">
        <v>26</v>
      </c>
      <c r="C18" s="32">
        <f>SUM(14:14)-V14</f>
        <v>-19.465234370180841</v>
      </c>
      <c r="K18" s="3"/>
      <c r="L18" s="16">
        <f>C18/$C$19</f>
        <v>0.50792571569905809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-38.322994423290503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1">
        <f>Python!C3/1000000/K10</f>
        <v>-0.72989264428956913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8.8827677583428777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-47.935654825922953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/>
  </sheetViews>
  <sheetFormatPr defaultRowHeight="15" x14ac:dyDescent="0.25"/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0.15817949099161449</v>
      </c>
    </row>
    <row r="3" spans="1:6" x14ac:dyDescent="0.25">
      <c r="A3" s="73" t="s">
        <v>34</v>
      </c>
      <c r="B3">
        <v>2408489000</v>
      </c>
      <c r="C3">
        <v>-150390000</v>
      </c>
      <c r="D3">
        <v>206044000</v>
      </c>
      <c r="E3">
        <v>49358000</v>
      </c>
      <c r="F3">
        <v>0.19872323229446121</v>
      </c>
    </row>
    <row r="4" spans="1:6" x14ac:dyDescent="0.25">
      <c r="A4" s="73" t="s">
        <v>35</v>
      </c>
      <c r="B4">
        <v>2302459000</v>
      </c>
      <c r="C4">
        <v>-200826000</v>
      </c>
      <c r="D4">
        <v>202756000</v>
      </c>
      <c r="E4">
        <v>36724000</v>
      </c>
      <c r="F4">
        <v>0.24286729398591761</v>
      </c>
    </row>
    <row r="5" spans="1:6" x14ac:dyDescent="0.25">
      <c r="A5" s="73" t="s">
        <v>36</v>
      </c>
      <c r="B5">
        <v>2216593000</v>
      </c>
      <c r="C5">
        <v>-230898000</v>
      </c>
      <c r="D5">
        <v>203420000</v>
      </c>
      <c r="E5">
        <v>29966000</v>
      </c>
      <c r="F5">
        <v>0.17787815637198379</v>
      </c>
    </row>
    <row r="6" spans="1:6" x14ac:dyDescent="0.25">
      <c r="A6" s="73" t="s">
        <v>37</v>
      </c>
      <c r="B6">
        <v>2130414000</v>
      </c>
      <c r="C6">
        <v>-300433000</v>
      </c>
      <c r="D6">
        <v>204298000</v>
      </c>
      <c r="E6">
        <v>25441000</v>
      </c>
      <c r="F6">
        <v>0.18261980212780091</v>
      </c>
    </row>
    <row r="7" spans="1:6" x14ac:dyDescent="0.25">
      <c r="A7" s="73" t="s">
        <v>38</v>
      </c>
      <c r="B7">
        <v>2041618000</v>
      </c>
      <c r="C7">
        <v>-338679000</v>
      </c>
      <c r="D7">
        <v>204821000</v>
      </c>
      <c r="E7">
        <v>30858000</v>
      </c>
      <c r="F7">
        <v>0.27780656322693797</v>
      </c>
    </row>
    <row r="8" spans="1:6" x14ac:dyDescent="0.25">
      <c r="A8" s="73" t="s">
        <v>39</v>
      </c>
      <c r="B8">
        <v>1941154000</v>
      </c>
      <c r="C8">
        <v>-384983000</v>
      </c>
      <c r="D8">
        <v>202855000</v>
      </c>
      <c r="E8">
        <v>35337000</v>
      </c>
      <c r="F8">
        <v>0.41770383476012979</v>
      </c>
    </row>
    <row r="9" spans="1:6" x14ac:dyDescent="0.25">
      <c r="A9" s="73" t="s">
        <v>40</v>
      </c>
      <c r="B9">
        <v>1822557000</v>
      </c>
      <c r="C9">
        <v>-390209000</v>
      </c>
      <c r="D9">
        <v>196378000</v>
      </c>
      <c r="E9">
        <v>25509000</v>
      </c>
      <c r="F9">
        <v>0.40932188345981452</v>
      </c>
    </row>
    <row r="10" spans="1:6" x14ac:dyDescent="0.25">
      <c r="A10" s="73" t="s">
        <v>41</v>
      </c>
      <c r="B10">
        <v>1710430000</v>
      </c>
      <c r="C10">
        <v>-416501000</v>
      </c>
      <c r="D10">
        <v>198381000</v>
      </c>
      <c r="E10">
        <v>107069000</v>
      </c>
    </row>
    <row r="11" spans="1:6" x14ac:dyDescent="0.25">
      <c r="A11" s="73" t="s">
        <v>42</v>
      </c>
      <c r="B11">
        <v>1599089000</v>
      </c>
      <c r="C11">
        <v>-386241000</v>
      </c>
      <c r="D11">
        <v>193692000</v>
      </c>
      <c r="E11">
        <v>61289000</v>
      </c>
    </row>
    <row r="12" spans="1:6" x14ac:dyDescent="0.25">
      <c r="A12" s="73" t="s">
        <v>43</v>
      </c>
      <c r="B12">
        <v>1461009000</v>
      </c>
      <c r="C12">
        <v>-369145000</v>
      </c>
      <c r="D12">
        <v>192465000</v>
      </c>
      <c r="E12">
        <v>41096000</v>
      </c>
      <c r="F12">
        <v>0.56146459257595338</v>
      </c>
    </row>
    <row r="13" spans="1:6" x14ac:dyDescent="0.25">
      <c r="A13" s="73" t="s">
        <v>44</v>
      </c>
      <c r="B13">
        <v>1318053000</v>
      </c>
      <c r="C13">
        <v>-348938000</v>
      </c>
      <c r="D13">
        <v>185956000</v>
      </c>
      <c r="E13">
        <v>31637000</v>
      </c>
      <c r="F13">
        <v>0.56064936599713744</v>
      </c>
    </row>
    <row r="14" spans="1:6" x14ac:dyDescent="0.25">
      <c r="A14" s="73" t="s">
        <v>45</v>
      </c>
      <c r="B14">
        <v>1185994000</v>
      </c>
      <c r="C14">
        <v>-308620000</v>
      </c>
      <c r="D14">
        <v>198118580</v>
      </c>
      <c r="E14">
        <v>44827000</v>
      </c>
    </row>
    <row r="15" spans="1:6" x14ac:dyDescent="0.25">
      <c r="A15" s="73" t="s">
        <v>46</v>
      </c>
      <c r="B15">
        <v>1031984000</v>
      </c>
      <c r="C15">
        <v>-283942000</v>
      </c>
      <c r="D15">
        <v>198118580</v>
      </c>
      <c r="E15">
        <v>104200000</v>
      </c>
    </row>
    <row r="16" spans="1:6" x14ac:dyDescent="0.25">
      <c r="A16" s="73" t="s">
        <v>47</v>
      </c>
      <c r="B16">
        <v>789382000</v>
      </c>
      <c r="C16">
        <v>-387074000</v>
      </c>
      <c r="D16">
        <v>191478758</v>
      </c>
      <c r="E16">
        <v>168166000</v>
      </c>
    </row>
    <row r="17" spans="1:5" x14ac:dyDescent="0.25">
      <c r="A17" s="73" t="s">
        <v>48</v>
      </c>
      <c r="B17">
        <v>948379000</v>
      </c>
      <c r="C17">
        <v>-361598000</v>
      </c>
      <c r="D17">
        <v>191478758</v>
      </c>
      <c r="E17">
        <v>33195000</v>
      </c>
    </row>
    <row r="18" spans="1:5" x14ac:dyDescent="0.25">
      <c r="A18" s="73" t="s">
        <v>49</v>
      </c>
      <c r="D18">
        <v>191478758</v>
      </c>
    </row>
    <row r="19" spans="1:5" x14ac:dyDescent="0.25">
      <c r="A19" s="73" t="s">
        <v>50</v>
      </c>
      <c r="D19">
        <v>191478758</v>
      </c>
    </row>
    <row r="20" spans="1:5" x14ac:dyDescent="0.25">
      <c r="A20" s="73" t="s">
        <v>51</v>
      </c>
      <c r="D20">
        <v>144959000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52</v>
      </c>
      <c r="B1" s="27" t="s">
        <v>53</v>
      </c>
      <c r="C1" t="s">
        <v>54</v>
      </c>
      <c r="D1" t="s">
        <v>55</v>
      </c>
      <c r="F1" s="27" t="s">
        <v>53</v>
      </c>
      <c r="G1" t="s">
        <v>54</v>
      </c>
      <c r="H1" t="s">
        <v>55</v>
      </c>
      <c r="J1" t="s">
        <v>56</v>
      </c>
      <c r="K1" t="s">
        <v>54</v>
      </c>
      <c r="L1" t="s">
        <v>55</v>
      </c>
      <c r="N1" t="s">
        <v>57</v>
      </c>
      <c r="O1" t="s">
        <v>54</v>
      </c>
      <c r="P1" t="s">
        <v>55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58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59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60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61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62</v>
      </c>
    </row>
    <row r="7" spans="1:46" x14ac:dyDescent="0.25">
      <c r="A7" s="27" t="s">
        <v>63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64</v>
      </c>
    </row>
    <row r="8" spans="1:46" x14ac:dyDescent="0.25">
      <c r="A8" s="27" t="s">
        <v>65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66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67</v>
      </c>
    </row>
    <row r="10" spans="1:46" x14ac:dyDescent="0.25">
      <c r="A10" s="27" t="s">
        <v>68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69</v>
      </c>
    </row>
    <row r="11" spans="1:46" x14ac:dyDescent="0.25">
      <c r="A11" s="27" t="s">
        <v>70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71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72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73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74</v>
      </c>
    </row>
    <row r="15" spans="1:46" x14ac:dyDescent="0.25">
      <c r="A15" s="27" t="s">
        <v>75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76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77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78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79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80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81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82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83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84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85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86</v>
      </c>
      <c r="J26">
        <v>0.61799999999999999</v>
      </c>
      <c r="N26">
        <v>-0.36399999999999999</v>
      </c>
    </row>
    <row r="27" spans="1:17" x14ac:dyDescent="0.25">
      <c r="A27" s="27" t="s">
        <v>87</v>
      </c>
    </row>
    <row r="28" spans="1:17" x14ac:dyDescent="0.25">
      <c r="A28" s="27" t="s">
        <v>88</v>
      </c>
    </row>
    <row r="29" spans="1:17" x14ac:dyDescent="0.25">
      <c r="A29" s="27" t="s">
        <v>89</v>
      </c>
    </row>
    <row r="31" spans="1:17" x14ac:dyDescent="0.25">
      <c r="A31" s="26" t="s">
        <v>90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91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92</v>
      </c>
      <c r="C1" s="73" t="s">
        <v>93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94</v>
      </c>
      <c r="D2">
        <v>1.8519346145868749</v>
      </c>
      <c r="E2">
        <v>0.1690475901194386</v>
      </c>
    </row>
    <row r="3" spans="1:5" x14ac:dyDescent="0.25">
      <c r="A3" s="73">
        <v>1</v>
      </c>
      <c r="B3">
        <v>3</v>
      </c>
      <c r="C3" t="s">
        <v>95</v>
      </c>
      <c r="D3">
        <v>1.848425989357491</v>
      </c>
      <c r="E3">
        <v>0.16880440729662549</v>
      </c>
    </row>
    <row r="4" spans="1:5" x14ac:dyDescent="0.25">
      <c r="A4" s="73">
        <v>2</v>
      </c>
      <c r="B4">
        <v>3</v>
      </c>
      <c r="C4" t="s">
        <v>96</v>
      </c>
      <c r="D4">
        <v>1.4988714751135259</v>
      </c>
      <c r="E4">
        <v>0.1445767831009751</v>
      </c>
    </row>
    <row r="5" spans="1:5" x14ac:dyDescent="0.25">
      <c r="A5" s="73">
        <v>3</v>
      </c>
      <c r="B5">
        <v>5</v>
      </c>
      <c r="C5" t="s">
        <v>94</v>
      </c>
      <c r="D5">
        <v>1.8519346145868749</v>
      </c>
      <c r="E5">
        <v>0.1690475901194386</v>
      </c>
    </row>
    <row r="6" spans="1:5" x14ac:dyDescent="0.25">
      <c r="A6" s="73">
        <v>4</v>
      </c>
      <c r="B6">
        <v>5</v>
      </c>
      <c r="C6" t="s">
        <v>95</v>
      </c>
      <c r="D6">
        <v>1.8503640701469961</v>
      </c>
      <c r="E6">
        <v>0.16893873568065601</v>
      </c>
    </row>
    <row r="7" spans="1:5" x14ac:dyDescent="0.25">
      <c r="A7" s="73">
        <v>5</v>
      </c>
      <c r="B7">
        <v>5</v>
      </c>
      <c r="C7" t="s">
        <v>96</v>
      </c>
      <c r="D7">
        <v>1.488580425846924</v>
      </c>
      <c r="E7">
        <v>0.14386351045236001</v>
      </c>
    </row>
    <row r="8" spans="1:5" x14ac:dyDescent="0.25">
      <c r="A8" s="73">
        <v>6</v>
      </c>
      <c r="B8" t="s">
        <v>90</v>
      </c>
      <c r="D8">
        <v>1.731685198273115</v>
      </c>
      <c r="E8">
        <v>0.16071310279491571</v>
      </c>
    </row>
    <row r="9" spans="1:5" x14ac:dyDescent="0.25">
      <c r="A9" s="73">
        <v>7</v>
      </c>
      <c r="B9" t="s">
        <v>91</v>
      </c>
      <c r="D9">
        <v>1.849395029752243</v>
      </c>
      <c r="E9">
        <v>0.16887157148864071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2024-10-18T17:29:43Z</dcterms:modified>
</cp:coreProperties>
</file>