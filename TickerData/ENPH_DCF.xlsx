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4" documentId="11_0BC0B0A493A440F2BF5DEA6B16E2267DC279BC93" xr6:coauthVersionLast="47" xr6:coauthVersionMax="47" xr10:uidLastSave="{8D03D284-5FFD-4C5B-8B11-B9032C08B0F6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O32" i="5" l="1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1" i="5" s="1"/>
  <c r="L3" i="5"/>
  <c r="K3" i="5"/>
  <c r="K32" i="5" s="1"/>
  <c r="H3" i="5"/>
  <c r="G3" i="5"/>
  <c r="G32" i="5" s="1"/>
  <c r="D3" i="5"/>
  <c r="C3" i="5"/>
  <c r="C31" i="5" s="1"/>
  <c r="R2" i="5"/>
  <c r="H2" i="5"/>
  <c r="G2" i="5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G10" i="3"/>
  <c r="G11" i="3" s="1"/>
  <c r="F10" i="3"/>
  <c r="F11" i="3" s="1"/>
  <c r="E10" i="3"/>
  <c r="L5" i="3"/>
  <c r="N5" i="3" s="1"/>
  <c r="O5" i="3" s="1"/>
  <c r="P5" i="3" s="1"/>
  <c r="Q5" i="3" s="1"/>
  <c r="R5" i="3" s="1"/>
  <c r="S5" i="3" s="1"/>
  <c r="T5" i="3" s="1"/>
  <c r="U5" i="3" s="1"/>
  <c r="I4" i="3"/>
  <c r="G4" i="3"/>
  <c r="G5" i="3" s="1"/>
  <c r="F4" i="3"/>
  <c r="I3" i="3"/>
  <c r="H3" i="3"/>
  <c r="F3" i="3"/>
  <c r="K1" i="3"/>
  <c r="K10" i="3" s="1"/>
  <c r="J1" i="3"/>
  <c r="J10" i="3" s="1"/>
  <c r="I1" i="3"/>
  <c r="I7" i="3" s="1"/>
  <c r="H1" i="3"/>
  <c r="H7" i="3" s="1"/>
  <c r="G1" i="3"/>
  <c r="G3" i="3" s="1"/>
  <c r="F1" i="3"/>
  <c r="F7" i="3" s="1"/>
  <c r="E1" i="3"/>
  <c r="E4" i="3" s="1"/>
  <c r="D1" i="3"/>
  <c r="D10" i="3" s="1"/>
  <c r="F8" i="3" l="1"/>
  <c r="F13" i="3"/>
  <c r="F5" i="3"/>
  <c r="I8" i="3"/>
  <c r="C21" i="3"/>
  <c r="C20" i="3"/>
  <c r="K11" i="3"/>
  <c r="M11" i="3" s="1"/>
  <c r="N11" i="3" s="1"/>
  <c r="O11" i="3" s="1"/>
  <c r="P11" i="3" s="1"/>
  <c r="Q11" i="3" s="1"/>
  <c r="R11" i="3" s="1"/>
  <c r="S11" i="3" s="1"/>
  <c r="T11" i="3" s="1"/>
  <c r="U11" i="3" s="1"/>
  <c r="E11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K7" i="3"/>
  <c r="J7" i="3"/>
  <c r="H4" i="3"/>
  <c r="H5" i="3" s="1"/>
  <c r="G31" i="5"/>
  <c r="H10" i="3"/>
  <c r="H11" i="3" s="1"/>
  <c r="D3" i="3"/>
  <c r="J4" i="3"/>
  <c r="J5" i="3" s="1"/>
  <c r="I10" i="3"/>
  <c r="I11" i="3" s="1"/>
  <c r="L1" i="3"/>
  <c r="J3" i="3"/>
  <c r="D7" i="3"/>
  <c r="K3" i="3"/>
  <c r="E7" i="3"/>
  <c r="E3" i="3"/>
  <c r="K4" i="3"/>
  <c r="G7" i="3"/>
  <c r="D4" i="3"/>
  <c r="E5" i="3" s="1"/>
  <c r="E8" i="3" l="1"/>
  <c r="E13" i="3"/>
  <c r="H8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I13" i="3"/>
  <c r="H13" i="3"/>
  <c r="D8" i="3"/>
  <c r="D13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G13" i="3"/>
  <c r="G8" i="3"/>
  <c r="J8" i="3"/>
  <c r="J13" i="3"/>
  <c r="M1" i="3"/>
  <c r="L3" i="3"/>
  <c r="K8" i="3"/>
  <c r="K13" i="3"/>
  <c r="J11" i="3"/>
  <c r="I5" i="3"/>
  <c r="M8" i="3" l="1"/>
  <c r="L7" i="3"/>
  <c r="L13" i="3" s="1"/>
  <c r="L14" i="3" s="1"/>
  <c r="M3" i="3"/>
  <c r="N1" i="3"/>
  <c r="N3" i="3" l="1"/>
  <c r="O1" i="3"/>
  <c r="N8" i="3"/>
  <c r="M7" i="3"/>
  <c r="M13" i="3" s="1"/>
  <c r="M14" i="3" s="1"/>
  <c r="N7" i="3" l="1"/>
  <c r="N13" i="3" s="1"/>
  <c r="N14" i="3" s="1"/>
  <c r="O8" i="3"/>
  <c r="O3" i="3"/>
  <c r="P1" i="3"/>
  <c r="Q1" i="3" l="1"/>
  <c r="P3" i="3"/>
  <c r="O7" i="3"/>
  <c r="O13" i="3" s="1"/>
  <c r="O14" i="3" s="1"/>
  <c r="P8" i="3"/>
  <c r="P7" i="3" l="1"/>
  <c r="P13" i="3" s="1"/>
  <c r="P14" i="3" s="1"/>
  <c r="Q8" i="3"/>
  <c r="Q3" i="3"/>
  <c r="R1" i="3"/>
  <c r="Q7" i="3" l="1"/>
  <c r="Q13" i="3" s="1"/>
  <c r="Q14" i="3" s="1"/>
  <c r="R8" i="3"/>
  <c r="R3" i="3"/>
  <c r="S1" i="3"/>
  <c r="S3" i="3" l="1"/>
  <c r="T1" i="3"/>
  <c r="S8" i="3"/>
  <c r="R7" i="3"/>
  <c r="R13" i="3" s="1"/>
  <c r="R14" i="3" s="1"/>
  <c r="T8" i="3" l="1"/>
  <c r="S7" i="3"/>
  <c r="S13" i="3" s="1"/>
  <c r="S14" i="3" s="1"/>
  <c r="U1" i="3"/>
  <c r="U3" i="3" s="1"/>
  <c r="T3" i="3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8" i="3"/>
  <c r="L1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<sst xmlns="http://schemas.openxmlformats.org/spreadsheetml/2006/main" count="155" uniqueCount="137">
  <si>
    <t>This sheet contains FactSet XML data for use with this workbook's =FDS codes.  Modifying the worksheet's contents may damage the workbook's =FDS functionality.</t>
  </si>
  <si>
    <t>ENPH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</si>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</sst>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2282053000</v>
      </c>
    </row>
    <row r="3" spans="1:2" x14ac:dyDescent="0.25">
      <c r="A3" s="73" t="s">
        <v>3</v>
      </c>
      <c r="B3">
        <v>1199432000</v>
      </c>
    </row>
    <row r="4" spans="1:2" x14ac:dyDescent="0.25">
      <c r="A4" s="73" t="s">
        <v>4</v>
      </c>
      <c r="B4">
        <v>0.57555561420472134</v>
      </c>
    </row>
    <row r="5" spans="1:2" x14ac:dyDescent="0.25">
      <c r="A5" s="73" t="s">
        <v>5</v>
      </c>
      <c r="B5">
        <v>7.4035043253806799E-3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884523000</v>
      </c>
    </row>
    <row r="8" spans="1:2" x14ac:dyDescent="0.25">
      <c r="A8" s="73" t="s">
        <v>8</v>
      </c>
      <c r="B8">
        <v>0.42444438579527871</v>
      </c>
    </row>
    <row r="9" spans="1:2" x14ac:dyDescent="0.25">
      <c r="A9" s="73" t="s">
        <v>9</v>
      </c>
      <c r="B9">
        <v>0.15923921784518341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1.7108303380942851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7.0954483511436253E-2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13" sqref="L13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2017-06-30</v>
      </c>
      <c r="E1" s="66" t="str">
        <f>Python!A27</f>
        <v>2018-06-30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308.74</v>
      </c>
      <c r="E4" s="36">
        <f>IFERROR(INDEX(Python!$1:$1048576,MATCH(DCF_Simple!E$1,Python!$A:$A,0),MATCH(DCF_Simple!$B4,Python!$1:$1,0))/1000000,0)</f>
        <v>302.58</v>
      </c>
      <c r="F4" s="36">
        <f>IFERROR(INDEX(Python!$1:$1048576,MATCH(DCF_Simple!F$1,Python!$A:$A,0),MATCH(DCF_Simple!$B4,Python!$1:$1,0))/1000000,0)</f>
        <v>404.53500000000003</v>
      </c>
      <c r="G4" s="36">
        <f>IFERROR(INDEX(Python!$1:$1048576,MATCH(DCF_Simple!G$1,Python!$A:$A,0),MATCH(DCF_Simple!$B4,Python!$1:$1,0))/1000000,0)</f>
        <v>721.17200000000003</v>
      </c>
      <c r="H4" s="36">
        <f>IFERROR(INDEX(Python!$1:$1048576,MATCH(DCF_Simple!H$1,Python!$A:$A,0),MATCH(DCF_Simple!$B4,Python!$1:$1,0))/1000000,0)</f>
        <v>1061.153</v>
      </c>
      <c r="I4" s="36">
        <f>IFERROR(INDEX(Python!$1:$1048576,MATCH(DCF_Simple!I$1,Python!$A:$A,0),MATCH(DCF_Simple!$B4,Python!$1:$1,0))/1000000,0)</f>
        <v>1735.7260000000001</v>
      </c>
      <c r="J4" s="36">
        <f>IFERROR(INDEX(Python!$1:$1048576,MATCH(DCF_Simple!J$1,Python!$A:$A,0),MATCH(DCF_Simple!$B4,Python!$1:$1,0))/1000000,0)</f>
        <v>2796.4989999999998</v>
      </c>
      <c r="K4" s="55">
        <f>IFERROR(INDEX(Python!$1:$1048576,MATCH(DCF_Simple!K$1,Python!$A:$A,0),MATCH(DCF_Simple!$B4,Python!$1:$1,0))/1000000,0)</f>
        <v>1420.4490000000001</v>
      </c>
      <c r="L4" s="37">
        <f t="shared" ref="L4:U4" si="2">K4*(1+L5)</f>
        <v>1011.6164545929645</v>
      </c>
      <c r="M4" s="36">
        <f t="shared" si="2"/>
        <v>1112.7781000522609</v>
      </c>
      <c r="N4" s="36">
        <f t="shared" si="2"/>
        <v>1224.0559100574872</v>
      </c>
      <c r="O4" s="36">
        <f t="shared" si="2"/>
        <v>1346.461501063236</v>
      </c>
      <c r="P4" s="36">
        <f t="shared" si="2"/>
        <v>1481.1076511695599</v>
      </c>
      <c r="Q4" s="36">
        <f t="shared" si="2"/>
        <v>1629.218416286516</v>
      </c>
      <c r="R4" s="36">
        <f t="shared" si="2"/>
        <v>1792.1402579151677</v>
      </c>
      <c r="S4" s="36">
        <f t="shared" si="2"/>
        <v>1971.3542837066846</v>
      </c>
      <c r="T4" s="36">
        <f t="shared" si="2"/>
        <v>2168.489712077353</v>
      </c>
      <c r="U4" s="36">
        <f t="shared" si="2"/>
        <v>2385.3386832850883</v>
      </c>
      <c r="V4" s="19">
        <f>U4</f>
        <v>2385.3386832850883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-1.9952063224719874E-2</v>
      </c>
      <c r="F5" s="42">
        <f t="shared" si="3"/>
        <v>0.33695221098552475</v>
      </c>
      <c r="G5" s="42">
        <f t="shared" si="3"/>
        <v>0.78271842980211837</v>
      </c>
      <c r="H5" s="42">
        <f t="shared" si="3"/>
        <v>0.47142845257442056</v>
      </c>
      <c r="I5" s="42">
        <f t="shared" si="3"/>
        <v>0.63569815097351667</v>
      </c>
      <c r="J5" s="42">
        <f t="shared" si="3"/>
        <v>0.61114081369985795</v>
      </c>
      <c r="K5" s="58">
        <f t="shared" si="3"/>
        <v>-0.49206168140950513</v>
      </c>
      <c r="L5" s="43">
        <f>Python!F2</f>
        <v>-0.28781923561284889</v>
      </c>
      <c r="M5" s="43">
        <v>0.1</v>
      </c>
      <c r="N5" s="38">
        <f t="shared" ref="N5:U5" si="4">M5</f>
        <v>0.1</v>
      </c>
      <c r="O5" s="38">
        <f t="shared" si="4"/>
        <v>0.1</v>
      </c>
      <c r="P5" s="38">
        <f t="shared" si="4"/>
        <v>0.1</v>
      </c>
      <c r="Q5" s="38">
        <f t="shared" si="4"/>
        <v>0.1</v>
      </c>
      <c r="R5" s="38">
        <f t="shared" si="4"/>
        <v>0.1</v>
      </c>
      <c r="S5" s="38">
        <f t="shared" si="4"/>
        <v>0.1</v>
      </c>
      <c r="T5" s="38">
        <f t="shared" si="4"/>
        <v>0.1</v>
      </c>
      <c r="U5" s="38">
        <f t="shared" si="4"/>
        <v>0.1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-57.459000000000003</v>
      </c>
      <c r="E7" s="52">
        <f>IFERROR(INDEX(Python!$1:$1048576,MATCH(DCF_Simple!E$1,Python!$A:$A,0),MATCH(DCF_Simple!$B7,Python!$1:$1,0))/1000000,0)</f>
        <v>1.2430000000000001</v>
      </c>
      <c r="F7" s="52">
        <f>IFERROR(INDEX(Python!$1:$1048576,MATCH(DCF_Simple!F$1,Python!$A:$A,0),MATCH(DCF_Simple!$B7,Python!$1:$1,0))/1000000,0)</f>
        <v>34.673999999999999</v>
      </c>
      <c r="G7" s="52">
        <f>IFERROR(INDEX(Python!$1:$1048576,MATCH(DCF_Simple!G$1,Python!$A:$A,0),MATCH(DCF_Simple!$B7,Python!$1:$1,0))/1000000,0)</f>
        <v>152.46899999999999</v>
      </c>
      <c r="H7" s="52">
        <f>IFERROR(INDEX(Python!$1:$1048576,MATCH(DCF_Simple!H$1,Python!$A:$A,0),MATCH(DCF_Simple!$B7,Python!$1:$1,0))/1000000,0)</f>
        <v>254.06</v>
      </c>
      <c r="I7" s="52">
        <f>IFERROR(INDEX(Python!$1:$1048576,MATCH(DCF_Simple!I$1,Python!$A:$A,0),MATCH(DCF_Simple!$B7,Python!$1:$1,0))/1000000,0)</f>
        <v>466.41399999999999</v>
      </c>
      <c r="J7" s="52">
        <f>IFERROR(INDEX(Python!$1:$1048576,MATCH(DCF_Simple!J$1,Python!$A:$A,0),MATCH(DCF_Simple!$B7,Python!$1:$1,0))/1000000,0)</f>
        <v>865.34400000000005</v>
      </c>
      <c r="K7" s="57">
        <f>IFERROR(INDEX(Python!$1:$1048576,MATCH(DCF_Simple!K$1,Python!$A:$A,0),MATCH(DCF_Simple!$B7,Python!$1:$1,0))/1000000,0)</f>
        <v>296.63799999999998</v>
      </c>
      <c r="L7" s="64">
        <f t="shared" ref="L7:U7" si="5">L8*L4</f>
        <v>250.44053507608564</v>
      </c>
      <c r="M7" s="64">
        <f t="shared" si="5"/>
        <v>275.48458858369418</v>
      </c>
      <c r="N7" s="64">
        <f t="shared" si="5"/>
        <v>303.03304744206366</v>
      </c>
      <c r="O7" s="64">
        <f t="shared" si="5"/>
        <v>333.33635218627006</v>
      </c>
      <c r="P7" s="64">
        <f t="shared" si="5"/>
        <v>366.66998740489714</v>
      </c>
      <c r="Q7" s="64">
        <f t="shared" si="5"/>
        <v>403.3369861453869</v>
      </c>
      <c r="R7" s="64">
        <f t="shared" si="5"/>
        <v>443.67068475992556</v>
      </c>
      <c r="S7" s="64">
        <f t="shared" si="5"/>
        <v>488.03775323591816</v>
      </c>
      <c r="T7" s="64">
        <f t="shared" si="5"/>
        <v>536.84152855951004</v>
      </c>
      <c r="U7" s="64">
        <f t="shared" si="5"/>
        <v>590.52568141546101</v>
      </c>
      <c r="V7" s="65">
        <f>U7</f>
        <v>590.52568141546101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-0.18610805208265854</v>
      </c>
      <c r="E8" s="42">
        <f t="shared" si="6"/>
        <v>4.1080044946790939E-3</v>
      </c>
      <c r="F8" s="42">
        <f t="shared" si="6"/>
        <v>8.5713226296859346E-2</v>
      </c>
      <c r="G8" s="42">
        <f t="shared" si="6"/>
        <v>0.21141835789520391</v>
      </c>
      <c r="H8" s="42">
        <f t="shared" si="6"/>
        <v>0.23941882084864294</v>
      </c>
      <c r="I8" s="42">
        <f t="shared" si="6"/>
        <v>0.26871407123013652</v>
      </c>
      <c r="J8" s="42">
        <f t="shared" si="6"/>
        <v>0.30943833700637835</v>
      </c>
      <c r="K8" s="58">
        <f t="shared" si="6"/>
        <v>0.20883396728780826</v>
      </c>
      <c r="L8" s="38">
        <f>AVERAGE(G8:K8)</f>
        <v>0.24756471085363402</v>
      </c>
      <c r="M8" s="38">
        <f t="shared" ref="M8:U8" si="7">L8</f>
        <v>0.24756471085363402</v>
      </c>
      <c r="N8" s="38">
        <f t="shared" si="7"/>
        <v>0.24756471085363402</v>
      </c>
      <c r="O8" s="38">
        <f t="shared" si="7"/>
        <v>0.24756471085363402</v>
      </c>
      <c r="P8" s="38">
        <f t="shared" si="7"/>
        <v>0.24756471085363402</v>
      </c>
      <c r="Q8" s="38">
        <f t="shared" si="7"/>
        <v>0.24756471085363402</v>
      </c>
      <c r="R8" s="38">
        <f t="shared" si="7"/>
        <v>0.24756471085363402</v>
      </c>
      <c r="S8" s="38">
        <f t="shared" si="7"/>
        <v>0.24756471085363402</v>
      </c>
      <c r="T8" s="38">
        <f t="shared" si="7"/>
        <v>0.24756471085363402</v>
      </c>
      <c r="U8" s="38">
        <f t="shared" si="7"/>
        <v>0.24756471085363402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84.433999999999997</v>
      </c>
      <c r="E10" s="17">
        <f>IFERROR(INDEX(Python!$1:$1048576,MATCH(DCF_Simple!E$1,Python!$A:$A,0),MATCH(DCF_Simple!$B10,Python!$1:$1,0))/1000000,0)</f>
        <v>97.320999999999998</v>
      </c>
      <c r="F10" s="17">
        <f>IFERROR(INDEX(Python!$1:$1048576,MATCH(DCF_Simple!F$1,Python!$A:$A,0),MATCH(DCF_Simple!$B10,Python!$1:$1,0))/1000000,0)</f>
        <v>130.73699999999999</v>
      </c>
      <c r="G10" s="17">
        <f>IFERROR(INDEX(Python!$1:$1048576,MATCH(DCF_Simple!G$1,Python!$A:$A,0),MATCH(DCF_Simple!$B10,Python!$1:$1,0))/1000000,0)</f>
        <v>125.60299999999999</v>
      </c>
      <c r="H10" s="17">
        <f>IFERROR(INDEX(Python!$1:$1048576,MATCH(DCF_Simple!H$1,Python!$A:$A,0),MATCH(DCF_Simple!$B10,Python!$1:$1,0))/1000000,0)</f>
        <v>141.53299999999999</v>
      </c>
      <c r="I10" s="17">
        <f>IFERROR(INDEX(Python!$1:$1048576,MATCH(DCF_Simple!I$1,Python!$A:$A,0),MATCH(DCF_Simple!$B10,Python!$1:$1,0))/1000000,0)</f>
        <v>143.72499999999999</v>
      </c>
      <c r="J10" s="17">
        <f>IFERROR(INDEX(Python!$1:$1048576,MATCH(DCF_Simple!J$1,Python!$A:$A,0),MATCH(DCF_Simple!$B10,Python!$1:$1,0))/1000000,0)</f>
        <v>145.09800000000001</v>
      </c>
      <c r="K10" s="69">
        <f>IFERROR(INDEX(Python!$1:$1048576,MATCH(DCF_Simple!K$1,Python!$A:$A,0),MATCH(DCF_Simple!$B10,Python!$1:$1,0))/1000000,0)</f>
        <v>136.12299999999999</v>
      </c>
      <c r="L10" s="17">
        <f t="shared" ref="L10:U10" si="8">K10*(1+L11)</f>
        <v>136.12299999999999</v>
      </c>
      <c r="M10" s="17">
        <f t="shared" si="8"/>
        <v>136.12299999999999</v>
      </c>
      <c r="N10" s="17">
        <f t="shared" si="8"/>
        <v>136.12299999999999</v>
      </c>
      <c r="O10" s="17">
        <f t="shared" si="8"/>
        <v>136.12299999999999</v>
      </c>
      <c r="P10" s="17">
        <f t="shared" si="8"/>
        <v>136.12299999999999</v>
      </c>
      <c r="Q10" s="17">
        <f t="shared" si="8"/>
        <v>136.12299999999999</v>
      </c>
      <c r="R10" s="17">
        <f t="shared" si="8"/>
        <v>136.12299999999999</v>
      </c>
      <c r="S10" s="17">
        <f t="shared" si="8"/>
        <v>136.12299999999999</v>
      </c>
      <c r="T10" s="17">
        <f t="shared" si="8"/>
        <v>136.12299999999999</v>
      </c>
      <c r="U10" s="17">
        <f t="shared" si="8"/>
        <v>136.12299999999999</v>
      </c>
      <c r="V10" s="70">
        <f>U10</f>
        <v>136.12299999999999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0.15262808821091034</v>
      </c>
      <c r="F11" s="42">
        <f t="shared" si="9"/>
        <v>0.34335857625795052</v>
      </c>
      <c r="G11" s="42">
        <f t="shared" si="9"/>
        <v>-3.926967882083876E-2</v>
      </c>
      <c r="H11" s="42">
        <f t="shared" si="9"/>
        <v>0.1268281808555527</v>
      </c>
      <c r="I11" s="42">
        <f t="shared" si="9"/>
        <v>1.548755413931735E-2</v>
      </c>
      <c r="J11" s="42">
        <f t="shared" si="9"/>
        <v>9.5529657331712148E-3</v>
      </c>
      <c r="K11" s="58">
        <f t="shared" si="9"/>
        <v>-6.1854746447228881E-2</v>
      </c>
      <c r="L11" s="67">
        <v>0</v>
      </c>
      <c r="M11" s="67">
        <f t="shared" ref="L11:U11" si="10">L11</f>
        <v>0</v>
      </c>
      <c r="N11" s="67">
        <f t="shared" si="10"/>
        <v>0</v>
      </c>
      <c r="O11" s="67">
        <f t="shared" si="10"/>
        <v>0</v>
      </c>
      <c r="P11" s="67">
        <f t="shared" si="10"/>
        <v>0</v>
      </c>
      <c r="Q11" s="67">
        <f t="shared" si="10"/>
        <v>0</v>
      </c>
      <c r="R11" s="67">
        <f t="shared" si="10"/>
        <v>0</v>
      </c>
      <c r="S11" s="67">
        <f t="shared" si="10"/>
        <v>0</v>
      </c>
      <c r="T11" s="67">
        <f t="shared" si="10"/>
        <v>0</v>
      </c>
      <c r="U11" s="67">
        <f t="shared" si="10"/>
        <v>0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-0.68051969585711924</v>
      </c>
      <c r="E13" s="53">
        <f t="shared" si="11"/>
        <v>1.2772166336145335E-2</v>
      </c>
      <c r="F13" s="53">
        <f t="shared" si="11"/>
        <v>0.26521948644989563</v>
      </c>
      <c r="G13" s="53">
        <f t="shared" si="11"/>
        <v>1.21389616490052</v>
      </c>
      <c r="H13" s="53">
        <f t="shared" si="11"/>
        <v>1.7950583962750739</v>
      </c>
      <c r="I13" s="53">
        <f t="shared" si="11"/>
        <v>3.245183510175683</v>
      </c>
      <c r="J13" s="53">
        <f t="shared" si="11"/>
        <v>5.9638589091510568</v>
      </c>
      <c r="K13" s="59">
        <f t="shared" si="11"/>
        <v>2.179190878837522</v>
      </c>
      <c r="L13" s="53">
        <f t="shared" ref="L13:U13" si="12">L7/L10</f>
        <v>1.8398105762882515</v>
      </c>
      <c r="M13" s="53">
        <f t="shared" si="12"/>
        <v>2.0237916339170763</v>
      </c>
      <c r="N13" s="53">
        <f t="shared" si="12"/>
        <v>2.2261707973087845</v>
      </c>
      <c r="O13" s="53">
        <f t="shared" si="12"/>
        <v>2.4487878770396634</v>
      </c>
      <c r="P13" s="53">
        <f t="shared" si="12"/>
        <v>2.6936666647436303</v>
      </c>
      <c r="Q13" s="53">
        <f t="shared" si="12"/>
        <v>2.9630333312179937</v>
      </c>
      <c r="R13" s="53">
        <f t="shared" si="12"/>
        <v>3.2593366643397927</v>
      </c>
      <c r="S13" s="53">
        <f t="shared" si="12"/>
        <v>3.5852703307737723</v>
      </c>
      <c r="T13" s="53">
        <f t="shared" si="12"/>
        <v>3.9437973638511501</v>
      </c>
      <c r="U13" s="53">
        <f t="shared" si="12"/>
        <v>4.3381771002362646</v>
      </c>
      <c r="V13" s="71">
        <f>U13*(1+WACC!$B$13)/(WACC!$B$14-WACC!$B$13)</f>
        <v>86.841045915966433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1.7179166851759158</v>
      </c>
      <c r="M14" s="62">
        <f>M13/((1+WACC!$B$14)^(M3-$K$3))</f>
        <v>1.7645085601561215</v>
      </c>
      <c r="N14" s="62">
        <f>N13/((1+WACC!$B$14)^(N3-$K$3))</f>
        <v>1.8123640603359104</v>
      </c>
      <c r="O14" s="62">
        <f>O13/((1+WACC!$B$14)^(O3-$K$3))</f>
        <v>1.8615174566830344</v>
      </c>
      <c r="P14" s="62">
        <f>P13/((1+WACC!$B$14)^(P3-$K$3))</f>
        <v>1.9120039496332826</v>
      </c>
      <c r="Q14" s="62">
        <f>Q13/((1+WACC!$B$14)^(Q3-$K$3))</f>
        <v>1.9638596942987185</v>
      </c>
      <c r="R14" s="62">
        <f>R13/((1+WACC!$B$14)^(R3-$K$3))</f>
        <v>2.0171218263595998</v>
      </c>
      <c r="S14" s="62">
        <f>S13/((1+WACC!$B$14)^(S3-$K$3))</f>
        <v>2.0718284886585154</v>
      </c>
      <c r="T14" s="62">
        <f>T13/((1+WACC!$B$14)^(T3-$K$3))</f>
        <v>2.1280188585157838</v>
      </c>
      <c r="U14" s="62">
        <f>U13/((1+WACC!$B$14)^(U3-$K$3))</f>
        <v>2.1857331757856779</v>
      </c>
      <c r="V14" s="63">
        <f>V13/((1+WACC!$B$14)^(U3-$K$3))</f>
        <v>43.753712836693026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43.753712836693026</v>
      </c>
      <c r="L17" s="16">
        <f>C17/$C$19</f>
        <v>0.6924306411762412</v>
      </c>
      <c r="O17" s="18"/>
    </row>
    <row r="18" spans="2:22" x14ac:dyDescent="0.25">
      <c r="B18" s="8" t="s">
        <v>26</v>
      </c>
      <c r="C18" s="32">
        <f>SUM(14:14)-V14</f>
        <v>19.434872755602555</v>
      </c>
      <c r="K18" s="3"/>
      <c r="L18" s="16">
        <f>C18/$C$19</f>
        <v>0.3075693588237588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63.188585592295581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12.09497292889519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8.8113838219845295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66.472174699206235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-0.28781923561284889</v>
      </c>
    </row>
    <row r="3" spans="1:6" x14ac:dyDescent="0.25">
      <c r="A3" s="73" t="s">
        <v>34</v>
      </c>
      <c r="B3">
        <v>1420449000</v>
      </c>
      <c r="C3">
        <v>296638000</v>
      </c>
      <c r="D3">
        <v>136123000</v>
      </c>
      <c r="E3">
        <v>1646404000</v>
      </c>
      <c r="F3">
        <v>-0.56444975095553762</v>
      </c>
    </row>
    <row r="4" spans="1:6" x14ac:dyDescent="0.25">
      <c r="A4" s="73" t="s">
        <v>35</v>
      </c>
      <c r="B4">
        <v>1828109000</v>
      </c>
      <c r="C4">
        <v>404453000</v>
      </c>
      <c r="D4">
        <v>135891000</v>
      </c>
      <c r="E4">
        <v>1629593000</v>
      </c>
      <c r="F4">
        <v>-0.61949278941510932</v>
      </c>
    </row>
    <row r="5" spans="1:6" x14ac:dyDescent="0.25">
      <c r="A5" s="73" t="s">
        <v>36</v>
      </c>
      <c r="B5">
        <v>2290786000</v>
      </c>
      <c r="C5">
        <v>586379000</v>
      </c>
      <c r="D5">
        <v>139205000</v>
      </c>
      <c r="E5">
        <v>1695034000</v>
      </c>
      <c r="F5">
        <v>-0.54702395080673205</v>
      </c>
    </row>
    <row r="6" spans="1:6" x14ac:dyDescent="0.25">
      <c r="A6" s="73" t="s">
        <v>37</v>
      </c>
      <c r="B6">
        <v>2712868000</v>
      </c>
      <c r="C6">
        <v>808289000</v>
      </c>
      <c r="D6">
        <v>143863000</v>
      </c>
      <c r="E6">
        <v>1783884000</v>
      </c>
      <c r="F6">
        <v>-0.10822686789147221</v>
      </c>
    </row>
    <row r="7" spans="1:6" x14ac:dyDescent="0.25">
      <c r="A7" s="73" t="s">
        <v>38</v>
      </c>
      <c r="B7">
        <v>2796499000</v>
      </c>
      <c r="C7">
        <v>865344000</v>
      </c>
      <c r="D7">
        <v>145098000</v>
      </c>
      <c r="E7">
        <v>1800492000</v>
      </c>
      <c r="F7">
        <v>0.36198688786788291</v>
      </c>
    </row>
    <row r="8" spans="1:6" x14ac:dyDescent="0.25">
      <c r="A8" s="73" t="s">
        <v>39</v>
      </c>
      <c r="B8">
        <v>2615577000</v>
      </c>
      <c r="C8">
        <v>832062000</v>
      </c>
      <c r="D8">
        <v>145986000</v>
      </c>
      <c r="E8">
        <v>1778397000</v>
      </c>
      <c r="F8">
        <v>0.65944544655239623</v>
      </c>
    </row>
    <row r="9" spans="1:6" x14ac:dyDescent="0.25">
      <c r="A9" s="73" t="s">
        <v>40</v>
      </c>
      <c r="B9">
        <v>2330853000</v>
      </c>
      <c r="C9">
        <v>698374000</v>
      </c>
      <c r="D9">
        <v>146311000</v>
      </c>
      <c r="E9">
        <v>1612843000</v>
      </c>
      <c r="F9">
        <v>0.70593066953544659</v>
      </c>
    </row>
    <row r="10" spans="1:6" x14ac:dyDescent="0.25">
      <c r="A10" s="73" t="s">
        <v>41</v>
      </c>
      <c r="B10">
        <v>2018920000</v>
      </c>
      <c r="C10">
        <v>545054000</v>
      </c>
      <c r="D10">
        <v>145962000</v>
      </c>
      <c r="E10">
        <v>1417296000</v>
      </c>
    </row>
    <row r="11" spans="1:6" x14ac:dyDescent="0.25">
      <c r="A11" s="73" t="s">
        <v>42</v>
      </c>
      <c r="B11">
        <v>1735726000</v>
      </c>
      <c r="C11">
        <v>466414000</v>
      </c>
      <c r="D11">
        <v>143725000</v>
      </c>
      <c r="E11">
        <v>1247801000</v>
      </c>
      <c r="F11">
        <v>0.218208376969977</v>
      </c>
    </row>
    <row r="12" spans="1:6" x14ac:dyDescent="0.25">
      <c r="A12" s="73" t="s">
        <v>43</v>
      </c>
      <c r="B12">
        <v>1521587000</v>
      </c>
      <c r="C12">
        <v>323687000</v>
      </c>
      <c r="D12">
        <v>144617000</v>
      </c>
      <c r="E12">
        <v>1063471000</v>
      </c>
      <c r="F12">
        <v>0.2004965170304287</v>
      </c>
    </row>
    <row r="13" spans="1:6" x14ac:dyDescent="0.25">
      <c r="A13" s="73" t="s">
        <v>44</v>
      </c>
      <c r="B13">
        <v>1382049000</v>
      </c>
      <c r="C13">
        <v>299520000</v>
      </c>
      <c r="D13">
        <v>141480000</v>
      </c>
      <c r="E13">
        <v>1016651000</v>
      </c>
      <c r="F13">
        <v>0.49709823704212752</v>
      </c>
    </row>
    <row r="14" spans="1:6" x14ac:dyDescent="0.25">
      <c r="A14" s="73" t="s">
        <v>45</v>
      </c>
      <c r="B14">
        <v>1234169000</v>
      </c>
      <c r="C14">
        <v>290884000</v>
      </c>
      <c r="D14">
        <v>141220000</v>
      </c>
      <c r="E14">
        <v>1394123000</v>
      </c>
      <c r="F14">
        <v>0.9183431090793992</v>
      </c>
    </row>
    <row r="15" spans="1:6" x14ac:dyDescent="0.25">
      <c r="A15" s="73" t="s">
        <v>46</v>
      </c>
      <c r="B15">
        <v>1061153000</v>
      </c>
      <c r="C15">
        <v>254060000</v>
      </c>
      <c r="D15">
        <v>141533000</v>
      </c>
      <c r="E15">
        <v>1312261000</v>
      </c>
      <c r="F15">
        <v>1.7230798642642069</v>
      </c>
    </row>
    <row r="16" spans="1:6" x14ac:dyDescent="0.25">
      <c r="A16" s="73" t="s">
        <v>47</v>
      </c>
      <c r="B16">
        <v>870634000</v>
      </c>
      <c r="C16">
        <v>225808000</v>
      </c>
      <c r="D16">
        <v>146442000</v>
      </c>
      <c r="E16">
        <v>1489010000</v>
      </c>
      <c r="F16">
        <v>0.42027293293439388</v>
      </c>
    </row>
    <row r="17" spans="1:6" x14ac:dyDescent="0.25">
      <c r="A17" s="73" t="s">
        <v>48</v>
      </c>
      <c r="B17">
        <v>774425000</v>
      </c>
      <c r="C17">
        <v>195776000</v>
      </c>
      <c r="D17">
        <v>145990000</v>
      </c>
      <c r="E17">
        <v>679379000</v>
      </c>
      <c r="F17">
        <v>-4.6601846385312728E-2</v>
      </c>
    </row>
    <row r="18" spans="1:6" x14ac:dyDescent="0.25">
      <c r="A18" s="73" t="s">
        <v>49</v>
      </c>
      <c r="B18">
        <v>719618000</v>
      </c>
      <c r="C18">
        <v>215298000</v>
      </c>
      <c r="D18">
        <v>141820000</v>
      </c>
      <c r="E18">
        <v>661792000</v>
      </c>
      <c r="F18">
        <v>-0.20690448024792149</v>
      </c>
    </row>
    <row r="19" spans="1:6" x14ac:dyDescent="0.25">
      <c r="A19" s="73" t="s">
        <v>50</v>
      </c>
      <c r="B19">
        <v>721172000</v>
      </c>
      <c r="C19">
        <v>152469000</v>
      </c>
      <c r="D19">
        <v>125603000</v>
      </c>
      <c r="E19">
        <v>607254000</v>
      </c>
      <c r="F19">
        <v>-0.22901669724223311</v>
      </c>
    </row>
    <row r="20" spans="1:6" x14ac:dyDescent="0.25">
      <c r="A20" s="73" t="s">
        <v>51</v>
      </c>
      <c r="B20">
        <v>729728000</v>
      </c>
      <c r="C20">
        <v>143743000</v>
      </c>
      <c r="D20">
        <v>138104000</v>
      </c>
      <c r="E20">
        <v>549144000</v>
      </c>
      <c r="F20">
        <v>0.72831279081377942</v>
      </c>
    </row>
    <row r="21" spans="1:6" x14ac:dyDescent="0.25">
      <c r="A21" s="73" t="s">
        <v>52</v>
      </c>
      <c r="B21">
        <v>624333000</v>
      </c>
      <c r="C21">
        <v>124279000</v>
      </c>
      <c r="D21">
        <v>132872000</v>
      </c>
      <c r="E21">
        <v>251409000</v>
      </c>
      <c r="F21">
        <v>0.9256832775303665</v>
      </c>
    </row>
    <row r="22" spans="1:6" x14ac:dyDescent="0.25">
      <c r="A22" s="73" t="s">
        <v>53</v>
      </c>
      <c r="B22">
        <v>506590000</v>
      </c>
      <c r="C22">
        <v>29536000</v>
      </c>
      <c r="D22">
        <v>133611000</v>
      </c>
      <c r="E22">
        <v>203046000</v>
      </c>
      <c r="F22">
        <v>0.92363657342119443</v>
      </c>
    </row>
    <row r="23" spans="1:6" x14ac:dyDescent="0.25">
      <c r="A23" s="73" t="s">
        <v>54</v>
      </c>
      <c r="B23">
        <v>404535000</v>
      </c>
      <c r="C23">
        <v>34674000</v>
      </c>
      <c r="D23">
        <v>130737000</v>
      </c>
      <c r="E23">
        <v>205959000</v>
      </c>
      <c r="F23">
        <v>0.27603122694213139</v>
      </c>
    </row>
    <row r="24" spans="1:6" x14ac:dyDescent="0.25">
      <c r="A24" s="73" t="s">
        <v>55</v>
      </c>
      <c r="B24">
        <v>346337000</v>
      </c>
      <c r="C24">
        <v>26068000</v>
      </c>
      <c r="D24">
        <v>115863000</v>
      </c>
      <c r="E24">
        <v>78087000</v>
      </c>
      <c r="F24">
        <v>-0.1054457497284628</v>
      </c>
    </row>
    <row r="25" spans="1:6" x14ac:dyDescent="0.25">
      <c r="A25" s="73" t="s">
        <v>56</v>
      </c>
      <c r="B25">
        <v>316159000</v>
      </c>
      <c r="C25">
        <v>11981000</v>
      </c>
      <c r="D25">
        <v>113888000</v>
      </c>
      <c r="E25">
        <v>106237000</v>
      </c>
      <c r="F25">
        <v>0.73749905866405596</v>
      </c>
    </row>
    <row r="26" spans="1:6" x14ac:dyDescent="0.25">
      <c r="A26" s="73" t="s">
        <v>57</v>
      </c>
      <c r="B26">
        <v>303544000</v>
      </c>
      <c r="C26">
        <v>9447000</v>
      </c>
      <c r="D26">
        <v>102798000</v>
      </c>
      <c r="E26">
        <v>116164000</v>
      </c>
      <c r="F26">
        <v>1.2513305122147539E-2</v>
      </c>
    </row>
    <row r="27" spans="1:6" x14ac:dyDescent="0.25">
      <c r="A27" s="73" t="s">
        <v>58</v>
      </c>
      <c r="B27">
        <v>302580000</v>
      </c>
      <c r="C27">
        <v>1243000</v>
      </c>
      <c r="D27">
        <v>97321000</v>
      </c>
      <c r="E27">
        <v>58471000</v>
      </c>
      <c r="F27">
        <v>-0.49202184621974732</v>
      </c>
    </row>
    <row r="28" spans="1:6" x14ac:dyDescent="0.25">
      <c r="A28" s="73" t="s">
        <v>59</v>
      </c>
      <c r="B28">
        <v>301388000</v>
      </c>
      <c r="C28">
        <v>-2268000</v>
      </c>
      <c r="D28">
        <v>91422000</v>
      </c>
      <c r="E28">
        <v>53255000</v>
      </c>
      <c r="F28">
        <v>2.834012145896879</v>
      </c>
    </row>
    <row r="29" spans="1:6" x14ac:dyDescent="0.25">
      <c r="A29" s="73" t="s">
        <v>60</v>
      </c>
      <c r="B29">
        <v>286167000</v>
      </c>
      <c r="C29">
        <v>-32563000</v>
      </c>
      <c r="D29">
        <v>85689000</v>
      </c>
      <c r="E29">
        <v>29144000</v>
      </c>
      <c r="F29">
        <v>1.374364521362899</v>
      </c>
    </row>
    <row r="30" spans="1:6" x14ac:dyDescent="0.25">
      <c r="A30" s="73" t="s">
        <v>61</v>
      </c>
      <c r="B30">
        <v>297094000</v>
      </c>
      <c r="C30">
        <v>-37062000</v>
      </c>
      <c r="D30">
        <v>84862000</v>
      </c>
      <c r="E30">
        <v>28878000</v>
      </c>
      <c r="F30">
        <v>3.343342654819359</v>
      </c>
    </row>
    <row r="31" spans="1:6" x14ac:dyDescent="0.25">
      <c r="A31" s="73" t="s">
        <v>62</v>
      </c>
      <c r="B31">
        <v>308740000</v>
      </c>
      <c r="C31">
        <v>-57459000</v>
      </c>
      <c r="D31">
        <v>84434000</v>
      </c>
      <c r="E31">
        <v>30953000</v>
      </c>
      <c r="F31">
        <v>-0.17451537538675249</v>
      </c>
    </row>
    <row r="32" spans="1:6" x14ac:dyDescent="0.25">
      <c r="A32" s="73" t="s">
        <v>63</v>
      </c>
      <c r="B32">
        <v>313221000</v>
      </c>
      <c r="C32">
        <v>-55178000</v>
      </c>
      <c r="D32">
        <v>76651000</v>
      </c>
      <c r="E32">
        <v>29955000</v>
      </c>
      <c r="F32">
        <v>-0.33587886963709229</v>
      </c>
    </row>
    <row r="33" spans="1:6" x14ac:dyDescent="0.25">
      <c r="A33" s="73" t="s">
        <v>64</v>
      </c>
      <c r="B33">
        <v>322591000</v>
      </c>
      <c r="C33">
        <v>-45798000</v>
      </c>
      <c r="D33">
        <v>61881000</v>
      </c>
      <c r="E33">
        <v>17764000</v>
      </c>
      <c r="F33">
        <v>0.1044020174008442</v>
      </c>
    </row>
    <row r="34" spans="1:6" x14ac:dyDescent="0.25">
      <c r="A34" s="73" t="s">
        <v>65</v>
      </c>
      <c r="B34">
        <v>297619000</v>
      </c>
      <c r="C34">
        <v>-33804000</v>
      </c>
      <c r="D34">
        <v>47278000</v>
      </c>
      <c r="E34">
        <v>24112000</v>
      </c>
      <c r="F34">
        <v>-0.26108776756031649</v>
      </c>
    </row>
    <row r="35" spans="1:6" x14ac:dyDescent="0.25">
      <c r="A35" s="73" t="s">
        <v>66</v>
      </c>
      <c r="B35">
        <v>311809000</v>
      </c>
      <c r="C35">
        <v>-20570000</v>
      </c>
      <c r="D35">
        <v>46620000</v>
      </c>
      <c r="E35">
        <v>8243000</v>
      </c>
      <c r="F35">
        <v>-0.30194528518115837</v>
      </c>
    </row>
    <row r="36" spans="1:6" x14ac:dyDescent="0.25">
      <c r="A36" s="73" t="s">
        <v>67</v>
      </c>
      <c r="B36">
        <v>334717000</v>
      </c>
      <c r="C36">
        <v>-37410000</v>
      </c>
      <c r="D36">
        <v>46209000</v>
      </c>
      <c r="E36">
        <v>13016000</v>
      </c>
      <c r="F36">
        <v>-0.32531748468027649</v>
      </c>
    </row>
    <row r="37" spans="1:6" x14ac:dyDescent="0.25">
      <c r="A37" s="73" t="s">
        <v>68</v>
      </c>
      <c r="B37">
        <v>357249000</v>
      </c>
      <c r="C37">
        <v>-33922000</v>
      </c>
      <c r="D37">
        <v>45504000</v>
      </c>
      <c r="E37">
        <v>28452000</v>
      </c>
      <c r="F37">
        <v>-0.45104869447850432</v>
      </c>
    </row>
    <row r="38" spans="1:6" x14ac:dyDescent="0.25">
      <c r="A38" s="73" t="s">
        <v>69</v>
      </c>
      <c r="B38">
        <v>396827000</v>
      </c>
      <c r="C38">
        <v>-34274000</v>
      </c>
      <c r="D38">
        <v>47996000</v>
      </c>
      <c r="E38">
        <v>22491000</v>
      </c>
      <c r="F38">
        <v>-0.61077003016758646</v>
      </c>
    </row>
    <row r="39" spans="1:6" x14ac:dyDescent="0.25">
      <c r="A39" s="73" t="s">
        <v>70</v>
      </c>
      <c r="B39">
        <v>393066000</v>
      </c>
      <c r="C39">
        <v>-19109000</v>
      </c>
      <c r="D39">
        <v>44319000</v>
      </c>
      <c r="E39">
        <v>31887000</v>
      </c>
      <c r="F39">
        <v>-0.58500804838788345</v>
      </c>
    </row>
    <row r="40" spans="1:6" x14ac:dyDescent="0.25">
      <c r="A40" s="73" t="s">
        <v>71</v>
      </c>
      <c r="B40">
        <v>372977000</v>
      </c>
      <c r="C40">
        <v>-6995000</v>
      </c>
      <c r="D40">
        <v>43950000</v>
      </c>
      <c r="E40">
        <v>27127000</v>
      </c>
      <c r="F40">
        <v>0.71990274400833631</v>
      </c>
    </row>
    <row r="41" spans="1:6" x14ac:dyDescent="0.25">
      <c r="A41" s="73" t="s">
        <v>72</v>
      </c>
      <c r="B41">
        <v>343904000</v>
      </c>
      <c r="C41">
        <v>10223000</v>
      </c>
      <c r="D41">
        <v>49004000</v>
      </c>
      <c r="E41">
        <v>42032000</v>
      </c>
      <c r="F41">
        <v>0.29437746062992121</v>
      </c>
    </row>
    <row r="42" spans="1:6" x14ac:dyDescent="0.25">
      <c r="A42" s="73" t="s">
        <v>73</v>
      </c>
      <c r="B42">
        <v>305753000</v>
      </c>
      <c r="C42">
        <v>11714000</v>
      </c>
      <c r="D42">
        <v>48786000</v>
      </c>
      <c r="E42">
        <v>44537000</v>
      </c>
      <c r="F42">
        <v>0.39773514811591387</v>
      </c>
    </row>
    <row r="43" spans="1:6" x14ac:dyDescent="0.25">
      <c r="A43" s="73" t="s">
        <v>74</v>
      </c>
      <c r="B43">
        <v>268686000</v>
      </c>
      <c r="C43">
        <v>4101000</v>
      </c>
      <c r="D43">
        <v>42648000</v>
      </c>
      <c r="E43">
        <v>37621000</v>
      </c>
      <c r="F43">
        <v>1.8196056183059119</v>
      </c>
    </row>
    <row r="44" spans="1:6" x14ac:dyDescent="0.25">
      <c r="A44" s="73" t="s">
        <v>75</v>
      </c>
      <c r="B44">
        <v>244849000</v>
      </c>
      <c r="C44">
        <v>3634000</v>
      </c>
      <c r="D44">
        <v>42205000</v>
      </c>
      <c r="E44">
        <v>39935000</v>
      </c>
      <c r="F44">
        <v>0.64236347280426531</v>
      </c>
    </row>
    <row r="45" spans="1:6" x14ac:dyDescent="0.25">
      <c r="A45" s="73" t="s">
        <v>76</v>
      </c>
      <c r="B45">
        <v>232846000</v>
      </c>
      <c r="C45">
        <v>-7129000</v>
      </c>
      <c r="D45">
        <v>42032000</v>
      </c>
      <c r="E45">
        <v>38190000</v>
      </c>
      <c r="F45">
        <v>0.7472206781545303</v>
      </c>
    </row>
    <row r="46" spans="1:6" x14ac:dyDescent="0.25">
      <c r="A46" s="73" t="s">
        <v>77</v>
      </c>
      <c r="B46">
        <v>223358000</v>
      </c>
      <c r="C46">
        <v>-7644000</v>
      </c>
      <c r="D46">
        <v>41777000</v>
      </c>
      <c r="E46">
        <v>31778000</v>
      </c>
      <c r="F46">
        <v>2.027527009027685E-2</v>
      </c>
    </row>
    <row r="47" spans="1:6" x14ac:dyDescent="0.25">
      <c r="A47" s="73" t="s">
        <v>78</v>
      </c>
      <c r="B47">
        <v>222125000</v>
      </c>
      <c r="C47">
        <v>-29206000</v>
      </c>
      <c r="D47">
        <v>41617000</v>
      </c>
      <c r="E47">
        <v>33976000</v>
      </c>
      <c r="F47">
        <v>0.13137601666157961</v>
      </c>
    </row>
    <row r="48" spans="1:6" x14ac:dyDescent="0.25">
      <c r="A48" s="73" t="s">
        <v>79</v>
      </c>
      <c r="B48">
        <v>219655000</v>
      </c>
      <c r="C48">
        <v>-47613000</v>
      </c>
      <c r="D48">
        <v>41149000</v>
      </c>
      <c r="E48">
        <v>36434000</v>
      </c>
      <c r="F48">
        <v>0.17177619718309869</v>
      </c>
    </row>
    <row r="49" spans="1:6" x14ac:dyDescent="0.25">
      <c r="A49" s="73" t="s">
        <v>80</v>
      </c>
      <c r="B49">
        <v>216678000</v>
      </c>
      <c r="C49">
        <v>-57635000</v>
      </c>
      <c r="D49">
        <v>40819000</v>
      </c>
      <c r="E49">
        <v>45294000</v>
      </c>
      <c r="F49">
        <v>0.59536060839430105</v>
      </c>
    </row>
    <row r="50" spans="1:6" x14ac:dyDescent="0.25">
      <c r="A50" s="73" t="s">
        <v>81</v>
      </c>
      <c r="B50">
        <v>216244000</v>
      </c>
      <c r="C50">
        <v>-45539000</v>
      </c>
      <c r="D50">
        <v>40755000</v>
      </c>
      <c r="E50">
        <v>41717000</v>
      </c>
      <c r="F50">
        <v>0.51068681810051864</v>
      </c>
    </row>
    <row r="51" spans="1:6" x14ac:dyDescent="0.25">
      <c r="A51" s="73" t="s">
        <v>82</v>
      </c>
      <c r="B51">
        <v>200159000</v>
      </c>
      <c r="C51">
        <v>-32076000</v>
      </c>
      <c r="D51">
        <v>39461000</v>
      </c>
      <c r="E51">
        <v>66969000</v>
      </c>
      <c r="F51">
        <v>2.169960563665855</v>
      </c>
    </row>
    <row r="52" spans="1:6" x14ac:dyDescent="0.25">
      <c r="A52" s="73" t="s">
        <v>83</v>
      </c>
      <c r="B52">
        <v>174054000</v>
      </c>
      <c r="C52">
        <v>-22380000</v>
      </c>
      <c r="D52">
        <v>1706000</v>
      </c>
      <c r="E52">
        <v>31903000</v>
      </c>
    </row>
    <row r="53" spans="1:6" x14ac:dyDescent="0.25">
      <c r="A53" s="73" t="s">
        <v>84</v>
      </c>
      <c r="B53">
        <v>149523000</v>
      </c>
      <c r="C53">
        <v>-15029000</v>
      </c>
      <c r="D53">
        <v>39290870</v>
      </c>
      <c r="E53">
        <v>51524000</v>
      </c>
    </row>
    <row r="54" spans="1:6" x14ac:dyDescent="0.25">
      <c r="A54" s="73" t="s">
        <v>85</v>
      </c>
      <c r="B54">
        <v>113004000</v>
      </c>
      <c r="C54">
        <v>-39203000</v>
      </c>
      <c r="D54">
        <v>1503000</v>
      </c>
      <c r="E54">
        <v>26522000</v>
      </c>
    </row>
    <row r="55" spans="1:6" x14ac:dyDescent="0.25">
      <c r="A55" s="73" t="s">
        <v>86</v>
      </c>
      <c r="B55">
        <v>86966000</v>
      </c>
      <c r="C55">
        <v>-33573000</v>
      </c>
      <c r="D55">
        <v>1034000</v>
      </c>
      <c r="E55">
        <v>35568000</v>
      </c>
    </row>
    <row r="56" spans="1:6" x14ac:dyDescent="0.25">
      <c r="A56" s="73" t="s">
        <v>87</v>
      </c>
      <c r="B56">
        <v>68143000</v>
      </c>
      <c r="C56">
        <v>-26966000</v>
      </c>
      <c r="D56">
        <v>848000</v>
      </c>
      <c r="E56">
        <v>30524000</v>
      </c>
    </row>
    <row r="57" spans="1:6" x14ac:dyDescent="0.25">
      <c r="A57" s="73" t="s">
        <v>88</v>
      </c>
      <c r="B57">
        <v>61661000</v>
      </c>
      <c r="C57">
        <v>-21114000</v>
      </c>
      <c r="D57">
        <v>1130000</v>
      </c>
      <c r="E57">
        <v>39993000</v>
      </c>
    </row>
    <row r="58" spans="1:6" x14ac:dyDescent="0.25">
      <c r="A58" s="73" t="s">
        <v>89</v>
      </c>
      <c r="D58">
        <v>1503000</v>
      </c>
    </row>
    <row r="59" spans="1:6" x14ac:dyDescent="0.25">
      <c r="A59" s="73" t="s">
        <v>90</v>
      </c>
      <c r="D59">
        <v>1503000</v>
      </c>
    </row>
    <row r="60" spans="1:6" x14ac:dyDescent="0.25">
      <c r="A60" s="73" t="s">
        <v>91</v>
      </c>
      <c r="D60">
        <v>1503000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92</v>
      </c>
      <c r="B1" s="27" t="s">
        <v>93</v>
      </c>
      <c r="C1" t="s">
        <v>94</v>
      </c>
      <c r="D1" t="s">
        <v>95</v>
      </c>
      <c r="F1" s="27" t="s">
        <v>93</v>
      </c>
      <c r="G1" t="s">
        <v>94</v>
      </c>
      <c r="H1" t="s">
        <v>95</v>
      </c>
      <c r="J1" t="s">
        <v>96</v>
      </c>
      <c r="K1" t="s">
        <v>94</v>
      </c>
      <c r="L1" t="s">
        <v>95</v>
      </c>
      <c r="N1" t="s">
        <v>97</v>
      </c>
      <c r="O1" t="s">
        <v>94</v>
      </c>
      <c r="P1" t="s">
        <v>95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98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99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100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101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102</v>
      </c>
    </row>
    <row r="7" spans="1:46" x14ac:dyDescent="0.25">
      <c r="A7" s="27" t="s">
        <v>103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104</v>
      </c>
    </row>
    <row r="8" spans="1:46" x14ac:dyDescent="0.25">
      <c r="A8" s="27" t="s">
        <v>105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106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107</v>
      </c>
    </row>
    <row r="10" spans="1:46" x14ac:dyDescent="0.25">
      <c r="A10" s="27" t="s">
        <v>108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109</v>
      </c>
    </row>
    <row r="11" spans="1:46" x14ac:dyDescent="0.25">
      <c r="A11" s="27" t="s">
        <v>110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111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112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113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114</v>
      </c>
    </row>
    <row r="15" spans="1:46" x14ac:dyDescent="0.25">
      <c r="A15" s="27" t="s">
        <v>115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116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117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118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119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120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121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122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123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124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125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126</v>
      </c>
      <c r="J26">
        <v>0.61799999999999999</v>
      </c>
      <c r="N26">
        <v>-0.36399999999999999</v>
      </c>
    </row>
    <row r="27" spans="1:17" x14ac:dyDescent="0.25">
      <c r="A27" s="27" t="s">
        <v>127</v>
      </c>
    </row>
    <row r="28" spans="1:17" x14ac:dyDescent="0.25">
      <c r="A28" s="27" t="s">
        <v>128</v>
      </c>
    </row>
    <row r="29" spans="1:17" x14ac:dyDescent="0.25">
      <c r="A29" s="27" t="s">
        <v>129</v>
      </c>
    </row>
    <row r="31" spans="1:17" x14ac:dyDescent="0.25">
      <c r="A31" s="26" t="s">
        <v>130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131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132</v>
      </c>
      <c r="C1" s="73" t="s">
        <v>133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134</v>
      </c>
      <c r="D2">
        <v>1.795869708337527</v>
      </c>
      <c r="E2">
        <v>0.16512989506086079</v>
      </c>
    </row>
    <row r="3" spans="1:5" x14ac:dyDescent="0.25">
      <c r="A3" s="73">
        <v>1</v>
      </c>
      <c r="B3">
        <v>3</v>
      </c>
      <c r="C3" t="s">
        <v>135</v>
      </c>
      <c r="D3">
        <v>1.6936614660111211</v>
      </c>
      <c r="E3">
        <v>0.15804993006812329</v>
      </c>
    </row>
    <row r="4" spans="1:5" x14ac:dyDescent="0.25">
      <c r="A4" s="73">
        <v>2</v>
      </c>
      <c r="B4">
        <v>3</v>
      </c>
      <c r="C4" t="s">
        <v>136</v>
      </c>
      <c r="D4">
        <v>1.685651941979734</v>
      </c>
      <c r="E4">
        <v>0.15749511033480279</v>
      </c>
    </row>
    <row r="5" spans="1:5" x14ac:dyDescent="0.25">
      <c r="A5" s="73">
        <v>3</v>
      </c>
      <c r="B5">
        <v>5</v>
      </c>
      <c r="C5" t="s">
        <v>134</v>
      </c>
      <c r="D5">
        <v>1.727999210177448</v>
      </c>
      <c r="E5">
        <v>0.16042850562224339</v>
      </c>
    </row>
    <row r="6" spans="1:5" x14ac:dyDescent="0.25">
      <c r="A6" s="73">
        <v>4</v>
      </c>
      <c r="B6">
        <v>5</v>
      </c>
      <c r="C6" t="s">
        <v>135</v>
      </c>
      <c r="D6">
        <v>1.925382686688949</v>
      </c>
      <c r="E6">
        <v>0.17410125913055011</v>
      </c>
    </row>
    <row r="7" spans="1:5" x14ac:dyDescent="0.25">
      <c r="A7" s="73">
        <v>5</v>
      </c>
      <c r="B7">
        <v>5</v>
      </c>
      <c r="C7" t="s">
        <v>136</v>
      </c>
      <c r="D7">
        <v>1.6204725264904569</v>
      </c>
      <c r="E7">
        <v>0.15298013219402379</v>
      </c>
    </row>
    <row r="8" spans="1:5" x14ac:dyDescent="0.25">
      <c r="A8" s="73">
        <v>6</v>
      </c>
      <c r="B8" t="s">
        <v>130</v>
      </c>
      <c r="D8">
        <v>1.7415062566142061</v>
      </c>
      <c r="E8">
        <v>0.16136413873510069</v>
      </c>
    </row>
    <row r="9" spans="1:5" x14ac:dyDescent="0.25">
      <c r="A9" s="73">
        <v>7</v>
      </c>
      <c r="B9" t="s">
        <v>131</v>
      </c>
      <c r="D9">
        <v>1.7108303380942851</v>
      </c>
      <c r="E9">
        <v>0.15923921784518341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2024-10-18T21:13:08Z</dcterms:modified>
</cp:coreProperties>
</file>