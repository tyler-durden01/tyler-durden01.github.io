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79" documentId="11_97B773BC3ECD9AF03CA3696FA86A62365E2BDAED" xr6:coauthVersionLast="47" xr6:coauthVersionMax="47" xr10:uidLastSave="{9A99113D-AA25-43D7-B1ED-55741B13FF96}"/>
  <bookViews>
    <workbookView xWindow="-120" yWindow="-120" windowWidth="29040" windowHeight="15720" firstSheet="19" activeTab="21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Product % Total" sheetId="14" r:id="rId14"/>
    <sheet name="Revenue Product % YoY" sheetId="15" r:id="rId15"/>
    <sheet name="Revenue Product % QoQ" sheetId="16" r:id="rId16"/>
    <sheet name="Revenue Geographic Seg." sheetId="17" r:id="rId17"/>
    <sheet name="Revenue Geographic % Total" sheetId="18" r:id="rId18"/>
    <sheet name="Revenue Geographic % YoY" sheetId="19" r:id="rId19"/>
    <sheet name="Revenue Geographic % QoQ" sheetId="20" r:id="rId20"/>
    <sheet name="Market Caps" sheetId="21" r:id="rId21"/>
    <sheet name="Daily Prices" sheetId="22" r:id="rId22"/>
    <sheet name="Balance Sheet Metrics" sheetId="23" r:id="rId23"/>
    <sheet name="Relative Valuations" sheetId="24" r:id="rId24"/>
    <sheet name="CAPM" sheetId="25" r:id="rId25"/>
    <sheet name="Beta Analysis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1" l="1"/>
  <c r="L13" i="11" s="1"/>
  <c r="N17" i="11"/>
  <c r="O17" i="11" s="1"/>
  <c r="P17" i="11" s="1"/>
  <c r="Q17" i="11" s="1"/>
  <c r="R17" i="11" s="1"/>
  <c r="S17" i="11" s="1"/>
  <c r="T17" i="11" s="1"/>
  <c r="U17" i="11" s="1"/>
  <c r="V17" i="11" s="1"/>
  <c r="W17" i="11" s="1"/>
  <c r="M17" i="11"/>
  <c r="N18" i="11"/>
  <c r="O18" i="11" s="1"/>
  <c r="P18" i="11" s="1"/>
  <c r="Q18" i="11" s="1"/>
  <c r="R18" i="11" s="1"/>
  <c r="S18" i="11" s="1"/>
  <c r="T18" i="11" s="1"/>
  <c r="U18" i="11" s="1"/>
  <c r="V18" i="11" s="1"/>
  <c r="W18" i="11" s="1"/>
  <c r="L17" i="11"/>
  <c r="L14" i="11"/>
  <c r="N3" i="11"/>
  <c r="O3" i="11"/>
  <c r="P3" i="11"/>
  <c r="Q3" i="11"/>
  <c r="R3" i="11"/>
  <c r="S3" i="11"/>
  <c r="T3" i="11"/>
  <c r="U3" i="11"/>
  <c r="V3" i="11"/>
  <c r="M3" i="11"/>
  <c r="N8" i="11"/>
  <c r="O8" i="11"/>
  <c r="P8" i="11"/>
  <c r="Q8" i="11"/>
  <c r="R8" i="11"/>
  <c r="S8" i="11"/>
  <c r="T8" i="11"/>
  <c r="U8" i="11"/>
  <c r="V8" i="11"/>
  <c r="M8" i="11"/>
  <c r="S7" i="11"/>
  <c r="T7" i="11" s="1"/>
  <c r="U7" i="11" s="1"/>
  <c r="V7" i="11" s="1"/>
  <c r="R7" i="11"/>
  <c r="P7" i="11"/>
  <c r="Q7" i="11" s="1"/>
  <c r="O7" i="11"/>
  <c r="N7" i="11"/>
  <c r="M7" i="11"/>
  <c r="V4" i="11"/>
  <c r="V5" i="11"/>
  <c r="V6" i="11" s="1"/>
  <c r="T4" i="11"/>
  <c r="U4" i="11" s="1"/>
  <c r="L6" i="11"/>
  <c r="M6" i="11" s="1"/>
  <c r="N5" i="11"/>
  <c r="O5" i="11" s="1"/>
  <c r="P5" i="11" s="1"/>
  <c r="N4" i="11"/>
  <c r="O4" i="11" s="1"/>
  <c r="P4" i="11" s="1"/>
  <c r="Q4" i="11" s="1"/>
  <c r="R4" i="11" s="1"/>
  <c r="S4" i="11" s="1"/>
  <c r="J5" i="11"/>
  <c r="M9" i="11" l="1"/>
  <c r="V9" i="11"/>
  <c r="U9" i="11"/>
  <c r="T9" i="11"/>
  <c r="S9" i="11"/>
  <c r="R9" i="11"/>
  <c r="Q9" i="11"/>
  <c r="P9" i="11"/>
  <c r="O9" i="11"/>
  <c r="N9" i="11"/>
  <c r="N6" i="11"/>
  <c r="Q5" i="11"/>
  <c r="O6" i="11"/>
  <c r="P6" i="11" s="1"/>
  <c r="Q6" i="11" s="1"/>
  <c r="L12" i="11" l="1"/>
  <c r="R5" i="11"/>
  <c r="S5" i="11" s="1"/>
  <c r="T5" i="11" s="1"/>
  <c r="M13" i="11" l="1"/>
  <c r="M14" i="11"/>
  <c r="U5" i="11"/>
  <c r="R6" i="11"/>
  <c r="S6" i="11" s="1"/>
  <c r="T6" i="11" s="1"/>
  <c r="U6" i="11" s="1"/>
  <c r="M15" i="11" l="1"/>
  <c r="M22" i="11" l="1"/>
  <c r="M23" i="11"/>
  <c r="M27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Jennings</author>
  </authors>
  <commentList>
    <comment ref="K6" authorId="0" shapeId="0" xr:uid="{E67F1633-ADA2-4F6B-9C1A-1AD30B35BCE3}">
      <text>
        <r>
          <rPr>
            <b/>
            <sz val="9"/>
            <color indexed="81"/>
            <rFont val="Tahoma"/>
            <family val="2"/>
          </rPr>
          <t>Kyle Jennings:</t>
        </r>
        <r>
          <rPr>
            <sz val="9"/>
            <color indexed="81"/>
            <rFont val="Tahoma"/>
            <family val="2"/>
          </rPr>
          <t xml:space="preserve">
run rate
</t>
        </r>
      </text>
    </comment>
  </commentList>
</comments>
</file>

<file path=xl/sharedStrings.xml><?xml version="1.0" encoding="utf-8"?>
<sst xmlns="http://schemas.openxmlformats.org/spreadsheetml/2006/main" count="11318" uniqueCount="1551">
  <si>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</si>
  <si>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</si>
  <si>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</si>
  <si>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</si>
  <si>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</si>
  <si>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</si>
  <si>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</si>
  <si>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</si>
  <si>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</si>
  <si>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</si>
  <si>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</si>
  <si>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</si>
  <si>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</si>
  <si>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</si>
  <si>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</si>
  <si>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</si>
  <si>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</si>
  <si>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</si>
  <si>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</si>
  <si>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</si>
  <si>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</si>
  <si>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</si>
  <si>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</si>
  <si>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</si>
  <si>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</si>
  <si>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</si>
  <si>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</si>
  <si>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</si>
  <si>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</si>
  <si>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</si>
  <si>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</si>
  <si>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</si>
  <si>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</si>
  <si>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</si>
  <si>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</si>
  <si>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</si>
  <si>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</si>
  <si>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</si>
  <si>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</si>
  <si>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</si>
  <si>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</si>
  <si>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</si>
  <si>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</si>
  <si>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</si>
  <si>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</si>
  <si>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</si>
  <si>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</si>
  <si>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</si>
  <si>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</si>
  <si>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</si>
  <si>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</si>
  <si>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</si>
  <si>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</si>
  <si>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</si>
  <si>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</si>
  <si>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</si>
  <si>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</si>
  <si>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</si>
  <si>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</si>
  <si>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</si>
  <si>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</si>
  <si>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</si>
  <si>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</si>
  <si>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</si>
  <si>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</si>
  <si>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</si>
  <si>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</si>
  <si>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</si>
  <si>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currentRatio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</si>
  <si>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</si>
  <si>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</si>
  <si>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</si>
  <si>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</si>
  <si>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</si>
  <si>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</si>
  <si>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</si>
  <si>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</si>
  <si>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</si>
  <si>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</si>
  <si>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</si>
  <si>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</si>
  <si>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</si>
  <si>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</si>
  <si>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</si>
  <si>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</si>
  <si>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</si>
  <si>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</si>
  <si>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</si>
  <si>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</si>
  <si>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</si>
  <si>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</si>
  <si>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</si>
  <si>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</si>
  <si>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</si>
  <si>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</si>
  <si>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2001-01-01</t>
  </si>
  <si>
    <t>inf</t>
  </si>
  <si>
    <t>-inf</t>
  </si>
  <si>
    <t>eps</t>
  </si>
  <si>
    <t>epsEstimated</t>
  </si>
  <si>
    <t>time</t>
  </si>
  <si>
    <t>revenueEstimated</t>
  </si>
  <si>
    <t>updatedFromDate</t>
  </si>
  <si>
    <t>fiscalDateEnding</t>
  </si>
  <si>
    <t>2025-08-04</t>
  </si>
  <si>
    <t>bmo</t>
  </si>
  <si>
    <t>2024-10-11</t>
  </si>
  <si>
    <t>2025-06-30</t>
  </si>
  <si>
    <t>2025-05-06</t>
  </si>
  <si>
    <t>2025-03-30</t>
  </si>
  <si>
    <t>2025-02-05</t>
  </si>
  <si>
    <t>2024-12-30</t>
  </si>
  <si>
    <t>2024-10-31</t>
  </si>
  <si>
    <t>2024-09-30</t>
  </si>
  <si>
    <t>2024-08-06</t>
  </si>
  <si>
    <t>2024-05-08</t>
  </si>
  <si>
    <t>2024-08-07</t>
  </si>
  <si>
    <t>2024-02-07</t>
  </si>
  <si>
    <t>2024-05-07</t>
  </si>
  <si>
    <t>2023-11-07</t>
  </si>
  <si>
    <t>2024-05-01</t>
  </si>
  <si>
    <t>2023-08-01</t>
  </si>
  <si>
    <t>2023-05-02</t>
  </si>
  <si>
    <t>2023-02-08</t>
  </si>
  <si>
    <t>2022-11-01</t>
  </si>
  <si>
    <t>2022-08-02</t>
  </si>
  <si>
    <t>2022-05-04</t>
  </si>
  <si>
    <t>amc</t>
  </si>
  <si>
    <t>2022-02-09</t>
  </si>
  <si>
    <t>2021-11-04</t>
  </si>
  <si>
    <t>2021-08-04</t>
  </si>
  <si>
    <t>2021-05-05</t>
  </si>
  <si>
    <t>2021-02-10</t>
  </si>
  <si>
    <t>2020-11-05</t>
  </si>
  <si>
    <t>2020-08-06</t>
  </si>
  <si>
    <t>2020-05-07</t>
  </si>
  <si>
    <t>2020-02-06</t>
  </si>
  <si>
    <t>2019-11-04</t>
  </si>
  <si>
    <t>2019-08-08</t>
  </si>
  <si>
    <t>2019-05-30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</si>
  <si>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</si>
  <si>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</si>
  <si>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</si>
  <si>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</si>
  <si>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</si>
  <si>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</si>
  <si>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</si>
  <si>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2024-02-15</t>
  </si>
  <si>
    <t>2024-02-15 16:30:29</t>
  </si>
  <si>
    <t>10-K</t>
  </si>
  <si>
    <t>0001543151</t>
  </si>
  <si>
    <t>2023-02-21</t>
  </si>
  <si>
    <t>2023-02-21 16:10:08</t>
  </si>
  <si>
    <t>2022-02-24</t>
  </si>
  <si>
    <t>2022-02-24 16:33:34</t>
  </si>
  <si>
    <t>2021-03-01</t>
  </si>
  <si>
    <t>2021-03-01 08:06:48</t>
  </si>
  <si>
    <t>2020-03-02</t>
  </si>
  <si>
    <t>2020-03-02 16:12:35</t>
  </si>
  <si>
    <t>Date</t>
  </si>
  <si>
    <t>Delivery</t>
  </si>
  <si>
    <t>Freight</t>
  </si>
  <si>
    <t>Mobility</t>
  </si>
  <si>
    <t>All Other Revenue</t>
  </si>
  <si>
    <t>ATG And Other Technology Programs</t>
  </si>
  <si>
    <t>Other Bets</t>
  </si>
  <si>
    <t>Eats</t>
  </si>
  <si>
    <t>Other Revenue</t>
  </si>
  <si>
    <t>Rides</t>
  </si>
  <si>
    <t>Ridesharing</t>
  </si>
  <si>
    <t>Core Platform</t>
  </si>
  <si>
    <t>Asia Pacific</t>
  </si>
  <si>
    <t>EMEA</t>
  </si>
  <si>
    <t>Latin America</t>
  </si>
  <si>
    <t>United States And Canada</t>
  </si>
  <si>
    <t>marketCap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</si>
  <si>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</si>
  <si>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</si>
  <si>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</si>
  <si>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</si>
  <si>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</si>
  <si>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</si>
  <si>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</si>
  <si>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</si>
  <si>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</si>
  <si>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</si>
  <si>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</si>
  <si>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</si>
  <si>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</si>
  <si>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</si>
  <si>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</si>
  <si>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</si>
  <si>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</si>
  <si>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</si>
  <si>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</si>
  <si>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</si>
  <si>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</si>
  <si>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</si>
  <si>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</si>
  <si>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</si>
  <si>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</si>
  <si>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</si>
  <si>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</si>
  <si>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</si>
  <si>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</si>
  <si>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</si>
  <si>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</si>
  <si>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</si>
  <si>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</si>
  <si>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</si>
  <si>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</si>
  <si>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</si>
  <si>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</si>
  <si>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</si>
  <si>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</si>
  <si>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</si>
  <si>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</si>
  <si>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</si>
  <si>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</si>
  <si>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</si>
  <si>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</si>
  <si>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</si>
  <si>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</si>
  <si>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</si>
  <si>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</si>
  <si>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</si>
  <si>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</si>
  <si>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</si>
  <si>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</si>
  <si>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</si>
  <si>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</si>
  <si>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</si>
  <si>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</si>
  <si>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</si>
  <si>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</si>
  <si>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</si>
  <si>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</si>
  <si>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</si>
  <si>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</si>
  <si>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</si>
  <si>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</si>
  <si>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</si>
  <si>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</si>
  <si>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</si>
  <si>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</si>
  <si>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</si>
  <si>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</si>
  <si>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</si>
  <si>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</si>
  <si>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</si>
  <si>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</si>
  <si>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</si>
  <si>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</si>
  <si>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</si>
  <si>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</si>
  <si>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</si>
  <si>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</si>
  <si>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</si>
  <si>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</si>
  <si>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</si>
  <si>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</si>
  <si>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</si>
  <si>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</si>
  <si>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</si>
  <si>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</si>
  <si>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</si>
  <si>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</si>
  <si>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</si>
  <si>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</si>
  <si>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</si>
  <si>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</si>
  <si>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</si>
  <si>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</si>
  <si>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</si>
  <si>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</si>
  <si>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</si>
  <si>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</si>
  <si>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</si>
  <si>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</si>
  <si>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</si>
  <si>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</si>
  <si>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</si>
  <si>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</si>
  <si>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</si>
  <si>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</si>
  <si>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</si>
  <si>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</si>
  <si>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</si>
  <si>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</si>
  <si>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</si>
  <si>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</si>
  <si>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</si>
  <si>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</si>
  <si>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</si>
  <si>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</si>
  <si>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</si>
  <si>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</si>
  <si>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</si>
  <si>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</si>
  <si>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</si>
  <si>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</si>
  <si>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</si>
  <si>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</si>
  <si>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</si>
  <si>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</si>
  <si>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</si>
  <si>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</si>
  <si>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</si>
  <si>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</si>
  <si>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</si>
  <si>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</si>
  <si>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</si>
  <si>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</si>
  <si>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</si>
  <si>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</si>
  <si>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</si>
  <si>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</si>
  <si>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</si>
  <si>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</si>
  <si>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</si>
  <si>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</si>
  <si>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</si>
  <si>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</si>
  <si>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</si>
  <si>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</si>
  <si>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</si>
  <si>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</si>
  <si>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</si>
  <si>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</si>
  <si>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</si>
  <si>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</si>
  <si>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</si>
  <si>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</si>
  <si>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</si>
  <si>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2024-02-14</t>
  </si>
  <si>
    <t>2024-02-13</t>
  </si>
  <si>
    <t>2024-02-12</t>
  </si>
  <si>
    <t>2024-02-09</t>
  </si>
  <si>
    <t>2024-02-08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</si>
  <si>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</si>
  <si>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</si>
  <si>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</si>
  <si>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</si>
  <si>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</si>
  <si>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</si>
  <si>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</si>
  <si>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</si>
  <si>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</si>
  <si>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</si>
  <si>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</si>
  <si>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</si>
  <si>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</si>
  <si>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</si>
  <si>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</si>
  <si>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</si>
  <si>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</si>
  <si>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</si>
  <si>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</si>
  <si>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</si>
  <si>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</si>
  <si>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</si>
  <si>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</si>
  <si>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</si>
  <si>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</si>
  <si>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</si>
  <si>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</si>
  <si>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</si>
  <si>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</si>
  <si>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</si>
  <si>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</si>
  <si>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</si>
  <si>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</si>
  <si>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</si>
  <si>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</si>
  <si>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</si>
  <si>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</si>
  <si>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</si>
  <si>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</si>
  <si>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</si>
  <si>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</si>
  <si>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</si>
  <si>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</si>
  <si>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</si>
  <si>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</si>
  <si>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</si>
  <si>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</si>
  <si>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</si>
  <si>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</si>
  <si>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</si>
  <si>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</si>
  <si>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</si>
  <si>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</si>
  <si>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</si>
  <si>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</si>
  <si>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</si>
  <si>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</si>
  <si>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</si>
  <si>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</si>
  <si>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</si>
  <si>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</si>
  <si>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</si>
  <si>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</si>
  <si>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</si>
  <si>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</si>
  <si>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</si>
  <si>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</si>
  <si>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</si>
  <si>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</si>
  <si>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</si>
  <si>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</si>
  <si>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</si>
  <si>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</si>
  <si>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</si>
  <si>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</si>
  <si>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</si>
  <si>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</si>
  <si>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</si>
  <si>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</si>
  <si>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</si>
  <si>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</si>
  <si>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</si>
  <si>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</si>
  <si>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</si>
  <si>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</si>
  <si>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</si>
  <si>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</si>
  <si>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</si>
  <si>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</si>
  <si>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</si>
  <si>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</si>
  <si>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</si>
  <si>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</si>
  <si>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</si>
  <si>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</si>
  <si>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</si>
  <si>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</si>
  <si>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</si>
  <si>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</si>
  <si>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</si>
  <si>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</si>
  <si>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</si>
  <si>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</si>
  <si>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</si>
  <si>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</si>
  <si>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</si>
  <si>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</si>
  <si>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</si>
  <si>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</si>
  <si>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</si>
  <si>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</si>
  <si>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</si>
  <si>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</si>
  <si>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</si>
  <si>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</si>
  <si>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</si>
  <si>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</si>
  <si>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</si>
  <si>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</si>
  <si>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</si>
  <si>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</si>
  <si>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</si>
  <si>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</si>
  <si>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</si>
  <si>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</si>
  <si>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</si>
  <si>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</si>
  <si>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</si>
  <si>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</si>
  <si>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</si>
  <si>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</si>
  <si>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</si>
  <si>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</si>
  <si>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</si>
  <si>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</si>
  <si>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</si>
  <si>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</si>
  <si>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</si>
  <si>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</si>
  <si>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</si>
  <si>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</si>
  <si>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</si>
  <si>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</si>
  <si>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</si>
  <si>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</si>
  <si>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</si>
  <si>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</si>
  <si>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</si>
  <si>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</si>
  <si>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</si>
  <si>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</si>
  <si>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</si>
  <si>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</si>
  <si>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</si>
  <si>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</si>
  <si>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</si>
  <si>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</si>
  <si>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</si>
  <si>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</si>
  <si>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</si>
  <si>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</si>
  <si>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</si>
  <si>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</si>
  <si>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</si>
  <si>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</si>
  <si>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</si>
  <si>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</si>
  <si>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</si>
  <si>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</si>
  <si>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</si>
  <si>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</si>
  <si>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</si>
  <si>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</si>
  <si>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</si>
  <si>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</si>
  <si>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</si>
  <si>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</si>
  <si>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</si>
  <si>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</si>
  <si>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</si>
  <si>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</si>
  <si>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</si>
  <si>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</si>
  <si>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</si>
  <si>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</si>
  <si>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</si>
  <si>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</si>
  <si>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</si>
  <si>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</si>
  <si>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</si>
  <si>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</si>
  <si>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</si>
  <si>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</si>
  <si>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</si>
  <si>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</si>
  <si>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</si>
  <si>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</si>
  <si>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</si>
  <si>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</si>
  <si>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</si>
  <si>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</si>
  <si>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</si>
  <si>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</si>
  <si>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</si>
  <si>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</si>
  <si>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</si>
  <si>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</si>
  <si>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</si>
  <si>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</si>
  <si>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</si>
  <si>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</si>
  <si>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</si>
  <si>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</si>
  <si>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</si>
  <si>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</si>
  <si>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</si>
  <si>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</si>
  <si>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</si>
  <si>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</si>
  <si>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</si>
  <si>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</si>
  <si>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</si>
  <si>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</si>
  <si>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</si>
  <si>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</si>
  <si>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</si>
  <si>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</si>
  <si>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</si>
  <si>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</si>
  <si>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</si>
  <si>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</si>
  <si>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</si>
  <si>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</si>
  <si>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</si>
  <si>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</si>
  <si>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</si>
  <si>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</si>
  <si>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</si>
  <si>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</si>
  <si>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</si>
  <si>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</si>
  <si>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</si>
  <si>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</si>
  <si>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</si>
  <si>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</si>
  <si>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</si>
  <si>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</si>
  <si>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</si>
  <si>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</si>
  <si>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</si>
  <si>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</si>
  <si>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</si>
  <si>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</si>
  <si>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</si>
  <si>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</si>
  <si>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</si>
  <si>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</si>
  <si>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</si>
  <si>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</si>
  <si>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</si>
  <si>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</si>
  <si>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</si>
  <si>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</si>
  <si>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</si>
  <si>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</si>
  <si>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</si>
  <si>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</si>
  <si>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</si>
  <si>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</si>
  <si>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</si>
  <si>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</si>
  <si>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</si>
  <si>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</si>
  <si>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</si>
  <si>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</si>
  <si>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</si>
  <si>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</si>
  <si>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</si>
  <si>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</si>
  <si>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</si>
  <si>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</si>
  <si>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</si>
  <si>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</si>
  <si>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</si>
  <si>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</si>
  <si>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</si>
  <si>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</si>
  <si>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</si>
  <si>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</si>
  <si>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</si>
  <si>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</si>
  <si>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</si>
  <si>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</si>
  <si>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</si>
  <si>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</si>
  <si>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</si>
  <si>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</si>
  <si>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</si>
  <si>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</si>
  <si>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</si>
  <si>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</si>
  <si>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</si>
  <si>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</si>
  <si>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</si>
  <si>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</si>
  <si>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</si>
  <si>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</si>
  <si>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</si>
  <si>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</si>
  <si>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</si>
  <si>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</si>
  <si>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</si>
  <si>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</si>
  <si>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</si>
  <si>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</si>
  <si>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</si>
  <si>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</si>
  <si>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</si>
  <si>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</si>
  <si>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</si>
  <si>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</si>
  <si>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</si>
  <si>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</si>
  <si>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</si>
  <si>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</si>
  <si>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</si>
  <si>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</si>
  <si>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</si>
  <si>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</si>
  <si>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</si>
  <si>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</si>
  <si>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</si>
  <si>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</si>
  <si>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</si>
  <si>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</si>
  <si>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</si>
  <si>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</si>
  <si>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</si>
  <si>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</si>
  <si>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</si>
  <si>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</si>
  <si>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</si>
  <si>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</si>
  <si>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</si>
  <si>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</si>
  <si>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</si>
  <si>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</si>
  <si>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</si>
  <si>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</si>
  <si>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</si>
  <si>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</si>
  <si>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</si>
  <si>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</si>
  <si>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</si>
  <si>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</si>
  <si>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</si>
  <si>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</si>
  <si>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</si>
  <si>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</si>
  <si>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</si>
  <si>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</si>
  <si>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</si>
  <si>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</si>
  <si>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</si>
  <si>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</si>
  <si>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</si>
  <si>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</si>
  <si>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</si>
  <si>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</si>
  <si>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</si>
  <si>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</si>
  <si>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</si>
  <si>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</si>
  <si>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</si>
  <si>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</si>
  <si>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</si>
  <si>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</si>
  <si>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</si>
  <si>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</si>
  <si>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</si>
  <si>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</si>
  <si>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</si>
  <si>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</si>
  <si>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</si>
  <si>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</si>
  <si>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</si>
  <si>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</si>
  <si>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</si>
  <si>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</si>
  <si>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</si>
  <si>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</si>
  <si>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</si>
  <si>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</si>
  <si>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</si>
  <si>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</si>
  <si>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</si>
  <si>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</si>
  <si>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</si>
  <si>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</si>
  <si>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</si>
  <si>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</si>
  <si>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</si>
  <si>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</si>
  <si>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</si>
  <si>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</si>
  <si>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</si>
  <si>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</si>
  <si>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</si>
  <si>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</si>
  <si>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</si>
  <si>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</si>
  <si>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</si>
  <si>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</si>
  <si>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</si>
  <si>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</si>
  <si>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</si>
  <si>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</si>
  <si>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</si>
  <si>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</si>
  <si>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</si>
  <si>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</si>
  <si>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</si>
  <si>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</si>
  <si>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</si>
  <si>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</si>
  <si>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</si>
  <si>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</si>
  <si>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</si>
  <si>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</si>
  <si>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</si>
  <si>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</si>
  <si>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</si>
  <si>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</si>
  <si>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</si>
  <si>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</si>
  <si>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</si>
  <si>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</si>
  <si>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</si>
  <si>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</si>
  <si>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</si>
  <si>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</si>
  <si>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</si>
  <si>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</si>
  <si>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</si>
  <si>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</si>
  <si>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</si>
  <si>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</si>
  <si>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</si>
  <si>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</si>
  <si>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</si>
  <si>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</si>
  <si>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</si>
  <si>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</si>
  <si>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</si>
  <si>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</si>
  <si>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</si>
  <si>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</si>
  <si>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</si>
  <si>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</si>
  <si>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</si>
  <si>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</si>
  <si>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</si>
  <si>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</si>
  <si>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</si>
  <si>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</si>
  <si>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</si>
  <si>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</si>
  <si>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</si>
  <si>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</si>
  <si>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</si>
  <si>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</si>
  <si>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</si>
  <si>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</si>
  <si>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</si>
  <si>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</si>
  <si>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</si>
  <si>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</si>
  <si>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</si>
  <si>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</si>
  <si>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</si>
  <si>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</si>
  <si>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</si>
  <si>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</si>
  <si>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</si>
  <si>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</si>
  <si>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</si>
  <si>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</si>
  <si>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</si>
  <si>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</si>
  <si>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</si>
  <si>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</si>
  <si>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</si>
  <si>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</si>
  <si>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</si>
  <si>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</si>
  <si>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</si>
  <si>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</si>
  <si>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</si>
  <si>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</si>
  <si>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</si>
  <si>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</si>
  <si>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</si>
  <si>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</si>
  <si>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</si>
  <si>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</si>
  <si>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</si>
  <si>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</si>
  <si>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</si>
  <si>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</si>
  <si>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</si>
  <si>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</si>
  <si>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</si>
  <si>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</si>
  <si>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</si>
  <si>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</si>
  <si>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</si>
  <si>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</si>
  <si>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</si>
  <si>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</si>
  <si>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</si>
  <si>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</si>
  <si>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</si>
  <si>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</si>
  <si>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</si>
  <si>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</si>
  <si>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</si>
  <si>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</si>
  <si>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</si>
  <si>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</si>
  <si>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</si>
  <si>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</si>
  <si>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</si>
  <si>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</si>
  <si>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</si>
  <si>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</si>
  <si>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</si>
  <si>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</si>
  <si>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</si>
  <si>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</si>
  <si>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</si>
  <si>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</si>
  <si>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</si>
  <si>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</si>
  <si>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</si>
  <si>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</si>
  <si>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</si>
  <si>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</si>
  <si>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</si>
  <si>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</si>
  <si>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</si>
  <si>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</si>
  <si>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</si>
  <si>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</si>
  <si>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</si>
  <si>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</si>
  <si>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</si>
  <si>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</si>
  <si>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</si>
  <si>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</si>
  <si>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</si>
  <si>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</si>
  <si>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</si>
  <si>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</si>
  <si>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</si>
  <si>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</si>
  <si>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</si>
  <si>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</si>
  <si>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</si>
  <si>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</si>
  <si>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</si>
  <si>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</si>
  <si>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</si>
  <si>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</si>
  <si>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</si>
  <si>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</si>
  <si>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</si>
  <si>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</si>
  <si>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</si>
  <si>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</si>
  <si>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</si>
  <si>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</si>
  <si>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</si>
  <si>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</si>
  <si>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</si>
  <si>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</si>
  <si>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</si>
  <si>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</si>
  <si>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</si>
  <si>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</si>
  <si>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</si>
  <si>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</si>
  <si>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</si>
  <si>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</si>
  <si>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</si>
  <si>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</si>
  <si>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</si>
  <si>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</si>
  <si>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</si>
  <si>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</si>
  <si>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</si>
  <si>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</si>
  <si>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</si>
  <si>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</si>
  <si>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</si>
  <si>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</si>
  <si>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</si>
  <si>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</si>
  <si>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</si>
  <si>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</si>
  <si>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</si>
  <si>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</si>
  <si>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</si>
  <si>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</si>
  <si>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</si>
  <si>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</si>
  <si>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</si>
  <si>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</si>
  <si>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</si>
  <si>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</si>
  <si>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</si>
  <si>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</si>
  <si>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</si>
  <si>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</si>
  <si>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</si>
  <si>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</si>
  <si>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</si>
  <si>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</si>
  <si>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</si>
  <si>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</si>
  <si>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</si>
  <si>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</si>
  <si>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</si>
  <si>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</si>
  <si>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</si>
  <si>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</si>
  <si>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</si>
  <si>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</si>
  <si>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</si>
  <si>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</si>
  <si>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</si>
  <si>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</si>
  <si>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</si>
  <si>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</si>
  <si>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</si>
  <si>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</si>
  <si>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</si>
  <si>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</si>
  <si>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</si>
  <si>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</si>
  <si>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</si>
  <si>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</si>
  <si>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</si>
  <si>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</si>
  <si>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</si>
  <si>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</si>
  <si>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</si>
  <si>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</si>
  <si>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</si>
  <si>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</si>
  <si>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</si>
  <si>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</si>
  <si>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</si>
  <si>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</si>
  <si>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</si>
  <si>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</si>
  <si>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</si>
  <si>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</si>
  <si>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</si>
  <si>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</si>
  <si>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</si>
  <si>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</si>
  <si>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</si>
  <si>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</si>
  <si>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</si>
  <si>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</si>
  <si>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</si>
  <si>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</si>
  <si>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</si>
  <si>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</si>
  <si>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</si>
  <si>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</si>
  <si>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</si>
  <si>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</si>
  <si>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</si>
  <si>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</si>
  <si>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</si>
  <si>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</si>
  <si>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</si>
  <si>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</si>
  <si>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</si>
  <si>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</si>
  <si>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</si>
  <si>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</si>
  <si>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</si>
  <si>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</si>
  <si>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</si>
  <si>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</si>
  <si>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</si>
  <si>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</si>
  <si>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</si>
  <si>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</si>
  <si>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</si>
  <si>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</si>
  <si>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</si>
  <si>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</si>
  <si>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</si>
  <si>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</si>
  <si>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</si>
  <si>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</si>
  <si>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</si>
  <si>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</si>
  <si>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</si>
  <si>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</si>
  <si>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</si>
  <si>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</si>
  <si>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</si>
  <si>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</si>
  <si>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</si>
  <si>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</si>
  <si>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</si>
  <si>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</si>
  <si>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</si>
  <si>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</si>
  <si>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</si>
  <si>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</si>
  <si>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</si>
  <si>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</si>
  <si>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</si>
  <si>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</si>
  <si>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</si>
  <si>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</si>
  <si>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</si>
  <si>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</si>
  <si>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</si>
  <si>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</si>
  <si>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</si>
  <si>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</si>
  <si>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</si>
  <si>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</si>
  <si>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</si>
  <si>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</si>
  <si>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</si>
  <si>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</si>
  <si>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</si>
  <si>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</si>
  <si>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</si>
  <si>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</si>
  <si>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</si>
  <si>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</si>
  <si>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</si>
  <si>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</si>
  <si>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</si>
  <si>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</si>
  <si>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</si>
  <si>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</si>
  <si>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</si>
  <si>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</si>
  <si>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</si>
  <si>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</si>
  <si>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</si>
  <si>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</si>
  <si>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</si>
  <si>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</si>
  <si>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</si>
  <si>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</si>
  <si>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</si>
  <si>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</si>
  <si>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</si>
  <si>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</si>
  <si>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</si>
  <si>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</si>
  <si>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</si>
  <si>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</si>
  <si>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</si>
  <si>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</si>
  <si>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</si>
  <si>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</si>
  <si>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</si>
  <si>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</si>
  <si>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</si>
  <si>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</si>
  <si>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</si>
  <si>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</si>
  <si>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</si>
  <si>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</si>
  <si>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</si>
  <si>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</si>
  <si>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</si>
  <si>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</si>
  <si>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</si>
  <si>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</si>
  <si>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</si>
  <si>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</si>
  <si>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</si>
  <si>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</si>
  <si>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</si>
  <si>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</si>
  <si>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</si>
  <si>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</si>
  <si>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</si>
  <si>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</si>
  <si>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</si>
  <si>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</si>
  <si>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</si>
  <si>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</si>
  <si>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</si>
  <si>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</si>
  <si>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</si>
  <si>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</si>
  <si>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</si>
  <si>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</si>
  <si>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</si>
  <si>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</si>
  <si>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</si>
  <si>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</si>
  <si>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</si>
  <si>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</si>
  <si>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</si>
  <si>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</si>
  <si>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</si>
  <si>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</si>
  <si>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</si>
  <si>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</si>
  <si>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</si>
  <si>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</si>
  <si>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</si>
  <si>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</si>
  <si>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</si>
  <si>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</si>
  <si>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</si>
  <si>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</si>
  <si>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</si>
  <si>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</si>
  <si>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</si>
  <si>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</si>
  <si>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</si>
  <si>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</si>
  <si>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</si>
  <si>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</si>
  <si>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</si>
  <si>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</si>
  <si>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</si>
  <si>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</si>
  <si>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</si>
  <si>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</si>
  <si>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</si>
  <si>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</si>
  <si>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</si>
  <si>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</si>
  <si>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</si>
  <si>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</si>
  <si>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</si>
  <si>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</si>
  <si>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</si>
  <si>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</si>
  <si>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</si>
  <si>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</si>
  <si>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</si>
  <si>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</si>
  <si>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</si>
  <si>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</si>
  <si>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</si>
  <si>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</si>
  <si>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</si>
  <si>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</si>
  <si>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</si>
  <si>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</si>
  <si>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</si>
  <si>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</si>
  <si>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</si>
  <si>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</si>
  <si>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</si>
  <si>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</si>
  <si>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</si>
  <si>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</si>
  <si>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</si>
  <si>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</si>
  <si>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</si>
  <si>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</si>
  <si>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</si>
  <si>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</si>
  <si>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</si>
  <si>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</si>
  <si>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</si>
  <si>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</si>
  <si>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</si>
  <si>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</si>
  <si>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</si>
  <si>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</si>
  <si>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</si>
  <si>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</si>
  <si>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</si>
  <si>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</si>
  <si>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</si>
  <si>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</si>
  <si>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</si>
  <si>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</si>
  <si>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</si>
  <si>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</si>
  <si>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</si>
  <si>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</si>
  <si>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</si>
  <si>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</si>
  <si>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</si>
  <si>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</si>
  <si>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</si>
  <si>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</si>
  <si>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</si>
  <si>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</si>
  <si>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</si>
  <si>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</si>
  <si>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</si>
  <si>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</si>
  <si>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</si>
  <si>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</si>
  <si>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</si>
  <si>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</si>
  <si>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</si>
  <si>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</si>
  <si>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</si>
  <si>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</si>
  <si>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</si>
  <si>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</si>
  <si>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</si>
  <si>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</si>
  <si>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</si>
  <si>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</si>
  <si>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</si>
  <si>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</si>
  <si>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</si>
  <si>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</si>
  <si>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</si>
  <si>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</si>
  <si>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</si>
  <si>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</si>
  <si>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</si>
  <si>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</si>
  <si>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</si>
  <si>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</si>
  <si>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</si>
  <si>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</si>
  <si>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</si>
  <si>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</si>
  <si>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</si>
  <si>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</si>
  <si>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</si>
  <si>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</si>
  <si>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</si>
  <si>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</si>
  <si>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</si>
  <si>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</si>
  <si>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</si>
  <si>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</si>
  <si>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</si>
  <si>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</si>
  <si>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</si>
  <si>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</si>
  <si>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</si>
  <si>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</si>
  <si>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</si>
  <si>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</si>
  <si>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</si>
  <si>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</si>
  <si>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</si>
  <si>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</si>
  <si>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</si>
  <si>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</si>
  <si>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</si>
  <si>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</si>
  <si>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</si>
  <si>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</si>
  <si>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</si>
  <si>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</si>
  <si>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</si>
  <si>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</si>
  <si>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</si>
  <si>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</si>
  <si>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</si>
  <si>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</si>
  <si>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</si>
  <si>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</si>
  <si>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</si>
  <si>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</si>
  <si>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</si>
  <si>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</si>
  <si>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</si>
  <si>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</si>
  <si>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</si>
  <si>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</si>
  <si>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</si>
  <si>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</si>
  <si>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</si>
  <si>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</si>
  <si>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</si>
  <si>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</si>
  <si>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</si>
  <si>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</si>
  <si>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</si>
  <si>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</si>
  <si>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</si>
  <si>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</si>
  <si>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</si>
  <si>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</si>
  <si>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</si>
  <si>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</si>
  <si>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</si>
  <si>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</si>
  <si>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</si>
  <si>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</si>
  <si>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</si>
  <si>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</si>
  <si>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</si>
  <si>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</si>
  <si>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</si>
  <si>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</si>
  <si>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</si>
  <si>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</si>
  <si>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</si>
  <si>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</si>
  <si>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</si>
  <si>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</si>
  <si>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</si>
  <si>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</si>
  <si>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</si>
  <si>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</si>
  <si>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</si>
  <si>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</si>
  <si>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</si>
  <si>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</si>
  <si>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</si>
  <si>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</si>
  <si>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</si>
  <si>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</si>
  <si>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</si>
  <si>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</si>
  <si>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</si>
  <si>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</si>
  <si>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</si>
  <si>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</si>
  <si>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</si>
  <si>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</si>
  <si>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</si>
  <si>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</si>
  <si>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</si>
  <si>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</si>
  <si>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</si>
  <si>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</si>
  <si>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</si>
  <si>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</si>
  <si>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</si>
  <si>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</si>
  <si>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</si>
  <si>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</si>
  <si>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</si>
  <si>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</si>
  <si>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</si>
  <si>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</si>
  <si>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</si>
  <si>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</si>
  <si>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</si>
  <si>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</si>
  <si>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</si>
  <si>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</si>
  <si>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</si>
  <si>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</si>
  <si>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</si>
  <si>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</si>
  <si>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</si>
  <si>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</si>
  <si>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</si>
  <si>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</si>
  <si>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</si>
  <si>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</si>
  <si>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</si>
  <si>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</si>
  <si>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</si>
  <si>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</si>
  <si>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</si>
  <si>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</si>
  <si>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</si>
  <si>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</si>
  <si>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</si>
  <si>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</si>
  <si>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</si>
  <si>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</si>
  <si>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</si>
  <si>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</si>
  <si>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</si>
  <si>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</si>
  <si>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</si>
  <si>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</si>
  <si>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</si>
  <si>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</si>
  <si>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</si>
  <si>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</si>
  <si>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</si>
  <si>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</si>
  <si>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</si>
  <si>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</si>
  <si>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</si>
  <si>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</si>
  <si>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</si>
  <si>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</si>
  <si>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</si>
  <si>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</si>
  <si>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</si>
  <si>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</si>
  <si>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</si>
  <si>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</si>
  <si>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</si>
  <si>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</si>
  <si>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</si>
  <si>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</si>
  <si>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</si>
  <si>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</si>
  <si>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</si>
  <si>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</si>
  <si>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</si>
  <si>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</si>
  <si>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</si>
  <si>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</si>
  <si>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</si>
  <si>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</si>
  <si>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</si>
  <si>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</si>
  <si>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</si>
  <si>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</si>
  <si>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</si>
  <si>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</si>
  <si>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</si>
  <si>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</si>
  <si>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</si>
  <si>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</si>
  <si>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</si>
  <si>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</si>
  <si>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</si>
  <si>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</si>
  <si>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</si>
  <si>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</si>
  <si>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</si>
  <si>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</si>
  <si>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</si>
  <si>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</si>
  <si>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</si>
  <si>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</si>
  <si>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</si>
  <si>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</si>
  <si>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</si>
  <si>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</si>
  <si>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</si>
  <si>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</si>
  <si>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</si>
  <si>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</si>
  <si>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</si>
  <si>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</si>
  <si>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</si>
  <si>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open</t>
  </si>
  <si>
    <t>high</t>
  </si>
  <si>
    <t>low</t>
  </si>
  <si>
    <t>close</t>
  </si>
  <si>
    <t>volume</t>
  </si>
  <si>
    <t>Implied Shares</t>
  </si>
  <si>
    <t>enterpriseValue_simple</t>
  </si>
  <si>
    <t>enterpriseValue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</si>
  <si>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</si>
  <si>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</si>
  <si>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</si>
  <si>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</si>
  <si>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</si>
  <si>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</si>
  <si>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</si>
  <si>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</si>
  <si>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</si>
  <si>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</si>
  <si>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</si>
  <si>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</si>
  <si>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</si>
  <si>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</si>
  <si>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</si>
  <si>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</si>
  <si>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UBER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</si>
  <si>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</si>
  <si>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</si>
  <si>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</si>
  <si>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</si>
  <si>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</si>
  <si>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</si>
  <si>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</si>
  <si>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</si>
  <si>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</si>
  <si>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</si>
  <si>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</si>
  <si>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WACC</t>
  </si>
  <si>
    <t>Years</t>
  </si>
  <si>
    <t>Timing Standard</t>
  </si>
  <si>
    <t>M</t>
  </si>
  <si>
    <t>W</t>
  </si>
  <si>
    <t>D</t>
  </si>
  <si>
    <t>Mean</t>
  </si>
  <si>
    <t>Median</t>
  </si>
  <si>
    <t>T</t>
  </si>
  <si>
    <t>rev</t>
  </si>
  <si>
    <t>FCF margin</t>
  </si>
  <si>
    <t>Start (Q3-2024)</t>
  </si>
  <si>
    <t>FCF</t>
  </si>
  <si>
    <t>dicounted</t>
  </si>
  <si>
    <t>sum</t>
  </si>
  <si>
    <t>TV</t>
  </si>
  <si>
    <t>multiple</t>
  </si>
  <si>
    <t>shares</t>
  </si>
  <si>
    <t>Right Now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</si>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</sst>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\ hh:mm:ss"/>
    <numFmt numFmtId="165" formatCode="_(* #,##0_);_(* \(#,##0\);_(* &quot;-&quot;??_);_(@_)"/>
    <numFmt numFmtId="166" formatCode="0.0%"/>
    <numFmt numFmtId="167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1" applyNumberFormat="1" applyFont="1"/>
    <xf numFmtId="9" fontId="0" fillId="0" borderId="0" xfId="2" applyFont="1"/>
    <xf numFmtId="166" fontId="0" fillId="0" borderId="0" xfId="2" applyNumberFormat="1" applyFont="1"/>
    <xf numFmtId="10" fontId="0" fillId="0" borderId="0" xfId="2" applyNumberFormat="1" applyFont="1"/>
    <xf numFmtId="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165" fontId="3" fillId="0" borderId="0" xfId="0" applyNumberFormat="1" applyFont="1"/>
    <xf numFmtId="166" fontId="3" fillId="0" borderId="1" xfId="2" applyNumberFormat="1" applyFont="1" applyFill="1" applyBorder="1"/>
    <xf numFmtId="167" fontId="3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8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O2" sqref="O2"/>
    </sheetView>
  </sheetViews>
  <sheetFormatPr defaultRowHeight="15" x14ac:dyDescent="0.25"/>
  <cols>
    <col min="1" max="1" width="10.42578125" bestFit="1" customWidth="1"/>
    <col min="2" max="2" width="8.42578125" bestFit="1" customWidth="1"/>
    <col min="3" max="3" width="10.5703125" bestFit="1" customWidth="1"/>
    <col min="4" max="4" width="33.42578125" bestFit="1" customWidth="1"/>
    <col min="5" max="5" width="28.42578125" bestFit="1" customWidth="1"/>
    <col min="6" max="6" width="40" bestFit="1" customWidth="1"/>
    <col min="7" max="7" width="33.28515625" bestFit="1" customWidth="1"/>
    <col min="8" max="8" width="14.28515625" bestFit="1" customWidth="1"/>
    <col min="9" max="9" width="16.28515625" bestFit="1" customWidth="1"/>
    <col min="10" max="10" width="15.5703125" bestFit="1" customWidth="1"/>
    <col min="11" max="11" width="14.7109375" bestFit="1" customWidth="1"/>
    <col min="12" max="12" width="18.28515625" bestFit="1" customWidth="1"/>
    <col min="13" max="13" width="10.5703125" bestFit="1" customWidth="1"/>
    <col min="14" max="14" width="23.42578125" bestFit="1" customWidth="1"/>
    <col min="15" max="15" width="26" bestFit="1" customWidth="1"/>
    <col min="16" max="16" width="23.28515625" bestFit="1" customWidth="1"/>
    <col min="17" max="17" width="21.5703125" bestFit="1" customWidth="1"/>
    <col min="18" max="18" width="29.28515625" bestFit="1" customWidth="1"/>
    <col min="19" max="19" width="14.7109375" bestFit="1" customWidth="1"/>
    <col min="20" max="20" width="11.5703125" bestFit="1" customWidth="1"/>
    <col min="21" max="21" width="18.5703125" bestFit="1" customWidth="1"/>
    <col min="22" max="22" width="17.85546875" bestFit="1" customWidth="1"/>
    <col min="23" max="23" width="26.85546875" bestFit="1" customWidth="1"/>
    <col min="24" max="24" width="8.7109375" bestFit="1" customWidth="1"/>
    <col min="25" max="25" width="15.85546875" bestFit="1" customWidth="1"/>
    <col min="26" max="26" width="20.7109375" bestFit="1" customWidth="1"/>
    <col min="27" max="27" width="21.7109375" bestFit="1" customWidth="1"/>
    <col min="28" max="28" width="10.85546875" bestFit="1" customWidth="1"/>
    <col min="29" max="29" width="15.85546875" bestFit="1" customWidth="1"/>
    <col min="30" max="30" width="14.5703125" bestFit="1" customWidth="1"/>
    <col min="31" max="31" width="20.7109375" bestFit="1" customWidth="1"/>
    <col min="32" max="32" width="13.85546875" bestFit="1" customWidth="1"/>
    <col min="33" max="33" width="24.5703125" bestFit="1" customWidth="1"/>
    <col min="34" max="34" width="13.85546875" bestFit="1" customWidth="1"/>
    <col min="35" max="35" width="22.42578125" bestFit="1" customWidth="1"/>
    <col min="36" max="36" width="14.42578125" bestFit="1" customWidth="1"/>
    <col min="37" max="37" width="13.5703125" bestFit="1" customWidth="1"/>
    <col min="38" max="38" width="15.7109375" bestFit="1" customWidth="1"/>
    <col min="39" max="39" width="16.140625" bestFit="1" customWidth="1"/>
    <col min="40" max="40" width="10.7109375" bestFit="1" customWidth="1"/>
    <col min="41" max="41" width="13.28515625" bestFit="1" customWidth="1"/>
    <col min="42" max="42" width="19.5703125" bestFit="1" customWidth="1"/>
    <col min="43" max="43" width="16.7109375" bestFit="1" customWidth="1"/>
    <col min="44" max="44" width="11.5703125" bestFit="1" customWidth="1"/>
    <col min="45" max="45" width="28" bestFit="1" customWidth="1"/>
    <col min="46" max="46" width="24.140625" bestFit="1" customWidth="1"/>
    <col min="47" max="47" width="18.7109375" bestFit="1" customWidth="1"/>
    <col min="48" max="48" width="23.140625" bestFit="1" customWidth="1"/>
    <col min="49" max="49" width="19.85546875" bestFit="1" customWidth="1"/>
    <col min="50" max="50" width="16.5703125" bestFit="1" customWidth="1"/>
    <col min="51" max="51" width="36.28515625" bestFit="1" customWidth="1"/>
    <col min="52" max="52" width="18" bestFit="1" customWidth="1"/>
    <col min="53" max="53" width="40.28515625" bestFit="1" customWidth="1"/>
    <col min="54" max="54" width="15" bestFit="1" customWidth="1"/>
    <col min="55" max="55" width="23.42578125" bestFit="1" customWidth="1"/>
    <col min="56" max="56" width="32.140625" bestFit="1" customWidth="1"/>
    <col min="57" max="57" width="15.42578125" bestFit="1" customWidth="1"/>
    <col min="58" max="58" width="19.42578125" bestFit="1" customWidth="1"/>
    <col min="59" max="59" width="25.28515625" bestFit="1" customWidth="1"/>
    <col min="60" max="60" width="13.7109375" bestFit="1" customWidth="1"/>
    <col min="61" max="61" width="40.5703125" bestFit="1" customWidth="1"/>
    <col min="62" max="62" width="28.140625" bestFit="1" customWidth="1"/>
    <col min="63" max="63" width="16.5703125" bestFit="1" customWidth="1"/>
    <col min="64" max="64" width="18.42578125" bestFit="1" customWidth="1"/>
    <col min="65" max="65" width="24.140625" bestFit="1" customWidth="1"/>
    <col min="66" max="67" width="7.28515625" bestFit="1" customWidth="1"/>
    <col min="68" max="68" width="10.140625" bestFit="1" customWidth="1"/>
    <col min="69" max="69" width="12.5703125" bestFit="1" customWidth="1"/>
    <col min="70" max="70" width="12" bestFit="1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>
        <v>10700000000</v>
      </c>
      <c r="C2">
        <v>3357000000</v>
      </c>
      <c r="D2">
        <v>686000000</v>
      </c>
      <c r="E2">
        <v>1115000000</v>
      </c>
      <c r="F2">
        <v>1655000000</v>
      </c>
      <c r="G2">
        <v>760000000</v>
      </c>
      <c r="H2">
        <v>-6000000</v>
      </c>
      <c r="I2">
        <v>942000000</v>
      </c>
      <c r="J2">
        <v>139000000</v>
      </c>
      <c r="K2">
        <v>176000000</v>
      </c>
      <c r="L2">
        <v>57000000</v>
      </c>
      <c r="M2">
        <v>1015000000</v>
      </c>
      <c r="N2" s="3">
        <v>2092179999</v>
      </c>
      <c r="O2" s="3">
        <v>2150019000</v>
      </c>
      <c r="P2">
        <v>5273000000</v>
      </c>
      <c r="Q2">
        <v>1795000000</v>
      </c>
      <c r="R2">
        <v>7068000000</v>
      </c>
      <c r="S2">
        <v>4372000000</v>
      </c>
      <c r="T2">
        <v>0</v>
      </c>
      <c r="U2">
        <v>1043000000</v>
      </c>
      <c r="V2">
        <v>12483000000</v>
      </c>
      <c r="W2">
        <v>3215000000</v>
      </c>
      <c r="X2">
        <v>8083000000</v>
      </c>
      <c r="Y2">
        <v>1265000000</v>
      </c>
      <c r="Z2">
        <v>14489000000</v>
      </c>
      <c r="AA2">
        <v>29031000000</v>
      </c>
      <c r="AB2">
        <v>41514000000</v>
      </c>
      <c r="AC2">
        <v>752000000</v>
      </c>
      <c r="AD2">
        <v>351000000</v>
      </c>
      <c r="AE2">
        <v>10318000000</v>
      </c>
      <c r="AF2">
        <v>9454000000</v>
      </c>
      <c r="AG2">
        <v>17413000000</v>
      </c>
      <c r="AH2">
        <v>27731000000</v>
      </c>
      <c r="AI2">
        <v>1492000000</v>
      </c>
      <c r="AJ2">
        <v>0</v>
      </c>
      <c r="AK2">
        <v>0</v>
      </c>
      <c r="AL2">
        <v>1433000000</v>
      </c>
      <c r="AM2">
        <v>-30233000000</v>
      </c>
      <c r="AN2">
        <v>13783000000</v>
      </c>
      <c r="AO2">
        <v>1721000000</v>
      </c>
      <c r="AP2">
        <v>-162000000</v>
      </c>
      <c r="AQ2">
        <v>-70000000</v>
      </c>
      <c r="AR2">
        <v>0</v>
      </c>
      <c r="AS2">
        <v>181000000</v>
      </c>
      <c r="AT2">
        <v>455000000</v>
      </c>
      <c r="AU2">
        <v>-7000000</v>
      </c>
      <c r="AV2">
        <v>515000000</v>
      </c>
      <c r="AW2">
        <v>747000000</v>
      </c>
      <c r="AX2">
        <v>-554000000</v>
      </c>
      <c r="AY2">
        <v>1820000000</v>
      </c>
      <c r="AZ2">
        <v>-99000000</v>
      </c>
      <c r="BA2">
        <v>-99000000</v>
      </c>
      <c r="BB2">
        <v>8000000</v>
      </c>
      <c r="BC2">
        <v>-3346000000</v>
      </c>
      <c r="BD2">
        <v>-1676000000</v>
      </c>
      <c r="BE2">
        <v>-42000000</v>
      </c>
      <c r="BF2">
        <v>103000000</v>
      </c>
      <c r="BG2">
        <v>-325000000</v>
      </c>
      <c r="BH2">
        <v>0</v>
      </c>
      <c r="BI2">
        <v>-191000000</v>
      </c>
      <c r="BJ2">
        <v>-56000000</v>
      </c>
      <c r="BK2">
        <v>-554000000</v>
      </c>
      <c r="BL2">
        <v>5273000000</v>
      </c>
      <c r="BM2">
        <v>5827000000</v>
      </c>
      <c r="BN2">
        <v>1123000000</v>
      </c>
      <c r="BO2">
        <v>885000000</v>
      </c>
      <c r="BP2">
        <v>1024000000</v>
      </c>
      <c r="BQ2">
        <v>2165000000</v>
      </c>
      <c r="BR2">
        <v>1.2098274859468889</v>
      </c>
    </row>
    <row r="3" spans="1:70" x14ac:dyDescent="0.25">
      <c r="A3" s="1" t="s">
        <v>70</v>
      </c>
      <c r="B3">
        <v>10131000000</v>
      </c>
      <c r="C3">
        <v>3963000000</v>
      </c>
      <c r="D3">
        <v>1209000000</v>
      </c>
      <c r="E3">
        <v>917000000</v>
      </c>
      <c r="F3">
        <v>2126000000</v>
      </c>
      <c r="G3">
        <v>790000000</v>
      </c>
      <c r="H3">
        <v>48000000</v>
      </c>
      <c r="I3">
        <v>172000000</v>
      </c>
      <c r="J3">
        <v>124000000</v>
      </c>
      <c r="K3">
        <v>159000000</v>
      </c>
      <c r="L3">
        <v>29000000</v>
      </c>
      <c r="M3">
        <v>-654000000</v>
      </c>
      <c r="N3" s="3">
        <v>2078467000</v>
      </c>
      <c r="O3" s="3">
        <v>2080168000</v>
      </c>
      <c r="P3">
        <v>5827000000</v>
      </c>
      <c r="Q3">
        <v>744000000</v>
      </c>
      <c r="R3">
        <v>6571000000</v>
      </c>
      <c r="S3">
        <v>3708000000</v>
      </c>
      <c r="T3">
        <v>0</v>
      </c>
      <c r="U3">
        <v>1795000000</v>
      </c>
      <c r="V3">
        <v>12074000000</v>
      </c>
      <c r="W3">
        <v>3249000000</v>
      </c>
      <c r="X3">
        <v>8089000000</v>
      </c>
      <c r="Y3">
        <v>1335000000</v>
      </c>
      <c r="Z3">
        <v>12910000000</v>
      </c>
      <c r="AA3">
        <v>27525000000</v>
      </c>
      <c r="AB3">
        <v>39599000000</v>
      </c>
      <c r="AC3">
        <v>833000000</v>
      </c>
      <c r="AD3">
        <v>184000000</v>
      </c>
      <c r="AE3">
        <v>9993000000</v>
      </c>
      <c r="AF3">
        <v>9457000000</v>
      </c>
      <c r="AG3">
        <v>17107000000</v>
      </c>
      <c r="AH3">
        <v>27100000000</v>
      </c>
      <c r="AI3">
        <v>1520000000</v>
      </c>
      <c r="AJ3">
        <v>0</v>
      </c>
      <c r="AK3">
        <v>0</v>
      </c>
      <c r="AL3">
        <v>1441000000</v>
      </c>
      <c r="AM3">
        <v>-31248000000</v>
      </c>
      <c r="AN3">
        <v>12499000000</v>
      </c>
      <c r="AO3">
        <v>1415000000</v>
      </c>
      <c r="AP3">
        <v>-422000000</v>
      </c>
      <c r="AQ3">
        <v>46000000</v>
      </c>
      <c r="AR3">
        <v>0</v>
      </c>
      <c r="AS3">
        <v>190000000</v>
      </c>
      <c r="AT3">
        <v>484000000</v>
      </c>
      <c r="AU3">
        <v>-16000000</v>
      </c>
      <c r="AV3">
        <v>631000000</v>
      </c>
      <c r="AW3">
        <v>1007000000</v>
      </c>
      <c r="AX3">
        <v>342000000</v>
      </c>
      <c r="AY3">
        <v>1472000000</v>
      </c>
      <c r="AZ3">
        <v>-57000000</v>
      </c>
      <c r="BA3">
        <v>-57000000</v>
      </c>
      <c r="BB3">
        <v>9000000</v>
      </c>
      <c r="BC3">
        <v>-2203000000</v>
      </c>
      <c r="BD3">
        <v>-242000000</v>
      </c>
      <c r="BE3">
        <v>-104000000</v>
      </c>
      <c r="BF3">
        <v>0</v>
      </c>
      <c r="BG3">
        <v>0</v>
      </c>
      <c r="BH3">
        <v>0</v>
      </c>
      <c r="BI3">
        <v>-156000000</v>
      </c>
      <c r="BJ3">
        <v>-94000000</v>
      </c>
      <c r="BK3">
        <v>342000000</v>
      </c>
      <c r="BL3">
        <v>5827000000</v>
      </c>
      <c r="BM3">
        <v>5485000000</v>
      </c>
      <c r="BN3">
        <v>362000000</v>
      </c>
      <c r="BO3">
        <v>143000000</v>
      </c>
      <c r="BP3">
        <v>305000000</v>
      </c>
      <c r="BQ3">
        <v>2081000000</v>
      </c>
      <c r="BR3">
        <v>1.208245772040428</v>
      </c>
    </row>
    <row r="4" spans="1:70" x14ac:dyDescent="0.25">
      <c r="A4" s="1" t="s">
        <v>71</v>
      </c>
      <c r="B4">
        <v>9936000000</v>
      </c>
      <c r="C4">
        <v>3879000000</v>
      </c>
      <c r="D4">
        <v>603000000</v>
      </c>
      <c r="E4">
        <v>935000000</v>
      </c>
      <c r="F4">
        <v>1538000000</v>
      </c>
      <c r="G4">
        <v>784000000</v>
      </c>
      <c r="H4">
        <v>-36000000</v>
      </c>
      <c r="I4">
        <v>652000000</v>
      </c>
      <c r="J4">
        <v>155000000</v>
      </c>
      <c r="K4">
        <v>160000000</v>
      </c>
      <c r="L4">
        <v>133000000</v>
      </c>
      <c r="M4">
        <v>1429000000</v>
      </c>
      <c r="N4" s="3">
        <v>2060885000</v>
      </c>
      <c r="O4" s="3">
        <v>2121929000</v>
      </c>
      <c r="P4">
        <v>5485000000</v>
      </c>
      <c r="Q4">
        <v>727000000</v>
      </c>
      <c r="R4">
        <v>6212000000</v>
      </c>
      <c r="S4">
        <v>4121000000</v>
      </c>
      <c r="T4">
        <v>0</v>
      </c>
      <c r="U4">
        <v>964000000</v>
      </c>
      <c r="V4">
        <v>11297000000</v>
      </c>
      <c r="W4">
        <v>3314000000</v>
      </c>
      <c r="X4">
        <v>8151000000</v>
      </c>
      <c r="Y4">
        <v>1425000000</v>
      </c>
      <c r="Z4">
        <v>13005000000</v>
      </c>
      <c r="AA4">
        <v>27402000000</v>
      </c>
      <c r="AB4">
        <v>38699000000</v>
      </c>
      <c r="AC4">
        <v>790000000</v>
      </c>
      <c r="AD4">
        <v>499000000</v>
      </c>
      <c r="AE4">
        <v>9454000000</v>
      </c>
      <c r="AF4">
        <v>9459000000</v>
      </c>
      <c r="AG4">
        <v>16563000000</v>
      </c>
      <c r="AH4">
        <v>26017000000</v>
      </c>
      <c r="AI4">
        <v>1872000000</v>
      </c>
      <c r="AJ4">
        <v>0</v>
      </c>
      <c r="AK4">
        <v>0</v>
      </c>
      <c r="AL4">
        <v>1433000000</v>
      </c>
      <c r="AM4">
        <v>-30594000000</v>
      </c>
      <c r="AN4">
        <v>12682000000</v>
      </c>
      <c r="AO4">
        <v>768000000</v>
      </c>
      <c r="AP4">
        <v>-395000000</v>
      </c>
      <c r="AQ4">
        <v>-22000000</v>
      </c>
      <c r="AR4">
        <v>413000000</v>
      </c>
      <c r="AS4">
        <v>203000000</v>
      </c>
      <c r="AT4">
        <v>469000000</v>
      </c>
      <c r="AU4">
        <v>-6000000</v>
      </c>
      <c r="AV4">
        <v>-331000000</v>
      </c>
      <c r="AW4">
        <v>86000000</v>
      </c>
      <c r="AX4">
        <v>204000000</v>
      </c>
      <c r="AY4">
        <v>823000000</v>
      </c>
      <c r="AZ4">
        <v>-55000000</v>
      </c>
      <c r="BA4">
        <v>-55000000</v>
      </c>
      <c r="BB4">
        <v>-721000000</v>
      </c>
      <c r="BC4">
        <v>-2854000000</v>
      </c>
      <c r="BD4">
        <v>-819000000</v>
      </c>
      <c r="BE4">
        <v>-125000000</v>
      </c>
      <c r="BF4">
        <v>45000000</v>
      </c>
      <c r="BG4">
        <v>130000000</v>
      </c>
      <c r="BH4">
        <v>0</v>
      </c>
      <c r="BI4">
        <v>46000000</v>
      </c>
      <c r="BJ4">
        <v>89000000</v>
      </c>
      <c r="BK4">
        <v>204000000</v>
      </c>
      <c r="BL4">
        <v>5485000000</v>
      </c>
      <c r="BM4">
        <v>5281000000</v>
      </c>
      <c r="BN4">
        <v>855000000</v>
      </c>
      <c r="BO4">
        <v>519000000</v>
      </c>
      <c r="BP4">
        <v>800000000</v>
      </c>
      <c r="BQ4">
        <v>1843000000</v>
      </c>
      <c r="BR4">
        <v>1.194943939073408</v>
      </c>
    </row>
    <row r="5" spans="1:70" x14ac:dyDescent="0.25">
      <c r="A5" s="1" t="s">
        <v>72</v>
      </c>
      <c r="B5">
        <v>9292000000</v>
      </c>
      <c r="C5">
        <v>3666000000</v>
      </c>
      <c r="D5">
        <v>646000000</v>
      </c>
      <c r="E5">
        <v>941000000</v>
      </c>
      <c r="F5">
        <v>1587000000</v>
      </c>
      <c r="G5">
        <v>797000000</v>
      </c>
      <c r="H5">
        <v>6000000</v>
      </c>
      <c r="I5">
        <v>394000000</v>
      </c>
      <c r="J5">
        <v>166000000</v>
      </c>
      <c r="K5">
        <v>130000000</v>
      </c>
      <c r="L5">
        <v>-40000000</v>
      </c>
      <c r="M5">
        <v>221000000</v>
      </c>
      <c r="N5" s="3">
        <v>2044688000</v>
      </c>
      <c r="O5" s="3">
        <v>2108479000</v>
      </c>
      <c r="P5">
        <v>4448000000</v>
      </c>
      <c r="Q5">
        <v>725000000</v>
      </c>
      <c r="R5">
        <v>5173000000</v>
      </c>
      <c r="S5">
        <v>3000000000</v>
      </c>
      <c r="T5">
        <v>833000000</v>
      </c>
      <c r="U5">
        <v>1673000000</v>
      </c>
      <c r="V5">
        <v>10679000000</v>
      </c>
      <c r="W5">
        <v>3359000000</v>
      </c>
      <c r="X5">
        <v>8140000000</v>
      </c>
      <c r="Y5">
        <v>1511000000</v>
      </c>
      <c r="Z5">
        <v>5141000000</v>
      </c>
      <c r="AA5">
        <v>25270000000</v>
      </c>
      <c r="AB5">
        <v>35949000000</v>
      </c>
      <c r="AC5">
        <v>799000000</v>
      </c>
      <c r="AD5">
        <v>174000000</v>
      </c>
      <c r="AE5">
        <v>9405000000</v>
      </c>
      <c r="AF5">
        <v>10817000000</v>
      </c>
      <c r="AG5">
        <v>16025000000</v>
      </c>
      <c r="AH5">
        <v>25430000000</v>
      </c>
      <c r="AI5">
        <v>1739000000</v>
      </c>
      <c r="AJ5">
        <v>0</v>
      </c>
      <c r="AK5">
        <v>0</v>
      </c>
      <c r="AL5">
        <v>1161000000</v>
      </c>
      <c r="AM5">
        <v>-32309000000</v>
      </c>
      <c r="AN5">
        <v>10519000000</v>
      </c>
      <c r="AO5">
        <v>905000000</v>
      </c>
      <c r="AP5">
        <v>-518000000</v>
      </c>
      <c r="AQ5">
        <v>112000000</v>
      </c>
      <c r="AR5">
        <v>-208000000</v>
      </c>
      <c r="AS5">
        <v>205000000</v>
      </c>
      <c r="AT5">
        <v>492000000</v>
      </c>
      <c r="AU5">
        <v>16000000</v>
      </c>
      <c r="AV5">
        <v>-113000000</v>
      </c>
      <c r="AW5">
        <v>501000000</v>
      </c>
      <c r="AX5">
        <v>-1595000000</v>
      </c>
      <c r="AY5">
        <v>966000000</v>
      </c>
      <c r="AZ5">
        <v>-61000000</v>
      </c>
      <c r="BA5">
        <v>-61000000</v>
      </c>
      <c r="BB5">
        <v>18000000</v>
      </c>
      <c r="BC5">
        <v>-3745000000</v>
      </c>
      <c r="BD5">
        <v>-2416000000</v>
      </c>
      <c r="BE5">
        <v>-67000000</v>
      </c>
      <c r="BF5">
        <v>0</v>
      </c>
      <c r="BG5">
        <v>0</v>
      </c>
      <c r="BH5">
        <v>0</v>
      </c>
      <c r="BI5">
        <v>-76000000</v>
      </c>
      <c r="BJ5">
        <v>-69000000</v>
      </c>
      <c r="BK5">
        <v>-1595000000</v>
      </c>
      <c r="BL5">
        <v>6865000000</v>
      </c>
      <c r="BM5">
        <v>8460000000</v>
      </c>
      <c r="BN5">
        <v>599000000</v>
      </c>
      <c r="BO5">
        <v>434000000</v>
      </c>
      <c r="BP5">
        <v>538000000</v>
      </c>
      <c r="BQ5">
        <v>1274000000</v>
      </c>
      <c r="BR5">
        <v>1.1354598617756511</v>
      </c>
    </row>
    <row r="6" spans="1:70" x14ac:dyDescent="0.25">
      <c r="A6" s="1" t="s">
        <v>73</v>
      </c>
      <c r="B6">
        <v>9230000000</v>
      </c>
      <c r="C6">
        <v>3715000000</v>
      </c>
      <c r="D6">
        <v>491000000</v>
      </c>
      <c r="E6">
        <v>1218000000</v>
      </c>
      <c r="F6">
        <v>1709000000</v>
      </c>
      <c r="G6">
        <v>808000000</v>
      </c>
      <c r="H6">
        <v>-147000000</v>
      </c>
      <c r="I6">
        <v>326000000</v>
      </c>
      <c r="J6">
        <v>144000000</v>
      </c>
      <c r="K6">
        <v>107000000</v>
      </c>
      <c r="L6">
        <v>65000000</v>
      </c>
      <c r="M6">
        <v>394000000</v>
      </c>
      <c r="N6" s="3">
        <v>2026813000</v>
      </c>
      <c r="O6" s="3">
        <v>2079265000</v>
      </c>
      <c r="P6">
        <v>4995000000</v>
      </c>
      <c r="Q6">
        <v>538000000</v>
      </c>
      <c r="R6">
        <v>5533000000</v>
      </c>
      <c r="S6">
        <v>2576000000</v>
      </c>
      <c r="T6">
        <v>909000000</v>
      </c>
      <c r="U6">
        <v>1646000000</v>
      </c>
      <c r="V6">
        <v>10664000000</v>
      </c>
      <c r="W6">
        <v>3411000000</v>
      </c>
      <c r="X6">
        <v>8151000000</v>
      </c>
      <c r="Y6">
        <v>1607000000</v>
      </c>
      <c r="Z6">
        <v>5167000000</v>
      </c>
      <c r="AA6">
        <v>23404000000</v>
      </c>
      <c r="AB6">
        <v>34068000000</v>
      </c>
      <c r="AC6">
        <v>694000000</v>
      </c>
      <c r="AD6">
        <v>179000000</v>
      </c>
      <c r="AE6">
        <v>8635000000</v>
      </c>
      <c r="AF6">
        <v>10852000000</v>
      </c>
      <c r="AG6">
        <v>15605000000</v>
      </c>
      <c r="AH6">
        <v>24240000000</v>
      </c>
      <c r="AI6">
        <v>1776000000</v>
      </c>
      <c r="AJ6">
        <v>0</v>
      </c>
      <c r="AK6">
        <v>0</v>
      </c>
      <c r="AL6">
        <v>1164000000</v>
      </c>
      <c r="AM6">
        <v>-32530000000</v>
      </c>
      <c r="AN6">
        <v>9828000000</v>
      </c>
      <c r="AO6">
        <v>1140000000</v>
      </c>
      <c r="AP6">
        <v>-13000000</v>
      </c>
      <c r="AQ6">
        <v>-19000000</v>
      </c>
      <c r="AR6">
        <v>-205000000</v>
      </c>
      <c r="AS6">
        <v>208000000</v>
      </c>
      <c r="AT6">
        <v>504000000</v>
      </c>
      <c r="AU6">
        <v>6000000</v>
      </c>
      <c r="AV6">
        <v>351000000</v>
      </c>
      <c r="AW6">
        <v>588000000</v>
      </c>
      <c r="AX6">
        <v>1667000000</v>
      </c>
      <c r="AY6">
        <v>1190000000</v>
      </c>
      <c r="AZ6">
        <v>-50000000</v>
      </c>
      <c r="BA6">
        <v>-50000000</v>
      </c>
      <c r="BB6">
        <v>703000000</v>
      </c>
      <c r="BC6">
        <v>-1361000000</v>
      </c>
      <c r="BD6">
        <v>408000000</v>
      </c>
      <c r="BE6">
        <v>-49000000</v>
      </c>
      <c r="BF6">
        <v>85000000</v>
      </c>
      <c r="BG6">
        <v>0</v>
      </c>
      <c r="BH6">
        <v>0</v>
      </c>
      <c r="BI6">
        <v>42000000</v>
      </c>
      <c r="BJ6">
        <v>27000000</v>
      </c>
      <c r="BK6">
        <v>1667000000</v>
      </c>
      <c r="BL6">
        <v>8460000000</v>
      </c>
      <c r="BM6">
        <v>6793000000</v>
      </c>
      <c r="BN6">
        <v>534000000</v>
      </c>
      <c r="BO6">
        <v>261000000</v>
      </c>
      <c r="BP6">
        <v>484000000</v>
      </c>
      <c r="BQ6">
        <v>2029000000</v>
      </c>
      <c r="BR6">
        <v>1.234973943254198</v>
      </c>
    </row>
    <row r="7" spans="1:70" x14ac:dyDescent="0.25">
      <c r="A7" s="1" t="s">
        <v>74</v>
      </c>
      <c r="B7">
        <v>8823000000</v>
      </c>
      <c r="C7">
        <v>3564000000</v>
      </c>
      <c r="D7">
        <v>942000000</v>
      </c>
      <c r="E7">
        <v>1262000000</v>
      </c>
      <c r="F7">
        <v>2204000000</v>
      </c>
      <c r="G7">
        <v>775000000</v>
      </c>
      <c r="H7">
        <v>-21000000</v>
      </c>
      <c r="I7">
        <v>-262000000</v>
      </c>
      <c r="J7">
        <v>168000000</v>
      </c>
      <c r="K7">
        <v>87000000</v>
      </c>
      <c r="L7">
        <v>55000000</v>
      </c>
      <c r="M7">
        <v>-157000000</v>
      </c>
      <c r="N7" s="3">
        <v>2009557000</v>
      </c>
      <c r="O7" s="3">
        <v>2009557000</v>
      </c>
      <c r="P7">
        <v>4045000000</v>
      </c>
      <c r="Q7">
        <v>121000000</v>
      </c>
      <c r="R7">
        <v>4166000000</v>
      </c>
      <c r="S7">
        <v>2571000000</v>
      </c>
      <c r="T7">
        <v>897000000</v>
      </c>
      <c r="U7">
        <v>1562000000</v>
      </c>
      <c r="V7">
        <v>9196000000</v>
      </c>
      <c r="W7">
        <v>3477000000</v>
      </c>
      <c r="X7">
        <v>8185000000</v>
      </c>
      <c r="Y7">
        <v>1766000000</v>
      </c>
      <c r="Z7">
        <v>5458000000</v>
      </c>
      <c r="AA7">
        <v>23255000000</v>
      </c>
      <c r="AB7">
        <v>32451000000</v>
      </c>
      <c r="AC7">
        <v>712000000</v>
      </c>
      <c r="AD7">
        <v>193000000</v>
      </c>
      <c r="AE7">
        <v>8683000000</v>
      </c>
      <c r="AF7">
        <v>10886000000</v>
      </c>
      <c r="AG7">
        <v>15096000000</v>
      </c>
      <c r="AH7">
        <v>23779000000</v>
      </c>
      <c r="AI7">
        <v>1822000000</v>
      </c>
      <c r="AJ7">
        <v>0</v>
      </c>
      <c r="AK7">
        <v>0</v>
      </c>
      <c r="AL7">
        <v>1164000000</v>
      </c>
      <c r="AM7">
        <v>-32924000000</v>
      </c>
      <c r="AN7">
        <v>8672000000</v>
      </c>
      <c r="AO7">
        <v>549000000</v>
      </c>
      <c r="AP7">
        <v>168000000</v>
      </c>
      <c r="AQ7">
        <v>-7000000</v>
      </c>
      <c r="AR7">
        <v>0</v>
      </c>
      <c r="AS7">
        <v>207000000</v>
      </c>
      <c r="AT7">
        <v>470000000</v>
      </c>
      <c r="AU7">
        <v>10000000</v>
      </c>
      <c r="AV7">
        <v>258000000</v>
      </c>
      <c r="AW7">
        <v>97000000</v>
      </c>
      <c r="AX7">
        <v>116000000</v>
      </c>
      <c r="AY7">
        <v>606000000</v>
      </c>
      <c r="AZ7">
        <v>-57000000</v>
      </c>
      <c r="BA7">
        <v>-57000000</v>
      </c>
      <c r="BB7">
        <v>0</v>
      </c>
      <c r="BC7">
        <v>-846000000</v>
      </c>
      <c r="BD7">
        <v>-399000000</v>
      </c>
      <c r="BE7">
        <v>-56000000</v>
      </c>
      <c r="BF7">
        <v>0</v>
      </c>
      <c r="BG7">
        <v>0</v>
      </c>
      <c r="BH7">
        <v>0</v>
      </c>
      <c r="BI7">
        <v>-107000000</v>
      </c>
      <c r="BJ7">
        <v>16000000</v>
      </c>
      <c r="BK7">
        <v>116000000</v>
      </c>
      <c r="BL7">
        <v>6793000000</v>
      </c>
      <c r="BM7">
        <v>6677000000</v>
      </c>
      <c r="BN7">
        <v>-55000000</v>
      </c>
      <c r="BO7">
        <v>-317000000</v>
      </c>
      <c r="BP7">
        <v>-112000000</v>
      </c>
      <c r="BQ7">
        <v>513000000</v>
      </c>
      <c r="BR7">
        <v>1.059080962800875</v>
      </c>
    </row>
    <row r="8" spans="1:70" x14ac:dyDescent="0.25">
      <c r="A8" s="1" t="s">
        <v>75</v>
      </c>
      <c r="B8">
        <v>8607000000</v>
      </c>
      <c r="C8">
        <v>3300000000</v>
      </c>
      <c r="D8">
        <v>745000000</v>
      </c>
      <c r="E8">
        <v>1122000000</v>
      </c>
      <c r="F8">
        <v>1867000000</v>
      </c>
      <c r="G8">
        <v>747000000</v>
      </c>
      <c r="H8">
        <v>828000000</v>
      </c>
      <c r="I8">
        <v>-67000000</v>
      </c>
      <c r="J8">
        <v>151000000</v>
      </c>
      <c r="K8">
        <v>73000000</v>
      </c>
      <c r="L8">
        <v>-84000000</v>
      </c>
      <c r="M8">
        <v>595000000</v>
      </c>
      <c r="N8" s="3">
        <v>1994800000</v>
      </c>
      <c r="O8" s="3">
        <v>2060574999</v>
      </c>
      <c r="P8">
        <v>4208000000</v>
      </c>
      <c r="Q8">
        <v>103000000</v>
      </c>
      <c r="R8">
        <v>4311000000</v>
      </c>
      <c r="S8">
        <v>2779000000</v>
      </c>
      <c r="T8">
        <v>680000000</v>
      </c>
      <c r="U8">
        <v>1479000000</v>
      </c>
      <c r="V8">
        <v>9249000000</v>
      </c>
      <c r="W8">
        <v>3531000000</v>
      </c>
      <c r="X8">
        <v>8263000000</v>
      </c>
      <c r="Y8">
        <v>1874000000</v>
      </c>
      <c r="Z8">
        <v>5271000000</v>
      </c>
      <c r="AA8">
        <v>22860000000</v>
      </c>
      <c r="AB8">
        <v>32109000000</v>
      </c>
      <c r="AC8">
        <v>728000000</v>
      </c>
      <c r="AD8">
        <v>201000000</v>
      </c>
      <c r="AE8">
        <v>8853000000</v>
      </c>
      <c r="AF8">
        <v>10938000000</v>
      </c>
      <c r="AG8">
        <v>14752000000</v>
      </c>
      <c r="AH8">
        <v>23605000000</v>
      </c>
      <c r="AI8">
        <v>1874000000</v>
      </c>
      <c r="AJ8">
        <v>0</v>
      </c>
      <c r="AK8">
        <v>0</v>
      </c>
      <c r="AL8">
        <v>1164000000</v>
      </c>
      <c r="AM8">
        <v>-32767000000</v>
      </c>
      <c r="AN8">
        <v>8504000000</v>
      </c>
      <c r="AO8">
        <v>-303000000</v>
      </c>
      <c r="AP8">
        <v>-323000000</v>
      </c>
      <c r="AQ8">
        <v>-53000000</v>
      </c>
      <c r="AR8">
        <v>0</v>
      </c>
      <c r="AS8">
        <v>223000000</v>
      </c>
      <c r="AT8">
        <v>482000000</v>
      </c>
      <c r="AU8">
        <v>-190000000</v>
      </c>
      <c r="AV8">
        <v>-664000000</v>
      </c>
      <c r="AW8">
        <v>-288000000</v>
      </c>
      <c r="AX8">
        <v>-1957000000</v>
      </c>
      <c r="AY8">
        <v>-244000000</v>
      </c>
      <c r="AZ8">
        <v>-59000000</v>
      </c>
      <c r="BA8">
        <v>-59000000</v>
      </c>
      <c r="BB8">
        <v>-26000000</v>
      </c>
      <c r="BC8">
        <v>-1708000000</v>
      </c>
      <c r="BD8">
        <v>-1769000000</v>
      </c>
      <c r="BE8">
        <v>-117000000</v>
      </c>
      <c r="BF8">
        <v>33000000</v>
      </c>
      <c r="BG8">
        <v>0</v>
      </c>
      <c r="BH8">
        <v>0</v>
      </c>
      <c r="BI8">
        <v>-89000000</v>
      </c>
      <c r="BJ8">
        <v>145000000</v>
      </c>
      <c r="BK8">
        <v>-1957000000</v>
      </c>
      <c r="BL8">
        <v>6677000000</v>
      </c>
      <c r="BM8">
        <v>8634000000</v>
      </c>
      <c r="BN8">
        <v>156000000</v>
      </c>
      <c r="BO8">
        <v>17000000</v>
      </c>
      <c r="BP8">
        <v>97000000</v>
      </c>
      <c r="BQ8">
        <v>396000000</v>
      </c>
      <c r="BR8">
        <v>1.0447305997966789</v>
      </c>
    </row>
    <row r="9" spans="1:70" x14ac:dyDescent="0.25">
      <c r="A9" s="1" t="s">
        <v>76</v>
      </c>
      <c r="B9">
        <v>8343000000</v>
      </c>
      <c r="C9">
        <v>3170000000</v>
      </c>
      <c r="D9">
        <v>908000000</v>
      </c>
      <c r="E9">
        <v>1153000000</v>
      </c>
      <c r="F9">
        <v>2061000000</v>
      </c>
      <c r="G9">
        <v>760000000</v>
      </c>
      <c r="H9">
        <v>1000000</v>
      </c>
      <c r="I9">
        <v>-495000000</v>
      </c>
      <c r="J9">
        <v>146000000</v>
      </c>
      <c r="K9">
        <v>38000000</v>
      </c>
      <c r="L9">
        <v>58000000</v>
      </c>
      <c r="M9">
        <v>-1206000000</v>
      </c>
      <c r="N9" s="3">
        <v>1979299000</v>
      </c>
      <c r="O9" s="3">
        <v>1979299000</v>
      </c>
      <c r="P9">
        <v>4865000000</v>
      </c>
      <c r="Q9">
        <v>0</v>
      </c>
      <c r="R9">
        <v>4865000000</v>
      </c>
      <c r="S9">
        <v>2468000000</v>
      </c>
      <c r="T9">
        <v>593000000</v>
      </c>
      <c r="U9">
        <v>1442000000</v>
      </c>
      <c r="V9">
        <v>9368000000</v>
      </c>
      <c r="W9">
        <v>3347000000</v>
      </c>
      <c r="X9">
        <v>8300000000</v>
      </c>
      <c r="Y9">
        <v>1992000000</v>
      </c>
      <c r="Z9">
        <v>4545000000</v>
      </c>
      <c r="AA9">
        <v>21744000000</v>
      </c>
      <c r="AB9">
        <v>31112000000</v>
      </c>
      <c r="AC9">
        <v>774000000</v>
      </c>
      <c r="AD9">
        <v>189000000</v>
      </c>
      <c r="AE9">
        <v>9020000000</v>
      </c>
      <c r="AF9">
        <v>10894000000</v>
      </c>
      <c r="AG9">
        <v>14692000000</v>
      </c>
      <c r="AH9">
        <v>23712000000</v>
      </c>
      <c r="AI9">
        <v>1815000000</v>
      </c>
      <c r="AJ9">
        <v>0</v>
      </c>
      <c r="AK9">
        <v>0</v>
      </c>
      <c r="AL9">
        <v>1153000000</v>
      </c>
      <c r="AM9">
        <v>-33363000000</v>
      </c>
      <c r="AN9">
        <v>7400000000</v>
      </c>
      <c r="AO9">
        <v>358000000</v>
      </c>
      <c r="AP9">
        <v>-90000000</v>
      </c>
      <c r="AQ9">
        <v>-35000000</v>
      </c>
      <c r="AR9">
        <v>0</v>
      </c>
      <c r="AS9">
        <v>227000000</v>
      </c>
      <c r="AT9">
        <v>482000000</v>
      </c>
      <c r="AU9">
        <v>16000000</v>
      </c>
      <c r="AV9">
        <v>368000000</v>
      </c>
      <c r="AW9">
        <v>159000000</v>
      </c>
      <c r="AX9">
        <v>770000000</v>
      </c>
      <c r="AY9">
        <v>432000000</v>
      </c>
      <c r="AZ9">
        <v>-74000000</v>
      </c>
      <c r="BA9">
        <v>-74000000</v>
      </c>
      <c r="BB9">
        <v>26000000</v>
      </c>
      <c r="BC9">
        <v>0</v>
      </c>
      <c r="BD9">
        <v>321000000</v>
      </c>
      <c r="BE9">
        <v>-39000000</v>
      </c>
      <c r="BF9">
        <v>255000000</v>
      </c>
      <c r="BG9">
        <v>0</v>
      </c>
      <c r="BH9">
        <v>0</v>
      </c>
      <c r="BI9">
        <v>212000000</v>
      </c>
      <c r="BJ9">
        <v>-195000000</v>
      </c>
      <c r="BK9">
        <v>770000000</v>
      </c>
      <c r="BL9">
        <v>8634000000</v>
      </c>
      <c r="BM9">
        <v>7864000000</v>
      </c>
      <c r="BN9">
        <v>-268000000</v>
      </c>
      <c r="BO9">
        <v>-553000000</v>
      </c>
      <c r="BP9">
        <v>-342000000</v>
      </c>
      <c r="BQ9">
        <v>348000000</v>
      </c>
      <c r="BR9">
        <v>1.0385809312638581</v>
      </c>
    </row>
    <row r="10" spans="1:70" x14ac:dyDescent="0.25">
      <c r="A10" s="1" t="s">
        <v>77</v>
      </c>
      <c r="B10">
        <v>8073000000</v>
      </c>
      <c r="C10">
        <v>2920000000</v>
      </c>
      <c r="D10">
        <v>851000000</v>
      </c>
      <c r="E10">
        <v>1218000000</v>
      </c>
      <c r="F10">
        <v>2069000000</v>
      </c>
      <c r="G10">
        <v>704000000</v>
      </c>
      <c r="H10">
        <v>860000000</v>
      </c>
      <c r="I10">
        <v>-713000000</v>
      </c>
      <c r="J10">
        <v>139000000</v>
      </c>
      <c r="K10">
        <v>17000000</v>
      </c>
      <c r="L10">
        <v>77000000</v>
      </c>
      <c r="M10">
        <v>-2633000000</v>
      </c>
      <c r="N10" s="3">
        <v>1964304000</v>
      </c>
      <c r="O10" s="3">
        <v>1968882000</v>
      </c>
      <c r="P10">
        <v>4397000000</v>
      </c>
      <c r="Q10">
        <v>0</v>
      </c>
      <c r="R10">
        <v>4397000000</v>
      </c>
      <c r="S10">
        <v>2459000000</v>
      </c>
      <c r="T10">
        <v>1391000000</v>
      </c>
      <c r="U10">
        <v>504000000</v>
      </c>
      <c r="V10">
        <v>8751000000</v>
      </c>
      <c r="W10">
        <v>3342000000</v>
      </c>
      <c r="X10">
        <v>8359000000</v>
      </c>
      <c r="Y10">
        <v>2122000000</v>
      </c>
      <c r="Z10">
        <v>5093000000</v>
      </c>
      <c r="AA10">
        <v>22263000000</v>
      </c>
      <c r="AB10">
        <v>31014000000</v>
      </c>
      <c r="AC10">
        <v>810000000</v>
      </c>
      <c r="AD10">
        <v>215000000</v>
      </c>
      <c r="AE10">
        <v>8945000000</v>
      </c>
      <c r="AF10">
        <v>10982000000</v>
      </c>
      <c r="AG10">
        <v>14506000000</v>
      </c>
      <c r="AH10">
        <v>23451000000</v>
      </c>
      <c r="AI10">
        <v>1926000000</v>
      </c>
      <c r="AJ10">
        <v>0</v>
      </c>
      <c r="AK10">
        <v>0</v>
      </c>
      <c r="AL10">
        <v>902000000</v>
      </c>
      <c r="AM10">
        <v>-32157000000</v>
      </c>
      <c r="AN10">
        <v>7563000000</v>
      </c>
      <c r="AO10">
        <v>382000000</v>
      </c>
      <c r="AP10">
        <v>-103000000</v>
      </c>
      <c r="AQ10">
        <v>-53000000</v>
      </c>
      <c r="AR10">
        <v>0</v>
      </c>
      <c r="AS10">
        <v>243000000</v>
      </c>
      <c r="AT10">
        <v>470000000</v>
      </c>
      <c r="AU10">
        <v>14000000</v>
      </c>
      <c r="AV10">
        <v>604000000</v>
      </c>
      <c r="AW10">
        <v>760000000</v>
      </c>
      <c r="AX10">
        <v>272000000</v>
      </c>
      <c r="AY10">
        <v>439000000</v>
      </c>
      <c r="AZ10">
        <v>-57000000</v>
      </c>
      <c r="BA10">
        <v>-57000000</v>
      </c>
      <c r="BB10">
        <v>0</v>
      </c>
      <c r="BC10">
        <v>-1000000</v>
      </c>
      <c r="BD10">
        <v>-54000000</v>
      </c>
      <c r="BE10">
        <v>-40000000</v>
      </c>
      <c r="BF10">
        <v>59000000</v>
      </c>
      <c r="BG10">
        <v>0</v>
      </c>
      <c r="BH10">
        <v>0</v>
      </c>
      <c r="BI10">
        <v>5000000</v>
      </c>
      <c r="BJ10">
        <v>-118000000</v>
      </c>
      <c r="BK10">
        <v>272000000</v>
      </c>
      <c r="BL10">
        <v>7864000000</v>
      </c>
      <c r="BM10">
        <v>7592000000</v>
      </c>
      <c r="BN10">
        <v>-470000000</v>
      </c>
      <c r="BO10">
        <v>-790000000</v>
      </c>
      <c r="BP10">
        <v>-527000000</v>
      </c>
      <c r="BQ10">
        <v>-194000000</v>
      </c>
      <c r="BR10">
        <v>0.97831190609278929</v>
      </c>
    </row>
    <row r="11" spans="1:70" x14ac:dyDescent="0.25">
      <c r="A11" s="1" t="s">
        <v>78</v>
      </c>
      <c r="B11">
        <v>6854000000</v>
      </c>
      <c r="C11">
        <v>2828000000</v>
      </c>
      <c r="D11">
        <v>632000000</v>
      </c>
      <c r="E11">
        <v>1263000000</v>
      </c>
      <c r="F11">
        <v>1895000000</v>
      </c>
      <c r="G11">
        <v>587000000</v>
      </c>
      <c r="H11">
        <v>828000000</v>
      </c>
      <c r="I11">
        <v>-482000000</v>
      </c>
      <c r="J11">
        <v>129000000</v>
      </c>
      <c r="K11">
        <v>11000000</v>
      </c>
      <c r="L11">
        <v>-232000000</v>
      </c>
      <c r="M11">
        <v>-5936000000</v>
      </c>
      <c r="N11" s="3">
        <v>1953989000</v>
      </c>
      <c r="O11" s="3">
        <v>1957731000</v>
      </c>
      <c r="P11">
        <v>4184000000</v>
      </c>
      <c r="Q11">
        <v>0</v>
      </c>
      <c r="R11">
        <v>4184000000</v>
      </c>
      <c r="S11">
        <v>2476000000</v>
      </c>
      <c r="T11">
        <v>1513000000</v>
      </c>
      <c r="U11">
        <v>492000000</v>
      </c>
      <c r="V11">
        <v>8665000000</v>
      </c>
      <c r="W11">
        <v>3292000000</v>
      </c>
      <c r="X11">
        <v>8435000000</v>
      </c>
      <c r="Y11">
        <v>2269000000</v>
      </c>
      <c r="Z11">
        <v>6871000000</v>
      </c>
      <c r="AA11">
        <v>24147000000</v>
      </c>
      <c r="AB11">
        <v>32812000000</v>
      </c>
      <c r="AC11">
        <v>862000000</v>
      </c>
      <c r="AD11">
        <v>209000000</v>
      </c>
      <c r="AE11">
        <v>8652000000</v>
      </c>
      <c r="AF11">
        <v>10954000000</v>
      </c>
      <c r="AG11">
        <v>14342000000</v>
      </c>
      <c r="AH11">
        <v>22994000000</v>
      </c>
      <c r="AI11">
        <v>1890000000</v>
      </c>
      <c r="AJ11">
        <v>0</v>
      </c>
      <c r="AK11">
        <v>0</v>
      </c>
      <c r="AL11">
        <v>902000000</v>
      </c>
      <c r="AM11">
        <v>-29556000000</v>
      </c>
      <c r="AN11">
        <v>9818000000</v>
      </c>
      <c r="AO11">
        <v>-47000000</v>
      </c>
      <c r="AP11">
        <v>-26000000</v>
      </c>
      <c r="AQ11">
        <v>8000000</v>
      </c>
      <c r="AR11">
        <v>0</v>
      </c>
      <c r="AS11">
        <v>254000000</v>
      </c>
      <c r="AT11">
        <v>359000000</v>
      </c>
      <c r="AU11">
        <v>-281000000</v>
      </c>
      <c r="AV11">
        <v>27000000</v>
      </c>
      <c r="AW11">
        <v>45000000</v>
      </c>
      <c r="AX11">
        <v>-213000000</v>
      </c>
      <c r="AY11">
        <v>15000000</v>
      </c>
      <c r="AZ11">
        <v>-62000000</v>
      </c>
      <c r="BA11">
        <v>-62000000</v>
      </c>
      <c r="BB11">
        <v>-59000000</v>
      </c>
      <c r="BC11">
        <v>-13000000</v>
      </c>
      <c r="BD11">
        <v>-135000000</v>
      </c>
      <c r="BE11">
        <v>-68000000</v>
      </c>
      <c r="BF11">
        <v>0</v>
      </c>
      <c r="BG11">
        <v>0</v>
      </c>
      <c r="BH11">
        <v>0</v>
      </c>
      <c r="BI11">
        <v>-113000000</v>
      </c>
      <c r="BJ11">
        <v>20000000</v>
      </c>
      <c r="BK11">
        <v>-213000000</v>
      </c>
      <c r="BL11">
        <v>7592000000</v>
      </c>
      <c r="BM11">
        <v>7805000000</v>
      </c>
      <c r="BN11">
        <v>-228000000</v>
      </c>
      <c r="BO11">
        <v>-250000000</v>
      </c>
      <c r="BP11">
        <v>-290000000</v>
      </c>
      <c r="BQ11">
        <v>13000000</v>
      </c>
      <c r="BR11">
        <v>1.0015025427646791</v>
      </c>
    </row>
    <row r="12" spans="1:70" x14ac:dyDescent="0.25">
      <c r="A12" s="1" t="s">
        <v>79</v>
      </c>
      <c r="B12">
        <v>5778000000</v>
      </c>
      <c r="C12">
        <v>2674000000</v>
      </c>
      <c r="D12">
        <v>611000000</v>
      </c>
      <c r="E12">
        <v>1262000000</v>
      </c>
      <c r="F12">
        <v>1873000000</v>
      </c>
      <c r="G12">
        <v>558000000</v>
      </c>
      <c r="H12">
        <v>51000000</v>
      </c>
      <c r="I12">
        <v>-550000000</v>
      </c>
      <c r="J12">
        <v>130000000</v>
      </c>
      <c r="K12">
        <v>9000000</v>
      </c>
      <c r="L12">
        <v>-97000000</v>
      </c>
      <c r="M12">
        <v>892000000</v>
      </c>
      <c r="N12" s="3">
        <v>1936736000</v>
      </c>
      <c r="O12" s="3">
        <v>2005591000</v>
      </c>
      <c r="P12">
        <v>4295000000</v>
      </c>
      <c r="Q12">
        <v>-132000000</v>
      </c>
      <c r="R12">
        <v>4295000000</v>
      </c>
      <c r="S12">
        <v>2439000000</v>
      </c>
      <c r="T12">
        <v>631000000</v>
      </c>
      <c r="U12">
        <v>1454000000</v>
      </c>
      <c r="V12">
        <v>8819000000</v>
      </c>
      <c r="W12">
        <v>3241000000</v>
      </c>
      <c r="X12">
        <v>8420000000</v>
      </c>
      <c r="Y12">
        <v>2412000000</v>
      </c>
      <c r="Z12">
        <v>12606000000</v>
      </c>
      <c r="AA12">
        <v>29955000000</v>
      </c>
      <c r="AB12">
        <v>38774000000</v>
      </c>
      <c r="AC12">
        <v>860000000</v>
      </c>
      <c r="AD12">
        <v>185000000</v>
      </c>
      <c r="AE12">
        <v>9024000000</v>
      </c>
      <c r="AF12">
        <v>10920000000</v>
      </c>
      <c r="AG12">
        <v>14401000000</v>
      </c>
      <c r="AH12">
        <v>23425000000</v>
      </c>
      <c r="AI12">
        <v>1829000000</v>
      </c>
      <c r="AJ12">
        <v>0</v>
      </c>
      <c r="AK12">
        <v>0</v>
      </c>
      <c r="AL12">
        <v>891000000</v>
      </c>
      <c r="AM12">
        <v>-23626000000</v>
      </c>
      <c r="AN12">
        <v>14458000000</v>
      </c>
      <c r="AO12">
        <v>-187000000</v>
      </c>
      <c r="AP12">
        <v>-243000000</v>
      </c>
      <c r="AQ12">
        <v>19000000</v>
      </c>
      <c r="AR12">
        <v>159000000</v>
      </c>
      <c r="AS12">
        <v>246000000</v>
      </c>
      <c r="AT12">
        <v>334000000</v>
      </c>
      <c r="AU12">
        <v>-210000000</v>
      </c>
      <c r="AV12">
        <v>-39000000</v>
      </c>
      <c r="AW12">
        <v>26000000</v>
      </c>
      <c r="AX12">
        <v>-1985000000</v>
      </c>
      <c r="AY12">
        <v>-107000000</v>
      </c>
      <c r="AZ12">
        <v>-80000000</v>
      </c>
      <c r="BA12">
        <v>-80000000</v>
      </c>
      <c r="BB12">
        <v>-2003000000</v>
      </c>
      <c r="BC12">
        <v>-125000000</v>
      </c>
      <c r="BD12">
        <v>-2268000000</v>
      </c>
      <c r="BE12">
        <v>-199000000</v>
      </c>
      <c r="BF12">
        <v>7973000000</v>
      </c>
      <c r="BG12">
        <v>0</v>
      </c>
      <c r="BH12">
        <v>0</v>
      </c>
      <c r="BI12">
        <v>414000000</v>
      </c>
      <c r="BJ12">
        <v>-24000000</v>
      </c>
      <c r="BK12">
        <v>-1985000000</v>
      </c>
      <c r="BL12">
        <v>7805000000</v>
      </c>
      <c r="BM12">
        <v>9790000000</v>
      </c>
      <c r="BN12">
        <v>-304000000</v>
      </c>
      <c r="BO12">
        <v>-453000000</v>
      </c>
      <c r="BP12">
        <v>-384000000</v>
      </c>
      <c r="BQ12">
        <v>-205000000</v>
      </c>
      <c r="BR12">
        <v>0.97728280141843971</v>
      </c>
    </row>
    <row r="13" spans="1:70" x14ac:dyDescent="0.25">
      <c r="A13" s="1" t="s">
        <v>80</v>
      </c>
      <c r="B13">
        <v>4845000000</v>
      </c>
      <c r="C13">
        <v>2407000000</v>
      </c>
      <c r="D13">
        <v>625000000</v>
      </c>
      <c r="E13">
        <v>1168000000</v>
      </c>
      <c r="F13">
        <v>1793000000</v>
      </c>
      <c r="G13">
        <v>493000000</v>
      </c>
      <c r="H13">
        <v>202000000</v>
      </c>
      <c r="I13">
        <v>-572000000</v>
      </c>
      <c r="J13">
        <v>123000000</v>
      </c>
      <c r="K13">
        <v>10000000</v>
      </c>
      <c r="L13">
        <v>-101000000</v>
      </c>
      <c r="M13">
        <v>-2424000000</v>
      </c>
      <c r="N13" s="3">
        <v>1893750000</v>
      </c>
      <c r="O13" s="3">
        <v>1898954000</v>
      </c>
      <c r="P13">
        <v>6482000000</v>
      </c>
      <c r="Q13">
        <v>0</v>
      </c>
      <c r="R13">
        <v>6482000000</v>
      </c>
      <c r="S13">
        <v>1333000000</v>
      </c>
      <c r="T13">
        <v>414000000</v>
      </c>
      <c r="U13">
        <v>1455000000</v>
      </c>
      <c r="V13">
        <v>9684000000</v>
      </c>
      <c r="W13">
        <v>2999000000</v>
      </c>
      <c r="X13">
        <v>6447000000</v>
      </c>
      <c r="Y13">
        <v>1278000000</v>
      </c>
      <c r="Z13">
        <v>13210000000</v>
      </c>
      <c r="AA13">
        <v>27200000000</v>
      </c>
      <c r="AB13">
        <v>36884000000</v>
      </c>
      <c r="AC13">
        <v>310000000</v>
      </c>
      <c r="AD13">
        <v>168000000</v>
      </c>
      <c r="AE13">
        <v>8126000000</v>
      </c>
      <c r="AF13">
        <v>10767000000</v>
      </c>
      <c r="AG13">
        <v>14473000000</v>
      </c>
      <c r="AH13">
        <v>22599000000</v>
      </c>
      <c r="AI13">
        <v>1656000000</v>
      </c>
      <c r="AJ13">
        <v>0</v>
      </c>
      <c r="AK13">
        <v>0</v>
      </c>
      <c r="AL13">
        <v>354000000</v>
      </c>
      <c r="AM13">
        <v>-24518000000</v>
      </c>
      <c r="AN13">
        <v>13931000000</v>
      </c>
      <c r="AO13">
        <v>524000000</v>
      </c>
      <c r="AP13">
        <v>-205000000</v>
      </c>
      <c r="AQ13">
        <v>-114000000</v>
      </c>
      <c r="AR13">
        <v>-106000000</v>
      </c>
      <c r="AS13">
        <v>218000000</v>
      </c>
      <c r="AT13">
        <v>281000000</v>
      </c>
      <c r="AU13">
        <v>-115000000</v>
      </c>
      <c r="AV13">
        <v>768000000</v>
      </c>
      <c r="AW13">
        <v>1193000000</v>
      </c>
      <c r="AX13">
        <v>3336000000</v>
      </c>
      <c r="AY13">
        <v>614000000</v>
      </c>
      <c r="AZ13">
        <v>-90000000</v>
      </c>
      <c r="BA13">
        <v>-90000000</v>
      </c>
      <c r="BB13">
        <v>769000000</v>
      </c>
      <c r="BC13">
        <v>-587000000</v>
      </c>
      <c r="BD13">
        <v>1216000000</v>
      </c>
      <c r="BE13">
        <v>-59000000</v>
      </c>
      <c r="BF13">
        <v>0</v>
      </c>
      <c r="BG13">
        <v>0</v>
      </c>
      <c r="BH13">
        <v>0</v>
      </c>
      <c r="BI13">
        <v>1556000000</v>
      </c>
      <c r="BJ13">
        <v>-50000000</v>
      </c>
      <c r="BK13">
        <v>3336000000</v>
      </c>
      <c r="BL13">
        <v>9790000000</v>
      </c>
      <c r="BM13">
        <v>6454000000</v>
      </c>
      <c r="BN13">
        <v>-354000000</v>
      </c>
      <c r="BO13">
        <v>-471000000</v>
      </c>
      <c r="BP13">
        <v>-444000000</v>
      </c>
      <c r="BQ13">
        <v>1558000000</v>
      </c>
      <c r="BR13">
        <v>1.19173024858479</v>
      </c>
    </row>
    <row r="14" spans="1:70" x14ac:dyDescent="0.25">
      <c r="A14" s="1" t="s">
        <v>81</v>
      </c>
      <c r="B14">
        <v>3929000000</v>
      </c>
      <c r="C14">
        <v>1830000000</v>
      </c>
      <c r="D14">
        <v>616000000</v>
      </c>
      <c r="E14">
        <v>1256000000</v>
      </c>
      <c r="F14">
        <v>1872000000</v>
      </c>
      <c r="G14">
        <v>488000000</v>
      </c>
      <c r="H14">
        <v>18000000</v>
      </c>
      <c r="I14">
        <v>-1188000000</v>
      </c>
      <c r="J14">
        <v>115000000</v>
      </c>
      <c r="K14">
        <v>13000000</v>
      </c>
      <c r="L14">
        <v>-479000000</v>
      </c>
      <c r="M14">
        <v>1144000000</v>
      </c>
      <c r="N14" s="3">
        <v>1875156000</v>
      </c>
      <c r="O14" s="3">
        <v>1955975000</v>
      </c>
      <c r="P14">
        <v>4443000000</v>
      </c>
      <c r="Q14">
        <v>560000000</v>
      </c>
      <c r="R14">
        <v>5003000000</v>
      </c>
      <c r="S14">
        <v>1201000000</v>
      </c>
      <c r="T14">
        <v>324000000</v>
      </c>
      <c r="U14">
        <v>1255000000</v>
      </c>
      <c r="V14">
        <v>7783000000</v>
      </c>
      <c r="W14">
        <v>3014000000</v>
      </c>
      <c r="X14">
        <v>6448000000</v>
      </c>
      <c r="Y14">
        <v>1378000000</v>
      </c>
      <c r="Z14">
        <v>14871000000</v>
      </c>
      <c r="AA14">
        <v>28468000000</v>
      </c>
      <c r="AB14">
        <v>36251000000</v>
      </c>
      <c r="AC14">
        <v>429000000</v>
      </c>
      <c r="AD14">
        <v>177000000</v>
      </c>
      <c r="AE14">
        <v>7684000000</v>
      </c>
      <c r="AF14">
        <v>9311000000</v>
      </c>
      <c r="AG14">
        <v>12823000000</v>
      </c>
      <c r="AH14">
        <v>20507000000</v>
      </c>
      <c r="AI14">
        <v>1690000000</v>
      </c>
      <c r="AJ14">
        <v>0</v>
      </c>
      <c r="AK14">
        <v>0</v>
      </c>
      <c r="AL14">
        <v>1569000000</v>
      </c>
      <c r="AM14">
        <v>-22094000000</v>
      </c>
      <c r="AN14">
        <v>14175000000</v>
      </c>
      <c r="AO14">
        <v>-398000000</v>
      </c>
      <c r="AP14">
        <v>-114000000</v>
      </c>
      <c r="AQ14">
        <v>188000000</v>
      </c>
      <c r="AR14">
        <v>283000000</v>
      </c>
      <c r="AS14">
        <v>226000000</v>
      </c>
      <c r="AT14">
        <v>272000000</v>
      </c>
      <c r="AU14">
        <v>-487000000</v>
      </c>
      <c r="AV14">
        <v>433000000</v>
      </c>
      <c r="AW14">
        <v>76000000</v>
      </c>
      <c r="AX14">
        <v>-153000000</v>
      </c>
      <c r="AY14">
        <v>-341000000</v>
      </c>
      <c r="AZ14">
        <v>-57000000</v>
      </c>
      <c r="BA14">
        <v>-57000000</v>
      </c>
      <c r="BB14">
        <v>-52000000</v>
      </c>
      <c r="BC14">
        <v>-244000000</v>
      </c>
      <c r="BD14">
        <v>101000000</v>
      </c>
      <c r="BE14">
        <v>-61000000</v>
      </c>
      <c r="BF14">
        <v>0</v>
      </c>
      <c r="BG14">
        <v>0</v>
      </c>
      <c r="BH14">
        <v>0</v>
      </c>
      <c r="BI14">
        <v>36000000</v>
      </c>
      <c r="BJ14">
        <v>51000000</v>
      </c>
      <c r="BK14">
        <v>-153000000</v>
      </c>
      <c r="BL14">
        <v>6454000000</v>
      </c>
      <c r="BM14">
        <v>6607000000</v>
      </c>
      <c r="BN14">
        <v>-962000000</v>
      </c>
      <c r="BO14">
        <v>-709000000</v>
      </c>
      <c r="BP14">
        <v>-1019000000</v>
      </c>
      <c r="BQ14">
        <v>99000000</v>
      </c>
      <c r="BR14">
        <v>1.0128839146277979</v>
      </c>
    </row>
    <row r="15" spans="1:70" x14ac:dyDescent="0.25">
      <c r="A15" s="1" t="s">
        <v>82</v>
      </c>
      <c r="B15">
        <v>2903000000</v>
      </c>
      <c r="C15">
        <v>1193000000</v>
      </c>
      <c r="D15">
        <v>464000000</v>
      </c>
      <c r="E15">
        <v>1103000000</v>
      </c>
      <c r="F15">
        <v>1567000000</v>
      </c>
      <c r="G15">
        <v>515000000</v>
      </c>
      <c r="H15">
        <v>-17000000</v>
      </c>
      <c r="I15">
        <v>-1524000000</v>
      </c>
      <c r="J15">
        <v>115000000</v>
      </c>
      <c r="K15">
        <v>5000000</v>
      </c>
      <c r="L15">
        <v>185000000</v>
      </c>
      <c r="M15">
        <v>-108000000</v>
      </c>
      <c r="N15" s="3">
        <v>1800000000</v>
      </c>
      <c r="O15" s="3">
        <v>1858525000</v>
      </c>
      <c r="P15">
        <v>4836000000</v>
      </c>
      <c r="Q15">
        <v>819000000</v>
      </c>
      <c r="R15">
        <v>5655000000</v>
      </c>
      <c r="S15">
        <v>1075000000</v>
      </c>
      <c r="T15">
        <v>247000000</v>
      </c>
      <c r="U15">
        <v>1318000000</v>
      </c>
      <c r="V15">
        <v>8295000000</v>
      </c>
      <c r="W15">
        <v>3024000000</v>
      </c>
      <c r="X15">
        <v>6352000000</v>
      </c>
      <c r="Y15">
        <v>1455000000</v>
      </c>
      <c r="Z15">
        <v>12921000000</v>
      </c>
      <c r="AA15">
        <v>26360000000</v>
      </c>
      <c r="AB15">
        <v>34655000000</v>
      </c>
      <c r="AC15">
        <v>232000000</v>
      </c>
      <c r="AD15">
        <v>171000000</v>
      </c>
      <c r="AE15">
        <v>7288000000</v>
      </c>
      <c r="AF15">
        <v>9332000000</v>
      </c>
      <c r="AG15">
        <v>13296000000</v>
      </c>
      <c r="AH15">
        <v>20584000000</v>
      </c>
      <c r="AI15">
        <v>1702000000</v>
      </c>
      <c r="AJ15">
        <v>0</v>
      </c>
      <c r="AK15">
        <v>0</v>
      </c>
      <c r="AL15">
        <v>473000000</v>
      </c>
      <c r="AM15">
        <v>-23238000000</v>
      </c>
      <c r="AN15">
        <v>13598000000</v>
      </c>
      <c r="AO15">
        <v>-682000000</v>
      </c>
      <c r="AP15">
        <v>-35000000</v>
      </c>
      <c r="AQ15">
        <v>-3000000</v>
      </c>
      <c r="AR15">
        <v>477000000</v>
      </c>
      <c r="AS15">
        <v>212000000</v>
      </c>
      <c r="AT15">
        <v>281000000</v>
      </c>
      <c r="AU15">
        <v>120000000</v>
      </c>
      <c r="AV15">
        <v>520000000</v>
      </c>
      <c r="AW15">
        <v>81000000</v>
      </c>
      <c r="AX15">
        <v>-784000000</v>
      </c>
      <c r="AY15">
        <v>-611000000</v>
      </c>
      <c r="AZ15">
        <v>-71000000</v>
      </c>
      <c r="BA15">
        <v>-71000000</v>
      </c>
      <c r="BB15">
        <v>-28000000</v>
      </c>
      <c r="BC15">
        <v>-1139000000</v>
      </c>
      <c r="BD15">
        <v>-250000000</v>
      </c>
      <c r="BE15">
        <v>-241000000</v>
      </c>
      <c r="BF15">
        <v>0</v>
      </c>
      <c r="BG15">
        <v>0</v>
      </c>
      <c r="BH15">
        <v>0</v>
      </c>
      <c r="BI15">
        <v>-226000000</v>
      </c>
      <c r="BJ15">
        <v>-46000000</v>
      </c>
      <c r="BK15">
        <v>-784000000</v>
      </c>
      <c r="BL15">
        <v>6607000000</v>
      </c>
      <c r="BM15">
        <v>7391000000</v>
      </c>
      <c r="BN15">
        <v>-1312000000</v>
      </c>
      <c r="BO15">
        <v>-1709000000</v>
      </c>
      <c r="BP15">
        <v>-1383000000</v>
      </c>
      <c r="BQ15">
        <v>1007000000</v>
      </c>
      <c r="BR15">
        <v>1.1381723380900111</v>
      </c>
    </row>
    <row r="16" spans="1:70" x14ac:dyDescent="0.25">
      <c r="A16" s="1" t="s">
        <v>83</v>
      </c>
      <c r="B16">
        <v>3165000000</v>
      </c>
      <c r="C16">
        <v>1724000000</v>
      </c>
      <c r="D16">
        <v>531000000</v>
      </c>
      <c r="E16">
        <v>1038000000</v>
      </c>
      <c r="F16">
        <v>1569000000</v>
      </c>
      <c r="G16">
        <v>483000000</v>
      </c>
      <c r="H16">
        <v>8000000</v>
      </c>
      <c r="I16">
        <v>-877000000</v>
      </c>
      <c r="J16">
        <v>118000000</v>
      </c>
      <c r="K16">
        <v>4000000</v>
      </c>
      <c r="L16">
        <v>23000000</v>
      </c>
      <c r="M16">
        <v>-968000000</v>
      </c>
      <c r="N16" s="3">
        <v>1784007997</v>
      </c>
      <c r="O16" s="3">
        <v>1793084000</v>
      </c>
      <c r="P16">
        <v>5647000000</v>
      </c>
      <c r="Q16">
        <v>1180000000</v>
      </c>
      <c r="R16">
        <v>6827000000</v>
      </c>
      <c r="S16">
        <v>1073000000</v>
      </c>
      <c r="T16">
        <v>767000000</v>
      </c>
      <c r="U16">
        <v>1215000000</v>
      </c>
      <c r="V16">
        <v>9882000000</v>
      </c>
      <c r="W16">
        <v>3088000000</v>
      </c>
      <c r="X16">
        <v>6109000000</v>
      </c>
      <c r="Y16">
        <v>1564000000</v>
      </c>
      <c r="Z16">
        <v>10131000000</v>
      </c>
      <c r="AA16">
        <v>23370000000</v>
      </c>
      <c r="AB16">
        <v>33252000000</v>
      </c>
      <c r="AC16">
        <v>235000000</v>
      </c>
      <c r="AD16">
        <v>175000000</v>
      </c>
      <c r="AE16">
        <v>6865000000</v>
      </c>
      <c r="AF16">
        <v>9104000000</v>
      </c>
      <c r="AG16">
        <v>12633000000</v>
      </c>
      <c r="AH16">
        <v>19498000000</v>
      </c>
      <c r="AI16">
        <v>1719000000</v>
      </c>
      <c r="AJ16">
        <v>0</v>
      </c>
      <c r="AK16">
        <v>0</v>
      </c>
      <c r="AL16">
        <v>1488000000</v>
      </c>
      <c r="AM16">
        <v>-23130000000</v>
      </c>
      <c r="AN16">
        <v>12266000000</v>
      </c>
      <c r="AO16">
        <v>-928000000</v>
      </c>
      <c r="AP16">
        <v>-238000000</v>
      </c>
      <c r="AQ16">
        <v>-99000000</v>
      </c>
      <c r="AR16">
        <v>-19000000</v>
      </c>
      <c r="AS16">
        <v>180000000</v>
      </c>
      <c r="AT16">
        <v>236000000</v>
      </c>
      <c r="AU16">
        <v>6000000</v>
      </c>
      <c r="AV16">
        <v>-263000000</v>
      </c>
      <c r="AW16">
        <v>93000000</v>
      </c>
      <c r="AX16">
        <v>-375000000</v>
      </c>
      <c r="AY16">
        <v>-805000000</v>
      </c>
      <c r="AZ16">
        <v>-123000000</v>
      </c>
      <c r="BA16">
        <v>-123000000</v>
      </c>
      <c r="BB16">
        <v>65000000</v>
      </c>
      <c r="BC16">
        <v>-608000000</v>
      </c>
      <c r="BD16">
        <v>-192000000</v>
      </c>
      <c r="BE16">
        <v>-576000000</v>
      </c>
      <c r="BF16">
        <v>0</v>
      </c>
      <c r="BG16">
        <v>0</v>
      </c>
      <c r="BH16">
        <v>0</v>
      </c>
      <c r="BI16">
        <v>896000000</v>
      </c>
      <c r="BJ16">
        <v>75000000</v>
      </c>
      <c r="BK16">
        <v>-375000000</v>
      </c>
      <c r="BL16">
        <v>7391000000</v>
      </c>
      <c r="BM16">
        <v>7766000000</v>
      </c>
      <c r="BN16">
        <v>-697000000</v>
      </c>
      <c r="BO16">
        <v>-900000000</v>
      </c>
      <c r="BP16">
        <v>-820000000</v>
      </c>
      <c r="BQ16">
        <v>3017000000</v>
      </c>
      <c r="BR16">
        <v>1.4394756008739991</v>
      </c>
    </row>
    <row r="17" spans="1:70" x14ac:dyDescent="0.25">
      <c r="A17" s="1" t="s">
        <v>84</v>
      </c>
      <c r="B17">
        <v>3129000000</v>
      </c>
      <c r="C17">
        <v>1515000000</v>
      </c>
      <c r="D17">
        <v>711000000</v>
      </c>
      <c r="E17">
        <v>924000000</v>
      </c>
      <c r="F17">
        <v>1635000000</v>
      </c>
      <c r="G17">
        <v>493000000</v>
      </c>
      <c r="H17">
        <v>38000000</v>
      </c>
      <c r="I17">
        <v>-1116000000</v>
      </c>
      <c r="J17">
        <v>112000000</v>
      </c>
      <c r="K17">
        <v>7000000</v>
      </c>
      <c r="L17">
        <v>23000000</v>
      </c>
      <c r="M17">
        <v>-1089000000</v>
      </c>
      <c r="N17" s="3">
        <v>1755029000</v>
      </c>
      <c r="O17" s="3">
        <v>1755029000</v>
      </c>
      <c r="P17">
        <v>6154000000</v>
      </c>
      <c r="Q17">
        <v>1132000000</v>
      </c>
      <c r="R17">
        <v>7286000000</v>
      </c>
      <c r="S17">
        <v>773000000</v>
      </c>
      <c r="T17">
        <v>218000000</v>
      </c>
      <c r="U17">
        <v>1135000000</v>
      </c>
      <c r="V17">
        <v>9412000000</v>
      </c>
      <c r="W17">
        <v>3210000000</v>
      </c>
      <c r="X17">
        <v>2988000000</v>
      </c>
      <c r="Y17">
        <v>654000000</v>
      </c>
      <c r="Z17">
        <v>10173000000</v>
      </c>
      <c r="AA17">
        <v>19482000000</v>
      </c>
      <c r="AB17">
        <v>28894000000</v>
      </c>
      <c r="AC17">
        <v>240000000</v>
      </c>
      <c r="AD17">
        <v>175000000</v>
      </c>
      <c r="AE17">
        <v>6921000000</v>
      </c>
      <c r="AF17">
        <v>8194000000</v>
      </c>
      <c r="AG17">
        <v>11791000000</v>
      </c>
      <c r="AH17">
        <v>18712000000</v>
      </c>
      <c r="AI17">
        <v>1702000000</v>
      </c>
      <c r="AJ17">
        <v>0</v>
      </c>
      <c r="AK17">
        <v>0</v>
      </c>
      <c r="AL17">
        <v>1240000000</v>
      </c>
      <c r="AM17">
        <v>-22162000000</v>
      </c>
      <c r="AN17">
        <v>8942000000</v>
      </c>
      <c r="AO17">
        <v>-537000000</v>
      </c>
      <c r="AP17">
        <v>-137000000</v>
      </c>
      <c r="AQ17">
        <v>-24000000</v>
      </c>
      <c r="AR17">
        <v>507000000</v>
      </c>
      <c r="AS17">
        <v>138000000</v>
      </c>
      <c r="AT17">
        <v>183000000</v>
      </c>
      <c r="AU17">
        <v>10000000</v>
      </c>
      <c r="AV17">
        <v>419000000</v>
      </c>
      <c r="AW17">
        <v>73000000</v>
      </c>
      <c r="AX17">
        <v>-335000000</v>
      </c>
      <c r="AY17">
        <v>-406000000</v>
      </c>
      <c r="AZ17">
        <v>-131000000</v>
      </c>
      <c r="BA17">
        <v>-131000000</v>
      </c>
      <c r="BB17">
        <v>-190000000</v>
      </c>
      <c r="BC17">
        <v>-481000000</v>
      </c>
      <c r="BD17">
        <v>-365000000</v>
      </c>
      <c r="BE17">
        <v>-56000000</v>
      </c>
      <c r="BF17">
        <v>0</v>
      </c>
      <c r="BG17">
        <v>0</v>
      </c>
      <c r="BH17">
        <v>0</v>
      </c>
      <c r="BI17">
        <v>428000000</v>
      </c>
      <c r="BJ17">
        <v>8000000</v>
      </c>
      <c r="BK17">
        <v>-335000000</v>
      </c>
      <c r="BL17">
        <v>7766000000</v>
      </c>
      <c r="BM17">
        <v>8101000000</v>
      </c>
      <c r="BN17">
        <v>-978000000</v>
      </c>
      <c r="BO17">
        <v>-1139000000</v>
      </c>
      <c r="BP17">
        <v>-1109000000</v>
      </c>
      <c r="BQ17">
        <v>2491000000</v>
      </c>
      <c r="BR17">
        <v>1.359919086837162</v>
      </c>
    </row>
    <row r="18" spans="1:70" x14ac:dyDescent="0.25">
      <c r="A18" s="1" t="s">
        <v>85</v>
      </c>
      <c r="B18">
        <v>2241000000</v>
      </c>
      <c r="C18">
        <v>989000000</v>
      </c>
      <c r="D18">
        <v>565000000</v>
      </c>
      <c r="E18">
        <v>736000000</v>
      </c>
      <c r="F18">
        <v>1301000000</v>
      </c>
      <c r="G18">
        <v>584000000</v>
      </c>
      <c r="H18">
        <v>-5000000</v>
      </c>
      <c r="I18">
        <v>-1607000000</v>
      </c>
      <c r="J18">
        <v>110000000</v>
      </c>
      <c r="K18">
        <v>6000000</v>
      </c>
      <c r="L18">
        <v>4000000</v>
      </c>
      <c r="M18">
        <v>-1775000000</v>
      </c>
      <c r="N18" s="3">
        <v>1738897000</v>
      </c>
      <c r="O18" s="3">
        <v>1738897000</v>
      </c>
      <c r="P18">
        <v>6754000000</v>
      </c>
      <c r="Q18">
        <v>1033000000</v>
      </c>
      <c r="R18">
        <v>7787000000</v>
      </c>
      <c r="S18">
        <v>604000000</v>
      </c>
      <c r="T18">
        <v>123000000</v>
      </c>
      <c r="U18">
        <v>1148000000</v>
      </c>
      <c r="V18">
        <v>9662000000</v>
      </c>
      <c r="W18">
        <v>3287000000</v>
      </c>
      <c r="X18">
        <v>2518000000</v>
      </c>
      <c r="Y18">
        <v>533000000</v>
      </c>
      <c r="Z18">
        <v>9875000000</v>
      </c>
      <c r="AA18">
        <v>18578000000</v>
      </c>
      <c r="AB18">
        <v>28240000000</v>
      </c>
      <c r="AC18">
        <v>253000000</v>
      </c>
      <c r="AD18">
        <v>188000000</v>
      </c>
      <c r="AE18">
        <v>5891000000</v>
      </c>
      <c r="AF18">
        <v>8216000000</v>
      </c>
      <c r="AG18">
        <v>11828000000</v>
      </c>
      <c r="AH18">
        <v>17719000000</v>
      </c>
      <c r="AI18">
        <v>1713000000</v>
      </c>
      <c r="AJ18">
        <v>0</v>
      </c>
      <c r="AK18">
        <v>0</v>
      </c>
      <c r="AL18">
        <v>971000000</v>
      </c>
      <c r="AM18">
        <v>-21073000000</v>
      </c>
      <c r="AN18">
        <v>9550000000</v>
      </c>
      <c r="AO18">
        <v>-1235000000</v>
      </c>
      <c r="AP18">
        <v>73000000</v>
      </c>
      <c r="AQ18">
        <v>36000000</v>
      </c>
      <c r="AR18">
        <v>182000000</v>
      </c>
      <c r="AS18">
        <v>129000000</v>
      </c>
      <c r="AT18">
        <v>131000000</v>
      </c>
      <c r="AU18">
        <v>-9000000</v>
      </c>
      <c r="AV18">
        <v>292000000</v>
      </c>
      <c r="AW18">
        <v>1000000</v>
      </c>
      <c r="AX18">
        <v>-1428000000</v>
      </c>
      <c r="AY18">
        <v>-1071000000</v>
      </c>
      <c r="AZ18">
        <v>-164000000</v>
      </c>
      <c r="BA18">
        <v>-164000000</v>
      </c>
      <c r="BB18">
        <v>0</v>
      </c>
      <c r="BC18">
        <v>-519000000</v>
      </c>
      <c r="BD18">
        <v>-456000000</v>
      </c>
      <c r="BE18">
        <v>-950000000</v>
      </c>
      <c r="BF18">
        <v>0</v>
      </c>
      <c r="BG18">
        <v>0</v>
      </c>
      <c r="BH18">
        <v>0</v>
      </c>
      <c r="BI18">
        <v>118000000</v>
      </c>
      <c r="BJ18">
        <v>-19000000</v>
      </c>
      <c r="BK18">
        <v>-1428000000</v>
      </c>
      <c r="BL18">
        <v>8101000000</v>
      </c>
      <c r="BM18">
        <v>9529000000</v>
      </c>
      <c r="BN18">
        <v>-1478000000</v>
      </c>
      <c r="BO18">
        <v>-1611000000</v>
      </c>
      <c r="BP18">
        <v>-1642000000</v>
      </c>
      <c r="BQ18">
        <v>3771000000</v>
      </c>
      <c r="BR18">
        <v>1.640129010354779</v>
      </c>
    </row>
    <row r="19" spans="1:70" x14ac:dyDescent="0.25">
      <c r="A19" s="1" t="s">
        <v>86</v>
      </c>
      <c r="B19">
        <v>3543000000</v>
      </c>
      <c r="C19">
        <v>1757000000</v>
      </c>
      <c r="D19">
        <v>859000000</v>
      </c>
      <c r="E19">
        <v>885000000</v>
      </c>
      <c r="F19">
        <v>1744000000</v>
      </c>
      <c r="G19">
        <v>645000000</v>
      </c>
      <c r="H19">
        <v>18000000</v>
      </c>
      <c r="I19">
        <v>-1263000000</v>
      </c>
      <c r="J19">
        <v>118000000</v>
      </c>
      <c r="K19">
        <v>38000000</v>
      </c>
      <c r="L19">
        <v>-242000000</v>
      </c>
      <c r="M19">
        <v>-2936000000</v>
      </c>
      <c r="N19" s="3">
        <v>1724367000</v>
      </c>
      <c r="O19" s="3">
        <v>1724367000</v>
      </c>
      <c r="P19">
        <v>8165000000</v>
      </c>
      <c r="Q19">
        <v>831000000</v>
      </c>
      <c r="R19">
        <v>8996000000</v>
      </c>
      <c r="S19">
        <v>683000000</v>
      </c>
      <c r="T19">
        <v>193000000</v>
      </c>
      <c r="U19">
        <v>1242000000</v>
      </c>
      <c r="V19">
        <v>11114000000</v>
      </c>
      <c r="W19">
        <v>3440000000</v>
      </c>
      <c r="X19">
        <v>2566000000</v>
      </c>
      <c r="Y19">
        <v>560000000</v>
      </c>
      <c r="Z19">
        <v>9986000000</v>
      </c>
      <c r="AA19">
        <v>18976000000</v>
      </c>
      <c r="AB19">
        <v>30090000000</v>
      </c>
      <c r="AC19">
        <v>215000000</v>
      </c>
      <c r="AD19">
        <v>205000000</v>
      </c>
      <c r="AE19">
        <v>6631000000</v>
      </c>
      <c r="AF19">
        <v>7222000000</v>
      </c>
      <c r="AG19">
        <v>11141000000</v>
      </c>
      <c r="AH19">
        <v>17772000000</v>
      </c>
      <c r="AI19">
        <v>1724000000</v>
      </c>
      <c r="AJ19">
        <v>0</v>
      </c>
      <c r="AK19">
        <v>0</v>
      </c>
      <c r="AL19">
        <v>976000000</v>
      </c>
      <c r="AM19">
        <v>-19298000000</v>
      </c>
      <c r="AN19">
        <v>11342000000</v>
      </c>
      <c r="AO19">
        <v>-661000000</v>
      </c>
      <c r="AP19">
        <v>444000000</v>
      </c>
      <c r="AQ19">
        <v>-46000000</v>
      </c>
      <c r="AR19">
        <v>-283000000</v>
      </c>
      <c r="AS19">
        <v>128000000</v>
      </c>
      <c r="AT19">
        <v>277000000</v>
      </c>
      <c r="AU19">
        <v>-273000000</v>
      </c>
      <c r="AV19">
        <v>284000000</v>
      </c>
      <c r="AW19">
        <v>169000000</v>
      </c>
      <c r="AX19">
        <v>-2538000000</v>
      </c>
      <c r="AY19">
        <v>-463000000</v>
      </c>
      <c r="AZ19">
        <v>-198000000</v>
      </c>
      <c r="BA19">
        <v>-198000000</v>
      </c>
      <c r="BB19">
        <v>-1255000000</v>
      </c>
      <c r="BC19">
        <v>-503000000</v>
      </c>
      <c r="BD19">
        <v>-1856000000</v>
      </c>
      <c r="BE19">
        <v>-60000000</v>
      </c>
      <c r="BF19">
        <v>0</v>
      </c>
      <c r="BG19">
        <v>0</v>
      </c>
      <c r="BH19">
        <v>0</v>
      </c>
      <c r="BI19">
        <v>-63000000</v>
      </c>
      <c r="BJ19">
        <v>-156000000</v>
      </c>
      <c r="BK19">
        <v>-2538000000</v>
      </c>
      <c r="BL19">
        <v>9529000000</v>
      </c>
      <c r="BM19">
        <v>12067000000</v>
      </c>
      <c r="BN19">
        <v>-1135000000</v>
      </c>
      <c r="BO19">
        <v>-1021000000</v>
      </c>
      <c r="BP19">
        <v>-1333000000</v>
      </c>
      <c r="BQ19">
        <v>4483000000</v>
      </c>
      <c r="BR19">
        <v>1.676066958226512</v>
      </c>
    </row>
    <row r="20" spans="1:70" x14ac:dyDescent="0.25">
      <c r="A20" s="1" t="s">
        <v>87</v>
      </c>
      <c r="B20">
        <v>4069000000</v>
      </c>
      <c r="C20">
        <v>2142000000</v>
      </c>
      <c r="D20">
        <v>647000000</v>
      </c>
      <c r="E20">
        <v>1251000000</v>
      </c>
      <c r="F20">
        <v>1898000000</v>
      </c>
      <c r="G20">
        <v>608000000</v>
      </c>
      <c r="H20">
        <v>4000000</v>
      </c>
      <c r="I20">
        <v>-971000000</v>
      </c>
      <c r="J20">
        <v>101000000</v>
      </c>
      <c r="K20">
        <v>50000000</v>
      </c>
      <c r="L20">
        <v>25000000</v>
      </c>
      <c r="M20">
        <v>-1096000000</v>
      </c>
      <c r="N20" s="3">
        <v>1710260000</v>
      </c>
      <c r="O20" s="3">
        <v>1710260000</v>
      </c>
      <c r="P20">
        <v>10873000000</v>
      </c>
      <c r="Q20">
        <v>440000000</v>
      </c>
      <c r="R20">
        <v>11313000000</v>
      </c>
      <c r="S20">
        <v>1214000000</v>
      </c>
      <c r="T20">
        <v>99000000</v>
      </c>
      <c r="U20">
        <v>1299000000</v>
      </c>
      <c r="V20">
        <v>13925000000</v>
      </c>
      <c r="W20">
        <v>3325000000</v>
      </c>
      <c r="X20">
        <v>167000000</v>
      </c>
      <c r="Y20">
        <v>71000000</v>
      </c>
      <c r="Z20">
        <v>11891000000</v>
      </c>
      <c r="AA20">
        <v>17836000000</v>
      </c>
      <c r="AB20">
        <v>31761000000</v>
      </c>
      <c r="AC20">
        <v>272000000</v>
      </c>
      <c r="AD20">
        <v>196000000</v>
      </c>
      <c r="AE20">
        <v>5639000000</v>
      </c>
      <c r="AF20">
        <v>7230000000</v>
      </c>
      <c r="AG20">
        <v>10939000000</v>
      </c>
      <c r="AH20">
        <v>16578000000</v>
      </c>
      <c r="AI20">
        <v>1719000000</v>
      </c>
      <c r="AJ20">
        <v>0</v>
      </c>
      <c r="AK20">
        <v>0</v>
      </c>
      <c r="AL20">
        <v>993000000</v>
      </c>
      <c r="AM20">
        <v>-16362000000</v>
      </c>
      <c r="AN20">
        <v>14190000000</v>
      </c>
      <c r="AO20">
        <v>-1981000000</v>
      </c>
      <c r="AP20">
        <v>-65000000</v>
      </c>
      <c r="AQ20">
        <v>118000000</v>
      </c>
      <c r="AR20">
        <v>-41000000</v>
      </c>
      <c r="AS20">
        <v>101000000</v>
      </c>
      <c r="AT20">
        <v>243000000</v>
      </c>
      <c r="AU20">
        <v>-33000000</v>
      </c>
      <c r="AV20">
        <v>-1062000000</v>
      </c>
      <c r="AW20">
        <v>-1074000000</v>
      </c>
      <c r="AX20">
        <v>-2574000000</v>
      </c>
      <c r="AY20">
        <v>-1799000000</v>
      </c>
      <c r="AZ20">
        <v>-182000000</v>
      </c>
      <c r="BA20">
        <v>-182000000</v>
      </c>
      <c r="BB20">
        <v>-350000000</v>
      </c>
      <c r="BC20">
        <v>-541000000</v>
      </c>
      <c r="BD20">
        <v>-711000000</v>
      </c>
      <c r="BE20">
        <v>-25000000</v>
      </c>
      <c r="BF20">
        <v>4000000</v>
      </c>
      <c r="BG20">
        <v>-74000000</v>
      </c>
      <c r="BH20">
        <v>-59000000</v>
      </c>
      <c r="BI20">
        <v>-83000000</v>
      </c>
      <c r="BJ20">
        <v>19000000</v>
      </c>
      <c r="BK20">
        <v>-2574000000</v>
      </c>
      <c r="BL20">
        <v>12067000000</v>
      </c>
      <c r="BM20">
        <v>14641000000</v>
      </c>
      <c r="BN20">
        <v>-870000000</v>
      </c>
      <c r="BO20">
        <v>-996000000</v>
      </c>
      <c r="BP20">
        <v>-1052000000</v>
      </c>
      <c r="BQ20">
        <v>8286000000</v>
      </c>
      <c r="BR20">
        <v>2.469409469764142</v>
      </c>
    </row>
    <row r="21" spans="1:70" x14ac:dyDescent="0.25">
      <c r="A21" s="1" t="s">
        <v>88</v>
      </c>
      <c r="B21">
        <v>3813000000</v>
      </c>
      <c r="C21">
        <v>1953000000</v>
      </c>
      <c r="D21">
        <v>591000000</v>
      </c>
      <c r="E21">
        <v>1113000000</v>
      </c>
      <c r="F21">
        <v>1704000000</v>
      </c>
      <c r="G21">
        <v>755000000</v>
      </c>
      <c r="H21">
        <v>-22000000</v>
      </c>
      <c r="I21">
        <v>-1106000000</v>
      </c>
      <c r="J21">
        <v>90000000</v>
      </c>
      <c r="K21">
        <v>76000000</v>
      </c>
      <c r="L21">
        <v>3000000</v>
      </c>
      <c r="M21">
        <v>-1162000000</v>
      </c>
      <c r="N21" s="3">
        <v>1700213000</v>
      </c>
      <c r="O21" s="3">
        <v>1700213000</v>
      </c>
      <c r="P21">
        <v>12650000000</v>
      </c>
      <c r="Q21">
        <v>0</v>
      </c>
      <c r="R21">
        <v>12650000000</v>
      </c>
      <c r="S21">
        <v>1154000000</v>
      </c>
      <c r="T21">
        <v>33000000</v>
      </c>
      <c r="U21">
        <v>1316000000</v>
      </c>
      <c r="V21">
        <v>15153000000</v>
      </c>
      <c r="W21">
        <v>3075000000</v>
      </c>
      <c r="X21">
        <v>167000000</v>
      </c>
      <c r="Y21">
        <v>74000000</v>
      </c>
      <c r="Z21">
        <v>11805000000</v>
      </c>
      <c r="AA21">
        <v>17139000000</v>
      </c>
      <c r="AB21">
        <v>32292000000</v>
      </c>
      <c r="AC21">
        <v>126000000</v>
      </c>
      <c r="AD21">
        <v>197000000</v>
      </c>
      <c r="AE21">
        <v>5372000000</v>
      </c>
      <c r="AF21">
        <v>7170000000</v>
      </c>
      <c r="AG21">
        <v>10869000000</v>
      </c>
      <c r="AH21">
        <v>16241000000</v>
      </c>
      <c r="AI21">
        <v>1656000000</v>
      </c>
      <c r="AJ21">
        <v>0</v>
      </c>
      <c r="AK21">
        <v>0</v>
      </c>
      <c r="AL21">
        <v>989000000</v>
      </c>
      <c r="AM21">
        <v>-15266000000</v>
      </c>
      <c r="AN21">
        <v>15062000000</v>
      </c>
      <c r="AO21">
        <v>-1007000000</v>
      </c>
      <c r="AP21">
        <v>94000000</v>
      </c>
      <c r="AQ21">
        <v>-32000000</v>
      </c>
      <c r="AR21">
        <v>-391000000</v>
      </c>
      <c r="AS21">
        <v>102000000</v>
      </c>
      <c r="AT21">
        <v>401000000</v>
      </c>
      <c r="AU21">
        <v>-24000000</v>
      </c>
      <c r="AV21">
        <v>-230000000</v>
      </c>
      <c r="AW21">
        <v>99000000</v>
      </c>
      <c r="AX21">
        <v>951000000</v>
      </c>
      <c r="AY21">
        <v>-878000000</v>
      </c>
      <c r="AZ21">
        <v>-129000000</v>
      </c>
      <c r="BA21">
        <v>-129000000</v>
      </c>
      <c r="BB21">
        <v>0</v>
      </c>
      <c r="BC21">
        <v>0</v>
      </c>
      <c r="BD21">
        <v>-129000000</v>
      </c>
      <c r="BE21">
        <v>-55000000</v>
      </c>
      <c r="BF21">
        <v>-4000000</v>
      </c>
      <c r="BG21">
        <v>0</v>
      </c>
      <c r="BH21">
        <v>0</v>
      </c>
      <c r="BI21">
        <v>1993000000</v>
      </c>
      <c r="BJ21">
        <v>-35000000</v>
      </c>
      <c r="BK21">
        <v>951000000</v>
      </c>
      <c r="BL21">
        <v>14641000000</v>
      </c>
      <c r="BM21">
        <v>13690000000</v>
      </c>
      <c r="BN21">
        <v>-1004000000</v>
      </c>
      <c r="BO21">
        <v>-1109000000</v>
      </c>
      <c r="BP21">
        <v>-1133000000</v>
      </c>
      <c r="BQ21">
        <v>9781000000</v>
      </c>
      <c r="BR21">
        <v>2.820737155621742</v>
      </c>
    </row>
    <row r="22" spans="1:70" x14ac:dyDescent="0.25">
      <c r="A22" s="1" t="s">
        <v>89</v>
      </c>
      <c r="B22">
        <v>3166000000</v>
      </c>
      <c r="C22">
        <v>1426000000</v>
      </c>
      <c r="D22">
        <v>1638000000</v>
      </c>
      <c r="E22">
        <v>1222000000</v>
      </c>
      <c r="F22">
        <v>2860000000</v>
      </c>
      <c r="G22">
        <v>3064000000</v>
      </c>
      <c r="H22">
        <v>16000000</v>
      </c>
      <c r="I22">
        <v>-5485000000</v>
      </c>
      <c r="J22">
        <v>151000000</v>
      </c>
      <c r="K22">
        <v>64000000</v>
      </c>
      <c r="L22">
        <v>-2000000</v>
      </c>
      <c r="M22">
        <v>-5236000000</v>
      </c>
      <c r="N22" s="3">
        <v>1109322033</v>
      </c>
      <c r="O22" s="3">
        <v>1110704000</v>
      </c>
      <c r="P22">
        <v>11744000000</v>
      </c>
      <c r="Q22">
        <v>0</v>
      </c>
      <c r="R22">
        <v>11744000000</v>
      </c>
      <c r="S22">
        <v>1290000000</v>
      </c>
      <c r="T22">
        <v>137000000</v>
      </c>
      <c r="U22">
        <v>1129000000</v>
      </c>
      <c r="V22">
        <v>14300000000</v>
      </c>
      <c r="W22">
        <v>2784000000</v>
      </c>
      <c r="X22">
        <v>167000000</v>
      </c>
      <c r="Y22">
        <v>78000000</v>
      </c>
      <c r="Z22">
        <v>11785000000</v>
      </c>
      <c r="AA22">
        <v>16680000000</v>
      </c>
      <c r="AB22">
        <v>30980000000</v>
      </c>
      <c r="AC22">
        <v>167000000</v>
      </c>
      <c r="AD22">
        <v>180000000</v>
      </c>
      <c r="AE22">
        <v>5570000000</v>
      </c>
      <c r="AF22">
        <v>5800000000</v>
      </c>
      <c r="AG22">
        <v>9502000000</v>
      </c>
      <c r="AH22">
        <v>15072000000</v>
      </c>
      <c r="AI22">
        <v>1454000000</v>
      </c>
      <c r="AJ22">
        <v>0</v>
      </c>
      <c r="AK22">
        <v>0</v>
      </c>
      <c r="AL22">
        <v>-14000000</v>
      </c>
      <c r="AM22">
        <v>-14104000000</v>
      </c>
      <c r="AN22">
        <v>15922000000</v>
      </c>
      <c r="AO22">
        <v>-1070000000</v>
      </c>
      <c r="AP22">
        <v>-226000000</v>
      </c>
      <c r="AQ22">
        <v>9000000</v>
      </c>
      <c r="AR22">
        <v>693000000</v>
      </c>
      <c r="AS22">
        <v>123000000</v>
      </c>
      <c r="AT22">
        <v>3941000000</v>
      </c>
      <c r="AU22">
        <v>-35000000</v>
      </c>
      <c r="AV22">
        <v>572000000</v>
      </c>
      <c r="AW22">
        <v>96000000</v>
      </c>
      <c r="AX22">
        <v>6008000000</v>
      </c>
      <c r="AY22">
        <v>-922000000</v>
      </c>
      <c r="AZ22">
        <v>-148000000</v>
      </c>
      <c r="BA22">
        <v>-148000000</v>
      </c>
      <c r="BB22">
        <v>-7000000</v>
      </c>
      <c r="BC22">
        <v>0</v>
      </c>
      <c r="BD22">
        <v>-154000000</v>
      </c>
      <c r="BE22">
        <v>-37000000</v>
      </c>
      <c r="BF22">
        <v>0</v>
      </c>
      <c r="BG22">
        <v>0</v>
      </c>
      <c r="BH22">
        <v>0</v>
      </c>
      <c r="BI22">
        <v>7075000000</v>
      </c>
      <c r="BJ22">
        <v>9000000</v>
      </c>
      <c r="BK22">
        <v>6008000000</v>
      </c>
      <c r="BL22">
        <v>13690000000</v>
      </c>
      <c r="BM22">
        <v>7682000000</v>
      </c>
      <c r="BN22">
        <v>-5362000000</v>
      </c>
      <c r="BO22">
        <v>-5483000000</v>
      </c>
      <c r="BP22">
        <v>-5510000000</v>
      </c>
      <c r="BQ22">
        <v>8730000000</v>
      </c>
      <c r="BR22">
        <v>2.567324955116697</v>
      </c>
    </row>
    <row r="23" spans="1:70" x14ac:dyDescent="0.25">
      <c r="A23" s="1" t="s">
        <v>90</v>
      </c>
      <c r="B23">
        <v>3099000000</v>
      </c>
      <c r="C23">
        <v>1418000000</v>
      </c>
      <c r="D23">
        <v>423000000</v>
      </c>
      <c r="E23">
        <v>1040000000</v>
      </c>
      <c r="F23">
        <v>1463000000</v>
      </c>
      <c r="G23">
        <v>409000000</v>
      </c>
      <c r="H23">
        <v>26000000</v>
      </c>
      <c r="I23">
        <v>-1034000000</v>
      </c>
      <c r="J23">
        <v>217000000</v>
      </c>
      <c r="K23">
        <v>44000000</v>
      </c>
      <c r="L23">
        <v>19000000</v>
      </c>
      <c r="M23">
        <v>-1012000000</v>
      </c>
      <c r="N23" s="3">
        <v>1676959021</v>
      </c>
      <c r="O23" s="3">
        <v>1676959021</v>
      </c>
      <c r="P23">
        <v>5745000000</v>
      </c>
      <c r="Q23">
        <v>0</v>
      </c>
      <c r="R23">
        <v>5745000000</v>
      </c>
      <c r="S23">
        <v>1074000000</v>
      </c>
      <c r="T23">
        <v>136000000</v>
      </c>
      <c r="U23">
        <v>975000000</v>
      </c>
      <c r="V23">
        <v>7930000000</v>
      </c>
      <c r="W23">
        <v>2648000000</v>
      </c>
      <c r="X23">
        <v>153000000</v>
      </c>
      <c r="Y23">
        <v>78000000</v>
      </c>
      <c r="Z23">
        <v>11716000000</v>
      </c>
      <c r="AA23">
        <v>16460000000</v>
      </c>
      <c r="AB23">
        <v>24390000000</v>
      </c>
      <c r="AC23">
        <v>151000000</v>
      </c>
      <c r="AD23">
        <v>178000000</v>
      </c>
      <c r="AE23">
        <v>4714000000</v>
      </c>
      <c r="AF23">
        <v>8164000000</v>
      </c>
      <c r="AG23">
        <v>28112000000</v>
      </c>
      <c r="AH23">
        <v>32826000000</v>
      </c>
      <c r="AI23">
        <v>1403000000</v>
      </c>
      <c r="AJ23">
        <v>14224000000</v>
      </c>
      <c r="AK23">
        <v>-14224000000</v>
      </c>
      <c r="AL23">
        <v>-4000000</v>
      </c>
      <c r="AM23">
        <v>-8868000000</v>
      </c>
      <c r="AN23">
        <v>-8432000000</v>
      </c>
      <c r="AO23">
        <v>-851000000</v>
      </c>
      <c r="AP23">
        <v>-210000000</v>
      </c>
      <c r="AQ23">
        <v>0</v>
      </c>
      <c r="AR23">
        <v>0</v>
      </c>
      <c r="AS23">
        <v>146000000</v>
      </c>
      <c r="AT23">
        <v>11000000</v>
      </c>
      <c r="AU23">
        <v>4000000</v>
      </c>
      <c r="AV23">
        <v>220000000</v>
      </c>
      <c r="AW23">
        <v>430000000</v>
      </c>
      <c r="AX23">
        <v>-527000000</v>
      </c>
      <c r="AY23">
        <v>-722000000</v>
      </c>
      <c r="AZ23">
        <v>-129000000</v>
      </c>
      <c r="BA23">
        <v>-129000000</v>
      </c>
      <c r="BB23">
        <v>293000000</v>
      </c>
      <c r="BC23">
        <v>0</v>
      </c>
      <c r="BD23">
        <v>204000000</v>
      </c>
      <c r="BE23">
        <v>-48000000</v>
      </c>
      <c r="BF23">
        <v>0</v>
      </c>
      <c r="BG23">
        <v>0</v>
      </c>
      <c r="BH23">
        <v>0</v>
      </c>
      <c r="BI23">
        <v>-46000000</v>
      </c>
      <c r="BJ23">
        <v>3000000</v>
      </c>
      <c r="BK23">
        <v>-527000000</v>
      </c>
      <c r="BL23">
        <v>7682000000</v>
      </c>
      <c r="BM23">
        <v>8209000000</v>
      </c>
      <c r="BN23">
        <v>-888000000</v>
      </c>
      <c r="BO23">
        <v>-1053000000</v>
      </c>
      <c r="BP23">
        <v>-1017000000</v>
      </c>
      <c r="BQ23">
        <v>3216000000</v>
      </c>
      <c r="BR23">
        <v>1.682223165040305</v>
      </c>
    </row>
    <row r="24" spans="1:70" x14ac:dyDescent="0.25">
      <c r="A24" s="1" t="s">
        <v>91</v>
      </c>
      <c r="B24">
        <v>2974000000</v>
      </c>
      <c r="C24">
        <v>1359000000</v>
      </c>
      <c r="D24">
        <v>555000000</v>
      </c>
      <c r="E24">
        <v>974000000</v>
      </c>
      <c r="F24">
        <v>1529000000</v>
      </c>
      <c r="G24">
        <v>366000000</v>
      </c>
      <c r="H24">
        <v>7000000</v>
      </c>
      <c r="I24">
        <v>-1053000000</v>
      </c>
      <c r="J24">
        <v>195000000</v>
      </c>
      <c r="K24">
        <v>35000000</v>
      </c>
      <c r="L24">
        <v>-322000000</v>
      </c>
      <c r="M24">
        <v>-887000000</v>
      </c>
      <c r="N24" s="3">
        <v>1676959021</v>
      </c>
      <c r="O24" s="3">
        <v>1676959021</v>
      </c>
      <c r="P24">
        <v>6406000000</v>
      </c>
      <c r="Q24">
        <v>0</v>
      </c>
      <c r="R24">
        <v>6406000000</v>
      </c>
      <c r="S24">
        <v>1335000000</v>
      </c>
      <c r="T24">
        <v>738000000</v>
      </c>
      <c r="U24">
        <v>179000000</v>
      </c>
      <c r="V24">
        <v>8658000000</v>
      </c>
      <c r="W24">
        <v>1641000000</v>
      </c>
      <c r="X24">
        <v>153000000</v>
      </c>
      <c r="Y24">
        <v>82000000</v>
      </c>
      <c r="Z24">
        <v>11667000000</v>
      </c>
      <c r="AA24">
        <v>15330000000</v>
      </c>
      <c r="AB24">
        <v>23988000000</v>
      </c>
      <c r="AC24">
        <v>150000000</v>
      </c>
      <c r="AD24">
        <v>0</v>
      </c>
      <c r="AE24">
        <v>5313000000</v>
      </c>
      <c r="AF24">
        <v>4535000000</v>
      </c>
      <c r="AG24">
        <v>8342000000</v>
      </c>
      <c r="AH24">
        <v>13655000000</v>
      </c>
      <c r="AI24">
        <v>0</v>
      </c>
      <c r="AJ24">
        <v>0</v>
      </c>
      <c r="AK24">
        <v>0</v>
      </c>
      <c r="AL24">
        <v>0</v>
      </c>
      <c r="AM24">
        <v>-10334000000</v>
      </c>
      <c r="AN24">
        <v>10333000000</v>
      </c>
      <c r="AO24">
        <v>-877000000</v>
      </c>
      <c r="AP24">
        <v>80000000</v>
      </c>
      <c r="AQ24">
        <v>27000000</v>
      </c>
      <c r="AR24">
        <v>-35000000</v>
      </c>
      <c r="AS24">
        <v>109000000</v>
      </c>
      <c r="AT24">
        <v>25000000</v>
      </c>
      <c r="AU24">
        <v>-385000000</v>
      </c>
      <c r="AV24">
        <v>252000000</v>
      </c>
      <c r="AW24">
        <v>180000000</v>
      </c>
      <c r="AX24">
        <v>1696000000</v>
      </c>
      <c r="AY24">
        <v>-681000000</v>
      </c>
      <c r="AZ24">
        <v>-196000000</v>
      </c>
      <c r="BA24">
        <v>-196000000</v>
      </c>
      <c r="BB24">
        <v>0</v>
      </c>
      <c r="BC24">
        <v>0</v>
      </c>
      <c r="BD24">
        <v>-156000000</v>
      </c>
      <c r="BE24">
        <v>-37000000</v>
      </c>
      <c r="BF24">
        <v>0</v>
      </c>
      <c r="BG24">
        <v>0</v>
      </c>
      <c r="BH24">
        <v>0</v>
      </c>
      <c r="BI24">
        <v>2477000000</v>
      </c>
      <c r="BJ24">
        <v>14000000</v>
      </c>
      <c r="BK24">
        <v>1696000000</v>
      </c>
      <c r="BL24">
        <v>8209000000</v>
      </c>
      <c r="BM24">
        <v>6513000000</v>
      </c>
      <c r="BN24">
        <v>-944000000</v>
      </c>
      <c r="BO24">
        <v>-731000000</v>
      </c>
      <c r="BP24">
        <v>-1140000000</v>
      </c>
      <c r="BQ24">
        <v>3345000000</v>
      </c>
      <c r="BR24">
        <v>1.6295878035008471</v>
      </c>
    </row>
    <row r="25" spans="1:70" x14ac:dyDescent="0.25">
      <c r="A25" s="1" t="s">
        <v>92</v>
      </c>
      <c r="B25">
        <v>2944000000</v>
      </c>
      <c r="C25">
        <v>1434000000</v>
      </c>
      <c r="D25">
        <v>460000000</v>
      </c>
      <c r="E25">
        <v>785000000</v>
      </c>
      <c r="F25">
        <v>1245000000</v>
      </c>
      <c r="G25">
        <v>434000000</v>
      </c>
      <c r="H25">
        <v>19000000</v>
      </c>
      <c r="I25">
        <v>-763000000</v>
      </c>
      <c r="J25">
        <v>161000000</v>
      </c>
      <c r="K25">
        <v>27000000</v>
      </c>
      <c r="L25">
        <v>1000000</v>
      </c>
      <c r="M25">
        <v>-986000000</v>
      </c>
      <c r="N25" s="3">
        <v>1700213000</v>
      </c>
      <c r="O25" s="3">
        <v>1700213000</v>
      </c>
      <c r="AO25">
        <v>-563000000</v>
      </c>
      <c r="AP25">
        <v>-338000000</v>
      </c>
      <c r="AQ25">
        <v>-14000000</v>
      </c>
      <c r="AR25">
        <v>258000000</v>
      </c>
      <c r="AS25">
        <v>131000000</v>
      </c>
      <c r="AT25">
        <v>64000000</v>
      </c>
      <c r="AU25">
        <v>-50000000</v>
      </c>
      <c r="AV25">
        <v>153000000</v>
      </c>
      <c r="AW25">
        <v>247000000</v>
      </c>
      <c r="AX25">
        <v>-767000000</v>
      </c>
      <c r="AY25">
        <v>-410000000</v>
      </c>
      <c r="AZ25">
        <v>-153000000</v>
      </c>
      <c r="BA25">
        <v>-153000000</v>
      </c>
      <c r="BB25">
        <v>11000000</v>
      </c>
      <c r="BC25">
        <v>0</v>
      </c>
      <c r="BD25">
        <v>-73000000</v>
      </c>
      <c r="BE25">
        <v>-325000000</v>
      </c>
      <c r="BF25">
        <v>0</v>
      </c>
      <c r="BG25">
        <v>-1000000</v>
      </c>
      <c r="BH25">
        <v>0</v>
      </c>
      <c r="BI25">
        <v>-313000000</v>
      </c>
      <c r="BJ25">
        <v>-31000000</v>
      </c>
      <c r="BK25">
        <v>-767000000</v>
      </c>
      <c r="BL25">
        <v>6513000000</v>
      </c>
      <c r="BM25">
        <v>7280000000</v>
      </c>
      <c r="BN25">
        <v>-632000000</v>
      </c>
      <c r="BO25">
        <v>-764000000</v>
      </c>
      <c r="BP25">
        <v>-785000000</v>
      </c>
    </row>
    <row r="26" spans="1:70" x14ac:dyDescent="0.25">
      <c r="A26" s="1" t="s">
        <v>93</v>
      </c>
      <c r="B26">
        <v>2768000000</v>
      </c>
      <c r="C26">
        <v>1426000000</v>
      </c>
      <c r="D26">
        <v>638000000</v>
      </c>
      <c r="E26">
        <v>715000000</v>
      </c>
      <c r="F26">
        <v>1353000000</v>
      </c>
      <c r="G26">
        <v>365000000</v>
      </c>
      <c r="H26">
        <v>71000000</v>
      </c>
      <c r="I26">
        <v>-739000000</v>
      </c>
      <c r="J26">
        <v>160000000</v>
      </c>
      <c r="K26">
        <v>24000000</v>
      </c>
      <c r="L26">
        <v>28000000</v>
      </c>
      <c r="M26">
        <v>-878000000</v>
      </c>
      <c r="N26" s="3">
        <v>1700213000</v>
      </c>
      <c r="O26" s="3">
        <v>1700213000</v>
      </c>
      <c r="AO26">
        <v>-272000000</v>
      </c>
      <c r="AP26">
        <v>-17000000</v>
      </c>
      <c r="AQ26">
        <v>14000000</v>
      </c>
      <c r="AR26">
        <v>143000000</v>
      </c>
      <c r="AS26">
        <v>98000000</v>
      </c>
      <c r="AT26">
        <v>20000000</v>
      </c>
      <c r="AU26">
        <v>-16000000</v>
      </c>
      <c r="AV26">
        <v>396000000</v>
      </c>
      <c r="AW26">
        <v>256000000</v>
      </c>
      <c r="AX26">
        <v>1018000000</v>
      </c>
      <c r="AY26">
        <v>-153000000</v>
      </c>
      <c r="AZ26">
        <v>-119000000</v>
      </c>
      <c r="BA26">
        <v>-119000000</v>
      </c>
      <c r="BB26">
        <v>-64000000</v>
      </c>
      <c r="BC26">
        <v>0</v>
      </c>
      <c r="BD26">
        <v>-91000000</v>
      </c>
      <c r="BE26">
        <v>-138000000</v>
      </c>
      <c r="BF26">
        <v>0</v>
      </c>
      <c r="BG26">
        <v>-2000000</v>
      </c>
      <c r="BH26">
        <v>0</v>
      </c>
      <c r="BI26">
        <v>1362000000</v>
      </c>
      <c r="BJ26">
        <v>-104000000</v>
      </c>
      <c r="BK26">
        <v>1018000000</v>
      </c>
      <c r="BL26">
        <v>7280000000</v>
      </c>
      <c r="BM26">
        <v>6262000000</v>
      </c>
      <c r="BN26">
        <v>-641000000</v>
      </c>
      <c r="BO26">
        <v>-767000000</v>
      </c>
      <c r="BP26">
        <v>-760000000</v>
      </c>
    </row>
    <row r="27" spans="1:70" x14ac:dyDescent="0.25">
      <c r="A27" s="1" t="s">
        <v>94</v>
      </c>
      <c r="B27">
        <v>2584000000</v>
      </c>
      <c r="C27">
        <v>1428000000</v>
      </c>
      <c r="D27">
        <v>429000000</v>
      </c>
      <c r="E27">
        <v>677000000</v>
      </c>
      <c r="F27">
        <v>1106000000</v>
      </c>
      <c r="G27">
        <v>340000000</v>
      </c>
      <c r="H27">
        <v>128000000</v>
      </c>
      <c r="I27">
        <v>-478000000</v>
      </c>
      <c r="J27">
        <v>132000000</v>
      </c>
      <c r="K27">
        <v>18000000</v>
      </c>
      <c r="L27">
        <v>576000000</v>
      </c>
      <c r="M27">
        <v>3748000000</v>
      </c>
      <c r="N27" s="3">
        <v>1700213000</v>
      </c>
      <c r="O27" s="3">
        <v>1700213000</v>
      </c>
      <c r="AO27">
        <v>-387000000</v>
      </c>
      <c r="AP27">
        <v>-4000000</v>
      </c>
      <c r="AQ27">
        <v>-66000000</v>
      </c>
      <c r="AR27">
        <v>-101000000</v>
      </c>
      <c r="AS27">
        <v>88000000</v>
      </c>
      <c r="AT27">
        <v>61000000</v>
      </c>
      <c r="AU27">
        <v>486000000</v>
      </c>
      <c r="AV27">
        <v>89000000</v>
      </c>
      <c r="AW27">
        <v>260000000</v>
      </c>
      <c r="AX27">
        <v>434000000</v>
      </c>
      <c r="AY27">
        <v>-297000000</v>
      </c>
      <c r="AZ27">
        <v>-90000000</v>
      </c>
      <c r="BA27">
        <v>-90000000</v>
      </c>
      <c r="BB27">
        <v>-423000000</v>
      </c>
      <c r="BC27">
        <v>0</v>
      </c>
      <c r="BD27">
        <v>-375000000</v>
      </c>
      <c r="BE27">
        <v>-99000000</v>
      </c>
      <c r="BF27">
        <v>0</v>
      </c>
      <c r="BG27">
        <v>-7000000</v>
      </c>
      <c r="BH27">
        <v>0</v>
      </c>
      <c r="BI27">
        <v>1114000000</v>
      </c>
      <c r="BJ27">
        <v>2000000</v>
      </c>
      <c r="BK27">
        <v>434000000</v>
      </c>
      <c r="BL27">
        <v>6262000000</v>
      </c>
      <c r="BM27">
        <v>5828000000</v>
      </c>
      <c r="BN27">
        <v>-390000000</v>
      </c>
      <c r="BO27">
        <v>-1054000000</v>
      </c>
      <c r="BP27">
        <v>-480000000</v>
      </c>
    </row>
    <row r="28" spans="1:70" x14ac:dyDescent="0.25">
      <c r="A28" s="1" t="s">
        <v>95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BQ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28"/>
  <sheetViews>
    <sheetView workbookViewId="0"/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>
        <v>1</v>
      </c>
      <c r="C2">
        <v>0.314</v>
      </c>
      <c r="D2">
        <v>6.4000000000000001E-2</v>
      </c>
      <c r="E2">
        <v>0.104</v>
      </c>
      <c r="F2">
        <v>0.155</v>
      </c>
      <c r="G2">
        <v>7.0999999999999994E-2</v>
      </c>
      <c r="H2">
        <v>-1E-3</v>
      </c>
      <c r="I2">
        <v>8.7999999999999995E-2</v>
      </c>
      <c r="J2">
        <v>1.2999999999999999E-2</v>
      </c>
      <c r="K2">
        <v>1.6E-2</v>
      </c>
      <c r="L2">
        <v>5.0000000000000001E-3</v>
      </c>
      <c r="M2">
        <v>9.5000000000000001E-2</v>
      </c>
      <c r="N2">
        <v>0.19600000000000001</v>
      </c>
      <c r="O2">
        <v>0.20100000000000001</v>
      </c>
      <c r="P2">
        <v>0.49299999999999999</v>
      </c>
      <c r="Q2">
        <v>0.16800000000000001</v>
      </c>
      <c r="R2">
        <v>0.66100000000000003</v>
      </c>
      <c r="S2">
        <v>0.40899999999999997</v>
      </c>
      <c r="T2">
        <v>0</v>
      </c>
      <c r="U2">
        <v>9.7000000000000003E-2</v>
      </c>
      <c r="V2">
        <v>1.167</v>
      </c>
      <c r="W2">
        <v>0.3</v>
      </c>
      <c r="X2">
        <v>0.755</v>
      </c>
      <c r="Y2">
        <v>0.11799999999999999</v>
      </c>
      <c r="Z2">
        <v>1.3540000000000001</v>
      </c>
      <c r="AA2">
        <v>2.7130000000000001</v>
      </c>
      <c r="AB2">
        <v>3.88</v>
      </c>
      <c r="AC2">
        <v>7.0000000000000007E-2</v>
      </c>
      <c r="AD2">
        <v>3.3000000000000002E-2</v>
      </c>
      <c r="AE2">
        <v>0.96399999999999997</v>
      </c>
      <c r="AF2">
        <v>0.88400000000000001</v>
      </c>
      <c r="AG2">
        <v>1.627</v>
      </c>
      <c r="AH2">
        <v>2.5920000000000001</v>
      </c>
      <c r="AI2">
        <v>0.13900000000000001</v>
      </c>
      <c r="AJ2">
        <v>0</v>
      </c>
      <c r="AK2">
        <v>0</v>
      </c>
      <c r="AL2">
        <v>0.13400000000000001</v>
      </c>
      <c r="AM2">
        <v>-2.8260000000000001</v>
      </c>
      <c r="AN2">
        <v>1.288</v>
      </c>
      <c r="AO2">
        <v>0.161</v>
      </c>
      <c r="AP2">
        <v>-1.4999999999999999E-2</v>
      </c>
      <c r="AQ2">
        <v>-7.0000000000000001E-3</v>
      </c>
      <c r="AR2">
        <v>0</v>
      </c>
      <c r="AS2">
        <v>1.7000000000000001E-2</v>
      </c>
      <c r="AT2">
        <v>4.2999999999999997E-2</v>
      </c>
      <c r="AU2">
        <v>-1E-3</v>
      </c>
      <c r="AV2">
        <v>4.8000000000000001E-2</v>
      </c>
      <c r="AW2">
        <v>7.0000000000000007E-2</v>
      </c>
      <c r="AX2">
        <v>-5.1999999999999998E-2</v>
      </c>
      <c r="AY2">
        <v>0.17</v>
      </c>
      <c r="AZ2">
        <v>-8.9999999999999993E-3</v>
      </c>
      <c r="BA2">
        <v>-8.9999999999999993E-3</v>
      </c>
      <c r="BB2">
        <v>1E-3</v>
      </c>
      <c r="BC2">
        <v>-0.313</v>
      </c>
      <c r="BD2">
        <v>-0.157</v>
      </c>
      <c r="BE2">
        <v>-4.0000000000000001E-3</v>
      </c>
      <c r="BF2">
        <v>0.01</v>
      </c>
      <c r="BG2">
        <v>-0.03</v>
      </c>
      <c r="BH2">
        <v>0</v>
      </c>
      <c r="BI2">
        <v>-1.7999999999999999E-2</v>
      </c>
      <c r="BJ2">
        <v>-5.0000000000000001E-3</v>
      </c>
      <c r="BK2">
        <v>-5.1999999999999998E-2</v>
      </c>
      <c r="BL2">
        <v>0.49299999999999999</v>
      </c>
      <c r="BM2">
        <v>0.54500000000000004</v>
      </c>
      <c r="BN2">
        <v>0.105</v>
      </c>
      <c r="BO2">
        <v>8.3000000000000004E-2</v>
      </c>
      <c r="BP2">
        <v>9.6000000000000002E-2</v>
      </c>
      <c r="BQ2">
        <v>0.20200000000000001</v>
      </c>
      <c r="BR2">
        <v>0</v>
      </c>
    </row>
    <row r="3" spans="1:70" x14ac:dyDescent="0.25">
      <c r="A3" s="1" t="s">
        <v>70</v>
      </c>
      <c r="B3">
        <v>1</v>
      </c>
      <c r="C3">
        <v>0.39100000000000001</v>
      </c>
      <c r="D3">
        <v>0.11899999999999999</v>
      </c>
      <c r="E3">
        <v>9.0999999999999998E-2</v>
      </c>
      <c r="F3">
        <v>0.21</v>
      </c>
      <c r="G3">
        <v>7.8E-2</v>
      </c>
      <c r="H3">
        <v>5.0000000000000001E-3</v>
      </c>
      <c r="I3">
        <v>1.7000000000000001E-2</v>
      </c>
      <c r="J3">
        <v>1.2E-2</v>
      </c>
      <c r="K3">
        <v>1.6E-2</v>
      </c>
      <c r="L3">
        <v>3.0000000000000001E-3</v>
      </c>
      <c r="M3">
        <v>-6.5000000000000002E-2</v>
      </c>
      <c r="N3">
        <v>0.20499999999999999</v>
      </c>
      <c r="O3">
        <v>0.20499999999999999</v>
      </c>
      <c r="P3">
        <v>0.57499999999999996</v>
      </c>
      <c r="Q3">
        <v>7.2999999999999995E-2</v>
      </c>
      <c r="R3">
        <v>0.64900000000000002</v>
      </c>
      <c r="S3">
        <v>0.36599999999999999</v>
      </c>
      <c r="T3">
        <v>0</v>
      </c>
      <c r="U3">
        <v>0.17699999999999999</v>
      </c>
      <c r="V3">
        <v>1.1919999999999999</v>
      </c>
      <c r="W3">
        <v>0.32100000000000001</v>
      </c>
      <c r="X3">
        <v>0.79800000000000004</v>
      </c>
      <c r="Y3">
        <v>0.13200000000000001</v>
      </c>
      <c r="Z3">
        <v>1.274</v>
      </c>
      <c r="AA3">
        <v>2.7170000000000001</v>
      </c>
      <c r="AB3">
        <v>3.9089999999999998</v>
      </c>
      <c r="AC3">
        <v>8.2000000000000003E-2</v>
      </c>
      <c r="AD3">
        <v>1.7999999999999999E-2</v>
      </c>
      <c r="AE3">
        <v>0.98599999999999999</v>
      </c>
      <c r="AF3">
        <v>0.93300000000000005</v>
      </c>
      <c r="AG3">
        <v>1.6890000000000001</v>
      </c>
      <c r="AH3">
        <v>2.6749999999999998</v>
      </c>
      <c r="AI3">
        <v>0.15</v>
      </c>
      <c r="AJ3">
        <v>0</v>
      </c>
      <c r="AK3">
        <v>0</v>
      </c>
      <c r="AL3">
        <v>0.14199999999999999</v>
      </c>
      <c r="AM3">
        <v>-3.0840000000000001</v>
      </c>
      <c r="AN3">
        <v>1.234</v>
      </c>
      <c r="AO3">
        <v>0.14000000000000001</v>
      </c>
      <c r="AP3">
        <v>-4.2000000000000003E-2</v>
      </c>
      <c r="AQ3">
        <v>5.0000000000000001E-3</v>
      </c>
      <c r="AR3">
        <v>0</v>
      </c>
      <c r="AS3">
        <v>1.9E-2</v>
      </c>
      <c r="AT3">
        <v>4.8000000000000001E-2</v>
      </c>
      <c r="AU3">
        <v>-2E-3</v>
      </c>
      <c r="AV3">
        <v>6.2E-2</v>
      </c>
      <c r="AW3">
        <v>9.9000000000000005E-2</v>
      </c>
      <c r="AX3">
        <v>3.4000000000000002E-2</v>
      </c>
      <c r="AY3">
        <v>0.14499999999999999</v>
      </c>
      <c r="AZ3">
        <v>-6.0000000000000001E-3</v>
      </c>
      <c r="BA3">
        <v>-6.0000000000000001E-3</v>
      </c>
      <c r="BB3">
        <v>1E-3</v>
      </c>
      <c r="BC3">
        <v>-0.217</v>
      </c>
      <c r="BD3">
        <v>-2.4E-2</v>
      </c>
      <c r="BE3">
        <v>-0.01</v>
      </c>
      <c r="BF3">
        <v>0</v>
      </c>
      <c r="BG3">
        <v>0</v>
      </c>
      <c r="BH3">
        <v>0</v>
      </c>
      <c r="BI3">
        <v>-1.4999999999999999E-2</v>
      </c>
      <c r="BJ3">
        <v>-8.9999999999999993E-3</v>
      </c>
      <c r="BK3">
        <v>3.4000000000000002E-2</v>
      </c>
      <c r="BL3">
        <v>0.57499999999999996</v>
      </c>
      <c r="BM3">
        <v>0.54100000000000004</v>
      </c>
      <c r="BN3">
        <v>3.5999999999999997E-2</v>
      </c>
      <c r="BO3">
        <v>1.4E-2</v>
      </c>
      <c r="BP3">
        <v>0.03</v>
      </c>
      <c r="BQ3">
        <v>0.20499999999999999</v>
      </c>
      <c r="BR3">
        <v>0</v>
      </c>
    </row>
    <row r="4" spans="1:70" x14ac:dyDescent="0.25">
      <c r="A4" s="1" t="s">
        <v>71</v>
      </c>
      <c r="B4">
        <v>1</v>
      </c>
      <c r="C4">
        <v>0.39</v>
      </c>
      <c r="D4">
        <v>6.0999999999999999E-2</v>
      </c>
      <c r="E4">
        <v>9.4E-2</v>
      </c>
      <c r="F4">
        <v>0.155</v>
      </c>
      <c r="G4">
        <v>7.9000000000000001E-2</v>
      </c>
      <c r="H4">
        <v>-4.0000000000000001E-3</v>
      </c>
      <c r="I4">
        <v>6.6000000000000003E-2</v>
      </c>
      <c r="J4">
        <v>1.6E-2</v>
      </c>
      <c r="K4">
        <v>1.6E-2</v>
      </c>
      <c r="L4">
        <v>1.2999999999999999E-2</v>
      </c>
      <c r="M4">
        <v>0.14399999999999999</v>
      </c>
      <c r="N4">
        <v>0.20699999999999999</v>
      </c>
      <c r="O4">
        <v>0.214</v>
      </c>
      <c r="P4">
        <v>0.55200000000000005</v>
      </c>
      <c r="Q4">
        <v>7.2999999999999995E-2</v>
      </c>
      <c r="R4">
        <v>0.625</v>
      </c>
      <c r="S4">
        <v>0.41499999999999998</v>
      </c>
      <c r="T4">
        <v>0</v>
      </c>
      <c r="U4">
        <v>9.7000000000000003E-2</v>
      </c>
      <c r="V4">
        <v>1.137</v>
      </c>
      <c r="W4">
        <v>0.33400000000000002</v>
      </c>
      <c r="X4">
        <v>0.82</v>
      </c>
      <c r="Y4">
        <v>0.14299999999999999</v>
      </c>
      <c r="Z4">
        <v>1.3089999999999999</v>
      </c>
      <c r="AA4">
        <v>2.758</v>
      </c>
      <c r="AB4">
        <v>3.895</v>
      </c>
      <c r="AC4">
        <v>0.08</v>
      </c>
      <c r="AD4">
        <v>0.05</v>
      </c>
      <c r="AE4">
        <v>0.95099999999999996</v>
      </c>
      <c r="AF4">
        <v>0.95199999999999996</v>
      </c>
      <c r="AG4">
        <v>1.667</v>
      </c>
      <c r="AH4">
        <v>2.6179999999999999</v>
      </c>
      <c r="AI4">
        <v>0.188</v>
      </c>
      <c r="AJ4">
        <v>0</v>
      </c>
      <c r="AK4">
        <v>0</v>
      </c>
      <c r="AL4">
        <v>0.14399999999999999</v>
      </c>
      <c r="AM4">
        <v>-3.0790000000000002</v>
      </c>
      <c r="AN4">
        <v>1.276</v>
      </c>
      <c r="AO4">
        <v>7.6999999999999999E-2</v>
      </c>
      <c r="AP4">
        <v>-0.04</v>
      </c>
      <c r="AQ4">
        <v>-2E-3</v>
      </c>
      <c r="AR4">
        <v>4.2000000000000003E-2</v>
      </c>
      <c r="AS4">
        <v>0.02</v>
      </c>
      <c r="AT4">
        <v>4.7E-2</v>
      </c>
      <c r="AU4">
        <v>-1E-3</v>
      </c>
      <c r="AV4">
        <v>-3.3000000000000002E-2</v>
      </c>
      <c r="AW4">
        <v>8.9999999999999993E-3</v>
      </c>
      <c r="AX4">
        <v>2.1000000000000001E-2</v>
      </c>
      <c r="AY4">
        <v>8.3000000000000004E-2</v>
      </c>
      <c r="AZ4">
        <v>-6.0000000000000001E-3</v>
      </c>
      <c r="BA4">
        <v>-6.0000000000000001E-3</v>
      </c>
      <c r="BB4">
        <v>-7.2999999999999995E-2</v>
      </c>
      <c r="BC4">
        <v>-0.28699999999999998</v>
      </c>
      <c r="BD4">
        <v>-8.2000000000000003E-2</v>
      </c>
      <c r="BE4">
        <v>-1.2999999999999999E-2</v>
      </c>
      <c r="BF4">
        <v>5.0000000000000001E-3</v>
      </c>
      <c r="BG4">
        <v>1.2999999999999999E-2</v>
      </c>
      <c r="BH4">
        <v>0</v>
      </c>
      <c r="BI4">
        <v>5.0000000000000001E-3</v>
      </c>
      <c r="BJ4">
        <v>8.9999999999999993E-3</v>
      </c>
      <c r="BK4">
        <v>2.1000000000000001E-2</v>
      </c>
      <c r="BL4">
        <v>0.55200000000000005</v>
      </c>
      <c r="BM4">
        <v>0.53200000000000003</v>
      </c>
      <c r="BN4">
        <v>8.5999999999999993E-2</v>
      </c>
      <c r="BO4">
        <v>5.1999999999999998E-2</v>
      </c>
      <c r="BP4">
        <v>8.1000000000000003E-2</v>
      </c>
      <c r="BQ4">
        <v>0.185</v>
      </c>
      <c r="BR4">
        <v>0</v>
      </c>
    </row>
    <row r="5" spans="1:70" x14ac:dyDescent="0.25">
      <c r="A5" s="1" t="s">
        <v>72</v>
      </c>
      <c r="B5">
        <v>1</v>
      </c>
      <c r="C5">
        <v>0.39500000000000002</v>
      </c>
      <c r="D5">
        <v>7.0000000000000007E-2</v>
      </c>
      <c r="E5">
        <v>0.10100000000000001</v>
      </c>
      <c r="F5">
        <v>0.17100000000000001</v>
      </c>
      <c r="G5">
        <v>8.5999999999999993E-2</v>
      </c>
      <c r="H5">
        <v>1E-3</v>
      </c>
      <c r="I5">
        <v>4.2000000000000003E-2</v>
      </c>
      <c r="J5">
        <v>1.7999999999999999E-2</v>
      </c>
      <c r="K5">
        <v>1.4E-2</v>
      </c>
      <c r="L5">
        <v>-4.0000000000000001E-3</v>
      </c>
      <c r="M5">
        <v>2.4E-2</v>
      </c>
      <c r="N5">
        <v>0.22</v>
      </c>
      <c r="O5">
        <v>0.22700000000000001</v>
      </c>
      <c r="P5">
        <v>0.47899999999999998</v>
      </c>
      <c r="Q5">
        <v>7.8E-2</v>
      </c>
      <c r="R5">
        <v>0.55700000000000005</v>
      </c>
      <c r="S5">
        <v>0.32300000000000001</v>
      </c>
      <c r="T5">
        <v>0.09</v>
      </c>
      <c r="U5">
        <v>0.18</v>
      </c>
      <c r="V5">
        <v>1.149</v>
      </c>
      <c r="W5">
        <v>0.36099999999999999</v>
      </c>
      <c r="X5">
        <v>0.876</v>
      </c>
      <c r="Y5">
        <v>0.16300000000000001</v>
      </c>
      <c r="Z5">
        <v>0.55300000000000005</v>
      </c>
      <c r="AA5">
        <v>2.72</v>
      </c>
      <c r="AB5">
        <v>3.8690000000000002</v>
      </c>
      <c r="AC5">
        <v>8.5999999999999993E-2</v>
      </c>
      <c r="AD5">
        <v>1.9E-2</v>
      </c>
      <c r="AE5">
        <v>1.012</v>
      </c>
      <c r="AF5">
        <v>1.1639999999999999</v>
      </c>
      <c r="AG5">
        <v>1.7250000000000001</v>
      </c>
      <c r="AH5">
        <v>2.7370000000000001</v>
      </c>
      <c r="AI5">
        <v>0.187</v>
      </c>
      <c r="AJ5">
        <v>0</v>
      </c>
      <c r="AK5">
        <v>0</v>
      </c>
      <c r="AL5">
        <v>0.125</v>
      </c>
      <c r="AM5">
        <v>-3.4769999999999999</v>
      </c>
      <c r="AN5">
        <v>1.1319999999999999</v>
      </c>
      <c r="AO5">
        <v>9.7000000000000003E-2</v>
      </c>
      <c r="AP5">
        <v>-5.6000000000000001E-2</v>
      </c>
      <c r="AQ5">
        <v>1.2E-2</v>
      </c>
      <c r="AR5">
        <v>-2.1999999999999999E-2</v>
      </c>
      <c r="AS5">
        <v>2.1999999999999999E-2</v>
      </c>
      <c r="AT5">
        <v>5.2999999999999999E-2</v>
      </c>
      <c r="AU5">
        <v>2E-3</v>
      </c>
      <c r="AV5">
        <v>-1.2E-2</v>
      </c>
      <c r="AW5">
        <v>5.3999999999999999E-2</v>
      </c>
      <c r="AX5">
        <v>-0.17199999999999999</v>
      </c>
      <c r="AY5">
        <v>0.104</v>
      </c>
      <c r="AZ5">
        <v>-7.0000000000000001E-3</v>
      </c>
      <c r="BA5">
        <v>-7.0000000000000001E-3</v>
      </c>
      <c r="BB5">
        <v>2E-3</v>
      </c>
      <c r="BC5">
        <v>-0.40300000000000002</v>
      </c>
      <c r="BD5">
        <v>-0.26</v>
      </c>
      <c r="BE5">
        <v>-7.0000000000000001E-3</v>
      </c>
      <c r="BF5">
        <v>0</v>
      </c>
      <c r="BG5">
        <v>0</v>
      </c>
      <c r="BH5">
        <v>0</v>
      </c>
      <c r="BI5">
        <v>-8.0000000000000002E-3</v>
      </c>
      <c r="BJ5">
        <v>-7.0000000000000001E-3</v>
      </c>
      <c r="BK5">
        <v>-0.17199999999999999</v>
      </c>
      <c r="BL5">
        <v>0.73899999999999999</v>
      </c>
      <c r="BM5">
        <v>0.91</v>
      </c>
      <c r="BN5">
        <v>6.4000000000000001E-2</v>
      </c>
      <c r="BO5">
        <v>4.7E-2</v>
      </c>
      <c r="BP5">
        <v>5.8000000000000003E-2</v>
      </c>
      <c r="BQ5">
        <v>0.13700000000000001</v>
      </c>
      <c r="BR5">
        <v>0</v>
      </c>
    </row>
    <row r="6" spans="1:70" x14ac:dyDescent="0.25">
      <c r="A6" s="1" t="s">
        <v>73</v>
      </c>
      <c r="B6">
        <v>1</v>
      </c>
      <c r="C6">
        <v>0.40200000000000002</v>
      </c>
      <c r="D6">
        <v>5.2999999999999999E-2</v>
      </c>
      <c r="E6">
        <v>0.13200000000000001</v>
      </c>
      <c r="F6">
        <v>0.185</v>
      </c>
      <c r="G6">
        <v>8.7999999999999995E-2</v>
      </c>
      <c r="H6">
        <v>-1.6E-2</v>
      </c>
      <c r="I6">
        <v>3.5000000000000003E-2</v>
      </c>
      <c r="J6">
        <v>1.6E-2</v>
      </c>
      <c r="K6">
        <v>1.2E-2</v>
      </c>
      <c r="L6">
        <v>7.0000000000000001E-3</v>
      </c>
      <c r="M6">
        <v>4.2999999999999997E-2</v>
      </c>
      <c r="N6">
        <v>0.22</v>
      </c>
      <c r="O6">
        <v>0.22500000000000001</v>
      </c>
      <c r="P6">
        <v>0.54100000000000004</v>
      </c>
      <c r="Q6">
        <v>5.8000000000000003E-2</v>
      </c>
      <c r="R6">
        <v>0.59899999999999998</v>
      </c>
      <c r="S6">
        <v>0.27900000000000003</v>
      </c>
      <c r="T6">
        <v>9.8000000000000004E-2</v>
      </c>
      <c r="U6">
        <v>0.17799999999999999</v>
      </c>
      <c r="V6">
        <v>1.155</v>
      </c>
      <c r="W6">
        <v>0.37</v>
      </c>
      <c r="X6">
        <v>0.88300000000000001</v>
      </c>
      <c r="Y6">
        <v>0.17399999999999999</v>
      </c>
      <c r="Z6">
        <v>0.56000000000000005</v>
      </c>
      <c r="AA6">
        <v>2.536</v>
      </c>
      <c r="AB6">
        <v>3.6909999999999998</v>
      </c>
      <c r="AC6">
        <v>7.4999999999999997E-2</v>
      </c>
      <c r="AD6">
        <v>1.9E-2</v>
      </c>
      <c r="AE6">
        <v>0.93600000000000005</v>
      </c>
      <c r="AF6">
        <v>1.1759999999999999</v>
      </c>
      <c r="AG6">
        <v>1.6910000000000001</v>
      </c>
      <c r="AH6">
        <v>2.6259999999999999</v>
      </c>
      <c r="AI6">
        <v>0.192</v>
      </c>
      <c r="AJ6">
        <v>0</v>
      </c>
      <c r="AK6">
        <v>0</v>
      </c>
      <c r="AL6">
        <v>0.126</v>
      </c>
      <c r="AM6">
        <v>-3.524</v>
      </c>
      <c r="AN6">
        <v>1.0649999999999999</v>
      </c>
      <c r="AO6">
        <v>0.124</v>
      </c>
      <c r="AP6">
        <v>-1E-3</v>
      </c>
      <c r="AQ6">
        <v>-2E-3</v>
      </c>
      <c r="AR6">
        <v>-2.1999999999999999E-2</v>
      </c>
      <c r="AS6">
        <v>2.3E-2</v>
      </c>
      <c r="AT6">
        <v>5.5E-2</v>
      </c>
      <c r="AU6">
        <v>1E-3</v>
      </c>
      <c r="AV6">
        <v>3.7999999999999999E-2</v>
      </c>
      <c r="AW6">
        <v>6.4000000000000001E-2</v>
      </c>
      <c r="AX6">
        <v>0.18099999999999999</v>
      </c>
      <c r="AY6">
        <v>0.129</v>
      </c>
      <c r="AZ6">
        <v>-5.0000000000000001E-3</v>
      </c>
      <c r="BA6">
        <v>-5.0000000000000001E-3</v>
      </c>
      <c r="BB6">
        <v>7.5999999999999998E-2</v>
      </c>
      <c r="BC6">
        <v>-0.14699999999999999</v>
      </c>
      <c r="BD6">
        <v>4.3999999999999997E-2</v>
      </c>
      <c r="BE6">
        <v>-5.0000000000000001E-3</v>
      </c>
      <c r="BF6">
        <v>8.9999999999999993E-3</v>
      </c>
      <c r="BG6">
        <v>0</v>
      </c>
      <c r="BH6">
        <v>0</v>
      </c>
      <c r="BI6">
        <v>5.0000000000000001E-3</v>
      </c>
      <c r="BJ6">
        <v>3.0000000000000001E-3</v>
      </c>
      <c r="BK6">
        <v>0.18099999999999999</v>
      </c>
      <c r="BL6">
        <v>0.91700000000000004</v>
      </c>
      <c r="BM6">
        <v>0.73599999999999999</v>
      </c>
      <c r="BN6">
        <v>5.8000000000000003E-2</v>
      </c>
      <c r="BO6">
        <v>2.8000000000000001E-2</v>
      </c>
      <c r="BP6">
        <v>5.1999999999999998E-2</v>
      </c>
      <c r="BQ6">
        <v>0.22</v>
      </c>
      <c r="BR6">
        <v>0</v>
      </c>
    </row>
    <row r="7" spans="1:70" x14ac:dyDescent="0.25">
      <c r="A7" s="1" t="s">
        <v>74</v>
      </c>
      <c r="B7">
        <v>1</v>
      </c>
      <c r="C7">
        <v>0.40400000000000003</v>
      </c>
      <c r="D7">
        <v>0.107</v>
      </c>
      <c r="E7">
        <v>0.14299999999999999</v>
      </c>
      <c r="F7">
        <v>0.25</v>
      </c>
      <c r="G7">
        <v>8.7999999999999995E-2</v>
      </c>
      <c r="H7">
        <v>-2E-3</v>
      </c>
      <c r="I7">
        <v>-0.03</v>
      </c>
      <c r="J7">
        <v>1.9E-2</v>
      </c>
      <c r="K7">
        <v>0.01</v>
      </c>
      <c r="L7">
        <v>6.0000000000000001E-3</v>
      </c>
      <c r="M7">
        <v>-1.7999999999999999E-2</v>
      </c>
      <c r="N7">
        <v>0.22800000000000001</v>
      </c>
      <c r="O7">
        <v>0.22800000000000001</v>
      </c>
      <c r="P7">
        <v>0.45800000000000002</v>
      </c>
      <c r="Q7">
        <v>1.4E-2</v>
      </c>
      <c r="R7">
        <v>0.47199999999999998</v>
      </c>
      <c r="S7">
        <v>0.29099999999999998</v>
      </c>
      <c r="T7">
        <v>0.10199999999999999</v>
      </c>
      <c r="U7">
        <v>0.17699999999999999</v>
      </c>
      <c r="V7">
        <v>1.042</v>
      </c>
      <c r="W7">
        <v>0.39400000000000002</v>
      </c>
      <c r="X7">
        <v>0.92800000000000005</v>
      </c>
      <c r="Y7">
        <v>0.2</v>
      </c>
      <c r="Z7">
        <v>0.61899999999999999</v>
      </c>
      <c r="AA7">
        <v>2.6360000000000001</v>
      </c>
      <c r="AB7">
        <v>3.6779999999999999</v>
      </c>
      <c r="AC7">
        <v>8.1000000000000003E-2</v>
      </c>
      <c r="AD7">
        <v>2.1999999999999999E-2</v>
      </c>
      <c r="AE7">
        <v>0.98399999999999999</v>
      </c>
      <c r="AF7">
        <v>1.234</v>
      </c>
      <c r="AG7">
        <v>1.7110000000000001</v>
      </c>
      <c r="AH7">
        <v>2.6949999999999998</v>
      </c>
      <c r="AI7">
        <v>0.20699999999999999</v>
      </c>
      <c r="AJ7">
        <v>0</v>
      </c>
      <c r="AK7">
        <v>0</v>
      </c>
      <c r="AL7">
        <v>0.13200000000000001</v>
      </c>
      <c r="AM7">
        <v>-3.7320000000000002</v>
      </c>
      <c r="AN7">
        <v>0.98299999999999998</v>
      </c>
      <c r="AO7">
        <v>6.2E-2</v>
      </c>
      <c r="AP7">
        <v>1.9E-2</v>
      </c>
      <c r="AQ7">
        <v>-1E-3</v>
      </c>
      <c r="AR7">
        <v>0</v>
      </c>
      <c r="AS7">
        <v>2.3E-2</v>
      </c>
      <c r="AT7">
        <v>5.2999999999999999E-2</v>
      </c>
      <c r="AU7">
        <v>1E-3</v>
      </c>
      <c r="AV7">
        <v>2.9000000000000001E-2</v>
      </c>
      <c r="AW7">
        <v>1.0999999999999999E-2</v>
      </c>
      <c r="AX7">
        <v>1.2999999999999999E-2</v>
      </c>
      <c r="AY7">
        <v>6.9000000000000006E-2</v>
      </c>
      <c r="AZ7">
        <v>-6.0000000000000001E-3</v>
      </c>
      <c r="BA7">
        <v>-6.0000000000000001E-3</v>
      </c>
      <c r="BB7">
        <v>0</v>
      </c>
      <c r="BC7">
        <v>-9.6000000000000002E-2</v>
      </c>
      <c r="BD7">
        <v>-4.4999999999999998E-2</v>
      </c>
      <c r="BE7">
        <v>-6.0000000000000001E-3</v>
      </c>
      <c r="BF7">
        <v>0</v>
      </c>
      <c r="BG7">
        <v>0</v>
      </c>
      <c r="BH7">
        <v>0</v>
      </c>
      <c r="BI7">
        <v>-1.2E-2</v>
      </c>
      <c r="BJ7">
        <v>2E-3</v>
      </c>
      <c r="BK7">
        <v>1.2999999999999999E-2</v>
      </c>
      <c r="BL7">
        <v>0.77</v>
      </c>
      <c r="BM7">
        <v>0.75700000000000001</v>
      </c>
      <c r="BN7">
        <v>-6.0000000000000001E-3</v>
      </c>
      <c r="BO7">
        <v>-3.5999999999999997E-2</v>
      </c>
      <c r="BP7">
        <v>-1.2999999999999999E-2</v>
      </c>
      <c r="BQ7">
        <v>5.8000000000000003E-2</v>
      </c>
      <c r="BR7">
        <v>0</v>
      </c>
    </row>
    <row r="8" spans="1:70" x14ac:dyDescent="0.25">
      <c r="A8" s="1" t="s">
        <v>75</v>
      </c>
      <c r="B8">
        <v>1</v>
      </c>
      <c r="C8">
        <v>0.38300000000000001</v>
      </c>
      <c r="D8">
        <v>8.6999999999999994E-2</v>
      </c>
      <c r="E8">
        <v>0.13</v>
      </c>
      <c r="F8">
        <v>0.217</v>
      </c>
      <c r="G8">
        <v>8.6999999999999994E-2</v>
      </c>
      <c r="H8">
        <v>9.6000000000000002E-2</v>
      </c>
      <c r="I8">
        <v>-8.0000000000000002E-3</v>
      </c>
      <c r="J8">
        <v>1.7999999999999999E-2</v>
      </c>
      <c r="K8">
        <v>8.0000000000000002E-3</v>
      </c>
      <c r="L8">
        <v>-0.01</v>
      </c>
      <c r="M8">
        <v>6.9000000000000006E-2</v>
      </c>
      <c r="N8">
        <v>0.23200000000000001</v>
      </c>
      <c r="O8">
        <v>0.23899999999999999</v>
      </c>
      <c r="P8">
        <v>0.48899999999999999</v>
      </c>
      <c r="Q8">
        <v>1.2E-2</v>
      </c>
      <c r="R8">
        <v>0.501</v>
      </c>
      <c r="S8">
        <v>0.32300000000000001</v>
      </c>
      <c r="T8">
        <v>7.9000000000000001E-2</v>
      </c>
      <c r="U8">
        <v>0.17199999999999999</v>
      </c>
      <c r="V8">
        <v>1.075</v>
      </c>
      <c r="W8">
        <v>0.41</v>
      </c>
      <c r="X8">
        <v>0.96</v>
      </c>
      <c r="Y8">
        <v>0.218</v>
      </c>
      <c r="Z8">
        <v>0.61199999999999999</v>
      </c>
      <c r="AA8">
        <v>2.6560000000000001</v>
      </c>
      <c r="AB8">
        <v>3.7309999999999999</v>
      </c>
      <c r="AC8">
        <v>8.5000000000000006E-2</v>
      </c>
      <c r="AD8">
        <v>2.3E-2</v>
      </c>
      <c r="AE8">
        <v>1.0289999999999999</v>
      </c>
      <c r="AF8">
        <v>1.2709999999999999</v>
      </c>
      <c r="AG8">
        <v>1.714</v>
      </c>
      <c r="AH8">
        <v>2.7429999999999999</v>
      </c>
      <c r="AI8">
        <v>0.218</v>
      </c>
      <c r="AJ8">
        <v>0</v>
      </c>
      <c r="AK8">
        <v>0</v>
      </c>
      <c r="AL8">
        <v>0.13500000000000001</v>
      </c>
      <c r="AM8">
        <v>-3.8069999999999999</v>
      </c>
      <c r="AN8">
        <v>0.98799999999999999</v>
      </c>
      <c r="AO8">
        <v>-3.5000000000000003E-2</v>
      </c>
      <c r="AP8">
        <v>-3.7999999999999999E-2</v>
      </c>
      <c r="AQ8">
        <v>-6.0000000000000001E-3</v>
      </c>
      <c r="AR8">
        <v>0</v>
      </c>
      <c r="AS8">
        <v>2.5999999999999999E-2</v>
      </c>
      <c r="AT8">
        <v>5.6000000000000001E-2</v>
      </c>
      <c r="AU8">
        <v>-2.1999999999999999E-2</v>
      </c>
      <c r="AV8">
        <v>-7.6999999999999999E-2</v>
      </c>
      <c r="AW8">
        <v>-3.3000000000000002E-2</v>
      </c>
      <c r="AX8">
        <v>-0.22700000000000001</v>
      </c>
      <c r="AY8">
        <v>-2.8000000000000001E-2</v>
      </c>
      <c r="AZ8">
        <v>-7.0000000000000001E-3</v>
      </c>
      <c r="BA8">
        <v>-7.0000000000000001E-3</v>
      </c>
      <c r="BB8">
        <v>-3.0000000000000001E-3</v>
      </c>
      <c r="BC8">
        <v>-0.19800000000000001</v>
      </c>
      <c r="BD8">
        <v>-0.20599999999999999</v>
      </c>
      <c r="BE8">
        <v>-1.4E-2</v>
      </c>
      <c r="BF8">
        <v>4.0000000000000001E-3</v>
      </c>
      <c r="BG8">
        <v>0</v>
      </c>
      <c r="BH8">
        <v>0</v>
      </c>
      <c r="BI8">
        <v>-0.01</v>
      </c>
      <c r="BJ8">
        <v>1.7000000000000001E-2</v>
      </c>
      <c r="BK8">
        <v>-0.22700000000000001</v>
      </c>
      <c r="BL8">
        <v>0.77600000000000002</v>
      </c>
      <c r="BM8">
        <v>1.0029999999999999</v>
      </c>
      <c r="BN8">
        <v>1.7999999999999999E-2</v>
      </c>
      <c r="BO8">
        <v>2E-3</v>
      </c>
      <c r="BP8">
        <v>1.0999999999999999E-2</v>
      </c>
      <c r="BQ8">
        <v>4.5999999999999999E-2</v>
      </c>
      <c r="BR8">
        <v>0</v>
      </c>
    </row>
    <row r="9" spans="1:70" x14ac:dyDescent="0.25">
      <c r="A9" s="1" t="s">
        <v>76</v>
      </c>
      <c r="B9">
        <v>1</v>
      </c>
      <c r="C9">
        <v>0.38</v>
      </c>
      <c r="D9">
        <v>0.109</v>
      </c>
      <c r="E9">
        <v>0.13800000000000001</v>
      </c>
      <c r="F9">
        <v>0.247</v>
      </c>
      <c r="G9">
        <v>9.0999999999999998E-2</v>
      </c>
      <c r="H9">
        <v>0</v>
      </c>
      <c r="I9">
        <v>-5.8999999999999997E-2</v>
      </c>
      <c r="J9">
        <v>1.7000000000000001E-2</v>
      </c>
      <c r="K9">
        <v>5.0000000000000001E-3</v>
      </c>
      <c r="L9">
        <v>7.0000000000000001E-3</v>
      </c>
      <c r="M9">
        <v>-0.14499999999999999</v>
      </c>
      <c r="N9">
        <v>0.23699999999999999</v>
      </c>
      <c r="O9">
        <v>0.23699999999999999</v>
      </c>
      <c r="P9">
        <v>0.58299999999999996</v>
      </c>
      <c r="Q9">
        <v>0</v>
      </c>
      <c r="R9">
        <v>0.58299999999999996</v>
      </c>
      <c r="S9">
        <v>0.29599999999999999</v>
      </c>
      <c r="T9">
        <v>7.0999999999999994E-2</v>
      </c>
      <c r="U9">
        <v>0.17299999999999999</v>
      </c>
      <c r="V9">
        <v>1.123</v>
      </c>
      <c r="W9">
        <v>0.40100000000000002</v>
      </c>
      <c r="X9">
        <v>0.995</v>
      </c>
      <c r="Y9">
        <v>0.23899999999999999</v>
      </c>
      <c r="Z9">
        <v>0.54500000000000004</v>
      </c>
      <c r="AA9">
        <v>2.6059999999999999</v>
      </c>
      <c r="AB9">
        <v>3.7290000000000001</v>
      </c>
      <c r="AC9">
        <v>9.2999999999999999E-2</v>
      </c>
      <c r="AD9">
        <v>2.3E-2</v>
      </c>
      <c r="AE9">
        <v>1.081</v>
      </c>
      <c r="AF9">
        <v>1.306</v>
      </c>
      <c r="AG9">
        <v>1.7609999999999999</v>
      </c>
      <c r="AH9">
        <v>2.8420000000000001</v>
      </c>
      <c r="AI9">
        <v>0.218</v>
      </c>
      <c r="AJ9">
        <v>0</v>
      </c>
      <c r="AK9">
        <v>0</v>
      </c>
      <c r="AL9">
        <v>0.13800000000000001</v>
      </c>
      <c r="AM9">
        <v>-3.9990000000000001</v>
      </c>
      <c r="AN9">
        <v>0.88700000000000001</v>
      </c>
      <c r="AO9">
        <v>4.2999999999999997E-2</v>
      </c>
      <c r="AP9">
        <v>-1.0999999999999999E-2</v>
      </c>
      <c r="AQ9">
        <v>-4.0000000000000001E-3</v>
      </c>
      <c r="AR9">
        <v>0</v>
      </c>
      <c r="AS9">
        <v>2.7E-2</v>
      </c>
      <c r="AT9">
        <v>5.8000000000000003E-2</v>
      </c>
      <c r="AU9">
        <v>2E-3</v>
      </c>
      <c r="AV9">
        <v>4.3999999999999997E-2</v>
      </c>
      <c r="AW9">
        <v>1.9E-2</v>
      </c>
      <c r="AX9">
        <v>9.1999999999999998E-2</v>
      </c>
      <c r="AY9">
        <v>5.1999999999999998E-2</v>
      </c>
      <c r="AZ9">
        <v>-8.9999999999999993E-3</v>
      </c>
      <c r="BA9">
        <v>-8.9999999999999993E-3</v>
      </c>
      <c r="BB9">
        <v>3.0000000000000001E-3</v>
      </c>
      <c r="BC9">
        <v>0</v>
      </c>
      <c r="BD9">
        <v>3.7999999999999999E-2</v>
      </c>
      <c r="BE9">
        <v>-5.0000000000000001E-3</v>
      </c>
      <c r="BF9">
        <v>3.1E-2</v>
      </c>
      <c r="BG9">
        <v>0</v>
      </c>
      <c r="BH9">
        <v>0</v>
      </c>
      <c r="BI9">
        <v>2.5000000000000001E-2</v>
      </c>
      <c r="BJ9">
        <v>-2.3E-2</v>
      </c>
      <c r="BK9">
        <v>9.1999999999999998E-2</v>
      </c>
      <c r="BL9">
        <v>1.0349999999999999</v>
      </c>
      <c r="BM9">
        <v>0.94299999999999995</v>
      </c>
      <c r="BN9">
        <v>-3.2000000000000001E-2</v>
      </c>
      <c r="BO9">
        <v>-6.6000000000000003E-2</v>
      </c>
      <c r="BP9">
        <v>-4.1000000000000002E-2</v>
      </c>
      <c r="BQ9">
        <v>4.2000000000000003E-2</v>
      </c>
      <c r="BR9">
        <v>0</v>
      </c>
    </row>
    <row r="10" spans="1:70" x14ac:dyDescent="0.25">
      <c r="A10" s="1" t="s">
        <v>77</v>
      </c>
      <c r="B10">
        <v>1</v>
      </c>
      <c r="C10">
        <v>0.36199999999999999</v>
      </c>
      <c r="D10">
        <v>0.105</v>
      </c>
      <c r="E10">
        <v>0.151</v>
      </c>
      <c r="F10">
        <v>0.25600000000000001</v>
      </c>
      <c r="G10">
        <v>8.6999999999999994E-2</v>
      </c>
      <c r="H10">
        <v>0.107</v>
      </c>
      <c r="I10">
        <v>-8.7999999999999995E-2</v>
      </c>
      <c r="J10">
        <v>1.7000000000000001E-2</v>
      </c>
      <c r="K10">
        <v>2E-3</v>
      </c>
      <c r="L10">
        <v>0.01</v>
      </c>
      <c r="M10">
        <v>-0.32600000000000001</v>
      </c>
      <c r="N10">
        <v>0.24299999999999999</v>
      </c>
      <c r="O10">
        <v>0.24399999999999999</v>
      </c>
      <c r="P10">
        <v>0.54500000000000004</v>
      </c>
      <c r="Q10">
        <v>0</v>
      </c>
      <c r="R10">
        <v>0.54500000000000004</v>
      </c>
      <c r="S10">
        <v>0.30499999999999999</v>
      </c>
      <c r="T10">
        <v>0.17199999999999999</v>
      </c>
      <c r="U10">
        <v>6.2E-2</v>
      </c>
      <c r="V10">
        <v>1.0840000000000001</v>
      </c>
      <c r="W10">
        <v>0.41399999999999998</v>
      </c>
      <c r="X10">
        <v>1.0349999999999999</v>
      </c>
      <c r="Y10">
        <v>0.26300000000000001</v>
      </c>
      <c r="Z10">
        <v>0.63100000000000001</v>
      </c>
      <c r="AA10">
        <v>2.758</v>
      </c>
      <c r="AB10">
        <v>3.8420000000000001</v>
      </c>
      <c r="AC10">
        <v>0.1</v>
      </c>
      <c r="AD10">
        <v>2.7E-2</v>
      </c>
      <c r="AE10">
        <v>1.1080000000000001</v>
      </c>
      <c r="AF10">
        <v>1.36</v>
      </c>
      <c r="AG10">
        <v>1.7969999999999999</v>
      </c>
      <c r="AH10">
        <v>2.9049999999999998</v>
      </c>
      <c r="AI10">
        <v>0.23899999999999999</v>
      </c>
      <c r="AJ10">
        <v>0</v>
      </c>
      <c r="AK10">
        <v>0</v>
      </c>
      <c r="AL10">
        <v>0.112</v>
      </c>
      <c r="AM10">
        <v>-3.9830000000000001</v>
      </c>
      <c r="AN10">
        <v>0.93700000000000006</v>
      </c>
      <c r="AO10">
        <v>4.7E-2</v>
      </c>
      <c r="AP10">
        <v>-1.2999999999999999E-2</v>
      </c>
      <c r="AQ10">
        <v>-7.0000000000000001E-3</v>
      </c>
      <c r="AR10">
        <v>0</v>
      </c>
      <c r="AS10">
        <v>0.03</v>
      </c>
      <c r="AT10">
        <v>5.8000000000000003E-2</v>
      </c>
      <c r="AU10">
        <v>2E-3</v>
      </c>
      <c r="AV10">
        <v>7.4999999999999997E-2</v>
      </c>
      <c r="AW10">
        <v>9.4E-2</v>
      </c>
      <c r="AX10">
        <v>3.4000000000000002E-2</v>
      </c>
      <c r="AY10">
        <v>5.3999999999999999E-2</v>
      </c>
      <c r="AZ10">
        <v>-7.0000000000000001E-3</v>
      </c>
      <c r="BA10">
        <v>-7.0000000000000001E-3</v>
      </c>
      <c r="BB10">
        <v>0</v>
      </c>
      <c r="BC10">
        <v>0</v>
      </c>
      <c r="BD10">
        <v>-7.0000000000000001E-3</v>
      </c>
      <c r="BE10">
        <v>-5.0000000000000001E-3</v>
      </c>
      <c r="BF10">
        <v>7.0000000000000001E-3</v>
      </c>
      <c r="BG10">
        <v>0</v>
      </c>
      <c r="BH10">
        <v>0</v>
      </c>
      <c r="BI10">
        <v>1E-3</v>
      </c>
      <c r="BJ10">
        <v>-1.4999999999999999E-2</v>
      </c>
      <c r="BK10">
        <v>3.4000000000000002E-2</v>
      </c>
      <c r="BL10">
        <v>0.97399999999999998</v>
      </c>
      <c r="BM10">
        <v>0.94</v>
      </c>
      <c r="BN10">
        <v>-5.8000000000000003E-2</v>
      </c>
      <c r="BO10">
        <v>-9.8000000000000004E-2</v>
      </c>
      <c r="BP10">
        <v>-6.5000000000000002E-2</v>
      </c>
      <c r="BQ10">
        <v>-2.4E-2</v>
      </c>
      <c r="BR10">
        <v>0</v>
      </c>
    </row>
    <row r="11" spans="1:70" x14ac:dyDescent="0.25">
      <c r="A11" s="1" t="s">
        <v>78</v>
      </c>
      <c r="B11">
        <v>1</v>
      </c>
      <c r="C11">
        <v>0.41299999999999998</v>
      </c>
      <c r="D11">
        <v>9.1999999999999998E-2</v>
      </c>
      <c r="E11">
        <v>0.184</v>
      </c>
      <c r="F11">
        <v>0.27600000000000002</v>
      </c>
      <c r="G11">
        <v>8.5999999999999993E-2</v>
      </c>
      <c r="H11">
        <v>0.121</v>
      </c>
      <c r="I11">
        <v>-7.0000000000000007E-2</v>
      </c>
      <c r="J11">
        <v>1.9E-2</v>
      </c>
      <c r="K11">
        <v>2E-3</v>
      </c>
      <c r="L11">
        <v>-3.4000000000000002E-2</v>
      </c>
      <c r="M11">
        <v>-0.86599999999999999</v>
      </c>
      <c r="N11">
        <v>0.28499999999999998</v>
      </c>
      <c r="O11">
        <v>0.28599999999999998</v>
      </c>
      <c r="P11">
        <v>0.61</v>
      </c>
      <c r="Q11">
        <v>0</v>
      </c>
      <c r="R11">
        <v>0.61</v>
      </c>
      <c r="S11">
        <v>0.36099999999999999</v>
      </c>
      <c r="T11">
        <v>0.221</v>
      </c>
      <c r="U11">
        <v>7.1999999999999995E-2</v>
      </c>
      <c r="V11">
        <v>1.264</v>
      </c>
      <c r="W11">
        <v>0.48</v>
      </c>
      <c r="X11">
        <v>1.2310000000000001</v>
      </c>
      <c r="Y11">
        <v>0.33100000000000002</v>
      </c>
      <c r="Z11">
        <v>1.002</v>
      </c>
      <c r="AA11">
        <v>3.5230000000000001</v>
      </c>
      <c r="AB11">
        <v>4.7869999999999999</v>
      </c>
      <c r="AC11">
        <v>0.126</v>
      </c>
      <c r="AD11">
        <v>0.03</v>
      </c>
      <c r="AE11">
        <v>1.262</v>
      </c>
      <c r="AF11">
        <v>1.5980000000000001</v>
      </c>
      <c r="AG11">
        <v>2.093</v>
      </c>
      <c r="AH11">
        <v>3.355</v>
      </c>
      <c r="AI11">
        <v>0.27600000000000002</v>
      </c>
      <c r="AJ11">
        <v>0</v>
      </c>
      <c r="AK11">
        <v>0</v>
      </c>
      <c r="AL11">
        <v>0.13200000000000001</v>
      </c>
      <c r="AM11">
        <v>-4.3120000000000003</v>
      </c>
      <c r="AN11">
        <v>1.4319999999999999</v>
      </c>
      <c r="AO11">
        <v>-7.0000000000000001E-3</v>
      </c>
      <c r="AP11">
        <v>-4.0000000000000001E-3</v>
      </c>
      <c r="AQ11">
        <v>1E-3</v>
      </c>
      <c r="AR11">
        <v>0</v>
      </c>
      <c r="AS11">
        <v>3.6999999999999998E-2</v>
      </c>
      <c r="AT11">
        <v>5.1999999999999998E-2</v>
      </c>
      <c r="AU11">
        <v>-4.1000000000000002E-2</v>
      </c>
      <c r="AV11">
        <v>4.0000000000000001E-3</v>
      </c>
      <c r="AW11">
        <v>7.0000000000000001E-3</v>
      </c>
      <c r="AX11">
        <v>-3.1E-2</v>
      </c>
      <c r="AY11">
        <v>2E-3</v>
      </c>
      <c r="AZ11">
        <v>-8.9999999999999993E-3</v>
      </c>
      <c r="BA11">
        <v>-8.9999999999999993E-3</v>
      </c>
      <c r="BB11">
        <v>-8.9999999999999993E-3</v>
      </c>
      <c r="BC11">
        <v>-2E-3</v>
      </c>
      <c r="BD11">
        <v>-0.02</v>
      </c>
      <c r="BE11">
        <v>-0.01</v>
      </c>
      <c r="BF11">
        <v>0</v>
      </c>
      <c r="BG11">
        <v>0</v>
      </c>
      <c r="BH11">
        <v>0</v>
      </c>
      <c r="BI11">
        <v>-1.6E-2</v>
      </c>
      <c r="BJ11">
        <v>3.0000000000000001E-3</v>
      </c>
      <c r="BK11">
        <v>-3.1E-2</v>
      </c>
      <c r="BL11">
        <v>1.1080000000000001</v>
      </c>
      <c r="BM11">
        <v>1.139</v>
      </c>
      <c r="BN11">
        <v>-3.3000000000000002E-2</v>
      </c>
      <c r="BO11">
        <v>-3.5999999999999997E-2</v>
      </c>
      <c r="BP11">
        <v>-4.2000000000000003E-2</v>
      </c>
      <c r="BQ11">
        <v>2E-3</v>
      </c>
      <c r="BR11">
        <v>0</v>
      </c>
    </row>
    <row r="12" spans="1:70" x14ac:dyDescent="0.25">
      <c r="A12" s="1" t="s">
        <v>79</v>
      </c>
      <c r="B12">
        <v>1</v>
      </c>
      <c r="C12">
        <v>0.46300000000000002</v>
      </c>
      <c r="D12">
        <v>0.106</v>
      </c>
      <c r="E12">
        <v>0.218</v>
      </c>
      <c r="F12">
        <v>0.32400000000000001</v>
      </c>
      <c r="G12">
        <v>9.7000000000000003E-2</v>
      </c>
      <c r="H12">
        <v>8.9999999999999993E-3</v>
      </c>
      <c r="I12">
        <v>-9.5000000000000001E-2</v>
      </c>
      <c r="J12">
        <v>2.1999999999999999E-2</v>
      </c>
      <c r="K12">
        <v>2E-3</v>
      </c>
      <c r="L12">
        <v>-1.7000000000000001E-2</v>
      </c>
      <c r="M12">
        <v>0.154</v>
      </c>
      <c r="N12">
        <v>0.33500000000000002</v>
      </c>
      <c r="O12">
        <v>0.34699999999999998</v>
      </c>
      <c r="P12">
        <v>0.74299999999999999</v>
      </c>
      <c r="Q12">
        <v>-2.3E-2</v>
      </c>
      <c r="R12">
        <v>0.74299999999999999</v>
      </c>
      <c r="S12">
        <v>0.42199999999999999</v>
      </c>
      <c r="T12">
        <v>0.109</v>
      </c>
      <c r="U12">
        <v>0.252</v>
      </c>
      <c r="V12">
        <v>1.526</v>
      </c>
      <c r="W12">
        <v>0.56100000000000005</v>
      </c>
      <c r="X12">
        <v>1.4570000000000001</v>
      </c>
      <c r="Y12">
        <v>0.41699999999999998</v>
      </c>
      <c r="Z12">
        <v>2.1819999999999999</v>
      </c>
      <c r="AA12">
        <v>5.1840000000000002</v>
      </c>
      <c r="AB12">
        <v>6.7110000000000003</v>
      </c>
      <c r="AC12">
        <v>0.14899999999999999</v>
      </c>
      <c r="AD12">
        <v>3.2000000000000001E-2</v>
      </c>
      <c r="AE12">
        <v>1.5620000000000001</v>
      </c>
      <c r="AF12">
        <v>1.89</v>
      </c>
      <c r="AG12">
        <v>2.492</v>
      </c>
      <c r="AH12">
        <v>4.0540000000000003</v>
      </c>
      <c r="AI12">
        <v>0.317</v>
      </c>
      <c r="AJ12">
        <v>0</v>
      </c>
      <c r="AK12">
        <v>0</v>
      </c>
      <c r="AL12">
        <v>0.154</v>
      </c>
      <c r="AM12">
        <v>-4.0890000000000004</v>
      </c>
      <c r="AN12">
        <v>2.5019999999999998</v>
      </c>
      <c r="AO12">
        <v>-3.2000000000000001E-2</v>
      </c>
      <c r="AP12">
        <v>-4.2000000000000003E-2</v>
      </c>
      <c r="AQ12">
        <v>3.0000000000000001E-3</v>
      </c>
      <c r="AR12">
        <v>2.8000000000000001E-2</v>
      </c>
      <c r="AS12">
        <v>4.2999999999999997E-2</v>
      </c>
      <c r="AT12">
        <v>5.8000000000000003E-2</v>
      </c>
      <c r="AU12">
        <v>-3.5999999999999997E-2</v>
      </c>
      <c r="AV12">
        <v>-7.0000000000000001E-3</v>
      </c>
      <c r="AW12">
        <v>4.0000000000000001E-3</v>
      </c>
      <c r="AX12">
        <v>-0.34399999999999997</v>
      </c>
      <c r="AY12">
        <v>-1.9E-2</v>
      </c>
      <c r="AZ12">
        <v>-1.4E-2</v>
      </c>
      <c r="BA12">
        <v>-1.4E-2</v>
      </c>
      <c r="BB12">
        <v>-0.34699999999999998</v>
      </c>
      <c r="BC12">
        <v>-2.1999999999999999E-2</v>
      </c>
      <c r="BD12">
        <v>-0.39300000000000002</v>
      </c>
      <c r="BE12">
        <v>-3.4000000000000002E-2</v>
      </c>
      <c r="BF12">
        <v>1.38</v>
      </c>
      <c r="BG12">
        <v>0</v>
      </c>
      <c r="BH12">
        <v>0</v>
      </c>
      <c r="BI12">
        <v>7.1999999999999995E-2</v>
      </c>
      <c r="BJ12">
        <v>-4.0000000000000001E-3</v>
      </c>
      <c r="BK12">
        <v>-0.34399999999999997</v>
      </c>
      <c r="BL12">
        <v>1.351</v>
      </c>
      <c r="BM12">
        <v>1.694</v>
      </c>
      <c r="BN12">
        <v>-5.2999999999999999E-2</v>
      </c>
      <c r="BO12">
        <v>-7.8E-2</v>
      </c>
      <c r="BP12">
        <v>-6.6000000000000003E-2</v>
      </c>
      <c r="BQ12">
        <v>-3.5000000000000003E-2</v>
      </c>
      <c r="BR12">
        <v>0</v>
      </c>
    </row>
    <row r="13" spans="1:70" x14ac:dyDescent="0.25">
      <c r="A13" s="1" t="s">
        <v>80</v>
      </c>
      <c r="B13">
        <v>1</v>
      </c>
      <c r="C13">
        <v>0.497</v>
      </c>
      <c r="D13">
        <v>0.129</v>
      </c>
      <c r="E13">
        <v>0.24099999999999999</v>
      </c>
      <c r="F13">
        <v>0.37</v>
      </c>
      <c r="G13">
        <v>0.10199999999999999</v>
      </c>
      <c r="H13">
        <v>4.2000000000000003E-2</v>
      </c>
      <c r="I13">
        <v>-0.11799999999999999</v>
      </c>
      <c r="J13">
        <v>2.5000000000000001E-2</v>
      </c>
      <c r="K13">
        <v>2E-3</v>
      </c>
      <c r="L13">
        <v>-2.1000000000000001E-2</v>
      </c>
      <c r="M13">
        <v>-0.5</v>
      </c>
      <c r="N13">
        <v>0.39100000000000001</v>
      </c>
      <c r="O13">
        <v>0.39200000000000002</v>
      </c>
      <c r="P13">
        <v>1.3380000000000001</v>
      </c>
      <c r="Q13">
        <v>0</v>
      </c>
      <c r="R13">
        <v>1.3380000000000001</v>
      </c>
      <c r="S13">
        <v>0.27500000000000002</v>
      </c>
      <c r="T13">
        <v>8.5000000000000006E-2</v>
      </c>
      <c r="U13">
        <v>0.3</v>
      </c>
      <c r="V13">
        <v>1.9990000000000001</v>
      </c>
      <c r="W13">
        <v>0.61899999999999999</v>
      </c>
      <c r="X13">
        <v>1.331</v>
      </c>
      <c r="Y13">
        <v>0.26400000000000001</v>
      </c>
      <c r="Z13">
        <v>2.7269999999999999</v>
      </c>
      <c r="AA13">
        <v>5.6139999999999999</v>
      </c>
      <c r="AB13">
        <v>7.6130000000000004</v>
      </c>
      <c r="AC13">
        <v>6.4000000000000001E-2</v>
      </c>
      <c r="AD13">
        <v>3.5000000000000003E-2</v>
      </c>
      <c r="AE13">
        <v>1.677</v>
      </c>
      <c r="AF13">
        <v>2.222</v>
      </c>
      <c r="AG13">
        <v>2.9870000000000001</v>
      </c>
      <c r="AH13">
        <v>4.6639999999999997</v>
      </c>
      <c r="AI13">
        <v>0.34200000000000003</v>
      </c>
      <c r="AJ13">
        <v>0</v>
      </c>
      <c r="AK13">
        <v>0</v>
      </c>
      <c r="AL13">
        <v>7.2999999999999995E-2</v>
      </c>
      <c r="AM13">
        <v>-5.0599999999999996</v>
      </c>
      <c r="AN13">
        <v>2.875</v>
      </c>
      <c r="AO13">
        <v>0.108</v>
      </c>
      <c r="AP13">
        <v>-4.2000000000000003E-2</v>
      </c>
      <c r="AQ13">
        <v>-2.4E-2</v>
      </c>
      <c r="AR13">
        <v>-2.1999999999999999E-2</v>
      </c>
      <c r="AS13">
        <v>4.4999999999999998E-2</v>
      </c>
      <c r="AT13">
        <v>5.8000000000000003E-2</v>
      </c>
      <c r="AU13">
        <v>-2.4E-2</v>
      </c>
      <c r="AV13">
        <v>0.159</v>
      </c>
      <c r="AW13">
        <v>0.246</v>
      </c>
      <c r="AX13">
        <v>0.68899999999999995</v>
      </c>
      <c r="AY13">
        <v>0.127</v>
      </c>
      <c r="AZ13">
        <v>-1.9E-2</v>
      </c>
      <c r="BA13">
        <v>-1.9E-2</v>
      </c>
      <c r="BB13">
        <v>0.159</v>
      </c>
      <c r="BC13">
        <v>-0.121</v>
      </c>
      <c r="BD13">
        <v>0.251</v>
      </c>
      <c r="BE13">
        <v>-1.2E-2</v>
      </c>
      <c r="BF13">
        <v>0</v>
      </c>
      <c r="BG13">
        <v>0</v>
      </c>
      <c r="BH13">
        <v>0</v>
      </c>
      <c r="BI13">
        <v>0.32100000000000001</v>
      </c>
      <c r="BJ13">
        <v>-0.01</v>
      </c>
      <c r="BK13">
        <v>0.68899999999999995</v>
      </c>
      <c r="BL13">
        <v>2.0209999999999999</v>
      </c>
      <c r="BM13">
        <v>1.3320000000000001</v>
      </c>
      <c r="BN13">
        <v>-7.2999999999999995E-2</v>
      </c>
      <c r="BO13">
        <v>-9.7000000000000003E-2</v>
      </c>
      <c r="BP13">
        <v>-9.1999999999999998E-2</v>
      </c>
      <c r="BQ13">
        <v>0.32200000000000001</v>
      </c>
      <c r="BR13">
        <v>0</v>
      </c>
    </row>
    <row r="14" spans="1:70" x14ac:dyDescent="0.25">
      <c r="A14" s="1" t="s">
        <v>81</v>
      </c>
      <c r="B14">
        <v>1</v>
      </c>
      <c r="C14">
        <v>0.46600000000000003</v>
      </c>
      <c r="D14">
        <v>0.157</v>
      </c>
      <c r="E14">
        <v>0.32</v>
      </c>
      <c r="F14">
        <v>0.47599999999999998</v>
      </c>
      <c r="G14">
        <v>0.124</v>
      </c>
      <c r="H14">
        <v>5.0000000000000001E-3</v>
      </c>
      <c r="I14">
        <v>-0.30199999999999999</v>
      </c>
      <c r="J14">
        <v>2.9000000000000001E-2</v>
      </c>
      <c r="K14">
        <v>3.0000000000000001E-3</v>
      </c>
      <c r="L14">
        <v>-0.122</v>
      </c>
      <c r="M14">
        <v>0.29099999999999998</v>
      </c>
      <c r="N14">
        <v>0.47699999999999998</v>
      </c>
      <c r="O14">
        <v>0.498</v>
      </c>
      <c r="P14">
        <v>1.131</v>
      </c>
      <c r="Q14">
        <v>0.14299999999999999</v>
      </c>
      <c r="R14">
        <v>1.2729999999999999</v>
      </c>
      <c r="S14">
        <v>0.30599999999999999</v>
      </c>
      <c r="T14">
        <v>8.2000000000000003E-2</v>
      </c>
      <c r="U14">
        <v>0.31900000000000001</v>
      </c>
      <c r="V14">
        <v>1.9810000000000001</v>
      </c>
      <c r="W14">
        <v>0.76700000000000002</v>
      </c>
      <c r="X14">
        <v>1.641</v>
      </c>
      <c r="Y14">
        <v>0.35099999999999998</v>
      </c>
      <c r="Z14">
        <v>3.7850000000000001</v>
      </c>
      <c r="AA14">
        <v>7.2460000000000004</v>
      </c>
      <c r="AB14">
        <v>9.2270000000000003</v>
      </c>
      <c r="AC14">
        <v>0.109</v>
      </c>
      <c r="AD14">
        <v>4.4999999999999998E-2</v>
      </c>
      <c r="AE14">
        <v>1.956</v>
      </c>
      <c r="AF14">
        <v>2.37</v>
      </c>
      <c r="AG14">
        <v>3.2639999999999998</v>
      </c>
      <c r="AH14">
        <v>5.2190000000000003</v>
      </c>
      <c r="AI14">
        <v>0.43</v>
      </c>
      <c r="AJ14">
        <v>0</v>
      </c>
      <c r="AK14">
        <v>0</v>
      </c>
      <c r="AL14">
        <v>0.39900000000000002</v>
      </c>
      <c r="AM14">
        <v>-5.6230000000000002</v>
      </c>
      <c r="AN14">
        <v>3.6080000000000001</v>
      </c>
      <c r="AO14">
        <v>-0.10100000000000001</v>
      </c>
      <c r="AP14">
        <v>-2.9000000000000001E-2</v>
      </c>
      <c r="AQ14">
        <v>4.8000000000000001E-2</v>
      </c>
      <c r="AR14">
        <v>7.1999999999999995E-2</v>
      </c>
      <c r="AS14">
        <v>5.8000000000000003E-2</v>
      </c>
      <c r="AT14">
        <v>6.9000000000000006E-2</v>
      </c>
      <c r="AU14">
        <v>-0.124</v>
      </c>
      <c r="AV14">
        <v>0.11</v>
      </c>
      <c r="AW14">
        <v>1.9E-2</v>
      </c>
      <c r="AX14">
        <v>-3.9E-2</v>
      </c>
      <c r="AY14">
        <v>-8.6999999999999994E-2</v>
      </c>
      <c r="AZ14">
        <v>-1.4999999999999999E-2</v>
      </c>
      <c r="BA14">
        <v>-1.4999999999999999E-2</v>
      </c>
      <c r="BB14">
        <v>-1.2999999999999999E-2</v>
      </c>
      <c r="BC14">
        <v>-6.2E-2</v>
      </c>
      <c r="BD14">
        <v>2.5999999999999999E-2</v>
      </c>
      <c r="BE14">
        <v>-1.6E-2</v>
      </c>
      <c r="BF14">
        <v>0</v>
      </c>
      <c r="BG14">
        <v>0</v>
      </c>
      <c r="BH14">
        <v>0</v>
      </c>
      <c r="BI14">
        <v>8.9999999999999993E-3</v>
      </c>
      <c r="BJ14">
        <v>1.2999999999999999E-2</v>
      </c>
      <c r="BK14">
        <v>-3.9E-2</v>
      </c>
      <c r="BL14">
        <v>1.643</v>
      </c>
      <c r="BM14">
        <v>1.6819999999999999</v>
      </c>
      <c r="BN14">
        <v>-0.245</v>
      </c>
      <c r="BO14">
        <v>-0.18</v>
      </c>
      <c r="BP14">
        <v>-0.25900000000000001</v>
      </c>
      <c r="BQ14">
        <v>2.5000000000000001E-2</v>
      </c>
      <c r="BR14">
        <v>0</v>
      </c>
    </row>
    <row r="15" spans="1:70" x14ac:dyDescent="0.25">
      <c r="A15" s="1" t="s">
        <v>82</v>
      </c>
      <c r="B15">
        <v>1</v>
      </c>
      <c r="C15">
        <v>0.41099999999999998</v>
      </c>
      <c r="D15">
        <v>0.16</v>
      </c>
      <c r="E15">
        <v>0.38</v>
      </c>
      <c r="F15">
        <v>0.54</v>
      </c>
      <c r="G15">
        <v>0.17699999999999999</v>
      </c>
      <c r="H15">
        <v>-6.0000000000000001E-3</v>
      </c>
      <c r="I15">
        <v>-0.52500000000000002</v>
      </c>
      <c r="J15">
        <v>0.04</v>
      </c>
      <c r="K15">
        <v>2E-3</v>
      </c>
      <c r="L15">
        <v>6.4000000000000001E-2</v>
      </c>
      <c r="M15">
        <v>-3.6999999999999998E-2</v>
      </c>
      <c r="N15">
        <v>0.62</v>
      </c>
      <c r="O15">
        <v>0.64</v>
      </c>
      <c r="P15">
        <v>1.6659999999999999</v>
      </c>
      <c r="Q15">
        <v>0.28199999999999997</v>
      </c>
      <c r="R15">
        <v>1.948</v>
      </c>
      <c r="S15">
        <v>0.37</v>
      </c>
      <c r="T15">
        <v>8.5000000000000006E-2</v>
      </c>
      <c r="U15">
        <v>0.45400000000000001</v>
      </c>
      <c r="V15">
        <v>2.8570000000000002</v>
      </c>
      <c r="W15">
        <v>1.042</v>
      </c>
      <c r="X15">
        <v>2.1880000000000002</v>
      </c>
      <c r="Y15">
        <v>0.501</v>
      </c>
      <c r="Z15">
        <v>4.4509999999999996</v>
      </c>
      <c r="AA15">
        <v>9.08</v>
      </c>
      <c r="AB15">
        <v>11.938000000000001</v>
      </c>
      <c r="AC15">
        <v>0.08</v>
      </c>
      <c r="AD15">
        <v>5.8999999999999997E-2</v>
      </c>
      <c r="AE15">
        <v>2.5110000000000001</v>
      </c>
      <c r="AF15">
        <v>3.2149999999999999</v>
      </c>
      <c r="AG15">
        <v>4.58</v>
      </c>
      <c r="AH15">
        <v>7.0910000000000002</v>
      </c>
      <c r="AI15">
        <v>0.58599999999999997</v>
      </c>
      <c r="AJ15">
        <v>0</v>
      </c>
      <c r="AK15">
        <v>0</v>
      </c>
      <c r="AL15">
        <v>0.16300000000000001</v>
      </c>
      <c r="AM15">
        <v>-8.0050000000000008</v>
      </c>
      <c r="AN15">
        <v>4.6840000000000002</v>
      </c>
      <c r="AO15">
        <v>-0.23499999999999999</v>
      </c>
      <c r="AP15">
        <v>-1.2E-2</v>
      </c>
      <c r="AQ15">
        <v>-1E-3</v>
      </c>
      <c r="AR15">
        <v>0.16400000000000001</v>
      </c>
      <c r="AS15">
        <v>7.2999999999999995E-2</v>
      </c>
      <c r="AT15">
        <v>9.7000000000000003E-2</v>
      </c>
      <c r="AU15">
        <v>4.1000000000000002E-2</v>
      </c>
      <c r="AV15">
        <v>0.17899999999999999</v>
      </c>
      <c r="AW15">
        <v>2.8000000000000001E-2</v>
      </c>
      <c r="AX15">
        <v>-0.27</v>
      </c>
      <c r="AY15">
        <v>-0.21</v>
      </c>
      <c r="AZ15">
        <v>-2.4E-2</v>
      </c>
      <c r="BA15">
        <v>-2.4E-2</v>
      </c>
      <c r="BB15">
        <v>-0.01</v>
      </c>
      <c r="BC15">
        <v>-0.39200000000000002</v>
      </c>
      <c r="BD15">
        <v>-8.5999999999999993E-2</v>
      </c>
      <c r="BE15">
        <v>-8.3000000000000004E-2</v>
      </c>
      <c r="BF15">
        <v>0</v>
      </c>
      <c r="BG15">
        <v>0</v>
      </c>
      <c r="BH15">
        <v>0</v>
      </c>
      <c r="BI15">
        <v>-7.8E-2</v>
      </c>
      <c r="BJ15">
        <v>-1.6E-2</v>
      </c>
      <c r="BK15">
        <v>-0.27</v>
      </c>
      <c r="BL15">
        <v>2.2759999999999998</v>
      </c>
      <c r="BM15">
        <v>2.5459999999999998</v>
      </c>
      <c r="BN15">
        <v>-0.45200000000000001</v>
      </c>
      <c r="BO15">
        <v>-0.58899999999999997</v>
      </c>
      <c r="BP15">
        <v>-0.47599999999999998</v>
      </c>
      <c r="BQ15">
        <v>0.34699999999999998</v>
      </c>
      <c r="BR15">
        <v>0</v>
      </c>
    </row>
    <row r="16" spans="1:70" x14ac:dyDescent="0.25">
      <c r="A16" s="1" t="s">
        <v>83</v>
      </c>
      <c r="B16">
        <v>1</v>
      </c>
      <c r="C16">
        <v>0.54500000000000004</v>
      </c>
      <c r="D16">
        <v>0.16800000000000001</v>
      </c>
      <c r="E16">
        <v>0.32800000000000001</v>
      </c>
      <c r="F16">
        <v>0.496</v>
      </c>
      <c r="G16">
        <v>0.153</v>
      </c>
      <c r="H16">
        <v>3.0000000000000001E-3</v>
      </c>
      <c r="I16">
        <v>-0.27700000000000002</v>
      </c>
      <c r="J16">
        <v>3.6999999999999998E-2</v>
      </c>
      <c r="K16">
        <v>1E-3</v>
      </c>
      <c r="L16">
        <v>7.0000000000000001E-3</v>
      </c>
      <c r="M16">
        <v>-0.30599999999999999</v>
      </c>
      <c r="N16">
        <v>0.56399999999999995</v>
      </c>
      <c r="O16">
        <v>0.56699999999999995</v>
      </c>
      <c r="P16">
        <v>1.784</v>
      </c>
      <c r="Q16">
        <v>0.373</v>
      </c>
      <c r="R16">
        <v>2.157</v>
      </c>
      <c r="S16">
        <v>0.33900000000000002</v>
      </c>
      <c r="T16">
        <v>0.24199999999999999</v>
      </c>
      <c r="U16">
        <v>0.38400000000000001</v>
      </c>
      <c r="V16">
        <v>3.1219999999999999</v>
      </c>
      <c r="W16">
        <v>0.97599999999999998</v>
      </c>
      <c r="X16">
        <v>1.93</v>
      </c>
      <c r="Y16">
        <v>0.49399999999999999</v>
      </c>
      <c r="Z16">
        <v>3.2010000000000001</v>
      </c>
      <c r="AA16">
        <v>7.3840000000000003</v>
      </c>
      <c r="AB16">
        <v>10.506</v>
      </c>
      <c r="AC16">
        <v>7.3999999999999996E-2</v>
      </c>
      <c r="AD16">
        <v>5.5E-2</v>
      </c>
      <c r="AE16">
        <v>2.169</v>
      </c>
      <c r="AF16">
        <v>2.8759999999999999</v>
      </c>
      <c r="AG16">
        <v>3.9910000000000001</v>
      </c>
      <c r="AH16">
        <v>6.1609999999999996</v>
      </c>
      <c r="AI16">
        <v>0.54300000000000004</v>
      </c>
      <c r="AJ16">
        <v>0</v>
      </c>
      <c r="AK16">
        <v>0</v>
      </c>
      <c r="AL16">
        <v>0.47</v>
      </c>
      <c r="AM16">
        <v>-7.3079999999999998</v>
      </c>
      <c r="AN16">
        <v>3.8759999999999999</v>
      </c>
      <c r="AO16">
        <v>-0.29299999999999998</v>
      </c>
      <c r="AP16">
        <v>-7.4999999999999997E-2</v>
      </c>
      <c r="AQ16">
        <v>-3.1E-2</v>
      </c>
      <c r="AR16">
        <v>-6.0000000000000001E-3</v>
      </c>
      <c r="AS16">
        <v>5.7000000000000002E-2</v>
      </c>
      <c r="AT16">
        <v>7.4999999999999997E-2</v>
      </c>
      <c r="AU16">
        <v>2E-3</v>
      </c>
      <c r="AV16">
        <v>-8.3000000000000004E-2</v>
      </c>
      <c r="AW16">
        <v>2.9000000000000001E-2</v>
      </c>
      <c r="AX16">
        <v>-0.11799999999999999</v>
      </c>
      <c r="AY16">
        <v>-0.254</v>
      </c>
      <c r="AZ16">
        <v>-3.9E-2</v>
      </c>
      <c r="BA16">
        <v>-3.9E-2</v>
      </c>
      <c r="BB16">
        <v>2.1000000000000001E-2</v>
      </c>
      <c r="BC16">
        <v>-0.192</v>
      </c>
      <c r="BD16">
        <v>-6.0999999999999999E-2</v>
      </c>
      <c r="BE16">
        <v>-0.182</v>
      </c>
      <c r="BF16">
        <v>0</v>
      </c>
      <c r="BG16">
        <v>0</v>
      </c>
      <c r="BH16">
        <v>0</v>
      </c>
      <c r="BI16">
        <v>0.28299999999999997</v>
      </c>
      <c r="BJ16">
        <v>2.4E-2</v>
      </c>
      <c r="BK16">
        <v>-0.11799999999999999</v>
      </c>
      <c r="BL16">
        <v>2.335</v>
      </c>
      <c r="BM16">
        <v>2.4540000000000002</v>
      </c>
      <c r="BN16">
        <v>-0.22</v>
      </c>
      <c r="BO16">
        <v>-0.28399999999999997</v>
      </c>
      <c r="BP16">
        <v>-0.25900000000000001</v>
      </c>
      <c r="BQ16">
        <v>0.95299999999999996</v>
      </c>
      <c r="BR16">
        <v>0</v>
      </c>
    </row>
    <row r="17" spans="1:70" x14ac:dyDescent="0.25">
      <c r="A17" s="1" t="s">
        <v>84</v>
      </c>
      <c r="B17">
        <v>1</v>
      </c>
      <c r="C17">
        <v>0.48399999999999999</v>
      </c>
      <c r="D17">
        <v>0.22700000000000001</v>
      </c>
      <c r="E17">
        <v>0.29499999999999998</v>
      </c>
      <c r="F17">
        <v>0.52300000000000002</v>
      </c>
      <c r="G17">
        <v>0.158</v>
      </c>
      <c r="H17">
        <v>1.2E-2</v>
      </c>
      <c r="I17">
        <v>-0.35699999999999998</v>
      </c>
      <c r="J17">
        <v>3.5999999999999997E-2</v>
      </c>
      <c r="K17">
        <v>2E-3</v>
      </c>
      <c r="L17">
        <v>7.0000000000000001E-3</v>
      </c>
      <c r="M17">
        <v>-0.34799999999999998</v>
      </c>
      <c r="N17">
        <v>0.56100000000000005</v>
      </c>
      <c r="O17">
        <v>0.56100000000000005</v>
      </c>
      <c r="P17">
        <v>1.9670000000000001</v>
      </c>
      <c r="Q17">
        <v>0.36199999999999999</v>
      </c>
      <c r="R17">
        <v>2.3290000000000002</v>
      </c>
      <c r="S17">
        <v>0.247</v>
      </c>
      <c r="T17">
        <v>7.0000000000000007E-2</v>
      </c>
      <c r="U17">
        <v>0.36299999999999999</v>
      </c>
      <c r="V17">
        <v>3.008</v>
      </c>
      <c r="W17">
        <v>1.026</v>
      </c>
      <c r="X17">
        <v>0.95499999999999996</v>
      </c>
      <c r="Y17">
        <v>0.20899999999999999</v>
      </c>
      <c r="Z17">
        <v>3.2509999999999999</v>
      </c>
      <c r="AA17">
        <v>6.226</v>
      </c>
      <c r="AB17">
        <v>9.234</v>
      </c>
      <c r="AC17">
        <v>7.6999999999999999E-2</v>
      </c>
      <c r="AD17">
        <v>5.6000000000000001E-2</v>
      </c>
      <c r="AE17">
        <v>2.2120000000000002</v>
      </c>
      <c r="AF17">
        <v>2.6190000000000002</v>
      </c>
      <c r="AG17">
        <v>3.7679999999999998</v>
      </c>
      <c r="AH17">
        <v>5.98</v>
      </c>
      <c r="AI17">
        <v>0.54400000000000004</v>
      </c>
      <c r="AJ17">
        <v>0</v>
      </c>
      <c r="AK17">
        <v>0</v>
      </c>
      <c r="AL17">
        <v>0.39600000000000002</v>
      </c>
      <c r="AM17">
        <v>-7.0830000000000002</v>
      </c>
      <c r="AN17">
        <v>2.8580000000000001</v>
      </c>
      <c r="AO17">
        <v>-0.17199999999999999</v>
      </c>
      <c r="AP17">
        <v>-4.3999999999999997E-2</v>
      </c>
      <c r="AQ17">
        <v>-8.0000000000000002E-3</v>
      </c>
      <c r="AR17">
        <v>0.16200000000000001</v>
      </c>
      <c r="AS17">
        <v>4.3999999999999997E-2</v>
      </c>
      <c r="AT17">
        <v>5.8000000000000003E-2</v>
      </c>
      <c r="AU17">
        <v>3.0000000000000001E-3</v>
      </c>
      <c r="AV17">
        <v>0.13400000000000001</v>
      </c>
      <c r="AW17">
        <v>2.3E-2</v>
      </c>
      <c r="AX17">
        <v>-0.107</v>
      </c>
      <c r="AY17">
        <v>-0.13</v>
      </c>
      <c r="AZ17">
        <v>-4.2000000000000003E-2</v>
      </c>
      <c r="BA17">
        <v>-4.2000000000000003E-2</v>
      </c>
      <c r="BB17">
        <v>-6.0999999999999999E-2</v>
      </c>
      <c r="BC17">
        <v>-0.154</v>
      </c>
      <c r="BD17">
        <v>-0.11700000000000001</v>
      </c>
      <c r="BE17">
        <v>-1.7999999999999999E-2</v>
      </c>
      <c r="BF17">
        <v>0</v>
      </c>
      <c r="BG17">
        <v>0</v>
      </c>
      <c r="BH17">
        <v>0</v>
      </c>
      <c r="BI17">
        <v>0.13700000000000001</v>
      </c>
      <c r="BJ17">
        <v>3.0000000000000001E-3</v>
      </c>
      <c r="BK17">
        <v>-0.107</v>
      </c>
      <c r="BL17">
        <v>2.4820000000000002</v>
      </c>
      <c r="BM17">
        <v>2.589</v>
      </c>
      <c r="BN17">
        <v>-0.313</v>
      </c>
      <c r="BO17">
        <v>-0.36399999999999999</v>
      </c>
      <c r="BP17">
        <v>-0.35399999999999998</v>
      </c>
      <c r="BQ17">
        <v>0.79600000000000004</v>
      </c>
      <c r="BR17">
        <v>0</v>
      </c>
    </row>
    <row r="18" spans="1:70" x14ac:dyDescent="0.25">
      <c r="A18" s="1" t="s">
        <v>85</v>
      </c>
      <c r="B18">
        <v>1</v>
      </c>
      <c r="C18">
        <v>0.441</v>
      </c>
      <c r="D18">
        <v>0.252</v>
      </c>
      <c r="E18">
        <v>0.32800000000000001</v>
      </c>
      <c r="F18">
        <v>0.58099999999999996</v>
      </c>
      <c r="G18">
        <v>0.26100000000000001</v>
      </c>
      <c r="H18">
        <v>-2E-3</v>
      </c>
      <c r="I18">
        <v>-0.71699999999999997</v>
      </c>
      <c r="J18">
        <v>4.9000000000000002E-2</v>
      </c>
      <c r="K18">
        <v>3.0000000000000001E-3</v>
      </c>
      <c r="L18">
        <v>2E-3</v>
      </c>
      <c r="M18">
        <v>-0.79200000000000004</v>
      </c>
      <c r="N18">
        <v>0.77600000000000002</v>
      </c>
      <c r="O18">
        <v>0.77600000000000002</v>
      </c>
      <c r="P18">
        <v>3.0139999999999998</v>
      </c>
      <c r="Q18">
        <v>0.46100000000000002</v>
      </c>
      <c r="R18">
        <v>3.4750000000000001</v>
      </c>
      <c r="S18">
        <v>0.27</v>
      </c>
      <c r="T18">
        <v>5.5E-2</v>
      </c>
      <c r="U18">
        <v>0.51200000000000001</v>
      </c>
      <c r="V18">
        <v>4.3109999999999999</v>
      </c>
      <c r="W18">
        <v>1.4670000000000001</v>
      </c>
      <c r="X18">
        <v>1.1240000000000001</v>
      </c>
      <c r="Y18">
        <v>0.23799999999999999</v>
      </c>
      <c r="Z18">
        <v>4.407</v>
      </c>
      <c r="AA18">
        <v>8.2899999999999991</v>
      </c>
      <c r="AB18">
        <v>12.602</v>
      </c>
      <c r="AC18">
        <v>0.113</v>
      </c>
      <c r="AD18">
        <v>8.4000000000000005E-2</v>
      </c>
      <c r="AE18">
        <v>2.629</v>
      </c>
      <c r="AF18">
        <v>3.6659999999999999</v>
      </c>
      <c r="AG18">
        <v>5.2779999999999996</v>
      </c>
      <c r="AH18">
        <v>7.907</v>
      </c>
      <c r="AI18">
        <v>0.76400000000000001</v>
      </c>
      <c r="AJ18">
        <v>0</v>
      </c>
      <c r="AK18">
        <v>0</v>
      </c>
      <c r="AL18">
        <v>0.433</v>
      </c>
      <c r="AM18">
        <v>-9.4030000000000005</v>
      </c>
      <c r="AN18">
        <v>4.2610000000000001</v>
      </c>
      <c r="AO18">
        <v>-0.55100000000000005</v>
      </c>
      <c r="AP18">
        <v>3.3000000000000002E-2</v>
      </c>
      <c r="AQ18">
        <v>1.6E-2</v>
      </c>
      <c r="AR18">
        <v>8.1000000000000003E-2</v>
      </c>
      <c r="AS18">
        <v>5.8000000000000003E-2</v>
      </c>
      <c r="AT18">
        <v>5.8000000000000003E-2</v>
      </c>
      <c r="AU18">
        <v>-4.0000000000000001E-3</v>
      </c>
      <c r="AV18">
        <v>0.13</v>
      </c>
      <c r="AW18">
        <v>0</v>
      </c>
      <c r="AX18">
        <v>-0.63700000000000001</v>
      </c>
      <c r="AY18">
        <v>-0.47799999999999998</v>
      </c>
      <c r="AZ18">
        <v>-7.2999999999999995E-2</v>
      </c>
      <c r="BA18">
        <v>-7.2999999999999995E-2</v>
      </c>
      <c r="BB18">
        <v>0</v>
      </c>
      <c r="BC18">
        <v>-0.23200000000000001</v>
      </c>
      <c r="BD18">
        <v>-0.20300000000000001</v>
      </c>
      <c r="BE18">
        <v>-0.42399999999999999</v>
      </c>
      <c r="BF18">
        <v>0</v>
      </c>
      <c r="BG18">
        <v>0</v>
      </c>
      <c r="BH18">
        <v>0</v>
      </c>
      <c r="BI18">
        <v>5.2999999999999999E-2</v>
      </c>
      <c r="BJ18">
        <v>-8.0000000000000002E-3</v>
      </c>
      <c r="BK18">
        <v>-0.63700000000000001</v>
      </c>
      <c r="BL18">
        <v>3.6150000000000002</v>
      </c>
      <c r="BM18">
        <v>4.2519999999999998</v>
      </c>
      <c r="BN18">
        <v>-0.66</v>
      </c>
      <c r="BO18">
        <v>-0.71899999999999997</v>
      </c>
      <c r="BP18">
        <v>-0.73299999999999998</v>
      </c>
      <c r="BQ18">
        <v>1.6830000000000001</v>
      </c>
      <c r="BR18">
        <v>0</v>
      </c>
    </row>
    <row r="19" spans="1:70" x14ac:dyDescent="0.25">
      <c r="A19" s="1" t="s">
        <v>86</v>
      </c>
      <c r="B19">
        <v>1</v>
      </c>
      <c r="C19">
        <v>0.496</v>
      </c>
      <c r="D19">
        <v>0.24199999999999999</v>
      </c>
      <c r="E19">
        <v>0.25</v>
      </c>
      <c r="F19">
        <v>0.49199999999999999</v>
      </c>
      <c r="G19">
        <v>0.182</v>
      </c>
      <c r="H19">
        <v>5.0000000000000001E-3</v>
      </c>
      <c r="I19">
        <v>-0.35599999999999998</v>
      </c>
      <c r="J19">
        <v>3.3000000000000002E-2</v>
      </c>
      <c r="K19">
        <v>1.0999999999999999E-2</v>
      </c>
      <c r="L19">
        <v>-6.8000000000000005E-2</v>
      </c>
      <c r="M19">
        <v>-0.82899999999999996</v>
      </c>
      <c r="N19">
        <v>0.48699999999999999</v>
      </c>
      <c r="O19">
        <v>0.48699999999999999</v>
      </c>
      <c r="P19">
        <v>2.3050000000000002</v>
      </c>
      <c r="Q19">
        <v>0.23499999999999999</v>
      </c>
      <c r="R19">
        <v>2.5390000000000001</v>
      </c>
      <c r="S19">
        <v>0.193</v>
      </c>
      <c r="T19">
        <v>5.3999999999999999E-2</v>
      </c>
      <c r="U19">
        <v>0.35099999999999998</v>
      </c>
      <c r="V19">
        <v>3.137</v>
      </c>
      <c r="W19">
        <v>0.97099999999999997</v>
      </c>
      <c r="X19">
        <v>0.72399999999999998</v>
      </c>
      <c r="Y19">
        <v>0.158</v>
      </c>
      <c r="Z19">
        <v>2.819</v>
      </c>
      <c r="AA19">
        <v>5.3559999999999999</v>
      </c>
      <c r="AB19">
        <v>8.4930000000000003</v>
      </c>
      <c r="AC19">
        <v>6.0999999999999999E-2</v>
      </c>
      <c r="AD19">
        <v>5.8000000000000003E-2</v>
      </c>
      <c r="AE19">
        <v>1.8720000000000001</v>
      </c>
      <c r="AF19">
        <v>2.0379999999999998</v>
      </c>
      <c r="AG19">
        <v>3.145</v>
      </c>
      <c r="AH19">
        <v>5.016</v>
      </c>
      <c r="AI19">
        <v>0.48699999999999999</v>
      </c>
      <c r="AJ19">
        <v>0</v>
      </c>
      <c r="AK19">
        <v>0</v>
      </c>
      <c r="AL19">
        <v>0.27500000000000002</v>
      </c>
      <c r="AM19">
        <v>-5.4470000000000001</v>
      </c>
      <c r="AN19">
        <v>3.2010000000000001</v>
      </c>
      <c r="AO19">
        <v>-0.187</v>
      </c>
      <c r="AP19">
        <v>0.125</v>
      </c>
      <c r="AQ19">
        <v>-1.2999999999999999E-2</v>
      </c>
      <c r="AR19">
        <v>-0.08</v>
      </c>
      <c r="AS19">
        <v>3.5999999999999997E-2</v>
      </c>
      <c r="AT19">
        <v>7.8E-2</v>
      </c>
      <c r="AU19">
        <v>-7.6999999999999999E-2</v>
      </c>
      <c r="AV19">
        <v>0.08</v>
      </c>
      <c r="AW19">
        <v>4.8000000000000001E-2</v>
      </c>
      <c r="AX19">
        <v>-0.71599999999999997</v>
      </c>
      <c r="AY19">
        <v>-0.13100000000000001</v>
      </c>
      <c r="AZ19">
        <v>-5.6000000000000001E-2</v>
      </c>
      <c r="BA19">
        <v>-5.6000000000000001E-2</v>
      </c>
      <c r="BB19">
        <v>-0.35399999999999998</v>
      </c>
      <c r="BC19">
        <v>-0.14199999999999999</v>
      </c>
      <c r="BD19">
        <v>-0.52400000000000002</v>
      </c>
      <c r="BE19">
        <v>-1.7000000000000001E-2</v>
      </c>
      <c r="BF19">
        <v>0</v>
      </c>
      <c r="BG19">
        <v>0</v>
      </c>
      <c r="BH19">
        <v>0</v>
      </c>
      <c r="BI19">
        <v>-1.7999999999999999E-2</v>
      </c>
      <c r="BJ19">
        <v>-4.3999999999999997E-2</v>
      </c>
      <c r="BK19">
        <v>-0.71599999999999997</v>
      </c>
      <c r="BL19">
        <v>2.69</v>
      </c>
      <c r="BM19">
        <v>3.4060000000000001</v>
      </c>
      <c r="BN19">
        <v>-0.32</v>
      </c>
      <c r="BO19">
        <v>-0.28799999999999998</v>
      </c>
      <c r="BP19">
        <v>-0.376</v>
      </c>
      <c r="BQ19">
        <v>1.2649999999999999</v>
      </c>
      <c r="BR19">
        <v>0</v>
      </c>
    </row>
    <row r="20" spans="1:70" x14ac:dyDescent="0.25">
      <c r="A20" s="1" t="s">
        <v>87</v>
      </c>
      <c r="B20">
        <v>1</v>
      </c>
      <c r="C20">
        <v>0.52600000000000002</v>
      </c>
      <c r="D20">
        <v>0.159</v>
      </c>
      <c r="E20">
        <v>0.307</v>
      </c>
      <c r="F20">
        <v>0.46600000000000003</v>
      </c>
      <c r="G20">
        <v>0.14899999999999999</v>
      </c>
      <c r="H20">
        <v>1E-3</v>
      </c>
      <c r="I20">
        <v>-0.23899999999999999</v>
      </c>
      <c r="J20">
        <v>2.5000000000000001E-2</v>
      </c>
      <c r="K20">
        <v>1.2E-2</v>
      </c>
      <c r="L20">
        <v>6.0000000000000001E-3</v>
      </c>
      <c r="M20">
        <v>-0.26900000000000002</v>
      </c>
      <c r="N20">
        <v>0.42</v>
      </c>
      <c r="O20">
        <v>0.42</v>
      </c>
      <c r="P20">
        <v>2.6720000000000002</v>
      </c>
      <c r="Q20">
        <v>0.108</v>
      </c>
      <c r="R20">
        <v>2.78</v>
      </c>
      <c r="S20">
        <v>0.29799999999999999</v>
      </c>
      <c r="T20">
        <v>2.4E-2</v>
      </c>
      <c r="U20">
        <v>0.31900000000000001</v>
      </c>
      <c r="V20">
        <v>3.4220000000000002</v>
      </c>
      <c r="W20">
        <v>0.81699999999999995</v>
      </c>
      <c r="X20">
        <v>4.1000000000000002E-2</v>
      </c>
      <c r="Y20">
        <v>1.7000000000000001E-2</v>
      </c>
      <c r="Z20">
        <v>2.9220000000000002</v>
      </c>
      <c r="AA20">
        <v>4.383</v>
      </c>
      <c r="AB20">
        <v>7.806</v>
      </c>
      <c r="AC20">
        <v>6.7000000000000004E-2</v>
      </c>
      <c r="AD20">
        <v>4.8000000000000001E-2</v>
      </c>
      <c r="AE20">
        <v>1.3859999999999999</v>
      </c>
      <c r="AF20">
        <v>1.7769999999999999</v>
      </c>
      <c r="AG20">
        <v>2.6880000000000002</v>
      </c>
      <c r="AH20">
        <v>4.0739999999999998</v>
      </c>
      <c r="AI20">
        <v>0.42199999999999999</v>
      </c>
      <c r="AJ20">
        <v>0</v>
      </c>
      <c r="AK20">
        <v>0</v>
      </c>
      <c r="AL20">
        <v>0.24399999999999999</v>
      </c>
      <c r="AM20">
        <v>-4.0209999999999999</v>
      </c>
      <c r="AN20">
        <v>3.4870000000000001</v>
      </c>
      <c r="AO20">
        <v>-0.48699999999999999</v>
      </c>
      <c r="AP20">
        <v>-1.6E-2</v>
      </c>
      <c r="AQ20">
        <v>2.9000000000000001E-2</v>
      </c>
      <c r="AR20">
        <v>-0.01</v>
      </c>
      <c r="AS20">
        <v>2.5000000000000001E-2</v>
      </c>
      <c r="AT20">
        <v>0.06</v>
      </c>
      <c r="AU20">
        <v>-8.0000000000000002E-3</v>
      </c>
      <c r="AV20">
        <v>-0.26100000000000001</v>
      </c>
      <c r="AW20">
        <v>-0.26400000000000001</v>
      </c>
      <c r="AX20">
        <v>-0.63300000000000001</v>
      </c>
      <c r="AY20">
        <v>-0.442</v>
      </c>
      <c r="AZ20">
        <v>-4.4999999999999998E-2</v>
      </c>
      <c r="BA20">
        <v>-4.4999999999999998E-2</v>
      </c>
      <c r="BB20">
        <v>-8.5999999999999993E-2</v>
      </c>
      <c r="BC20">
        <v>-0.13300000000000001</v>
      </c>
      <c r="BD20">
        <v>-0.17499999999999999</v>
      </c>
      <c r="BE20">
        <v>-6.0000000000000001E-3</v>
      </c>
      <c r="BF20">
        <v>1E-3</v>
      </c>
      <c r="BG20">
        <v>-1.7999999999999999E-2</v>
      </c>
      <c r="BH20">
        <v>-1.4E-2</v>
      </c>
      <c r="BI20">
        <v>-0.02</v>
      </c>
      <c r="BJ20">
        <v>5.0000000000000001E-3</v>
      </c>
      <c r="BK20">
        <v>-0.63300000000000001</v>
      </c>
      <c r="BL20">
        <v>2.9660000000000002</v>
      </c>
      <c r="BM20">
        <v>3.5979999999999999</v>
      </c>
      <c r="BN20">
        <v>-0.214</v>
      </c>
      <c r="BO20">
        <v>-0.245</v>
      </c>
      <c r="BP20">
        <v>-0.25900000000000001</v>
      </c>
      <c r="BQ20">
        <v>2.036</v>
      </c>
      <c r="BR20">
        <v>0</v>
      </c>
    </row>
    <row r="21" spans="1:70" x14ac:dyDescent="0.25">
      <c r="A21" s="1" t="s">
        <v>88</v>
      </c>
      <c r="B21">
        <v>1</v>
      </c>
      <c r="C21">
        <v>0.51200000000000001</v>
      </c>
      <c r="D21">
        <v>0.155</v>
      </c>
      <c r="E21">
        <v>0.29199999999999998</v>
      </c>
      <c r="F21">
        <v>0.44700000000000001</v>
      </c>
      <c r="G21">
        <v>0.19800000000000001</v>
      </c>
      <c r="H21">
        <v>-6.0000000000000001E-3</v>
      </c>
      <c r="I21">
        <v>-0.28999999999999998</v>
      </c>
      <c r="J21">
        <v>2.4E-2</v>
      </c>
      <c r="K21">
        <v>0.02</v>
      </c>
      <c r="L21">
        <v>1E-3</v>
      </c>
      <c r="M21">
        <v>-0.30499999999999999</v>
      </c>
      <c r="N21">
        <v>0.44600000000000001</v>
      </c>
      <c r="O21">
        <v>0.44600000000000001</v>
      </c>
      <c r="P21">
        <v>3.3180000000000001</v>
      </c>
      <c r="Q21">
        <v>0</v>
      </c>
      <c r="R21">
        <v>3.3180000000000001</v>
      </c>
      <c r="S21">
        <v>0.30299999999999999</v>
      </c>
      <c r="T21">
        <v>8.9999999999999993E-3</v>
      </c>
      <c r="U21">
        <v>0.34499999999999997</v>
      </c>
      <c r="V21">
        <v>3.9740000000000002</v>
      </c>
      <c r="W21">
        <v>0.80600000000000005</v>
      </c>
      <c r="X21">
        <v>4.3999999999999997E-2</v>
      </c>
      <c r="Y21">
        <v>1.9E-2</v>
      </c>
      <c r="Z21">
        <v>3.0960000000000001</v>
      </c>
      <c r="AA21">
        <v>4.4950000000000001</v>
      </c>
      <c r="AB21">
        <v>8.4689999999999994</v>
      </c>
      <c r="AC21">
        <v>3.3000000000000002E-2</v>
      </c>
      <c r="AD21">
        <v>5.1999999999999998E-2</v>
      </c>
      <c r="AE21">
        <v>1.409</v>
      </c>
      <c r="AF21">
        <v>1.88</v>
      </c>
      <c r="AG21">
        <v>2.851</v>
      </c>
      <c r="AH21">
        <v>4.2590000000000003</v>
      </c>
      <c r="AI21">
        <v>0.434</v>
      </c>
      <c r="AJ21">
        <v>0</v>
      </c>
      <c r="AK21">
        <v>0</v>
      </c>
      <c r="AL21">
        <v>0.25900000000000001</v>
      </c>
      <c r="AM21">
        <v>-4.0039999999999996</v>
      </c>
      <c r="AN21">
        <v>3.95</v>
      </c>
      <c r="AO21">
        <v>-0.26400000000000001</v>
      </c>
      <c r="AP21">
        <v>2.5000000000000001E-2</v>
      </c>
      <c r="AQ21">
        <v>-8.0000000000000002E-3</v>
      </c>
      <c r="AR21">
        <v>-0.10299999999999999</v>
      </c>
      <c r="AS21">
        <v>2.7E-2</v>
      </c>
      <c r="AT21">
        <v>0.105</v>
      </c>
      <c r="AU21">
        <v>-6.0000000000000001E-3</v>
      </c>
      <c r="AV21">
        <v>-0.06</v>
      </c>
      <c r="AW21">
        <v>2.5999999999999999E-2</v>
      </c>
      <c r="AX21">
        <v>0.249</v>
      </c>
      <c r="AY21">
        <v>-0.23</v>
      </c>
      <c r="AZ21">
        <v>-3.4000000000000002E-2</v>
      </c>
      <c r="BA21">
        <v>-3.4000000000000002E-2</v>
      </c>
      <c r="BB21">
        <v>0</v>
      </c>
      <c r="BC21">
        <v>0</v>
      </c>
      <c r="BD21">
        <v>-3.4000000000000002E-2</v>
      </c>
      <c r="BE21">
        <v>-1.4E-2</v>
      </c>
      <c r="BF21">
        <v>-1E-3</v>
      </c>
      <c r="BG21">
        <v>0</v>
      </c>
      <c r="BH21">
        <v>0</v>
      </c>
      <c r="BI21">
        <v>0.52300000000000002</v>
      </c>
      <c r="BJ21">
        <v>-8.9999999999999993E-3</v>
      </c>
      <c r="BK21">
        <v>0.249</v>
      </c>
      <c r="BL21">
        <v>3.84</v>
      </c>
      <c r="BM21">
        <v>3.59</v>
      </c>
      <c r="BN21">
        <v>-0.26300000000000001</v>
      </c>
      <c r="BO21">
        <v>-0.29099999999999998</v>
      </c>
      <c r="BP21">
        <v>-0.29699999999999999</v>
      </c>
      <c r="BQ21">
        <v>2.5649999999999999</v>
      </c>
      <c r="BR21">
        <v>0</v>
      </c>
    </row>
    <row r="22" spans="1:70" x14ac:dyDescent="0.25">
      <c r="A22" s="1" t="s">
        <v>89</v>
      </c>
      <c r="B22">
        <v>1</v>
      </c>
      <c r="C22">
        <v>0.45</v>
      </c>
      <c r="D22">
        <v>0.51700000000000002</v>
      </c>
      <c r="E22">
        <v>0.38600000000000001</v>
      </c>
      <c r="F22">
        <v>0.90300000000000002</v>
      </c>
      <c r="G22">
        <v>0.96799999999999997</v>
      </c>
      <c r="H22">
        <v>5.0000000000000001E-3</v>
      </c>
      <c r="I22">
        <v>-1.732</v>
      </c>
      <c r="J22">
        <v>4.8000000000000001E-2</v>
      </c>
      <c r="K22">
        <v>0.02</v>
      </c>
      <c r="L22">
        <v>-1E-3</v>
      </c>
      <c r="M22">
        <v>-1.6539999999999999</v>
      </c>
      <c r="N22">
        <v>0.35</v>
      </c>
      <c r="O22">
        <v>0.35099999999999998</v>
      </c>
      <c r="P22">
        <v>3.7090000000000001</v>
      </c>
      <c r="Q22">
        <v>0</v>
      </c>
      <c r="R22">
        <v>3.7090000000000001</v>
      </c>
      <c r="S22">
        <v>0.40699999999999997</v>
      </c>
      <c r="T22">
        <v>4.2999999999999997E-2</v>
      </c>
      <c r="U22">
        <v>0.35699999999999998</v>
      </c>
      <c r="V22">
        <v>4.5170000000000003</v>
      </c>
      <c r="W22">
        <v>0.879</v>
      </c>
      <c r="X22">
        <v>5.2999999999999999E-2</v>
      </c>
      <c r="Y22">
        <v>2.5000000000000001E-2</v>
      </c>
      <c r="Z22">
        <v>3.722</v>
      </c>
      <c r="AA22">
        <v>5.2679999999999998</v>
      </c>
      <c r="AB22">
        <v>9.7850000000000001</v>
      </c>
      <c r="AC22">
        <v>5.2999999999999999E-2</v>
      </c>
      <c r="AD22">
        <v>5.7000000000000002E-2</v>
      </c>
      <c r="AE22">
        <v>1.7589999999999999</v>
      </c>
      <c r="AF22">
        <v>1.8320000000000001</v>
      </c>
      <c r="AG22">
        <v>3.0009999999999999</v>
      </c>
      <c r="AH22">
        <v>4.7610000000000001</v>
      </c>
      <c r="AI22">
        <v>0.45900000000000002</v>
      </c>
      <c r="AJ22">
        <v>0</v>
      </c>
      <c r="AK22">
        <v>0</v>
      </c>
      <c r="AL22">
        <v>-4.0000000000000001E-3</v>
      </c>
      <c r="AM22">
        <v>-4.4550000000000001</v>
      </c>
      <c r="AN22">
        <v>5.0289999999999999</v>
      </c>
      <c r="AO22">
        <v>-0.33800000000000002</v>
      </c>
      <c r="AP22">
        <v>-7.0999999999999994E-2</v>
      </c>
      <c r="AQ22">
        <v>3.0000000000000001E-3</v>
      </c>
      <c r="AR22">
        <v>0.219</v>
      </c>
      <c r="AS22">
        <v>3.9E-2</v>
      </c>
      <c r="AT22">
        <v>1.2450000000000001</v>
      </c>
      <c r="AU22">
        <v>-1.0999999999999999E-2</v>
      </c>
      <c r="AV22">
        <v>0.18099999999999999</v>
      </c>
      <c r="AW22">
        <v>0.03</v>
      </c>
      <c r="AX22">
        <v>1.8979999999999999</v>
      </c>
      <c r="AY22">
        <v>-0.29099999999999998</v>
      </c>
      <c r="AZ22">
        <v>-4.7E-2</v>
      </c>
      <c r="BA22">
        <v>-4.7E-2</v>
      </c>
      <c r="BB22">
        <v>-2E-3</v>
      </c>
      <c r="BC22">
        <v>0</v>
      </c>
      <c r="BD22">
        <v>-4.9000000000000002E-2</v>
      </c>
      <c r="BE22">
        <v>-1.2E-2</v>
      </c>
      <c r="BF22">
        <v>0</v>
      </c>
      <c r="BG22">
        <v>0</v>
      </c>
      <c r="BH22">
        <v>0</v>
      </c>
      <c r="BI22">
        <v>2.2349999999999999</v>
      </c>
      <c r="BJ22">
        <v>3.0000000000000001E-3</v>
      </c>
      <c r="BK22">
        <v>1.8979999999999999</v>
      </c>
      <c r="BL22">
        <v>4.3239999999999998</v>
      </c>
      <c r="BM22">
        <v>2.4260000000000002</v>
      </c>
      <c r="BN22">
        <v>-1.694</v>
      </c>
      <c r="BO22">
        <v>-1.732</v>
      </c>
      <c r="BP22">
        <v>-1.74</v>
      </c>
      <c r="BQ22">
        <v>2.7570000000000001</v>
      </c>
      <c r="BR22">
        <v>0</v>
      </c>
    </row>
    <row r="23" spans="1:70" x14ac:dyDescent="0.25">
      <c r="A23" s="1" t="s">
        <v>90</v>
      </c>
      <c r="B23">
        <v>1</v>
      </c>
      <c r="C23">
        <v>0.45800000000000002</v>
      </c>
      <c r="D23">
        <v>0.13600000000000001</v>
      </c>
      <c r="E23">
        <v>0.33600000000000002</v>
      </c>
      <c r="F23">
        <v>0.47199999999999998</v>
      </c>
      <c r="G23">
        <v>0.13200000000000001</v>
      </c>
      <c r="H23">
        <v>8.0000000000000002E-3</v>
      </c>
      <c r="I23">
        <v>-0.33400000000000002</v>
      </c>
      <c r="J23">
        <v>7.0000000000000007E-2</v>
      </c>
      <c r="K23">
        <v>1.4E-2</v>
      </c>
      <c r="L23">
        <v>6.0000000000000001E-3</v>
      </c>
      <c r="M23">
        <v>-0.32700000000000001</v>
      </c>
      <c r="N23">
        <v>0.54100000000000004</v>
      </c>
      <c r="O23">
        <v>0.54100000000000004</v>
      </c>
      <c r="P23">
        <v>1.8540000000000001</v>
      </c>
      <c r="Q23">
        <v>0</v>
      </c>
      <c r="R23">
        <v>1.8540000000000001</v>
      </c>
      <c r="S23">
        <v>0.34699999999999998</v>
      </c>
      <c r="T23">
        <v>4.3999999999999997E-2</v>
      </c>
      <c r="U23">
        <v>0.315</v>
      </c>
      <c r="V23">
        <v>2.5590000000000002</v>
      </c>
      <c r="W23">
        <v>0.85399999999999998</v>
      </c>
      <c r="X23">
        <v>4.9000000000000002E-2</v>
      </c>
      <c r="Y23">
        <v>2.5000000000000001E-2</v>
      </c>
      <c r="Z23">
        <v>3.7810000000000001</v>
      </c>
      <c r="AA23">
        <v>5.3109999999999999</v>
      </c>
      <c r="AB23">
        <v>7.87</v>
      </c>
      <c r="AC23">
        <v>4.9000000000000002E-2</v>
      </c>
      <c r="AD23">
        <v>5.7000000000000002E-2</v>
      </c>
      <c r="AE23">
        <v>1.5209999999999999</v>
      </c>
      <c r="AF23">
        <v>2.6339999999999999</v>
      </c>
      <c r="AG23">
        <v>9.0709999999999997</v>
      </c>
      <c r="AH23">
        <v>10.592000000000001</v>
      </c>
      <c r="AI23">
        <v>0.45300000000000001</v>
      </c>
      <c r="AJ23">
        <v>4.59</v>
      </c>
      <c r="AK23">
        <v>-4.59</v>
      </c>
      <c r="AL23">
        <v>-1E-3</v>
      </c>
      <c r="AM23">
        <v>-2.8620000000000001</v>
      </c>
      <c r="AN23">
        <v>-2.7210000000000001</v>
      </c>
      <c r="AO23">
        <v>-0.27500000000000002</v>
      </c>
      <c r="AP23">
        <v>-6.8000000000000005E-2</v>
      </c>
      <c r="AQ23">
        <v>0</v>
      </c>
      <c r="AR23">
        <v>0</v>
      </c>
      <c r="AS23">
        <v>4.7E-2</v>
      </c>
      <c r="AT23">
        <v>4.0000000000000001E-3</v>
      </c>
      <c r="AU23">
        <v>1E-3</v>
      </c>
      <c r="AV23">
        <v>7.0999999999999994E-2</v>
      </c>
      <c r="AW23">
        <v>0.13900000000000001</v>
      </c>
      <c r="AX23">
        <v>-0.17</v>
      </c>
      <c r="AY23">
        <v>-0.23300000000000001</v>
      </c>
      <c r="AZ23">
        <v>-4.2000000000000003E-2</v>
      </c>
      <c r="BA23">
        <v>-4.2000000000000003E-2</v>
      </c>
      <c r="BB23">
        <v>9.5000000000000001E-2</v>
      </c>
      <c r="BC23">
        <v>0</v>
      </c>
      <c r="BD23">
        <v>6.6000000000000003E-2</v>
      </c>
      <c r="BE23">
        <v>-1.4999999999999999E-2</v>
      </c>
      <c r="BF23">
        <v>0</v>
      </c>
      <c r="BG23">
        <v>0</v>
      </c>
      <c r="BH23">
        <v>0</v>
      </c>
      <c r="BI23">
        <v>-1.4999999999999999E-2</v>
      </c>
      <c r="BJ23">
        <v>1E-3</v>
      </c>
      <c r="BK23">
        <v>-0.17</v>
      </c>
      <c r="BL23">
        <v>2.4790000000000001</v>
      </c>
      <c r="BM23">
        <v>2.649</v>
      </c>
      <c r="BN23">
        <v>-0.28699999999999998</v>
      </c>
      <c r="BO23">
        <v>-0.34</v>
      </c>
      <c r="BP23">
        <v>-0.32800000000000001</v>
      </c>
      <c r="BQ23">
        <v>1.038</v>
      </c>
      <c r="BR23">
        <v>0</v>
      </c>
    </row>
    <row r="24" spans="1:70" x14ac:dyDescent="0.25">
      <c r="A24" s="1" t="s">
        <v>91</v>
      </c>
      <c r="B24">
        <v>1</v>
      </c>
      <c r="C24">
        <v>0.45700000000000002</v>
      </c>
      <c r="D24">
        <v>0.187</v>
      </c>
      <c r="E24">
        <v>0.32800000000000001</v>
      </c>
      <c r="F24">
        <v>0.51400000000000001</v>
      </c>
      <c r="G24">
        <v>0.123</v>
      </c>
      <c r="H24">
        <v>2E-3</v>
      </c>
      <c r="I24">
        <v>-0.35399999999999998</v>
      </c>
      <c r="J24">
        <v>6.6000000000000003E-2</v>
      </c>
      <c r="K24">
        <v>1.2E-2</v>
      </c>
      <c r="L24">
        <v>-0.108</v>
      </c>
      <c r="M24">
        <v>-0.29799999999999999</v>
      </c>
      <c r="N24">
        <v>0.56399999999999995</v>
      </c>
      <c r="O24">
        <v>0.56399999999999995</v>
      </c>
      <c r="P24">
        <v>2.1539999999999999</v>
      </c>
      <c r="Q24">
        <v>0</v>
      </c>
      <c r="R24">
        <v>2.1539999999999999</v>
      </c>
      <c r="S24">
        <v>0.44900000000000001</v>
      </c>
      <c r="T24">
        <v>0.248</v>
      </c>
      <c r="U24">
        <v>0.06</v>
      </c>
      <c r="V24">
        <v>2.911</v>
      </c>
      <c r="W24">
        <v>0.55200000000000005</v>
      </c>
      <c r="X24">
        <v>5.0999999999999997E-2</v>
      </c>
      <c r="Y24">
        <v>2.8000000000000001E-2</v>
      </c>
      <c r="Z24">
        <v>3.923</v>
      </c>
      <c r="AA24">
        <v>5.1550000000000002</v>
      </c>
      <c r="AB24">
        <v>8.0660000000000007</v>
      </c>
      <c r="AC24">
        <v>0.05</v>
      </c>
      <c r="AD24">
        <v>0</v>
      </c>
      <c r="AE24">
        <v>1.786</v>
      </c>
      <c r="AF24">
        <v>1.5249999999999999</v>
      </c>
      <c r="AG24">
        <v>2.8050000000000002</v>
      </c>
      <c r="AH24">
        <v>4.5910000000000002</v>
      </c>
      <c r="AI24">
        <v>0</v>
      </c>
      <c r="AJ24">
        <v>0</v>
      </c>
      <c r="AK24">
        <v>0</v>
      </c>
      <c r="AL24">
        <v>0</v>
      </c>
      <c r="AM24">
        <v>-3.4750000000000001</v>
      </c>
      <c r="AN24">
        <v>3.4740000000000002</v>
      </c>
      <c r="AO24">
        <v>-0.29499999999999998</v>
      </c>
      <c r="AP24">
        <v>2.7E-2</v>
      </c>
      <c r="AQ24">
        <v>8.9999999999999993E-3</v>
      </c>
      <c r="AR24">
        <v>-1.2E-2</v>
      </c>
      <c r="AS24">
        <v>3.6999999999999998E-2</v>
      </c>
      <c r="AT24">
        <v>8.0000000000000002E-3</v>
      </c>
      <c r="AU24">
        <v>-0.129</v>
      </c>
      <c r="AV24">
        <v>8.5000000000000006E-2</v>
      </c>
      <c r="AW24">
        <v>6.0999999999999999E-2</v>
      </c>
      <c r="AX24">
        <v>0.56999999999999995</v>
      </c>
      <c r="AY24">
        <v>-0.22900000000000001</v>
      </c>
      <c r="AZ24">
        <v>-6.6000000000000003E-2</v>
      </c>
      <c r="BA24">
        <v>-6.6000000000000003E-2</v>
      </c>
      <c r="BB24">
        <v>0</v>
      </c>
      <c r="BC24">
        <v>0</v>
      </c>
      <c r="BD24">
        <v>-5.1999999999999998E-2</v>
      </c>
      <c r="BE24">
        <v>-1.2E-2</v>
      </c>
      <c r="BF24">
        <v>0</v>
      </c>
      <c r="BG24">
        <v>0</v>
      </c>
      <c r="BH24">
        <v>0</v>
      </c>
      <c r="BI24">
        <v>0.83299999999999996</v>
      </c>
      <c r="BJ24">
        <v>5.0000000000000001E-3</v>
      </c>
      <c r="BK24">
        <v>0.56999999999999995</v>
      </c>
      <c r="BL24">
        <v>2.76</v>
      </c>
      <c r="BM24">
        <v>2.19</v>
      </c>
      <c r="BN24">
        <v>-0.317</v>
      </c>
      <c r="BO24">
        <v>-0.246</v>
      </c>
      <c r="BP24">
        <v>-0.38300000000000001</v>
      </c>
      <c r="BQ24">
        <v>1.125</v>
      </c>
      <c r="BR24">
        <v>0</v>
      </c>
    </row>
    <row r="25" spans="1:70" x14ac:dyDescent="0.25">
      <c r="A25" s="1" t="s">
        <v>92</v>
      </c>
      <c r="B25">
        <v>1</v>
      </c>
      <c r="C25">
        <v>0.48699999999999999</v>
      </c>
      <c r="D25">
        <v>0.156</v>
      </c>
      <c r="E25">
        <v>0.26700000000000002</v>
      </c>
      <c r="F25">
        <v>0.42299999999999999</v>
      </c>
      <c r="G25">
        <v>0.14699999999999999</v>
      </c>
      <c r="H25">
        <v>6.0000000000000001E-3</v>
      </c>
      <c r="I25">
        <v>-0.25900000000000001</v>
      </c>
      <c r="J25">
        <v>5.5E-2</v>
      </c>
      <c r="K25">
        <v>8.9999999999999993E-3</v>
      </c>
      <c r="L25">
        <v>0</v>
      </c>
      <c r="M25">
        <v>-0.33500000000000002</v>
      </c>
      <c r="N25">
        <v>0.57799999999999996</v>
      </c>
      <c r="O25">
        <v>0.57799999999999996</v>
      </c>
      <c r="AO25">
        <v>-0.191</v>
      </c>
      <c r="AP25">
        <v>-0.115</v>
      </c>
      <c r="AQ25">
        <v>-5.0000000000000001E-3</v>
      </c>
      <c r="AR25">
        <v>8.7999999999999995E-2</v>
      </c>
      <c r="AS25">
        <v>4.3999999999999997E-2</v>
      </c>
      <c r="AT25">
        <v>2.1999999999999999E-2</v>
      </c>
      <c r="AU25">
        <v>-1.7000000000000001E-2</v>
      </c>
      <c r="AV25">
        <v>5.1999999999999998E-2</v>
      </c>
      <c r="AW25">
        <v>8.4000000000000005E-2</v>
      </c>
      <c r="AX25">
        <v>-0.26100000000000001</v>
      </c>
      <c r="AY25">
        <v>-0.13900000000000001</v>
      </c>
      <c r="AZ25">
        <v>-5.1999999999999998E-2</v>
      </c>
      <c r="BA25">
        <v>-5.1999999999999998E-2</v>
      </c>
      <c r="BB25">
        <v>4.0000000000000001E-3</v>
      </c>
      <c r="BC25">
        <v>0</v>
      </c>
      <c r="BD25">
        <v>-2.5000000000000001E-2</v>
      </c>
      <c r="BE25">
        <v>-0.11</v>
      </c>
      <c r="BF25">
        <v>0</v>
      </c>
      <c r="BG25">
        <v>0</v>
      </c>
      <c r="BH25">
        <v>0</v>
      </c>
      <c r="BI25">
        <v>-0.106</v>
      </c>
      <c r="BJ25">
        <v>-1.0999999999999999E-2</v>
      </c>
      <c r="BK25">
        <v>-0.26100000000000001</v>
      </c>
      <c r="BL25">
        <v>2.2120000000000002</v>
      </c>
      <c r="BM25">
        <v>2.4729999999999999</v>
      </c>
      <c r="BN25">
        <v>-0.215</v>
      </c>
      <c r="BO25">
        <v>-0.26</v>
      </c>
      <c r="BP25">
        <v>-0.26700000000000002</v>
      </c>
    </row>
    <row r="26" spans="1:70" x14ac:dyDescent="0.25">
      <c r="A26" s="1" t="s">
        <v>93</v>
      </c>
      <c r="B26">
        <v>1</v>
      </c>
      <c r="C26">
        <v>0.51500000000000001</v>
      </c>
      <c r="D26">
        <v>0.23</v>
      </c>
      <c r="E26">
        <v>0.25800000000000001</v>
      </c>
      <c r="F26">
        <v>0.48899999999999999</v>
      </c>
      <c r="G26">
        <v>0.13200000000000001</v>
      </c>
      <c r="H26">
        <v>2.5999999999999999E-2</v>
      </c>
      <c r="I26">
        <v>-0.26700000000000002</v>
      </c>
      <c r="J26">
        <v>5.8000000000000003E-2</v>
      </c>
      <c r="K26">
        <v>8.9999999999999993E-3</v>
      </c>
      <c r="L26">
        <v>0.01</v>
      </c>
      <c r="M26">
        <v>-0.317</v>
      </c>
      <c r="N26">
        <v>0.61399999999999999</v>
      </c>
      <c r="O26">
        <v>0.61399999999999999</v>
      </c>
      <c r="AO26">
        <v>-9.8000000000000004E-2</v>
      </c>
      <c r="AP26">
        <v>-6.0000000000000001E-3</v>
      </c>
      <c r="AQ26">
        <v>5.0000000000000001E-3</v>
      </c>
      <c r="AR26">
        <v>5.1999999999999998E-2</v>
      </c>
      <c r="AS26">
        <v>3.5000000000000003E-2</v>
      </c>
      <c r="AT26">
        <v>7.0000000000000001E-3</v>
      </c>
      <c r="AU26">
        <v>-6.0000000000000001E-3</v>
      </c>
      <c r="AV26">
        <v>0.14299999999999999</v>
      </c>
      <c r="AW26">
        <v>9.1999999999999998E-2</v>
      </c>
      <c r="AX26">
        <v>0.36799999999999999</v>
      </c>
      <c r="AY26">
        <v>-5.5E-2</v>
      </c>
      <c r="AZ26">
        <v>-4.2999999999999997E-2</v>
      </c>
      <c r="BA26">
        <v>-4.2999999999999997E-2</v>
      </c>
      <c r="BB26">
        <v>-2.3E-2</v>
      </c>
      <c r="BC26">
        <v>0</v>
      </c>
      <c r="BD26">
        <v>-3.3000000000000002E-2</v>
      </c>
      <c r="BE26">
        <v>-0.05</v>
      </c>
      <c r="BF26">
        <v>0</v>
      </c>
      <c r="BG26">
        <v>-1E-3</v>
      </c>
      <c r="BH26">
        <v>0</v>
      </c>
      <c r="BI26">
        <v>0.49199999999999999</v>
      </c>
      <c r="BJ26">
        <v>-3.7999999999999999E-2</v>
      </c>
      <c r="BK26">
        <v>0.36799999999999999</v>
      </c>
      <c r="BL26">
        <v>2.63</v>
      </c>
      <c r="BM26">
        <v>2.262</v>
      </c>
      <c r="BN26">
        <v>-0.23200000000000001</v>
      </c>
      <c r="BO26">
        <v>-0.27700000000000002</v>
      </c>
      <c r="BP26">
        <v>-0.27500000000000002</v>
      </c>
    </row>
    <row r="27" spans="1:70" x14ac:dyDescent="0.25">
      <c r="A27" s="1" t="s">
        <v>94</v>
      </c>
      <c r="B27">
        <v>1</v>
      </c>
      <c r="C27">
        <v>0.55300000000000005</v>
      </c>
      <c r="D27">
        <v>0.16600000000000001</v>
      </c>
      <c r="E27">
        <v>0.26200000000000001</v>
      </c>
      <c r="F27">
        <v>0.42799999999999999</v>
      </c>
      <c r="G27">
        <v>0.13200000000000001</v>
      </c>
      <c r="H27">
        <v>0.05</v>
      </c>
      <c r="I27">
        <v>-0.185</v>
      </c>
      <c r="J27">
        <v>5.0999999999999997E-2</v>
      </c>
      <c r="K27">
        <v>7.0000000000000001E-3</v>
      </c>
      <c r="L27">
        <v>0.223</v>
      </c>
      <c r="M27">
        <v>1.45</v>
      </c>
      <c r="N27">
        <v>0.65800000000000003</v>
      </c>
      <c r="O27">
        <v>0.65800000000000003</v>
      </c>
      <c r="AO27">
        <v>-0.15</v>
      </c>
      <c r="AP27">
        <v>-2E-3</v>
      </c>
      <c r="AQ27">
        <v>-2.5999999999999999E-2</v>
      </c>
      <c r="AR27">
        <v>-3.9E-2</v>
      </c>
      <c r="AS27">
        <v>3.4000000000000002E-2</v>
      </c>
      <c r="AT27">
        <v>2.4E-2</v>
      </c>
      <c r="AU27">
        <v>0.188</v>
      </c>
      <c r="AV27">
        <v>3.4000000000000002E-2</v>
      </c>
      <c r="AW27">
        <v>0.10100000000000001</v>
      </c>
      <c r="AX27">
        <v>0.16800000000000001</v>
      </c>
      <c r="AY27">
        <v>-0.115</v>
      </c>
      <c r="AZ27">
        <v>-3.5000000000000003E-2</v>
      </c>
      <c r="BA27">
        <v>-3.5000000000000003E-2</v>
      </c>
      <c r="BB27">
        <v>-0.16400000000000001</v>
      </c>
      <c r="BC27">
        <v>0</v>
      </c>
      <c r="BD27">
        <v>-0.14499999999999999</v>
      </c>
      <c r="BE27">
        <v>-3.7999999999999999E-2</v>
      </c>
      <c r="BF27">
        <v>0</v>
      </c>
      <c r="BG27">
        <v>-3.0000000000000001E-3</v>
      </c>
      <c r="BH27">
        <v>0</v>
      </c>
      <c r="BI27">
        <v>0.43099999999999999</v>
      </c>
      <c r="BJ27">
        <v>1E-3</v>
      </c>
      <c r="BK27">
        <v>0.16800000000000001</v>
      </c>
      <c r="BL27">
        <v>2.423</v>
      </c>
      <c r="BM27">
        <v>2.2549999999999999</v>
      </c>
      <c r="BN27">
        <v>-0.151</v>
      </c>
      <c r="BO27">
        <v>-0.40799999999999997</v>
      </c>
      <c r="BP27">
        <v>-0.186</v>
      </c>
    </row>
    <row r="28" spans="1:70" x14ac:dyDescent="0.25">
      <c r="A28" s="1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28"/>
  <sheetViews>
    <sheetView workbookViewId="0"/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>
        <v>5.6000000000000001E-2</v>
      </c>
      <c r="C2">
        <v>-0.153</v>
      </c>
      <c r="D2">
        <v>-0.433</v>
      </c>
      <c r="E2">
        <v>0.216</v>
      </c>
      <c r="F2">
        <v>-0.222</v>
      </c>
      <c r="G2">
        <v>-3.7999999999999999E-2</v>
      </c>
      <c r="H2">
        <v>-1.125</v>
      </c>
      <c r="I2">
        <v>4.4770000000000003</v>
      </c>
      <c r="J2">
        <v>0.121</v>
      </c>
      <c r="K2">
        <v>0.107</v>
      </c>
      <c r="L2">
        <v>0.96599999999999997</v>
      </c>
      <c r="M2">
        <v>-2.552</v>
      </c>
      <c r="N2">
        <v>7.0000000000000001E-3</v>
      </c>
      <c r="O2">
        <v>3.4000000000000002E-2</v>
      </c>
      <c r="P2">
        <v>-9.5000000000000001E-2</v>
      </c>
      <c r="Q2">
        <v>1.413</v>
      </c>
      <c r="R2">
        <v>7.5999999999999998E-2</v>
      </c>
      <c r="S2">
        <v>0.17899999999999999</v>
      </c>
      <c r="U2">
        <v>-0.41899999999999998</v>
      </c>
      <c r="V2">
        <v>3.4000000000000002E-2</v>
      </c>
      <c r="W2">
        <v>-0.01</v>
      </c>
      <c r="X2">
        <v>-1E-3</v>
      </c>
      <c r="Y2">
        <v>-5.1999999999999998E-2</v>
      </c>
      <c r="Z2">
        <v>0.122</v>
      </c>
      <c r="AA2">
        <v>5.5E-2</v>
      </c>
      <c r="AB2">
        <v>4.8000000000000001E-2</v>
      </c>
      <c r="AC2">
        <v>-9.7000000000000003E-2</v>
      </c>
      <c r="AD2">
        <v>0.90800000000000003</v>
      </c>
      <c r="AE2">
        <v>3.3000000000000002E-2</v>
      </c>
      <c r="AF2">
        <v>0</v>
      </c>
      <c r="AG2">
        <v>1.7999999999999999E-2</v>
      </c>
      <c r="AH2">
        <v>2.3E-2</v>
      </c>
      <c r="AI2">
        <v>-1.7999999999999999E-2</v>
      </c>
      <c r="AL2">
        <v>-6.0000000000000001E-3</v>
      </c>
      <c r="AM2">
        <v>-3.2000000000000001E-2</v>
      </c>
      <c r="AN2">
        <v>0.10299999999999999</v>
      </c>
      <c r="AO2">
        <v>0.216</v>
      </c>
      <c r="AP2">
        <v>-0.61599999999999999</v>
      </c>
      <c r="AQ2">
        <v>-2.5219999999999998</v>
      </c>
      <c r="AS2">
        <v>-4.7E-2</v>
      </c>
      <c r="AT2">
        <v>-0.06</v>
      </c>
      <c r="AU2">
        <v>-0.56200000000000006</v>
      </c>
      <c r="AV2">
        <v>-0.184</v>
      </c>
      <c r="AW2">
        <v>-0.25800000000000001</v>
      </c>
      <c r="AX2">
        <v>-2.62</v>
      </c>
      <c r="AY2">
        <v>0.23599999999999999</v>
      </c>
      <c r="AZ2">
        <v>0.73699999999999999</v>
      </c>
      <c r="BA2">
        <v>0.73699999999999999</v>
      </c>
      <c r="BB2">
        <v>-0.111</v>
      </c>
      <c r="BC2">
        <v>0.51900000000000002</v>
      </c>
      <c r="BD2">
        <v>5.9260000000000002</v>
      </c>
      <c r="BE2">
        <v>-0.59599999999999997</v>
      </c>
      <c r="BF2" t="s">
        <v>96</v>
      </c>
      <c r="BG2" t="s">
        <v>97</v>
      </c>
      <c r="BI2">
        <v>0.224</v>
      </c>
      <c r="BJ2">
        <v>-0.40400000000000003</v>
      </c>
      <c r="BK2">
        <v>-2.62</v>
      </c>
      <c r="BL2">
        <v>-9.5000000000000001E-2</v>
      </c>
      <c r="BM2">
        <v>6.2E-2</v>
      </c>
      <c r="BN2">
        <v>2.1019999999999999</v>
      </c>
      <c r="BO2">
        <v>5.1890000000000001</v>
      </c>
      <c r="BP2">
        <v>2.3570000000000002</v>
      </c>
      <c r="BQ2">
        <v>0.04</v>
      </c>
      <c r="BR2">
        <v>1E-3</v>
      </c>
    </row>
    <row r="3" spans="1:70" x14ac:dyDescent="0.25">
      <c r="A3" s="1" t="s">
        <v>70</v>
      </c>
      <c r="B3">
        <v>0.02</v>
      </c>
      <c r="C3">
        <v>2.1999999999999999E-2</v>
      </c>
      <c r="D3">
        <v>1.0049999999999999</v>
      </c>
      <c r="E3">
        <v>-1.9E-2</v>
      </c>
      <c r="F3">
        <v>0.38200000000000001</v>
      </c>
      <c r="G3">
        <v>8.0000000000000002E-3</v>
      </c>
      <c r="H3">
        <v>-2.3330000000000002</v>
      </c>
      <c r="I3">
        <v>-0.73599999999999999</v>
      </c>
      <c r="J3">
        <v>-0.2</v>
      </c>
      <c r="K3">
        <v>-6.0000000000000001E-3</v>
      </c>
      <c r="L3">
        <v>-0.78200000000000003</v>
      </c>
      <c r="M3">
        <v>-1.458</v>
      </c>
      <c r="N3">
        <v>8.9999999999999993E-3</v>
      </c>
      <c r="O3">
        <v>-0.02</v>
      </c>
      <c r="P3">
        <v>6.2E-2</v>
      </c>
      <c r="Q3">
        <v>2.3E-2</v>
      </c>
      <c r="R3">
        <v>5.8000000000000003E-2</v>
      </c>
      <c r="S3">
        <v>-0.1</v>
      </c>
      <c r="U3">
        <v>0.86199999999999999</v>
      </c>
      <c r="V3">
        <v>6.9000000000000006E-2</v>
      </c>
      <c r="W3">
        <v>-0.02</v>
      </c>
      <c r="X3">
        <v>-8.0000000000000002E-3</v>
      </c>
      <c r="Y3">
        <v>-6.3E-2</v>
      </c>
      <c r="Z3">
        <v>-7.0000000000000001E-3</v>
      </c>
      <c r="AA3">
        <v>4.0000000000000001E-3</v>
      </c>
      <c r="AB3">
        <v>2.3E-2</v>
      </c>
      <c r="AC3">
        <v>5.3999999999999999E-2</v>
      </c>
      <c r="AD3">
        <v>-0.63100000000000001</v>
      </c>
      <c r="AE3">
        <v>5.7000000000000002E-2</v>
      </c>
      <c r="AF3">
        <v>0</v>
      </c>
      <c r="AG3">
        <v>3.3000000000000002E-2</v>
      </c>
      <c r="AH3">
        <v>4.2000000000000003E-2</v>
      </c>
      <c r="AI3">
        <v>-0.188</v>
      </c>
      <c r="AL3">
        <v>6.0000000000000001E-3</v>
      </c>
      <c r="AM3">
        <v>2.1000000000000001E-2</v>
      </c>
      <c r="AN3">
        <v>-1.4E-2</v>
      </c>
      <c r="AO3">
        <v>0.84199999999999997</v>
      </c>
      <c r="AP3">
        <v>6.8000000000000005E-2</v>
      </c>
      <c r="AQ3">
        <v>-3.0910000000000002</v>
      </c>
      <c r="AR3">
        <v>-1</v>
      </c>
      <c r="AS3">
        <v>-6.4000000000000001E-2</v>
      </c>
      <c r="AT3">
        <v>3.2000000000000001E-2</v>
      </c>
      <c r="AU3">
        <v>1.667</v>
      </c>
      <c r="AV3">
        <v>-2.9060000000000001</v>
      </c>
      <c r="AW3">
        <v>10.709</v>
      </c>
      <c r="AX3">
        <v>0.67600000000000005</v>
      </c>
      <c r="AY3">
        <v>0.78900000000000003</v>
      </c>
      <c r="AZ3">
        <v>3.5999999999999997E-2</v>
      </c>
      <c r="BA3">
        <v>3.5999999999999997E-2</v>
      </c>
      <c r="BB3">
        <v>-1.012</v>
      </c>
      <c r="BC3">
        <v>-0.22800000000000001</v>
      </c>
      <c r="BD3">
        <v>-0.70499999999999996</v>
      </c>
      <c r="BE3">
        <v>-0.16800000000000001</v>
      </c>
      <c r="BF3">
        <v>-1</v>
      </c>
      <c r="BG3">
        <v>-1</v>
      </c>
      <c r="BI3">
        <v>-4.391</v>
      </c>
      <c r="BJ3">
        <v>-2.056</v>
      </c>
      <c r="BK3">
        <v>0.67600000000000005</v>
      </c>
      <c r="BL3">
        <v>6.2E-2</v>
      </c>
      <c r="BM3">
        <v>3.9E-2</v>
      </c>
      <c r="BN3">
        <v>-0.57699999999999996</v>
      </c>
      <c r="BO3">
        <v>-0.72399999999999998</v>
      </c>
      <c r="BP3">
        <v>-0.61899999999999999</v>
      </c>
      <c r="BQ3">
        <v>0.129</v>
      </c>
      <c r="BR3">
        <v>1.0999999999999999E-2</v>
      </c>
    </row>
    <row r="4" spans="1:70" x14ac:dyDescent="0.25">
      <c r="A4" s="1" t="s">
        <v>71</v>
      </c>
      <c r="B4">
        <v>6.9000000000000006E-2</v>
      </c>
      <c r="C4">
        <v>5.8000000000000003E-2</v>
      </c>
      <c r="D4">
        <v>-6.7000000000000004E-2</v>
      </c>
      <c r="E4">
        <v>-6.0000000000000001E-3</v>
      </c>
      <c r="F4">
        <v>-3.1E-2</v>
      </c>
      <c r="G4">
        <v>-1.6E-2</v>
      </c>
      <c r="H4">
        <v>-7</v>
      </c>
      <c r="I4">
        <v>0.65500000000000003</v>
      </c>
      <c r="J4">
        <v>-6.6000000000000003E-2</v>
      </c>
      <c r="K4">
        <v>0.23100000000000001</v>
      </c>
      <c r="L4">
        <v>-4.3250000000000002</v>
      </c>
      <c r="M4">
        <v>5.4660000000000002</v>
      </c>
      <c r="N4">
        <v>8.0000000000000002E-3</v>
      </c>
      <c r="O4">
        <v>6.0000000000000001E-3</v>
      </c>
      <c r="P4">
        <v>0.23300000000000001</v>
      </c>
      <c r="Q4">
        <v>3.0000000000000001E-3</v>
      </c>
      <c r="R4">
        <v>0.20100000000000001</v>
      </c>
      <c r="S4">
        <v>0.374</v>
      </c>
      <c r="T4">
        <v>-1</v>
      </c>
      <c r="U4">
        <v>-0.42399999999999999</v>
      </c>
      <c r="V4">
        <v>5.8000000000000003E-2</v>
      </c>
      <c r="W4">
        <v>-1.2999999999999999E-2</v>
      </c>
      <c r="X4">
        <v>1E-3</v>
      </c>
      <c r="Y4">
        <v>-5.7000000000000002E-2</v>
      </c>
      <c r="Z4">
        <v>1.53</v>
      </c>
      <c r="AA4">
        <v>8.4000000000000005E-2</v>
      </c>
      <c r="AB4">
        <v>7.5999999999999998E-2</v>
      </c>
      <c r="AC4">
        <v>-1.0999999999999999E-2</v>
      </c>
      <c r="AD4">
        <v>1.8680000000000001</v>
      </c>
      <c r="AE4">
        <v>5.0000000000000001E-3</v>
      </c>
      <c r="AF4">
        <v>-0.126</v>
      </c>
      <c r="AG4">
        <v>3.4000000000000002E-2</v>
      </c>
      <c r="AH4">
        <v>2.3E-2</v>
      </c>
      <c r="AI4">
        <v>7.5999999999999998E-2</v>
      </c>
      <c r="AL4">
        <v>0.23400000000000001</v>
      </c>
      <c r="AM4">
        <v>-5.2999999999999999E-2</v>
      </c>
      <c r="AN4">
        <v>0.20599999999999999</v>
      </c>
      <c r="AO4">
        <v>-0.151</v>
      </c>
      <c r="AP4">
        <v>-0.23699999999999999</v>
      </c>
      <c r="AQ4">
        <v>-1.196</v>
      </c>
      <c r="AR4">
        <v>-2.9860000000000002</v>
      </c>
      <c r="AS4">
        <v>-0.01</v>
      </c>
      <c r="AT4">
        <v>-4.7E-2</v>
      </c>
      <c r="AU4">
        <v>-1.375</v>
      </c>
      <c r="AV4">
        <v>1.929</v>
      </c>
      <c r="AW4">
        <v>-0.82799999999999996</v>
      </c>
      <c r="AX4">
        <v>-1.1279999999999999</v>
      </c>
      <c r="AY4">
        <v>-0.14799999999999999</v>
      </c>
      <c r="AZ4">
        <v>-9.8000000000000004E-2</v>
      </c>
      <c r="BA4">
        <v>-9.8000000000000004E-2</v>
      </c>
      <c r="BB4">
        <v>-41.055999999999997</v>
      </c>
      <c r="BC4">
        <v>-0.23799999999999999</v>
      </c>
      <c r="BD4">
        <v>-0.66100000000000003</v>
      </c>
      <c r="BE4">
        <v>0.86599999999999999</v>
      </c>
      <c r="BF4" t="s">
        <v>96</v>
      </c>
      <c r="BG4" t="s">
        <v>96</v>
      </c>
      <c r="BI4">
        <v>-1.605</v>
      </c>
      <c r="BJ4">
        <v>-2.29</v>
      </c>
      <c r="BK4">
        <v>-1.1279999999999999</v>
      </c>
      <c r="BL4">
        <v>-0.20100000000000001</v>
      </c>
      <c r="BM4">
        <v>-0.376</v>
      </c>
      <c r="BN4">
        <v>0.42699999999999999</v>
      </c>
      <c r="BO4">
        <v>0.19600000000000001</v>
      </c>
      <c r="BP4">
        <v>0.48699999999999999</v>
      </c>
      <c r="BQ4">
        <v>0.44700000000000001</v>
      </c>
      <c r="BR4">
        <v>5.1999999999999998E-2</v>
      </c>
    </row>
    <row r="5" spans="1:70" x14ac:dyDescent="0.25">
      <c r="A5" s="1" t="s">
        <v>72</v>
      </c>
      <c r="B5">
        <v>7.0000000000000001E-3</v>
      </c>
      <c r="C5">
        <v>-1.2999999999999999E-2</v>
      </c>
      <c r="D5">
        <v>0.316</v>
      </c>
      <c r="E5">
        <v>-0.22700000000000001</v>
      </c>
      <c r="F5">
        <v>-7.0999999999999994E-2</v>
      </c>
      <c r="G5">
        <v>-1.4E-2</v>
      </c>
      <c r="H5">
        <v>-1.0409999999999999</v>
      </c>
      <c r="I5">
        <v>0.20899999999999999</v>
      </c>
      <c r="J5">
        <v>0.153</v>
      </c>
      <c r="K5">
        <v>0.215</v>
      </c>
      <c r="L5">
        <v>-1.615</v>
      </c>
      <c r="M5">
        <v>-0.439</v>
      </c>
      <c r="N5">
        <v>8.9999999999999993E-3</v>
      </c>
      <c r="O5">
        <v>1.4E-2</v>
      </c>
      <c r="P5">
        <v>-0.11</v>
      </c>
      <c r="Q5">
        <v>0.34799999999999998</v>
      </c>
      <c r="R5">
        <v>-6.5000000000000002E-2</v>
      </c>
      <c r="S5">
        <v>0.16500000000000001</v>
      </c>
      <c r="T5">
        <v>-8.4000000000000005E-2</v>
      </c>
      <c r="U5">
        <v>1.6E-2</v>
      </c>
      <c r="V5">
        <v>1E-3</v>
      </c>
      <c r="W5">
        <v>-1.4999999999999999E-2</v>
      </c>
      <c r="X5">
        <v>-1E-3</v>
      </c>
      <c r="Y5">
        <v>-0.06</v>
      </c>
      <c r="Z5">
        <v>-5.0000000000000001E-3</v>
      </c>
      <c r="AA5">
        <v>0.08</v>
      </c>
      <c r="AB5">
        <v>5.5E-2</v>
      </c>
      <c r="AC5">
        <v>0.151</v>
      </c>
      <c r="AD5">
        <v>-2.8000000000000001E-2</v>
      </c>
      <c r="AE5">
        <v>8.8999999999999996E-2</v>
      </c>
      <c r="AF5">
        <v>-3.0000000000000001E-3</v>
      </c>
      <c r="AG5">
        <v>2.7E-2</v>
      </c>
      <c r="AH5">
        <v>4.9000000000000002E-2</v>
      </c>
      <c r="AI5">
        <v>-2.1000000000000001E-2</v>
      </c>
      <c r="AL5">
        <v>-3.0000000000000001E-3</v>
      </c>
      <c r="AM5">
        <v>-7.0000000000000001E-3</v>
      </c>
      <c r="AN5">
        <v>7.0000000000000007E-2</v>
      </c>
      <c r="AO5">
        <v>-0.20599999999999999</v>
      </c>
      <c r="AP5">
        <v>38.845999999999997</v>
      </c>
      <c r="AQ5">
        <v>-6.8949999999999996</v>
      </c>
      <c r="AR5">
        <v>1.4999999999999999E-2</v>
      </c>
      <c r="AS5">
        <v>-1.4E-2</v>
      </c>
      <c r="AT5">
        <v>-2.4E-2</v>
      </c>
      <c r="AU5">
        <v>1.667</v>
      </c>
      <c r="AV5">
        <v>-1.3220000000000001</v>
      </c>
      <c r="AW5">
        <v>-0.14799999999999999</v>
      </c>
      <c r="AX5">
        <v>-1.9570000000000001</v>
      </c>
      <c r="AY5">
        <v>-0.188</v>
      </c>
      <c r="AZ5">
        <v>0.22</v>
      </c>
      <c r="BA5">
        <v>0.22</v>
      </c>
      <c r="BB5">
        <v>-0.97399999999999998</v>
      </c>
      <c r="BC5">
        <v>1.752</v>
      </c>
      <c r="BD5">
        <v>-6.9219999999999997</v>
      </c>
      <c r="BE5">
        <v>0.36699999999999999</v>
      </c>
      <c r="BF5">
        <v>-1</v>
      </c>
      <c r="BI5">
        <v>-2.81</v>
      </c>
      <c r="BJ5">
        <v>-3.556</v>
      </c>
      <c r="BK5">
        <v>-1.9570000000000001</v>
      </c>
      <c r="BL5">
        <v>-0.189</v>
      </c>
      <c r="BM5">
        <v>0.245</v>
      </c>
      <c r="BN5">
        <v>0.122</v>
      </c>
      <c r="BO5">
        <v>0.66300000000000003</v>
      </c>
      <c r="BP5">
        <v>0.112</v>
      </c>
      <c r="BQ5">
        <v>-0.372</v>
      </c>
      <c r="BR5">
        <v>-8.1000000000000003E-2</v>
      </c>
    </row>
    <row r="6" spans="1:70" x14ac:dyDescent="0.25">
      <c r="A6" s="1" t="s">
        <v>73</v>
      </c>
      <c r="B6">
        <v>4.5999999999999999E-2</v>
      </c>
      <c r="C6">
        <v>4.2000000000000003E-2</v>
      </c>
      <c r="D6">
        <v>-0.47899999999999998</v>
      </c>
      <c r="E6">
        <v>-3.5000000000000003E-2</v>
      </c>
      <c r="F6">
        <v>-0.22500000000000001</v>
      </c>
      <c r="G6">
        <v>4.2999999999999997E-2</v>
      </c>
      <c r="H6">
        <v>6</v>
      </c>
      <c r="I6">
        <v>-2.2440000000000002</v>
      </c>
      <c r="J6">
        <v>-0.14299999999999999</v>
      </c>
      <c r="K6">
        <v>0.23</v>
      </c>
      <c r="L6">
        <v>0.182</v>
      </c>
      <c r="M6">
        <v>-3.51</v>
      </c>
      <c r="N6">
        <v>8.9999999999999993E-3</v>
      </c>
      <c r="O6">
        <v>3.5000000000000003E-2</v>
      </c>
      <c r="P6">
        <v>0.23499999999999999</v>
      </c>
      <c r="Q6">
        <v>3.4460000000000002</v>
      </c>
      <c r="R6">
        <v>0.32800000000000001</v>
      </c>
      <c r="S6">
        <v>2E-3</v>
      </c>
      <c r="T6">
        <v>1.2999999999999999E-2</v>
      </c>
      <c r="U6">
        <v>5.3999999999999999E-2</v>
      </c>
      <c r="V6">
        <v>0.16</v>
      </c>
      <c r="W6">
        <v>-1.9E-2</v>
      </c>
      <c r="X6">
        <v>-4.0000000000000001E-3</v>
      </c>
      <c r="Y6">
        <v>-0.09</v>
      </c>
      <c r="Z6">
        <v>-5.2999999999999999E-2</v>
      </c>
      <c r="AA6">
        <v>6.0000000000000001E-3</v>
      </c>
      <c r="AB6">
        <v>0.05</v>
      </c>
      <c r="AC6">
        <v>-2.5000000000000001E-2</v>
      </c>
      <c r="AD6">
        <v>-7.2999999999999995E-2</v>
      </c>
      <c r="AE6">
        <v>-6.0000000000000001E-3</v>
      </c>
      <c r="AF6">
        <v>-3.0000000000000001E-3</v>
      </c>
      <c r="AG6">
        <v>3.4000000000000002E-2</v>
      </c>
      <c r="AH6">
        <v>1.9E-2</v>
      </c>
      <c r="AI6">
        <v>-2.5000000000000001E-2</v>
      </c>
      <c r="AL6">
        <v>0</v>
      </c>
      <c r="AM6">
        <v>-1.2E-2</v>
      </c>
      <c r="AN6">
        <v>0.13300000000000001</v>
      </c>
      <c r="AO6">
        <v>1.077</v>
      </c>
      <c r="AP6">
        <v>-1.077</v>
      </c>
      <c r="AQ6">
        <v>1.714</v>
      </c>
      <c r="AR6" t="s">
        <v>97</v>
      </c>
      <c r="AS6">
        <v>5.0000000000000001E-3</v>
      </c>
      <c r="AT6">
        <v>7.1999999999999995E-2</v>
      </c>
      <c r="AU6">
        <v>-0.4</v>
      </c>
      <c r="AV6">
        <v>0.36</v>
      </c>
      <c r="AW6">
        <v>5.0620000000000003</v>
      </c>
      <c r="AX6">
        <v>13.371</v>
      </c>
      <c r="AY6">
        <v>0.96399999999999997</v>
      </c>
      <c r="AZ6">
        <v>-0.123</v>
      </c>
      <c r="BA6">
        <v>-0.123</v>
      </c>
      <c r="BB6" t="s">
        <v>96</v>
      </c>
      <c r="BC6">
        <v>0.60899999999999999</v>
      </c>
      <c r="BD6">
        <v>-2.0230000000000001</v>
      </c>
      <c r="BE6">
        <v>-0.125</v>
      </c>
      <c r="BF6" t="s">
        <v>96</v>
      </c>
      <c r="BI6">
        <v>-1.393</v>
      </c>
      <c r="BJ6">
        <v>0.68799999999999994</v>
      </c>
      <c r="BK6">
        <v>13.371</v>
      </c>
      <c r="BL6">
        <v>0.245</v>
      </c>
      <c r="BM6">
        <v>1.7000000000000001E-2</v>
      </c>
      <c r="BN6">
        <v>-10.709</v>
      </c>
      <c r="BO6">
        <v>-1.823</v>
      </c>
      <c r="BP6">
        <v>-5.3209999999999997</v>
      </c>
      <c r="BQ6">
        <v>2.9550000000000001</v>
      </c>
      <c r="BR6">
        <v>0.16600000000000001</v>
      </c>
    </row>
    <row r="7" spans="1:70" x14ac:dyDescent="0.25">
      <c r="A7" s="1" t="s">
        <v>74</v>
      </c>
      <c r="B7">
        <v>2.5000000000000001E-2</v>
      </c>
      <c r="C7">
        <v>0.08</v>
      </c>
      <c r="D7">
        <v>0.26400000000000001</v>
      </c>
      <c r="E7">
        <v>0.125</v>
      </c>
      <c r="F7">
        <v>0.18099999999999999</v>
      </c>
      <c r="G7">
        <v>3.6999999999999998E-2</v>
      </c>
      <c r="H7">
        <v>-1.0249999999999999</v>
      </c>
      <c r="I7">
        <v>2.91</v>
      </c>
      <c r="J7">
        <v>0.113</v>
      </c>
      <c r="K7">
        <v>0.192</v>
      </c>
      <c r="L7">
        <v>-1.655</v>
      </c>
      <c r="M7">
        <v>-1.264</v>
      </c>
      <c r="N7">
        <v>7.0000000000000001E-3</v>
      </c>
      <c r="O7">
        <v>-2.5000000000000001E-2</v>
      </c>
      <c r="P7">
        <v>-3.9E-2</v>
      </c>
      <c r="Q7">
        <v>0.17499999999999999</v>
      </c>
      <c r="R7">
        <v>-3.4000000000000002E-2</v>
      </c>
      <c r="S7">
        <v>-7.4999999999999997E-2</v>
      </c>
      <c r="T7">
        <v>0.31900000000000001</v>
      </c>
      <c r="U7">
        <v>5.6000000000000001E-2</v>
      </c>
      <c r="V7">
        <v>-6.0000000000000001E-3</v>
      </c>
      <c r="W7">
        <v>-1.4999999999999999E-2</v>
      </c>
      <c r="X7">
        <v>-8.9999999999999993E-3</v>
      </c>
      <c r="Y7">
        <v>-5.8000000000000003E-2</v>
      </c>
      <c r="Z7">
        <v>3.5000000000000003E-2</v>
      </c>
      <c r="AA7">
        <v>1.7000000000000001E-2</v>
      </c>
      <c r="AB7">
        <v>1.0999999999999999E-2</v>
      </c>
      <c r="AC7">
        <v>-2.1999999999999999E-2</v>
      </c>
      <c r="AD7">
        <v>-0.04</v>
      </c>
      <c r="AE7">
        <v>-1.9E-2</v>
      </c>
      <c r="AF7">
        <v>-5.0000000000000001E-3</v>
      </c>
      <c r="AG7">
        <v>2.3E-2</v>
      </c>
      <c r="AH7">
        <v>7.0000000000000001E-3</v>
      </c>
      <c r="AI7">
        <v>-2.8000000000000001E-2</v>
      </c>
      <c r="AL7">
        <v>0</v>
      </c>
      <c r="AM7">
        <v>5.0000000000000001E-3</v>
      </c>
      <c r="AN7">
        <v>0.02</v>
      </c>
      <c r="AO7">
        <v>-2.8119999999999998</v>
      </c>
      <c r="AP7">
        <v>-1.52</v>
      </c>
      <c r="AQ7">
        <v>-0.86799999999999999</v>
      </c>
      <c r="AS7">
        <v>-7.1999999999999995E-2</v>
      </c>
      <c r="AT7">
        <v>-2.5000000000000001E-2</v>
      </c>
      <c r="AU7">
        <v>-1.0529999999999999</v>
      </c>
      <c r="AV7">
        <v>-1.389</v>
      </c>
      <c r="AW7">
        <v>-1.337</v>
      </c>
      <c r="AX7">
        <v>-1.0589999999999999</v>
      </c>
      <c r="AY7">
        <v>-3.484</v>
      </c>
      <c r="AZ7">
        <v>-3.4000000000000002E-2</v>
      </c>
      <c r="BA7">
        <v>-3.4000000000000002E-2</v>
      </c>
      <c r="BB7">
        <v>-1</v>
      </c>
      <c r="BC7">
        <v>-0.505</v>
      </c>
      <c r="BD7">
        <v>-0.77400000000000002</v>
      </c>
      <c r="BE7">
        <v>-0.52100000000000002</v>
      </c>
      <c r="BF7">
        <v>-1</v>
      </c>
      <c r="BI7">
        <v>0.20200000000000001</v>
      </c>
      <c r="BJ7">
        <v>-0.89</v>
      </c>
      <c r="BK7">
        <v>-1.0589999999999999</v>
      </c>
      <c r="BL7">
        <v>1.7000000000000001E-2</v>
      </c>
      <c r="BM7">
        <v>-0.22700000000000001</v>
      </c>
      <c r="BN7">
        <v>-1.353</v>
      </c>
      <c r="BO7">
        <v>-19.646999999999998</v>
      </c>
      <c r="BP7">
        <v>-2.1549999999999998</v>
      </c>
      <c r="BQ7">
        <v>0.29499999999999998</v>
      </c>
      <c r="BR7">
        <v>1.4E-2</v>
      </c>
    </row>
    <row r="8" spans="1:70" x14ac:dyDescent="0.25">
      <c r="A8" s="1" t="s">
        <v>75</v>
      </c>
      <c r="B8">
        <v>3.2000000000000001E-2</v>
      </c>
      <c r="C8">
        <v>4.1000000000000002E-2</v>
      </c>
      <c r="D8">
        <v>-0.18</v>
      </c>
      <c r="E8">
        <v>-2.7E-2</v>
      </c>
      <c r="F8">
        <v>-9.4E-2</v>
      </c>
      <c r="G8">
        <v>-1.7000000000000001E-2</v>
      </c>
      <c r="H8">
        <v>827</v>
      </c>
      <c r="I8">
        <v>-0.86499999999999999</v>
      </c>
      <c r="J8">
        <v>3.4000000000000002E-2</v>
      </c>
      <c r="K8">
        <v>0.92100000000000004</v>
      </c>
      <c r="L8">
        <v>-2.448</v>
      </c>
      <c r="M8">
        <v>-1.4930000000000001</v>
      </c>
      <c r="N8">
        <v>8.0000000000000002E-3</v>
      </c>
      <c r="O8">
        <v>4.1000000000000002E-2</v>
      </c>
      <c r="P8">
        <v>-0.13500000000000001</v>
      </c>
      <c r="Q8" t="s">
        <v>96</v>
      </c>
      <c r="R8">
        <v>-0.114</v>
      </c>
      <c r="S8">
        <v>0.126</v>
      </c>
      <c r="T8">
        <v>0.14699999999999999</v>
      </c>
      <c r="U8">
        <v>2.5999999999999999E-2</v>
      </c>
      <c r="V8">
        <v>-1.2999999999999999E-2</v>
      </c>
      <c r="W8">
        <v>5.5E-2</v>
      </c>
      <c r="X8">
        <v>-4.0000000000000001E-3</v>
      </c>
      <c r="Y8">
        <v>-5.8999999999999997E-2</v>
      </c>
      <c r="Z8">
        <v>0.16</v>
      </c>
      <c r="AA8">
        <v>5.0999999999999997E-2</v>
      </c>
      <c r="AB8">
        <v>3.2000000000000001E-2</v>
      </c>
      <c r="AC8">
        <v>-5.8999999999999997E-2</v>
      </c>
      <c r="AD8">
        <v>6.3E-2</v>
      </c>
      <c r="AE8">
        <v>-1.9E-2</v>
      </c>
      <c r="AF8">
        <v>4.0000000000000001E-3</v>
      </c>
      <c r="AG8">
        <v>4.0000000000000001E-3</v>
      </c>
      <c r="AH8">
        <v>-5.0000000000000001E-3</v>
      </c>
      <c r="AI8">
        <v>3.3000000000000002E-2</v>
      </c>
      <c r="AL8">
        <v>0.01</v>
      </c>
      <c r="AM8">
        <v>-1.7999999999999999E-2</v>
      </c>
      <c r="AN8">
        <v>0.14899999999999999</v>
      </c>
      <c r="AO8">
        <v>-1.8460000000000001</v>
      </c>
      <c r="AP8">
        <v>2.589</v>
      </c>
      <c r="AQ8">
        <v>0.51400000000000001</v>
      </c>
      <c r="AS8">
        <v>-1.7999999999999999E-2</v>
      </c>
      <c r="AT8">
        <v>0</v>
      </c>
      <c r="AU8">
        <v>-12.875</v>
      </c>
      <c r="AV8">
        <v>-2.8039999999999998</v>
      </c>
      <c r="AW8">
        <v>-2.8109999999999999</v>
      </c>
      <c r="AX8">
        <v>-3.5419999999999998</v>
      </c>
      <c r="AY8">
        <v>-1.5649999999999999</v>
      </c>
      <c r="AZ8">
        <v>-0.20300000000000001</v>
      </c>
      <c r="BA8">
        <v>-0.20300000000000001</v>
      </c>
      <c r="BB8">
        <v>-2</v>
      </c>
      <c r="BC8" t="s">
        <v>97</v>
      </c>
      <c r="BD8">
        <v>-6.5110000000000001</v>
      </c>
      <c r="BE8">
        <v>2</v>
      </c>
      <c r="BF8">
        <v>-0.871</v>
      </c>
      <c r="BI8">
        <v>-1.42</v>
      </c>
      <c r="BJ8">
        <v>-1.744</v>
      </c>
      <c r="BK8">
        <v>-3.5419999999999998</v>
      </c>
      <c r="BL8">
        <v>-0.22700000000000001</v>
      </c>
      <c r="BM8">
        <v>9.8000000000000004E-2</v>
      </c>
      <c r="BN8">
        <v>-1.5820000000000001</v>
      </c>
      <c r="BO8">
        <v>-1.0309999999999999</v>
      </c>
      <c r="BP8">
        <v>-1.284</v>
      </c>
      <c r="BQ8">
        <v>0.13800000000000001</v>
      </c>
      <c r="BR8">
        <v>6.0000000000000001E-3</v>
      </c>
    </row>
    <row r="9" spans="1:70" x14ac:dyDescent="0.25">
      <c r="A9" s="1" t="s">
        <v>76</v>
      </c>
      <c r="B9">
        <v>3.3000000000000002E-2</v>
      </c>
      <c r="C9">
        <v>8.5999999999999993E-2</v>
      </c>
      <c r="D9">
        <v>6.7000000000000004E-2</v>
      </c>
      <c r="E9">
        <v>-5.2999999999999999E-2</v>
      </c>
      <c r="F9">
        <v>-4.0000000000000001E-3</v>
      </c>
      <c r="G9">
        <v>0.08</v>
      </c>
      <c r="H9">
        <v>-0.999</v>
      </c>
      <c r="I9">
        <v>-0.30599999999999999</v>
      </c>
      <c r="J9">
        <v>0.05</v>
      </c>
      <c r="K9">
        <v>1.2350000000000001</v>
      </c>
      <c r="L9">
        <v>-0.247</v>
      </c>
      <c r="M9">
        <v>-0.54200000000000004</v>
      </c>
      <c r="N9">
        <v>8.0000000000000002E-3</v>
      </c>
      <c r="O9">
        <v>5.0000000000000001E-3</v>
      </c>
      <c r="P9">
        <v>0.106</v>
      </c>
      <c r="R9">
        <v>0.106</v>
      </c>
      <c r="S9">
        <v>4.0000000000000001E-3</v>
      </c>
      <c r="T9">
        <v>-0.57399999999999995</v>
      </c>
      <c r="U9">
        <v>1.861</v>
      </c>
      <c r="V9">
        <v>7.0999999999999994E-2</v>
      </c>
      <c r="W9">
        <v>1E-3</v>
      </c>
      <c r="X9">
        <v>-7.0000000000000001E-3</v>
      </c>
      <c r="Y9">
        <v>-6.0999999999999999E-2</v>
      </c>
      <c r="Z9">
        <v>-0.108</v>
      </c>
      <c r="AA9">
        <v>-2.3E-2</v>
      </c>
      <c r="AB9">
        <v>3.0000000000000001E-3</v>
      </c>
      <c r="AC9">
        <v>-4.3999999999999997E-2</v>
      </c>
      <c r="AD9">
        <v>-0.121</v>
      </c>
      <c r="AE9">
        <v>8.0000000000000002E-3</v>
      </c>
      <c r="AF9">
        <v>-8.0000000000000002E-3</v>
      </c>
      <c r="AG9">
        <v>1.2999999999999999E-2</v>
      </c>
      <c r="AH9">
        <v>1.0999999999999999E-2</v>
      </c>
      <c r="AI9">
        <v>-5.8000000000000003E-2</v>
      </c>
      <c r="AL9">
        <v>0.27800000000000002</v>
      </c>
      <c r="AM9">
        <v>3.7999999999999999E-2</v>
      </c>
      <c r="AN9">
        <v>-2.1999999999999999E-2</v>
      </c>
      <c r="AO9">
        <v>-6.3E-2</v>
      </c>
      <c r="AP9">
        <v>-0.126</v>
      </c>
      <c r="AQ9">
        <v>-0.34</v>
      </c>
      <c r="AS9">
        <v>-6.6000000000000003E-2</v>
      </c>
      <c r="AT9">
        <v>2.5999999999999999E-2</v>
      </c>
      <c r="AU9">
        <v>0.14299999999999999</v>
      </c>
      <c r="AV9">
        <v>-0.39100000000000001</v>
      </c>
      <c r="AW9">
        <v>-0.79100000000000004</v>
      </c>
      <c r="AX9">
        <v>1.831</v>
      </c>
      <c r="AY9">
        <v>-1.6E-2</v>
      </c>
      <c r="AZ9">
        <v>0.29799999999999999</v>
      </c>
      <c r="BA9">
        <v>0.29799999999999999</v>
      </c>
      <c r="BB9" t="s">
        <v>96</v>
      </c>
      <c r="BC9">
        <v>-1</v>
      </c>
      <c r="BD9">
        <v>-6.944</v>
      </c>
      <c r="BE9">
        <v>-2.5000000000000001E-2</v>
      </c>
      <c r="BF9">
        <v>3.3220000000000001</v>
      </c>
      <c r="BI9">
        <v>41.4</v>
      </c>
      <c r="BJ9">
        <v>0.65300000000000002</v>
      </c>
      <c r="BK9">
        <v>1.831</v>
      </c>
      <c r="BL9">
        <v>9.8000000000000004E-2</v>
      </c>
      <c r="BM9">
        <v>3.5999999999999997E-2</v>
      </c>
      <c r="BN9">
        <v>-0.43</v>
      </c>
      <c r="BO9">
        <v>-0.3</v>
      </c>
      <c r="BP9">
        <v>-0.35099999999999998</v>
      </c>
      <c r="BQ9">
        <v>-2.794</v>
      </c>
      <c r="BR9">
        <v>6.2E-2</v>
      </c>
    </row>
    <row r="10" spans="1:70" x14ac:dyDescent="0.25">
      <c r="A10" s="1" t="s">
        <v>77</v>
      </c>
      <c r="B10">
        <v>0.17799999999999999</v>
      </c>
      <c r="C10">
        <v>3.3000000000000002E-2</v>
      </c>
      <c r="D10">
        <v>0.34699999999999998</v>
      </c>
      <c r="E10">
        <v>-3.5999999999999997E-2</v>
      </c>
      <c r="F10">
        <v>9.1999999999999998E-2</v>
      </c>
      <c r="G10">
        <v>0.19900000000000001</v>
      </c>
      <c r="H10">
        <v>3.9E-2</v>
      </c>
      <c r="I10">
        <v>0.47899999999999998</v>
      </c>
      <c r="J10">
        <v>7.8E-2</v>
      </c>
      <c r="K10">
        <v>0.54500000000000004</v>
      </c>
      <c r="L10">
        <v>-1.3320000000000001</v>
      </c>
      <c r="M10">
        <v>-0.55600000000000005</v>
      </c>
      <c r="N10">
        <v>5.0000000000000001E-3</v>
      </c>
      <c r="O10">
        <v>6.0000000000000001E-3</v>
      </c>
      <c r="P10">
        <v>5.0999999999999997E-2</v>
      </c>
      <c r="R10">
        <v>5.0999999999999997E-2</v>
      </c>
      <c r="S10">
        <v>-7.0000000000000001E-3</v>
      </c>
      <c r="T10">
        <v>-8.1000000000000003E-2</v>
      </c>
      <c r="U10">
        <v>2.4E-2</v>
      </c>
      <c r="V10">
        <v>0.01</v>
      </c>
      <c r="W10">
        <v>1.4999999999999999E-2</v>
      </c>
      <c r="X10">
        <v>-8.9999999999999993E-3</v>
      </c>
      <c r="Y10">
        <v>-6.5000000000000002E-2</v>
      </c>
      <c r="Z10">
        <v>-0.25900000000000001</v>
      </c>
      <c r="AA10">
        <v>-7.8E-2</v>
      </c>
      <c r="AB10">
        <v>-5.5E-2</v>
      </c>
      <c r="AC10">
        <v>-0.06</v>
      </c>
      <c r="AD10">
        <v>2.9000000000000001E-2</v>
      </c>
      <c r="AE10">
        <v>3.4000000000000002E-2</v>
      </c>
      <c r="AF10">
        <v>3.0000000000000001E-3</v>
      </c>
      <c r="AG10">
        <v>1.0999999999999999E-2</v>
      </c>
      <c r="AH10">
        <v>0.02</v>
      </c>
      <c r="AI10">
        <v>1.9E-2</v>
      </c>
      <c r="AL10">
        <v>0</v>
      </c>
      <c r="AM10">
        <v>8.7999999999999995E-2</v>
      </c>
      <c r="AN10">
        <v>-0.23</v>
      </c>
      <c r="AO10">
        <v>-9.1280000000000001</v>
      </c>
      <c r="AP10">
        <v>2.9620000000000002</v>
      </c>
      <c r="AQ10">
        <v>-7.625</v>
      </c>
      <c r="AS10">
        <v>-4.2999999999999997E-2</v>
      </c>
      <c r="AT10">
        <v>0.309</v>
      </c>
      <c r="AU10">
        <v>-1.05</v>
      </c>
      <c r="AV10">
        <v>21.37</v>
      </c>
      <c r="AW10">
        <v>15.888999999999999</v>
      </c>
      <c r="AX10">
        <v>-2.2770000000000001</v>
      </c>
      <c r="AY10">
        <v>28.266999999999999</v>
      </c>
      <c r="AZ10">
        <v>-8.1000000000000003E-2</v>
      </c>
      <c r="BA10">
        <v>-8.1000000000000003E-2</v>
      </c>
      <c r="BB10">
        <v>-1</v>
      </c>
      <c r="BC10">
        <v>-0.92300000000000004</v>
      </c>
      <c r="BD10">
        <v>-0.6</v>
      </c>
      <c r="BE10">
        <v>-0.41199999999999998</v>
      </c>
      <c r="BF10" t="s">
        <v>96</v>
      </c>
      <c r="BI10">
        <v>-1.044</v>
      </c>
      <c r="BJ10">
        <v>-6.9</v>
      </c>
      <c r="BK10">
        <v>-2.2770000000000001</v>
      </c>
      <c r="BL10">
        <v>3.5999999999999997E-2</v>
      </c>
      <c r="BM10">
        <v>-2.7E-2</v>
      </c>
      <c r="BN10">
        <v>1.0609999999999999</v>
      </c>
      <c r="BO10">
        <v>2.16</v>
      </c>
      <c r="BP10">
        <v>0.81699999999999995</v>
      </c>
      <c r="BQ10">
        <v>-15.923</v>
      </c>
      <c r="BR10">
        <v>-2.3E-2</v>
      </c>
    </row>
    <row r="11" spans="1:70" x14ac:dyDescent="0.25">
      <c r="A11" s="1" t="s">
        <v>78</v>
      </c>
      <c r="B11">
        <v>0.186</v>
      </c>
      <c r="C11">
        <v>5.8000000000000003E-2</v>
      </c>
      <c r="D11">
        <v>3.4000000000000002E-2</v>
      </c>
      <c r="E11">
        <v>1E-3</v>
      </c>
      <c r="F11">
        <v>1.2E-2</v>
      </c>
      <c r="G11">
        <v>5.1999999999999998E-2</v>
      </c>
      <c r="H11">
        <v>15.234999999999999</v>
      </c>
      <c r="I11">
        <v>-0.124</v>
      </c>
      <c r="J11">
        <v>-8.0000000000000002E-3</v>
      </c>
      <c r="K11">
        <v>0.222</v>
      </c>
      <c r="L11">
        <v>1.3919999999999999</v>
      </c>
      <c r="M11">
        <v>-7.6550000000000002</v>
      </c>
      <c r="N11">
        <v>8.9999999999999993E-3</v>
      </c>
      <c r="O11">
        <v>-2.4E-2</v>
      </c>
      <c r="P11">
        <v>-2.5999999999999999E-2</v>
      </c>
      <c r="Q11">
        <v>-1</v>
      </c>
      <c r="R11">
        <v>-2.5999999999999999E-2</v>
      </c>
      <c r="S11">
        <v>1.4999999999999999E-2</v>
      </c>
      <c r="T11">
        <v>1.3979999999999999</v>
      </c>
      <c r="U11">
        <v>-0.66200000000000003</v>
      </c>
      <c r="V11">
        <v>-1.7000000000000001E-2</v>
      </c>
      <c r="W11">
        <v>1.6E-2</v>
      </c>
      <c r="X11">
        <v>2E-3</v>
      </c>
      <c r="Y11">
        <v>-5.8999999999999997E-2</v>
      </c>
      <c r="Z11">
        <v>-0.45500000000000002</v>
      </c>
      <c r="AA11">
        <v>-0.19400000000000001</v>
      </c>
      <c r="AB11">
        <v>-0.154</v>
      </c>
      <c r="AC11">
        <v>2E-3</v>
      </c>
      <c r="AD11">
        <v>0.13</v>
      </c>
      <c r="AE11">
        <v>-4.1000000000000002E-2</v>
      </c>
      <c r="AF11">
        <v>3.0000000000000001E-3</v>
      </c>
      <c r="AG11">
        <v>-4.0000000000000001E-3</v>
      </c>
      <c r="AH11">
        <v>-1.7999999999999999E-2</v>
      </c>
      <c r="AI11">
        <v>3.3000000000000002E-2</v>
      </c>
      <c r="AL11">
        <v>1.2E-2</v>
      </c>
      <c r="AM11">
        <v>0.251</v>
      </c>
      <c r="AN11">
        <v>-0.32100000000000001</v>
      </c>
      <c r="AO11">
        <v>-0.749</v>
      </c>
      <c r="AP11">
        <v>-0.89300000000000002</v>
      </c>
      <c r="AQ11">
        <v>-0.57899999999999996</v>
      </c>
      <c r="AR11">
        <v>-1</v>
      </c>
      <c r="AS11">
        <v>3.3000000000000002E-2</v>
      </c>
      <c r="AT11">
        <v>7.4999999999999997E-2</v>
      </c>
      <c r="AU11">
        <v>0.33800000000000002</v>
      </c>
      <c r="AV11">
        <v>-1.6919999999999999</v>
      </c>
      <c r="AW11">
        <v>0.73099999999999998</v>
      </c>
      <c r="AX11">
        <v>-0.89300000000000002</v>
      </c>
      <c r="AY11">
        <v>-1.1399999999999999</v>
      </c>
      <c r="AZ11">
        <v>-0.22500000000000001</v>
      </c>
      <c r="BA11">
        <v>-0.22500000000000001</v>
      </c>
      <c r="BB11">
        <v>-0.97099999999999997</v>
      </c>
      <c r="BC11">
        <v>-0.89600000000000002</v>
      </c>
      <c r="BD11">
        <v>-0.94</v>
      </c>
      <c r="BE11">
        <v>-0.65800000000000003</v>
      </c>
      <c r="BF11">
        <v>-1</v>
      </c>
      <c r="BI11">
        <v>-1.2729999999999999</v>
      </c>
      <c r="BJ11">
        <v>-1.833</v>
      </c>
      <c r="BK11">
        <v>-0.89300000000000002</v>
      </c>
      <c r="BL11">
        <v>-2.7E-2</v>
      </c>
      <c r="BM11">
        <v>-0.20300000000000001</v>
      </c>
      <c r="BN11">
        <v>-0.25</v>
      </c>
      <c r="BO11">
        <v>-0.44800000000000001</v>
      </c>
      <c r="BP11">
        <v>-0.245</v>
      </c>
      <c r="BQ11">
        <v>-1.0629999999999999</v>
      </c>
      <c r="BR11">
        <v>2.5000000000000001E-2</v>
      </c>
    </row>
    <row r="12" spans="1:70" x14ac:dyDescent="0.25">
      <c r="A12" s="1" t="s">
        <v>79</v>
      </c>
      <c r="B12">
        <v>0.193</v>
      </c>
      <c r="C12">
        <v>0.111</v>
      </c>
      <c r="D12">
        <v>-2.1999999999999999E-2</v>
      </c>
      <c r="E12">
        <v>0.08</v>
      </c>
      <c r="F12">
        <v>4.4999999999999998E-2</v>
      </c>
      <c r="G12">
        <v>0.13200000000000001</v>
      </c>
      <c r="H12">
        <v>-0.748</v>
      </c>
      <c r="I12">
        <v>-3.7999999999999999E-2</v>
      </c>
      <c r="J12">
        <v>5.7000000000000002E-2</v>
      </c>
      <c r="K12">
        <v>-0.1</v>
      </c>
      <c r="L12">
        <v>-0.04</v>
      </c>
      <c r="M12">
        <v>-1.3680000000000001</v>
      </c>
      <c r="N12">
        <v>2.3E-2</v>
      </c>
      <c r="O12">
        <v>5.6000000000000001E-2</v>
      </c>
      <c r="P12">
        <v>-0.33700000000000002</v>
      </c>
      <c r="Q12" t="s">
        <v>97</v>
      </c>
      <c r="R12">
        <v>-0.33700000000000002</v>
      </c>
      <c r="S12">
        <v>0.83</v>
      </c>
      <c r="T12">
        <v>0.52400000000000002</v>
      </c>
      <c r="U12">
        <v>-1E-3</v>
      </c>
      <c r="V12">
        <v>-8.8999999999999996E-2</v>
      </c>
      <c r="W12">
        <v>8.1000000000000003E-2</v>
      </c>
      <c r="X12">
        <v>0.30599999999999999</v>
      </c>
      <c r="Y12">
        <v>0.88700000000000001</v>
      </c>
      <c r="Z12">
        <v>-4.5999999999999999E-2</v>
      </c>
      <c r="AA12">
        <v>0.10100000000000001</v>
      </c>
      <c r="AB12">
        <v>5.0999999999999997E-2</v>
      </c>
      <c r="AC12">
        <v>1.774</v>
      </c>
      <c r="AD12">
        <v>0.10100000000000001</v>
      </c>
      <c r="AE12">
        <v>0.111</v>
      </c>
      <c r="AF12">
        <v>1.4E-2</v>
      </c>
      <c r="AG12">
        <v>-5.0000000000000001E-3</v>
      </c>
      <c r="AH12">
        <v>3.6999999999999998E-2</v>
      </c>
      <c r="AI12">
        <v>0.104</v>
      </c>
      <c r="AL12">
        <v>1.5169999999999999</v>
      </c>
      <c r="AM12">
        <v>-3.5999999999999997E-2</v>
      </c>
      <c r="AN12">
        <v>3.7999999999999999E-2</v>
      </c>
      <c r="AO12">
        <v>-1.357</v>
      </c>
      <c r="AP12">
        <v>0.185</v>
      </c>
      <c r="AQ12">
        <v>-1.167</v>
      </c>
      <c r="AR12">
        <v>-2.5</v>
      </c>
      <c r="AS12">
        <v>0.128</v>
      </c>
      <c r="AT12">
        <v>0.189</v>
      </c>
      <c r="AU12">
        <v>0.82599999999999996</v>
      </c>
      <c r="AV12">
        <v>-1.0509999999999999</v>
      </c>
      <c r="AW12">
        <v>-0.97799999999999998</v>
      </c>
      <c r="AX12">
        <v>-1.595</v>
      </c>
      <c r="AY12">
        <v>-1.1739999999999999</v>
      </c>
      <c r="AZ12">
        <v>-0.111</v>
      </c>
      <c r="BA12">
        <v>-0.111</v>
      </c>
      <c r="BB12">
        <v>-3.605</v>
      </c>
      <c r="BC12">
        <v>-0.78700000000000003</v>
      </c>
      <c r="BD12">
        <v>-2.8650000000000002</v>
      </c>
      <c r="BE12">
        <v>2.3730000000000002</v>
      </c>
      <c r="BF12" t="s">
        <v>96</v>
      </c>
      <c r="BI12">
        <v>-0.73399999999999999</v>
      </c>
      <c r="BJ12">
        <v>-0.52</v>
      </c>
      <c r="BK12">
        <v>-1.595</v>
      </c>
      <c r="BL12">
        <v>-0.20300000000000001</v>
      </c>
      <c r="BM12">
        <v>0.51700000000000002</v>
      </c>
      <c r="BN12">
        <v>-0.14099999999999999</v>
      </c>
      <c r="BO12">
        <v>-3.7999999999999999E-2</v>
      </c>
      <c r="BP12">
        <v>-0.13500000000000001</v>
      </c>
      <c r="BQ12">
        <v>-1.1319999999999999</v>
      </c>
      <c r="BR12">
        <v>-0.18</v>
      </c>
    </row>
    <row r="13" spans="1:70" x14ac:dyDescent="0.25">
      <c r="A13" s="1" t="s">
        <v>80</v>
      </c>
      <c r="B13">
        <v>0.23300000000000001</v>
      </c>
      <c r="C13">
        <v>0.315</v>
      </c>
      <c r="D13">
        <v>1.4999999999999999E-2</v>
      </c>
      <c r="E13">
        <v>-7.0000000000000007E-2</v>
      </c>
      <c r="F13">
        <v>-4.2000000000000003E-2</v>
      </c>
      <c r="G13">
        <v>0.01</v>
      </c>
      <c r="H13">
        <v>10.222</v>
      </c>
      <c r="I13">
        <v>-0.51900000000000002</v>
      </c>
      <c r="J13">
        <v>7.0000000000000007E-2</v>
      </c>
      <c r="K13">
        <v>-0.23100000000000001</v>
      </c>
      <c r="L13">
        <v>-0.78900000000000003</v>
      </c>
      <c r="M13">
        <v>-3.1190000000000002</v>
      </c>
      <c r="N13">
        <v>0.01</v>
      </c>
      <c r="O13">
        <v>-2.9000000000000001E-2</v>
      </c>
      <c r="P13">
        <v>0.45900000000000002</v>
      </c>
      <c r="Q13">
        <v>-1</v>
      </c>
      <c r="R13">
        <v>0.29599999999999999</v>
      </c>
      <c r="S13">
        <v>0.11</v>
      </c>
      <c r="T13">
        <v>0.27800000000000002</v>
      </c>
      <c r="U13">
        <v>0.159</v>
      </c>
      <c r="V13">
        <v>0.24399999999999999</v>
      </c>
      <c r="W13">
        <v>-5.0000000000000001E-3</v>
      </c>
      <c r="X13">
        <v>0</v>
      </c>
      <c r="Y13">
        <v>-7.2999999999999995E-2</v>
      </c>
      <c r="Z13">
        <v>-0.112</v>
      </c>
      <c r="AA13">
        <v>-4.4999999999999998E-2</v>
      </c>
      <c r="AB13">
        <v>1.7000000000000001E-2</v>
      </c>
      <c r="AC13">
        <v>-0.27700000000000002</v>
      </c>
      <c r="AD13">
        <v>-5.0999999999999997E-2</v>
      </c>
      <c r="AE13">
        <v>5.8000000000000003E-2</v>
      </c>
      <c r="AF13">
        <v>0.156</v>
      </c>
      <c r="AG13">
        <v>0.129</v>
      </c>
      <c r="AH13">
        <v>0.10199999999999999</v>
      </c>
      <c r="AI13">
        <v>-0.02</v>
      </c>
      <c r="AL13">
        <v>-0.77400000000000002</v>
      </c>
      <c r="AM13">
        <v>0.11</v>
      </c>
      <c r="AN13">
        <v>-1.7000000000000001E-2</v>
      </c>
      <c r="AO13">
        <v>-2.3170000000000002</v>
      </c>
      <c r="AP13">
        <v>0.79800000000000004</v>
      </c>
      <c r="AQ13">
        <v>-1.6060000000000001</v>
      </c>
      <c r="AR13">
        <v>-1.375</v>
      </c>
      <c r="AS13">
        <v>-3.5000000000000003E-2</v>
      </c>
      <c r="AT13">
        <v>3.3000000000000002E-2</v>
      </c>
      <c r="AU13">
        <v>-0.76400000000000001</v>
      </c>
      <c r="AV13">
        <v>0.77400000000000002</v>
      </c>
      <c r="AW13">
        <v>14.696999999999999</v>
      </c>
      <c r="AX13">
        <v>-22.803999999999998</v>
      </c>
      <c r="AY13">
        <v>-2.8010000000000002</v>
      </c>
      <c r="AZ13">
        <v>0.57899999999999996</v>
      </c>
      <c r="BA13">
        <v>0.57899999999999996</v>
      </c>
      <c r="BB13">
        <v>-15.788</v>
      </c>
      <c r="BC13">
        <v>1.4059999999999999</v>
      </c>
      <c r="BD13">
        <v>11.04</v>
      </c>
      <c r="BE13">
        <v>-3.3000000000000002E-2</v>
      </c>
      <c r="BI13">
        <v>42.222000000000001</v>
      </c>
      <c r="BJ13">
        <v>-1.98</v>
      </c>
      <c r="BK13">
        <v>-22.803999999999998</v>
      </c>
      <c r="BL13">
        <v>0.51700000000000002</v>
      </c>
      <c r="BM13">
        <v>-2.3E-2</v>
      </c>
      <c r="BN13">
        <v>-0.63200000000000001</v>
      </c>
      <c r="BO13">
        <v>-0.33600000000000002</v>
      </c>
      <c r="BP13">
        <v>-0.56399999999999995</v>
      </c>
      <c r="BQ13">
        <v>14.737</v>
      </c>
      <c r="BR13">
        <v>0.17699999999999999</v>
      </c>
    </row>
    <row r="14" spans="1:70" x14ac:dyDescent="0.25">
      <c r="A14" s="1" t="s">
        <v>81</v>
      </c>
      <c r="B14">
        <v>0.35299999999999998</v>
      </c>
      <c r="C14">
        <v>0.53400000000000003</v>
      </c>
      <c r="D14">
        <v>0.32800000000000001</v>
      </c>
      <c r="E14">
        <v>0.13900000000000001</v>
      </c>
      <c r="F14">
        <v>0.19500000000000001</v>
      </c>
      <c r="G14">
        <v>-5.1999999999999998E-2</v>
      </c>
      <c r="H14">
        <v>-2.0590000000000002</v>
      </c>
      <c r="I14">
        <v>-0.22</v>
      </c>
      <c r="J14">
        <v>0</v>
      </c>
      <c r="K14">
        <v>1.6</v>
      </c>
      <c r="L14">
        <v>-3.589</v>
      </c>
      <c r="M14">
        <v>-11.593</v>
      </c>
      <c r="N14">
        <v>4.2000000000000003E-2</v>
      </c>
      <c r="O14">
        <v>5.1999999999999998E-2</v>
      </c>
      <c r="P14">
        <v>-8.1000000000000003E-2</v>
      </c>
      <c r="Q14">
        <v>-0.316</v>
      </c>
      <c r="R14">
        <v>-0.115</v>
      </c>
      <c r="S14">
        <v>0.11700000000000001</v>
      </c>
      <c r="T14">
        <v>0.312</v>
      </c>
      <c r="U14">
        <v>-4.8000000000000001E-2</v>
      </c>
      <c r="V14">
        <v>-6.2E-2</v>
      </c>
      <c r="W14">
        <v>-3.0000000000000001E-3</v>
      </c>
      <c r="X14">
        <v>1.4999999999999999E-2</v>
      </c>
      <c r="Y14">
        <v>-5.2999999999999999E-2</v>
      </c>
      <c r="Z14">
        <v>0.151</v>
      </c>
      <c r="AA14">
        <v>0.08</v>
      </c>
      <c r="AB14">
        <v>4.5999999999999999E-2</v>
      </c>
      <c r="AC14">
        <v>0.84899999999999998</v>
      </c>
      <c r="AD14">
        <v>3.5000000000000003E-2</v>
      </c>
      <c r="AE14">
        <v>5.3999999999999999E-2</v>
      </c>
      <c r="AF14">
        <v>-2E-3</v>
      </c>
      <c r="AG14">
        <v>-3.5999999999999997E-2</v>
      </c>
      <c r="AH14">
        <v>-4.0000000000000001E-3</v>
      </c>
      <c r="AI14">
        <v>-7.0000000000000001E-3</v>
      </c>
      <c r="AL14">
        <v>2.3170000000000002</v>
      </c>
      <c r="AM14">
        <v>-4.9000000000000002E-2</v>
      </c>
      <c r="AN14">
        <v>4.2000000000000003E-2</v>
      </c>
      <c r="AO14">
        <v>-0.41599999999999998</v>
      </c>
      <c r="AP14">
        <v>2.2570000000000001</v>
      </c>
      <c r="AQ14">
        <v>-63.667000000000002</v>
      </c>
      <c r="AR14">
        <v>-0.40699999999999997</v>
      </c>
      <c r="AS14">
        <v>6.6000000000000003E-2</v>
      </c>
      <c r="AT14">
        <v>-3.2000000000000001E-2</v>
      </c>
      <c r="AU14">
        <v>-5.0579999999999998</v>
      </c>
      <c r="AV14">
        <v>-0.16700000000000001</v>
      </c>
      <c r="AW14">
        <v>-6.2E-2</v>
      </c>
      <c r="AX14">
        <v>-0.80500000000000005</v>
      </c>
      <c r="AY14">
        <v>-0.442</v>
      </c>
      <c r="AZ14">
        <v>-0.19700000000000001</v>
      </c>
      <c r="BA14">
        <v>-0.19700000000000001</v>
      </c>
      <c r="BB14">
        <v>0.85699999999999998</v>
      </c>
      <c r="BC14">
        <v>-0.78600000000000003</v>
      </c>
      <c r="BD14">
        <v>-1.4039999999999999</v>
      </c>
      <c r="BE14">
        <v>-0.747</v>
      </c>
      <c r="BI14">
        <v>-1.159</v>
      </c>
      <c r="BJ14">
        <v>-2.109</v>
      </c>
      <c r="BK14">
        <v>-0.80500000000000005</v>
      </c>
      <c r="BL14">
        <v>-2.3E-2</v>
      </c>
      <c r="BM14">
        <v>-0.106</v>
      </c>
      <c r="BN14">
        <v>-0.26700000000000002</v>
      </c>
      <c r="BO14">
        <v>-0.58499999999999996</v>
      </c>
      <c r="BP14">
        <v>-0.26300000000000001</v>
      </c>
      <c r="BQ14">
        <v>-0.90200000000000002</v>
      </c>
      <c r="BR14">
        <v>-0.11</v>
      </c>
    </row>
    <row r="15" spans="1:70" x14ac:dyDescent="0.25">
      <c r="A15" s="1" t="s">
        <v>82</v>
      </c>
      <c r="B15">
        <v>-8.3000000000000004E-2</v>
      </c>
      <c r="C15">
        <v>-0.308</v>
      </c>
      <c r="D15">
        <v>-0.126</v>
      </c>
      <c r="E15">
        <v>6.3E-2</v>
      </c>
      <c r="F15">
        <v>-1E-3</v>
      </c>
      <c r="G15">
        <v>6.6000000000000003E-2</v>
      </c>
      <c r="H15">
        <v>-3.125</v>
      </c>
      <c r="I15">
        <v>0.73799999999999999</v>
      </c>
      <c r="J15">
        <v>-2.5000000000000001E-2</v>
      </c>
      <c r="K15">
        <v>0.25</v>
      </c>
      <c r="L15">
        <v>7.0430000000000001</v>
      </c>
      <c r="M15">
        <v>-0.88800000000000001</v>
      </c>
      <c r="N15">
        <v>8.9999999999999993E-3</v>
      </c>
      <c r="O15">
        <v>3.5999999999999997E-2</v>
      </c>
      <c r="P15">
        <v>-0.14399999999999999</v>
      </c>
      <c r="Q15">
        <v>-0.30599999999999999</v>
      </c>
      <c r="R15">
        <v>-0.17199999999999999</v>
      </c>
      <c r="S15">
        <v>2E-3</v>
      </c>
      <c r="T15">
        <v>-0.67800000000000005</v>
      </c>
      <c r="U15">
        <v>8.5000000000000006E-2</v>
      </c>
      <c r="V15">
        <v>-0.161</v>
      </c>
      <c r="W15">
        <v>-2.1000000000000001E-2</v>
      </c>
      <c r="X15">
        <v>0.04</v>
      </c>
      <c r="Y15">
        <v>-7.0000000000000007E-2</v>
      </c>
      <c r="Z15">
        <v>0.27500000000000002</v>
      </c>
      <c r="AA15">
        <v>0.128</v>
      </c>
      <c r="AB15">
        <v>4.2000000000000003E-2</v>
      </c>
      <c r="AC15">
        <v>-1.2999999999999999E-2</v>
      </c>
      <c r="AD15">
        <v>-2.3E-2</v>
      </c>
      <c r="AE15">
        <v>6.2E-2</v>
      </c>
      <c r="AF15">
        <v>2.5000000000000001E-2</v>
      </c>
      <c r="AG15">
        <v>5.1999999999999998E-2</v>
      </c>
      <c r="AH15">
        <v>5.6000000000000001E-2</v>
      </c>
      <c r="AI15">
        <v>-0.01</v>
      </c>
      <c r="AL15">
        <v>-0.68200000000000005</v>
      </c>
      <c r="AM15">
        <v>5.0000000000000001E-3</v>
      </c>
      <c r="AN15">
        <v>0.109</v>
      </c>
      <c r="AO15">
        <v>-0.26500000000000001</v>
      </c>
      <c r="AP15">
        <v>-0.85299999999999998</v>
      </c>
      <c r="AQ15">
        <v>-0.97</v>
      </c>
      <c r="AR15">
        <v>-26.105</v>
      </c>
      <c r="AS15">
        <v>0.17799999999999999</v>
      </c>
      <c r="AT15">
        <v>0.191</v>
      </c>
      <c r="AU15">
        <v>19</v>
      </c>
      <c r="AV15">
        <v>-2.9769999999999999</v>
      </c>
      <c r="AW15">
        <v>-0.129</v>
      </c>
      <c r="AX15">
        <v>1.091</v>
      </c>
      <c r="AY15">
        <v>-0.24099999999999999</v>
      </c>
      <c r="AZ15">
        <v>-0.42299999999999999</v>
      </c>
      <c r="BA15">
        <v>-0.42299999999999999</v>
      </c>
      <c r="BB15">
        <v>-1.431</v>
      </c>
      <c r="BC15">
        <v>0.873</v>
      </c>
      <c r="BD15">
        <v>0.30199999999999999</v>
      </c>
      <c r="BE15">
        <v>-0.58199999999999996</v>
      </c>
      <c r="BI15">
        <v>-1.252</v>
      </c>
      <c r="BJ15">
        <v>-1.613</v>
      </c>
      <c r="BK15">
        <v>1.091</v>
      </c>
      <c r="BL15">
        <v>-0.106</v>
      </c>
      <c r="BM15">
        <v>-4.8000000000000001E-2</v>
      </c>
      <c r="BN15">
        <v>0.88200000000000001</v>
      </c>
      <c r="BO15">
        <v>0.89900000000000002</v>
      </c>
      <c r="BP15">
        <v>0.68700000000000006</v>
      </c>
      <c r="BQ15">
        <v>-0.66600000000000004</v>
      </c>
      <c r="BR15">
        <v>-0.20899999999999999</v>
      </c>
    </row>
    <row r="16" spans="1:70" x14ac:dyDescent="0.25">
      <c r="A16" s="1" t="s">
        <v>83</v>
      </c>
      <c r="B16">
        <v>1.2E-2</v>
      </c>
      <c r="C16">
        <v>0.13800000000000001</v>
      </c>
      <c r="D16">
        <v>-0.253</v>
      </c>
      <c r="E16">
        <v>0.123</v>
      </c>
      <c r="F16">
        <v>-0.04</v>
      </c>
      <c r="G16">
        <v>-0.02</v>
      </c>
      <c r="H16">
        <v>-0.78900000000000003</v>
      </c>
      <c r="I16">
        <v>-0.214</v>
      </c>
      <c r="J16">
        <v>5.3999999999999999E-2</v>
      </c>
      <c r="K16">
        <v>-0.42899999999999999</v>
      </c>
      <c r="L16">
        <v>0</v>
      </c>
      <c r="M16">
        <v>-0.111</v>
      </c>
      <c r="N16">
        <v>1.7000000000000001E-2</v>
      </c>
      <c r="O16">
        <v>2.1999999999999999E-2</v>
      </c>
      <c r="P16">
        <v>-8.2000000000000003E-2</v>
      </c>
      <c r="Q16">
        <v>4.2000000000000003E-2</v>
      </c>
      <c r="R16">
        <v>-6.3E-2</v>
      </c>
      <c r="S16">
        <v>0.38800000000000001</v>
      </c>
      <c r="T16">
        <v>2.5179999999999998</v>
      </c>
      <c r="U16">
        <v>7.0000000000000007E-2</v>
      </c>
      <c r="V16">
        <v>0.05</v>
      </c>
      <c r="W16">
        <v>-3.7999999999999999E-2</v>
      </c>
      <c r="X16">
        <v>1.0449999999999999</v>
      </c>
      <c r="Y16">
        <v>1.391</v>
      </c>
      <c r="Z16">
        <v>-4.0000000000000001E-3</v>
      </c>
      <c r="AA16">
        <v>0.2</v>
      </c>
      <c r="AB16">
        <v>0.151</v>
      </c>
      <c r="AC16">
        <v>-2.1000000000000001E-2</v>
      </c>
      <c r="AD16">
        <v>0</v>
      </c>
      <c r="AE16">
        <v>-8.0000000000000002E-3</v>
      </c>
      <c r="AF16">
        <v>0.111</v>
      </c>
      <c r="AG16">
        <v>7.0999999999999994E-2</v>
      </c>
      <c r="AH16">
        <v>4.2000000000000003E-2</v>
      </c>
      <c r="AI16">
        <v>0.01</v>
      </c>
      <c r="AL16">
        <v>0.2</v>
      </c>
      <c r="AM16">
        <v>4.3999999999999997E-2</v>
      </c>
      <c r="AN16">
        <v>0.372</v>
      </c>
      <c r="AO16">
        <v>0.72799999999999998</v>
      </c>
      <c r="AP16">
        <v>0.73699999999999999</v>
      </c>
      <c r="AQ16">
        <v>3.125</v>
      </c>
      <c r="AR16">
        <v>-1.0369999999999999</v>
      </c>
      <c r="AS16">
        <v>0.30399999999999999</v>
      </c>
      <c r="AT16">
        <v>0.28999999999999998</v>
      </c>
      <c r="AU16">
        <v>-0.4</v>
      </c>
      <c r="AV16">
        <v>-1.6279999999999999</v>
      </c>
      <c r="AW16">
        <v>0.27400000000000002</v>
      </c>
      <c r="AX16">
        <v>0.11899999999999999</v>
      </c>
      <c r="AY16">
        <v>0.98299999999999998</v>
      </c>
      <c r="AZ16">
        <v>-6.0999999999999999E-2</v>
      </c>
      <c r="BA16">
        <v>-6.0999999999999999E-2</v>
      </c>
      <c r="BB16">
        <v>-1.3420000000000001</v>
      </c>
      <c r="BC16">
        <v>0.26400000000000001</v>
      </c>
      <c r="BD16">
        <v>-0.47399999999999998</v>
      </c>
      <c r="BE16">
        <v>9.2859999999999996</v>
      </c>
      <c r="BI16">
        <v>1.093</v>
      </c>
      <c r="BJ16">
        <v>8.375</v>
      </c>
      <c r="BK16">
        <v>0.11899999999999999</v>
      </c>
      <c r="BL16">
        <v>-4.8000000000000001E-2</v>
      </c>
      <c r="BM16">
        <v>-4.1000000000000002E-2</v>
      </c>
      <c r="BN16">
        <v>-0.28699999999999998</v>
      </c>
      <c r="BO16">
        <v>-0.21</v>
      </c>
      <c r="BP16">
        <v>-0.26100000000000001</v>
      </c>
      <c r="BQ16">
        <v>0.21099999999999999</v>
      </c>
      <c r="BR16">
        <v>5.8999999999999997E-2</v>
      </c>
    </row>
    <row r="17" spans="1:70" x14ac:dyDescent="0.25">
      <c r="A17" s="1" t="s">
        <v>84</v>
      </c>
      <c r="B17">
        <v>0.39600000000000002</v>
      </c>
      <c r="C17">
        <v>0.53200000000000003</v>
      </c>
      <c r="D17">
        <v>0.25800000000000001</v>
      </c>
      <c r="E17">
        <v>0.255</v>
      </c>
      <c r="F17">
        <v>0.25700000000000001</v>
      </c>
      <c r="G17">
        <v>-0.156</v>
      </c>
      <c r="H17">
        <v>-8.6</v>
      </c>
      <c r="I17">
        <v>-0.30599999999999999</v>
      </c>
      <c r="J17">
        <v>1.7999999999999999E-2</v>
      </c>
      <c r="K17">
        <v>0.16700000000000001</v>
      </c>
      <c r="L17">
        <v>4.75</v>
      </c>
      <c r="M17">
        <v>-0.38600000000000001</v>
      </c>
      <c r="N17">
        <v>8.9999999999999993E-3</v>
      </c>
      <c r="O17">
        <v>8.9999999999999993E-3</v>
      </c>
      <c r="P17">
        <v>-8.8999999999999996E-2</v>
      </c>
      <c r="Q17">
        <v>9.6000000000000002E-2</v>
      </c>
      <c r="R17">
        <v>-6.4000000000000001E-2</v>
      </c>
      <c r="S17">
        <v>0.28000000000000003</v>
      </c>
      <c r="T17">
        <v>0.77200000000000002</v>
      </c>
      <c r="U17">
        <v>-1.0999999999999999E-2</v>
      </c>
      <c r="V17">
        <v>-2.5999999999999999E-2</v>
      </c>
      <c r="W17">
        <v>-2.3E-2</v>
      </c>
      <c r="X17">
        <v>0.187</v>
      </c>
      <c r="Y17">
        <v>0.22700000000000001</v>
      </c>
      <c r="Z17">
        <v>0.03</v>
      </c>
      <c r="AA17">
        <v>4.9000000000000002E-2</v>
      </c>
      <c r="AB17">
        <v>2.3E-2</v>
      </c>
      <c r="AC17">
        <v>-5.0999999999999997E-2</v>
      </c>
      <c r="AD17">
        <v>-6.9000000000000006E-2</v>
      </c>
      <c r="AE17">
        <v>0.17499999999999999</v>
      </c>
      <c r="AF17">
        <v>-3.0000000000000001E-3</v>
      </c>
      <c r="AG17">
        <v>-3.0000000000000001E-3</v>
      </c>
      <c r="AH17">
        <v>5.6000000000000001E-2</v>
      </c>
      <c r="AI17">
        <v>-6.0000000000000001E-3</v>
      </c>
      <c r="AL17">
        <v>0.27700000000000002</v>
      </c>
      <c r="AM17">
        <v>5.1999999999999998E-2</v>
      </c>
      <c r="AN17">
        <v>-6.4000000000000001E-2</v>
      </c>
      <c r="AO17">
        <v>-0.56499999999999995</v>
      </c>
      <c r="AP17">
        <v>-2.8769999999999998</v>
      </c>
      <c r="AQ17">
        <v>-1.667</v>
      </c>
      <c r="AR17">
        <v>1.786</v>
      </c>
      <c r="AS17">
        <v>7.0000000000000007E-2</v>
      </c>
      <c r="AT17">
        <v>0.39700000000000002</v>
      </c>
      <c r="AU17">
        <v>-2.1110000000000002</v>
      </c>
      <c r="AV17">
        <v>0.435</v>
      </c>
      <c r="AW17">
        <v>72</v>
      </c>
      <c r="AX17">
        <v>-0.76500000000000001</v>
      </c>
      <c r="AY17">
        <v>-0.621</v>
      </c>
      <c r="AZ17">
        <v>-0.20100000000000001</v>
      </c>
      <c r="BA17">
        <v>-0.20100000000000001</v>
      </c>
      <c r="BB17" t="s">
        <v>97</v>
      </c>
      <c r="BC17">
        <v>-7.2999999999999995E-2</v>
      </c>
      <c r="BD17">
        <v>-0.2</v>
      </c>
      <c r="BE17">
        <v>-0.94099999999999995</v>
      </c>
      <c r="BI17">
        <v>2.6269999999999998</v>
      </c>
      <c r="BJ17">
        <v>-1.421</v>
      </c>
      <c r="BK17">
        <v>-0.76500000000000001</v>
      </c>
      <c r="BL17">
        <v>-4.1000000000000002E-2</v>
      </c>
      <c r="BM17">
        <v>-0.15</v>
      </c>
      <c r="BN17">
        <v>-0.33800000000000002</v>
      </c>
      <c r="BO17">
        <v>-0.29299999999999998</v>
      </c>
      <c r="BP17">
        <v>-0.32500000000000001</v>
      </c>
      <c r="BQ17">
        <v>-0.33900000000000002</v>
      </c>
      <c r="BR17">
        <v>-0.17100000000000001</v>
      </c>
    </row>
    <row r="18" spans="1:70" x14ac:dyDescent="0.25">
      <c r="A18" s="1" t="s">
        <v>85</v>
      </c>
      <c r="B18">
        <v>-0.36699999999999999</v>
      </c>
      <c r="C18">
        <v>-0.437</v>
      </c>
      <c r="D18">
        <v>-0.34200000000000003</v>
      </c>
      <c r="E18">
        <v>-0.16800000000000001</v>
      </c>
      <c r="F18">
        <v>-0.254</v>
      </c>
      <c r="G18">
        <v>-9.5000000000000001E-2</v>
      </c>
      <c r="H18">
        <v>-1.278</v>
      </c>
      <c r="I18">
        <v>0.27200000000000002</v>
      </c>
      <c r="J18">
        <v>-6.8000000000000005E-2</v>
      </c>
      <c r="K18">
        <v>-0.84199999999999997</v>
      </c>
      <c r="L18">
        <v>-1.0169999999999999</v>
      </c>
      <c r="M18">
        <v>-0.39500000000000002</v>
      </c>
      <c r="N18">
        <v>8.0000000000000002E-3</v>
      </c>
      <c r="O18">
        <v>8.0000000000000002E-3</v>
      </c>
      <c r="P18">
        <v>-0.17299999999999999</v>
      </c>
      <c r="Q18">
        <v>0.24299999999999999</v>
      </c>
      <c r="R18">
        <v>-0.13400000000000001</v>
      </c>
      <c r="S18">
        <v>-0.11600000000000001</v>
      </c>
      <c r="T18">
        <v>-0.36299999999999999</v>
      </c>
      <c r="U18">
        <v>-7.5999999999999998E-2</v>
      </c>
      <c r="V18">
        <v>-0.13100000000000001</v>
      </c>
      <c r="W18">
        <v>-4.3999999999999997E-2</v>
      </c>
      <c r="X18">
        <v>-1.9E-2</v>
      </c>
      <c r="Y18">
        <v>-4.8000000000000001E-2</v>
      </c>
      <c r="Z18">
        <v>-1.0999999999999999E-2</v>
      </c>
      <c r="AA18">
        <v>-2.1000000000000001E-2</v>
      </c>
      <c r="AB18">
        <v>-6.0999999999999999E-2</v>
      </c>
      <c r="AC18">
        <v>0.17699999999999999</v>
      </c>
      <c r="AD18">
        <v>-8.3000000000000004E-2</v>
      </c>
      <c r="AE18">
        <v>-0.112</v>
      </c>
      <c r="AF18">
        <v>0.13800000000000001</v>
      </c>
      <c r="AG18">
        <v>6.2E-2</v>
      </c>
      <c r="AH18">
        <v>-3.0000000000000001E-3</v>
      </c>
      <c r="AI18">
        <v>-6.0000000000000001E-3</v>
      </c>
      <c r="AL18">
        <v>-5.0000000000000001E-3</v>
      </c>
      <c r="AM18">
        <v>9.1999999999999998E-2</v>
      </c>
      <c r="AN18">
        <v>-0.158</v>
      </c>
      <c r="AO18">
        <v>0.86799999999999999</v>
      </c>
      <c r="AP18">
        <v>-0.83599999999999997</v>
      </c>
      <c r="AQ18">
        <v>-1.7829999999999999</v>
      </c>
      <c r="AR18">
        <v>-1.643</v>
      </c>
      <c r="AS18">
        <v>8.0000000000000002E-3</v>
      </c>
      <c r="AT18">
        <v>-0.52700000000000002</v>
      </c>
      <c r="AU18">
        <v>-0.96699999999999997</v>
      </c>
      <c r="AV18">
        <v>2.8000000000000001E-2</v>
      </c>
      <c r="AW18">
        <v>-0.99399999999999999</v>
      </c>
      <c r="AX18">
        <v>-0.437</v>
      </c>
      <c r="AY18">
        <v>1.3129999999999999</v>
      </c>
      <c r="AZ18">
        <v>-0.17199999999999999</v>
      </c>
      <c r="BA18">
        <v>-0.17199999999999999</v>
      </c>
      <c r="BB18">
        <v>-1</v>
      </c>
      <c r="BC18">
        <v>3.2000000000000001E-2</v>
      </c>
      <c r="BD18">
        <v>-0.754</v>
      </c>
      <c r="BE18">
        <v>14.833</v>
      </c>
      <c r="BI18">
        <v>-2.8730000000000002</v>
      </c>
      <c r="BJ18">
        <v>-0.878</v>
      </c>
      <c r="BK18">
        <v>-0.437</v>
      </c>
      <c r="BL18">
        <v>-0.15</v>
      </c>
      <c r="BM18">
        <v>-0.21</v>
      </c>
      <c r="BN18">
        <v>0.30199999999999999</v>
      </c>
      <c r="BO18">
        <v>0.57799999999999996</v>
      </c>
      <c r="BP18">
        <v>0.23200000000000001</v>
      </c>
      <c r="BQ18">
        <v>-0.159</v>
      </c>
      <c r="BR18">
        <v>-2.1000000000000001E-2</v>
      </c>
    </row>
    <row r="19" spans="1:70" x14ac:dyDescent="0.25">
      <c r="A19" s="1" t="s">
        <v>86</v>
      </c>
      <c r="B19">
        <v>-0.129</v>
      </c>
      <c r="C19">
        <v>-0.18</v>
      </c>
      <c r="D19">
        <v>0.32800000000000001</v>
      </c>
      <c r="E19">
        <v>-0.29299999999999998</v>
      </c>
      <c r="F19">
        <v>-8.1000000000000003E-2</v>
      </c>
      <c r="G19">
        <v>6.0999999999999999E-2</v>
      </c>
      <c r="H19">
        <v>3.5</v>
      </c>
      <c r="I19">
        <v>0.30099999999999999</v>
      </c>
      <c r="J19">
        <v>0.16800000000000001</v>
      </c>
      <c r="K19">
        <v>-0.24</v>
      </c>
      <c r="L19">
        <v>-10.68</v>
      </c>
      <c r="M19">
        <v>1.679</v>
      </c>
      <c r="N19">
        <v>8.0000000000000002E-3</v>
      </c>
      <c r="O19">
        <v>8.0000000000000002E-3</v>
      </c>
      <c r="P19">
        <v>-0.249</v>
      </c>
      <c r="Q19">
        <v>0.88900000000000001</v>
      </c>
      <c r="R19">
        <v>-0.20499999999999999</v>
      </c>
      <c r="S19">
        <v>-0.437</v>
      </c>
      <c r="T19">
        <v>0.94899999999999995</v>
      </c>
      <c r="U19">
        <v>-4.3999999999999997E-2</v>
      </c>
      <c r="V19">
        <v>-0.20200000000000001</v>
      </c>
      <c r="W19">
        <v>3.5000000000000003E-2</v>
      </c>
      <c r="X19">
        <v>14.365</v>
      </c>
      <c r="Y19">
        <v>6.8869999999999996</v>
      </c>
      <c r="Z19">
        <v>-0.16</v>
      </c>
      <c r="AA19">
        <v>6.4000000000000001E-2</v>
      </c>
      <c r="AB19">
        <v>-5.2999999999999999E-2</v>
      </c>
      <c r="AC19">
        <v>-0.21</v>
      </c>
      <c r="AD19">
        <v>4.5999999999999999E-2</v>
      </c>
      <c r="AE19">
        <v>0.17599999999999999</v>
      </c>
      <c r="AF19">
        <v>-1E-3</v>
      </c>
      <c r="AG19">
        <v>1.7999999999999999E-2</v>
      </c>
      <c r="AH19">
        <v>7.1999999999999995E-2</v>
      </c>
      <c r="AI19">
        <v>3.0000000000000001E-3</v>
      </c>
      <c r="AL19">
        <v>-1.7000000000000001E-2</v>
      </c>
      <c r="AM19">
        <v>0.17899999999999999</v>
      </c>
      <c r="AN19">
        <v>-0.20100000000000001</v>
      </c>
      <c r="AO19">
        <v>-0.66600000000000004</v>
      </c>
      <c r="AP19">
        <v>-7.8310000000000004</v>
      </c>
      <c r="AQ19">
        <v>-1.39</v>
      </c>
      <c r="AR19">
        <v>5.9020000000000001</v>
      </c>
      <c r="AS19">
        <v>0.26700000000000002</v>
      </c>
      <c r="AT19">
        <v>0.14000000000000001</v>
      </c>
      <c r="AU19">
        <v>7.2729999999999997</v>
      </c>
      <c r="AV19">
        <v>-1.2669999999999999</v>
      </c>
      <c r="AW19">
        <v>-1.157</v>
      </c>
      <c r="AX19">
        <v>-1.4E-2</v>
      </c>
      <c r="AY19">
        <v>-0.74299999999999999</v>
      </c>
      <c r="AZ19">
        <v>8.7999999999999995E-2</v>
      </c>
      <c r="BA19">
        <v>8.7999999999999995E-2</v>
      </c>
      <c r="BB19">
        <v>2.5859999999999999</v>
      </c>
      <c r="BC19">
        <v>-7.0000000000000007E-2</v>
      </c>
      <c r="BD19">
        <v>1.61</v>
      </c>
      <c r="BE19">
        <v>1.4</v>
      </c>
      <c r="BF19">
        <v>-1</v>
      </c>
      <c r="BG19">
        <v>-1</v>
      </c>
      <c r="BH19">
        <v>-1</v>
      </c>
      <c r="BI19">
        <v>-0.24099999999999999</v>
      </c>
      <c r="BJ19">
        <v>-9.2110000000000003</v>
      </c>
      <c r="BK19">
        <v>-1.4E-2</v>
      </c>
      <c r="BL19">
        <v>-0.21</v>
      </c>
      <c r="BM19">
        <v>-0.17599999999999999</v>
      </c>
      <c r="BN19">
        <v>0.30499999999999999</v>
      </c>
      <c r="BO19">
        <v>2.5000000000000001E-2</v>
      </c>
      <c r="BP19">
        <v>0.26700000000000002</v>
      </c>
      <c r="BQ19">
        <v>-0.45900000000000002</v>
      </c>
      <c r="BR19">
        <v>-0.32100000000000001</v>
      </c>
    </row>
    <row r="20" spans="1:70" x14ac:dyDescent="0.25">
      <c r="A20" s="1" t="s">
        <v>87</v>
      </c>
      <c r="B20">
        <v>6.7000000000000004E-2</v>
      </c>
      <c r="C20">
        <v>9.7000000000000003E-2</v>
      </c>
      <c r="D20">
        <v>9.5000000000000001E-2</v>
      </c>
      <c r="E20">
        <v>0.124</v>
      </c>
      <c r="F20">
        <v>0.114</v>
      </c>
      <c r="G20">
        <v>-0.19500000000000001</v>
      </c>
      <c r="H20">
        <v>-1.1819999999999999</v>
      </c>
      <c r="I20">
        <v>-0.122</v>
      </c>
      <c r="J20">
        <v>0.122</v>
      </c>
      <c r="K20">
        <v>-0.34200000000000003</v>
      </c>
      <c r="L20">
        <v>7.3330000000000002</v>
      </c>
      <c r="M20">
        <v>-5.7000000000000002E-2</v>
      </c>
      <c r="N20">
        <v>6.0000000000000001E-3</v>
      </c>
      <c r="O20">
        <v>6.0000000000000001E-3</v>
      </c>
      <c r="P20">
        <v>-0.14000000000000001</v>
      </c>
      <c r="Q20" t="s">
        <v>96</v>
      </c>
      <c r="R20">
        <v>-0.106</v>
      </c>
      <c r="S20">
        <v>5.1999999999999998E-2</v>
      </c>
      <c r="T20">
        <v>2</v>
      </c>
      <c r="U20">
        <v>-1.2999999999999999E-2</v>
      </c>
      <c r="V20">
        <v>-8.1000000000000003E-2</v>
      </c>
      <c r="W20">
        <v>8.1000000000000003E-2</v>
      </c>
      <c r="X20">
        <v>0</v>
      </c>
      <c r="Y20">
        <v>-4.1000000000000002E-2</v>
      </c>
      <c r="Z20">
        <v>7.0000000000000001E-3</v>
      </c>
      <c r="AA20">
        <v>4.1000000000000002E-2</v>
      </c>
      <c r="AB20">
        <v>-1.6E-2</v>
      </c>
      <c r="AC20">
        <v>1.159</v>
      </c>
      <c r="AD20">
        <v>-5.0000000000000001E-3</v>
      </c>
      <c r="AE20">
        <v>0.05</v>
      </c>
      <c r="AF20">
        <v>8.0000000000000002E-3</v>
      </c>
      <c r="AG20">
        <v>6.0000000000000001E-3</v>
      </c>
      <c r="AH20">
        <v>2.1000000000000001E-2</v>
      </c>
      <c r="AI20">
        <v>3.7999999999999999E-2</v>
      </c>
      <c r="AL20">
        <v>4.0000000000000001E-3</v>
      </c>
      <c r="AM20">
        <v>7.1999999999999995E-2</v>
      </c>
      <c r="AN20">
        <v>-5.8000000000000003E-2</v>
      </c>
      <c r="AO20">
        <v>0.96699999999999997</v>
      </c>
      <c r="AP20">
        <v>-1.6910000000000001</v>
      </c>
      <c r="AQ20">
        <v>-4.6879999999999997</v>
      </c>
      <c r="AR20">
        <v>-0.89500000000000002</v>
      </c>
      <c r="AS20">
        <v>-0.01</v>
      </c>
      <c r="AT20">
        <v>-0.39400000000000002</v>
      </c>
      <c r="AU20">
        <v>0.375</v>
      </c>
      <c r="AV20">
        <v>3.617</v>
      </c>
      <c r="AW20">
        <v>-11.848000000000001</v>
      </c>
      <c r="AX20">
        <v>-3.7069999999999999</v>
      </c>
      <c r="AY20">
        <v>1.0489999999999999</v>
      </c>
      <c r="AZ20">
        <v>0.41099999999999998</v>
      </c>
      <c r="BA20">
        <v>0.41099999999999998</v>
      </c>
      <c r="BB20" t="s">
        <v>97</v>
      </c>
      <c r="BC20" t="s">
        <v>97</v>
      </c>
      <c r="BD20">
        <v>4.5119999999999996</v>
      </c>
      <c r="BE20">
        <v>-0.54500000000000004</v>
      </c>
      <c r="BF20">
        <v>-2</v>
      </c>
      <c r="BG20" t="s">
        <v>97</v>
      </c>
      <c r="BH20" t="s">
        <v>97</v>
      </c>
      <c r="BI20">
        <v>-1.042</v>
      </c>
      <c r="BJ20">
        <v>-1.5429999999999999</v>
      </c>
      <c r="BK20">
        <v>-3.7069999999999999</v>
      </c>
      <c r="BL20">
        <v>-0.17599999999999999</v>
      </c>
      <c r="BM20">
        <v>6.9000000000000006E-2</v>
      </c>
      <c r="BN20">
        <v>-0.13300000000000001</v>
      </c>
      <c r="BO20">
        <v>-0.10199999999999999</v>
      </c>
      <c r="BP20">
        <v>-7.0999999999999994E-2</v>
      </c>
      <c r="BQ20">
        <v>-0.153</v>
      </c>
      <c r="BR20">
        <v>-0.125</v>
      </c>
    </row>
    <row r="21" spans="1:70" x14ac:dyDescent="0.25">
      <c r="A21" s="1" t="s">
        <v>88</v>
      </c>
      <c r="B21">
        <v>0.20399999999999999</v>
      </c>
      <c r="C21">
        <v>0.37</v>
      </c>
      <c r="D21">
        <v>-0.63900000000000001</v>
      </c>
      <c r="E21">
        <v>-8.8999999999999996E-2</v>
      </c>
      <c r="F21">
        <v>-0.40400000000000003</v>
      </c>
      <c r="G21">
        <v>-0.754</v>
      </c>
      <c r="H21">
        <v>-2.375</v>
      </c>
      <c r="I21">
        <v>-0.79800000000000004</v>
      </c>
      <c r="J21">
        <v>-0.40400000000000003</v>
      </c>
      <c r="K21">
        <v>0.188</v>
      </c>
      <c r="L21">
        <v>-2.5</v>
      </c>
      <c r="M21">
        <v>-0.77800000000000002</v>
      </c>
      <c r="N21">
        <v>0.53300000000000003</v>
      </c>
      <c r="O21">
        <v>0.53100000000000003</v>
      </c>
      <c r="P21">
        <v>7.6999999999999999E-2</v>
      </c>
      <c r="R21">
        <v>7.6999999999999999E-2</v>
      </c>
      <c r="S21">
        <v>-0.105</v>
      </c>
      <c r="T21">
        <v>-0.75900000000000001</v>
      </c>
      <c r="U21">
        <v>0.16600000000000001</v>
      </c>
      <c r="V21">
        <v>0.06</v>
      </c>
      <c r="W21">
        <v>0.105</v>
      </c>
      <c r="X21">
        <v>0</v>
      </c>
      <c r="Y21">
        <v>-5.0999999999999997E-2</v>
      </c>
      <c r="Z21">
        <v>2E-3</v>
      </c>
      <c r="AA21">
        <v>2.8000000000000001E-2</v>
      </c>
      <c r="AB21">
        <v>4.2000000000000003E-2</v>
      </c>
      <c r="AC21">
        <v>-0.246</v>
      </c>
      <c r="AD21">
        <v>9.4E-2</v>
      </c>
      <c r="AE21">
        <v>-3.5999999999999997E-2</v>
      </c>
      <c r="AF21">
        <v>0.23599999999999999</v>
      </c>
      <c r="AG21">
        <v>0.14399999999999999</v>
      </c>
      <c r="AH21">
        <v>7.8E-2</v>
      </c>
      <c r="AI21">
        <v>0.13900000000000001</v>
      </c>
      <c r="AL21">
        <v>-71.643000000000001</v>
      </c>
      <c r="AM21">
        <v>8.2000000000000003E-2</v>
      </c>
      <c r="AN21">
        <v>-5.3999999999999999E-2</v>
      </c>
      <c r="AO21">
        <v>-5.8999999999999997E-2</v>
      </c>
      <c r="AP21">
        <v>-1.4159999999999999</v>
      </c>
      <c r="AQ21">
        <v>-4.556</v>
      </c>
      <c r="AR21">
        <v>-1.5640000000000001</v>
      </c>
      <c r="AS21">
        <v>-0.17100000000000001</v>
      </c>
      <c r="AT21">
        <v>-0.89800000000000002</v>
      </c>
      <c r="AU21">
        <v>-0.314</v>
      </c>
      <c r="AV21">
        <v>-1.4019999999999999</v>
      </c>
      <c r="AW21">
        <v>3.1E-2</v>
      </c>
      <c r="AX21">
        <v>-0.84199999999999997</v>
      </c>
      <c r="AY21">
        <v>-4.8000000000000001E-2</v>
      </c>
      <c r="AZ21">
        <v>-0.128</v>
      </c>
      <c r="BA21">
        <v>-0.128</v>
      </c>
      <c r="BB21">
        <v>-1</v>
      </c>
      <c r="BD21">
        <v>-0.16200000000000001</v>
      </c>
      <c r="BE21">
        <v>0.48599999999999999</v>
      </c>
      <c r="BF21" t="s">
        <v>97</v>
      </c>
      <c r="BI21">
        <v>-0.71799999999999997</v>
      </c>
      <c r="BJ21">
        <v>-4.8890000000000002</v>
      </c>
      <c r="BK21">
        <v>-0.84199999999999997</v>
      </c>
      <c r="BL21">
        <v>6.9000000000000006E-2</v>
      </c>
      <c r="BM21">
        <v>0.78200000000000003</v>
      </c>
      <c r="BN21">
        <v>-0.81299999999999994</v>
      </c>
      <c r="BO21">
        <v>-0.79800000000000004</v>
      </c>
      <c r="BP21">
        <v>-0.79400000000000004</v>
      </c>
      <c r="BQ21">
        <v>0.12</v>
      </c>
      <c r="BR21">
        <v>9.9000000000000005E-2</v>
      </c>
    </row>
    <row r="22" spans="1:70" x14ac:dyDescent="0.25">
      <c r="A22" s="1" t="s">
        <v>89</v>
      </c>
      <c r="B22">
        <v>2.1999999999999999E-2</v>
      </c>
      <c r="C22">
        <v>6.0000000000000001E-3</v>
      </c>
      <c r="D22">
        <v>2.8719999999999999</v>
      </c>
      <c r="E22">
        <v>0.17499999999999999</v>
      </c>
      <c r="F22">
        <v>0.95499999999999996</v>
      </c>
      <c r="G22">
        <v>6.4909999999999997</v>
      </c>
      <c r="H22">
        <v>-0.38500000000000001</v>
      </c>
      <c r="I22">
        <v>4.3049999999999997</v>
      </c>
      <c r="J22">
        <v>-0.30399999999999999</v>
      </c>
      <c r="K22">
        <v>0.45500000000000002</v>
      </c>
      <c r="L22">
        <v>-1.105</v>
      </c>
      <c r="M22">
        <v>4.1740000000000004</v>
      </c>
      <c r="N22">
        <v>-0.33800000000000002</v>
      </c>
      <c r="O22">
        <v>-0.33800000000000002</v>
      </c>
      <c r="P22">
        <v>1.044</v>
      </c>
      <c r="R22">
        <v>1.044</v>
      </c>
      <c r="S22">
        <v>0.20100000000000001</v>
      </c>
      <c r="T22">
        <v>7.0000000000000001E-3</v>
      </c>
      <c r="U22">
        <v>0.158</v>
      </c>
      <c r="V22">
        <v>0.80300000000000005</v>
      </c>
      <c r="W22">
        <v>5.0999999999999997E-2</v>
      </c>
      <c r="X22">
        <v>9.1999999999999998E-2</v>
      </c>
      <c r="Y22">
        <v>0</v>
      </c>
      <c r="Z22">
        <v>6.0000000000000001E-3</v>
      </c>
      <c r="AA22">
        <v>1.2999999999999999E-2</v>
      </c>
      <c r="AB22">
        <v>0.27</v>
      </c>
      <c r="AC22">
        <v>0.106</v>
      </c>
      <c r="AD22">
        <v>1.0999999999999999E-2</v>
      </c>
      <c r="AE22">
        <v>0.182</v>
      </c>
      <c r="AF22">
        <v>-0.28999999999999998</v>
      </c>
      <c r="AG22">
        <v>-0.66200000000000003</v>
      </c>
      <c r="AH22">
        <v>-0.54100000000000004</v>
      </c>
      <c r="AI22">
        <v>3.5999999999999997E-2</v>
      </c>
      <c r="AJ22">
        <v>-1</v>
      </c>
      <c r="AK22">
        <v>-1</v>
      </c>
      <c r="AL22">
        <v>2.5</v>
      </c>
      <c r="AM22">
        <v>0.59</v>
      </c>
      <c r="AN22">
        <v>-2.8879999999999999</v>
      </c>
      <c r="AO22">
        <v>0.25700000000000001</v>
      </c>
      <c r="AP22">
        <v>7.5999999999999998E-2</v>
      </c>
      <c r="AQ22" t="s">
        <v>96</v>
      </c>
      <c r="AR22" t="s">
        <v>96</v>
      </c>
      <c r="AS22">
        <v>-0.158</v>
      </c>
      <c r="AT22">
        <v>357.27300000000002</v>
      </c>
      <c r="AU22">
        <v>-9.75</v>
      </c>
      <c r="AV22">
        <v>1.6</v>
      </c>
      <c r="AW22">
        <v>-0.77700000000000002</v>
      </c>
      <c r="AX22">
        <v>-12.4</v>
      </c>
      <c r="AY22">
        <v>0.27700000000000002</v>
      </c>
      <c r="AZ22">
        <v>0.14699999999999999</v>
      </c>
      <c r="BA22">
        <v>0.14699999999999999</v>
      </c>
      <c r="BB22">
        <v>-1.024</v>
      </c>
      <c r="BD22">
        <v>-1.7549999999999999</v>
      </c>
      <c r="BE22">
        <v>-0.22900000000000001</v>
      </c>
      <c r="BI22">
        <v>-154.804</v>
      </c>
      <c r="BJ22">
        <v>2</v>
      </c>
      <c r="BK22">
        <v>-12.4</v>
      </c>
      <c r="BL22">
        <v>0.78200000000000003</v>
      </c>
      <c r="BM22">
        <v>-6.4000000000000001E-2</v>
      </c>
      <c r="BN22">
        <v>5.0380000000000003</v>
      </c>
      <c r="BO22">
        <v>4.2069999999999999</v>
      </c>
      <c r="BP22">
        <v>4.4180000000000001</v>
      </c>
      <c r="BQ22">
        <v>1.7150000000000001</v>
      </c>
      <c r="BR22">
        <v>0.52600000000000002</v>
      </c>
    </row>
    <row r="23" spans="1:70" x14ac:dyDescent="0.25">
      <c r="A23" s="1" t="s">
        <v>90</v>
      </c>
      <c r="B23">
        <v>4.2000000000000003E-2</v>
      </c>
      <c r="C23">
        <v>4.2999999999999997E-2</v>
      </c>
      <c r="D23">
        <v>-0.23799999999999999</v>
      </c>
      <c r="E23">
        <v>6.8000000000000005E-2</v>
      </c>
      <c r="F23">
        <v>-4.2999999999999997E-2</v>
      </c>
      <c r="G23">
        <v>0.11700000000000001</v>
      </c>
      <c r="H23">
        <v>2.714</v>
      </c>
      <c r="I23">
        <v>-1.7999999999999999E-2</v>
      </c>
      <c r="J23">
        <v>0.113</v>
      </c>
      <c r="K23">
        <v>0.25700000000000001</v>
      </c>
      <c r="L23">
        <v>-1.0589999999999999</v>
      </c>
      <c r="M23">
        <v>0.14099999999999999</v>
      </c>
      <c r="N23">
        <v>0</v>
      </c>
      <c r="O23">
        <v>0</v>
      </c>
      <c r="P23">
        <v>-0.10299999999999999</v>
      </c>
      <c r="R23">
        <v>-0.10299999999999999</v>
      </c>
      <c r="S23">
        <v>-0.19600000000000001</v>
      </c>
      <c r="T23">
        <v>-0.81599999999999995</v>
      </c>
      <c r="U23">
        <v>4.4470000000000001</v>
      </c>
      <c r="V23">
        <v>-8.4000000000000005E-2</v>
      </c>
      <c r="W23">
        <v>0.61399999999999999</v>
      </c>
      <c r="X23">
        <v>0</v>
      </c>
      <c r="Y23">
        <v>-4.9000000000000002E-2</v>
      </c>
      <c r="Z23">
        <v>4.0000000000000001E-3</v>
      </c>
      <c r="AA23">
        <v>7.3999999999999996E-2</v>
      </c>
      <c r="AB23">
        <v>1.7000000000000001E-2</v>
      </c>
      <c r="AC23">
        <v>7.0000000000000001E-3</v>
      </c>
      <c r="AD23" t="s">
        <v>96</v>
      </c>
      <c r="AE23">
        <v>-0.113</v>
      </c>
      <c r="AF23">
        <v>0.8</v>
      </c>
      <c r="AG23">
        <v>2.37</v>
      </c>
      <c r="AH23">
        <v>1.4039999999999999</v>
      </c>
      <c r="AI23" t="s">
        <v>96</v>
      </c>
      <c r="AJ23" t="s">
        <v>96</v>
      </c>
      <c r="AK23" t="s">
        <v>97</v>
      </c>
      <c r="AL23" t="s">
        <v>97</v>
      </c>
      <c r="AM23">
        <v>-0.14199999999999999</v>
      </c>
      <c r="AN23">
        <v>-1.8160000000000001</v>
      </c>
      <c r="AO23">
        <v>-0.03</v>
      </c>
      <c r="AP23">
        <v>-3.625</v>
      </c>
      <c r="AQ23">
        <v>-1</v>
      </c>
      <c r="AR23">
        <v>-1</v>
      </c>
      <c r="AS23">
        <v>0.33900000000000002</v>
      </c>
      <c r="AT23">
        <v>-0.56000000000000005</v>
      </c>
      <c r="AU23">
        <v>-1.01</v>
      </c>
      <c r="AV23">
        <v>-0.127</v>
      </c>
      <c r="AW23">
        <v>1.389</v>
      </c>
      <c r="AX23">
        <v>-1.3109999999999999</v>
      </c>
      <c r="AY23">
        <v>0.06</v>
      </c>
      <c r="AZ23">
        <v>-0.34200000000000003</v>
      </c>
      <c r="BA23">
        <v>-0.34200000000000003</v>
      </c>
      <c r="BB23" t="s">
        <v>96</v>
      </c>
      <c r="BD23">
        <v>-2.3079999999999998</v>
      </c>
      <c r="BE23">
        <v>0.29699999999999999</v>
      </c>
      <c r="BI23">
        <v>-1.0189999999999999</v>
      </c>
      <c r="BJ23">
        <v>-0.78600000000000003</v>
      </c>
      <c r="BK23">
        <v>-1.3109999999999999</v>
      </c>
      <c r="BL23">
        <v>-6.4000000000000001E-2</v>
      </c>
      <c r="BM23">
        <v>0.26</v>
      </c>
      <c r="BN23">
        <v>-5.8999999999999997E-2</v>
      </c>
      <c r="BO23">
        <v>0.44</v>
      </c>
      <c r="BP23">
        <v>-0.108</v>
      </c>
      <c r="BQ23">
        <v>-3.9E-2</v>
      </c>
      <c r="BR23">
        <v>3.2000000000000001E-2</v>
      </c>
    </row>
    <row r="24" spans="1:70" x14ac:dyDescent="0.25">
      <c r="A24" s="1" t="s">
        <v>91</v>
      </c>
      <c r="B24">
        <v>0.01</v>
      </c>
      <c r="C24">
        <v>-5.1999999999999998E-2</v>
      </c>
      <c r="D24">
        <v>0.20699999999999999</v>
      </c>
      <c r="E24">
        <v>0.24099999999999999</v>
      </c>
      <c r="F24">
        <v>0.22800000000000001</v>
      </c>
      <c r="G24">
        <v>-0.157</v>
      </c>
      <c r="H24">
        <v>-0.63200000000000001</v>
      </c>
      <c r="I24">
        <v>0.38</v>
      </c>
      <c r="J24">
        <v>0.21099999999999999</v>
      </c>
      <c r="K24">
        <v>0.29599999999999999</v>
      </c>
      <c r="L24">
        <v>-323</v>
      </c>
      <c r="M24">
        <v>-0.1</v>
      </c>
      <c r="N24">
        <v>-1.4E-2</v>
      </c>
      <c r="O24">
        <v>-1.4E-2</v>
      </c>
      <c r="P24" t="s">
        <v>96</v>
      </c>
      <c r="R24" t="s">
        <v>96</v>
      </c>
      <c r="S24" t="s">
        <v>96</v>
      </c>
      <c r="T24" t="s">
        <v>96</v>
      </c>
      <c r="U24" t="s">
        <v>96</v>
      </c>
      <c r="V24" t="s">
        <v>96</v>
      </c>
      <c r="W24" t="s">
        <v>96</v>
      </c>
      <c r="X24" t="s">
        <v>96</v>
      </c>
      <c r="Y24" t="s">
        <v>96</v>
      </c>
      <c r="Z24" t="s">
        <v>96</v>
      </c>
      <c r="AA24" t="s">
        <v>96</v>
      </c>
      <c r="AB24" t="s">
        <v>96</v>
      </c>
      <c r="AC24" t="s">
        <v>96</v>
      </c>
      <c r="AE24" t="s">
        <v>96</v>
      </c>
      <c r="AF24" t="s">
        <v>96</v>
      </c>
      <c r="AG24" t="s">
        <v>96</v>
      </c>
      <c r="AH24" t="s">
        <v>96</v>
      </c>
      <c r="AM24" t="s">
        <v>97</v>
      </c>
      <c r="AN24" t="s">
        <v>96</v>
      </c>
      <c r="AO24">
        <v>0.55800000000000005</v>
      </c>
      <c r="AP24">
        <v>-1.2370000000000001</v>
      </c>
      <c r="AQ24">
        <v>-2.9289999999999998</v>
      </c>
      <c r="AR24">
        <v>-1.1359999999999999</v>
      </c>
      <c r="AS24">
        <v>-0.16800000000000001</v>
      </c>
      <c r="AT24">
        <v>-0.60899999999999999</v>
      </c>
      <c r="AU24">
        <v>6.7</v>
      </c>
      <c r="AV24">
        <v>0.64700000000000002</v>
      </c>
      <c r="AW24">
        <v>-0.27100000000000002</v>
      </c>
      <c r="AX24">
        <v>-3.2109999999999999</v>
      </c>
      <c r="AY24">
        <v>0.66100000000000003</v>
      </c>
      <c r="AZ24">
        <v>0.28100000000000003</v>
      </c>
      <c r="BA24">
        <v>0.28100000000000003</v>
      </c>
      <c r="BB24">
        <v>-1</v>
      </c>
      <c r="BD24">
        <v>1.137</v>
      </c>
      <c r="BE24">
        <v>-0.88600000000000001</v>
      </c>
      <c r="BG24">
        <v>-1</v>
      </c>
      <c r="BI24">
        <v>-8.9139999999999997</v>
      </c>
      <c r="BJ24">
        <v>-1.452</v>
      </c>
      <c r="BK24">
        <v>-3.2109999999999999</v>
      </c>
      <c r="BL24">
        <v>0.26</v>
      </c>
      <c r="BM24">
        <v>-0.105</v>
      </c>
      <c r="BN24">
        <v>0.49399999999999999</v>
      </c>
      <c r="BO24">
        <v>-4.2999999999999997E-2</v>
      </c>
      <c r="BP24">
        <v>0.45200000000000001</v>
      </c>
      <c r="BQ24" t="s">
        <v>96</v>
      </c>
    </row>
    <row r="25" spans="1:70" x14ac:dyDescent="0.25">
      <c r="A25" s="1" t="s">
        <v>92</v>
      </c>
      <c r="B25">
        <v>6.4000000000000001E-2</v>
      </c>
      <c r="C25">
        <v>6.0000000000000001E-3</v>
      </c>
      <c r="D25">
        <v>-0.27900000000000003</v>
      </c>
      <c r="E25">
        <v>9.8000000000000004E-2</v>
      </c>
      <c r="F25">
        <v>-0.08</v>
      </c>
      <c r="G25">
        <v>0.189</v>
      </c>
      <c r="H25">
        <v>-0.73199999999999998</v>
      </c>
      <c r="I25">
        <v>3.2000000000000001E-2</v>
      </c>
      <c r="J25">
        <v>6.0000000000000001E-3</v>
      </c>
      <c r="K25">
        <v>0.125</v>
      </c>
      <c r="L25">
        <v>-0.96399999999999997</v>
      </c>
      <c r="M25">
        <v>0.123</v>
      </c>
      <c r="N25">
        <v>0</v>
      </c>
      <c r="O25">
        <v>0</v>
      </c>
      <c r="AO25">
        <v>1.07</v>
      </c>
      <c r="AP25">
        <v>18.882000000000001</v>
      </c>
      <c r="AQ25">
        <v>-2</v>
      </c>
      <c r="AR25">
        <v>0.80400000000000005</v>
      </c>
      <c r="AS25">
        <v>0.33700000000000002</v>
      </c>
      <c r="AT25">
        <v>2.2000000000000002</v>
      </c>
      <c r="AU25">
        <v>2.125</v>
      </c>
      <c r="AV25">
        <v>-0.61399999999999999</v>
      </c>
      <c r="AW25">
        <v>-3.5000000000000003E-2</v>
      </c>
      <c r="AX25">
        <v>-1.7529999999999999</v>
      </c>
      <c r="AY25">
        <v>1.68</v>
      </c>
      <c r="AZ25">
        <v>0.28599999999999998</v>
      </c>
      <c r="BA25">
        <v>0.28599999999999998</v>
      </c>
      <c r="BB25">
        <v>-1.1719999999999999</v>
      </c>
      <c r="BD25">
        <v>-0.19800000000000001</v>
      </c>
      <c r="BE25">
        <v>1.355</v>
      </c>
      <c r="BG25">
        <v>-0.5</v>
      </c>
      <c r="BI25">
        <v>-1.23</v>
      </c>
      <c r="BJ25">
        <v>-0.70199999999999996</v>
      </c>
      <c r="BK25">
        <v>-1.7529999999999999</v>
      </c>
      <c r="BL25">
        <v>-0.105</v>
      </c>
      <c r="BM25">
        <v>0.16300000000000001</v>
      </c>
      <c r="BN25">
        <v>-1.4E-2</v>
      </c>
      <c r="BO25">
        <v>-4.0000000000000001E-3</v>
      </c>
      <c r="BP25">
        <v>3.3000000000000002E-2</v>
      </c>
    </row>
    <row r="26" spans="1:70" x14ac:dyDescent="0.25">
      <c r="A26" s="1" t="s">
        <v>93</v>
      </c>
      <c r="B26">
        <v>7.0999999999999994E-2</v>
      </c>
      <c r="C26">
        <v>-1E-3</v>
      </c>
      <c r="D26">
        <v>0.48699999999999999</v>
      </c>
      <c r="E26">
        <v>5.6000000000000001E-2</v>
      </c>
      <c r="F26">
        <v>0.223</v>
      </c>
      <c r="G26">
        <v>7.3999999999999996E-2</v>
      </c>
      <c r="H26">
        <v>-0.44500000000000001</v>
      </c>
      <c r="I26">
        <v>0.54600000000000004</v>
      </c>
      <c r="J26">
        <v>0.21199999999999999</v>
      </c>
      <c r="K26">
        <v>0.33300000000000002</v>
      </c>
      <c r="L26">
        <v>-0.95099999999999996</v>
      </c>
      <c r="M26">
        <v>-1.234</v>
      </c>
      <c r="N26">
        <v>0</v>
      </c>
      <c r="O26">
        <v>0</v>
      </c>
      <c r="AO26">
        <v>-0.29699999999999999</v>
      </c>
      <c r="AP26">
        <v>3.25</v>
      </c>
      <c r="AQ26">
        <v>-1.212</v>
      </c>
      <c r="AR26">
        <v>-2.4159999999999999</v>
      </c>
      <c r="AS26">
        <v>0.114</v>
      </c>
      <c r="AT26">
        <v>-0.67200000000000004</v>
      </c>
      <c r="AU26">
        <v>-1.0329999999999999</v>
      </c>
      <c r="AV26">
        <v>3.4489999999999998</v>
      </c>
      <c r="AW26">
        <v>-1.4999999999999999E-2</v>
      </c>
      <c r="AX26">
        <v>1.3460000000000001</v>
      </c>
      <c r="AY26">
        <v>-0.48499999999999999</v>
      </c>
      <c r="AZ26">
        <v>0.32200000000000001</v>
      </c>
      <c r="BA26">
        <v>0.32200000000000001</v>
      </c>
      <c r="BB26">
        <v>-0.84899999999999998</v>
      </c>
      <c r="BD26">
        <v>-0.75700000000000001</v>
      </c>
      <c r="BE26">
        <v>0.39400000000000002</v>
      </c>
      <c r="BG26">
        <v>-0.71399999999999997</v>
      </c>
      <c r="BI26">
        <v>0.223</v>
      </c>
      <c r="BJ26">
        <v>-53</v>
      </c>
      <c r="BK26">
        <v>1.3460000000000001</v>
      </c>
      <c r="BL26">
        <v>0.16300000000000001</v>
      </c>
      <c r="BM26">
        <v>7.3999999999999996E-2</v>
      </c>
      <c r="BN26">
        <v>0.64400000000000002</v>
      </c>
      <c r="BO26">
        <v>-0.27200000000000002</v>
      </c>
      <c r="BP26">
        <v>0.58299999999999996</v>
      </c>
    </row>
    <row r="27" spans="1:70" x14ac:dyDescent="0.25">
      <c r="A27" s="1" t="s">
        <v>94</v>
      </c>
    </row>
    <row r="28" spans="1:70" x14ac:dyDescent="0.25">
      <c r="A28" s="1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28"/>
  <sheetViews>
    <sheetView workbookViewId="0">
      <selection activeCell="O2" sqref="O2"/>
    </sheetView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>
        <v>0.159</v>
      </c>
      <c r="C2">
        <v>-9.6000000000000002E-2</v>
      </c>
      <c r="D2">
        <v>0.39700000000000002</v>
      </c>
      <c r="E2">
        <v>-8.5000000000000006E-2</v>
      </c>
      <c r="F2">
        <v>-3.2000000000000001E-2</v>
      </c>
      <c r="G2">
        <v>-5.8999999999999997E-2</v>
      </c>
      <c r="H2">
        <v>-0.95899999999999996</v>
      </c>
      <c r="I2">
        <v>1.89</v>
      </c>
      <c r="J2">
        <v>-3.5000000000000003E-2</v>
      </c>
      <c r="K2">
        <v>0.64500000000000002</v>
      </c>
      <c r="L2">
        <v>-0.123</v>
      </c>
      <c r="M2">
        <v>1.5760000000000001</v>
      </c>
      <c r="N2">
        <v>3.2000000000000001E-2</v>
      </c>
      <c r="O2">
        <v>3.4000000000000002E-2</v>
      </c>
      <c r="P2">
        <v>5.6000000000000001E-2</v>
      </c>
      <c r="Q2">
        <v>2.3359999999999999</v>
      </c>
      <c r="R2">
        <v>0.27700000000000002</v>
      </c>
      <c r="S2">
        <v>0.69699999999999995</v>
      </c>
      <c r="T2">
        <v>-1</v>
      </c>
      <c r="U2">
        <v>-0.36599999999999999</v>
      </c>
      <c r="V2">
        <v>0.17100000000000001</v>
      </c>
      <c r="W2">
        <v>-5.7000000000000002E-2</v>
      </c>
      <c r="X2">
        <v>-8.0000000000000002E-3</v>
      </c>
      <c r="Y2">
        <v>-0.21299999999999999</v>
      </c>
      <c r="Z2">
        <v>1.804</v>
      </c>
      <c r="AA2">
        <v>0.24</v>
      </c>
      <c r="AB2">
        <v>0.219</v>
      </c>
      <c r="AC2">
        <v>8.4000000000000005E-2</v>
      </c>
      <c r="AD2">
        <v>0.96099999999999997</v>
      </c>
      <c r="AE2">
        <v>0.19500000000000001</v>
      </c>
      <c r="AF2">
        <v>-0.129</v>
      </c>
      <c r="AG2">
        <v>0.11600000000000001</v>
      </c>
      <c r="AH2">
        <v>0.14399999999999999</v>
      </c>
      <c r="AI2">
        <v>-0.16</v>
      </c>
      <c r="AL2">
        <v>0.23100000000000001</v>
      </c>
      <c r="AM2">
        <v>-7.0999999999999994E-2</v>
      </c>
      <c r="AN2">
        <v>0.40200000000000002</v>
      </c>
      <c r="AO2">
        <v>0.51</v>
      </c>
      <c r="AP2">
        <v>11.462</v>
      </c>
      <c r="AQ2">
        <v>2.6840000000000002</v>
      </c>
      <c r="AR2">
        <v>-1</v>
      </c>
      <c r="AS2">
        <v>-0.13</v>
      </c>
      <c r="AT2">
        <v>-9.7000000000000003E-2</v>
      </c>
      <c r="AU2">
        <v>-2.1669999999999998</v>
      </c>
      <c r="AV2">
        <v>0.46700000000000003</v>
      </c>
      <c r="AW2">
        <v>0.27</v>
      </c>
      <c r="AX2">
        <v>-1.3320000000000001</v>
      </c>
      <c r="AY2">
        <v>0.52900000000000003</v>
      </c>
      <c r="AZ2">
        <v>0.98</v>
      </c>
      <c r="BA2">
        <v>0.98</v>
      </c>
      <c r="BB2">
        <v>-0.98899999999999999</v>
      </c>
      <c r="BC2">
        <v>1.458</v>
      </c>
      <c r="BD2">
        <v>-5.1079999999999997</v>
      </c>
      <c r="BE2">
        <v>-0.14299999999999999</v>
      </c>
      <c r="BF2">
        <v>0.21199999999999999</v>
      </c>
      <c r="BG2" t="s">
        <v>97</v>
      </c>
      <c r="BI2">
        <v>-5.548</v>
      </c>
      <c r="BJ2">
        <v>-3.0739999999999998</v>
      </c>
      <c r="BK2">
        <v>-1.3320000000000001</v>
      </c>
      <c r="BL2">
        <v>-0.377</v>
      </c>
      <c r="BM2">
        <v>-0.14199999999999999</v>
      </c>
      <c r="BN2">
        <v>1.103</v>
      </c>
      <c r="BO2">
        <v>2.391</v>
      </c>
      <c r="BP2">
        <v>1.1160000000000001</v>
      </c>
      <c r="BQ2">
        <v>6.7000000000000004E-2</v>
      </c>
      <c r="BR2">
        <v>-0.02</v>
      </c>
    </row>
    <row r="3" spans="1:70" x14ac:dyDescent="0.25">
      <c r="A3" s="1" t="s">
        <v>70</v>
      </c>
      <c r="B3">
        <v>0.14799999999999999</v>
      </c>
      <c r="C3">
        <v>0.112</v>
      </c>
      <c r="D3">
        <v>0.28299999999999997</v>
      </c>
      <c r="E3">
        <v>-0.27300000000000002</v>
      </c>
      <c r="F3">
        <v>-3.5000000000000003E-2</v>
      </c>
      <c r="G3">
        <v>1.9E-2</v>
      </c>
      <c r="H3">
        <v>-3.286</v>
      </c>
      <c r="I3">
        <v>-1.6559999999999999</v>
      </c>
      <c r="J3">
        <v>-0.26200000000000001</v>
      </c>
      <c r="K3">
        <v>0.82799999999999996</v>
      </c>
      <c r="L3">
        <v>-0.47299999999999998</v>
      </c>
      <c r="M3">
        <v>3.1659999999999999</v>
      </c>
      <c r="N3">
        <v>3.4000000000000002E-2</v>
      </c>
      <c r="O3">
        <v>3.5000000000000003E-2</v>
      </c>
      <c r="P3">
        <v>0.441</v>
      </c>
      <c r="Q3">
        <v>5.149</v>
      </c>
      <c r="R3">
        <v>0.57699999999999996</v>
      </c>
      <c r="S3">
        <v>0.442</v>
      </c>
      <c r="T3">
        <v>-1</v>
      </c>
      <c r="U3">
        <v>0.14899999999999999</v>
      </c>
      <c r="V3">
        <v>0.313</v>
      </c>
      <c r="W3">
        <v>-6.6000000000000003E-2</v>
      </c>
      <c r="X3">
        <v>-1.2E-2</v>
      </c>
      <c r="Y3">
        <v>-0.24399999999999999</v>
      </c>
      <c r="Z3">
        <v>1.365</v>
      </c>
      <c r="AA3">
        <v>0.184</v>
      </c>
      <c r="AB3">
        <v>0.22</v>
      </c>
      <c r="AC3">
        <v>0.17</v>
      </c>
      <c r="AD3">
        <v>-4.7E-2</v>
      </c>
      <c r="AE3">
        <v>0.151</v>
      </c>
      <c r="AF3">
        <v>-0.13100000000000001</v>
      </c>
      <c r="AG3">
        <v>0.13300000000000001</v>
      </c>
      <c r="AH3">
        <v>0.14000000000000001</v>
      </c>
      <c r="AI3">
        <v>-0.16600000000000001</v>
      </c>
      <c r="AL3">
        <v>0.23799999999999999</v>
      </c>
      <c r="AM3">
        <v>-5.0999999999999997E-2</v>
      </c>
      <c r="AN3">
        <v>0.441</v>
      </c>
      <c r="AO3">
        <v>1.577</v>
      </c>
      <c r="AP3">
        <v>-3.512</v>
      </c>
      <c r="AQ3">
        <v>-7.5709999999999997</v>
      </c>
      <c r="AS3">
        <v>-8.2000000000000003E-2</v>
      </c>
      <c r="AT3">
        <v>0.03</v>
      </c>
      <c r="AU3">
        <v>-2.6</v>
      </c>
      <c r="AV3">
        <v>1.446</v>
      </c>
      <c r="AW3">
        <v>9.3810000000000002</v>
      </c>
      <c r="AX3">
        <v>1.948</v>
      </c>
      <c r="AY3">
        <v>1.429</v>
      </c>
      <c r="AZ3">
        <v>0</v>
      </c>
      <c r="BA3">
        <v>0</v>
      </c>
      <c r="BB3" t="s">
        <v>96</v>
      </c>
      <c r="BC3">
        <v>1.6040000000000001</v>
      </c>
      <c r="BD3">
        <v>-0.39300000000000002</v>
      </c>
      <c r="BE3">
        <v>0.85699999999999998</v>
      </c>
      <c r="BI3">
        <v>0.45800000000000002</v>
      </c>
      <c r="BJ3">
        <v>-6.875</v>
      </c>
      <c r="BK3">
        <v>1.948</v>
      </c>
      <c r="BL3">
        <v>-0.14199999999999999</v>
      </c>
      <c r="BM3">
        <v>-0.17899999999999999</v>
      </c>
      <c r="BN3">
        <v>-7.5819999999999999</v>
      </c>
      <c r="BO3">
        <v>-1.4510000000000001</v>
      </c>
      <c r="BP3">
        <v>-3.7229999999999999</v>
      </c>
      <c r="BQ3">
        <v>3.0569999999999999</v>
      </c>
      <c r="BR3">
        <v>0.14099999999999999</v>
      </c>
    </row>
    <row r="4" spans="1:70" x14ac:dyDescent="0.25">
      <c r="A4" s="1" t="s">
        <v>71</v>
      </c>
      <c r="B4">
        <v>0.154</v>
      </c>
      <c r="C4">
        <v>0.17499999999999999</v>
      </c>
      <c r="D4">
        <v>-0.191</v>
      </c>
      <c r="E4">
        <v>-0.16700000000000001</v>
      </c>
      <c r="F4">
        <v>-0.17599999999999999</v>
      </c>
      <c r="G4">
        <v>0.05</v>
      </c>
      <c r="H4">
        <v>-1.0429999999999999</v>
      </c>
      <c r="I4">
        <v>-10.731</v>
      </c>
      <c r="J4">
        <v>2.5999999999999999E-2</v>
      </c>
      <c r="K4">
        <v>1.1919999999999999</v>
      </c>
      <c r="L4">
        <v>-2.5830000000000002</v>
      </c>
      <c r="M4">
        <v>1.4019999999999999</v>
      </c>
      <c r="N4">
        <v>3.3000000000000002E-2</v>
      </c>
      <c r="O4">
        <v>0.03</v>
      </c>
      <c r="P4">
        <v>0.30299999999999999</v>
      </c>
      <c r="Q4">
        <v>6.0579999999999998</v>
      </c>
      <c r="R4">
        <v>0.441</v>
      </c>
      <c r="S4">
        <v>0.48299999999999998</v>
      </c>
      <c r="T4">
        <v>-1</v>
      </c>
      <c r="U4">
        <v>-0.34799999999999998</v>
      </c>
      <c r="V4">
        <v>0.221</v>
      </c>
      <c r="W4">
        <v>-6.0999999999999999E-2</v>
      </c>
      <c r="X4">
        <v>-1.4E-2</v>
      </c>
      <c r="Y4">
        <v>-0.24</v>
      </c>
      <c r="Z4">
        <v>1.4670000000000001</v>
      </c>
      <c r="AA4">
        <v>0.19900000000000001</v>
      </c>
      <c r="AB4">
        <v>0.20499999999999999</v>
      </c>
      <c r="AC4">
        <v>8.5000000000000006E-2</v>
      </c>
      <c r="AD4">
        <v>1.4830000000000001</v>
      </c>
      <c r="AE4">
        <v>6.8000000000000005E-2</v>
      </c>
      <c r="AF4">
        <v>-0.13500000000000001</v>
      </c>
      <c r="AG4">
        <v>0.123</v>
      </c>
      <c r="AH4">
        <v>0.10199999999999999</v>
      </c>
      <c r="AI4">
        <v>-1E-3</v>
      </c>
      <c r="AL4">
        <v>0.23100000000000001</v>
      </c>
      <c r="AM4">
        <v>-6.6000000000000003E-2</v>
      </c>
      <c r="AN4">
        <v>0.49099999999999999</v>
      </c>
      <c r="AO4">
        <v>-3.5350000000000001</v>
      </c>
      <c r="AP4">
        <v>0.223</v>
      </c>
      <c r="AQ4">
        <v>-0.58499999999999996</v>
      </c>
      <c r="AR4" t="s">
        <v>96</v>
      </c>
      <c r="AS4">
        <v>-0.09</v>
      </c>
      <c r="AT4">
        <v>-2.7E-2</v>
      </c>
      <c r="AU4">
        <v>-0.96799999999999997</v>
      </c>
      <c r="AV4">
        <v>-0.502</v>
      </c>
      <c r="AW4">
        <v>-1.2989999999999999</v>
      </c>
      <c r="AX4">
        <v>-1.1040000000000001</v>
      </c>
      <c r="AY4">
        <v>-4.3730000000000002</v>
      </c>
      <c r="AZ4">
        <v>-6.8000000000000005E-2</v>
      </c>
      <c r="BA4">
        <v>-6.8000000000000005E-2</v>
      </c>
      <c r="BB4">
        <v>26.731000000000002</v>
      </c>
      <c r="BC4">
        <v>0.67100000000000004</v>
      </c>
      <c r="BD4">
        <v>-0.53700000000000003</v>
      </c>
      <c r="BE4">
        <v>6.8000000000000005E-2</v>
      </c>
      <c r="BF4">
        <v>0.36399999999999999</v>
      </c>
      <c r="BG4" t="s">
        <v>96</v>
      </c>
      <c r="BI4">
        <v>-1.5169999999999999</v>
      </c>
      <c r="BJ4">
        <v>-0.38600000000000001</v>
      </c>
      <c r="BK4">
        <v>-1.1040000000000001</v>
      </c>
      <c r="BL4">
        <v>-0.17899999999999999</v>
      </c>
      <c r="BM4">
        <v>-0.38800000000000001</v>
      </c>
      <c r="BN4">
        <v>4.4809999999999999</v>
      </c>
      <c r="BO4">
        <v>29.529</v>
      </c>
      <c r="BP4">
        <v>7.2469999999999999</v>
      </c>
      <c r="BQ4">
        <v>3.6539999999999999</v>
      </c>
      <c r="BR4">
        <v>0.14399999999999999</v>
      </c>
    </row>
    <row r="5" spans="1:70" x14ac:dyDescent="0.25">
      <c r="A5" s="1" t="s">
        <v>72</v>
      </c>
      <c r="B5">
        <v>0.114</v>
      </c>
      <c r="C5">
        <v>0.156</v>
      </c>
      <c r="D5">
        <v>-0.28899999999999998</v>
      </c>
      <c r="E5">
        <v>-0.184</v>
      </c>
      <c r="F5">
        <v>-0.23</v>
      </c>
      <c r="G5">
        <v>4.9000000000000002E-2</v>
      </c>
      <c r="H5">
        <v>5</v>
      </c>
      <c r="I5">
        <v>-1.796</v>
      </c>
      <c r="J5">
        <v>0.13700000000000001</v>
      </c>
      <c r="K5">
        <v>2.4209999999999998</v>
      </c>
      <c r="L5">
        <v>-1.69</v>
      </c>
      <c r="M5">
        <v>-1.1830000000000001</v>
      </c>
      <c r="N5">
        <v>3.3000000000000002E-2</v>
      </c>
      <c r="O5">
        <v>6.5000000000000002E-2</v>
      </c>
      <c r="P5">
        <v>-8.5999999999999993E-2</v>
      </c>
      <c r="Q5" t="s">
        <v>96</v>
      </c>
      <c r="R5">
        <v>6.3E-2</v>
      </c>
      <c r="S5">
        <v>0.216</v>
      </c>
      <c r="T5">
        <v>0.40500000000000003</v>
      </c>
      <c r="U5">
        <v>0.16</v>
      </c>
      <c r="V5">
        <v>0.14000000000000001</v>
      </c>
      <c r="W5">
        <v>4.0000000000000001E-3</v>
      </c>
      <c r="X5">
        <v>-1.9E-2</v>
      </c>
      <c r="Y5">
        <v>-0.24099999999999999</v>
      </c>
      <c r="Z5">
        <v>0.13100000000000001</v>
      </c>
      <c r="AA5">
        <v>0.16200000000000001</v>
      </c>
      <c r="AB5">
        <v>0.155</v>
      </c>
      <c r="AC5">
        <v>3.2000000000000001E-2</v>
      </c>
      <c r="AD5">
        <v>-7.9000000000000001E-2</v>
      </c>
      <c r="AE5">
        <v>4.2999999999999997E-2</v>
      </c>
      <c r="AF5">
        <v>-7.0000000000000001E-3</v>
      </c>
      <c r="AG5">
        <v>9.0999999999999998E-2</v>
      </c>
      <c r="AH5">
        <v>7.1999999999999995E-2</v>
      </c>
      <c r="AI5">
        <v>-4.2000000000000003E-2</v>
      </c>
      <c r="AL5">
        <v>7.0000000000000001E-3</v>
      </c>
      <c r="AM5">
        <v>-3.2000000000000001E-2</v>
      </c>
      <c r="AN5">
        <v>0.42099999999999999</v>
      </c>
      <c r="AO5">
        <v>1.528</v>
      </c>
      <c r="AP5">
        <v>4.7560000000000002</v>
      </c>
      <c r="AQ5">
        <v>-4.2</v>
      </c>
      <c r="AR5" t="s">
        <v>97</v>
      </c>
      <c r="AS5">
        <v>-9.7000000000000003E-2</v>
      </c>
      <c r="AT5">
        <v>2.1000000000000001E-2</v>
      </c>
      <c r="AU5">
        <v>0</v>
      </c>
      <c r="AV5">
        <v>-1.3069999999999999</v>
      </c>
      <c r="AW5">
        <v>2.1509999999999998</v>
      </c>
      <c r="AX5">
        <v>-3.0710000000000002</v>
      </c>
      <c r="AY5">
        <v>1.236</v>
      </c>
      <c r="AZ5">
        <v>-0.17599999999999999</v>
      </c>
      <c r="BA5">
        <v>-0.17599999999999999</v>
      </c>
      <c r="BB5">
        <v>-0.308</v>
      </c>
      <c r="BC5" t="s">
        <v>97</v>
      </c>
      <c r="BD5">
        <v>-8.5259999999999998</v>
      </c>
      <c r="BE5">
        <v>0.71799999999999997</v>
      </c>
      <c r="BF5">
        <v>-1</v>
      </c>
      <c r="BI5">
        <v>-1.3580000000000001</v>
      </c>
      <c r="BJ5">
        <v>-0.64600000000000002</v>
      </c>
      <c r="BK5">
        <v>-3.0710000000000002</v>
      </c>
      <c r="BL5">
        <v>-0.20499999999999999</v>
      </c>
      <c r="BM5">
        <v>7.5999999999999998E-2</v>
      </c>
      <c r="BN5">
        <v>-3.2349999999999999</v>
      </c>
      <c r="BO5">
        <v>-1.7849999999999999</v>
      </c>
      <c r="BP5">
        <v>-2.573</v>
      </c>
      <c r="BQ5">
        <v>2.661</v>
      </c>
      <c r="BR5">
        <v>9.2999999999999999E-2</v>
      </c>
    </row>
    <row r="6" spans="1:70" x14ac:dyDescent="0.25">
      <c r="A6" s="1" t="s">
        <v>73</v>
      </c>
      <c r="B6">
        <v>0.14299999999999999</v>
      </c>
      <c r="C6">
        <v>0.27200000000000002</v>
      </c>
      <c r="D6">
        <v>-0.42299999999999999</v>
      </c>
      <c r="E6">
        <v>0</v>
      </c>
      <c r="F6">
        <v>-0.17399999999999999</v>
      </c>
      <c r="G6">
        <v>0.14799999999999999</v>
      </c>
      <c r="H6">
        <v>-1.171</v>
      </c>
      <c r="I6">
        <v>-1.4570000000000001</v>
      </c>
      <c r="J6">
        <v>3.5999999999999997E-2</v>
      </c>
      <c r="K6">
        <v>5.2939999999999996</v>
      </c>
      <c r="L6">
        <v>-0.156</v>
      </c>
      <c r="M6">
        <v>-1.1499999999999999</v>
      </c>
      <c r="N6">
        <v>3.2000000000000001E-2</v>
      </c>
      <c r="O6">
        <v>5.6000000000000001E-2</v>
      </c>
      <c r="P6">
        <v>0.13600000000000001</v>
      </c>
      <c r="Q6" t="s">
        <v>96</v>
      </c>
      <c r="R6">
        <v>0.25800000000000001</v>
      </c>
      <c r="S6">
        <v>4.8000000000000001E-2</v>
      </c>
      <c r="T6">
        <v>-0.34699999999999998</v>
      </c>
      <c r="U6">
        <v>2.266</v>
      </c>
      <c r="V6">
        <v>0.219</v>
      </c>
      <c r="W6">
        <v>2.1000000000000001E-2</v>
      </c>
      <c r="X6">
        <v>-2.5000000000000001E-2</v>
      </c>
      <c r="Y6">
        <v>-0.24299999999999999</v>
      </c>
      <c r="Z6">
        <v>1.4999999999999999E-2</v>
      </c>
      <c r="AA6">
        <v>5.0999999999999997E-2</v>
      </c>
      <c r="AB6">
        <v>9.8000000000000004E-2</v>
      </c>
      <c r="AC6">
        <v>-0.14299999999999999</v>
      </c>
      <c r="AD6">
        <v>-0.16700000000000001</v>
      </c>
      <c r="AE6">
        <v>-3.5000000000000003E-2</v>
      </c>
      <c r="AF6">
        <v>-1.2E-2</v>
      </c>
      <c r="AG6">
        <v>7.5999999999999998E-2</v>
      </c>
      <c r="AH6">
        <v>3.4000000000000002E-2</v>
      </c>
      <c r="AI6">
        <v>-7.8E-2</v>
      </c>
      <c r="AL6">
        <v>0.28999999999999998</v>
      </c>
      <c r="AM6">
        <v>1.2E-2</v>
      </c>
      <c r="AN6">
        <v>0.29899999999999999</v>
      </c>
      <c r="AO6">
        <v>1.984</v>
      </c>
      <c r="AP6">
        <v>-0.874</v>
      </c>
      <c r="AQ6">
        <v>-0.64200000000000002</v>
      </c>
      <c r="AR6" t="s">
        <v>97</v>
      </c>
      <c r="AS6">
        <v>-0.14399999999999999</v>
      </c>
      <c r="AT6">
        <v>7.1999999999999995E-2</v>
      </c>
      <c r="AU6">
        <v>-0.57099999999999995</v>
      </c>
      <c r="AV6">
        <v>-0.41899999999999998</v>
      </c>
      <c r="AW6">
        <v>-0.22600000000000001</v>
      </c>
      <c r="AX6">
        <v>5.1289999999999996</v>
      </c>
      <c r="AY6">
        <v>1.7110000000000001</v>
      </c>
      <c r="AZ6">
        <v>-0.123</v>
      </c>
      <c r="BA6">
        <v>-0.123</v>
      </c>
      <c r="BB6" t="s">
        <v>96</v>
      </c>
      <c r="BC6">
        <v>1360</v>
      </c>
      <c r="BD6">
        <v>-8.5559999999999992</v>
      </c>
      <c r="BE6">
        <v>0.22500000000000001</v>
      </c>
      <c r="BF6">
        <v>0.441</v>
      </c>
      <c r="BI6">
        <v>7.4</v>
      </c>
      <c r="BJ6">
        <v>-1.2290000000000001</v>
      </c>
      <c r="BK6">
        <v>5.1289999999999996</v>
      </c>
      <c r="BL6">
        <v>7.5999999999999998E-2</v>
      </c>
      <c r="BM6">
        <v>-0.105</v>
      </c>
      <c r="BN6">
        <v>-2.1360000000000001</v>
      </c>
      <c r="BO6">
        <v>-1.33</v>
      </c>
      <c r="BP6">
        <v>-1.9179999999999999</v>
      </c>
      <c r="BQ6">
        <v>-11.459</v>
      </c>
      <c r="BR6">
        <v>0.26200000000000001</v>
      </c>
    </row>
    <row r="7" spans="1:70" x14ac:dyDescent="0.25">
      <c r="A7" s="1" t="s">
        <v>74</v>
      </c>
      <c r="B7">
        <v>0.28699999999999998</v>
      </c>
      <c r="C7">
        <v>0.26</v>
      </c>
      <c r="D7">
        <v>0.49099999999999999</v>
      </c>
      <c r="E7">
        <v>-1E-3</v>
      </c>
      <c r="F7">
        <v>0.16300000000000001</v>
      </c>
      <c r="G7">
        <v>0.32</v>
      </c>
      <c r="H7">
        <v>-1.0249999999999999</v>
      </c>
      <c r="I7">
        <v>-0.45600000000000002</v>
      </c>
      <c r="J7">
        <v>0.30199999999999999</v>
      </c>
      <c r="K7">
        <v>6.9089999999999998</v>
      </c>
      <c r="L7">
        <v>-1.2370000000000001</v>
      </c>
      <c r="M7">
        <v>-0.97399999999999998</v>
      </c>
      <c r="N7">
        <v>2.8000000000000001E-2</v>
      </c>
      <c r="O7">
        <v>2.5999999999999999E-2</v>
      </c>
      <c r="P7">
        <v>-3.3000000000000002E-2</v>
      </c>
      <c r="Q7" t="s">
        <v>96</v>
      </c>
      <c r="R7">
        <v>-4.0000000000000001E-3</v>
      </c>
      <c r="S7">
        <v>3.7999999999999999E-2</v>
      </c>
      <c r="T7">
        <v>-0.40699999999999997</v>
      </c>
      <c r="U7">
        <v>2.1749999999999998</v>
      </c>
      <c r="V7">
        <v>6.0999999999999999E-2</v>
      </c>
      <c r="W7">
        <v>5.6000000000000001E-2</v>
      </c>
      <c r="X7">
        <v>-0.03</v>
      </c>
      <c r="Y7">
        <v>-0.222</v>
      </c>
      <c r="Z7">
        <v>-0.20599999999999999</v>
      </c>
      <c r="AA7">
        <v>-3.6999999999999998E-2</v>
      </c>
      <c r="AB7">
        <v>-1.0999999999999999E-2</v>
      </c>
      <c r="AC7">
        <v>-0.17399999999999999</v>
      </c>
      <c r="AD7">
        <v>-7.6999999999999999E-2</v>
      </c>
      <c r="AE7">
        <v>4.0000000000000001E-3</v>
      </c>
      <c r="AF7">
        <v>-6.0000000000000001E-3</v>
      </c>
      <c r="AG7">
        <v>5.2999999999999999E-2</v>
      </c>
      <c r="AH7">
        <v>3.4000000000000002E-2</v>
      </c>
      <c r="AI7">
        <v>-3.5999999999999997E-2</v>
      </c>
      <c r="AL7">
        <v>0.28999999999999998</v>
      </c>
      <c r="AM7">
        <v>0.114</v>
      </c>
      <c r="AN7">
        <v>-0.11700000000000001</v>
      </c>
      <c r="AO7">
        <v>-12.680999999999999</v>
      </c>
      <c r="AP7">
        <v>-7.4619999999999997</v>
      </c>
      <c r="AQ7">
        <v>-1.875</v>
      </c>
      <c r="AS7">
        <v>-0.185</v>
      </c>
      <c r="AT7">
        <v>0.309</v>
      </c>
      <c r="AU7">
        <v>-1.036</v>
      </c>
      <c r="AV7">
        <v>8.5559999999999992</v>
      </c>
      <c r="AW7">
        <v>1.1559999999999999</v>
      </c>
      <c r="AX7">
        <v>-1.5449999999999999</v>
      </c>
      <c r="AY7">
        <v>39.4</v>
      </c>
      <c r="AZ7">
        <v>-8.1000000000000003E-2</v>
      </c>
      <c r="BA7">
        <v>-8.1000000000000003E-2</v>
      </c>
      <c r="BB7">
        <v>-1</v>
      </c>
      <c r="BC7">
        <v>64.076999999999998</v>
      </c>
      <c r="BD7">
        <v>1.956</v>
      </c>
      <c r="BE7">
        <v>-0.17599999999999999</v>
      </c>
      <c r="BI7">
        <v>-5.2999999999999999E-2</v>
      </c>
      <c r="BJ7">
        <v>-0.2</v>
      </c>
      <c r="BK7">
        <v>-1.5449999999999999</v>
      </c>
      <c r="BL7">
        <v>-0.105</v>
      </c>
      <c r="BM7">
        <v>-0.14499999999999999</v>
      </c>
      <c r="BN7">
        <v>-0.75900000000000001</v>
      </c>
      <c r="BO7">
        <v>0.26800000000000002</v>
      </c>
      <c r="BP7">
        <v>-0.61399999999999999</v>
      </c>
      <c r="BQ7">
        <v>38.462000000000003</v>
      </c>
      <c r="BR7">
        <v>5.7000000000000002E-2</v>
      </c>
    </row>
    <row r="8" spans="1:70" x14ac:dyDescent="0.25">
      <c r="A8" s="1" t="s">
        <v>75</v>
      </c>
      <c r="B8">
        <v>0.49</v>
      </c>
      <c r="C8">
        <v>0.23400000000000001</v>
      </c>
      <c r="D8">
        <v>0.219</v>
      </c>
      <c r="E8">
        <v>-0.111</v>
      </c>
      <c r="F8">
        <v>-3.0000000000000001E-3</v>
      </c>
      <c r="G8">
        <v>0.33900000000000002</v>
      </c>
      <c r="H8">
        <v>15.234999999999999</v>
      </c>
      <c r="I8">
        <v>-0.878</v>
      </c>
      <c r="J8">
        <v>0.16200000000000001</v>
      </c>
      <c r="K8">
        <v>7.1109999999999998</v>
      </c>
      <c r="L8">
        <v>-0.13400000000000001</v>
      </c>
      <c r="M8">
        <v>-0.33300000000000002</v>
      </c>
      <c r="N8">
        <v>0.03</v>
      </c>
      <c r="O8">
        <v>2.7E-2</v>
      </c>
      <c r="P8">
        <v>-0.02</v>
      </c>
      <c r="Q8">
        <v>-1.78</v>
      </c>
      <c r="R8">
        <v>4.0000000000000001E-3</v>
      </c>
      <c r="S8">
        <v>0.13900000000000001</v>
      </c>
      <c r="T8">
        <v>7.8E-2</v>
      </c>
      <c r="U8">
        <v>1.7000000000000001E-2</v>
      </c>
      <c r="V8">
        <v>4.9000000000000002E-2</v>
      </c>
      <c r="W8">
        <v>8.8999999999999996E-2</v>
      </c>
      <c r="X8">
        <v>-1.9E-2</v>
      </c>
      <c r="Y8">
        <v>-0.223</v>
      </c>
      <c r="Z8">
        <v>-0.58199999999999996</v>
      </c>
      <c r="AA8">
        <v>-0.23699999999999999</v>
      </c>
      <c r="AB8">
        <v>-0.17199999999999999</v>
      </c>
      <c r="AC8">
        <v>-0.153</v>
      </c>
      <c r="AD8">
        <v>8.5999999999999993E-2</v>
      </c>
      <c r="AE8">
        <v>-1.9E-2</v>
      </c>
      <c r="AF8">
        <v>2E-3</v>
      </c>
      <c r="AG8">
        <v>2.4E-2</v>
      </c>
      <c r="AH8">
        <v>8.0000000000000002E-3</v>
      </c>
      <c r="AI8">
        <v>2.5000000000000001E-2</v>
      </c>
      <c r="AL8">
        <v>0.30599999999999999</v>
      </c>
      <c r="AM8">
        <v>0.38700000000000001</v>
      </c>
      <c r="AN8">
        <v>-0.41199999999999998</v>
      </c>
      <c r="AO8">
        <v>0.62</v>
      </c>
      <c r="AP8">
        <v>0.32900000000000001</v>
      </c>
      <c r="AQ8">
        <v>-3.7890000000000001</v>
      </c>
      <c r="AR8">
        <v>-1</v>
      </c>
      <c r="AS8">
        <v>-9.2999999999999999E-2</v>
      </c>
      <c r="AT8">
        <v>0.443</v>
      </c>
      <c r="AU8">
        <v>-9.5000000000000001E-2</v>
      </c>
      <c r="AV8">
        <v>16.026</v>
      </c>
      <c r="AW8">
        <v>-12.077</v>
      </c>
      <c r="AX8">
        <v>-1.4E-2</v>
      </c>
      <c r="AY8">
        <v>1.28</v>
      </c>
      <c r="AZ8">
        <v>-0.26200000000000001</v>
      </c>
      <c r="BA8">
        <v>-0.26200000000000001</v>
      </c>
      <c r="BB8">
        <v>-0.98699999999999999</v>
      </c>
      <c r="BC8">
        <v>12.664</v>
      </c>
      <c r="BD8">
        <v>-0.22</v>
      </c>
      <c r="BE8">
        <v>-0.41199999999999998</v>
      </c>
      <c r="BF8">
        <v>-0.996</v>
      </c>
      <c r="BI8">
        <v>-1.2150000000000001</v>
      </c>
      <c r="BJ8">
        <v>-7.0419999999999998</v>
      </c>
      <c r="BK8">
        <v>-1.4E-2</v>
      </c>
      <c r="BL8">
        <v>-0.14499999999999999</v>
      </c>
      <c r="BM8">
        <v>-0.11799999999999999</v>
      </c>
      <c r="BN8">
        <v>-1.5129999999999999</v>
      </c>
      <c r="BO8">
        <v>-1.038</v>
      </c>
      <c r="BP8">
        <v>-1.2529999999999999</v>
      </c>
      <c r="BQ8">
        <v>-2.9319999999999999</v>
      </c>
      <c r="BR8">
        <v>6.9000000000000006E-2</v>
      </c>
    </row>
    <row r="9" spans="1:70" x14ac:dyDescent="0.25">
      <c r="A9" s="1" t="s">
        <v>76</v>
      </c>
      <c r="B9">
        <v>0.72199999999999998</v>
      </c>
      <c r="C9">
        <v>0.317</v>
      </c>
      <c r="D9">
        <v>0.45300000000000001</v>
      </c>
      <c r="E9">
        <v>-1.2999999999999999E-2</v>
      </c>
      <c r="F9">
        <v>0.14899999999999999</v>
      </c>
      <c r="G9">
        <v>0.54200000000000004</v>
      </c>
      <c r="H9">
        <v>-0.995</v>
      </c>
      <c r="I9">
        <v>-0.13500000000000001</v>
      </c>
      <c r="J9">
        <v>0.187</v>
      </c>
      <c r="K9">
        <v>2.8</v>
      </c>
      <c r="L9">
        <v>-1.5740000000000001</v>
      </c>
      <c r="M9">
        <v>-0.502</v>
      </c>
      <c r="N9">
        <v>4.4999999999999998E-2</v>
      </c>
      <c r="O9">
        <v>4.2000000000000003E-2</v>
      </c>
      <c r="P9">
        <v>-0.249</v>
      </c>
      <c r="R9">
        <v>-0.249</v>
      </c>
      <c r="S9">
        <v>0.85099999999999998</v>
      </c>
      <c r="T9">
        <v>0.432</v>
      </c>
      <c r="U9">
        <v>-8.9999999999999993E-3</v>
      </c>
      <c r="V9">
        <v>-3.3000000000000002E-2</v>
      </c>
      <c r="W9">
        <v>0.11600000000000001</v>
      </c>
      <c r="X9">
        <v>0.28699999999999998</v>
      </c>
      <c r="Y9">
        <v>0.55900000000000005</v>
      </c>
      <c r="Z9">
        <v>-0.65600000000000003</v>
      </c>
      <c r="AA9">
        <v>-0.20100000000000001</v>
      </c>
      <c r="AB9">
        <v>-0.156</v>
      </c>
      <c r="AC9">
        <v>1.4970000000000001</v>
      </c>
      <c r="AD9">
        <v>0.125</v>
      </c>
      <c r="AE9">
        <v>0.11</v>
      </c>
      <c r="AF9">
        <v>1.2E-2</v>
      </c>
      <c r="AG9">
        <v>1.4999999999999999E-2</v>
      </c>
      <c r="AH9">
        <v>4.9000000000000002E-2</v>
      </c>
      <c r="AI9">
        <v>9.6000000000000002E-2</v>
      </c>
      <c r="AL9">
        <v>2.2570000000000001</v>
      </c>
      <c r="AM9">
        <v>0.36099999999999999</v>
      </c>
      <c r="AN9">
        <v>-0.46899999999999997</v>
      </c>
      <c r="AO9">
        <v>-0.317</v>
      </c>
      <c r="AP9">
        <v>-0.56100000000000005</v>
      </c>
      <c r="AQ9">
        <v>-0.69299999999999995</v>
      </c>
      <c r="AR9">
        <v>-1</v>
      </c>
      <c r="AS9">
        <v>4.1000000000000002E-2</v>
      </c>
      <c r="AT9">
        <v>0.71499999999999997</v>
      </c>
      <c r="AU9">
        <v>-1.139</v>
      </c>
      <c r="AV9">
        <v>-0.52100000000000002</v>
      </c>
      <c r="AW9">
        <v>-0.86699999999999999</v>
      </c>
      <c r="AX9">
        <v>-0.76900000000000002</v>
      </c>
      <c r="AY9">
        <v>-0.29599999999999999</v>
      </c>
      <c r="AZ9">
        <v>-0.17799999999999999</v>
      </c>
      <c r="BA9">
        <v>-0.17799999999999999</v>
      </c>
      <c r="BB9">
        <v>-0.96599999999999997</v>
      </c>
      <c r="BC9">
        <v>-1</v>
      </c>
      <c r="BD9">
        <v>-0.73599999999999999</v>
      </c>
      <c r="BE9">
        <v>-0.33900000000000002</v>
      </c>
      <c r="BF9" t="s">
        <v>96</v>
      </c>
      <c r="BI9">
        <v>-0.86399999999999999</v>
      </c>
      <c r="BJ9">
        <v>2.9</v>
      </c>
      <c r="BK9">
        <v>-0.76900000000000002</v>
      </c>
      <c r="BL9">
        <v>-0.11799999999999999</v>
      </c>
      <c r="BM9">
        <v>0.218</v>
      </c>
      <c r="BN9">
        <v>-0.24299999999999999</v>
      </c>
      <c r="BO9">
        <v>0.17399999999999999</v>
      </c>
      <c r="BP9">
        <v>-0.23</v>
      </c>
      <c r="BQ9">
        <v>-0.77700000000000002</v>
      </c>
      <c r="BR9">
        <v>-0.129</v>
      </c>
    </row>
    <row r="10" spans="1:70" x14ac:dyDescent="0.25">
      <c r="A10" s="1" t="s">
        <v>77</v>
      </c>
      <c r="B10">
        <v>1.0549999999999999</v>
      </c>
      <c r="C10">
        <v>0.59599999999999997</v>
      </c>
      <c r="D10">
        <v>0.38100000000000001</v>
      </c>
      <c r="E10">
        <v>-0.03</v>
      </c>
      <c r="F10">
        <v>0.105</v>
      </c>
      <c r="G10">
        <v>0.443</v>
      </c>
      <c r="H10">
        <v>46.777999999999999</v>
      </c>
      <c r="I10">
        <v>-0.4</v>
      </c>
      <c r="J10">
        <v>0.20899999999999999</v>
      </c>
      <c r="K10">
        <v>0.308</v>
      </c>
      <c r="L10">
        <v>-1.161</v>
      </c>
      <c r="M10">
        <v>-3.302</v>
      </c>
      <c r="N10">
        <v>4.8000000000000001E-2</v>
      </c>
      <c r="O10">
        <v>7.0000000000000001E-3</v>
      </c>
      <c r="P10">
        <v>-0.01</v>
      </c>
      <c r="Q10">
        <v>-1</v>
      </c>
      <c r="R10">
        <v>-0.121</v>
      </c>
      <c r="S10">
        <v>1.0469999999999999</v>
      </c>
      <c r="T10">
        <v>3.2930000000000001</v>
      </c>
      <c r="U10">
        <v>-0.59799999999999998</v>
      </c>
      <c r="V10">
        <v>0.124</v>
      </c>
      <c r="W10">
        <v>0.109</v>
      </c>
      <c r="X10">
        <v>0.29599999999999999</v>
      </c>
      <c r="Y10">
        <v>0.54</v>
      </c>
      <c r="Z10">
        <v>-0.65800000000000003</v>
      </c>
      <c r="AA10">
        <v>-0.218</v>
      </c>
      <c r="AB10">
        <v>-0.14399999999999999</v>
      </c>
      <c r="AC10">
        <v>0.88800000000000001</v>
      </c>
      <c r="AD10">
        <v>0.215</v>
      </c>
      <c r="AE10">
        <v>0.16400000000000001</v>
      </c>
      <c r="AF10">
        <v>0.17899999999999999</v>
      </c>
      <c r="AG10">
        <v>0.13100000000000001</v>
      </c>
      <c r="AH10">
        <v>0.14399999999999999</v>
      </c>
      <c r="AI10">
        <v>0.14000000000000001</v>
      </c>
      <c r="AL10">
        <v>-0.42499999999999999</v>
      </c>
      <c r="AM10">
        <v>0.45500000000000002</v>
      </c>
      <c r="AN10">
        <v>-0.46600000000000003</v>
      </c>
      <c r="AO10">
        <v>-1.96</v>
      </c>
      <c r="AP10">
        <v>-9.6000000000000002E-2</v>
      </c>
      <c r="AQ10">
        <v>-1.282</v>
      </c>
      <c r="AR10">
        <v>-1</v>
      </c>
      <c r="AS10">
        <v>7.4999999999999997E-2</v>
      </c>
      <c r="AT10">
        <v>0.72799999999999998</v>
      </c>
      <c r="AU10">
        <v>-1.0289999999999999</v>
      </c>
      <c r="AV10">
        <v>0.39500000000000002</v>
      </c>
      <c r="AW10">
        <v>9</v>
      </c>
      <c r="AX10">
        <v>-2.778</v>
      </c>
      <c r="AY10">
        <v>-2.2869999999999999</v>
      </c>
      <c r="AZ10">
        <v>0</v>
      </c>
      <c r="BA10">
        <v>0</v>
      </c>
      <c r="BB10">
        <v>-1</v>
      </c>
      <c r="BC10">
        <v>-0.996</v>
      </c>
      <c r="BD10">
        <v>-1.5349999999999999</v>
      </c>
      <c r="BE10">
        <v>-0.34399999999999997</v>
      </c>
      <c r="BF10" t="s">
        <v>96</v>
      </c>
      <c r="BI10">
        <v>-0.86099999999999999</v>
      </c>
      <c r="BJ10">
        <v>-3.3140000000000001</v>
      </c>
      <c r="BK10">
        <v>-2.778</v>
      </c>
      <c r="BL10">
        <v>0.218</v>
      </c>
      <c r="BM10">
        <v>0.14899999999999999</v>
      </c>
      <c r="BN10">
        <v>-0.51100000000000001</v>
      </c>
      <c r="BO10">
        <v>0.114</v>
      </c>
      <c r="BP10">
        <v>-0.48299999999999998</v>
      </c>
      <c r="BQ10">
        <v>-2.96</v>
      </c>
      <c r="BR10">
        <v>-3.4000000000000002E-2</v>
      </c>
    </row>
    <row r="11" spans="1:70" x14ac:dyDescent="0.25">
      <c r="A11" s="1" t="s">
        <v>78</v>
      </c>
      <c r="B11">
        <v>1.361</v>
      </c>
      <c r="C11">
        <v>1.37</v>
      </c>
      <c r="D11">
        <v>0.36199999999999999</v>
      </c>
      <c r="E11">
        <v>0.14499999999999999</v>
      </c>
      <c r="F11">
        <v>0.20899999999999999</v>
      </c>
      <c r="G11">
        <v>0.14000000000000001</v>
      </c>
      <c r="H11">
        <v>-49.706000000000003</v>
      </c>
      <c r="I11">
        <v>-0.68400000000000005</v>
      </c>
      <c r="J11">
        <v>0.122</v>
      </c>
      <c r="K11">
        <v>1.2</v>
      </c>
      <c r="L11">
        <v>-2.254</v>
      </c>
      <c r="M11">
        <v>53.963000000000001</v>
      </c>
      <c r="N11">
        <v>8.5999999999999993E-2</v>
      </c>
      <c r="O11">
        <v>5.2999999999999999E-2</v>
      </c>
      <c r="P11">
        <v>-0.13500000000000001</v>
      </c>
      <c r="Q11">
        <v>-1</v>
      </c>
      <c r="R11">
        <v>-0.26</v>
      </c>
      <c r="S11">
        <v>1.3029999999999999</v>
      </c>
      <c r="T11">
        <v>5.1260000000000003</v>
      </c>
      <c r="U11">
        <v>-0.627</v>
      </c>
      <c r="V11">
        <v>4.4999999999999998E-2</v>
      </c>
      <c r="W11">
        <v>8.8999999999999996E-2</v>
      </c>
      <c r="X11">
        <v>0.32800000000000001</v>
      </c>
      <c r="Y11">
        <v>0.55900000000000005</v>
      </c>
      <c r="Z11">
        <v>-0.46800000000000003</v>
      </c>
      <c r="AA11">
        <v>-8.4000000000000005E-2</v>
      </c>
      <c r="AB11">
        <v>-5.2999999999999999E-2</v>
      </c>
      <c r="AC11">
        <v>2.7160000000000002</v>
      </c>
      <c r="AD11">
        <v>0.222</v>
      </c>
      <c r="AE11">
        <v>0.187</v>
      </c>
      <c r="AF11">
        <v>0.17399999999999999</v>
      </c>
      <c r="AG11">
        <v>7.9000000000000001E-2</v>
      </c>
      <c r="AH11">
        <v>0.11700000000000001</v>
      </c>
      <c r="AI11">
        <v>0.11</v>
      </c>
      <c r="AL11">
        <v>0.90700000000000003</v>
      </c>
      <c r="AM11">
        <v>0.27200000000000002</v>
      </c>
      <c r="AN11">
        <v>-0.27800000000000002</v>
      </c>
      <c r="AO11">
        <v>-0.93100000000000005</v>
      </c>
      <c r="AP11">
        <v>-0.25700000000000001</v>
      </c>
      <c r="AQ11">
        <v>-3.6669999999999998</v>
      </c>
      <c r="AR11">
        <v>-1</v>
      </c>
      <c r="AS11">
        <v>0.19800000000000001</v>
      </c>
      <c r="AT11">
        <v>0.27800000000000002</v>
      </c>
      <c r="AU11">
        <v>-3.3420000000000001</v>
      </c>
      <c r="AV11">
        <v>-0.94799999999999995</v>
      </c>
      <c r="AW11">
        <v>-0.44400000000000001</v>
      </c>
      <c r="AX11">
        <v>-0.72799999999999998</v>
      </c>
      <c r="AY11">
        <v>-1.0249999999999999</v>
      </c>
      <c r="AZ11">
        <v>-0.127</v>
      </c>
      <c r="BA11">
        <v>-0.127</v>
      </c>
      <c r="BB11">
        <v>1.107</v>
      </c>
      <c r="BC11">
        <v>-0.98899999999999999</v>
      </c>
      <c r="BD11">
        <v>-0.46</v>
      </c>
      <c r="BE11">
        <v>-0.71799999999999997</v>
      </c>
      <c r="BI11">
        <v>-0.5</v>
      </c>
      <c r="BJ11">
        <v>-1.4350000000000001</v>
      </c>
      <c r="BK11">
        <v>-0.72799999999999998</v>
      </c>
      <c r="BL11">
        <v>0.14899999999999999</v>
      </c>
      <c r="BM11">
        <v>5.6000000000000001E-2</v>
      </c>
      <c r="BN11">
        <v>-0.82599999999999996</v>
      </c>
      <c r="BO11">
        <v>-0.85399999999999998</v>
      </c>
      <c r="BP11">
        <v>-0.79</v>
      </c>
      <c r="BQ11">
        <v>-0.98699999999999999</v>
      </c>
      <c r="BR11">
        <v>-0.12</v>
      </c>
    </row>
    <row r="12" spans="1:70" x14ac:dyDescent="0.25">
      <c r="A12" s="1" t="s">
        <v>79</v>
      </c>
      <c r="B12">
        <v>0.82599999999999996</v>
      </c>
      <c r="C12">
        <v>0.55100000000000005</v>
      </c>
      <c r="D12">
        <v>0.151</v>
      </c>
      <c r="E12">
        <v>0.216</v>
      </c>
      <c r="F12">
        <v>0.19400000000000001</v>
      </c>
      <c r="G12">
        <v>0.155</v>
      </c>
      <c r="H12">
        <v>5.375</v>
      </c>
      <c r="I12">
        <v>-0.373</v>
      </c>
      <c r="J12">
        <v>0.10199999999999999</v>
      </c>
      <c r="K12">
        <v>1.25</v>
      </c>
      <c r="L12">
        <v>-5.2169999999999996</v>
      </c>
      <c r="M12">
        <v>-1.921</v>
      </c>
      <c r="N12">
        <v>8.5999999999999993E-2</v>
      </c>
      <c r="O12">
        <v>0.11899999999999999</v>
      </c>
      <c r="P12">
        <v>-0.23899999999999999</v>
      </c>
      <c r="Q12">
        <v>-1.1120000000000001</v>
      </c>
      <c r="R12">
        <v>-0.371</v>
      </c>
      <c r="S12">
        <v>1.2729999999999999</v>
      </c>
      <c r="T12">
        <v>-0.17699999999999999</v>
      </c>
      <c r="U12">
        <v>0.19700000000000001</v>
      </c>
      <c r="V12">
        <v>-0.108</v>
      </c>
      <c r="W12">
        <v>0.05</v>
      </c>
      <c r="X12">
        <v>0.378</v>
      </c>
      <c r="Y12">
        <v>0.54200000000000004</v>
      </c>
      <c r="Z12">
        <v>0.24399999999999999</v>
      </c>
      <c r="AA12">
        <v>0.28199999999999997</v>
      </c>
      <c r="AB12">
        <v>0.16600000000000001</v>
      </c>
      <c r="AC12">
        <v>2.66</v>
      </c>
      <c r="AD12">
        <v>5.7000000000000002E-2</v>
      </c>
      <c r="AE12">
        <v>0.314</v>
      </c>
      <c r="AF12">
        <v>0.19900000000000001</v>
      </c>
      <c r="AG12">
        <v>0.14000000000000001</v>
      </c>
      <c r="AH12">
        <v>0.20100000000000001</v>
      </c>
      <c r="AI12">
        <v>6.4000000000000001E-2</v>
      </c>
      <c r="AL12">
        <v>-0.40100000000000002</v>
      </c>
      <c r="AM12">
        <v>2.1000000000000001E-2</v>
      </c>
      <c r="AN12">
        <v>0.17899999999999999</v>
      </c>
      <c r="AO12">
        <v>-0.79800000000000004</v>
      </c>
      <c r="AP12">
        <v>2.1000000000000001E-2</v>
      </c>
      <c r="AQ12">
        <v>-1.1919999999999999</v>
      </c>
      <c r="AR12">
        <v>-9.3680000000000003</v>
      </c>
      <c r="AS12">
        <v>0.36699999999999999</v>
      </c>
      <c r="AT12">
        <v>0.41499999999999998</v>
      </c>
      <c r="AU12">
        <v>-36</v>
      </c>
      <c r="AV12">
        <v>-0.85199999999999998</v>
      </c>
      <c r="AW12">
        <v>-0.72</v>
      </c>
      <c r="AX12">
        <v>4.2930000000000001</v>
      </c>
      <c r="AY12">
        <v>-0.86699999999999999</v>
      </c>
      <c r="AZ12">
        <v>-0.35</v>
      </c>
      <c r="BA12">
        <v>-0.35</v>
      </c>
      <c r="BB12">
        <v>-31.815000000000001</v>
      </c>
      <c r="BC12">
        <v>-0.79400000000000004</v>
      </c>
      <c r="BD12">
        <v>10.811999999999999</v>
      </c>
      <c r="BE12">
        <v>-0.65500000000000003</v>
      </c>
      <c r="BF12" t="s">
        <v>96</v>
      </c>
      <c r="BI12">
        <v>-0.53800000000000003</v>
      </c>
      <c r="BJ12">
        <v>-1.32</v>
      </c>
      <c r="BK12">
        <v>4.2930000000000001</v>
      </c>
      <c r="BL12">
        <v>5.6000000000000001E-2</v>
      </c>
      <c r="BM12">
        <v>0.26100000000000001</v>
      </c>
      <c r="BN12">
        <v>-0.56399999999999995</v>
      </c>
      <c r="BO12">
        <v>-0.497</v>
      </c>
      <c r="BP12">
        <v>-0.53200000000000003</v>
      </c>
      <c r="BQ12">
        <v>-1.0680000000000001</v>
      </c>
      <c r="BR12">
        <v>-0.32100000000000001</v>
      </c>
    </row>
    <row r="13" spans="1:70" x14ac:dyDescent="0.25">
      <c r="A13" s="1" t="s">
        <v>80</v>
      </c>
      <c r="B13">
        <v>0.54800000000000004</v>
      </c>
      <c r="C13">
        <v>0.58899999999999997</v>
      </c>
      <c r="D13">
        <v>-0.121</v>
      </c>
      <c r="E13">
        <v>0.26400000000000001</v>
      </c>
      <c r="F13">
        <v>9.7000000000000003E-2</v>
      </c>
      <c r="G13">
        <v>0</v>
      </c>
      <c r="H13">
        <v>4.3159999999999998</v>
      </c>
      <c r="I13">
        <v>-0.48699999999999999</v>
      </c>
      <c r="J13">
        <v>9.8000000000000004E-2</v>
      </c>
      <c r="K13">
        <v>0.42899999999999999</v>
      </c>
      <c r="L13">
        <v>-5.391</v>
      </c>
      <c r="M13">
        <v>1.226</v>
      </c>
      <c r="N13">
        <v>7.9000000000000001E-2</v>
      </c>
      <c r="O13">
        <v>8.2000000000000003E-2</v>
      </c>
      <c r="P13">
        <v>5.2999999999999999E-2</v>
      </c>
      <c r="Q13">
        <v>-1</v>
      </c>
      <c r="R13">
        <v>-0.11</v>
      </c>
      <c r="S13">
        <v>0.72399999999999998</v>
      </c>
      <c r="T13">
        <v>0.89900000000000002</v>
      </c>
      <c r="U13">
        <v>0.28199999999999997</v>
      </c>
      <c r="V13">
        <v>2.9000000000000001E-2</v>
      </c>
      <c r="W13">
        <v>-6.6000000000000003E-2</v>
      </c>
      <c r="X13">
        <v>1.1579999999999999</v>
      </c>
      <c r="Y13">
        <v>0.95399999999999996</v>
      </c>
      <c r="Z13">
        <v>0.29899999999999999</v>
      </c>
      <c r="AA13">
        <v>0.39600000000000002</v>
      </c>
      <c r="AB13">
        <v>0.27700000000000002</v>
      </c>
      <c r="AC13">
        <v>0.29199999999999998</v>
      </c>
      <c r="AD13">
        <v>-0.04</v>
      </c>
      <c r="AE13">
        <v>0.17399999999999999</v>
      </c>
      <c r="AF13">
        <v>0.314</v>
      </c>
      <c r="AG13">
        <v>0.22700000000000001</v>
      </c>
      <c r="AH13">
        <v>0.20799999999999999</v>
      </c>
      <c r="AI13">
        <v>-2.7E-2</v>
      </c>
      <c r="AL13">
        <v>-0.71499999999999997</v>
      </c>
      <c r="AM13">
        <v>0.106</v>
      </c>
      <c r="AN13">
        <v>0.55800000000000005</v>
      </c>
      <c r="AO13">
        <v>-1.976</v>
      </c>
      <c r="AP13">
        <v>0.496</v>
      </c>
      <c r="AQ13">
        <v>3.75</v>
      </c>
      <c r="AR13">
        <v>-1.2090000000000001</v>
      </c>
      <c r="AS13">
        <v>0.57999999999999996</v>
      </c>
      <c r="AT13">
        <v>0.53600000000000003</v>
      </c>
      <c r="AU13">
        <v>-12.5</v>
      </c>
      <c r="AV13">
        <v>0.83299999999999996</v>
      </c>
      <c r="AW13">
        <v>15.342000000000001</v>
      </c>
      <c r="AX13">
        <v>-10.958</v>
      </c>
      <c r="AY13">
        <v>-2.512</v>
      </c>
      <c r="AZ13">
        <v>-0.313</v>
      </c>
      <c r="BA13">
        <v>-0.313</v>
      </c>
      <c r="BB13">
        <v>-5.0469999999999997</v>
      </c>
      <c r="BC13">
        <v>0.22</v>
      </c>
      <c r="BD13">
        <v>-4.3319999999999999</v>
      </c>
      <c r="BE13">
        <v>5.3999999999999999E-2</v>
      </c>
      <c r="BI13">
        <v>2.6360000000000001</v>
      </c>
      <c r="BJ13">
        <v>-7.25</v>
      </c>
      <c r="BK13">
        <v>-10.958</v>
      </c>
      <c r="BL13">
        <v>0.26100000000000001</v>
      </c>
      <c r="BM13">
        <v>-0.20300000000000001</v>
      </c>
      <c r="BN13">
        <v>-0.63800000000000001</v>
      </c>
      <c r="BO13">
        <v>-0.58599999999999997</v>
      </c>
      <c r="BP13">
        <v>-0.6</v>
      </c>
      <c r="BQ13">
        <v>-0.375</v>
      </c>
      <c r="BR13">
        <v>-0.124</v>
      </c>
    </row>
    <row r="14" spans="1:70" x14ac:dyDescent="0.25">
      <c r="A14" s="1" t="s">
        <v>81</v>
      </c>
      <c r="B14">
        <v>0.753</v>
      </c>
      <c r="C14">
        <v>0.85</v>
      </c>
      <c r="D14">
        <v>0.09</v>
      </c>
      <c r="E14">
        <v>0.70699999999999996</v>
      </c>
      <c r="F14">
        <v>0.439</v>
      </c>
      <c r="G14">
        <v>-0.16400000000000001</v>
      </c>
      <c r="H14">
        <v>-4.5999999999999996</v>
      </c>
      <c r="I14">
        <v>-0.26100000000000001</v>
      </c>
      <c r="J14">
        <v>4.4999999999999998E-2</v>
      </c>
      <c r="K14">
        <v>1.167</v>
      </c>
      <c r="L14">
        <v>-120.75</v>
      </c>
      <c r="M14">
        <v>-1.645</v>
      </c>
      <c r="N14">
        <v>7.8E-2</v>
      </c>
      <c r="O14">
        <v>0.125</v>
      </c>
      <c r="P14">
        <v>-0.34200000000000003</v>
      </c>
      <c r="Q14">
        <v>-0.45800000000000002</v>
      </c>
      <c r="R14">
        <v>-0.35799999999999998</v>
      </c>
      <c r="S14">
        <v>0.98799999999999999</v>
      </c>
      <c r="T14">
        <v>1.6339999999999999</v>
      </c>
      <c r="U14">
        <v>9.2999999999999999E-2</v>
      </c>
      <c r="V14">
        <v>-0.19400000000000001</v>
      </c>
      <c r="W14">
        <v>-8.3000000000000004E-2</v>
      </c>
      <c r="X14">
        <v>1.5609999999999999</v>
      </c>
      <c r="Y14">
        <v>1.585</v>
      </c>
      <c r="Z14">
        <v>0.50600000000000001</v>
      </c>
      <c r="AA14">
        <v>0.53200000000000003</v>
      </c>
      <c r="AB14">
        <v>0.28399999999999997</v>
      </c>
      <c r="AC14">
        <v>0.69599999999999995</v>
      </c>
      <c r="AD14">
        <v>-5.8999999999999997E-2</v>
      </c>
      <c r="AE14">
        <v>0.30399999999999999</v>
      </c>
      <c r="AF14">
        <v>0.13300000000000001</v>
      </c>
      <c r="AG14">
        <v>8.4000000000000005E-2</v>
      </c>
      <c r="AH14">
        <v>0.157</v>
      </c>
      <c r="AI14">
        <v>-1.2999999999999999E-2</v>
      </c>
      <c r="AL14">
        <v>0.61599999999999999</v>
      </c>
      <c r="AM14">
        <v>4.8000000000000001E-2</v>
      </c>
      <c r="AN14">
        <v>0.48399999999999999</v>
      </c>
      <c r="AO14">
        <v>-0.67800000000000005</v>
      </c>
      <c r="AP14">
        <v>-2.5619999999999998</v>
      </c>
      <c r="AQ14">
        <v>4.2220000000000004</v>
      </c>
      <c r="AR14">
        <v>0.55500000000000005</v>
      </c>
      <c r="AS14">
        <v>0.752</v>
      </c>
      <c r="AT14">
        <v>1.0760000000000001</v>
      </c>
      <c r="AU14">
        <v>53.110999999999997</v>
      </c>
      <c r="AV14">
        <v>0.48299999999999998</v>
      </c>
      <c r="AW14">
        <v>75</v>
      </c>
      <c r="AX14">
        <v>-0.89300000000000002</v>
      </c>
      <c r="AY14">
        <v>-0.68200000000000005</v>
      </c>
      <c r="AZ14">
        <v>-0.65200000000000002</v>
      </c>
      <c r="BA14">
        <v>-0.65200000000000002</v>
      </c>
      <c r="BB14" t="s">
        <v>97</v>
      </c>
      <c r="BC14">
        <v>-0.53</v>
      </c>
      <c r="BD14">
        <v>-1.2210000000000001</v>
      </c>
      <c r="BE14">
        <v>-0.93600000000000005</v>
      </c>
      <c r="BI14">
        <v>-0.69499999999999995</v>
      </c>
      <c r="BJ14">
        <v>-3.6840000000000002</v>
      </c>
      <c r="BK14">
        <v>-0.89300000000000002</v>
      </c>
      <c r="BL14">
        <v>-0.20300000000000001</v>
      </c>
      <c r="BM14">
        <v>-0.307</v>
      </c>
      <c r="BN14">
        <v>-0.34899999999999998</v>
      </c>
      <c r="BO14">
        <v>-0.56000000000000005</v>
      </c>
      <c r="BP14">
        <v>-0.379</v>
      </c>
      <c r="BQ14">
        <v>-0.97399999999999998</v>
      </c>
      <c r="BR14">
        <v>-0.38200000000000001</v>
      </c>
    </row>
    <row r="15" spans="1:70" x14ac:dyDescent="0.25">
      <c r="A15" s="1" t="s">
        <v>82</v>
      </c>
      <c r="B15">
        <v>-0.18099999999999999</v>
      </c>
      <c r="C15">
        <v>-0.32100000000000001</v>
      </c>
      <c r="D15">
        <v>-0.46</v>
      </c>
      <c r="E15">
        <v>0.246</v>
      </c>
      <c r="F15">
        <v>-0.10100000000000001</v>
      </c>
      <c r="G15">
        <v>-0.20200000000000001</v>
      </c>
      <c r="H15">
        <v>-1.944</v>
      </c>
      <c r="I15">
        <v>0.20699999999999999</v>
      </c>
      <c r="J15">
        <v>-2.5000000000000001E-2</v>
      </c>
      <c r="K15">
        <v>-0.86799999999999999</v>
      </c>
      <c r="L15">
        <v>-1.764</v>
      </c>
      <c r="M15">
        <v>-0.96299999999999997</v>
      </c>
      <c r="N15">
        <v>4.3999999999999997E-2</v>
      </c>
      <c r="O15">
        <v>7.8E-2</v>
      </c>
      <c r="P15">
        <v>-0.40799999999999997</v>
      </c>
      <c r="Q15">
        <v>-1.4E-2</v>
      </c>
      <c r="R15">
        <v>-0.371</v>
      </c>
      <c r="S15">
        <v>0.57399999999999995</v>
      </c>
      <c r="T15">
        <v>0.28000000000000003</v>
      </c>
      <c r="U15">
        <v>6.0999999999999999E-2</v>
      </c>
      <c r="V15">
        <v>-0.254</v>
      </c>
      <c r="W15">
        <v>-0.121</v>
      </c>
      <c r="X15">
        <v>1.4750000000000001</v>
      </c>
      <c r="Y15">
        <v>1.5980000000000001</v>
      </c>
      <c r="Z15">
        <v>0.29399999999999998</v>
      </c>
      <c r="AA15">
        <v>0.38900000000000001</v>
      </c>
      <c r="AB15">
        <v>0.152</v>
      </c>
      <c r="AC15">
        <v>7.9000000000000001E-2</v>
      </c>
      <c r="AD15">
        <v>-0.16600000000000001</v>
      </c>
      <c r="AE15">
        <v>9.9000000000000005E-2</v>
      </c>
      <c r="AF15">
        <v>0.29199999999999998</v>
      </c>
      <c r="AG15">
        <v>0.193</v>
      </c>
      <c r="AH15">
        <v>0.158</v>
      </c>
      <c r="AI15">
        <v>-1.2999999999999999E-2</v>
      </c>
      <c r="AL15">
        <v>-0.51500000000000001</v>
      </c>
      <c r="AM15">
        <v>0.20399999999999999</v>
      </c>
      <c r="AN15">
        <v>0.19900000000000001</v>
      </c>
      <c r="AO15">
        <v>3.2000000000000001E-2</v>
      </c>
      <c r="AP15">
        <v>-1.079</v>
      </c>
      <c r="AQ15">
        <v>-0.93500000000000005</v>
      </c>
      <c r="AR15">
        <v>-2.6859999999999999</v>
      </c>
      <c r="AS15">
        <v>0.65600000000000003</v>
      </c>
      <c r="AT15">
        <v>1.4E-2</v>
      </c>
      <c r="AU15">
        <v>-1.44</v>
      </c>
      <c r="AV15">
        <v>0.83099999999999996</v>
      </c>
      <c r="AW15">
        <v>-0.52100000000000002</v>
      </c>
      <c r="AX15">
        <v>-0.69099999999999995</v>
      </c>
      <c r="AY15">
        <v>0.32</v>
      </c>
      <c r="AZ15">
        <v>-0.64100000000000001</v>
      </c>
      <c r="BA15">
        <v>-0.64100000000000001</v>
      </c>
      <c r="BB15">
        <v>-0.97799999999999998</v>
      </c>
      <c r="BC15">
        <v>1.264</v>
      </c>
      <c r="BD15">
        <v>-0.86499999999999999</v>
      </c>
      <c r="BE15">
        <v>3.0169999999999999</v>
      </c>
      <c r="BI15">
        <v>2.5870000000000002</v>
      </c>
      <c r="BJ15">
        <v>-0.70499999999999996</v>
      </c>
      <c r="BK15">
        <v>-0.69099999999999995</v>
      </c>
      <c r="BL15">
        <v>-0.307</v>
      </c>
      <c r="BM15">
        <v>-0.38800000000000001</v>
      </c>
      <c r="BN15">
        <v>0.156</v>
      </c>
      <c r="BO15">
        <v>0.67400000000000004</v>
      </c>
      <c r="BP15">
        <v>3.7999999999999999E-2</v>
      </c>
      <c r="BQ15">
        <v>-0.77500000000000002</v>
      </c>
      <c r="BR15">
        <v>-0.32100000000000001</v>
      </c>
    </row>
    <row r="16" spans="1:70" x14ac:dyDescent="0.25">
      <c r="A16" s="1" t="s">
        <v>83</v>
      </c>
      <c r="B16">
        <v>-0.222</v>
      </c>
      <c r="C16">
        <v>-0.19500000000000001</v>
      </c>
      <c r="D16">
        <v>-0.17899999999999999</v>
      </c>
      <c r="E16">
        <v>-0.17</v>
      </c>
      <c r="F16">
        <v>-0.17299999999999999</v>
      </c>
      <c r="G16">
        <v>-0.20599999999999999</v>
      </c>
      <c r="H16">
        <v>1</v>
      </c>
      <c r="I16">
        <v>-9.7000000000000003E-2</v>
      </c>
      <c r="J16">
        <v>0.16800000000000001</v>
      </c>
      <c r="K16">
        <v>-0.92</v>
      </c>
      <c r="L16">
        <v>-0.08</v>
      </c>
      <c r="M16">
        <v>-0.11700000000000001</v>
      </c>
      <c r="N16">
        <v>4.2999999999999997E-2</v>
      </c>
      <c r="O16">
        <v>4.8000000000000001E-2</v>
      </c>
      <c r="P16">
        <v>-0.48099999999999998</v>
      </c>
      <c r="Q16">
        <v>1.6819999999999999</v>
      </c>
      <c r="R16">
        <v>-0.39700000000000002</v>
      </c>
      <c r="S16">
        <v>-0.11600000000000001</v>
      </c>
      <c r="T16">
        <v>6.7469999999999999</v>
      </c>
      <c r="U16">
        <v>-6.5000000000000002E-2</v>
      </c>
      <c r="V16">
        <v>-0.28999999999999998</v>
      </c>
      <c r="W16">
        <v>-7.0999999999999994E-2</v>
      </c>
      <c r="X16">
        <v>35.581000000000003</v>
      </c>
      <c r="Y16">
        <v>21.027999999999999</v>
      </c>
      <c r="Z16">
        <v>-0.14799999999999999</v>
      </c>
      <c r="AA16">
        <v>0.31</v>
      </c>
      <c r="AB16">
        <v>4.7E-2</v>
      </c>
      <c r="AC16">
        <v>-0.13600000000000001</v>
      </c>
      <c r="AD16">
        <v>-0.107</v>
      </c>
      <c r="AE16">
        <v>0.217</v>
      </c>
      <c r="AF16">
        <v>0.25900000000000001</v>
      </c>
      <c r="AG16">
        <v>0.155</v>
      </c>
      <c r="AH16">
        <v>0.17599999999999999</v>
      </c>
      <c r="AI16">
        <v>0</v>
      </c>
      <c r="AL16">
        <v>0.498</v>
      </c>
      <c r="AM16">
        <v>0.41399999999999998</v>
      </c>
      <c r="AN16">
        <v>-0.13600000000000001</v>
      </c>
      <c r="AO16">
        <v>-0.53200000000000003</v>
      </c>
      <c r="AP16">
        <v>2.6619999999999999</v>
      </c>
      <c r="AQ16">
        <v>-1.839</v>
      </c>
      <c r="AR16">
        <v>-0.53700000000000003</v>
      </c>
      <c r="AS16">
        <v>0.78200000000000003</v>
      </c>
      <c r="AT16">
        <v>-2.9000000000000001E-2</v>
      </c>
      <c r="AU16">
        <v>-1.1819999999999999</v>
      </c>
      <c r="AV16">
        <v>-0.752</v>
      </c>
      <c r="AW16">
        <v>-1.087</v>
      </c>
      <c r="AX16">
        <v>-0.85399999999999998</v>
      </c>
      <c r="AY16">
        <v>-0.55300000000000005</v>
      </c>
      <c r="AZ16">
        <v>-0.32400000000000001</v>
      </c>
      <c r="BA16">
        <v>-0.32400000000000001</v>
      </c>
      <c r="BB16">
        <v>-1.1859999999999999</v>
      </c>
      <c r="BC16">
        <v>0.124</v>
      </c>
      <c r="BD16">
        <v>-0.73</v>
      </c>
      <c r="BE16">
        <v>22.04</v>
      </c>
      <c r="BF16">
        <v>-1</v>
      </c>
      <c r="BG16">
        <v>-1</v>
      </c>
      <c r="BH16">
        <v>-1</v>
      </c>
      <c r="BI16">
        <v>-11.795</v>
      </c>
      <c r="BJ16">
        <v>2.9470000000000001</v>
      </c>
      <c r="BK16">
        <v>-0.85399999999999998</v>
      </c>
      <c r="BL16">
        <v>-0.38800000000000001</v>
      </c>
      <c r="BM16">
        <v>-0.47</v>
      </c>
      <c r="BN16">
        <v>-0.19900000000000001</v>
      </c>
      <c r="BO16">
        <v>-9.6000000000000002E-2</v>
      </c>
      <c r="BP16">
        <v>-0.221</v>
      </c>
      <c r="BQ16">
        <v>-0.63600000000000001</v>
      </c>
      <c r="BR16">
        <v>-0.41699999999999998</v>
      </c>
    </row>
    <row r="17" spans="1:70" x14ac:dyDescent="0.25">
      <c r="A17" s="1" t="s">
        <v>84</v>
      </c>
      <c r="B17">
        <v>-0.17899999999999999</v>
      </c>
      <c r="C17">
        <v>-0.224</v>
      </c>
      <c r="D17">
        <v>0.20300000000000001</v>
      </c>
      <c r="E17">
        <v>-0.17</v>
      </c>
      <c r="F17">
        <v>-0.04</v>
      </c>
      <c r="G17">
        <v>-0.34699999999999998</v>
      </c>
      <c r="H17">
        <v>-2.7269999999999999</v>
      </c>
      <c r="I17">
        <v>8.9999999999999993E-3</v>
      </c>
      <c r="J17">
        <v>0.24399999999999999</v>
      </c>
      <c r="K17">
        <v>-0.90800000000000003</v>
      </c>
      <c r="L17">
        <v>6.6669999999999998</v>
      </c>
      <c r="M17">
        <v>-6.3E-2</v>
      </c>
      <c r="N17">
        <v>3.2000000000000001E-2</v>
      </c>
      <c r="O17">
        <v>3.2000000000000001E-2</v>
      </c>
      <c r="P17">
        <v>-0.51400000000000001</v>
      </c>
      <c r="Q17" t="s">
        <v>96</v>
      </c>
      <c r="R17">
        <v>-0.42399999999999999</v>
      </c>
      <c r="S17">
        <v>-0.33</v>
      </c>
      <c r="T17">
        <v>5.6059999999999999</v>
      </c>
      <c r="U17">
        <v>-0.13800000000000001</v>
      </c>
      <c r="V17">
        <v>-0.379</v>
      </c>
      <c r="W17">
        <v>4.3999999999999997E-2</v>
      </c>
      <c r="X17">
        <v>16.891999999999999</v>
      </c>
      <c r="Y17">
        <v>7.8380000000000001</v>
      </c>
      <c r="Z17">
        <v>-0.13800000000000001</v>
      </c>
      <c r="AA17">
        <v>0.13700000000000001</v>
      </c>
      <c r="AB17">
        <v>-0.105</v>
      </c>
      <c r="AC17">
        <v>0.90500000000000003</v>
      </c>
      <c r="AD17">
        <v>-0.112</v>
      </c>
      <c r="AE17">
        <v>0.28799999999999998</v>
      </c>
      <c r="AF17">
        <v>0.14299999999999999</v>
      </c>
      <c r="AG17">
        <v>8.5000000000000006E-2</v>
      </c>
      <c r="AH17">
        <v>0.152</v>
      </c>
      <c r="AI17">
        <v>2.8000000000000001E-2</v>
      </c>
      <c r="AL17">
        <v>0.254</v>
      </c>
      <c r="AM17">
        <v>0.45200000000000001</v>
      </c>
      <c r="AN17">
        <v>-0.40600000000000003</v>
      </c>
      <c r="AO17">
        <v>-0.46700000000000003</v>
      </c>
      <c r="AP17">
        <v>-2.4569999999999999</v>
      </c>
      <c r="AQ17">
        <v>-0.25</v>
      </c>
      <c r="AR17">
        <v>-2.2970000000000002</v>
      </c>
      <c r="AS17">
        <v>0.35299999999999998</v>
      </c>
      <c r="AT17">
        <v>-0.54400000000000004</v>
      </c>
      <c r="AU17">
        <v>-1.417</v>
      </c>
      <c r="AV17">
        <v>-2.8220000000000001</v>
      </c>
      <c r="AW17">
        <v>-0.26300000000000001</v>
      </c>
      <c r="AX17">
        <v>-1.3520000000000001</v>
      </c>
      <c r="AY17">
        <v>-0.53800000000000003</v>
      </c>
      <c r="AZ17">
        <v>1.6E-2</v>
      </c>
      <c r="BA17">
        <v>1.6E-2</v>
      </c>
      <c r="BB17" t="s">
        <v>97</v>
      </c>
      <c r="BC17" t="s">
        <v>97</v>
      </c>
      <c r="BD17">
        <v>1.829</v>
      </c>
      <c r="BE17">
        <v>1.7999999999999999E-2</v>
      </c>
      <c r="BF17">
        <v>-1</v>
      </c>
      <c r="BI17">
        <v>-0.78500000000000003</v>
      </c>
      <c r="BJ17">
        <v>-1.2290000000000001</v>
      </c>
      <c r="BK17">
        <v>-1.3520000000000001</v>
      </c>
      <c r="BL17">
        <v>-0.47</v>
      </c>
      <c r="BM17">
        <v>-0.40799999999999997</v>
      </c>
      <c r="BN17">
        <v>-2.5999999999999999E-2</v>
      </c>
      <c r="BO17">
        <v>2.7E-2</v>
      </c>
      <c r="BP17">
        <v>-2.1000000000000001E-2</v>
      </c>
      <c r="BQ17">
        <v>-0.745</v>
      </c>
      <c r="BR17">
        <v>-0.51800000000000002</v>
      </c>
    </row>
    <row r="18" spans="1:70" x14ac:dyDescent="0.25">
      <c r="A18" s="1" t="s">
        <v>85</v>
      </c>
      <c r="B18">
        <v>-0.29199999999999998</v>
      </c>
      <c r="C18">
        <v>-0.30599999999999999</v>
      </c>
      <c r="D18">
        <v>-0.65500000000000003</v>
      </c>
      <c r="E18">
        <v>-0.39800000000000002</v>
      </c>
      <c r="F18">
        <v>-0.54500000000000004</v>
      </c>
      <c r="G18">
        <v>-0.80900000000000005</v>
      </c>
      <c r="H18">
        <v>-1.3120000000000001</v>
      </c>
      <c r="I18">
        <v>-0.70699999999999996</v>
      </c>
      <c r="J18">
        <v>-0.27200000000000002</v>
      </c>
      <c r="K18">
        <v>-0.90600000000000003</v>
      </c>
      <c r="L18">
        <v>-3</v>
      </c>
      <c r="M18">
        <v>-0.66100000000000003</v>
      </c>
      <c r="N18">
        <v>0.56799999999999995</v>
      </c>
      <c r="O18">
        <v>0.56599999999999995</v>
      </c>
      <c r="P18">
        <v>-0.42499999999999999</v>
      </c>
      <c r="Q18" t="s">
        <v>96</v>
      </c>
      <c r="R18">
        <v>-0.33700000000000002</v>
      </c>
      <c r="S18">
        <v>-0.53200000000000003</v>
      </c>
      <c r="T18">
        <v>-0.10199999999999999</v>
      </c>
      <c r="U18">
        <v>1.7000000000000001E-2</v>
      </c>
      <c r="V18">
        <v>-0.32400000000000001</v>
      </c>
      <c r="W18">
        <v>0.18099999999999999</v>
      </c>
      <c r="X18">
        <v>14.077999999999999</v>
      </c>
      <c r="Y18">
        <v>5.8330000000000002</v>
      </c>
      <c r="Z18">
        <v>-0.16200000000000001</v>
      </c>
      <c r="AA18">
        <v>0.114</v>
      </c>
      <c r="AB18">
        <v>-8.7999999999999995E-2</v>
      </c>
      <c r="AC18">
        <v>0.51500000000000001</v>
      </c>
      <c r="AD18">
        <v>4.3999999999999997E-2</v>
      </c>
      <c r="AE18">
        <v>5.8000000000000003E-2</v>
      </c>
      <c r="AF18">
        <v>0.41699999999999998</v>
      </c>
      <c r="AG18">
        <v>0.245</v>
      </c>
      <c r="AH18">
        <v>0.17599999999999999</v>
      </c>
      <c r="AI18">
        <v>0.17799999999999999</v>
      </c>
      <c r="AL18">
        <v>-70.356999999999999</v>
      </c>
      <c r="AM18">
        <v>0.49399999999999999</v>
      </c>
      <c r="AN18">
        <v>-0.4</v>
      </c>
      <c r="AO18">
        <v>0.154</v>
      </c>
      <c r="AP18">
        <v>-1.323</v>
      </c>
      <c r="AQ18">
        <v>3</v>
      </c>
      <c r="AR18">
        <v>-0.73699999999999999</v>
      </c>
      <c r="AS18">
        <v>4.9000000000000002E-2</v>
      </c>
      <c r="AT18">
        <v>-0.96699999999999997</v>
      </c>
      <c r="AU18">
        <v>-0.74299999999999999</v>
      </c>
      <c r="AV18">
        <v>-0.49</v>
      </c>
      <c r="AW18">
        <v>-0.99</v>
      </c>
      <c r="AX18">
        <v>-1.238</v>
      </c>
      <c r="AY18">
        <v>0.16200000000000001</v>
      </c>
      <c r="AZ18">
        <v>0.108</v>
      </c>
      <c r="BA18">
        <v>0.108</v>
      </c>
      <c r="BB18">
        <v>-1</v>
      </c>
      <c r="BC18" t="s">
        <v>97</v>
      </c>
      <c r="BD18">
        <v>1.9610000000000001</v>
      </c>
      <c r="BE18">
        <v>24.675999999999998</v>
      </c>
      <c r="BI18">
        <v>-0.98299999999999998</v>
      </c>
      <c r="BJ18">
        <v>-3.1110000000000002</v>
      </c>
      <c r="BK18">
        <v>-1.238</v>
      </c>
      <c r="BL18">
        <v>-0.40799999999999997</v>
      </c>
      <c r="BM18">
        <v>0.24</v>
      </c>
      <c r="BN18">
        <v>-0.72399999999999998</v>
      </c>
      <c r="BO18">
        <v>-0.70599999999999996</v>
      </c>
      <c r="BP18">
        <v>-0.70199999999999996</v>
      </c>
      <c r="BQ18">
        <v>-0.56799999999999995</v>
      </c>
      <c r="BR18">
        <v>-0.36099999999999999</v>
      </c>
    </row>
    <row r="19" spans="1:70" x14ac:dyDescent="0.25">
      <c r="A19" s="1" t="s">
        <v>86</v>
      </c>
      <c r="B19">
        <v>0.14299999999999999</v>
      </c>
      <c r="C19">
        <v>0.23899999999999999</v>
      </c>
      <c r="D19">
        <v>1.0309999999999999</v>
      </c>
      <c r="E19">
        <v>-0.14899999999999999</v>
      </c>
      <c r="F19">
        <v>0.192</v>
      </c>
      <c r="G19">
        <v>0.57699999999999996</v>
      </c>
      <c r="H19">
        <v>-0.308</v>
      </c>
      <c r="I19">
        <v>0.221</v>
      </c>
      <c r="J19">
        <v>-0.45600000000000002</v>
      </c>
      <c r="K19">
        <v>-0.13600000000000001</v>
      </c>
      <c r="L19">
        <v>-13.737</v>
      </c>
      <c r="M19">
        <v>1.901</v>
      </c>
      <c r="N19">
        <v>2.8000000000000001E-2</v>
      </c>
      <c r="O19">
        <v>2.8000000000000001E-2</v>
      </c>
      <c r="P19">
        <v>0.42099999999999999</v>
      </c>
      <c r="Q19" t="s">
        <v>96</v>
      </c>
      <c r="R19">
        <v>0.56599999999999995</v>
      </c>
      <c r="S19">
        <v>-0.36399999999999999</v>
      </c>
      <c r="T19">
        <v>0.41899999999999998</v>
      </c>
      <c r="U19">
        <v>0.27400000000000002</v>
      </c>
      <c r="V19">
        <v>0.40200000000000002</v>
      </c>
      <c r="W19">
        <v>0.29899999999999999</v>
      </c>
      <c r="X19">
        <v>15.771000000000001</v>
      </c>
      <c r="Y19">
        <v>6.1790000000000003</v>
      </c>
      <c r="Z19">
        <v>-0.14799999999999999</v>
      </c>
      <c r="AA19">
        <v>0.153</v>
      </c>
      <c r="AB19">
        <v>0.23400000000000001</v>
      </c>
      <c r="AC19">
        <v>0.42399999999999999</v>
      </c>
      <c r="AD19">
        <v>0.152</v>
      </c>
      <c r="AE19">
        <v>0.40699999999999997</v>
      </c>
      <c r="AF19">
        <v>-0.115</v>
      </c>
      <c r="AG19">
        <v>-0.60399999999999998</v>
      </c>
      <c r="AH19">
        <v>-0.45900000000000002</v>
      </c>
      <c r="AI19">
        <v>0.22900000000000001</v>
      </c>
      <c r="AJ19">
        <v>-1</v>
      </c>
      <c r="AK19">
        <v>-1</v>
      </c>
      <c r="AL19">
        <v>-245</v>
      </c>
      <c r="AM19">
        <v>1.1759999999999999</v>
      </c>
      <c r="AN19">
        <v>-2.3450000000000002</v>
      </c>
      <c r="AO19">
        <v>-0.223</v>
      </c>
      <c r="AP19">
        <v>-3.1139999999999999</v>
      </c>
      <c r="AQ19" t="s">
        <v>97</v>
      </c>
      <c r="AR19" t="s">
        <v>97</v>
      </c>
      <c r="AS19">
        <v>-0.123</v>
      </c>
      <c r="AT19">
        <v>24.181999999999999</v>
      </c>
      <c r="AU19">
        <v>-69.25</v>
      </c>
      <c r="AV19">
        <v>0.29099999999999998</v>
      </c>
      <c r="AW19">
        <v>-0.60699999999999998</v>
      </c>
      <c r="AX19">
        <v>3.8159999999999998</v>
      </c>
      <c r="AY19">
        <v>-0.35899999999999999</v>
      </c>
      <c r="AZ19">
        <v>0.53500000000000003</v>
      </c>
      <c r="BA19">
        <v>0.53500000000000003</v>
      </c>
      <c r="BB19">
        <v>-5.2830000000000004</v>
      </c>
      <c r="BC19" t="s">
        <v>97</v>
      </c>
      <c r="BD19">
        <v>-10.098000000000001</v>
      </c>
      <c r="BE19">
        <v>0.25</v>
      </c>
      <c r="BI19">
        <v>0.37</v>
      </c>
      <c r="BJ19">
        <v>-53</v>
      </c>
      <c r="BK19">
        <v>3.8159999999999998</v>
      </c>
      <c r="BL19">
        <v>0.24</v>
      </c>
      <c r="BM19">
        <v>0.47</v>
      </c>
      <c r="BN19">
        <v>0.27800000000000002</v>
      </c>
      <c r="BO19">
        <v>-0.03</v>
      </c>
      <c r="BP19">
        <v>0.311</v>
      </c>
      <c r="BQ19">
        <v>0.39400000000000002</v>
      </c>
      <c r="BR19">
        <v>-4.0000000000000001E-3</v>
      </c>
    </row>
    <row r="20" spans="1:70" x14ac:dyDescent="0.25">
      <c r="A20" s="1" t="s">
        <v>87</v>
      </c>
      <c r="B20">
        <v>0.36799999999999999</v>
      </c>
      <c r="C20">
        <v>0.57599999999999996</v>
      </c>
      <c r="D20">
        <v>0.16600000000000001</v>
      </c>
      <c r="E20">
        <v>0.28399999999999997</v>
      </c>
      <c r="F20">
        <v>0.24099999999999999</v>
      </c>
      <c r="G20">
        <v>0.66100000000000003</v>
      </c>
      <c r="H20">
        <v>-0.42899999999999999</v>
      </c>
      <c r="I20">
        <v>-7.8E-2</v>
      </c>
      <c r="J20">
        <v>-0.48199999999999998</v>
      </c>
      <c r="K20">
        <v>0.42899999999999999</v>
      </c>
      <c r="L20">
        <v>-1.0780000000000001</v>
      </c>
      <c r="M20">
        <v>0.23599999999999999</v>
      </c>
      <c r="N20">
        <v>0.02</v>
      </c>
      <c r="O20">
        <v>0.02</v>
      </c>
      <c r="P20">
        <v>0.69699999999999995</v>
      </c>
      <c r="Q20" t="s">
        <v>96</v>
      </c>
      <c r="R20">
        <v>0.76600000000000001</v>
      </c>
      <c r="S20">
        <v>-9.0999999999999998E-2</v>
      </c>
      <c r="T20">
        <v>-0.86599999999999999</v>
      </c>
      <c r="U20">
        <v>6.2569999999999997</v>
      </c>
      <c r="V20">
        <v>0.60799999999999998</v>
      </c>
      <c r="W20">
        <v>1.026</v>
      </c>
      <c r="X20">
        <v>9.1999999999999998E-2</v>
      </c>
      <c r="Y20">
        <v>-0.13400000000000001</v>
      </c>
      <c r="Z20">
        <v>1.9E-2</v>
      </c>
      <c r="AA20">
        <v>0.16300000000000001</v>
      </c>
      <c r="AB20">
        <v>0.32400000000000001</v>
      </c>
      <c r="AC20">
        <v>0.81299999999999994</v>
      </c>
      <c r="AD20" t="s">
        <v>96</v>
      </c>
      <c r="AE20">
        <v>6.0999999999999999E-2</v>
      </c>
      <c r="AF20">
        <v>0.59399999999999997</v>
      </c>
      <c r="AG20">
        <v>0.311</v>
      </c>
      <c r="AH20">
        <v>0.214</v>
      </c>
      <c r="AI20" t="s">
        <v>96</v>
      </c>
      <c r="AL20" t="s">
        <v>96</v>
      </c>
      <c r="AM20">
        <v>0.58299999999999996</v>
      </c>
      <c r="AN20">
        <v>0.373</v>
      </c>
      <c r="AO20">
        <v>1.2589999999999999</v>
      </c>
      <c r="AP20">
        <v>-1.8120000000000001</v>
      </c>
      <c r="AQ20">
        <v>3.37</v>
      </c>
      <c r="AR20">
        <v>0.17100000000000001</v>
      </c>
      <c r="AS20">
        <v>-7.2999999999999995E-2</v>
      </c>
      <c r="AT20">
        <v>8.7200000000000006</v>
      </c>
      <c r="AU20">
        <v>-0.91400000000000003</v>
      </c>
      <c r="AV20">
        <v>-5.2140000000000004</v>
      </c>
      <c r="AW20">
        <v>-6.9669999999999996</v>
      </c>
      <c r="AX20">
        <v>-2.5179999999999998</v>
      </c>
      <c r="AY20">
        <v>1.6419999999999999</v>
      </c>
      <c r="AZ20">
        <v>-7.0999999999999994E-2</v>
      </c>
      <c r="BA20">
        <v>-7.0999999999999994E-2</v>
      </c>
      <c r="BB20" t="s">
        <v>97</v>
      </c>
      <c r="BC20" t="s">
        <v>97</v>
      </c>
      <c r="BD20">
        <v>3.5579999999999998</v>
      </c>
      <c r="BE20">
        <v>-0.32400000000000001</v>
      </c>
      <c r="BF20" t="s">
        <v>96</v>
      </c>
      <c r="BG20" t="s">
        <v>97</v>
      </c>
      <c r="BH20" t="s">
        <v>97</v>
      </c>
      <c r="BI20">
        <v>-1.034</v>
      </c>
      <c r="BJ20">
        <v>0.35699999999999998</v>
      </c>
      <c r="BK20">
        <v>-2.5179999999999998</v>
      </c>
      <c r="BL20">
        <v>0.47</v>
      </c>
      <c r="BM20">
        <v>1.248</v>
      </c>
      <c r="BN20">
        <v>-7.8E-2</v>
      </c>
      <c r="BO20">
        <v>0.36299999999999999</v>
      </c>
      <c r="BP20">
        <v>-7.6999999999999999E-2</v>
      </c>
      <c r="BQ20">
        <v>1.4770000000000001</v>
      </c>
      <c r="BR20">
        <v>0.51500000000000001</v>
      </c>
    </row>
    <row r="21" spans="1:70" x14ac:dyDescent="0.25">
      <c r="A21" s="1" t="s">
        <v>88</v>
      </c>
      <c r="B21">
        <v>0.29499999999999998</v>
      </c>
      <c r="C21">
        <v>0.36199999999999999</v>
      </c>
      <c r="D21">
        <v>0.28499999999999998</v>
      </c>
      <c r="E21">
        <v>0.41799999999999998</v>
      </c>
      <c r="F21">
        <v>0.36899999999999999</v>
      </c>
      <c r="G21">
        <v>0.74</v>
      </c>
      <c r="H21">
        <v>-2.1579999999999999</v>
      </c>
      <c r="I21">
        <v>0.45</v>
      </c>
      <c r="J21">
        <v>-0.441</v>
      </c>
      <c r="K21">
        <v>1.8149999999999999</v>
      </c>
      <c r="L21">
        <v>2</v>
      </c>
      <c r="M21">
        <v>0.17799999999999999</v>
      </c>
      <c r="N21">
        <v>0</v>
      </c>
      <c r="O21">
        <v>0</v>
      </c>
      <c r="P21" t="s">
        <v>96</v>
      </c>
      <c r="R21" t="s">
        <v>96</v>
      </c>
      <c r="S21" t="s">
        <v>96</v>
      </c>
      <c r="T21" t="s">
        <v>96</v>
      </c>
      <c r="U21" t="s">
        <v>96</v>
      </c>
      <c r="V21" t="s">
        <v>96</v>
      </c>
      <c r="W21" t="s">
        <v>96</v>
      </c>
      <c r="X21" t="s">
        <v>96</v>
      </c>
      <c r="Y21" t="s">
        <v>96</v>
      </c>
      <c r="Z21" t="s">
        <v>96</v>
      </c>
      <c r="AA21" t="s">
        <v>96</v>
      </c>
      <c r="AB21" t="s">
        <v>96</v>
      </c>
      <c r="AC21" t="s">
        <v>96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L21" t="s">
        <v>96</v>
      </c>
      <c r="AM21" t="s">
        <v>97</v>
      </c>
      <c r="AN21" t="s">
        <v>96</v>
      </c>
      <c r="AO21">
        <v>0.78900000000000003</v>
      </c>
      <c r="AP21">
        <v>-1.278</v>
      </c>
      <c r="AQ21">
        <v>1.286</v>
      </c>
      <c r="AR21">
        <v>-2.516</v>
      </c>
      <c r="AS21">
        <v>-0.221</v>
      </c>
      <c r="AT21">
        <v>5.266</v>
      </c>
      <c r="AU21">
        <v>-0.52</v>
      </c>
      <c r="AV21">
        <v>-2.5030000000000001</v>
      </c>
      <c r="AW21">
        <v>-0.59899999999999998</v>
      </c>
      <c r="AX21">
        <v>-2.2400000000000002</v>
      </c>
      <c r="AY21">
        <v>1.141</v>
      </c>
      <c r="AZ21">
        <v>-0.157</v>
      </c>
      <c r="BA21">
        <v>-0.157</v>
      </c>
      <c r="BB21">
        <v>-1</v>
      </c>
      <c r="BD21">
        <v>0.76700000000000002</v>
      </c>
      <c r="BE21">
        <v>-0.83099999999999996</v>
      </c>
      <c r="BF21" t="s">
        <v>97</v>
      </c>
      <c r="BG21">
        <v>-1</v>
      </c>
      <c r="BI21">
        <v>-7.367</v>
      </c>
      <c r="BJ21">
        <v>0.129</v>
      </c>
      <c r="BK21">
        <v>-2.2400000000000002</v>
      </c>
      <c r="BL21">
        <v>1.248</v>
      </c>
      <c r="BM21">
        <v>0.88</v>
      </c>
      <c r="BN21">
        <v>0.58899999999999997</v>
      </c>
      <c r="BO21">
        <v>0.45200000000000001</v>
      </c>
      <c r="BP21">
        <v>0.443</v>
      </c>
      <c r="BQ21" t="s">
        <v>96</v>
      </c>
    </row>
    <row r="22" spans="1:70" x14ac:dyDescent="0.25">
      <c r="A22" s="1" t="s">
        <v>89</v>
      </c>
      <c r="B22">
        <v>0.14399999999999999</v>
      </c>
      <c r="C22">
        <v>0</v>
      </c>
      <c r="D22">
        <v>1.5669999999999999</v>
      </c>
      <c r="E22">
        <v>0.70899999999999996</v>
      </c>
      <c r="F22">
        <v>1.1140000000000001</v>
      </c>
      <c r="G22">
        <v>7.3949999999999996</v>
      </c>
      <c r="H22">
        <v>-0.77500000000000002</v>
      </c>
      <c r="I22">
        <v>6.4219999999999997</v>
      </c>
      <c r="J22">
        <v>-5.6000000000000001E-2</v>
      </c>
      <c r="K22">
        <v>1.667</v>
      </c>
      <c r="L22">
        <v>-1.071</v>
      </c>
      <c r="M22">
        <v>4.9640000000000004</v>
      </c>
      <c r="N22">
        <v>-0.34799999999999998</v>
      </c>
      <c r="O22">
        <v>-0.34699999999999998</v>
      </c>
      <c r="P22" t="s">
        <v>96</v>
      </c>
      <c r="R22" t="s">
        <v>96</v>
      </c>
      <c r="S22" t="s">
        <v>96</v>
      </c>
      <c r="T22" t="s">
        <v>96</v>
      </c>
      <c r="U22" t="s">
        <v>96</v>
      </c>
      <c r="V22" t="s">
        <v>96</v>
      </c>
      <c r="W22" t="s">
        <v>96</v>
      </c>
      <c r="X22" t="s">
        <v>96</v>
      </c>
      <c r="Y22" t="s">
        <v>96</v>
      </c>
      <c r="Z22" t="s">
        <v>96</v>
      </c>
      <c r="AA22" t="s">
        <v>96</v>
      </c>
      <c r="AB22" t="s">
        <v>96</v>
      </c>
      <c r="AC22" t="s">
        <v>96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L22" t="s">
        <v>97</v>
      </c>
      <c r="AM22" t="s">
        <v>97</v>
      </c>
      <c r="AN22" t="s">
        <v>96</v>
      </c>
      <c r="AO22">
        <v>2.9340000000000002</v>
      </c>
      <c r="AP22">
        <v>12.294</v>
      </c>
      <c r="AQ22">
        <v>-0.35699999999999998</v>
      </c>
      <c r="AR22">
        <v>3.8460000000000001</v>
      </c>
      <c r="AS22">
        <v>0.255</v>
      </c>
      <c r="AT22">
        <v>196.05</v>
      </c>
      <c r="AU22">
        <v>1.1879999999999999</v>
      </c>
      <c r="AV22">
        <v>0.44400000000000001</v>
      </c>
      <c r="AW22">
        <v>-0.625</v>
      </c>
      <c r="AX22">
        <v>4.9020000000000001</v>
      </c>
      <c r="AY22">
        <v>5.0259999999999998</v>
      </c>
      <c r="AZ22">
        <v>0.24399999999999999</v>
      </c>
      <c r="BA22">
        <v>0.24399999999999999</v>
      </c>
      <c r="BB22">
        <v>-0.89100000000000001</v>
      </c>
      <c r="BD22">
        <v>0.69199999999999995</v>
      </c>
      <c r="BE22">
        <v>-0.73199999999999998</v>
      </c>
      <c r="BG22">
        <v>-1</v>
      </c>
      <c r="BI22">
        <v>4.1950000000000003</v>
      </c>
      <c r="BJ22">
        <v>-1.087</v>
      </c>
      <c r="BK22">
        <v>4.9020000000000001</v>
      </c>
      <c r="BL22">
        <v>0.88</v>
      </c>
      <c r="BM22">
        <v>0.22700000000000001</v>
      </c>
      <c r="BN22">
        <v>7.3650000000000002</v>
      </c>
      <c r="BO22">
        <v>6.149</v>
      </c>
      <c r="BP22">
        <v>6.25</v>
      </c>
      <c r="BQ22" t="s">
        <v>96</v>
      </c>
    </row>
    <row r="23" spans="1:70" x14ac:dyDescent="0.25">
      <c r="A23" s="1" t="s">
        <v>90</v>
      </c>
      <c r="B23">
        <v>0.19900000000000001</v>
      </c>
      <c r="C23">
        <v>-7.0000000000000001E-3</v>
      </c>
      <c r="D23">
        <v>-1.4E-2</v>
      </c>
      <c r="E23">
        <v>0.53600000000000003</v>
      </c>
      <c r="F23">
        <v>0.32300000000000001</v>
      </c>
      <c r="G23">
        <v>0.20300000000000001</v>
      </c>
      <c r="H23">
        <v>-0.79700000000000004</v>
      </c>
      <c r="I23">
        <v>1.163</v>
      </c>
      <c r="J23">
        <v>0.64400000000000002</v>
      </c>
      <c r="K23">
        <v>1.444</v>
      </c>
      <c r="L23">
        <v>-0.96699999999999997</v>
      </c>
      <c r="M23">
        <v>-1.27</v>
      </c>
      <c r="N23">
        <v>-1.4E-2</v>
      </c>
      <c r="O23">
        <v>-1.4E-2</v>
      </c>
      <c r="P23" t="s">
        <v>96</v>
      </c>
      <c r="R23" t="s">
        <v>96</v>
      </c>
      <c r="S23" t="s">
        <v>96</v>
      </c>
      <c r="T23" t="s">
        <v>96</v>
      </c>
      <c r="U23" t="s">
        <v>96</v>
      </c>
      <c r="V23" t="s">
        <v>96</v>
      </c>
      <c r="W23" t="s">
        <v>96</v>
      </c>
      <c r="X23" t="s">
        <v>96</v>
      </c>
      <c r="Y23" t="s">
        <v>96</v>
      </c>
      <c r="Z23" t="s">
        <v>96</v>
      </c>
      <c r="AA23" t="s">
        <v>96</v>
      </c>
      <c r="AB23" t="s">
        <v>96</v>
      </c>
      <c r="AC23" t="s">
        <v>96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96</v>
      </c>
      <c r="AK23" t="s">
        <v>97</v>
      </c>
      <c r="AL23" t="s">
        <v>97</v>
      </c>
      <c r="AM23" t="s">
        <v>97</v>
      </c>
      <c r="AN23" t="s">
        <v>97</v>
      </c>
      <c r="AO23">
        <v>1.1990000000000001</v>
      </c>
      <c r="AP23">
        <v>51.5</v>
      </c>
      <c r="AQ23">
        <v>-1</v>
      </c>
      <c r="AR23">
        <v>-1</v>
      </c>
      <c r="AS23">
        <v>0.65900000000000003</v>
      </c>
      <c r="AT23">
        <v>-0.82</v>
      </c>
      <c r="AU23">
        <v>-0.99199999999999999</v>
      </c>
      <c r="AV23">
        <v>1.472</v>
      </c>
      <c r="AW23">
        <v>0.65400000000000003</v>
      </c>
      <c r="AX23">
        <v>-2.214</v>
      </c>
      <c r="AY23">
        <v>1.431</v>
      </c>
      <c r="AZ23">
        <v>0.433</v>
      </c>
      <c r="BA23">
        <v>0.433</v>
      </c>
      <c r="BB23">
        <v>-1.6930000000000001</v>
      </c>
      <c r="BD23">
        <v>-1.544</v>
      </c>
      <c r="BE23">
        <v>-0.51500000000000001</v>
      </c>
      <c r="BG23">
        <v>-1</v>
      </c>
      <c r="BI23">
        <v>-1.0409999999999999</v>
      </c>
      <c r="BJ23">
        <v>0.5</v>
      </c>
      <c r="BK23">
        <v>-2.214</v>
      </c>
      <c r="BL23">
        <v>0.22700000000000001</v>
      </c>
      <c r="BM23">
        <v>0.40899999999999997</v>
      </c>
      <c r="BN23">
        <v>1.2769999999999999</v>
      </c>
      <c r="BO23">
        <v>-1E-3</v>
      </c>
      <c r="BP23">
        <v>1.119</v>
      </c>
      <c r="BQ23" t="s">
        <v>96</v>
      </c>
    </row>
    <row r="24" spans="1:70" x14ac:dyDescent="0.25">
      <c r="A24" s="1" t="s">
        <v>91</v>
      </c>
      <c r="P24" t="s">
        <v>96</v>
      </c>
      <c r="R24" t="s">
        <v>96</v>
      </c>
      <c r="S24" t="s">
        <v>96</v>
      </c>
      <c r="T24" t="s">
        <v>96</v>
      </c>
      <c r="U24" t="s">
        <v>96</v>
      </c>
      <c r="V24" t="s">
        <v>96</v>
      </c>
      <c r="W24" t="s">
        <v>96</v>
      </c>
      <c r="X24" t="s">
        <v>96</v>
      </c>
      <c r="Y24" t="s">
        <v>96</v>
      </c>
      <c r="Z24" t="s">
        <v>96</v>
      </c>
      <c r="AA24" t="s">
        <v>96</v>
      </c>
      <c r="AB24" t="s">
        <v>96</v>
      </c>
      <c r="AC24" t="s">
        <v>96</v>
      </c>
      <c r="AE24" t="s">
        <v>96</v>
      </c>
      <c r="AF24" t="s">
        <v>96</v>
      </c>
      <c r="AG24" t="s">
        <v>96</v>
      </c>
      <c r="AH24" t="s">
        <v>96</v>
      </c>
      <c r="AM24" t="s">
        <v>97</v>
      </c>
      <c r="AN24" t="s">
        <v>96</v>
      </c>
      <c r="BQ24" t="s">
        <v>96</v>
      </c>
    </row>
    <row r="25" spans="1:70" x14ac:dyDescent="0.25">
      <c r="A25" s="1" t="s">
        <v>92</v>
      </c>
    </row>
    <row r="26" spans="1:70" x14ac:dyDescent="0.25">
      <c r="A26" s="1" t="s">
        <v>93</v>
      </c>
    </row>
    <row r="27" spans="1:70" x14ac:dyDescent="0.25">
      <c r="A27" s="1" t="s">
        <v>94</v>
      </c>
    </row>
    <row r="28" spans="1:70" x14ac:dyDescent="0.25">
      <c r="A28" s="1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9"/>
  <sheetViews>
    <sheetView workbookViewId="0">
      <selection activeCell="F3" sqref="F3"/>
    </sheetView>
  </sheetViews>
  <sheetFormatPr defaultRowHeight="15" x14ac:dyDescent="0.25"/>
  <cols>
    <col min="1" max="1" width="5" bestFit="1" customWidth="1"/>
    <col min="2" max="2" width="18" bestFit="1" customWidth="1"/>
    <col min="3" max="3" width="12" bestFit="1" customWidth="1"/>
    <col min="4" max="4" width="33.42578125" bestFit="1" customWidth="1"/>
    <col min="5" max="5" width="28.42578125" bestFit="1" customWidth="1"/>
    <col min="6" max="6" width="40" bestFit="1" customWidth="1"/>
    <col min="7" max="7" width="33.28515625" bestFit="1" customWidth="1"/>
    <col min="8" max="8" width="14.28515625" bestFit="1" customWidth="1"/>
    <col min="9" max="9" width="16.28515625" bestFit="1" customWidth="1"/>
    <col min="10" max="10" width="15.5703125" bestFit="1" customWidth="1"/>
    <col min="11" max="11" width="14.7109375" bestFit="1" customWidth="1"/>
    <col min="12" max="12" width="18.28515625" bestFit="1" customWidth="1"/>
    <col min="13" max="13" width="11.7109375" bestFit="1" customWidth="1"/>
    <col min="14" max="14" width="23.42578125" bestFit="1" customWidth="1"/>
    <col min="15" max="15" width="26" bestFit="1" customWidth="1"/>
    <col min="16" max="16" width="23.28515625" bestFit="1" customWidth="1"/>
    <col min="17" max="17" width="21.5703125" bestFit="1" customWidth="1"/>
    <col min="18" max="18" width="29.28515625" bestFit="1" customWidth="1"/>
    <col min="19" max="19" width="14.7109375" bestFit="1" customWidth="1"/>
    <col min="20" max="20" width="11.5703125" bestFit="1" customWidth="1"/>
    <col min="21" max="21" width="18.5703125" bestFit="1" customWidth="1"/>
    <col min="22" max="22" width="17.85546875" bestFit="1" customWidth="1"/>
    <col min="23" max="23" width="26.85546875" bestFit="1" customWidth="1"/>
    <col min="24" max="24" width="12" bestFit="1" customWidth="1"/>
    <col min="25" max="25" width="15.85546875" bestFit="1" customWidth="1"/>
    <col min="26" max="26" width="20.7109375" bestFit="1" customWidth="1"/>
    <col min="27" max="27" width="21.7109375" bestFit="1" customWidth="1"/>
    <col min="28" max="28" width="12" bestFit="1" customWidth="1"/>
    <col min="29" max="29" width="15.85546875" bestFit="1" customWidth="1"/>
    <col min="30" max="30" width="14.5703125" bestFit="1" customWidth="1"/>
    <col min="31" max="31" width="20.7109375" bestFit="1" customWidth="1"/>
    <col min="32" max="32" width="13.85546875" bestFit="1" customWidth="1"/>
    <col min="33" max="33" width="24.5703125" bestFit="1" customWidth="1"/>
    <col min="34" max="34" width="13.85546875" bestFit="1" customWidth="1"/>
    <col min="35" max="35" width="22.42578125" bestFit="1" customWidth="1"/>
    <col min="36" max="36" width="14.42578125" bestFit="1" customWidth="1"/>
    <col min="37" max="37" width="13.5703125" bestFit="1" customWidth="1"/>
    <col min="38" max="38" width="15.7109375" bestFit="1" customWidth="1"/>
    <col min="39" max="39" width="16.140625" bestFit="1" customWidth="1"/>
    <col min="40" max="40" width="12" bestFit="1" customWidth="1"/>
    <col min="41" max="41" width="13.28515625" bestFit="1" customWidth="1"/>
    <col min="42" max="42" width="19.5703125" bestFit="1" customWidth="1"/>
    <col min="43" max="43" width="16.7109375" bestFit="1" customWidth="1"/>
    <col min="44" max="44" width="11.5703125" bestFit="1" customWidth="1"/>
    <col min="45" max="45" width="28" bestFit="1" customWidth="1"/>
    <col min="46" max="46" width="24.140625" bestFit="1" customWidth="1"/>
    <col min="47" max="47" width="18.7109375" bestFit="1" customWidth="1"/>
    <col min="48" max="48" width="23.140625" bestFit="1" customWidth="1"/>
    <col min="49" max="49" width="19.85546875" bestFit="1" customWidth="1"/>
    <col min="50" max="50" width="16.5703125" bestFit="1" customWidth="1"/>
    <col min="51" max="51" width="36.28515625" bestFit="1" customWidth="1"/>
    <col min="52" max="52" width="18" bestFit="1" customWidth="1"/>
    <col min="53" max="53" width="40.28515625" bestFit="1" customWidth="1"/>
    <col min="54" max="54" width="15" bestFit="1" customWidth="1"/>
    <col min="55" max="55" width="23.42578125" bestFit="1" customWidth="1"/>
    <col min="56" max="56" width="32.140625" bestFit="1" customWidth="1"/>
    <col min="57" max="57" width="15.42578125" bestFit="1" customWidth="1"/>
    <col min="58" max="58" width="19.42578125" bestFit="1" customWidth="1"/>
    <col min="59" max="59" width="25.28515625" bestFit="1" customWidth="1"/>
    <col min="60" max="60" width="13.7109375" bestFit="1" customWidth="1"/>
    <col min="61" max="61" width="40.5703125" bestFit="1" customWidth="1"/>
    <col min="62" max="62" width="28.140625" bestFit="1" customWidth="1"/>
    <col min="63" max="63" width="16.5703125" bestFit="1" customWidth="1"/>
    <col min="64" max="64" width="18.42578125" bestFit="1" customWidth="1"/>
    <col min="65" max="65" width="24.140625" bestFit="1" customWidth="1"/>
    <col min="66" max="68" width="11.7109375" bestFit="1" customWidth="1"/>
    <col min="69" max="69" width="12.5703125" bestFit="1" customWidth="1"/>
    <col min="70" max="70" width="12" bestFit="1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>
        <v>2024</v>
      </c>
      <c r="B2" s="3">
        <v>20831000000</v>
      </c>
      <c r="C2">
        <v>7320000000</v>
      </c>
      <c r="D2">
        <v>1895000000</v>
      </c>
      <c r="E2">
        <v>2032000000</v>
      </c>
      <c r="F2">
        <v>3781000000</v>
      </c>
      <c r="G2">
        <v>1550000000</v>
      </c>
      <c r="H2">
        <v>42000000</v>
      </c>
      <c r="I2">
        <v>1114000000</v>
      </c>
      <c r="J2">
        <v>263000000</v>
      </c>
      <c r="K2">
        <v>335000000</v>
      </c>
      <c r="L2">
        <v>86000000</v>
      </c>
      <c r="M2">
        <v>361000000</v>
      </c>
      <c r="N2">
        <v>4170646999</v>
      </c>
      <c r="O2">
        <v>4230187000</v>
      </c>
      <c r="P2">
        <v>11100000000</v>
      </c>
      <c r="Q2">
        <v>2539000000</v>
      </c>
      <c r="R2">
        <v>13639000000</v>
      </c>
      <c r="S2">
        <v>8080000000</v>
      </c>
      <c r="T2">
        <v>0</v>
      </c>
      <c r="U2">
        <v>2838000000</v>
      </c>
      <c r="V2">
        <v>24557000000</v>
      </c>
      <c r="W2">
        <v>6464000000</v>
      </c>
      <c r="X2">
        <v>16172000000</v>
      </c>
      <c r="Y2">
        <v>2600000000</v>
      </c>
      <c r="Z2">
        <v>27399000000</v>
      </c>
      <c r="AA2">
        <v>56556000000</v>
      </c>
      <c r="AB2">
        <v>81113000000</v>
      </c>
      <c r="AC2">
        <v>1585000000</v>
      </c>
      <c r="AD2">
        <v>535000000</v>
      </c>
      <c r="AE2">
        <v>20311000000</v>
      </c>
      <c r="AF2">
        <v>18911000000</v>
      </c>
      <c r="AG2">
        <v>34520000000</v>
      </c>
      <c r="AH2">
        <v>54831000000</v>
      </c>
      <c r="AI2">
        <v>3012000000</v>
      </c>
      <c r="AJ2">
        <v>0</v>
      </c>
      <c r="AK2">
        <v>0</v>
      </c>
      <c r="AL2">
        <v>2874000000</v>
      </c>
      <c r="AM2">
        <v>-61481000000</v>
      </c>
      <c r="AN2">
        <v>26282000000</v>
      </c>
      <c r="AO2">
        <v>3136000000</v>
      </c>
      <c r="AP2">
        <v>-584000000</v>
      </c>
      <c r="AQ2">
        <v>-24000000</v>
      </c>
      <c r="AR2">
        <v>0</v>
      </c>
      <c r="AS2">
        <v>371000000</v>
      </c>
      <c r="AT2">
        <v>939000000</v>
      </c>
      <c r="AU2">
        <v>-23000000</v>
      </c>
      <c r="AV2">
        <v>1146000000</v>
      </c>
      <c r="AW2">
        <v>1754000000</v>
      </c>
      <c r="AX2">
        <v>-212000000</v>
      </c>
      <c r="AY2">
        <v>3292000000</v>
      </c>
      <c r="AZ2">
        <v>-156000000</v>
      </c>
      <c r="BA2">
        <v>-156000000</v>
      </c>
      <c r="BB2">
        <v>17000000</v>
      </c>
      <c r="BC2">
        <v>-5549000000</v>
      </c>
      <c r="BD2">
        <v>-1918000000</v>
      </c>
      <c r="BE2">
        <v>-146000000</v>
      </c>
      <c r="BF2">
        <v>103000000</v>
      </c>
      <c r="BG2">
        <v>-325000000</v>
      </c>
      <c r="BH2">
        <v>0</v>
      </c>
      <c r="BI2">
        <v>-347000000</v>
      </c>
      <c r="BJ2">
        <v>-150000000</v>
      </c>
      <c r="BK2">
        <v>-212000000</v>
      </c>
      <c r="BL2">
        <v>11100000000</v>
      </c>
      <c r="BM2">
        <v>11312000000</v>
      </c>
      <c r="BN2">
        <v>1485000000</v>
      </c>
      <c r="BO2">
        <v>1028000000</v>
      </c>
      <c r="BP2">
        <v>1329000000</v>
      </c>
      <c r="BQ2">
        <v>4246000000</v>
      </c>
      <c r="BR2">
        <v>2.418073257987317</v>
      </c>
    </row>
    <row r="3" spans="1:70" x14ac:dyDescent="0.25">
      <c r="A3" s="1">
        <v>2023</v>
      </c>
      <c r="B3" s="3">
        <v>37281000000</v>
      </c>
      <c r="C3">
        <v>14824000000</v>
      </c>
      <c r="D3">
        <v>2682000000</v>
      </c>
      <c r="E3">
        <v>4356000000</v>
      </c>
      <c r="F3">
        <v>7038000000</v>
      </c>
      <c r="G3">
        <v>3164000000</v>
      </c>
      <c r="H3">
        <v>-198000000</v>
      </c>
      <c r="I3">
        <v>1110000000</v>
      </c>
      <c r="J3">
        <v>633000000</v>
      </c>
      <c r="K3">
        <v>484000000</v>
      </c>
      <c r="L3">
        <v>213000000</v>
      </c>
      <c r="M3">
        <v>1887000000</v>
      </c>
      <c r="N3">
        <v>8141943000</v>
      </c>
      <c r="O3">
        <v>8319230000</v>
      </c>
      <c r="P3">
        <v>18973000000</v>
      </c>
      <c r="Q3">
        <v>2111000000</v>
      </c>
      <c r="R3">
        <v>21084000000</v>
      </c>
      <c r="S3">
        <v>12268000000</v>
      </c>
      <c r="T3">
        <v>2639000000</v>
      </c>
      <c r="U3">
        <v>5845000000</v>
      </c>
      <c r="V3">
        <v>41836000000</v>
      </c>
      <c r="W3">
        <v>13561000000</v>
      </c>
      <c r="X3">
        <v>32627000000</v>
      </c>
      <c r="Y3">
        <v>6309000000</v>
      </c>
      <c r="Z3">
        <v>28771000000</v>
      </c>
      <c r="AA3">
        <v>99331000000</v>
      </c>
      <c r="AB3">
        <v>141167000000</v>
      </c>
      <c r="AC3">
        <v>2995000000</v>
      </c>
      <c r="AD3">
        <v>1045000000</v>
      </c>
      <c r="AE3">
        <v>36177000000</v>
      </c>
      <c r="AF3">
        <v>42014000000</v>
      </c>
      <c r="AG3">
        <v>63289000000</v>
      </c>
      <c r="AH3">
        <v>99466000000</v>
      </c>
      <c r="AI3">
        <v>7209000000</v>
      </c>
      <c r="AJ3">
        <v>0</v>
      </c>
      <c r="AK3">
        <v>0</v>
      </c>
      <c r="AL3">
        <v>4922000000</v>
      </c>
      <c r="AM3">
        <v>-128357000000</v>
      </c>
      <c r="AN3">
        <v>41701000000</v>
      </c>
      <c r="AO3">
        <v>3362000000</v>
      </c>
      <c r="AP3">
        <v>-758000000</v>
      </c>
      <c r="AQ3">
        <v>64000000</v>
      </c>
      <c r="AR3">
        <v>0</v>
      </c>
      <c r="AS3">
        <v>823000000</v>
      </c>
      <c r="AT3">
        <v>1935000000</v>
      </c>
      <c r="AU3">
        <v>26000000</v>
      </c>
      <c r="AV3">
        <v>165000000</v>
      </c>
      <c r="AW3">
        <v>1272000000</v>
      </c>
      <c r="AX3">
        <v>392000000</v>
      </c>
      <c r="AY3">
        <v>3585000000</v>
      </c>
      <c r="AZ3">
        <v>-223000000</v>
      </c>
      <c r="BA3">
        <v>-223000000</v>
      </c>
      <c r="BB3">
        <v>0</v>
      </c>
      <c r="BC3">
        <v>-8806000000</v>
      </c>
      <c r="BD3">
        <v>-3226000000</v>
      </c>
      <c r="BE3">
        <v>-297000000</v>
      </c>
      <c r="BF3">
        <v>130000000</v>
      </c>
      <c r="BG3">
        <v>130000000</v>
      </c>
      <c r="BH3">
        <v>0</v>
      </c>
      <c r="BI3">
        <v>-95000000</v>
      </c>
      <c r="BJ3">
        <v>63000000</v>
      </c>
      <c r="BK3">
        <v>392000000</v>
      </c>
      <c r="BL3">
        <v>27603000000</v>
      </c>
      <c r="BM3">
        <v>27211000000</v>
      </c>
      <c r="BN3">
        <v>1933000000</v>
      </c>
      <c r="BO3">
        <v>897000000</v>
      </c>
      <c r="BP3">
        <v>1710000000</v>
      </c>
      <c r="BQ3">
        <v>5659000000</v>
      </c>
      <c r="BR3">
        <v>4.6244587069041323</v>
      </c>
    </row>
    <row r="4" spans="1:70" x14ac:dyDescent="0.25">
      <c r="A4" s="1">
        <v>2022</v>
      </c>
      <c r="B4" s="3">
        <v>31877000000</v>
      </c>
      <c r="C4">
        <v>12218000000</v>
      </c>
      <c r="D4">
        <v>3136000000</v>
      </c>
      <c r="E4">
        <v>4756000000</v>
      </c>
      <c r="F4">
        <v>7892000000</v>
      </c>
      <c r="G4">
        <v>2798000000</v>
      </c>
      <c r="H4">
        <v>2517000000</v>
      </c>
      <c r="I4">
        <v>-1757000000</v>
      </c>
      <c r="J4">
        <v>565000000</v>
      </c>
      <c r="K4">
        <v>139000000</v>
      </c>
      <c r="L4">
        <v>-181000000</v>
      </c>
      <c r="M4">
        <v>-9180000000</v>
      </c>
      <c r="N4">
        <v>7892392000</v>
      </c>
      <c r="O4">
        <v>7966486999</v>
      </c>
      <c r="P4">
        <v>17654000000</v>
      </c>
      <c r="Q4">
        <v>103000000</v>
      </c>
      <c r="R4">
        <v>17757000000</v>
      </c>
      <c r="S4">
        <v>10182000000</v>
      </c>
      <c r="T4">
        <v>4177000000</v>
      </c>
      <c r="U4">
        <v>3917000000</v>
      </c>
      <c r="V4">
        <v>36033000000</v>
      </c>
      <c r="W4">
        <v>13512000000</v>
      </c>
      <c r="X4">
        <v>33357000000</v>
      </c>
      <c r="Y4">
        <v>8257000000</v>
      </c>
      <c r="Z4">
        <v>21780000000</v>
      </c>
      <c r="AA4">
        <v>91014000000</v>
      </c>
      <c r="AB4">
        <v>127047000000</v>
      </c>
      <c r="AC4">
        <v>3174000000</v>
      </c>
      <c r="AD4">
        <v>814000000</v>
      </c>
      <c r="AE4">
        <v>35470000000</v>
      </c>
      <c r="AF4">
        <v>43768000000</v>
      </c>
      <c r="AG4">
        <v>58292000000</v>
      </c>
      <c r="AH4">
        <v>93762000000</v>
      </c>
      <c r="AI4">
        <v>7505000000</v>
      </c>
      <c r="AJ4">
        <v>0</v>
      </c>
      <c r="AK4">
        <v>0</v>
      </c>
      <c r="AL4">
        <v>4121000000</v>
      </c>
      <c r="AM4">
        <v>-127843000000</v>
      </c>
      <c r="AN4">
        <v>33285000000</v>
      </c>
      <c r="AO4">
        <v>390000000</v>
      </c>
      <c r="AP4">
        <v>-542000000</v>
      </c>
      <c r="AQ4">
        <v>-133000000</v>
      </c>
      <c r="AR4">
        <v>0</v>
      </c>
      <c r="AS4">
        <v>947000000</v>
      </c>
      <c r="AT4">
        <v>1793000000</v>
      </c>
      <c r="AU4">
        <v>-441000000</v>
      </c>
      <c r="AV4">
        <v>335000000</v>
      </c>
      <c r="AW4">
        <v>676000000</v>
      </c>
      <c r="AX4">
        <v>-1128000000</v>
      </c>
      <c r="AY4">
        <v>642000000</v>
      </c>
      <c r="AZ4">
        <v>-252000000</v>
      </c>
      <c r="BA4">
        <v>-252000000</v>
      </c>
      <c r="BB4">
        <v>-59000000</v>
      </c>
      <c r="BC4">
        <v>-1722000000</v>
      </c>
      <c r="BD4">
        <v>-1637000000</v>
      </c>
      <c r="BE4">
        <v>-264000000</v>
      </c>
      <c r="BF4">
        <v>347000000</v>
      </c>
      <c r="BG4">
        <v>0</v>
      </c>
      <c r="BH4">
        <v>0</v>
      </c>
      <c r="BI4">
        <v>15000000</v>
      </c>
      <c r="BJ4">
        <v>-148000000</v>
      </c>
      <c r="BK4">
        <v>-1128000000</v>
      </c>
      <c r="BL4">
        <v>30767000000</v>
      </c>
      <c r="BM4">
        <v>31895000000</v>
      </c>
      <c r="BN4">
        <v>-810000000</v>
      </c>
      <c r="BO4">
        <v>-1576000000</v>
      </c>
      <c r="BP4">
        <v>-1062000000</v>
      </c>
      <c r="BQ4">
        <v>563000000</v>
      </c>
      <c r="BR4">
        <v>4.0631259799180057</v>
      </c>
    </row>
    <row r="5" spans="1:70" x14ac:dyDescent="0.25">
      <c r="A5" s="1">
        <v>2021</v>
      </c>
      <c r="B5" s="3">
        <v>17455000000</v>
      </c>
      <c r="C5">
        <v>8104000000</v>
      </c>
      <c r="D5">
        <v>2316000000</v>
      </c>
      <c r="E5">
        <v>4789000000</v>
      </c>
      <c r="F5">
        <v>7105000000</v>
      </c>
      <c r="G5">
        <v>2054000000</v>
      </c>
      <c r="H5">
        <v>254000000</v>
      </c>
      <c r="I5">
        <v>-3834000000</v>
      </c>
      <c r="J5">
        <v>483000000</v>
      </c>
      <c r="K5">
        <v>37000000</v>
      </c>
      <c r="L5">
        <v>-492000000</v>
      </c>
      <c r="M5">
        <v>-496000000</v>
      </c>
      <c r="N5">
        <v>7505642000</v>
      </c>
      <c r="O5">
        <v>7719045000</v>
      </c>
      <c r="P5">
        <v>20056000000</v>
      </c>
      <c r="Q5">
        <v>1247000000</v>
      </c>
      <c r="R5">
        <v>21435000000</v>
      </c>
      <c r="S5">
        <v>6048000000</v>
      </c>
      <c r="T5">
        <v>1616000000</v>
      </c>
      <c r="U5">
        <v>5482000000</v>
      </c>
      <c r="V5">
        <v>34581000000</v>
      </c>
      <c r="W5">
        <v>12278000000</v>
      </c>
      <c r="X5">
        <v>27667000000</v>
      </c>
      <c r="Y5">
        <v>6523000000</v>
      </c>
      <c r="Z5">
        <v>53608000000</v>
      </c>
      <c r="AA5">
        <v>111983000000</v>
      </c>
      <c r="AB5">
        <v>146564000000</v>
      </c>
      <c r="AC5">
        <v>1831000000</v>
      </c>
      <c r="AD5">
        <v>701000000</v>
      </c>
      <c r="AE5">
        <v>32122000000</v>
      </c>
      <c r="AF5">
        <v>40330000000</v>
      </c>
      <c r="AG5">
        <v>54993000000</v>
      </c>
      <c r="AH5">
        <v>87115000000</v>
      </c>
      <c r="AI5">
        <v>6877000000</v>
      </c>
      <c r="AJ5">
        <v>0</v>
      </c>
      <c r="AK5">
        <v>0</v>
      </c>
      <c r="AL5">
        <v>3287000000</v>
      </c>
      <c r="AM5">
        <v>-93476000000</v>
      </c>
      <c r="AN5">
        <v>56162000000</v>
      </c>
      <c r="AO5">
        <v>-743000000</v>
      </c>
      <c r="AP5">
        <v>-597000000</v>
      </c>
      <c r="AQ5">
        <v>90000000</v>
      </c>
      <c r="AR5">
        <v>813000000</v>
      </c>
      <c r="AS5">
        <v>902000000</v>
      </c>
      <c r="AT5">
        <v>1168000000</v>
      </c>
      <c r="AU5">
        <v>-692000000</v>
      </c>
      <c r="AV5">
        <v>1682000000</v>
      </c>
      <c r="AW5">
        <v>1376000000</v>
      </c>
      <c r="AX5">
        <v>414000000</v>
      </c>
      <c r="AY5">
        <v>-445000000</v>
      </c>
      <c r="AZ5">
        <v>-298000000</v>
      </c>
      <c r="BA5">
        <v>-298000000</v>
      </c>
      <c r="BB5">
        <v>-1314000000</v>
      </c>
      <c r="BC5">
        <v>-2095000000</v>
      </c>
      <c r="BD5">
        <v>-1201000000</v>
      </c>
      <c r="BE5">
        <v>-560000000</v>
      </c>
      <c r="BF5">
        <v>7973000000</v>
      </c>
      <c r="BG5">
        <v>0</v>
      </c>
      <c r="BH5">
        <v>0</v>
      </c>
      <c r="BI5">
        <v>1780000000</v>
      </c>
      <c r="BJ5">
        <v>-69000000</v>
      </c>
      <c r="BK5">
        <v>414000000</v>
      </c>
      <c r="BL5">
        <v>30656000000</v>
      </c>
      <c r="BM5">
        <v>30242000000</v>
      </c>
      <c r="BN5">
        <v>-2932000000</v>
      </c>
      <c r="BO5">
        <v>-3342000000</v>
      </c>
      <c r="BP5">
        <v>-3230000000</v>
      </c>
      <c r="BQ5">
        <v>2459000000</v>
      </c>
      <c r="BR5">
        <v>4.3200693027210386</v>
      </c>
    </row>
    <row r="6" spans="1:70" x14ac:dyDescent="0.25">
      <c r="A6" s="1">
        <v>2020</v>
      </c>
      <c r="B6" s="3">
        <v>12078000000</v>
      </c>
      <c r="C6">
        <v>5985000000</v>
      </c>
      <c r="D6">
        <v>2666000000</v>
      </c>
      <c r="E6">
        <v>3583000000</v>
      </c>
      <c r="F6">
        <v>6249000000</v>
      </c>
      <c r="G6">
        <v>2205000000</v>
      </c>
      <c r="H6">
        <v>59000000</v>
      </c>
      <c r="I6">
        <v>-4863000000</v>
      </c>
      <c r="J6">
        <v>458000000</v>
      </c>
      <c r="K6">
        <v>55000000</v>
      </c>
      <c r="L6">
        <v>-192000000</v>
      </c>
      <c r="M6">
        <v>-6768000000</v>
      </c>
      <c r="N6">
        <v>7002300997</v>
      </c>
      <c r="O6">
        <v>7011377000</v>
      </c>
      <c r="P6">
        <v>26720000000</v>
      </c>
      <c r="Q6">
        <v>4176000000</v>
      </c>
      <c r="R6">
        <v>30896000000</v>
      </c>
      <c r="S6">
        <v>3133000000</v>
      </c>
      <c r="T6">
        <v>1301000000</v>
      </c>
      <c r="U6">
        <v>4740000000</v>
      </c>
      <c r="V6">
        <v>40070000000</v>
      </c>
      <c r="W6">
        <v>13025000000</v>
      </c>
      <c r="X6">
        <v>14181000000</v>
      </c>
      <c r="Y6">
        <v>3311000000</v>
      </c>
      <c r="Z6">
        <v>40165000000</v>
      </c>
      <c r="AA6">
        <v>80406000000</v>
      </c>
      <c r="AB6">
        <v>120476000000</v>
      </c>
      <c r="AC6">
        <v>943000000</v>
      </c>
      <c r="AD6">
        <v>743000000</v>
      </c>
      <c r="AE6">
        <v>26308000000</v>
      </c>
      <c r="AF6">
        <v>32736000000</v>
      </c>
      <c r="AG6">
        <v>47393000000</v>
      </c>
      <c r="AH6">
        <v>73701000000</v>
      </c>
      <c r="AI6">
        <v>6858000000</v>
      </c>
      <c r="AJ6">
        <v>0</v>
      </c>
      <c r="AK6">
        <v>0</v>
      </c>
      <c r="AL6">
        <v>4675000000</v>
      </c>
      <c r="AM6">
        <v>-85663000000</v>
      </c>
      <c r="AN6">
        <v>42100000000</v>
      </c>
      <c r="AO6">
        <v>-3361000000</v>
      </c>
      <c r="AP6">
        <v>142000000</v>
      </c>
      <c r="AQ6">
        <v>-133000000</v>
      </c>
      <c r="AR6">
        <v>387000000</v>
      </c>
      <c r="AS6">
        <v>575000000</v>
      </c>
      <c r="AT6">
        <v>827000000</v>
      </c>
      <c r="AU6">
        <v>-266000000</v>
      </c>
      <c r="AV6">
        <v>732000000</v>
      </c>
      <c r="AW6">
        <v>336000000</v>
      </c>
      <c r="AX6">
        <v>-4676000000</v>
      </c>
      <c r="AY6">
        <v>-2745000000</v>
      </c>
      <c r="AZ6">
        <v>-616000000</v>
      </c>
      <c r="BA6">
        <v>-616000000</v>
      </c>
      <c r="BB6">
        <v>-1380000000</v>
      </c>
      <c r="BC6">
        <v>-2111000000</v>
      </c>
      <c r="BD6">
        <v>-2869000000</v>
      </c>
      <c r="BE6">
        <v>-1642000000</v>
      </c>
      <c r="BF6">
        <v>0</v>
      </c>
      <c r="BG6">
        <v>0</v>
      </c>
      <c r="BH6">
        <v>0</v>
      </c>
      <c r="BI6">
        <v>1379000000</v>
      </c>
      <c r="BJ6">
        <v>-92000000</v>
      </c>
      <c r="BK6">
        <v>-4676000000</v>
      </c>
      <c r="BL6">
        <v>32787000000</v>
      </c>
      <c r="BM6">
        <v>37463000000</v>
      </c>
      <c r="BN6">
        <v>-4288000000</v>
      </c>
      <c r="BO6">
        <v>-4671000000</v>
      </c>
      <c r="BP6">
        <v>-4904000000</v>
      </c>
      <c r="BQ6">
        <v>13762000000</v>
      </c>
      <c r="BR6">
        <v>6.1155906562924507</v>
      </c>
    </row>
    <row r="7" spans="1:70" x14ac:dyDescent="0.25">
      <c r="A7" s="1">
        <v>2019</v>
      </c>
      <c r="B7" s="3">
        <v>14147000000</v>
      </c>
      <c r="C7">
        <v>6939000000</v>
      </c>
      <c r="D7">
        <v>3299000000</v>
      </c>
      <c r="E7">
        <v>4626000000</v>
      </c>
      <c r="F7">
        <v>7925000000</v>
      </c>
      <c r="G7">
        <v>4836000000</v>
      </c>
      <c r="H7">
        <v>24000000</v>
      </c>
      <c r="I7">
        <v>-8596000000</v>
      </c>
      <c r="J7">
        <v>559000000</v>
      </c>
      <c r="K7">
        <v>234000000</v>
      </c>
      <c r="L7">
        <v>45000000</v>
      </c>
      <c r="M7">
        <v>-8506000000</v>
      </c>
      <c r="N7">
        <v>6196754054</v>
      </c>
      <c r="O7">
        <v>6198136021</v>
      </c>
      <c r="P7">
        <v>41012000000</v>
      </c>
      <c r="Q7">
        <v>440000000</v>
      </c>
      <c r="R7">
        <v>41452000000</v>
      </c>
      <c r="S7">
        <v>4732000000</v>
      </c>
      <c r="T7">
        <v>405000000</v>
      </c>
      <c r="U7">
        <v>4719000000</v>
      </c>
      <c r="V7">
        <v>51308000000</v>
      </c>
      <c r="W7">
        <v>11832000000</v>
      </c>
      <c r="X7">
        <v>654000000</v>
      </c>
      <c r="Y7">
        <v>301000000</v>
      </c>
      <c r="Z7">
        <v>47197000000</v>
      </c>
      <c r="AA7">
        <v>68115000000</v>
      </c>
      <c r="AB7">
        <v>119423000000</v>
      </c>
      <c r="AC7">
        <v>716000000</v>
      </c>
      <c r="AD7">
        <v>751000000</v>
      </c>
      <c r="AE7">
        <v>21295000000</v>
      </c>
      <c r="AF7">
        <v>28364000000</v>
      </c>
      <c r="AG7">
        <v>59422000000</v>
      </c>
      <c r="AH7">
        <v>80717000000</v>
      </c>
      <c r="AI7">
        <v>6232000000</v>
      </c>
      <c r="AJ7">
        <v>14224000000</v>
      </c>
      <c r="AK7">
        <v>-14224000000</v>
      </c>
      <c r="AL7">
        <v>1964000000</v>
      </c>
      <c r="AM7">
        <v>-54600000000</v>
      </c>
      <c r="AN7">
        <v>36742000000</v>
      </c>
      <c r="AO7">
        <v>-4909000000</v>
      </c>
      <c r="AP7">
        <v>-407000000</v>
      </c>
      <c r="AQ7">
        <v>95000000</v>
      </c>
      <c r="AR7">
        <v>261000000</v>
      </c>
      <c r="AS7">
        <v>472000000</v>
      </c>
      <c r="AT7">
        <v>4596000000</v>
      </c>
      <c r="AU7">
        <v>-88000000</v>
      </c>
      <c r="AV7">
        <v>-500000000</v>
      </c>
      <c r="AW7">
        <v>-449000000</v>
      </c>
      <c r="AX7">
        <v>3858000000</v>
      </c>
      <c r="AY7">
        <v>-4321000000</v>
      </c>
      <c r="AZ7">
        <v>-588000000</v>
      </c>
      <c r="BA7">
        <v>-588000000</v>
      </c>
      <c r="BB7">
        <v>-64000000</v>
      </c>
      <c r="BC7">
        <v>-541000000</v>
      </c>
      <c r="BD7">
        <v>-790000000</v>
      </c>
      <c r="BE7">
        <v>-165000000</v>
      </c>
      <c r="BF7">
        <v>0</v>
      </c>
      <c r="BG7">
        <v>-74000000</v>
      </c>
      <c r="BH7">
        <v>-59000000</v>
      </c>
      <c r="BI7">
        <v>8939000000</v>
      </c>
      <c r="BJ7">
        <v>-4000000</v>
      </c>
      <c r="BK7">
        <v>3858000000</v>
      </c>
      <c r="BL7">
        <v>48080000000</v>
      </c>
      <c r="BM7">
        <v>44222000000</v>
      </c>
      <c r="BN7">
        <v>-8124000000</v>
      </c>
      <c r="BO7">
        <v>-8641000000</v>
      </c>
      <c r="BP7">
        <v>-8712000000</v>
      </c>
      <c r="BQ7">
        <v>30013000000</v>
      </c>
      <c r="BR7">
        <v>9.5396947455428869</v>
      </c>
    </row>
    <row r="8" spans="1:70" x14ac:dyDescent="0.25">
      <c r="A8" s="1">
        <v>2018</v>
      </c>
      <c r="B8" s="3">
        <v>11270000000</v>
      </c>
      <c r="C8">
        <v>5647000000</v>
      </c>
      <c r="D8">
        <v>2082000000</v>
      </c>
      <c r="E8">
        <v>3151000000</v>
      </c>
      <c r="F8">
        <v>5233000000</v>
      </c>
      <c r="G8">
        <v>1505000000</v>
      </c>
      <c r="H8">
        <v>225000000</v>
      </c>
      <c r="I8">
        <v>-3033000000</v>
      </c>
      <c r="J8">
        <v>648000000</v>
      </c>
      <c r="K8">
        <v>104000000</v>
      </c>
      <c r="L8">
        <v>283000000</v>
      </c>
      <c r="M8">
        <v>997000000</v>
      </c>
      <c r="N8">
        <v>6777598021</v>
      </c>
      <c r="O8">
        <v>6777598021</v>
      </c>
      <c r="P8">
        <v>6406000000</v>
      </c>
      <c r="Q8">
        <v>0</v>
      </c>
      <c r="R8">
        <v>6406000000</v>
      </c>
      <c r="S8">
        <v>1335000000</v>
      </c>
      <c r="T8">
        <v>738000000</v>
      </c>
      <c r="U8">
        <v>179000000</v>
      </c>
      <c r="V8">
        <v>8658000000</v>
      </c>
      <c r="W8">
        <v>1641000000</v>
      </c>
      <c r="X8">
        <v>153000000</v>
      </c>
      <c r="Y8">
        <v>82000000</v>
      </c>
      <c r="Z8">
        <v>11667000000</v>
      </c>
      <c r="AA8">
        <v>15330000000</v>
      </c>
      <c r="AB8">
        <v>23988000000</v>
      </c>
      <c r="AC8">
        <v>150000000</v>
      </c>
      <c r="AD8">
        <v>0</v>
      </c>
      <c r="AE8">
        <v>5313000000</v>
      </c>
      <c r="AF8">
        <v>4535000000</v>
      </c>
      <c r="AG8">
        <v>8342000000</v>
      </c>
      <c r="AH8">
        <v>13655000000</v>
      </c>
      <c r="AI8">
        <v>0</v>
      </c>
      <c r="AJ8">
        <v>0</v>
      </c>
      <c r="AK8">
        <v>0</v>
      </c>
      <c r="AL8">
        <v>0</v>
      </c>
      <c r="AM8">
        <v>-10334000000</v>
      </c>
      <c r="AN8">
        <v>10333000000</v>
      </c>
      <c r="AO8">
        <v>-2099000000</v>
      </c>
      <c r="AP8">
        <v>-279000000</v>
      </c>
      <c r="AQ8">
        <v>-39000000</v>
      </c>
      <c r="AR8">
        <v>265000000</v>
      </c>
      <c r="AS8">
        <v>426000000</v>
      </c>
      <c r="AT8">
        <v>170000000</v>
      </c>
      <c r="AU8">
        <v>35000000</v>
      </c>
      <c r="AV8">
        <v>890000000</v>
      </c>
      <c r="AW8">
        <v>943000000</v>
      </c>
      <c r="AX8">
        <v>2381000000</v>
      </c>
      <c r="AY8">
        <v>-1541000000</v>
      </c>
      <c r="AZ8">
        <v>-558000000</v>
      </c>
      <c r="BA8">
        <v>-558000000</v>
      </c>
      <c r="BB8">
        <v>-476000000</v>
      </c>
      <c r="BC8">
        <v>0</v>
      </c>
      <c r="BD8">
        <v>-695000000</v>
      </c>
      <c r="BE8">
        <v>-599000000</v>
      </c>
      <c r="BF8">
        <v>0</v>
      </c>
      <c r="BG8">
        <v>-10000000</v>
      </c>
      <c r="BH8">
        <v>0</v>
      </c>
      <c r="BI8">
        <v>4640000000</v>
      </c>
      <c r="BJ8">
        <v>-119000000</v>
      </c>
      <c r="BK8">
        <v>2381000000</v>
      </c>
      <c r="BL8">
        <v>28264000000</v>
      </c>
      <c r="BM8">
        <v>25883000000</v>
      </c>
      <c r="BN8">
        <v>-2607000000</v>
      </c>
      <c r="BO8">
        <v>-3316000000</v>
      </c>
      <c r="BP8">
        <v>-3165000000</v>
      </c>
      <c r="BQ8">
        <v>3345000000</v>
      </c>
      <c r="BR8">
        <v>1.6295878035008471</v>
      </c>
    </row>
    <row r="9" spans="1:70" x14ac:dyDescent="0.25">
      <c r="A9" s="1">
        <v>2001</v>
      </c>
      <c r="B9" s="3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9"/>
  <sheetViews>
    <sheetView workbookViewId="0"/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>
        <v>2024</v>
      </c>
      <c r="B2">
        <v>-0.441</v>
      </c>
      <c r="C2">
        <v>-0.50600000000000001</v>
      </c>
      <c r="D2">
        <v>-0.29299999999999998</v>
      </c>
      <c r="E2">
        <v>-0.53400000000000003</v>
      </c>
      <c r="F2">
        <v>-0.46300000000000002</v>
      </c>
      <c r="G2">
        <v>-0.51</v>
      </c>
      <c r="H2">
        <v>-1.212</v>
      </c>
      <c r="I2">
        <v>4.0000000000000001E-3</v>
      </c>
      <c r="J2">
        <v>-0.58499999999999996</v>
      </c>
      <c r="K2">
        <v>-0.308</v>
      </c>
      <c r="L2">
        <v>-0.59599999999999997</v>
      </c>
      <c r="M2">
        <v>-0.80900000000000005</v>
      </c>
      <c r="N2">
        <v>-0.48799999999999999</v>
      </c>
      <c r="O2">
        <v>-0.49199999999999999</v>
      </c>
      <c r="P2">
        <v>-0.41499999999999998</v>
      </c>
      <c r="Q2">
        <v>0.20300000000000001</v>
      </c>
      <c r="R2">
        <v>-0.35299999999999998</v>
      </c>
      <c r="S2">
        <v>-0.34100000000000003</v>
      </c>
      <c r="T2">
        <v>-1</v>
      </c>
      <c r="U2">
        <v>-0.51400000000000001</v>
      </c>
      <c r="V2">
        <v>-0.41299999999999998</v>
      </c>
      <c r="W2">
        <v>-0.52300000000000002</v>
      </c>
      <c r="X2">
        <v>-0.504</v>
      </c>
      <c r="Y2">
        <v>-0.58799999999999997</v>
      </c>
      <c r="Z2">
        <v>-4.8000000000000001E-2</v>
      </c>
      <c r="AA2">
        <v>-0.43099999999999999</v>
      </c>
      <c r="AB2">
        <v>-0.42499999999999999</v>
      </c>
      <c r="AC2">
        <v>-0.47099999999999997</v>
      </c>
      <c r="AD2">
        <v>-0.48799999999999999</v>
      </c>
      <c r="AE2">
        <v>-0.439</v>
      </c>
      <c r="AF2">
        <v>-0.55000000000000004</v>
      </c>
      <c r="AG2">
        <v>-0.45500000000000002</v>
      </c>
      <c r="AH2">
        <v>-0.44900000000000001</v>
      </c>
      <c r="AI2">
        <v>-0.58199999999999996</v>
      </c>
      <c r="AL2">
        <v>-0.41599999999999998</v>
      </c>
      <c r="AM2">
        <v>-0.52100000000000002</v>
      </c>
      <c r="AN2">
        <v>-0.37</v>
      </c>
      <c r="AO2">
        <v>-6.7000000000000004E-2</v>
      </c>
      <c r="AP2">
        <v>-0.23</v>
      </c>
      <c r="AQ2">
        <v>-1.375</v>
      </c>
      <c r="AS2">
        <v>-0.54900000000000004</v>
      </c>
      <c r="AT2">
        <v>-0.51500000000000001</v>
      </c>
      <c r="AU2">
        <v>-1.885</v>
      </c>
      <c r="AV2">
        <v>5.9450000000000003</v>
      </c>
      <c r="AW2">
        <v>0.379</v>
      </c>
      <c r="AX2">
        <v>-1.5409999999999999</v>
      </c>
      <c r="AY2">
        <v>-8.2000000000000003E-2</v>
      </c>
      <c r="AZ2">
        <v>-0.3</v>
      </c>
      <c r="BA2">
        <v>-0.3</v>
      </c>
      <c r="BB2" t="s">
        <v>96</v>
      </c>
      <c r="BC2">
        <v>-0.37</v>
      </c>
      <c r="BD2">
        <v>-0.40500000000000003</v>
      </c>
      <c r="BE2">
        <v>-0.50800000000000001</v>
      </c>
      <c r="BF2">
        <v>-0.20799999999999999</v>
      </c>
      <c r="BG2">
        <v>-3.5</v>
      </c>
      <c r="BI2">
        <v>2.653</v>
      </c>
      <c r="BJ2">
        <v>-3.3809999999999998</v>
      </c>
      <c r="BK2">
        <v>-1.5409999999999999</v>
      </c>
      <c r="BL2">
        <v>-0.59799999999999998</v>
      </c>
      <c r="BM2">
        <v>-0.58399999999999996</v>
      </c>
      <c r="BN2">
        <v>-0.23200000000000001</v>
      </c>
      <c r="BO2">
        <v>0.14599999999999999</v>
      </c>
      <c r="BP2">
        <v>-0.223</v>
      </c>
      <c r="BQ2">
        <v>-0.25</v>
      </c>
      <c r="BR2">
        <v>-0.47699999999999998</v>
      </c>
    </row>
    <row r="3" spans="1:70" x14ac:dyDescent="0.25">
      <c r="A3" s="1">
        <v>2023</v>
      </c>
      <c r="B3">
        <v>0.17</v>
      </c>
      <c r="C3">
        <v>0.21299999999999999</v>
      </c>
      <c r="D3">
        <v>-0.14499999999999999</v>
      </c>
      <c r="E3">
        <v>-8.4000000000000005E-2</v>
      </c>
      <c r="F3">
        <v>-0.108</v>
      </c>
      <c r="G3">
        <v>0.13100000000000001</v>
      </c>
      <c r="H3">
        <v>-1.079</v>
      </c>
      <c r="I3">
        <v>-1.6319999999999999</v>
      </c>
      <c r="J3">
        <v>0.12</v>
      </c>
      <c r="K3">
        <v>2.4820000000000002</v>
      </c>
      <c r="L3">
        <v>-2.177</v>
      </c>
      <c r="M3">
        <v>-1.206</v>
      </c>
      <c r="N3">
        <v>3.2000000000000001E-2</v>
      </c>
      <c r="O3">
        <v>4.3999999999999997E-2</v>
      </c>
      <c r="P3">
        <v>7.4999999999999997E-2</v>
      </c>
      <c r="Q3">
        <v>19.495000000000001</v>
      </c>
      <c r="R3">
        <v>0.187</v>
      </c>
      <c r="S3">
        <v>0.20499999999999999</v>
      </c>
      <c r="T3">
        <v>-0.36799999999999999</v>
      </c>
      <c r="U3">
        <v>0.49199999999999999</v>
      </c>
      <c r="V3">
        <v>0.161</v>
      </c>
      <c r="W3">
        <v>4.0000000000000001E-3</v>
      </c>
      <c r="X3">
        <v>-2.1999999999999999E-2</v>
      </c>
      <c r="Y3">
        <v>-0.23599999999999999</v>
      </c>
      <c r="Z3">
        <v>0.32100000000000001</v>
      </c>
      <c r="AA3">
        <v>9.0999999999999998E-2</v>
      </c>
      <c r="AB3">
        <v>0.111</v>
      </c>
      <c r="AC3">
        <v>-5.6000000000000001E-2</v>
      </c>
      <c r="AD3">
        <v>0.28399999999999997</v>
      </c>
      <c r="AE3">
        <v>0.02</v>
      </c>
      <c r="AF3">
        <v>-0.04</v>
      </c>
      <c r="AG3">
        <v>8.5999999999999993E-2</v>
      </c>
      <c r="AH3">
        <v>6.0999999999999999E-2</v>
      </c>
      <c r="AI3">
        <v>-3.9E-2</v>
      </c>
      <c r="AL3">
        <v>0.19400000000000001</v>
      </c>
      <c r="AM3">
        <v>4.0000000000000001E-3</v>
      </c>
      <c r="AN3">
        <v>0.253</v>
      </c>
      <c r="AO3">
        <v>7.6210000000000004</v>
      </c>
      <c r="AP3">
        <v>0.39900000000000002</v>
      </c>
      <c r="AQ3">
        <v>-1.4810000000000001</v>
      </c>
      <c r="AS3">
        <v>-0.13100000000000001</v>
      </c>
      <c r="AT3">
        <v>7.9000000000000001E-2</v>
      </c>
      <c r="AU3">
        <v>-1.0589999999999999</v>
      </c>
      <c r="AV3">
        <v>-0.50700000000000001</v>
      </c>
      <c r="AW3">
        <v>0.88200000000000001</v>
      </c>
      <c r="AX3">
        <v>-1.3480000000000001</v>
      </c>
      <c r="AY3">
        <v>4.5839999999999996</v>
      </c>
      <c r="AZ3">
        <v>-0.115</v>
      </c>
      <c r="BA3">
        <v>-0.115</v>
      </c>
      <c r="BB3">
        <v>-1</v>
      </c>
      <c r="BC3">
        <v>4.1139999999999999</v>
      </c>
      <c r="BD3">
        <v>0.97099999999999997</v>
      </c>
      <c r="BE3">
        <v>0.125</v>
      </c>
      <c r="BF3">
        <v>-0.625</v>
      </c>
      <c r="BG3" t="s">
        <v>96</v>
      </c>
      <c r="BI3">
        <v>-7.3330000000000002</v>
      </c>
      <c r="BJ3">
        <v>-1.4259999999999999</v>
      </c>
      <c r="BK3">
        <v>-1.3480000000000001</v>
      </c>
      <c r="BL3">
        <v>-0.10299999999999999</v>
      </c>
      <c r="BM3">
        <v>-0.14699999999999999</v>
      </c>
      <c r="BN3">
        <v>-3.3860000000000001</v>
      </c>
      <c r="BO3">
        <v>-1.569</v>
      </c>
      <c r="BP3">
        <v>-2.61</v>
      </c>
      <c r="BQ3">
        <v>9.0519999999999996</v>
      </c>
      <c r="BR3">
        <v>0.13800000000000001</v>
      </c>
    </row>
    <row r="4" spans="1:70" x14ac:dyDescent="0.25">
      <c r="A4" s="1">
        <v>2022</v>
      </c>
      <c r="B4">
        <v>0.82599999999999996</v>
      </c>
      <c r="C4">
        <v>0.50800000000000001</v>
      </c>
      <c r="D4">
        <v>0.35399999999999998</v>
      </c>
      <c r="E4">
        <v>-7.0000000000000001E-3</v>
      </c>
      <c r="F4">
        <v>0.111</v>
      </c>
      <c r="G4">
        <v>0.36199999999999999</v>
      </c>
      <c r="H4">
        <v>8.9090000000000007</v>
      </c>
      <c r="I4">
        <v>-0.54200000000000004</v>
      </c>
      <c r="J4">
        <v>0.17</v>
      </c>
      <c r="K4">
        <v>2.7570000000000001</v>
      </c>
      <c r="L4">
        <v>-0.63200000000000001</v>
      </c>
      <c r="M4">
        <v>17.507999999999999</v>
      </c>
      <c r="N4">
        <v>5.1999999999999998E-2</v>
      </c>
      <c r="O4">
        <v>3.2000000000000001E-2</v>
      </c>
      <c r="P4">
        <v>-0.12</v>
      </c>
      <c r="Q4">
        <v>-0.91700000000000004</v>
      </c>
      <c r="R4">
        <v>-0.17199999999999999</v>
      </c>
      <c r="S4">
        <v>0.68400000000000005</v>
      </c>
      <c r="T4">
        <v>1.585</v>
      </c>
      <c r="U4">
        <v>-0.28499999999999998</v>
      </c>
      <c r="V4">
        <v>4.2000000000000003E-2</v>
      </c>
      <c r="W4">
        <v>0.10100000000000001</v>
      </c>
      <c r="X4">
        <v>0.20599999999999999</v>
      </c>
      <c r="Y4">
        <v>0.26600000000000001</v>
      </c>
      <c r="Z4">
        <v>-0.59399999999999997</v>
      </c>
      <c r="AA4">
        <v>-0.187</v>
      </c>
      <c r="AB4">
        <v>-0.13300000000000001</v>
      </c>
      <c r="AC4">
        <v>0.73299999999999998</v>
      </c>
      <c r="AD4">
        <v>0.161</v>
      </c>
      <c r="AE4">
        <v>0.104</v>
      </c>
      <c r="AF4">
        <v>8.5000000000000006E-2</v>
      </c>
      <c r="AG4">
        <v>0.06</v>
      </c>
      <c r="AH4">
        <v>7.5999999999999998E-2</v>
      </c>
      <c r="AI4">
        <v>9.0999999999999998E-2</v>
      </c>
      <c r="AL4">
        <v>0.254</v>
      </c>
      <c r="AM4">
        <v>0.36799999999999999</v>
      </c>
      <c r="AN4">
        <v>-0.40699999999999997</v>
      </c>
      <c r="AO4">
        <v>-1.5249999999999999</v>
      </c>
      <c r="AP4">
        <v>-9.1999999999999998E-2</v>
      </c>
      <c r="AQ4">
        <v>-2.4780000000000002</v>
      </c>
      <c r="AR4">
        <v>-1</v>
      </c>
      <c r="AS4">
        <v>0.05</v>
      </c>
      <c r="AT4">
        <v>0.53500000000000003</v>
      </c>
      <c r="AU4">
        <v>-0.36299999999999999</v>
      </c>
      <c r="AV4">
        <v>-0.80100000000000005</v>
      </c>
      <c r="AW4">
        <v>-0.50900000000000001</v>
      </c>
      <c r="AX4">
        <v>-3.7250000000000001</v>
      </c>
      <c r="AY4">
        <v>-2.4430000000000001</v>
      </c>
      <c r="AZ4">
        <v>-0.154</v>
      </c>
      <c r="BA4">
        <v>-0.154</v>
      </c>
      <c r="BB4">
        <v>-0.95499999999999996</v>
      </c>
      <c r="BC4">
        <v>-0.17799999999999999</v>
      </c>
      <c r="BD4">
        <v>0.36299999999999999</v>
      </c>
      <c r="BE4">
        <v>-0.52900000000000003</v>
      </c>
      <c r="BF4">
        <v>-0.95599999999999996</v>
      </c>
      <c r="BI4">
        <v>-0.99199999999999999</v>
      </c>
      <c r="BJ4">
        <v>1.145</v>
      </c>
      <c r="BK4">
        <v>-3.7250000000000001</v>
      </c>
      <c r="BL4">
        <v>4.0000000000000001E-3</v>
      </c>
      <c r="BM4">
        <v>5.5E-2</v>
      </c>
      <c r="BN4">
        <v>-0.72399999999999998</v>
      </c>
      <c r="BO4">
        <v>-0.52800000000000002</v>
      </c>
      <c r="BP4">
        <v>-0.67100000000000004</v>
      </c>
      <c r="BQ4">
        <v>-0.77100000000000002</v>
      </c>
      <c r="BR4">
        <v>-5.8999999999999997E-2</v>
      </c>
    </row>
    <row r="5" spans="1:70" x14ac:dyDescent="0.25">
      <c r="A5" s="1">
        <v>2021</v>
      </c>
      <c r="B5">
        <v>0.44500000000000001</v>
      </c>
      <c r="C5">
        <v>0.35399999999999998</v>
      </c>
      <c r="D5">
        <v>-0.13100000000000001</v>
      </c>
      <c r="E5">
        <v>0.33700000000000002</v>
      </c>
      <c r="F5">
        <v>0.13700000000000001</v>
      </c>
      <c r="G5">
        <v>-6.8000000000000005E-2</v>
      </c>
      <c r="H5">
        <v>3.3050000000000002</v>
      </c>
      <c r="I5">
        <v>-0.21199999999999999</v>
      </c>
      <c r="J5">
        <v>5.5E-2</v>
      </c>
      <c r="K5">
        <v>-0.32700000000000001</v>
      </c>
      <c r="L5">
        <v>1.5620000000000001</v>
      </c>
      <c r="M5">
        <v>-0.92700000000000005</v>
      </c>
      <c r="N5">
        <v>7.1999999999999995E-2</v>
      </c>
      <c r="O5">
        <v>0.10100000000000001</v>
      </c>
      <c r="P5">
        <v>-0.249</v>
      </c>
      <c r="Q5">
        <v>-0.70099999999999996</v>
      </c>
      <c r="R5">
        <v>-0.30599999999999999</v>
      </c>
      <c r="S5">
        <v>0.93</v>
      </c>
      <c r="T5">
        <v>0.24199999999999999</v>
      </c>
      <c r="U5">
        <v>0.157</v>
      </c>
      <c r="V5">
        <v>-0.13700000000000001</v>
      </c>
      <c r="W5">
        <v>-5.7000000000000002E-2</v>
      </c>
      <c r="X5">
        <v>0.95099999999999996</v>
      </c>
      <c r="Y5">
        <v>0.97</v>
      </c>
      <c r="Z5">
        <v>0.33500000000000002</v>
      </c>
      <c r="AA5">
        <v>0.39300000000000002</v>
      </c>
      <c r="AB5">
        <v>0.217</v>
      </c>
      <c r="AC5">
        <v>0.94199999999999995</v>
      </c>
      <c r="AD5">
        <v>-5.7000000000000002E-2</v>
      </c>
      <c r="AE5">
        <v>0.221</v>
      </c>
      <c r="AF5">
        <v>0.23200000000000001</v>
      </c>
      <c r="AG5">
        <v>0.16</v>
      </c>
      <c r="AH5">
        <v>0.182</v>
      </c>
      <c r="AI5">
        <v>3.0000000000000001E-3</v>
      </c>
      <c r="AL5">
        <v>-0.29699999999999999</v>
      </c>
      <c r="AM5">
        <v>9.0999999999999998E-2</v>
      </c>
      <c r="AN5">
        <v>0.33400000000000002</v>
      </c>
      <c r="AO5">
        <v>-0.77900000000000003</v>
      </c>
      <c r="AP5">
        <v>-5.2039999999999997</v>
      </c>
      <c r="AQ5">
        <v>-1.677</v>
      </c>
      <c r="AR5">
        <v>1.101</v>
      </c>
      <c r="AS5">
        <v>0.56899999999999995</v>
      </c>
      <c r="AT5">
        <v>0.41199999999999998</v>
      </c>
      <c r="AU5">
        <v>1.6020000000000001</v>
      </c>
      <c r="AV5">
        <v>1.298</v>
      </c>
      <c r="AW5">
        <v>3.0950000000000002</v>
      </c>
      <c r="AX5">
        <v>-1.089</v>
      </c>
      <c r="AY5">
        <v>-0.83799999999999997</v>
      </c>
      <c r="AZ5">
        <v>-0.51600000000000001</v>
      </c>
      <c r="BA5">
        <v>-0.51600000000000001</v>
      </c>
      <c r="BB5">
        <v>-4.8000000000000001E-2</v>
      </c>
      <c r="BC5">
        <v>-8.0000000000000002E-3</v>
      </c>
      <c r="BD5">
        <v>-0.58099999999999996</v>
      </c>
      <c r="BE5">
        <v>-0.65900000000000003</v>
      </c>
      <c r="BF5" t="s">
        <v>96</v>
      </c>
      <c r="BI5">
        <v>0.29099999999999998</v>
      </c>
      <c r="BJ5">
        <v>-0.25</v>
      </c>
      <c r="BK5">
        <v>-1.089</v>
      </c>
      <c r="BL5">
        <v>-6.5000000000000002E-2</v>
      </c>
      <c r="BM5">
        <v>-0.193</v>
      </c>
      <c r="BN5">
        <v>-0.316</v>
      </c>
      <c r="BO5">
        <v>-0.28499999999999998</v>
      </c>
      <c r="BP5">
        <v>-0.34100000000000003</v>
      </c>
      <c r="BQ5">
        <v>-0.82099999999999995</v>
      </c>
      <c r="BR5">
        <v>-0.29399999999999998</v>
      </c>
    </row>
    <row r="6" spans="1:70" x14ac:dyDescent="0.25">
      <c r="A6" s="1">
        <v>2020</v>
      </c>
      <c r="B6">
        <v>-0.14599999999999999</v>
      </c>
      <c r="C6">
        <v>-0.13700000000000001</v>
      </c>
      <c r="D6">
        <v>-0.192</v>
      </c>
      <c r="E6">
        <v>-0.22500000000000001</v>
      </c>
      <c r="F6">
        <v>-0.21099999999999999</v>
      </c>
      <c r="G6">
        <v>-0.54400000000000004</v>
      </c>
      <c r="H6">
        <v>1.458</v>
      </c>
      <c r="I6">
        <v>-0.434</v>
      </c>
      <c r="J6">
        <v>-0.18099999999999999</v>
      </c>
      <c r="K6">
        <v>-0.76500000000000001</v>
      </c>
      <c r="L6">
        <v>-5.2670000000000003</v>
      </c>
      <c r="M6">
        <v>-0.20399999999999999</v>
      </c>
      <c r="N6">
        <v>0.13</v>
      </c>
      <c r="O6">
        <v>0.13100000000000001</v>
      </c>
      <c r="P6">
        <v>-0.34799999999999998</v>
      </c>
      <c r="Q6">
        <v>8.4909999999999997</v>
      </c>
      <c r="R6">
        <v>-0.255</v>
      </c>
      <c r="S6">
        <v>-0.33800000000000002</v>
      </c>
      <c r="T6">
        <v>2.2120000000000002</v>
      </c>
      <c r="U6">
        <v>4.0000000000000001E-3</v>
      </c>
      <c r="V6">
        <v>-0.219</v>
      </c>
      <c r="W6">
        <v>0.10100000000000001</v>
      </c>
      <c r="X6">
        <v>20.683</v>
      </c>
      <c r="Y6">
        <v>10</v>
      </c>
      <c r="Z6">
        <v>-0.14899999999999999</v>
      </c>
      <c r="AA6">
        <v>0.18</v>
      </c>
      <c r="AB6">
        <v>8.9999999999999993E-3</v>
      </c>
      <c r="AC6">
        <v>0.317</v>
      </c>
      <c r="AD6">
        <v>-1.0999999999999999E-2</v>
      </c>
      <c r="AE6">
        <v>0.23499999999999999</v>
      </c>
      <c r="AF6">
        <v>0.154</v>
      </c>
      <c r="AG6">
        <v>-0.20200000000000001</v>
      </c>
      <c r="AH6">
        <v>-8.6999999999999994E-2</v>
      </c>
      <c r="AI6">
        <v>0.1</v>
      </c>
      <c r="AJ6">
        <v>-1</v>
      </c>
      <c r="AK6">
        <v>-1</v>
      </c>
      <c r="AL6">
        <v>1.38</v>
      </c>
      <c r="AM6">
        <v>0.56899999999999995</v>
      </c>
      <c r="AN6">
        <v>0.14599999999999999</v>
      </c>
      <c r="AO6">
        <v>-0.315</v>
      </c>
      <c r="AP6">
        <v>-1.349</v>
      </c>
      <c r="AQ6">
        <v>-2.4</v>
      </c>
      <c r="AR6">
        <v>0.48299999999999998</v>
      </c>
      <c r="AS6">
        <v>0.218</v>
      </c>
      <c r="AT6">
        <v>-0.82</v>
      </c>
      <c r="AU6">
        <v>2.0230000000000001</v>
      </c>
      <c r="AV6">
        <v>-2.464</v>
      </c>
      <c r="AW6">
        <v>-1.748</v>
      </c>
      <c r="AX6">
        <v>-2.2120000000000002</v>
      </c>
      <c r="AY6">
        <v>-0.36499999999999999</v>
      </c>
      <c r="AZ6">
        <v>4.8000000000000001E-2</v>
      </c>
      <c r="BA6">
        <v>4.8000000000000001E-2</v>
      </c>
      <c r="BB6">
        <v>20.562000000000001</v>
      </c>
      <c r="BC6">
        <v>2.9020000000000001</v>
      </c>
      <c r="BD6">
        <v>2.6320000000000001</v>
      </c>
      <c r="BE6">
        <v>8.952</v>
      </c>
      <c r="BG6">
        <v>-1</v>
      </c>
      <c r="BH6">
        <v>-1</v>
      </c>
      <c r="BI6">
        <v>-0.84599999999999997</v>
      </c>
      <c r="BJ6">
        <v>22</v>
      </c>
      <c r="BK6">
        <v>-2.2120000000000002</v>
      </c>
      <c r="BL6">
        <v>-0.318</v>
      </c>
      <c r="BM6">
        <v>-0.153</v>
      </c>
      <c r="BN6">
        <v>-0.47199999999999998</v>
      </c>
      <c r="BO6">
        <v>-0.45900000000000002</v>
      </c>
      <c r="BP6">
        <v>-0.437</v>
      </c>
      <c r="BQ6">
        <v>-0.54100000000000004</v>
      </c>
      <c r="BR6">
        <v>-0.35899999999999999</v>
      </c>
    </row>
    <row r="7" spans="1:70" x14ac:dyDescent="0.25">
      <c r="A7" s="1">
        <v>2019</v>
      </c>
      <c r="B7">
        <v>0.255</v>
      </c>
      <c r="C7">
        <v>0.22900000000000001</v>
      </c>
      <c r="D7">
        <v>0.58499999999999996</v>
      </c>
      <c r="E7">
        <v>0.46800000000000003</v>
      </c>
      <c r="F7">
        <v>0.51400000000000001</v>
      </c>
      <c r="G7">
        <v>2.2130000000000001</v>
      </c>
      <c r="H7">
        <v>-0.89300000000000002</v>
      </c>
      <c r="I7">
        <v>1.8340000000000001</v>
      </c>
      <c r="J7">
        <v>-0.13700000000000001</v>
      </c>
      <c r="K7">
        <v>1.25</v>
      </c>
      <c r="L7">
        <v>-0.84099999999999997</v>
      </c>
      <c r="M7">
        <v>-9.532</v>
      </c>
      <c r="N7">
        <v>-8.5999999999999993E-2</v>
      </c>
      <c r="O7">
        <v>-8.5000000000000006E-2</v>
      </c>
      <c r="P7">
        <v>5.4020000000000001</v>
      </c>
      <c r="Q7" t="s">
        <v>96</v>
      </c>
      <c r="R7">
        <v>5.4710000000000001</v>
      </c>
      <c r="S7">
        <v>2.5449999999999999</v>
      </c>
      <c r="T7">
        <v>-0.45100000000000001</v>
      </c>
      <c r="U7">
        <v>25.363</v>
      </c>
      <c r="V7">
        <v>4.9260000000000002</v>
      </c>
      <c r="W7">
        <v>6.21</v>
      </c>
      <c r="X7">
        <v>3.2749999999999999</v>
      </c>
      <c r="Y7">
        <v>2.6709999999999998</v>
      </c>
      <c r="Z7">
        <v>3.0449999999999999</v>
      </c>
      <c r="AA7">
        <v>3.4430000000000001</v>
      </c>
      <c r="AB7">
        <v>3.9780000000000002</v>
      </c>
      <c r="AC7">
        <v>3.7730000000000001</v>
      </c>
      <c r="AD7" t="s">
        <v>96</v>
      </c>
      <c r="AE7">
        <v>3.008</v>
      </c>
      <c r="AF7">
        <v>5.2539999999999996</v>
      </c>
      <c r="AG7">
        <v>6.1230000000000002</v>
      </c>
      <c r="AH7">
        <v>4.9109999999999996</v>
      </c>
      <c r="AI7" t="s">
        <v>96</v>
      </c>
      <c r="AJ7" t="s">
        <v>96</v>
      </c>
      <c r="AK7" t="s">
        <v>97</v>
      </c>
      <c r="AL7" t="s">
        <v>96</v>
      </c>
      <c r="AM7">
        <v>4.2839999999999998</v>
      </c>
      <c r="AN7">
        <v>2.556</v>
      </c>
      <c r="AO7">
        <v>1.339</v>
      </c>
      <c r="AP7">
        <v>0.45900000000000002</v>
      </c>
      <c r="AQ7">
        <v>-3.4359999999999999</v>
      </c>
      <c r="AR7">
        <v>-1.4999999999999999E-2</v>
      </c>
      <c r="AS7">
        <v>0.108</v>
      </c>
      <c r="AT7">
        <v>26.035</v>
      </c>
      <c r="AU7">
        <v>-3.5139999999999998</v>
      </c>
      <c r="AV7">
        <v>-1.5620000000000001</v>
      </c>
      <c r="AW7">
        <v>-1.476</v>
      </c>
      <c r="AX7">
        <v>0.62</v>
      </c>
      <c r="AY7">
        <v>1.804</v>
      </c>
      <c r="AZ7">
        <v>5.3999999999999999E-2</v>
      </c>
      <c r="BA7">
        <v>5.3999999999999999E-2</v>
      </c>
      <c r="BB7">
        <v>-0.86599999999999999</v>
      </c>
      <c r="BC7" t="s">
        <v>97</v>
      </c>
      <c r="BD7">
        <v>0.13700000000000001</v>
      </c>
      <c r="BE7">
        <v>-0.72499999999999998</v>
      </c>
      <c r="BG7">
        <v>6.4</v>
      </c>
      <c r="BH7" t="s">
        <v>97</v>
      </c>
      <c r="BI7">
        <v>0.92700000000000005</v>
      </c>
      <c r="BJ7">
        <v>-0.96599999999999997</v>
      </c>
      <c r="BK7">
        <v>0.62</v>
      </c>
      <c r="BL7">
        <v>0.70099999999999996</v>
      </c>
      <c r="BM7">
        <v>0.70899999999999996</v>
      </c>
      <c r="BN7">
        <v>2.1160000000000001</v>
      </c>
      <c r="BO7">
        <v>1.6060000000000001</v>
      </c>
      <c r="BP7">
        <v>1.7529999999999999</v>
      </c>
      <c r="BQ7">
        <v>7.9720000000000004</v>
      </c>
      <c r="BR7">
        <v>4.8540000000000001</v>
      </c>
    </row>
    <row r="8" spans="1:70" x14ac:dyDescent="0.25">
      <c r="A8" s="1">
        <v>2018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97</v>
      </c>
      <c r="J8" t="s">
        <v>96</v>
      </c>
      <c r="K8" t="s">
        <v>96</v>
      </c>
      <c r="L8" t="s">
        <v>96</v>
      </c>
      <c r="M8" t="s">
        <v>96</v>
      </c>
      <c r="N8" t="s">
        <v>96</v>
      </c>
      <c r="O8" t="s">
        <v>96</v>
      </c>
      <c r="P8" t="s">
        <v>96</v>
      </c>
      <c r="R8" t="s">
        <v>96</v>
      </c>
      <c r="S8" t="s">
        <v>96</v>
      </c>
      <c r="T8" t="s">
        <v>96</v>
      </c>
      <c r="U8" t="s">
        <v>96</v>
      </c>
      <c r="V8" t="s">
        <v>96</v>
      </c>
      <c r="W8" t="s">
        <v>96</v>
      </c>
      <c r="X8" t="s">
        <v>96</v>
      </c>
      <c r="Y8" t="s">
        <v>96</v>
      </c>
      <c r="Z8" t="s">
        <v>96</v>
      </c>
      <c r="AA8" t="s">
        <v>96</v>
      </c>
      <c r="AB8" t="s">
        <v>96</v>
      </c>
      <c r="AC8" t="s">
        <v>96</v>
      </c>
      <c r="AE8" t="s">
        <v>96</v>
      </c>
      <c r="AF8" t="s">
        <v>96</v>
      </c>
      <c r="AG8" t="s">
        <v>96</v>
      </c>
      <c r="AH8" t="s">
        <v>96</v>
      </c>
      <c r="AM8" t="s">
        <v>97</v>
      </c>
      <c r="AN8" t="s">
        <v>96</v>
      </c>
      <c r="AO8" t="s">
        <v>97</v>
      </c>
      <c r="AP8" t="s">
        <v>97</v>
      </c>
      <c r="AQ8" t="s">
        <v>97</v>
      </c>
      <c r="AR8" t="s">
        <v>96</v>
      </c>
      <c r="AS8" t="s">
        <v>96</v>
      </c>
      <c r="AT8" t="s">
        <v>96</v>
      </c>
      <c r="AU8" t="s">
        <v>96</v>
      </c>
      <c r="AV8" t="s">
        <v>96</v>
      </c>
      <c r="AW8" t="s">
        <v>96</v>
      </c>
      <c r="AX8" t="s">
        <v>96</v>
      </c>
      <c r="AY8" t="s">
        <v>97</v>
      </c>
      <c r="AZ8" t="s">
        <v>97</v>
      </c>
      <c r="BA8" t="s">
        <v>97</v>
      </c>
      <c r="BB8" t="s">
        <v>97</v>
      </c>
      <c r="BD8" t="s">
        <v>97</v>
      </c>
      <c r="BE8" t="s">
        <v>97</v>
      </c>
      <c r="BG8" t="s">
        <v>97</v>
      </c>
      <c r="BI8" t="s">
        <v>96</v>
      </c>
      <c r="BJ8" t="s">
        <v>97</v>
      </c>
      <c r="BK8" t="s">
        <v>96</v>
      </c>
      <c r="BL8" t="s">
        <v>96</v>
      </c>
      <c r="BM8" t="s">
        <v>96</v>
      </c>
      <c r="BN8" t="s">
        <v>97</v>
      </c>
      <c r="BO8" t="s">
        <v>97</v>
      </c>
      <c r="BP8" t="s">
        <v>97</v>
      </c>
      <c r="BQ8" t="s">
        <v>96</v>
      </c>
      <c r="BR8" t="s">
        <v>96</v>
      </c>
    </row>
    <row r="9" spans="1:70" x14ac:dyDescent="0.25">
      <c r="A9" s="1">
        <v>2001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28"/>
  <sheetViews>
    <sheetView workbookViewId="0">
      <selection activeCell="B12" sqref="B12"/>
    </sheetView>
  </sheetViews>
  <sheetFormatPr defaultRowHeight="15" x14ac:dyDescent="0.25"/>
  <cols>
    <col min="2" max="2" width="18" bestFit="1" customWidth="1"/>
    <col min="3" max="3" width="12" bestFit="1" customWidth="1"/>
    <col min="4" max="4" width="33.42578125" bestFit="1" customWidth="1"/>
    <col min="5" max="5" width="28.42578125" bestFit="1" customWidth="1"/>
    <col min="6" max="6" width="40" bestFit="1" customWidth="1"/>
    <col min="7" max="7" width="33.28515625" bestFit="1" customWidth="1"/>
    <col min="8" max="8" width="14.28515625" bestFit="1" customWidth="1"/>
    <col min="9" max="9" width="16.28515625" bestFit="1" customWidth="1"/>
    <col min="10" max="10" width="15.5703125" bestFit="1" customWidth="1"/>
    <col min="11" max="11" width="14.7109375" bestFit="1" customWidth="1"/>
    <col min="12" max="12" width="18.28515625" bestFit="1" customWidth="1"/>
    <col min="13" max="13" width="12.7109375" bestFit="1" customWidth="1"/>
    <col min="14" max="14" width="23.42578125" bestFit="1" customWidth="1"/>
    <col min="15" max="15" width="26" bestFit="1" customWidth="1"/>
    <col min="16" max="16" width="23.28515625" bestFit="1" customWidth="1"/>
    <col min="17" max="17" width="21.5703125" bestFit="1" customWidth="1"/>
    <col min="18" max="18" width="29.28515625" bestFit="1" customWidth="1"/>
    <col min="19" max="19" width="14.7109375" bestFit="1" customWidth="1"/>
    <col min="20" max="20" width="11.5703125" bestFit="1" customWidth="1"/>
    <col min="21" max="21" width="18.5703125" bestFit="1" customWidth="1"/>
    <col min="22" max="22" width="17.85546875" bestFit="1" customWidth="1"/>
    <col min="23" max="23" width="26.85546875" bestFit="1" customWidth="1"/>
    <col min="24" max="24" width="12" bestFit="1" customWidth="1"/>
    <col min="25" max="25" width="15.85546875" bestFit="1" customWidth="1"/>
    <col min="26" max="26" width="20.7109375" bestFit="1" customWidth="1"/>
    <col min="27" max="27" width="21.7109375" bestFit="1" customWidth="1"/>
    <col min="28" max="28" width="12" bestFit="1" customWidth="1"/>
    <col min="29" max="29" width="15.85546875" bestFit="1" customWidth="1"/>
    <col min="30" max="30" width="14.5703125" bestFit="1" customWidth="1"/>
    <col min="31" max="31" width="20.7109375" bestFit="1" customWidth="1"/>
    <col min="32" max="32" width="13.85546875" bestFit="1" customWidth="1"/>
    <col min="33" max="33" width="24.5703125" bestFit="1" customWidth="1"/>
    <col min="34" max="34" width="13.85546875" bestFit="1" customWidth="1"/>
    <col min="35" max="35" width="22.42578125" bestFit="1" customWidth="1"/>
    <col min="36" max="36" width="14.42578125" bestFit="1" customWidth="1"/>
    <col min="37" max="37" width="13.5703125" bestFit="1" customWidth="1"/>
    <col min="38" max="38" width="15.7109375" bestFit="1" customWidth="1"/>
    <col min="39" max="39" width="16.140625" bestFit="1" customWidth="1"/>
    <col min="40" max="40" width="12" bestFit="1" customWidth="1"/>
    <col min="41" max="41" width="13.28515625" bestFit="1" customWidth="1"/>
    <col min="42" max="42" width="19.5703125" bestFit="1" customWidth="1"/>
    <col min="43" max="43" width="16.7109375" bestFit="1" customWidth="1"/>
    <col min="44" max="44" width="11.5703125" bestFit="1" customWidth="1"/>
    <col min="45" max="45" width="28" bestFit="1" customWidth="1"/>
    <col min="46" max="46" width="24.140625" bestFit="1" customWidth="1"/>
    <col min="47" max="47" width="18.7109375" bestFit="1" customWidth="1"/>
    <col min="48" max="48" width="23.140625" bestFit="1" customWidth="1"/>
    <col min="49" max="49" width="19.85546875" bestFit="1" customWidth="1"/>
    <col min="50" max="50" width="16.5703125" bestFit="1" customWidth="1"/>
    <col min="51" max="51" width="36.28515625" bestFit="1" customWidth="1"/>
    <col min="52" max="52" width="18" bestFit="1" customWidth="1"/>
    <col min="53" max="53" width="40.28515625" bestFit="1" customWidth="1"/>
    <col min="54" max="54" width="15" bestFit="1" customWidth="1"/>
    <col min="55" max="55" width="23.42578125" bestFit="1" customWidth="1"/>
    <col min="56" max="56" width="32.140625" bestFit="1" customWidth="1"/>
    <col min="57" max="57" width="15.42578125" bestFit="1" customWidth="1"/>
    <col min="58" max="58" width="19.42578125" bestFit="1" customWidth="1"/>
    <col min="59" max="59" width="25.28515625" bestFit="1" customWidth="1"/>
    <col min="60" max="60" width="13.7109375" bestFit="1" customWidth="1"/>
    <col min="61" max="61" width="40.5703125" bestFit="1" customWidth="1"/>
    <col min="62" max="62" width="28.140625" bestFit="1" customWidth="1"/>
    <col min="63" max="63" width="16.5703125" bestFit="1" customWidth="1"/>
    <col min="64" max="64" width="18.42578125" bestFit="1" customWidth="1"/>
    <col min="65" max="65" width="24.140625" bestFit="1" customWidth="1"/>
    <col min="66" max="68" width="11.7109375" bestFit="1" customWidth="1"/>
    <col min="69" max="69" width="12.5703125" bestFit="1" customWidth="1"/>
    <col min="70" max="70" width="12" bestFit="1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 s="3">
        <v>40059000000</v>
      </c>
      <c r="C2">
        <v>14865000000</v>
      </c>
      <c r="D2">
        <v>3144000000</v>
      </c>
      <c r="E2">
        <v>3908000000</v>
      </c>
      <c r="F2">
        <v>6906000000</v>
      </c>
      <c r="G2">
        <v>3131000000</v>
      </c>
      <c r="H2">
        <v>12000000</v>
      </c>
      <c r="I2">
        <v>2160000000</v>
      </c>
      <c r="J2">
        <v>584000000</v>
      </c>
      <c r="K2">
        <v>625000000</v>
      </c>
      <c r="L2">
        <v>179000000</v>
      </c>
      <c r="M2">
        <v>2011000000</v>
      </c>
      <c r="N2">
        <v>8276219999</v>
      </c>
      <c r="O2">
        <v>8460595000</v>
      </c>
      <c r="P2">
        <v>21033000000</v>
      </c>
      <c r="Q2">
        <v>3991000000</v>
      </c>
      <c r="R2">
        <v>25024000000</v>
      </c>
      <c r="S2">
        <v>15201000000</v>
      </c>
      <c r="T2">
        <v>833000000</v>
      </c>
      <c r="U2">
        <v>5475000000</v>
      </c>
      <c r="V2">
        <v>46533000000</v>
      </c>
      <c r="W2">
        <v>13137000000</v>
      </c>
      <c r="X2">
        <v>32463000000</v>
      </c>
      <c r="Y2">
        <v>5536000000</v>
      </c>
      <c r="Z2">
        <v>45545000000</v>
      </c>
      <c r="AA2">
        <v>109228000000</v>
      </c>
      <c r="AB2">
        <v>155761000000</v>
      </c>
      <c r="AC2">
        <v>3174000000</v>
      </c>
      <c r="AD2">
        <v>1208000000</v>
      </c>
      <c r="AE2">
        <v>39170000000</v>
      </c>
      <c r="AF2">
        <v>39187000000</v>
      </c>
      <c r="AG2">
        <v>67108000000</v>
      </c>
      <c r="AH2">
        <v>106278000000</v>
      </c>
      <c r="AI2">
        <v>6623000000</v>
      </c>
      <c r="AJ2">
        <v>0</v>
      </c>
      <c r="AK2">
        <v>0</v>
      </c>
      <c r="AL2">
        <v>5468000000</v>
      </c>
      <c r="AM2">
        <v>-124384000000</v>
      </c>
      <c r="AN2">
        <v>49483000000</v>
      </c>
      <c r="AO2">
        <v>4809000000</v>
      </c>
      <c r="AP2">
        <v>-1497000000</v>
      </c>
      <c r="AQ2">
        <v>66000000</v>
      </c>
      <c r="AR2">
        <v>205000000</v>
      </c>
      <c r="AS2">
        <v>779000000</v>
      </c>
      <c r="AT2">
        <v>1900000000</v>
      </c>
      <c r="AU2">
        <v>-13000000</v>
      </c>
      <c r="AV2">
        <v>702000000</v>
      </c>
      <c r="AW2">
        <v>2341000000</v>
      </c>
      <c r="AX2">
        <v>-1603000000</v>
      </c>
      <c r="AY2">
        <v>5081000000</v>
      </c>
      <c r="AZ2">
        <v>-272000000</v>
      </c>
      <c r="BA2">
        <v>-272000000</v>
      </c>
      <c r="BB2">
        <v>-686000000</v>
      </c>
      <c r="BC2">
        <v>-12148000000</v>
      </c>
      <c r="BD2">
        <v>-5153000000</v>
      </c>
      <c r="BE2">
        <v>-338000000</v>
      </c>
      <c r="BF2">
        <v>148000000</v>
      </c>
      <c r="BG2">
        <v>-195000000</v>
      </c>
      <c r="BH2">
        <v>0</v>
      </c>
      <c r="BI2">
        <v>-377000000</v>
      </c>
      <c r="BJ2">
        <v>-130000000</v>
      </c>
      <c r="BK2">
        <v>-1603000000</v>
      </c>
      <c r="BL2">
        <v>23450000000</v>
      </c>
      <c r="BM2">
        <v>25053000000</v>
      </c>
      <c r="BN2">
        <v>2939000000</v>
      </c>
      <c r="BO2">
        <v>1981000000</v>
      </c>
      <c r="BP2">
        <v>2667000000</v>
      </c>
      <c r="BQ2">
        <v>7363000000</v>
      </c>
      <c r="BR2">
        <v>4.7484770588363769</v>
      </c>
    </row>
    <row r="3" spans="1:70" x14ac:dyDescent="0.25">
      <c r="A3" s="1" t="s">
        <v>70</v>
      </c>
      <c r="B3" s="3">
        <v>38589000000</v>
      </c>
      <c r="C3">
        <v>15223000000</v>
      </c>
      <c r="D3">
        <v>2949000000</v>
      </c>
      <c r="E3">
        <v>4011000000</v>
      </c>
      <c r="F3">
        <v>6960000000</v>
      </c>
      <c r="G3">
        <v>3179000000</v>
      </c>
      <c r="H3">
        <v>-129000000</v>
      </c>
      <c r="I3">
        <v>1544000000</v>
      </c>
      <c r="J3">
        <v>589000000</v>
      </c>
      <c r="K3">
        <v>556000000</v>
      </c>
      <c r="L3">
        <v>187000000</v>
      </c>
      <c r="M3">
        <v>1390000000</v>
      </c>
      <c r="N3">
        <v>8210853000</v>
      </c>
      <c r="O3">
        <v>8389841000</v>
      </c>
      <c r="P3">
        <v>20755000000</v>
      </c>
      <c r="Q3">
        <v>2734000000</v>
      </c>
      <c r="R3">
        <v>23489000000</v>
      </c>
      <c r="S3">
        <v>13405000000</v>
      </c>
      <c r="T3">
        <v>1742000000</v>
      </c>
      <c r="U3">
        <v>6078000000</v>
      </c>
      <c r="V3">
        <v>44714000000</v>
      </c>
      <c r="W3">
        <v>13333000000</v>
      </c>
      <c r="X3">
        <v>32531000000</v>
      </c>
      <c r="Y3">
        <v>5878000000</v>
      </c>
      <c r="Z3">
        <v>36223000000</v>
      </c>
      <c r="AA3">
        <v>103601000000</v>
      </c>
      <c r="AB3">
        <v>148315000000</v>
      </c>
      <c r="AC3">
        <v>3116000000</v>
      </c>
      <c r="AD3">
        <v>1036000000</v>
      </c>
      <c r="AE3">
        <v>37487000000</v>
      </c>
      <c r="AF3">
        <v>40585000000</v>
      </c>
      <c r="AG3">
        <v>65300000000</v>
      </c>
      <c r="AH3">
        <v>102787000000</v>
      </c>
      <c r="AI3">
        <v>6907000000</v>
      </c>
      <c r="AJ3">
        <v>0</v>
      </c>
      <c r="AK3">
        <v>0</v>
      </c>
      <c r="AL3">
        <v>5199000000</v>
      </c>
      <c r="AM3">
        <v>-126681000000</v>
      </c>
      <c r="AN3">
        <v>45528000000</v>
      </c>
      <c r="AO3">
        <v>4228000000</v>
      </c>
      <c r="AP3">
        <v>-1348000000</v>
      </c>
      <c r="AQ3">
        <v>117000000</v>
      </c>
      <c r="AR3">
        <v>0</v>
      </c>
      <c r="AS3">
        <v>806000000</v>
      </c>
      <c r="AT3">
        <v>1949000000</v>
      </c>
      <c r="AU3">
        <v>0</v>
      </c>
      <c r="AV3">
        <v>538000000</v>
      </c>
      <c r="AW3">
        <v>2182000000</v>
      </c>
      <c r="AX3">
        <v>618000000</v>
      </c>
      <c r="AY3">
        <v>4451000000</v>
      </c>
      <c r="AZ3">
        <v>-223000000</v>
      </c>
      <c r="BA3">
        <v>-223000000</v>
      </c>
      <c r="BB3">
        <v>9000000</v>
      </c>
      <c r="BC3">
        <v>-10163000000</v>
      </c>
      <c r="BD3">
        <v>-3069000000</v>
      </c>
      <c r="BE3">
        <v>-345000000</v>
      </c>
      <c r="BF3">
        <v>130000000</v>
      </c>
      <c r="BG3">
        <v>130000000</v>
      </c>
      <c r="BH3">
        <v>0</v>
      </c>
      <c r="BI3">
        <v>-144000000</v>
      </c>
      <c r="BJ3">
        <v>-47000000</v>
      </c>
      <c r="BK3">
        <v>618000000</v>
      </c>
      <c r="BL3">
        <v>26637000000</v>
      </c>
      <c r="BM3">
        <v>26019000000</v>
      </c>
      <c r="BN3">
        <v>2350000000</v>
      </c>
      <c r="BO3">
        <v>1357000000</v>
      </c>
      <c r="BP3">
        <v>2127000000</v>
      </c>
      <c r="BQ3">
        <v>7227000000</v>
      </c>
      <c r="BR3">
        <v>4.7736235161436857</v>
      </c>
    </row>
    <row r="4" spans="1:70" x14ac:dyDescent="0.25">
      <c r="A4" s="1" t="s">
        <v>71</v>
      </c>
      <c r="B4" s="3">
        <v>37281000000</v>
      </c>
      <c r="C4">
        <v>14824000000</v>
      </c>
      <c r="D4">
        <v>2682000000</v>
      </c>
      <c r="E4">
        <v>4356000000</v>
      </c>
      <c r="F4">
        <v>7038000000</v>
      </c>
      <c r="G4">
        <v>3164000000</v>
      </c>
      <c r="H4">
        <v>-198000000</v>
      </c>
      <c r="I4">
        <v>1110000000</v>
      </c>
      <c r="J4">
        <v>633000000</v>
      </c>
      <c r="K4">
        <v>484000000</v>
      </c>
      <c r="L4">
        <v>213000000</v>
      </c>
      <c r="M4">
        <v>1887000000</v>
      </c>
      <c r="N4">
        <v>8141943000</v>
      </c>
      <c r="O4">
        <v>8319230000</v>
      </c>
      <c r="P4">
        <v>18973000000</v>
      </c>
      <c r="Q4">
        <v>2111000000</v>
      </c>
      <c r="R4">
        <v>21084000000</v>
      </c>
      <c r="S4">
        <v>12268000000</v>
      </c>
      <c r="T4">
        <v>2639000000</v>
      </c>
      <c r="U4">
        <v>5845000000</v>
      </c>
      <c r="V4">
        <v>41836000000</v>
      </c>
      <c r="W4">
        <v>13561000000</v>
      </c>
      <c r="X4">
        <v>32627000000</v>
      </c>
      <c r="Y4">
        <v>6309000000</v>
      </c>
      <c r="Z4">
        <v>28771000000</v>
      </c>
      <c r="AA4">
        <v>99331000000</v>
      </c>
      <c r="AB4">
        <v>141167000000</v>
      </c>
      <c r="AC4">
        <v>2995000000</v>
      </c>
      <c r="AD4">
        <v>1045000000</v>
      </c>
      <c r="AE4">
        <v>36177000000</v>
      </c>
      <c r="AF4">
        <v>42014000000</v>
      </c>
      <c r="AG4">
        <v>63289000000</v>
      </c>
      <c r="AH4">
        <v>99466000000</v>
      </c>
      <c r="AI4">
        <v>7209000000</v>
      </c>
      <c r="AJ4">
        <v>0</v>
      </c>
      <c r="AK4">
        <v>0</v>
      </c>
      <c r="AL4">
        <v>4922000000</v>
      </c>
      <c r="AM4">
        <v>-128357000000</v>
      </c>
      <c r="AN4">
        <v>41701000000</v>
      </c>
      <c r="AO4">
        <v>3362000000</v>
      </c>
      <c r="AP4">
        <v>-758000000</v>
      </c>
      <c r="AQ4">
        <v>64000000</v>
      </c>
      <c r="AR4">
        <v>0</v>
      </c>
      <c r="AS4">
        <v>823000000</v>
      </c>
      <c r="AT4">
        <v>1935000000</v>
      </c>
      <c r="AU4">
        <v>26000000</v>
      </c>
      <c r="AV4">
        <v>165000000</v>
      </c>
      <c r="AW4">
        <v>1272000000</v>
      </c>
      <c r="AX4">
        <v>392000000</v>
      </c>
      <c r="AY4">
        <v>3585000000</v>
      </c>
      <c r="AZ4">
        <v>-223000000</v>
      </c>
      <c r="BA4">
        <v>-223000000</v>
      </c>
      <c r="BB4">
        <v>0</v>
      </c>
      <c r="BC4">
        <v>-8806000000</v>
      </c>
      <c r="BD4">
        <v>-3226000000</v>
      </c>
      <c r="BE4">
        <v>-297000000</v>
      </c>
      <c r="BF4">
        <v>130000000</v>
      </c>
      <c r="BG4">
        <v>130000000</v>
      </c>
      <c r="BH4">
        <v>0</v>
      </c>
      <c r="BI4">
        <v>-95000000</v>
      </c>
      <c r="BJ4">
        <v>63000000</v>
      </c>
      <c r="BK4">
        <v>392000000</v>
      </c>
      <c r="BL4">
        <v>27603000000</v>
      </c>
      <c r="BM4">
        <v>27211000000</v>
      </c>
      <c r="BN4">
        <v>1933000000</v>
      </c>
      <c r="BO4">
        <v>897000000</v>
      </c>
      <c r="BP4">
        <v>1710000000</v>
      </c>
      <c r="BQ4">
        <v>5659000000</v>
      </c>
      <c r="BR4">
        <v>4.6244587069041323</v>
      </c>
    </row>
    <row r="5" spans="1:70" x14ac:dyDescent="0.25">
      <c r="A5" s="1" t="s">
        <v>72</v>
      </c>
      <c r="B5" s="3">
        <v>35952000000</v>
      </c>
      <c r="C5">
        <v>14245000000</v>
      </c>
      <c r="D5">
        <v>2824000000</v>
      </c>
      <c r="E5">
        <v>4543000000</v>
      </c>
      <c r="F5">
        <v>7367000000</v>
      </c>
      <c r="G5">
        <v>3127000000</v>
      </c>
      <c r="H5">
        <v>666000000</v>
      </c>
      <c r="I5">
        <v>391000000</v>
      </c>
      <c r="J5">
        <v>629000000</v>
      </c>
      <c r="K5">
        <v>397000000</v>
      </c>
      <c r="L5">
        <v>-4000000</v>
      </c>
      <c r="M5">
        <v>1053000000</v>
      </c>
      <c r="N5">
        <v>8075858000</v>
      </c>
      <c r="O5">
        <v>8257875999</v>
      </c>
      <c r="P5">
        <v>17696000000</v>
      </c>
      <c r="Q5">
        <v>1487000000</v>
      </c>
      <c r="R5">
        <v>19183000000</v>
      </c>
      <c r="S5">
        <v>10926000000</v>
      </c>
      <c r="T5">
        <v>3319000000</v>
      </c>
      <c r="U5">
        <v>6360000000</v>
      </c>
      <c r="V5">
        <v>39788000000</v>
      </c>
      <c r="W5">
        <v>13778000000</v>
      </c>
      <c r="X5">
        <v>32739000000</v>
      </c>
      <c r="Y5">
        <v>6758000000</v>
      </c>
      <c r="Z5">
        <v>21037000000</v>
      </c>
      <c r="AA5">
        <v>94789000000</v>
      </c>
      <c r="AB5">
        <v>134577000000</v>
      </c>
      <c r="AC5">
        <v>2933000000</v>
      </c>
      <c r="AD5">
        <v>747000000</v>
      </c>
      <c r="AE5">
        <v>35576000000</v>
      </c>
      <c r="AF5">
        <v>43493000000</v>
      </c>
      <c r="AG5">
        <v>61478000000</v>
      </c>
      <c r="AH5">
        <v>97054000000</v>
      </c>
      <c r="AI5">
        <v>7211000000</v>
      </c>
      <c r="AJ5">
        <v>0</v>
      </c>
      <c r="AK5">
        <v>0</v>
      </c>
      <c r="AL5">
        <v>4653000000</v>
      </c>
      <c r="AM5">
        <v>-130530000000</v>
      </c>
      <c r="AN5">
        <v>37523000000</v>
      </c>
      <c r="AO5">
        <v>2291000000</v>
      </c>
      <c r="AP5">
        <v>-686000000</v>
      </c>
      <c r="AQ5">
        <v>33000000</v>
      </c>
      <c r="AR5">
        <v>-413000000</v>
      </c>
      <c r="AS5">
        <v>843000000</v>
      </c>
      <c r="AT5">
        <v>1948000000</v>
      </c>
      <c r="AU5">
        <v>-158000000</v>
      </c>
      <c r="AV5">
        <v>-168000000</v>
      </c>
      <c r="AW5">
        <v>898000000</v>
      </c>
      <c r="AX5">
        <v>-1769000000</v>
      </c>
      <c r="AY5">
        <v>2518000000</v>
      </c>
      <c r="AZ5">
        <v>-227000000</v>
      </c>
      <c r="BA5">
        <v>-227000000</v>
      </c>
      <c r="BB5">
        <v>695000000</v>
      </c>
      <c r="BC5">
        <v>-7660000000</v>
      </c>
      <c r="BD5">
        <v>-4176000000</v>
      </c>
      <c r="BE5">
        <v>-289000000</v>
      </c>
      <c r="BF5">
        <v>118000000</v>
      </c>
      <c r="BG5">
        <v>0</v>
      </c>
      <c r="BH5">
        <v>0</v>
      </c>
      <c r="BI5">
        <v>-230000000</v>
      </c>
      <c r="BJ5">
        <v>119000000</v>
      </c>
      <c r="BK5">
        <v>-1769000000</v>
      </c>
      <c r="BL5">
        <v>28795000000</v>
      </c>
      <c r="BM5">
        <v>30564000000</v>
      </c>
      <c r="BN5">
        <v>1234000000</v>
      </c>
      <c r="BO5">
        <v>395000000</v>
      </c>
      <c r="BP5">
        <v>1007000000</v>
      </c>
      <c r="BQ5">
        <v>4212000000</v>
      </c>
      <c r="BR5">
        <v>4.4742453676274039</v>
      </c>
    </row>
    <row r="6" spans="1:70" x14ac:dyDescent="0.25">
      <c r="A6" s="1" t="s">
        <v>73</v>
      </c>
      <c r="B6" s="3">
        <v>35003000000</v>
      </c>
      <c r="C6">
        <v>13749000000</v>
      </c>
      <c r="D6">
        <v>3086000000</v>
      </c>
      <c r="E6">
        <v>4755000000</v>
      </c>
      <c r="F6">
        <v>7841000000</v>
      </c>
      <c r="G6">
        <v>3090000000</v>
      </c>
      <c r="H6">
        <v>661000000</v>
      </c>
      <c r="I6">
        <v>-498000000</v>
      </c>
      <c r="J6">
        <v>609000000</v>
      </c>
      <c r="K6">
        <v>305000000</v>
      </c>
      <c r="L6">
        <v>94000000</v>
      </c>
      <c r="M6">
        <v>-374000000</v>
      </c>
      <c r="N6">
        <v>8010469000</v>
      </c>
      <c r="O6">
        <v>8128695999</v>
      </c>
      <c r="P6">
        <v>18113000000</v>
      </c>
      <c r="Q6">
        <v>762000000</v>
      </c>
      <c r="R6">
        <v>18875000000</v>
      </c>
      <c r="S6">
        <v>10394000000</v>
      </c>
      <c r="T6">
        <v>3079000000</v>
      </c>
      <c r="U6">
        <v>6129000000</v>
      </c>
      <c r="V6">
        <v>38477000000</v>
      </c>
      <c r="W6">
        <v>13766000000</v>
      </c>
      <c r="X6">
        <v>32899000000</v>
      </c>
      <c r="Y6">
        <v>7239000000</v>
      </c>
      <c r="Z6">
        <v>20441000000</v>
      </c>
      <c r="AA6">
        <v>91263000000</v>
      </c>
      <c r="AB6">
        <v>129740000000</v>
      </c>
      <c r="AC6">
        <v>2908000000</v>
      </c>
      <c r="AD6">
        <v>762000000</v>
      </c>
      <c r="AE6">
        <v>35191000000</v>
      </c>
      <c r="AF6">
        <v>43570000000</v>
      </c>
      <c r="AG6">
        <v>60145000000</v>
      </c>
      <c r="AH6">
        <v>95336000000</v>
      </c>
      <c r="AI6">
        <v>7287000000</v>
      </c>
      <c r="AJ6">
        <v>0</v>
      </c>
      <c r="AK6">
        <v>0</v>
      </c>
      <c r="AL6">
        <v>4645000000</v>
      </c>
      <c r="AM6">
        <v>-131584000000</v>
      </c>
      <c r="AN6">
        <v>34404000000</v>
      </c>
      <c r="AO6">
        <v>1744000000</v>
      </c>
      <c r="AP6">
        <v>-258000000</v>
      </c>
      <c r="AQ6">
        <v>-114000000</v>
      </c>
      <c r="AR6">
        <v>-205000000</v>
      </c>
      <c r="AS6">
        <v>865000000</v>
      </c>
      <c r="AT6">
        <v>1938000000</v>
      </c>
      <c r="AU6">
        <v>-158000000</v>
      </c>
      <c r="AV6">
        <v>313000000</v>
      </c>
      <c r="AW6">
        <v>556000000</v>
      </c>
      <c r="AX6">
        <v>596000000</v>
      </c>
      <c r="AY6">
        <v>1984000000</v>
      </c>
      <c r="AZ6">
        <v>-240000000</v>
      </c>
      <c r="BA6">
        <v>-240000000</v>
      </c>
      <c r="BB6">
        <v>703000000</v>
      </c>
      <c r="BC6">
        <v>-3915000000</v>
      </c>
      <c r="BD6">
        <v>-1439000000</v>
      </c>
      <c r="BE6">
        <v>-261000000</v>
      </c>
      <c r="BF6">
        <v>373000000</v>
      </c>
      <c r="BG6">
        <v>0</v>
      </c>
      <c r="BH6">
        <v>0</v>
      </c>
      <c r="BI6">
        <v>58000000</v>
      </c>
      <c r="BJ6">
        <v>-7000000</v>
      </c>
      <c r="BK6">
        <v>596000000</v>
      </c>
      <c r="BL6">
        <v>30564000000</v>
      </c>
      <c r="BM6">
        <v>29968000000</v>
      </c>
      <c r="BN6">
        <v>367000000</v>
      </c>
      <c r="BO6">
        <v>-592000000</v>
      </c>
      <c r="BP6">
        <v>127000000</v>
      </c>
      <c r="BQ6">
        <v>3286000000</v>
      </c>
      <c r="BR6">
        <v>4.3773664371156098</v>
      </c>
    </row>
    <row r="7" spans="1:70" x14ac:dyDescent="0.25">
      <c r="A7" s="1" t="s">
        <v>74</v>
      </c>
      <c r="B7" s="3">
        <v>33846000000</v>
      </c>
      <c r="C7">
        <v>12954000000</v>
      </c>
      <c r="D7">
        <v>3446000000</v>
      </c>
      <c r="E7">
        <v>4755000000</v>
      </c>
      <c r="F7">
        <v>8201000000</v>
      </c>
      <c r="G7">
        <v>2986000000</v>
      </c>
      <c r="H7">
        <v>1668000000</v>
      </c>
      <c r="I7">
        <v>-1537000000</v>
      </c>
      <c r="J7">
        <v>604000000</v>
      </c>
      <c r="K7">
        <v>215000000</v>
      </c>
      <c r="L7">
        <v>106000000</v>
      </c>
      <c r="M7">
        <v>-3401000000</v>
      </c>
      <c r="N7">
        <v>7947960000</v>
      </c>
      <c r="O7">
        <v>8018312999</v>
      </c>
      <c r="P7">
        <v>17515000000</v>
      </c>
      <c r="Q7">
        <v>224000000</v>
      </c>
      <c r="R7">
        <v>17739000000</v>
      </c>
      <c r="S7">
        <v>10277000000</v>
      </c>
      <c r="T7">
        <v>3561000000</v>
      </c>
      <c r="U7">
        <v>4987000000</v>
      </c>
      <c r="V7">
        <v>36564000000</v>
      </c>
      <c r="W7">
        <v>13697000000</v>
      </c>
      <c r="X7">
        <v>33107000000</v>
      </c>
      <c r="Y7">
        <v>7754000000</v>
      </c>
      <c r="Z7">
        <v>20367000000</v>
      </c>
      <c r="AA7">
        <v>90122000000</v>
      </c>
      <c r="AB7">
        <v>126686000000</v>
      </c>
      <c r="AC7">
        <v>3024000000</v>
      </c>
      <c r="AD7">
        <v>798000000</v>
      </c>
      <c r="AE7">
        <v>35501000000</v>
      </c>
      <c r="AF7">
        <v>43700000000</v>
      </c>
      <c r="AG7">
        <v>59046000000</v>
      </c>
      <c r="AH7">
        <v>94547000000</v>
      </c>
      <c r="AI7">
        <v>7437000000</v>
      </c>
      <c r="AJ7">
        <v>0</v>
      </c>
      <c r="AK7">
        <v>0</v>
      </c>
      <c r="AL7">
        <v>4383000000</v>
      </c>
      <c r="AM7">
        <v>-131211000000</v>
      </c>
      <c r="AN7">
        <v>32139000000</v>
      </c>
      <c r="AO7">
        <v>986000000</v>
      </c>
      <c r="AP7">
        <v>-348000000</v>
      </c>
      <c r="AQ7">
        <v>-148000000</v>
      </c>
      <c r="AR7">
        <v>0</v>
      </c>
      <c r="AS7">
        <v>900000000</v>
      </c>
      <c r="AT7">
        <v>1904000000</v>
      </c>
      <c r="AU7">
        <v>-150000000</v>
      </c>
      <c r="AV7">
        <v>566000000</v>
      </c>
      <c r="AW7">
        <v>728000000</v>
      </c>
      <c r="AX7">
        <v>-799000000</v>
      </c>
      <c r="AY7">
        <v>1233000000</v>
      </c>
      <c r="AZ7">
        <v>-247000000</v>
      </c>
      <c r="BA7">
        <v>-247000000</v>
      </c>
      <c r="BB7">
        <v>0</v>
      </c>
      <c r="BC7">
        <v>-2555000000</v>
      </c>
      <c r="BD7">
        <v>-1901000000</v>
      </c>
      <c r="BE7">
        <v>-252000000</v>
      </c>
      <c r="BF7">
        <v>347000000</v>
      </c>
      <c r="BG7">
        <v>0</v>
      </c>
      <c r="BH7">
        <v>0</v>
      </c>
      <c r="BI7">
        <v>21000000</v>
      </c>
      <c r="BJ7">
        <v>-152000000</v>
      </c>
      <c r="BK7">
        <v>-799000000</v>
      </c>
      <c r="BL7">
        <v>29968000000</v>
      </c>
      <c r="BM7">
        <v>30767000000</v>
      </c>
      <c r="BN7">
        <v>-637000000</v>
      </c>
      <c r="BO7">
        <v>-1643000000</v>
      </c>
      <c r="BP7">
        <v>-884000000</v>
      </c>
      <c r="BQ7">
        <v>1063000000</v>
      </c>
      <c r="BR7">
        <v>4.1207043999542021</v>
      </c>
    </row>
    <row r="8" spans="1:70" x14ac:dyDescent="0.25">
      <c r="A8" s="1" t="s">
        <v>75</v>
      </c>
      <c r="B8" s="3">
        <v>31877000000</v>
      </c>
      <c r="C8">
        <v>12218000000</v>
      </c>
      <c r="D8">
        <v>3136000000</v>
      </c>
      <c r="E8">
        <v>4756000000</v>
      </c>
      <c r="F8">
        <v>7892000000</v>
      </c>
      <c r="G8">
        <v>2798000000</v>
      </c>
      <c r="H8">
        <v>2517000000</v>
      </c>
      <c r="I8">
        <v>-1757000000</v>
      </c>
      <c r="J8">
        <v>565000000</v>
      </c>
      <c r="K8">
        <v>139000000</v>
      </c>
      <c r="L8">
        <v>-181000000</v>
      </c>
      <c r="M8">
        <v>-9180000000</v>
      </c>
      <c r="N8">
        <v>7892392000</v>
      </c>
      <c r="O8">
        <v>7966486999</v>
      </c>
      <c r="P8">
        <v>17654000000</v>
      </c>
      <c r="Q8">
        <v>103000000</v>
      </c>
      <c r="R8">
        <v>17757000000</v>
      </c>
      <c r="S8">
        <v>10182000000</v>
      </c>
      <c r="T8">
        <v>4177000000</v>
      </c>
      <c r="U8">
        <v>3917000000</v>
      </c>
      <c r="V8">
        <v>36033000000</v>
      </c>
      <c r="W8">
        <v>13512000000</v>
      </c>
      <c r="X8">
        <v>33357000000</v>
      </c>
      <c r="Y8">
        <v>8257000000</v>
      </c>
      <c r="Z8">
        <v>21780000000</v>
      </c>
      <c r="AA8">
        <v>91014000000</v>
      </c>
      <c r="AB8">
        <v>127047000000</v>
      </c>
      <c r="AC8">
        <v>3174000000</v>
      </c>
      <c r="AD8">
        <v>814000000</v>
      </c>
      <c r="AE8">
        <v>35470000000</v>
      </c>
      <c r="AF8">
        <v>43768000000</v>
      </c>
      <c r="AG8">
        <v>58292000000</v>
      </c>
      <c r="AH8">
        <v>93762000000</v>
      </c>
      <c r="AI8">
        <v>7505000000</v>
      </c>
      <c r="AJ8">
        <v>0</v>
      </c>
      <c r="AK8">
        <v>0</v>
      </c>
      <c r="AL8">
        <v>4121000000</v>
      </c>
      <c r="AM8">
        <v>-127843000000</v>
      </c>
      <c r="AN8">
        <v>33285000000</v>
      </c>
      <c r="AO8">
        <v>390000000</v>
      </c>
      <c r="AP8">
        <v>-542000000</v>
      </c>
      <c r="AQ8">
        <v>-133000000</v>
      </c>
      <c r="AR8">
        <v>0</v>
      </c>
      <c r="AS8">
        <v>947000000</v>
      </c>
      <c r="AT8">
        <v>1793000000</v>
      </c>
      <c r="AU8">
        <v>-441000000</v>
      </c>
      <c r="AV8">
        <v>335000000</v>
      </c>
      <c r="AW8">
        <v>676000000</v>
      </c>
      <c r="AX8">
        <v>-1128000000</v>
      </c>
      <c r="AY8">
        <v>642000000</v>
      </c>
      <c r="AZ8">
        <v>-252000000</v>
      </c>
      <c r="BA8">
        <v>-252000000</v>
      </c>
      <c r="BB8">
        <v>-59000000</v>
      </c>
      <c r="BC8">
        <v>-1722000000</v>
      </c>
      <c r="BD8">
        <v>-1637000000</v>
      </c>
      <c r="BE8">
        <v>-264000000</v>
      </c>
      <c r="BF8">
        <v>347000000</v>
      </c>
      <c r="BG8">
        <v>0</v>
      </c>
      <c r="BH8">
        <v>0</v>
      </c>
      <c r="BI8">
        <v>15000000</v>
      </c>
      <c r="BJ8">
        <v>-148000000</v>
      </c>
      <c r="BK8">
        <v>-1128000000</v>
      </c>
      <c r="BL8">
        <v>30767000000</v>
      </c>
      <c r="BM8">
        <v>31895000000</v>
      </c>
      <c r="BN8">
        <v>-810000000</v>
      </c>
      <c r="BO8">
        <v>-1576000000</v>
      </c>
      <c r="BP8">
        <v>-1062000000</v>
      </c>
      <c r="BQ8">
        <v>563000000</v>
      </c>
      <c r="BR8">
        <v>4.0631259799180048</v>
      </c>
    </row>
    <row r="9" spans="1:70" x14ac:dyDescent="0.25">
      <c r="A9" s="1" t="s">
        <v>76</v>
      </c>
      <c r="B9" s="3">
        <v>29048000000</v>
      </c>
      <c r="C9">
        <v>11592000000</v>
      </c>
      <c r="D9">
        <v>3002000000</v>
      </c>
      <c r="E9">
        <v>4896000000</v>
      </c>
      <c r="F9">
        <v>7898000000</v>
      </c>
      <c r="G9">
        <v>2609000000</v>
      </c>
      <c r="H9">
        <v>1740000000</v>
      </c>
      <c r="I9">
        <v>-2240000000</v>
      </c>
      <c r="J9">
        <v>544000000</v>
      </c>
      <c r="K9">
        <v>75000000</v>
      </c>
      <c r="L9">
        <v>-194000000</v>
      </c>
      <c r="M9">
        <v>-8883000000</v>
      </c>
      <c r="N9">
        <v>7834328000</v>
      </c>
      <c r="O9">
        <v>7911503000</v>
      </c>
      <c r="P9">
        <v>17741000000</v>
      </c>
      <c r="Q9">
        <v>-132000000</v>
      </c>
      <c r="R9">
        <v>17741000000</v>
      </c>
      <c r="S9">
        <v>9842000000</v>
      </c>
      <c r="T9">
        <v>4128000000</v>
      </c>
      <c r="U9">
        <v>3892000000</v>
      </c>
      <c r="V9">
        <v>35603000000</v>
      </c>
      <c r="W9">
        <v>13222000000</v>
      </c>
      <c r="X9">
        <v>33514000000</v>
      </c>
      <c r="Y9">
        <v>8795000000</v>
      </c>
      <c r="Z9">
        <v>29115000000</v>
      </c>
      <c r="AA9">
        <v>98109000000</v>
      </c>
      <c r="AB9">
        <v>133712000000</v>
      </c>
      <c r="AC9">
        <v>3306000000</v>
      </c>
      <c r="AD9">
        <v>798000000</v>
      </c>
      <c r="AE9">
        <v>35641000000</v>
      </c>
      <c r="AF9">
        <v>43750000000</v>
      </c>
      <c r="AG9">
        <v>57941000000</v>
      </c>
      <c r="AH9">
        <v>93582000000</v>
      </c>
      <c r="AI9">
        <v>7460000000</v>
      </c>
      <c r="AJ9">
        <v>0</v>
      </c>
      <c r="AK9">
        <v>0</v>
      </c>
      <c r="AL9">
        <v>3848000000</v>
      </c>
      <c r="AM9">
        <v>-118702000000</v>
      </c>
      <c r="AN9">
        <v>39239000000</v>
      </c>
      <c r="AO9">
        <v>506000000</v>
      </c>
      <c r="AP9">
        <v>-462000000</v>
      </c>
      <c r="AQ9">
        <v>-61000000</v>
      </c>
      <c r="AR9">
        <v>159000000</v>
      </c>
      <c r="AS9">
        <v>970000000</v>
      </c>
      <c r="AT9">
        <v>1645000000</v>
      </c>
      <c r="AU9">
        <v>-461000000</v>
      </c>
      <c r="AV9">
        <v>960000000</v>
      </c>
      <c r="AW9">
        <v>990000000</v>
      </c>
      <c r="AX9">
        <v>-1156000000</v>
      </c>
      <c r="AY9">
        <v>779000000</v>
      </c>
      <c r="AZ9">
        <v>-273000000</v>
      </c>
      <c r="BA9">
        <v>-273000000</v>
      </c>
      <c r="BB9">
        <v>-2036000000</v>
      </c>
      <c r="BC9">
        <v>-139000000</v>
      </c>
      <c r="BD9">
        <v>-2136000000</v>
      </c>
      <c r="BE9">
        <v>-346000000</v>
      </c>
      <c r="BF9">
        <v>8287000000</v>
      </c>
      <c r="BG9">
        <v>0</v>
      </c>
      <c r="BH9">
        <v>0</v>
      </c>
      <c r="BI9">
        <v>518000000</v>
      </c>
      <c r="BJ9">
        <v>-317000000</v>
      </c>
      <c r="BK9">
        <v>-1156000000</v>
      </c>
      <c r="BL9">
        <v>31895000000</v>
      </c>
      <c r="BM9">
        <v>33051000000</v>
      </c>
      <c r="BN9">
        <v>-1270000000</v>
      </c>
      <c r="BO9">
        <v>-2046000000</v>
      </c>
      <c r="BP9">
        <v>-1543000000</v>
      </c>
      <c r="BQ9">
        <v>-38000000</v>
      </c>
      <c r="BR9">
        <v>3.9956781815397662</v>
      </c>
    </row>
    <row r="10" spans="1:70" x14ac:dyDescent="0.25">
      <c r="A10" s="1" t="s">
        <v>77</v>
      </c>
      <c r="B10" s="3">
        <v>25550000000</v>
      </c>
      <c r="C10">
        <v>10829000000</v>
      </c>
      <c r="D10">
        <v>2719000000</v>
      </c>
      <c r="E10">
        <v>4911000000</v>
      </c>
      <c r="F10">
        <v>7630000000</v>
      </c>
      <c r="G10">
        <v>2342000000</v>
      </c>
      <c r="H10">
        <v>1941000000</v>
      </c>
      <c r="I10">
        <v>-2317000000</v>
      </c>
      <c r="J10">
        <v>521000000</v>
      </c>
      <c r="K10">
        <v>47000000</v>
      </c>
      <c r="L10">
        <v>-353000000</v>
      </c>
      <c r="M10">
        <v>-10101000000</v>
      </c>
      <c r="N10">
        <v>7748779000</v>
      </c>
      <c r="O10">
        <v>7831158000</v>
      </c>
      <c r="P10">
        <v>19358000000</v>
      </c>
      <c r="Q10">
        <v>-132000000</v>
      </c>
      <c r="R10">
        <v>19358000000</v>
      </c>
      <c r="S10">
        <v>8707000000</v>
      </c>
      <c r="T10">
        <v>3949000000</v>
      </c>
      <c r="U10">
        <v>3905000000</v>
      </c>
      <c r="V10">
        <v>35919000000</v>
      </c>
      <c r="W10">
        <v>12874000000</v>
      </c>
      <c r="X10">
        <v>31661000000</v>
      </c>
      <c r="Y10">
        <v>8081000000</v>
      </c>
      <c r="Z10">
        <v>37780000000</v>
      </c>
      <c r="AA10">
        <v>103565000000</v>
      </c>
      <c r="AB10">
        <v>139484000000</v>
      </c>
      <c r="AC10">
        <v>2842000000</v>
      </c>
      <c r="AD10">
        <v>777000000</v>
      </c>
      <c r="AE10">
        <v>34747000000</v>
      </c>
      <c r="AF10">
        <v>43623000000</v>
      </c>
      <c r="AG10">
        <v>57722000000</v>
      </c>
      <c r="AH10">
        <v>92469000000</v>
      </c>
      <c r="AI10">
        <v>7301000000</v>
      </c>
      <c r="AJ10">
        <v>0</v>
      </c>
      <c r="AK10">
        <v>0</v>
      </c>
      <c r="AL10">
        <v>3049000000</v>
      </c>
      <c r="AM10">
        <v>-109857000000</v>
      </c>
      <c r="AN10">
        <v>45770000000</v>
      </c>
      <c r="AO10">
        <v>672000000</v>
      </c>
      <c r="AP10">
        <v>-577000000</v>
      </c>
      <c r="AQ10">
        <v>-140000000</v>
      </c>
      <c r="AR10">
        <v>53000000</v>
      </c>
      <c r="AS10">
        <v>961000000</v>
      </c>
      <c r="AT10">
        <v>1444000000</v>
      </c>
      <c r="AU10">
        <v>-592000000</v>
      </c>
      <c r="AV10">
        <v>1360000000</v>
      </c>
      <c r="AW10">
        <v>2024000000</v>
      </c>
      <c r="AX10">
        <v>1410000000</v>
      </c>
      <c r="AY10">
        <v>961000000</v>
      </c>
      <c r="AZ10">
        <v>-289000000</v>
      </c>
      <c r="BA10">
        <v>-289000000</v>
      </c>
      <c r="BB10">
        <v>-1293000000</v>
      </c>
      <c r="BC10">
        <v>-726000000</v>
      </c>
      <c r="BD10">
        <v>-1241000000</v>
      </c>
      <c r="BE10">
        <v>-366000000</v>
      </c>
      <c r="BF10">
        <v>8032000000</v>
      </c>
      <c r="BG10">
        <v>0</v>
      </c>
      <c r="BH10">
        <v>0</v>
      </c>
      <c r="BI10">
        <v>1862000000</v>
      </c>
      <c r="BJ10">
        <v>-172000000</v>
      </c>
      <c r="BK10">
        <v>1410000000</v>
      </c>
      <c r="BL10">
        <v>33051000000</v>
      </c>
      <c r="BM10">
        <v>31641000000</v>
      </c>
      <c r="BN10">
        <v>-1356000000</v>
      </c>
      <c r="BO10">
        <v>-1964000000</v>
      </c>
      <c r="BP10">
        <v>-1645000000</v>
      </c>
      <c r="BQ10">
        <v>1172000000</v>
      </c>
      <c r="BR10">
        <v>4.1488274988606966</v>
      </c>
    </row>
    <row r="11" spans="1:70" x14ac:dyDescent="0.25">
      <c r="A11" s="1" t="s">
        <v>78</v>
      </c>
      <c r="B11" s="3">
        <v>21406000000</v>
      </c>
      <c r="C11">
        <v>9739000000</v>
      </c>
      <c r="D11">
        <v>2484000000</v>
      </c>
      <c r="E11">
        <v>4949000000</v>
      </c>
      <c r="F11">
        <v>7433000000</v>
      </c>
      <c r="G11">
        <v>2126000000</v>
      </c>
      <c r="H11">
        <v>1099000000</v>
      </c>
      <c r="I11">
        <v>-2792000000</v>
      </c>
      <c r="J11">
        <v>497000000</v>
      </c>
      <c r="K11">
        <v>43000000</v>
      </c>
      <c r="L11">
        <v>-909000000</v>
      </c>
      <c r="M11">
        <v>-6324000000</v>
      </c>
      <c r="N11">
        <v>7659631000</v>
      </c>
      <c r="O11">
        <v>7818251000</v>
      </c>
      <c r="P11">
        <v>19404000000</v>
      </c>
      <c r="Q11">
        <v>428000000</v>
      </c>
      <c r="R11">
        <v>19964000000</v>
      </c>
      <c r="S11">
        <v>7449000000</v>
      </c>
      <c r="T11">
        <v>2882000000</v>
      </c>
      <c r="U11">
        <v>4656000000</v>
      </c>
      <c r="V11">
        <v>34951000000</v>
      </c>
      <c r="W11">
        <v>12546000000</v>
      </c>
      <c r="X11">
        <v>29750000000</v>
      </c>
      <c r="Y11">
        <v>7337000000</v>
      </c>
      <c r="Z11">
        <v>47558000000</v>
      </c>
      <c r="AA11">
        <v>109770000000</v>
      </c>
      <c r="AB11">
        <v>144721000000</v>
      </c>
      <c r="AC11">
        <v>2461000000</v>
      </c>
      <c r="AD11">
        <v>739000000</v>
      </c>
      <c r="AE11">
        <v>33486000000</v>
      </c>
      <c r="AF11">
        <v>41952000000</v>
      </c>
      <c r="AG11">
        <v>56039000000</v>
      </c>
      <c r="AH11">
        <v>89525000000</v>
      </c>
      <c r="AI11">
        <v>7065000000</v>
      </c>
      <c r="AJ11">
        <v>0</v>
      </c>
      <c r="AK11">
        <v>0</v>
      </c>
      <c r="AL11">
        <v>3716000000</v>
      </c>
      <c r="AM11">
        <v>-99794000000</v>
      </c>
      <c r="AN11">
        <v>52382000000</v>
      </c>
      <c r="AO11">
        <v>-108000000</v>
      </c>
      <c r="AP11">
        <v>-588000000</v>
      </c>
      <c r="AQ11">
        <v>101000000</v>
      </c>
      <c r="AR11">
        <v>336000000</v>
      </c>
      <c r="AS11">
        <v>944000000</v>
      </c>
      <c r="AT11">
        <v>1246000000</v>
      </c>
      <c r="AU11">
        <v>-1093000000</v>
      </c>
      <c r="AV11">
        <v>1189000000</v>
      </c>
      <c r="AW11">
        <v>1340000000</v>
      </c>
      <c r="AX11">
        <v>985000000</v>
      </c>
      <c r="AY11">
        <v>181000000</v>
      </c>
      <c r="AZ11">
        <v>-289000000</v>
      </c>
      <c r="BA11">
        <v>-289000000</v>
      </c>
      <c r="BB11">
        <v>-1345000000</v>
      </c>
      <c r="BC11">
        <v>-969000000</v>
      </c>
      <c r="BD11">
        <v>-1086000000</v>
      </c>
      <c r="BE11">
        <v>-387000000</v>
      </c>
      <c r="BF11">
        <v>7973000000</v>
      </c>
      <c r="BG11">
        <v>0</v>
      </c>
      <c r="BH11">
        <v>0</v>
      </c>
      <c r="BI11">
        <v>1893000000</v>
      </c>
      <c r="BJ11">
        <v>-3000000</v>
      </c>
      <c r="BK11">
        <v>985000000</v>
      </c>
      <c r="BL11">
        <v>31641000000</v>
      </c>
      <c r="BM11">
        <v>30656000000</v>
      </c>
      <c r="BN11">
        <v>-1848000000</v>
      </c>
      <c r="BO11">
        <v>-1883000000</v>
      </c>
      <c r="BP11">
        <v>-2137000000</v>
      </c>
      <c r="BQ11">
        <v>1465000000</v>
      </c>
      <c r="BR11">
        <v>4.1833995073957064</v>
      </c>
    </row>
    <row r="12" spans="1:70" x14ac:dyDescent="0.25">
      <c r="A12" s="1" t="s">
        <v>79</v>
      </c>
      <c r="B12" s="3">
        <v>17455000000</v>
      </c>
      <c r="C12">
        <v>8104000000</v>
      </c>
      <c r="D12">
        <v>2316000000</v>
      </c>
      <c r="E12">
        <v>4789000000</v>
      </c>
      <c r="F12">
        <v>7105000000</v>
      </c>
      <c r="G12">
        <v>2054000000</v>
      </c>
      <c r="H12">
        <v>254000000</v>
      </c>
      <c r="I12">
        <v>-3834000000</v>
      </c>
      <c r="J12">
        <v>483000000</v>
      </c>
      <c r="K12">
        <v>37000000</v>
      </c>
      <c r="L12">
        <v>-492000000</v>
      </c>
      <c r="M12">
        <v>-496000000</v>
      </c>
      <c r="N12">
        <v>7505642000</v>
      </c>
      <c r="O12">
        <v>7719045000</v>
      </c>
      <c r="P12">
        <v>20056000000</v>
      </c>
      <c r="Q12">
        <v>1247000000</v>
      </c>
      <c r="R12">
        <v>21435000000</v>
      </c>
      <c r="S12">
        <v>6048000000</v>
      </c>
      <c r="T12">
        <v>1616000000</v>
      </c>
      <c r="U12">
        <v>5482000000</v>
      </c>
      <c r="V12">
        <v>34581000000</v>
      </c>
      <c r="W12">
        <v>12278000000</v>
      </c>
      <c r="X12">
        <v>27667000000</v>
      </c>
      <c r="Y12">
        <v>6523000000</v>
      </c>
      <c r="Z12">
        <v>53608000000</v>
      </c>
      <c r="AA12">
        <v>111983000000</v>
      </c>
      <c r="AB12">
        <v>146564000000</v>
      </c>
      <c r="AC12">
        <v>1831000000</v>
      </c>
      <c r="AD12">
        <v>701000000</v>
      </c>
      <c r="AE12">
        <v>32122000000</v>
      </c>
      <c r="AF12">
        <v>40330000000</v>
      </c>
      <c r="AG12">
        <v>54993000000</v>
      </c>
      <c r="AH12">
        <v>87115000000</v>
      </c>
      <c r="AI12">
        <v>6877000000</v>
      </c>
      <c r="AJ12">
        <v>0</v>
      </c>
      <c r="AK12">
        <v>0</v>
      </c>
      <c r="AL12">
        <v>3287000000</v>
      </c>
      <c r="AM12">
        <v>-93476000000</v>
      </c>
      <c r="AN12">
        <v>56162000000</v>
      </c>
      <c r="AO12">
        <v>-743000000</v>
      </c>
      <c r="AP12">
        <v>-597000000</v>
      </c>
      <c r="AQ12">
        <v>90000000</v>
      </c>
      <c r="AR12">
        <v>813000000</v>
      </c>
      <c r="AS12">
        <v>902000000</v>
      </c>
      <c r="AT12">
        <v>1168000000</v>
      </c>
      <c r="AU12">
        <v>-692000000</v>
      </c>
      <c r="AV12">
        <v>1682000000</v>
      </c>
      <c r="AW12">
        <v>1376000000</v>
      </c>
      <c r="AX12">
        <v>414000000</v>
      </c>
      <c r="AY12">
        <v>-445000000</v>
      </c>
      <c r="AZ12">
        <v>-298000000</v>
      </c>
      <c r="BA12">
        <v>-298000000</v>
      </c>
      <c r="BB12">
        <v>-1314000000</v>
      </c>
      <c r="BC12">
        <v>-2095000000</v>
      </c>
      <c r="BD12">
        <v>-1201000000</v>
      </c>
      <c r="BE12">
        <v>-560000000</v>
      </c>
      <c r="BF12">
        <v>7973000000</v>
      </c>
      <c r="BG12">
        <v>0</v>
      </c>
      <c r="BH12">
        <v>0</v>
      </c>
      <c r="BI12">
        <v>1780000000</v>
      </c>
      <c r="BJ12">
        <v>-69000000</v>
      </c>
      <c r="BK12">
        <v>414000000</v>
      </c>
      <c r="BL12">
        <v>30656000000</v>
      </c>
      <c r="BM12">
        <v>30242000000</v>
      </c>
      <c r="BN12">
        <v>-2932000000</v>
      </c>
      <c r="BO12">
        <v>-3342000000</v>
      </c>
      <c r="BP12">
        <v>-3230000000</v>
      </c>
      <c r="BQ12">
        <v>2459000000</v>
      </c>
      <c r="BR12">
        <v>4.3200693027210377</v>
      </c>
    </row>
    <row r="13" spans="1:70" x14ac:dyDescent="0.25">
      <c r="A13" s="1" t="s">
        <v>80</v>
      </c>
      <c r="B13" s="3">
        <v>14842000000</v>
      </c>
      <c r="C13">
        <v>7154000000</v>
      </c>
      <c r="D13">
        <v>2236000000</v>
      </c>
      <c r="E13">
        <v>4565000000</v>
      </c>
      <c r="F13">
        <v>6801000000</v>
      </c>
      <c r="G13">
        <v>1979000000</v>
      </c>
      <c r="H13">
        <v>211000000</v>
      </c>
      <c r="I13">
        <v>-4161000000</v>
      </c>
      <c r="J13">
        <v>471000000</v>
      </c>
      <c r="K13">
        <v>32000000</v>
      </c>
      <c r="L13">
        <v>-372000000</v>
      </c>
      <c r="M13">
        <v>-2356000000</v>
      </c>
      <c r="N13">
        <v>7352913997</v>
      </c>
      <c r="O13">
        <v>7506538000</v>
      </c>
      <c r="P13">
        <v>21408000000</v>
      </c>
      <c r="Q13">
        <v>2559000000</v>
      </c>
      <c r="R13">
        <v>23967000000</v>
      </c>
      <c r="S13">
        <v>4682000000</v>
      </c>
      <c r="T13">
        <v>1752000000</v>
      </c>
      <c r="U13">
        <v>5243000000</v>
      </c>
      <c r="V13">
        <v>35644000000</v>
      </c>
      <c r="W13">
        <v>12125000000</v>
      </c>
      <c r="X13">
        <v>25356000000</v>
      </c>
      <c r="Y13">
        <v>5675000000</v>
      </c>
      <c r="Z13">
        <v>51133000000</v>
      </c>
      <c r="AA13">
        <v>105398000000</v>
      </c>
      <c r="AB13">
        <v>141042000000</v>
      </c>
      <c r="AC13">
        <v>1206000000</v>
      </c>
      <c r="AD13">
        <v>691000000</v>
      </c>
      <c r="AE13">
        <v>29963000000</v>
      </c>
      <c r="AF13">
        <v>38514000000</v>
      </c>
      <c r="AG13">
        <v>53225000000</v>
      </c>
      <c r="AH13">
        <v>83188000000</v>
      </c>
      <c r="AI13">
        <v>6767000000</v>
      </c>
      <c r="AJ13">
        <v>0</v>
      </c>
      <c r="AK13">
        <v>0</v>
      </c>
      <c r="AL13">
        <v>3884000000</v>
      </c>
      <c r="AM13">
        <v>-92980000000</v>
      </c>
      <c r="AN13">
        <v>53970000000</v>
      </c>
      <c r="AO13">
        <v>-1484000000</v>
      </c>
      <c r="AP13">
        <v>-592000000</v>
      </c>
      <c r="AQ13">
        <v>-28000000</v>
      </c>
      <c r="AR13">
        <v>635000000</v>
      </c>
      <c r="AS13">
        <v>836000000</v>
      </c>
      <c r="AT13">
        <v>1070000000</v>
      </c>
      <c r="AU13">
        <v>-476000000</v>
      </c>
      <c r="AV13">
        <v>1458000000</v>
      </c>
      <c r="AW13">
        <v>1443000000</v>
      </c>
      <c r="AX13">
        <v>2024000000</v>
      </c>
      <c r="AY13">
        <v>-1143000000</v>
      </c>
      <c r="AZ13">
        <v>-341000000</v>
      </c>
      <c r="BA13">
        <v>-341000000</v>
      </c>
      <c r="BB13">
        <v>754000000</v>
      </c>
      <c r="BC13">
        <v>-2578000000</v>
      </c>
      <c r="BD13">
        <v>875000000</v>
      </c>
      <c r="BE13">
        <v>-937000000</v>
      </c>
      <c r="BF13">
        <v>0</v>
      </c>
      <c r="BG13">
        <v>0</v>
      </c>
      <c r="BH13">
        <v>0</v>
      </c>
      <c r="BI13">
        <v>2262000000</v>
      </c>
      <c r="BJ13">
        <v>30000000</v>
      </c>
      <c r="BK13">
        <v>2024000000</v>
      </c>
      <c r="BL13">
        <v>30242000000</v>
      </c>
      <c r="BM13">
        <v>28218000000</v>
      </c>
      <c r="BN13">
        <v>-3325000000</v>
      </c>
      <c r="BO13">
        <v>-3789000000</v>
      </c>
      <c r="BP13">
        <v>-3666000000</v>
      </c>
      <c r="BQ13">
        <v>5681000000</v>
      </c>
      <c r="BR13">
        <v>4.7822621021765972</v>
      </c>
    </row>
    <row r="14" spans="1:70" x14ac:dyDescent="0.25">
      <c r="A14" s="1" t="s">
        <v>81</v>
      </c>
      <c r="B14" s="3">
        <v>13126000000</v>
      </c>
      <c r="C14">
        <v>6262000000</v>
      </c>
      <c r="D14">
        <v>2322000000</v>
      </c>
      <c r="E14">
        <v>4321000000</v>
      </c>
      <c r="F14">
        <v>6643000000</v>
      </c>
      <c r="G14">
        <v>1979000000</v>
      </c>
      <c r="H14">
        <v>47000000</v>
      </c>
      <c r="I14">
        <v>-4705000000</v>
      </c>
      <c r="J14">
        <v>460000000</v>
      </c>
      <c r="K14">
        <v>29000000</v>
      </c>
      <c r="L14">
        <v>-248000000</v>
      </c>
      <c r="M14">
        <v>-1021000000</v>
      </c>
      <c r="N14">
        <v>7214192997</v>
      </c>
      <c r="O14">
        <v>7362613000</v>
      </c>
      <c r="P14">
        <v>21080000000</v>
      </c>
      <c r="Q14">
        <v>3691000000</v>
      </c>
      <c r="R14">
        <v>24771000000</v>
      </c>
      <c r="S14">
        <v>4122000000</v>
      </c>
      <c r="T14">
        <v>1556000000</v>
      </c>
      <c r="U14">
        <v>4923000000</v>
      </c>
      <c r="V14">
        <v>35372000000</v>
      </c>
      <c r="W14">
        <v>12336000000</v>
      </c>
      <c r="X14">
        <v>21897000000</v>
      </c>
      <c r="Y14">
        <v>5051000000</v>
      </c>
      <c r="Z14">
        <v>48096000000</v>
      </c>
      <c r="AA14">
        <v>97680000000</v>
      </c>
      <c r="AB14">
        <v>133052000000</v>
      </c>
      <c r="AC14">
        <v>1136000000</v>
      </c>
      <c r="AD14">
        <v>698000000</v>
      </c>
      <c r="AE14">
        <v>28758000000</v>
      </c>
      <c r="AF14">
        <v>35941000000</v>
      </c>
      <c r="AG14">
        <v>50543000000</v>
      </c>
      <c r="AH14">
        <v>79301000000</v>
      </c>
      <c r="AI14">
        <v>6813000000</v>
      </c>
      <c r="AJ14">
        <v>0</v>
      </c>
      <c r="AK14">
        <v>0</v>
      </c>
      <c r="AL14">
        <v>4770000000</v>
      </c>
      <c r="AM14">
        <v>-90624000000</v>
      </c>
      <c r="AN14">
        <v>48981000000</v>
      </c>
      <c r="AO14">
        <v>-2545000000</v>
      </c>
      <c r="AP14">
        <v>-524000000</v>
      </c>
      <c r="AQ14">
        <v>62000000</v>
      </c>
      <c r="AR14">
        <v>1248000000</v>
      </c>
      <c r="AS14">
        <v>756000000</v>
      </c>
      <c r="AT14">
        <v>972000000</v>
      </c>
      <c r="AU14">
        <v>-351000000</v>
      </c>
      <c r="AV14">
        <v>1109000000</v>
      </c>
      <c r="AW14">
        <v>323000000</v>
      </c>
      <c r="AX14">
        <v>-1647000000</v>
      </c>
      <c r="AY14">
        <v>-2163000000</v>
      </c>
      <c r="AZ14">
        <v>-382000000</v>
      </c>
      <c r="BA14">
        <v>-382000000</v>
      </c>
      <c r="BB14">
        <v>-205000000</v>
      </c>
      <c r="BC14">
        <v>-2472000000</v>
      </c>
      <c r="BD14">
        <v>-706000000</v>
      </c>
      <c r="BE14">
        <v>-934000000</v>
      </c>
      <c r="BF14">
        <v>0</v>
      </c>
      <c r="BG14">
        <v>0</v>
      </c>
      <c r="BH14">
        <v>0</v>
      </c>
      <c r="BI14">
        <v>1134000000</v>
      </c>
      <c r="BJ14">
        <v>88000000</v>
      </c>
      <c r="BK14">
        <v>-1647000000</v>
      </c>
      <c r="BL14">
        <v>28218000000</v>
      </c>
      <c r="BM14">
        <v>29865000000</v>
      </c>
      <c r="BN14">
        <v>-3949000000</v>
      </c>
      <c r="BO14">
        <v>-4457000000</v>
      </c>
      <c r="BP14">
        <v>-4331000000</v>
      </c>
      <c r="BQ14">
        <v>6614000000</v>
      </c>
      <c r="BR14">
        <v>4.9504509404289694</v>
      </c>
    </row>
    <row r="15" spans="1:70" x14ac:dyDescent="0.25">
      <c r="A15" s="1" t="s">
        <v>82</v>
      </c>
      <c r="B15" s="3">
        <v>11438000000</v>
      </c>
      <c r="C15">
        <v>5421000000</v>
      </c>
      <c r="D15">
        <v>2271000000</v>
      </c>
      <c r="E15">
        <v>3801000000</v>
      </c>
      <c r="F15">
        <v>6072000000</v>
      </c>
      <c r="G15">
        <v>2075000000</v>
      </c>
      <c r="H15">
        <v>24000000</v>
      </c>
      <c r="I15">
        <v>-5124000000</v>
      </c>
      <c r="J15">
        <v>455000000</v>
      </c>
      <c r="K15">
        <v>22000000</v>
      </c>
      <c r="L15">
        <v>235000000</v>
      </c>
      <c r="M15">
        <v>-3940000000</v>
      </c>
      <c r="N15">
        <v>7077933997</v>
      </c>
      <c r="O15">
        <v>7145535000</v>
      </c>
      <c r="P15">
        <v>23391000000</v>
      </c>
      <c r="Q15">
        <v>4164000000</v>
      </c>
      <c r="R15">
        <v>27555000000</v>
      </c>
      <c r="S15">
        <v>3525000000</v>
      </c>
      <c r="T15">
        <v>1355000000</v>
      </c>
      <c r="U15">
        <v>4816000000</v>
      </c>
      <c r="V15">
        <v>37251000000</v>
      </c>
      <c r="W15">
        <v>12609000000</v>
      </c>
      <c r="X15">
        <v>17967000000</v>
      </c>
      <c r="Y15">
        <v>4206000000</v>
      </c>
      <c r="Z15">
        <v>43100000000</v>
      </c>
      <c r="AA15">
        <v>87790000000</v>
      </c>
      <c r="AB15">
        <v>125041000000</v>
      </c>
      <c r="AC15">
        <v>960000000</v>
      </c>
      <c r="AD15">
        <v>709000000</v>
      </c>
      <c r="AE15">
        <v>26965000000</v>
      </c>
      <c r="AF15">
        <v>34846000000</v>
      </c>
      <c r="AG15">
        <v>49548000000</v>
      </c>
      <c r="AH15">
        <v>76513000000</v>
      </c>
      <c r="AI15">
        <v>6836000000</v>
      </c>
      <c r="AJ15">
        <v>0</v>
      </c>
      <c r="AK15">
        <v>0</v>
      </c>
      <c r="AL15">
        <v>4172000000</v>
      </c>
      <c r="AM15">
        <v>-89603000000</v>
      </c>
      <c r="AN15">
        <v>44356000000</v>
      </c>
      <c r="AO15">
        <v>-3382000000</v>
      </c>
      <c r="AP15">
        <v>-337000000</v>
      </c>
      <c r="AQ15">
        <v>-90000000</v>
      </c>
      <c r="AR15">
        <v>1147000000</v>
      </c>
      <c r="AS15">
        <v>659000000</v>
      </c>
      <c r="AT15">
        <v>831000000</v>
      </c>
      <c r="AU15">
        <v>127000000</v>
      </c>
      <c r="AV15">
        <v>968000000</v>
      </c>
      <c r="AW15">
        <v>248000000</v>
      </c>
      <c r="AX15">
        <v>-2922000000</v>
      </c>
      <c r="AY15">
        <v>-2893000000</v>
      </c>
      <c r="AZ15">
        <v>-489000000</v>
      </c>
      <c r="BA15">
        <v>-489000000</v>
      </c>
      <c r="BB15">
        <v>-153000000</v>
      </c>
      <c r="BC15">
        <v>-2747000000</v>
      </c>
      <c r="BD15">
        <v>-1263000000</v>
      </c>
      <c r="BE15">
        <v>-1823000000</v>
      </c>
      <c r="BF15">
        <v>0</v>
      </c>
      <c r="BG15">
        <v>0</v>
      </c>
      <c r="BH15">
        <v>0</v>
      </c>
      <c r="BI15">
        <v>1216000000</v>
      </c>
      <c r="BJ15">
        <v>18000000</v>
      </c>
      <c r="BK15">
        <v>-2922000000</v>
      </c>
      <c r="BL15">
        <v>29865000000</v>
      </c>
      <c r="BM15">
        <v>32787000000</v>
      </c>
      <c r="BN15">
        <v>-4465000000</v>
      </c>
      <c r="BO15">
        <v>-5359000000</v>
      </c>
      <c r="BP15">
        <v>-4954000000</v>
      </c>
      <c r="BQ15">
        <v>10286000000</v>
      </c>
      <c r="BR15">
        <v>5.5776960361559498</v>
      </c>
    </row>
    <row r="16" spans="1:70" x14ac:dyDescent="0.25">
      <c r="A16" s="1" t="s">
        <v>83</v>
      </c>
      <c r="B16" s="3">
        <v>12078000000</v>
      </c>
      <c r="C16">
        <v>5985000000</v>
      </c>
      <c r="D16">
        <v>2666000000</v>
      </c>
      <c r="E16">
        <v>3583000000</v>
      </c>
      <c r="F16">
        <v>6249000000</v>
      </c>
      <c r="G16">
        <v>2205000000</v>
      </c>
      <c r="H16">
        <v>59000000</v>
      </c>
      <c r="I16">
        <v>-4863000000</v>
      </c>
      <c r="J16">
        <v>458000000</v>
      </c>
      <c r="K16">
        <v>55000000</v>
      </c>
      <c r="L16">
        <v>-192000000</v>
      </c>
      <c r="M16">
        <v>-6768000000</v>
      </c>
      <c r="N16">
        <v>7002300997</v>
      </c>
      <c r="O16">
        <v>7011377000</v>
      </c>
      <c r="P16">
        <v>26720000000</v>
      </c>
      <c r="Q16">
        <v>4176000000</v>
      </c>
      <c r="R16">
        <v>30896000000</v>
      </c>
      <c r="S16">
        <v>3133000000</v>
      </c>
      <c r="T16">
        <v>1301000000</v>
      </c>
      <c r="U16">
        <v>4740000000</v>
      </c>
      <c r="V16">
        <v>40070000000</v>
      </c>
      <c r="W16">
        <v>13025000000</v>
      </c>
      <c r="X16">
        <v>14181000000</v>
      </c>
      <c r="Y16">
        <v>3311000000</v>
      </c>
      <c r="Z16">
        <v>40165000000</v>
      </c>
      <c r="AA16">
        <v>80406000000</v>
      </c>
      <c r="AB16">
        <v>120476000000</v>
      </c>
      <c r="AC16">
        <v>943000000</v>
      </c>
      <c r="AD16">
        <v>743000000</v>
      </c>
      <c r="AE16">
        <v>26308000000</v>
      </c>
      <c r="AF16">
        <v>32736000000</v>
      </c>
      <c r="AG16">
        <v>47393000000</v>
      </c>
      <c r="AH16">
        <v>73701000000</v>
      </c>
      <c r="AI16">
        <v>6858000000</v>
      </c>
      <c r="AJ16">
        <v>0</v>
      </c>
      <c r="AK16">
        <v>0</v>
      </c>
      <c r="AL16">
        <v>4675000000</v>
      </c>
      <c r="AM16">
        <v>-85663000000</v>
      </c>
      <c r="AN16">
        <v>42100000000</v>
      </c>
      <c r="AO16">
        <v>-3361000000</v>
      </c>
      <c r="AP16">
        <v>142000000</v>
      </c>
      <c r="AQ16">
        <v>-133000000</v>
      </c>
      <c r="AR16">
        <v>387000000</v>
      </c>
      <c r="AS16">
        <v>575000000</v>
      </c>
      <c r="AT16">
        <v>827000000</v>
      </c>
      <c r="AU16">
        <v>-266000000</v>
      </c>
      <c r="AV16">
        <v>732000000</v>
      </c>
      <c r="AW16">
        <v>336000000</v>
      </c>
      <c r="AX16">
        <v>-4676000000</v>
      </c>
      <c r="AY16">
        <v>-2745000000</v>
      </c>
      <c r="AZ16">
        <v>-616000000</v>
      </c>
      <c r="BA16">
        <v>-616000000</v>
      </c>
      <c r="BB16">
        <v>-1380000000</v>
      </c>
      <c r="BC16">
        <v>-2111000000</v>
      </c>
      <c r="BD16">
        <v>-2869000000</v>
      </c>
      <c r="BE16">
        <v>-1642000000</v>
      </c>
      <c r="BF16">
        <v>0</v>
      </c>
      <c r="BG16">
        <v>0</v>
      </c>
      <c r="BH16">
        <v>0</v>
      </c>
      <c r="BI16">
        <v>1379000000</v>
      </c>
      <c r="BJ16">
        <v>-92000000</v>
      </c>
      <c r="BK16">
        <v>-4676000000</v>
      </c>
      <c r="BL16">
        <v>32787000000</v>
      </c>
      <c r="BM16">
        <v>37463000000</v>
      </c>
      <c r="BN16">
        <v>-4288000000</v>
      </c>
      <c r="BO16">
        <v>-4671000000</v>
      </c>
      <c r="BP16">
        <v>-4904000000</v>
      </c>
      <c r="BQ16">
        <v>13762000000</v>
      </c>
      <c r="BR16">
        <v>6.1155906562924516</v>
      </c>
    </row>
    <row r="17" spans="1:70" x14ac:dyDescent="0.25">
      <c r="A17" s="1" t="s">
        <v>84</v>
      </c>
      <c r="B17" s="3">
        <v>12982000000</v>
      </c>
      <c r="C17">
        <v>6403000000</v>
      </c>
      <c r="D17">
        <v>2782000000</v>
      </c>
      <c r="E17">
        <v>3796000000</v>
      </c>
      <c r="F17">
        <v>6578000000</v>
      </c>
      <c r="G17">
        <v>2330000000</v>
      </c>
      <c r="H17">
        <v>55000000</v>
      </c>
      <c r="I17">
        <v>-4957000000</v>
      </c>
      <c r="J17">
        <v>441000000</v>
      </c>
      <c r="K17">
        <v>101000000</v>
      </c>
      <c r="L17">
        <v>-190000000</v>
      </c>
      <c r="M17">
        <v>-6896000000</v>
      </c>
      <c r="N17">
        <v>6928553000</v>
      </c>
      <c r="O17">
        <v>6928553000</v>
      </c>
      <c r="P17">
        <v>31946000000</v>
      </c>
      <c r="Q17">
        <v>3436000000</v>
      </c>
      <c r="R17">
        <v>35382000000</v>
      </c>
      <c r="S17">
        <v>3274000000</v>
      </c>
      <c r="T17">
        <v>633000000</v>
      </c>
      <c r="U17">
        <v>4824000000</v>
      </c>
      <c r="V17">
        <v>44113000000</v>
      </c>
      <c r="W17">
        <v>13262000000</v>
      </c>
      <c r="X17">
        <v>8239000000</v>
      </c>
      <c r="Y17">
        <v>1818000000</v>
      </c>
      <c r="Z17">
        <v>41925000000</v>
      </c>
      <c r="AA17">
        <v>74872000000</v>
      </c>
      <c r="AB17">
        <v>118985000000</v>
      </c>
      <c r="AC17">
        <v>980000000</v>
      </c>
      <c r="AD17">
        <v>764000000</v>
      </c>
      <c r="AE17">
        <v>25082000000</v>
      </c>
      <c r="AF17">
        <v>30862000000</v>
      </c>
      <c r="AG17">
        <v>45699000000</v>
      </c>
      <c r="AH17">
        <v>70781000000</v>
      </c>
      <c r="AI17">
        <v>6858000000</v>
      </c>
      <c r="AJ17">
        <v>0</v>
      </c>
      <c r="AK17">
        <v>0</v>
      </c>
      <c r="AL17">
        <v>4180000000</v>
      </c>
      <c r="AM17">
        <v>-78895000000</v>
      </c>
      <c r="AN17">
        <v>44024000000</v>
      </c>
      <c r="AO17">
        <v>-4414000000</v>
      </c>
      <c r="AP17">
        <v>315000000</v>
      </c>
      <c r="AQ17">
        <v>84000000</v>
      </c>
      <c r="AR17">
        <v>365000000</v>
      </c>
      <c r="AS17">
        <v>496000000</v>
      </c>
      <c r="AT17">
        <v>834000000</v>
      </c>
      <c r="AU17">
        <v>-305000000</v>
      </c>
      <c r="AV17">
        <v>-67000000</v>
      </c>
      <c r="AW17">
        <v>-831000000</v>
      </c>
      <c r="AX17">
        <v>-6875000000</v>
      </c>
      <c r="AY17">
        <v>-3739000000</v>
      </c>
      <c r="AZ17">
        <v>-675000000</v>
      </c>
      <c r="BA17">
        <v>-675000000</v>
      </c>
      <c r="BB17">
        <v>-1795000000</v>
      </c>
      <c r="BC17">
        <v>-2044000000</v>
      </c>
      <c r="BD17">
        <v>-3388000000</v>
      </c>
      <c r="BE17">
        <v>-1091000000</v>
      </c>
      <c r="BF17">
        <v>4000000</v>
      </c>
      <c r="BG17">
        <v>-74000000</v>
      </c>
      <c r="BH17">
        <v>-59000000</v>
      </c>
      <c r="BI17">
        <v>400000000</v>
      </c>
      <c r="BJ17">
        <v>-148000000</v>
      </c>
      <c r="BK17">
        <v>-6875000000</v>
      </c>
      <c r="BL17">
        <v>37463000000</v>
      </c>
      <c r="BM17">
        <v>44338000000</v>
      </c>
      <c r="BN17">
        <v>-4461000000</v>
      </c>
      <c r="BO17">
        <v>-4767000000</v>
      </c>
      <c r="BP17">
        <v>-5136000000</v>
      </c>
      <c r="BQ17">
        <v>19031000000</v>
      </c>
      <c r="BR17">
        <v>7.1455245251825943</v>
      </c>
    </row>
    <row r="18" spans="1:70" x14ac:dyDescent="0.25">
      <c r="A18" s="1" t="s">
        <v>85</v>
      </c>
      <c r="B18" s="3">
        <v>13666000000</v>
      </c>
      <c r="C18">
        <v>6841000000</v>
      </c>
      <c r="D18">
        <v>2662000000</v>
      </c>
      <c r="E18">
        <v>3985000000</v>
      </c>
      <c r="F18">
        <v>6647000000</v>
      </c>
      <c r="G18">
        <v>2592000000</v>
      </c>
      <c r="H18">
        <v>-5000000</v>
      </c>
      <c r="I18">
        <v>-4947000000</v>
      </c>
      <c r="J18">
        <v>419000000</v>
      </c>
      <c r="K18">
        <v>170000000</v>
      </c>
      <c r="L18">
        <v>-210000000</v>
      </c>
      <c r="M18">
        <v>-6969000000</v>
      </c>
      <c r="N18">
        <v>6873737000</v>
      </c>
      <c r="O18">
        <v>6873737000</v>
      </c>
      <c r="P18">
        <v>38442000000</v>
      </c>
      <c r="Q18">
        <v>2304000000</v>
      </c>
      <c r="R18">
        <v>40746000000</v>
      </c>
      <c r="S18">
        <v>3655000000</v>
      </c>
      <c r="T18">
        <v>448000000</v>
      </c>
      <c r="U18">
        <v>5005000000</v>
      </c>
      <c r="V18">
        <v>49854000000</v>
      </c>
      <c r="W18">
        <v>13127000000</v>
      </c>
      <c r="X18">
        <v>5418000000</v>
      </c>
      <c r="Y18">
        <v>1238000000</v>
      </c>
      <c r="Z18">
        <v>43557000000</v>
      </c>
      <c r="AA18">
        <v>72529000000</v>
      </c>
      <c r="AB18">
        <v>122383000000</v>
      </c>
      <c r="AC18">
        <v>866000000</v>
      </c>
      <c r="AD18">
        <v>786000000</v>
      </c>
      <c r="AE18">
        <v>23533000000</v>
      </c>
      <c r="AF18">
        <v>29838000000</v>
      </c>
      <c r="AG18">
        <v>44777000000</v>
      </c>
      <c r="AH18">
        <v>68310000000</v>
      </c>
      <c r="AI18">
        <v>6812000000</v>
      </c>
      <c r="AJ18">
        <v>0</v>
      </c>
      <c r="AK18">
        <v>0</v>
      </c>
      <c r="AL18">
        <v>3929000000</v>
      </c>
      <c r="AM18">
        <v>-71999000000</v>
      </c>
      <c r="AN18">
        <v>50144000000</v>
      </c>
      <c r="AO18">
        <v>-4884000000</v>
      </c>
      <c r="AP18">
        <v>546000000</v>
      </c>
      <c r="AQ18">
        <v>76000000</v>
      </c>
      <c r="AR18">
        <v>-533000000</v>
      </c>
      <c r="AS18">
        <v>460000000</v>
      </c>
      <c r="AT18">
        <v>1052000000</v>
      </c>
      <c r="AU18">
        <v>-339000000</v>
      </c>
      <c r="AV18">
        <v>-716000000</v>
      </c>
      <c r="AW18">
        <v>-805000000</v>
      </c>
      <c r="AX18">
        <v>-5589000000</v>
      </c>
      <c r="AY18">
        <v>-4211000000</v>
      </c>
      <c r="AZ18">
        <v>-673000000</v>
      </c>
      <c r="BA18">
        <v>-673000000</v>
      </c>
      <c r="BB18">
        <v>-1605000000</v>
      </c>
      <c r="BC18">
        <v>-1563000000</v>
      </c>
      <c r="BD18">
        <v>-3152000000</v>
      </c>
      <c r="BE18">
        <v>-1090000000</v>
      </c>
      <c r="BF18">
        <v>0</v>
      </c>
      <c r="BG18">
        <v>-74000000</v>
      </c>
      <c r="BH18">
        <v>-59000000</v>
      </c>
      <c r="BI18">
        <v>1965000000</v>
      </c>
      <c r="BJ18">
        <v>-191000000</v>
      </c>
      <c r="BK18">
        <v>-5589000000</v>
      </c>
      <c r="BL18">
        <v>44338000000</v>
      </c>
      <c r="BM18">
        <v>49927000000</v>
      </c>
      <c r="BN18">
        <v>-4487000000</v>
      </c>
      <c r="BO18">
        <v>-4737000000</v>
      </c>
      <c r="BP18">
        <v>-5160000000</v>
      </c>
      <c r="BQ18">
        <v>26321000000</v>
      </c>
      <c r="BR18">
        <v>8.6063425939671756</v>
      </c>
    </row>
    <row r="19" spans="1:70" x14ac:dyDescent="0.25">
      <c r="A19" s="1" t="s">
        <v>86</v>
      </c>
      <c r="B19" s="3">
        <v>14591000000</v>
      </c>
      <c r="C19">
        <v>7278000000</v>
      </c>
      <c r="D19">
        <v>3735000000</v>
      </c>
      <c r="E19">
        <v>4471000000</v>
      </c>
      <c r="F19">
        <v>8206000000</v>
      </c>
      <c r="G19">
        <v>5072000000</v>
      </c>
      <c r="H19">
        <v>16000000</v>
      </c>
      <c r="I19">
        <v>-8825000000</v>
      </c>
      <c r="J19">
        <v>460000000</v>
      </c>
      <c r="K19">
        <v>228000000</v>
      </c>
      <c r="L19">
        <v>-216000000</v>
      </c>
      <c r="M19">
        <v>-10430000000</v>
      </c>
      <c r="N19">
        <v>6244162033</v>
      </c>
      <c r="O19">
        <v>6245544000</v>
      </c>
      <c r="P19">
        <v>43432000000</v>
      </c>
      <c r="Q19">
        <v>1271000000</v>
      </c>
      <c r="R19">
        <v>44703000000</v>
      </c>
      <c r="S19">
        <v>4341000000</v>
      </c>
      <c r="T19">
        <v>462000000</v>
      </c>
      <c r="U19">
        <v>4986000000</v>
      </c>
      <c r="V19">
        <v>54492000000</v>
      </c>
      <c r="W19">
        <v>12624000000</v>
      </c>
      <c r="X19">
        <v>3067000000</v>
      </c>
      <c r="Y19">
        <v>783000000</v>
      </c>
      <c r="Z19">
        <v>45467000000</v>
      </c>
      <c r="AA19">
        <v>70631000000</v>
      </c>
      <c r="AB19">
        <v>125123000000</v>
      </c>
      <c r="AC19">
        <v>780000000</v>
      </c>
      <c r="AD19">
        <v>778000000</v>
      </c>
      <c r="AE19">
        <v>23212000000</v>
      </c>
      <c r="AF19">
        <v>27422000000</v>
      </c>
      <c r="AG19">
        <v>42451000000</v>
      </c>
      <c r="AH19">
        <v>65663000000</v>
      </c>
      <c r="AI19">
        <v>6553000000</v>
      </c>
      <c r="AJ19">
        <v>0</v>
      </c>
      <c r="AK19">
        <v>0</v>
      </c>
      <c r="AL19">
        <v>2944000000</v>
      </c>
      <c r="AM19">
        <v>-65030000000</v>
      </c>
      <c r="AN19">
        <v>56516000000</v>
      </c>
      <c r="AO19">
        <v>-4719000000</v>
      </c>
      <c r="AP19">
        <v>247000000</v>
      </c>
      <c r="AQ19">
        <v>49000000</v>
      </c>
      <c r="AR19">
        <v>-22000000</v>
      </c>
      <c r="AS19">
        <v>454000000</v>
      </c>
      <c r="AT19">
        <v>4862000000</v>
      </c>
      <c r="AU19">
        <v>-365000000</v>
      </c>
      <c r="AV19">
        <v>-436000000</v>
      </c>
      <c r="AW19">
        <v>-710000000</v>
      </c>
      <c r="AX19">
        <v>1847000000</v>
      </c>
      <c r="AY19">
        <v>-4062000000</v>
      </c>
      <c r="AZ19">
        <v>-657000000</v>
      </c>
      <c r="BA19">
        <v>-657000000</v>
      </c>
      <c r="BB19">
        <v>-1612000000</v>
      </c>
      <c r="BC19">
        <v>-1044000000</v>
      </c>
      <c r="BD19">
        <v>-2850000000</v>
      </c>
      <c r="BE19">
        <v>-177000000</v>
      </c>
      <c r="BF19">
        <v>0</v>
      </c>
      <c r="BG19">
        <v>-74000000</v>
      </c>
      <c r="BH19">
        <v>-59000000</v>
      </c>
      <c r="BI19">
        <v>8922000000</v>
      </c>
      <c r="BJ19">
        <v>-163000000</v>
      </c>
      <c r="BK19">
        <v>1847000000</v>
      </c>
      <c r="BL19">
        <v>49927000000</v>
      </c>
      <c r="BM19">
        <v>48080000000</v>
      </c>
      <c r="BN19">
        <v>-8371000000</v>
      </c>
      <c r="BO19">
        <v>-8609000000</v>
      </c>
      <c r="BP19">
        <v>-9028000000</v>
      </c>
      <c r="BQ19">
        <v>31280000000</v>
      </c>
      <c r="BR19">
        <v>9.5335385387290934</v>
      </c>
    </row>
    <row r="20" spans="1:70" x14ac:dyDescent="0.25">
      <c r="A20" s="1" t="s">
        <v>87</v>
      </c>
      <c r="B20" s="3">
        <v>14147000000</v>
      </c>
      <c r="C20">
        <v>6939000000</v>
      </c>
      <c r="D20">
        <v>3299000000</v>
      </c>
      <c r="E20">
        <v>4626000000</v>
      </c>
      <c r="F20">
        <v>7925000000</v>
      </c>
      <c r="G20">
        <v>4836000000</v>
      </c>
      <c r="H20">
        <v>24000000</v>
      </c>
      <c r="I20">
        <v>-8596000000</v>
      </c>
      <c r="J20">
        <v>559000000</v>
      </c>
      <c r="K20">
        <v>234000000</v>
      </c>
      <c r="L20">
        <v>45000000</v>
      </c>
      <c r="M20">
        <v>-8506000000</v>
      </c>
      <c r="N20">
        <v>6196754054</v>
      </c>
      <c r="O20">
        <v>6198136021</v>
      </c>
      <c r="P20">
        <v>41012000000</v>
      </c>
      <c r="Q20">
        <v>440000000</v>
      </c>
      <c r="R20">
        <v>41452000000</v>
      </c>
      <c r="S20">
        <v>4732000000</v>
      </c>
      <c r="T20">
        <v>405000000</v>
      </c>
      <c r="U20">
        <v>4719000000</v>
      </c>
      <c r="V20">
        <v>51308000000</v>
      </c>
      <c r="W20">
        <v>11832000000</v>
      </c>
      <c r="X20">
        <v>654000000</v>
      </c>
      <c r="Y20">
        <v>301000000</v>
      </c>
      <c r="Z20">
        <v>47197000000</v>
      </c>
      <c r="AA20">
        <v>68115000000</v>
      </c>
      <c r="AB20">
        <v>119423000000</v>
      </c>
      <c r="AC20">
        <v>716000000</v>
      </c>
      <c r="AD20">
        <v>751000000</v>
      </c>
      <c r="AE20">
        <v>21295000000</v>
      </c>
      <c r="AF20">
        <v>28364000000</v>
      </c>
      <c r="AG20">
        <v>59422000000</v>
      </c>
      <c r="AH20">
        <v>80717000000</v>
      </c>
      <c r="AI20">
        <v>6232000000</v>
      </c>
      <c r="AJ20">
        <v>14224000000</v>
      </c>
      <c r="AK20">
        <v>-14224000000</v>
      </c>
      <c r="AL20">
        <v>1964000000</v>
      </c>
      <c r="AM20">
        <v>-54600000000</v>
      </c>
      <c r="AN20">
        <v>36742000000</v>
      </c>
      <c r="AO20">
        <v>-4909000000</v>
      </c>
      <c r="AP20">
        <v>-407000000</v>
      </c>
      <c r="AQ20">
        <v>95000000</v>
      </c>
      <c r="AR20">
        <v>261000000</v>
      </c>
      <c r="AS20">
        <v>472000000</v>
      </c>
      <c r="AT20">
        <v>4596000000</v>
      </c>
      <c r="AU20">
        <v>-88000000</v>
      </c>
      <c r="AV20">
        <v>-500000000</v>
      </c>
      <c r="AW20">
        <v>-449000000</v>
      </c>
      <c r="AX20">
        <v>3858000000</v>
      </c>
      <c r="AY20">
        <v>-4321000000</v>
      </c>
      <c r="AZ20">
        <v>-588000000</v>
      </c>
      <c r="BA20">
        <v>-588000000</v>
      </c>
      <c r="BB20">
        <v>-64000000</v>
      </c>
      <c r="BC20">
        <v>-541000000</v>
      </c>
      <c r="BD20">
        <v>-790000000</v>
      </c>
      <c r="BE20">
        <v>-165000000</v>
      </c>
      <c r="BF20">
        <v>0</v>
      </c>
      <c r="BG20">
        <v>-74000000</v>
      </c>
      <c r="BH20">
        <v>-59000000</v>
      </c>
      <c r="BI20">
        <v>8939000000</v>
      </c>
      <c r="BJ20">
        <v>-4000000</v>
      </c>
      <c r="BK20">
        <v>3858000000</v>
      </c>
      <c r="BL20">
        <v>48080000000</v>
      </c>
      <c r="BM20">
        <v>44222000000</v>
      </c>
      <c r="BN20">
        <v>-8124000000</v>
      </c>
      <c r="BO20">
        <v>-8641000000</v>
      </c>
      <c r="BP20">
        <v>-8712000000</v>
      </c>
      <c r="BQ20">
        <v>30013000000</v>
      </c>
      <c r="BR20">
        <v>9.5396947455428869</v>
      </c>
    </row>
    <row r="21" spans="1:70" x14ac:dyDescent="0.25">
      <c r="A21" s="1" t="s">
        <v>88</v>
      </c>
      <c r="B21" s="3">
        <v>13052000000</v>
      </c>
      <c r="C21">
        <v>6156000000</v>
      </c>
      <c r="D21">
        <v>3207000000</v>
      </c>
      <c r="E21">
        <v>4349000000</v>
      </c>
      <c r="F21">
        <v>7556000000</v>
      </c>
      <c r="G21">
        <v>4594000000</v>
      </c>
      <c r="H21">
        <v>27000000</v>
      </c>
      <c r="I21">
        <v>-8678000000</v>
      </c>
      <c r="J21">
        <v>653000000</v>
      </c>
      <c r="K21">
        <v>219000000</v>
      </c>
      <c r="L21">
        <v>-302000000</v>
      </c>
      <c r="M21">
        <v>-8297000000</v>
      </c>
      <c r="N21">
        <v>6163453075</v>
      </c>
      <c r="O21">
        <v>6164835042</v>
      </c>
      <c r="P21">
        <v>36545000000</v>
      </c>
      <c r="Q21">
        <v>0</v>
      </c>
      <c r="R21">
        <v>36545000000</v>
      </c>
      <c r="S21">
        <v>4853000000</v>
      </c>
      <c r="T21">
        <v>1044000000</v>
      </c>
      <c r="U21">
        <v>3599000000</v>
      </c>
      <c r="V21">
        <v>46041000000</v>
      </c>
      <c r="W21">
        <v>10148000000</v>
      </c>
      <c r="X21">
        <v>640000000</v>
      </c>
      <c r="Y21">
        <v>312000000</v>
      </c>
      <c r="Z21">
        <v>46973000000</v>
      </c>
      <c r="AA21">
        <v>65609000000</v>
      </c>
      <c r="AB21">
        <v>111650000000</v>
      </c>
      <c r="AC21">
        <v>594000000</v>
      </c>
      <c r="AD21">
        <v>555000000</v>
      </c>
      <c r="AE21">
        <v>20969000000</v>
      </c>
      <c r="AF21">
        <v>25669000000</v>
      </c>
      <c r="AG21">
        <v>56825000000</v>
      </c>
      <c r="AH21">
        <v>77794000000</v>
      </c>
      <c r="AI21">
        <v>4513000000</v>
      </c>
      <c r="AJ21">
        <v>14224000000</v>
      </c>
      <c r="AK21">
        <v>-14224000000</v>
      </c>
      <c r="AL21">
        <v>971000000</v>
      </c>
      <c r="AM21">
        <v>-48572000000</v>
      </c>
      <c r="AN21">
        <v>32885000000</v>
      </c>
      <c r="AO21">
        <v>-3805000000</v>
      </c>
      <c r="AP21">
        <v>-262000000</v>
      </c>
      <c r="AQ21">
        <v>4000000</v>
      </c>
      <c r="AR21">
        <v>267000000</v>
      </c>
      <c r="AS21">
        <v>480000000</v>
      </c>
      <c r="AT21">
        <v>4378000000</v>
      </c>
      <c r="AU21">
        <v>-440000000</v>
      </c>
      <c r="AV21">
        <v>814000000</v>
      </c>
      <c r="AW21">
        <v>805000000</v>
      </c>
      <c r="AX21">
        <v>8128000000</v>
      </c>
      <c r="AY21">
        <v>-3203000000</v>
      </c>
      <c r="AZ21">
        <v>-602000000</v>
      </c>
      <c r="BA21">
        <v>-602000000</v>
      </c>
      <c r="BB21">
        <v>286000000</v>
      </c>
      <c r="BC21">
        <v>0</v>
      </c>
      <c r="BD21">
        <v>-235000000</v>
      </c>
      <c r="BE21">
        <v>-177000000</v>
      </c>
      <c r="BF21">
        <v>-4000000</v>
      </c>
      <c r="BG21">
        <v>0</v>
      </c>
      <c r="BH21">
        <v>0</v>
      </c>
      <c r="BI21">
        <v>11499000000</v>
      </c>
      <c r="BJ21">
        <v>-9000000</v>
      </c>
      <c r="BK21">
        <v>8128000000</v>
      </c>
      <c r="BL21">
        <v>44222000000</v>
      </c>
      <c r="BM21">
        <v>36094000000</v>
      </c>
      <c r="BN21">
        <v>-8198000000</v>
      </c>
      <c r="BO21">
        <v>-8376000000</v>
      </c>
      <c r="BP21">
        <v>-8800000000</v>
      </c>
      <c r="BQ21">
        <v>25072000000</v>
      </c>
      <c r="BR21">
        <v>8.6998730792795911</v>
      </c>
    </row>
    <row r="22" spans="1:70" x14ac:dyDescent="0.25">
      <c r="A22" s="1" t="s">
        <v>89</v>
      </c>
      <c r="B22" s="3">
        <v>12183000000</v>
      </c>
      <c r="C22">
        <v>5637000000</v>
      </c>
      <c r="D22">
        <v>3076000000</v>
      </c>
      <c r="E22">
        <v>4021000000</v>
      </c>
      <c r="F22">
        <v>7097000000</v>
      </c>
      <c r="G22">
        <v>4273000000</v>
      </c>
      <c r="H22">
        <v>68000000</v>
      </c>
      <c r="I22">
        <v>-8335000000</v>
      </c>
      <c r="J22">
        <v>724000000</v>
      </c>
      <c r="K22">
        <v>170000000</v>
      </c>
      <c r="L22">
        <v>-304000000</v>
      </c>
      <c r="M22">
        <v>-8121000000</v>
      </c>
      <c r="N22">
        <v>6163453075</v>
      </c>
      <c r="O22">
        <v>6164835042</v>
      </c>
      <c r="P22">
        <v>23895000000</v>
      </c>
      <c r="Q22">
        <v>0</v>
      </c>
      <c r="R22">
        <v>23895000000</v>
      </c>
      <c r="S22">
        <v>3699000000</v>
      </c>
      <c r="T22">
        <v>1011000000</v>
      </c>
      <c r="U22">
        <v>2283000000</v>
      </c>
      <c r="V22">
        <v>30888000000</v>
      </c>
      <c r="W22">
        <v>7073000000</v>
      </c>
      <c r="X22">
        <v>473000000</v>
      </c>
      <c r="Y22">
        <v>238000000</v>
      </c>
      <c r="Z22">
        <v>35168000000</v>
      </c>
      <c r="AA22">
        <v>48470000000</v>
      </c>
      <c r="AB22">
        <v>79358000000</v>
      </c>
      <c r="AC22">
        <v>468000000</v>
      </c>
      <c r="AD22">
        <v>358000000</v>
      </c>
      <c r="AE22">
        <v>15597000000</v>
      </c>
      <c r="AF22">
        <v>18499000000</v>
      </c>
      <c r="AG22">
        <v>45956000000</v>
      </c>
      <c r="AH22">
        <v>61553000000</v>
      </c>
      <c r="AI22">
        <v>2857000000</v>
      </c>
      <c r="AJ22">
        <v>14224000000</v>
      </c>
      <c r="AK22">
        <v>-14224000000</v>
      </c>
      <c r="AL22">
        <v>-18000000</v>
      </c>
      <c r="AM22">
        <v>-33306000000</v>
      </c>
      <c r="AN22">
        <v>17823000000</v>
      </c>
      <c r="AO22">
        <v>-3361000000</v>
      </c>
      <c r="AP22">
        <v>-694000000</v>
      </c>
      <c r="AQ22">
        <v>22000000</v>
      </c>
      <c r="AR22">
        <v>916000000</v>
      </c>
      <c r="AS22">
        <v>509000000</v>
      </c>
      <c r="AT22">
        <v>4041000000</v>
      </c>
      <c r="AU22">
        <v>-466000000</v>
      </c>
      <c r="AV22">
        <v>1197000000</v>
      </c>
      <c r="AW22">
        <v>953000000</v>
      </c>
      <c r="AX22">
        <v>6410000000</v>
      </c>
      <c r="AY22">
        <v>-2735000000</v>
      </c>
      <c r="AZ22">
        <v>-626000000</v>
      </c>
      <c r="BA22">
        <v>-626000000</v>
      </c>
      <c r="BB22">
        <v>297000000</v>
      </c>
      <c r="BC22">
        <v>0</v>
      </c>
      <c r="BD22">
        <v>-179000000</v>
      </c>
      <c r="BE22">
        <v>-447000000</v>
      </c>
      <c r="BF22">
        <v>0</v>
      </c>
      <c r="BG22">
        <v>-1000000</v>
      </c>
      <c r="BH22">
        <v>0</v>
      </c>
      <c r="BI22">
        <v>9193000000</v>
      </c>
      <c r="BJ22">
        <v>-5000000</v>
      </c>
      <c r="BK22">
        <v>6410000000</v>
      </c>
      <c r="BL22">
        <v>36094000000</v>
      </c>
      <c r="BM22">
        <v>29684000000</v>
      </c>
      <c r="BN22">
        <v>-7826000000</v>
      </c>
      <c r="BO22">
        <v>-8031000000</v>
      </c>
      <c r="BP22">
        <v>-8452000000</v>
      </c>
      <c r="BQ22">
        <v>15291000000</v>
      </c>
      <c r="BR22">
        <v>5.8791359236578487</v>
      </c>
    </row>
    <row r="23" spans="1:70" x14ac:dyDescent="0.25">
      <c r="A23" s="1" t="s">
        <v>90</v>
      </c>
      <c r="B23" s="3">
        <v>11785000000</v>
      </c>
      <c r="C23">
        <v>5637000000</v>
      </c>
      <c r="D23">
        <v>2076000000</v>
      </c>
      <c r="E23">
        <v>3514000000</v>
      </c>
      <c r="F23">
        <v>5590000000</v>
      </c>
      <c r="G23">
        <v>1574000000</v>
      </c>
      <c r="H23">
        <v>123000000</v>
      </c>
      <c r="I23">
        <v>-3589000000</v>
      </c>
      <c r="J23">
        <v>733000000</v>
      </c>
      <c r="K23">
        <v>130000000</v>
      </c>
      <c r="L23">
        <v>-274000000</v>
      </c>
      <c r="M23">
        <v>-3763000000</v>
      </c>
      <c r="N23">
        <v>6754344042</v>
      </c>
      <c r="O23">
        <v>6754344042</v>
      </c>
      <c r="P23">
        <v>12151000000</v>
      </c>
      <c r="Q23">
        <v>0</v>
      </c>
      <c r="R23">
        <v>12151000000</v>
      </c>
      <c r="S23">
        <v>2409000000</v>
      </c>
      <c r="T23">
        <v>874000000</v>
      </c>
      <c r="U23">
        <v>1154000000</v>
      </c>
      <c r="V23">
        <v>16588000000</v>
      </c>
      <c r="W23">
        <v>4289000000</v>
      </c>
      <c r="X23">
        <v>306000000</v>
      </c>
      <c r="Y23">
        <v>160000000</v>
      </c>
      <c r="Z23">
        <v>23383000000</v>
      </c>
      <c r="AA23">
        <v>31790000000</v>
      </c>
      <c r="AB23">
        <v>48378000000</v>
      </c>
      <c r="AC23">
        <v>301000000</v>
      </c>
      <c r="AD23">
        <v>178000000</v>
      </c>
      <c r="AE23">
        <v>10027000000</v>
      </c>
      <c r="AF23">
        <v>12699000000</v>
      </c>
      <c r="AG23">
        <v>36454000000</v>
      </c>
      <c r="AH23">
        <v>46481000000</v>
      </c>
      <c r="AI23">
        <v>1403000000</v>
      </c>
      <c r="AJ23">
        <v>14224000000</v>
      </c>
      <c r="AK23">
        <v>-14224000000</v>
      </c>
      <c r="AL23">
        <v>-4000000</v>
      </c>
      <c r="AM23">
        <v>-19202000000</v>
      </c>
      <c r="AN23">
        <v>1901000000</v>
      </c>
      <c r="AO23">
        <v>-2563000000</v>
      </c>
      <c r="AP23">
        <v>-485000000</v>
      </c>
      <c r="AQ23">
        <v>27000000</v>
      </c>
      <c r="AR23">
        <v>366000000</v>
      </c>
      <c r="AS23">
        <v>484000000</v>
      </c>
      <c r="AT23">
        <v>120000000</v>
      </c>
      <c r="AU23">
        <v>-447000000</v>
      </c>
      <c r="AV23">
        <v>1021000000</v>
      </c>
      <c r="AW23">
        <v>1113000000</v>
      </c>
      <c r="AX23">
        <v>1420000000</v>
      </c>
      <c r="AY23">
        <v>-1966000000</v>
      </c>
      <c r="AZ23">
        <v>-597000000</v>
      </c>
      <c r="BA23">
        <v>-597000000</v>
      </c>
      <c r="BB23">
        <v>240000000</v>
      </c>
      <c r="BC23">
        <v>0</v>
      </c>
      <c r="BD23">
        <v>-116000000</v>
      </c>
      <c r="BE23">
        <v>-548000000</v>
      </c>
      <c r="BF23">
        <v>0</v>
      </c>
      <c r="BG23">
        <v>-3000000</v>
      </c>
      <c r="BH23">
        <v>0</v>
      </c>
      <c r="BI23">
        <v>3480000000</v>
      </c>
      <c r="BJ23">
        <v>-118000000</v>
      </c>
      <c r="BK23">
        <v>1420000000</v>
      </c>
      <c r="BL23">
        <v>29684000000</v>
      </c>
      <c r="BM23">
        <v>28264000000</v>
      </c>
      <c r="BN23">
        <v>-3105000000</v>
      </c>
      <c r="BO23">
        <v>-3315000000</v>
      </c>
      <c r="BP23">
        <v>-3702000000</v>
      </c>
      <c r="BQ23">
        <v>6561000000</v>
      </c>
      <c r="BR23">
        <v>3.311810968541153</v>
      </c>
    </row>
    <row r="24" spans="1:70" x14ac:dyDescent="0.25">
      <c r="A24" s="1" t="s">
        <v>91</v>
      </c>
      <c r="B24" s="3">
        <v>11270000000</v>
      </c>
      <c r="C24">
        <v>5647000000</v>
      </c>
      <c r="D24">
        <v>2082000000</v>
      </c>
      <c r="E24">
        <v>3151000000</v>
      </c>
      <c r="F24">
        <v>5233000000</v>
      </c>
      <c r="G24">
        <v>1505000000</v>
      </c>
      <c r="H24">
        <v>225000000</v>
      </c>
      <c r="I24">
        <v>-3033000000</v>
      </c>
      <c r="J24">
        <v>648000000</v>
      </c>
      <c r="K24">
        <v>104000000</v>
      </c>
      <c r="L24">
        <v>283000000</v>
      </c>
      <c r="M24">
        <v>997000000</v>
      </c>
      <c r="N24">
        <v>6777598021</v>
      </c>
      <c r="O24">
        <v>6777598021</v>
      </c>
      <c r="P24">
        <v>6406000000</v>
      </c>
      <c r="Q24">
        <v>0</v>
      </c>
      <c r="R24">
        <v>6406000000</v>
      </c>
      <c r="S24">
        <v>1335000000</v>
      </c>
      <c r="T24">
        <v>738000000</v>
      </c>
      <c r="U24">
        <v>179000000</v>
      </c>
      <c r="V24">
        <v>8658000000</v>
      </c>
      <c r="W24">
        <v>1641000000</v>
      </c>
      <c r="X24">
        <v>153000000</v>
      </c>
      <c r="Y24">
        <v>82000000</v>
      </c>
      <c r="Z24">
        <v>11667000000</v>
      </c>
      <c r="AA24">
        <v>15330000000</v>
      </c>
      <c r="AB24">
        <v>23988000000</v>
      </c>
      <c r="AC24">
        <v>150000000</v>
      </c>
      <c r="AD24">
        <v>0</v>
      </c>
      <c r="AE24">
        <v>5313000000</v>
      </c>
      <c r="AF24">
        <v>4535000000</v>
      </c>
      <c r="AG24">
        <v>8342000000</v>
      </c>
      <c r="AH24">
        <v>13655000000</v>
      </c>
      <c r="AI24">
        <v>0</v>
      </c>
      <c r="AJ24">
        <v>0</v>
      </c>
      <c r="AK24">
        <v>0</v>
      </c>
      <c r="AL24">
        <v>0</v>
      </c>
      <c r="AM24">
        <v>-10334000000</v>
      </c>
      <c r="AN24">
        <v>10333000000</v>
      </c>
      <c r="AO24">
        <v>-2099000000</v>
      </c>
      <c r="AP24">
        <v>-279000000</v>
      </c>
      <c r="AQ24">
        <v>-39000000</v>
      </c>
      <c r="AR24">
        <v>265000000</v>
      </c>
      <c r="AS24">
        <v>426000000</v>
      </c>
      <c r="AT24">
        <v>170000000</v>
      </c>
      <c r="AU24">
        <v>35000000</v>
      </c>
      <c r="AV24">
        <v>890000000</v>
      </c>
      <c r="AW24">
        <v>943000000</v>
      </c>
      <c r="AX24">
        <v>2381000000</v>
      </c>
      <c r="AY24">
        <v>-1541000000</v>
      </c>
      <c r="AZ24">
        <v>-558000000</v>
      </c>
      <c r="BA24">
        <v>-558000000</v>
      </c>
      <c r="BB24">
        <v>-476000000</v>
      </c>
      <c r="BC24">
        <v>0</v>
      </c>
      <c r="BD24">
        <v>-695000000</v>
      </c>
      <c r="BE24">
        <v>-599000000</v>
      </c>
      <c r="BF24">
        <v>0</v>
      </c>
      <c r="BG24">
        <v>-10000000</v>
      </c>
      <c r="BH24">
        <v>0</v>
      </c>
      <c r="BI24">
        <v>4640000000</v>
      </c>
      <c r="BJ24">
        <v>-119000000</v>
      </c>
      <c r="BK24">
        <v>2381000000</v>
      </c>
      <c r="BL24">
        <v>28264000000</v>
      </c>
      <c r="BM24">
        <v>25883000000</v>
      </c>
      <c r="BN24">
        <v>-2607000000</v>
      </c>
      <c r="BO24">
        <v>-3316000000</v>
      </c>
      <c r="BP24">
        <v>-3165000000</v>
      </c>
      <c r="BQ24">
        <v>3345000000</v>
      </c>
      <c r="BR24">
        <v>1.6295878035008471</v>
      </c>
    </row>
    <row r="25" spans="1:70" x14ac:dyDescent="0.25">
      <c r="A25" s="1" t="s">
        <v>92</v>
      </c>
      <c r="B25" s="3">
        <v>8296000000</v>
      </c>
      <c r="C25">
        <v>4288000000</v>
      </c>
      <c r="D25">
        <v>1527000000</v>
      </c>
      <c r="E25">
        <v>2177000000</v>
      </c>
      <c r="F25">
        <v>3704000000</v>
      </c>
      <c r="G25">
        <v>1139000000</v>
      </c>
      <c r="H25">
        <v>218000000</v>
      </c>
      <c r="I25">
        <v>-1980000000</v>
      </c>
      <c r="J25">
        <v>453000000</v>
      </c>
      <c r="K25">
        <v>69000000</v>
      </c>
      <c r="L25">
        <v>605000000</v>
      </c>
      <c r="M25">
        <v>1884000000</v>
      </c>
      <c r="N25">
        <v>5100639000</v>
      </c>
      <c r="O25">
        <v>5100639000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-1222000000</v>
      </c>
      <c r="AP25">
        <v>-359000000</v>
      </c>
      <c r="AQ25">
        <v>-66000000</v>
      </c>
      <c r="AR25">
        <v>300000000</v>
      </c>
      <c r="AS25">
        <v>317000000</v>
      </c>
      <c r="AT25">
        <v>145000000</v>
      </c>
      <c r="AU25">
        <v>420000000</v>
      </c>
      <c r="AV25">
        <v>638000000</v>
      </c>
      <c r="AW25">
        <v>763000000</v>
      </c>
      <c r="AX25">
        <v>685000000</v>
      </c>
      <c r="AY25">
        <v>-860000000</v>
      </c>
      <c r="AZ25">
        <v>-362000000</v>
      </c>
      <c r="BA25">
        <v>-362000000</v>
      </c>
      <c r="BB25">
        <v>-476000000</v>
      </c>
      <c r="BC25">
        <v>0</v>
      </c>
      <c r="BD25">
        <v>-539000000</v>
      </c>
      <c r="BE25">
        <v>-562000000</v>
      </c>
      <c r="BF25">
        <v>0</v>
      </c>
      <c r="BG25">
        <v>-10000000</v>
      </c>
      <c r="BH25">
        <v>0</v>
      </c>
      <c r="BI25">
        <v>2163000000</v>
      </c>
      <c r="BJ25">
        <v>-133000000</v>
      </c>
      <c r="BK25">
        <v>685000000</v>
      </c>
      <c r="BL25">
        <v>20055000000</v>
      </c>
      <c r="BM25">
        <v>19370000000</v>
      </c>
      <c r="BN25">
        <v>-1663000000</v>
      </c>
      <c r="BO25">
        <v>-2585000000</v>
      </c>
      <c r="BP25">
        <v>-2025000000</v>
      </c>
      <c r="BQ25">
        <v>0</v>
      </c>
      <c r="BR25">
        <v>0</v>
      </c>
    </row>
    <row r="26" spans="1:70" x14ac:dyDescent="0.25">
      <c r="A26" s="1" t="s">
        <v>93</v>
      </c>
    </row>
    <row r="27" spans="1:70" x14ac:dyDescent="0.25">
      <c r="A27" s="1" t="s">
        <v>94</v>
      </c>
    </row>
    <row r="28" spans="1:70" x14ac:dyDescent="0.25">
      <c r="A28" s="1" t="s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28"/>
  <sheetViews>
    <sheetView topLeftCell="AA1" workbookViewId="0">
      <selection activeCell="AO3" sqref="AO3"/>
    </sheetView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>
        <v>1</v>
      </c>
      <c r="C2">
        <v>0.371</v>
      </c>
      <c r="D2">
        <v>7.8E-2</v>
      </c>
      <c r="E2">
        <v>9.8000000000000004E-2</v>
      </c>
      <c r="F2">
        <v>0.17199999999999999</v>
      </c>
      <c r="G2">
        <v>7.8E-2</v>
      </c>
      <c r="H2">
        <v>0</v>
      </c>
      <c r="I2">
        <v>5.3999999999999999E-2</v>
      </c>
      <c r="J2">
        <v>1.4999999999999999E-2</v>
      </c>
      <c r="K2">
        <v>1.6E-2</v>
      </c>
      <c r="L2">
        <v>4.0000000000000001E-3</v>
      </c>
      <c r="M2">
        <v>0.05</v>
      </c>
      <c r="N2">
        <v>0.20699999999999999</v>
      </c>
      <c r="O2">
        <v>0.21099999999999999</v>
      </c>
      <c r="P2">
        <v>0.52500000000000002</v>
      </c>
      <c r="Q2">
        <v>0.1</v>
      </c>
      <c r="R2">
        <v>0.625</v>
      </c>
      <c r="S2">
        <v>0.379</v>
      </c>
      <c r="T2">
        <v>2.1000000000000001E-2</v>
      </c>
      <c r="U2">
        <v>0.13700000000000001</v>
      </c>
      <c r="V2">
        <v>1.1619999999999999</v>
      </c>
      <c r="W2">
        <v>0.32800000000000001</v>
      </c>
      <c r="X2">
        <v>0.81</v>
      </c>
      <c r="Y2">
        <v>0.13800000000000001</v>
      </c>
      <c r="Z2">
        <v>1.137</v>
      </c>
      <c r="AA2">
        <v>2.7269999999999999</v>
      </c>
      <c r="AB2">
        <v>3.8879999999999999</v>
      </c>
      <c r="AC2">
        <v>7.9000000000000001E-2</v>
      </c>
      <c r="AD2">
        <v>0.03</v>
      </c>
      <c r="AE2">
        <v>0.97799999999999998</v>
      </c>
      <c r="AF2">
        <v>0.97799999999999998</v>
      </c>
      <c r="AG2">
        <v>1.675</v>
      </c>
      <c r="AH2">
        <v>2.653</v>
      </c>
      <c r="AI2">
        <v>0.16500000000000001</v>
      </c>
      <c r="AJ2">
        <v>0</v>
      </c>
      <c r="AK2">
        <v>0</v>
      </c>
      <c r="AL2">
        <v>0.13600000000000001</v>
      </c>
      <c r="AM2">
        <v>-3.105</v>
      </c>
      <c r="AN2">
        <v>1.2350000000000001</v>
      </c>
      <c r="AO2">
        <v>0.12</v>
      </c>
      <c r="AP2">
        <v>-3.6999999999999998E-2</v>
      </c>
      <c r="AQ2">
        <v>2E-3</v>
      </c>
      <c r="AR2">
        <v>5.0000000000000001E-3</v>
      </c>
      <c r="AS2">
        <v>1.9E-2</v>
      </c>
      <c r="AT2">
        <v>4.7E-2</v>
      </c>
      <c r="AU2">
        <v>0</v>
      </c>
      <c r="AV2">
        <v>1.7999999999999999E-2</v>
      </c>
      <c r="AW2">
        <v>5.8000000000000003E-2</v>
      </c>
      <c r="AX2">
        <v>-0.04</v>
      </c>
      <c r="AY2">
        <v>0.127</v>
      </c>
      <c r="AZ2">
        <v>-7.0000000000000001E-3</v>
      </c>
      <c r="BA2">
        <v>-7.0000000000000001E-3</v>
      </c>
      <c r="BB2">
        <v>-1.7000000000000001E-2</v>
      </c>
      <c r="BC2">
        <v>-0.30299999999999999</v>
      </c>
      <c r="BD2">
        <v>-0.129</v>
      </c>
      <c r="BE2">
        <v>-8.0000000000000002E-3</v>
      </c>
      <c r="BF2">
        <v>4.0000000000000001E-3</v>
      </c>
      <c r="BG2">
        <v>-5.0000000000000001E-3</v>
      </c>
      <c r="BH2">
        <v>0</v>
      </c>
      <c r="BI2">
        <v>-8.9999999999999993E-3</v>
      </c>
      <c r="BJ2">
        <v>-3.0000000000000001E-3</v>
      </c>
      <c r="BK2">
        <v>-0.04</v>
      </c>
      <c r="BL2">
        <v>0.58499999999999996</v>
      </c>
      <c r="BM2">
        <v>0.625</v>
      </c>
      <c r="BN2">
        <v>7.2999999999999995E-2</v>
      </c>
      <c r="BO2">
        <v>4.9000000000000002E-2</v>
      </c>
      <c r="BP2">
        <v>6.7000000000000004E-2</v>
      </c>
      <c r="BQ2">
        <v>0.184</v>
      </c>
      <c r="BR2">
        <v>0</v>
      </c>
    </row>
    <row r="3" spans="1:70" x14ac:dyDescent="0.25">
      <c r="A3" s="1" t="s">
        <v>70</v>
      </c>
      <c r="B3">
        <v>1</v>
      </c>
      <c r="C3">
        <v>0.39400000000000002</v>
      </c>
      <c r="D3">
        <v>7.5999999999999998E-2</v>
      </c>
      <c r="E3">
        <v>0.104</v>
      </c>
      <c r="F3">
        <v>0.18</v>
      </c>
      <c r="G3">
        <v>8.2000000000000003E-2</v>
      </c>
      <c r="H3">
        <v>-3.0000000000000001E-3</v>
      </c>
      <c r="I3">
        <v>0.04</v>
      </c>
      <c r="J3">
        <v>1.4999999999999999E-2</v>
      </c>
      <c r="K3">
        <v>1.4E-2</v>
      </c>
      <c r="L3">
        <v>5.0000000000000001E-3</v>
      </c>
      <c r="M3">
        <v>3.5999999999999997E-2</v>
      </c>
      <c r="N3">
        <v>0.21299999999999999</v>
      </c>
      <c r="O3">
        <v>0.217</v>
      </c>
      <c r="P3">
        <v>0.53800000000000003</v>
      </c>
      <c r="Q3">
        <v>7.0999999999999994E-2</v>
      </c>
      <c r="R3">
        <v>0.60899999999999999</v>
      </c>
      <c r="S3">
        <v>0.34699999999999998</v>
      </c>
      <c r="T3">
        <v>4.4999999999999998E-2</v>
      </c>
      <c r="U3">
        <v>0.158</v>
      </c>
      <c r="V3">
        <v>1.159</v>
      </c>
      <c r="W3">
        <v>0.34599999999999997</v>
      </c>
      <c r="X3">
        <v>0.84299999999999997</v>
      </c>
      <c r="Y3">
        <v>0.152</v>
      </c>
      <c r="Z3">
        <v>0.93899999999999995</v>
      </c>
      <c r="AA3">
        <v>2.6850000000000001</v>
      </c>
      <c r="AB3">
        <v>3.843</v>
      </c>
      <c r="AC3">
        <v>8.1000000000000003E-2</v>
      </c>
      <c r="AD3">
        <v>2.7E-2</v>
      </c>
      <c r="AE3">
        <v>0.97099999999999997</v>
      </c>
      <c r="AF3">
        <v>1.052</v>
      </c>
      <c r="AG3">
        <v>1.6919999999999999</v>
      </c>
      <c r="AH3">
        <v>2.6640000000000001</v>
      </c>
      <c r="AI3">
        <v>0.17899999999999999</v>
      </c>
      <c r="AJ3">
        <v>0</v>
      </c>
      <c r="AK3">
        <v>0</v>
      </c>
      <c r="AL3">
        <v>0.13500000000000001</v>
      </c>
      <c r="AM3">
        <v>-3.2829999999999999</v>
      </c>
      <c r="AN3">
        <v>1.18</v>
      </c>
      <c r="AO3">
        <v>0.11</v>
      </c>
      <c r="AP3">
        <v>-3.5000000000000003E-2</v>
      </c>
      <c r="AQ3">
        <v>3.0000000000000001E-3</v>
      </c>
      <c r="AR3">
        <v>0</v>
      </c>
      <c r="AS3">
        <v>2.1000000000000001E-2</v>
      </c>
      <c r="AT3">
        <v>5.0999999999999997E-2</v>
      </c>
      <c r="AU3">
        <v>0</v>
      </c>
      <c r="AV3">
        <v>1.4E-2</v>
      </c>
      <c r="AW3">
        <v>5.7000000000000002E-2</v>
      </c>
      <c r="AX3">
        <v>1.6E-2</v>
      </c>
      <c r="AY3">
        <v>0.115</v>
      </c>
      <c r="AZ3">
        <v>-6.0000000000000001E-3</v>
      </c>
      <c r="BA3">
        <v>-6.0000000000000001E-3</v>
      </c>
      <c r="BB3">
        <v>0</v>
      </c>
      <c r="BC3">
        <v>-0.26300000000000001</v>
      </c>
      <c r="BD3">
        <v>-0.08</v>
      </c>
      <c r="BE3">
        <v>-8.9999999999999993E-3</v>
      </c>
      <c r="BF3">
        <v>3.0000000000000001E-3</v>
      </c>
      <c r="BG3">
        <v>3.0000000000000001E-3</v>
      </c>
      <c r="BH3">
        <v>0</v>
      </c>
      <c r="BI3">
        <v>-4.0000000000000001E-3</v>
      </c>
      <c r="BJ3">
        <v>-1E-3</v>
      </c>
      <c r="BK3">
        <v>1.6E-2</v>
      </c>
      <c r="BL3">
        <v>0.69</v>
      </c>
      <c r="BM3">
        <v>0.67400000000000004</v>
      </c>
      <c r="BN3">
        <v>6.0999999999999999E-2</v>
      </c>
      <c r="BO3">
        <v>3.5000000000000003E-2</v>
      </c>
      <c r="BP3">
        <v>5.5E-2</v>
      </c>
      <c r="BQ3">
        <v>0.187</v>
      </c>
      <c r="BR3">
        <v>0</v>
      </c>
    </row>
    <row r="4" spans="1:70" x14ac:dyDescent="0.25">
      <c r="A4" s="1" t="s">
        <v>71</v>
      </c>
      <c r="B4">
        <v>1</v>
      </c>
      <c r="C4">
        <v>0.39800000000000002</v>
      </c>
      <c r="D4">
        <v>7.1999999999999995E-2</v>
      </c>
      <c r="E4">
        <v>0.11700000000000001</v>
      </c>
      <c r="F4">
        <v>0.189</v>
      </c>
      <c r="G4">
        <v>8.5000000000000006E-2</v>
      </c>
      <c r="H4">
        <v>-5.0000000000000001E-3</v>
      </c>
      <c r="I4">
        <v>0.03</v>
      </c>
      <c r="J4">
        <v>1.7000000000000001E-2</v>
      </c>
      <c r="K4">
        <v>1.2999999999999999E-2</v>
      </c>
      <c r="L4">
        <v>6.0000000000000001E-3</v>
      </c>
      <c r="M4">
        <v>5.0999999999999997E-2</v>
      </c>
      <c r="N4">
        <v>0.218</v>
      </c>
      <c r="O4">
        <v>0.223</v>
      </c>
      <c r="P4">
        <v>0.50900000000000001</v>
      </c>
      <c r="Q4">
        <v>5.7000000000000002E-2</v>
      </c>
      <c r="R4">
        <v>0.56599999999999995</v>
      </c>
      <c r="S4">
        <v>0.32900000000000001</v>
      </c>
      <c r="T4">
        <v>7.0999999999999994E-2</v>
      </c>
      <c r="U4">
        <v>0.157</v>
      </c>
      <c r="V4">
        <v>1.1220000000000001</v>
      </c>
      <c r="W4">
        <v>0.36399999999999999</v>
      </c>
      <c r="X4">
        <v>0.875</v>
      </c>
      <c r="Y4">
        <v>0.16900000000000001</v>
      </c>
      <c r="Z4">
        <v>0.77200000000000002</v>
      </c>
      <c r="AA4">
        <v>2.6640000000000001</v>
      </c>
      <c r="AB4">
        <v>3.7869999999999999</v>
      </c>
      <c r="AC4">
        <v>0.08</v>
      </c>
      <c r="AD4">
        <v>2.8000000000000001E-2</v>
      </c>
      <c r="AE4">
        <v>0.97</v>
      </c>
      <c r="AF4">
        <v>1.127</v>
      </c>
      <c r="AG4">
        <v>1.698</v>
      </c>
      <c r="AH4">
        <v>2.6680000000000001</v>
      </c>
      <c r="AI4">
        <v>0.193</v>
      </c>
      <c r="AJ4">
        <v>0</v>
      </c>
      <c r="AK4">
        <v>0</v>
      </c>
      <c r="AL4">
        <v>0.13200000000000001</v>
      </c>
      <c r="AM4">
        <v>-3.4430000000000001</v>
      </c>
      <c r="AN4">
        <v>1.119</v>
      </c>
      <c r="AO4">
        <v>0.09</v>
      </c>
      <c r="AP4">
        <v>-0.02</v>
      </c>
      <c r="AQ4">
        <v>2E-3</v>
      </c>
      <c r="AR4">
        <v>0</v>
      </c>
      <c r="AS4">
        <v>2.1999999999999999E-2</v>
      </c>
      <c r="AT4">
        <v>5.1999999999999998E-2</v>
      </c>
      <c r="AU4">
        <v>1E-3</v>
      </c>
      <c r="AV4">
        <v>4.0000000000000001E-3</v>
      </c>
      <c r="AW4">
        <v>3.4000000000000002E-2</v>
      </c>
      <c r="AX4">
        <v>1.0999999999999999E-2</v>
      </c>
      <c r="AY4">
        <v>9.6000000000000002E-2</v>
      </c>
      <c r="AZ4">
        <v>-6.0000000000000001E-3</v>
      </c>
      <c r="BA4">
        <v>-6.0000000000000001E-3</v>
      </c>
      <c r="BB4">
        <v>0</v>
      </c>
      <c r="BC4">
        <v>-0.23599999999999999</v>
      </c>
      <c r="BD4">
        <v>-8.6999999999999994E-2</v>
      </c>
      <c r="BE4">
        <v>-8.0000000000000002E-3</v>
      </c>
      <c r="BF4">
        <v>3.0000000000000001E-3</v>
      </c>
      <c r="BG4">
        <v>3.0000000000000001E-3</v>
      </c>
      <c r="BH4">
        <v>0</v>
      </c>
      <c r="BI4">
        <v>-3.0000000000000001E-3</v>
      </c>
      <c r="BJ4">
        <v>2E-3</v>
      </c>
      <c r="BK4">
        <v>1.0999999999999999E-2</v>
      </c>
      <c r="BL4">
        <v>0.74</v>
      </c>
      <c r="BM4">
        <v>0.73</v>
      </c>
      <c r="BN4">
        <v>5.1999999999999998E-2</v>
      </c>
      <c r="BO4">
        <v>2.4E-2</v>
      </c>
      <c r="BP4">
        <v>4.5999999999999999E-2</v>
      </c>
      <c r="BQ4">
        <v>0.152</v>
      </c>
      <c r="BR4">
        <v>0</v>
      </c>
    </row>
    <row r="5" spans="1:70" x14ac:dyDescent="0.25">
      <c r="A5" s="1" t="s">
        <v>72</v>
      </c>
      <c r="B5">
        <v>1</v>
      </c>
      <c r="C5">
        <v>0.39600000000000002</v>
      </c>
      <c r="D5">
        <v>7.9000000000000001E-2</v>
      </c>
      <c r="E5">
        <v>0.126</v>
      </c>
      <c r="F5">
        <v>0.20499999999999999</v>
      </c>
      <c r="G5">
        <v>8.6999999999999994E-2</v>
      </c>
      <c r="H5">
        <v>1.9E-2</v>
      </c>
      <c r="I5">
        <v>1.0999999999999999E-2</v>
      </c>
      <c r="J5">
        <v>1.7000000000000001E-2</v>
      </c>
      <c r="K5">
        <v>1.0999999999999999E-2</v>
      </c>
      <c r="L5">
        <v>0</v>
      </c>
      <c r="M5">
        <v>2.9000000000000001E-2</v>
      </c>
      <c r="N5">
        <v>0.22500000000000001</v>
      </c>
      <c r="O5">
        <v>0.23</v>
      </c>
      <c r="P5">
        <v>0.49199999999999999</v>
      </c>
      <c r="Q5">
        <v>4.1000000000000002E-2</v>
      </c>
      <c r="R5">
        <v>0.53400000000000003</v>
      </c>
      <c r="S5">
        <v>0.30399999999999999</v>
      </c>
      <c r="T5">
        <v>9.1999999999999998E-2</v>
      </c>
      <c r="U5">
        <v>0.17699999999999999</v>
      </c>
      <c r="V5">
        <v>1.107</v>
      </c>
      <c r="W5">
        <v>0.38300000000000001</v>
      </c>
      <c r="X5">
        <v>0.91100000000000003</v>
      </c>
      <c r="Y5">
        <v>0.188</v>
      </c>
      <c r="Z5">
        <v>0.58499999999999996</v>
      </c>
      <c r="AA5">
        <v>2.637</v>
      </c>
      <c r="AB5">
        <v>3.7429999999999999</v>
      </c>
      <c r="AC5">
        <v>8.2000000000000003E-2</v>
      </c>
      <c r="AD5">
        <v>2.1000000000000001E-2</v>
      </c>
      <c r="AE5">
        <v>0.99</v>
      </c>
      <c r="AF5">
        <v>1.21</v>
      </c>
      <c r="AG5">
        <v>1.71</v>
      </c>
      <c r="AH5">
        <v>2.7</v>
      </c>
      <c r="AI5">
        <v>0.20100000000000001</v>
      </c>
      <c r="AJ5">
        <v>0</v>
      </c>
      <c r="AK5">
        <v>0</v>
      </c>
      <c r="AL5">
        <v>0.129</v>
      </c>
      <c r="AM5">
        <v>-3.6309999999999998</v>
      </c>
      <c r="AN5">
        <v>1.044</v>
      </c>
      <c r="AO5">
        <v>6.4000000000000001E-2</v>
      </c>
      <c r="AP5">
        <v>-1.9E-2</v>
      </c>
      <c r="AQ5">
        <v>1E-3</v>
      </c>
      <c r="AR5">
        <v>-1.0999999999999999E-2</v>
      </c>
      <c r="AS5">
        <v>2.3E-2</v>
      </c>
      <c r="AT5">
        <v>5.3999999999999999E-2</v>
      </c>
      <c r="AU5">
        <v>-4.0000000000000001E-3</v>
      </c>
      <c r="AV5">
        <v>-5.0000000000000001E-3</v>
      </c>
      <c r="AW5">
        <v>2.5000000000000001E-2</v>
      </c>
      <c r="AX5">
        <v>-4.9000000000000002E-2</v>
      </c>
      <c r="AY5">
        <v>7.0000000000000007E-2</v>
      </c>
      <c r="AZ5">
        <v>-6.0000000000000001E-3</v>
      </c>
      <c r="BA5">
        <v>-6.0000000000000001E-3</v>
      </c>
      <c r="BB5">
        <v>1.9E-2</v>
      </c>
      <c r="BC5">
        <v>-0.21299999999999999</v>
      </c>
      <c r="BD5">
        <v>-0.11600000000000001</v>
      </c>
      <c r="BE5">
        <v>-8.0000000000000002E-3</v>
      </c>
      <c r="BF5">
        <v>3.0000000000000001E-3</v>
      </c>
      <c r="BG5">
        <v>0</v>
      </c>
      <c r="BH5">
        <v>0</v>
      </c>
      <c r="BI5">
        <v>-6.0000000000000001E-3</v>
      </c>
      <c r="BJ5">
        <v>3.0000000000000001E-3</v>
      </c>
      <c r="BK5">
        <v>-4.9000000000000002E-2</v>
      </c>
      <c r="BL5">
        <v>0.80100000000000005</v>
      </c>
      <c r="BM5">
        <v>0.85</v>
      </c>
      <c r="BN5">
        <v>3.4000000000000002E-2</v>
      </c>
      <c r="BO5">
        <v>1.0999999999999999E-2</v>
      </c>
      <c r="BP5">
        <v>2.8000000000000001E-2</v>
      </c>
      <c r="BQ5">
        <v>0.11700000000000001</v>
      </c>
      <c r="BR5">
        <v>0</v>
      </c>
    </row>
    <row r="6" spans="1:70" x14ac:dyDescent="0.25">
      <c r="A6" s="1" t="s">
        <v>73</v>
      </c>
      <c r="B6">
        <v>1</v>
      </c>
      <c r="C6">
        <v>0.39300000000000002</v>
      </c>
      <c r="D6">
        <v>8.7999999999999995E-2</v>
      </c>
      <c r="E6">
        <v>0.13600000000000001</v>
      </c>
      <c r="F6">
        <v>0.224</v>
      </c>
      <c r="G6">
        <v>8.7999999999999995E-2</v>
      </c>
      <c r="H6">
        <v>1.9E-2</v>
      </c>
      <c r="I6">
        <v>-1.4E-2</v>
      </c>
      <c r="J6">
        <v>1.7000000000000001E-2</v>
      </c>
      <c r="K6">
        <v>8.9999999999999993E-3</v>
      </c>
      <c r="L6">
        <v>3.0000000000000001E-3</v>
      </c>
      <c r="M6">
        <v>-1.0999999999999999E-2</v>
      </c>
      <c r="N6">
        <v>0.22900000000000001</v>
      </c>
      <c r="O6">
        <v>0.23200000000000001</v>
      </c>
      <c r="P6">
        <v>0.51700000000000002</v>
      </c>
      <c r="Q6">
        <v>2.1999999999999999E-2</v>
      </c>
      <c r="R6">
        <v>0.53900000000000003</v>
      </c>
      <c r="S6">
        <v>0.29699999999999999</v>
      </c>
      <c r="T6">
        <v>8.7999999999999995E-2</v>
      </c>
      <c r="U6">
        <v>0.17499999999999999</v>
      </c>
      <c r="V6">
        <v>1.099</v>
      </c>
      <c r="W6">
        <v>0.39300000000000002</v>
      </c>
      <c r="X6">
        <v>0.94</v>
      </c>
      <c r="Y6">
        <v>0.20699999999999999</v>
      </c>
      <c r="Z6">
        <v>0.58399999999999996</v>
      </c>
      <c r="AA6">
        <v>2.6070000000000002</v>
      </c>
      <c r="AB6">
        <v>3.7069999999999999</v>
      </c>
      <c r="AC6">
        <v>8.3000000000000004E-2</v>
      </c>
      <c r="AD6">
        <v>2.1999999999999999E-2</v>
      </c>
      <c r="AE6">
        <v>1.0049999999999999</v>
      </c>
      <c r="AF6">
        <v>1.2450000000000001</v>
      </c>
      <c r="AG6">
        <v>1.718</v>
      </c>
      <c r="AH6">
        <v>2.7240000000000002</v>
      </c>
      <c r="AI6">
        <v>0.20799999999999999</v>
      </c>
      <c r="AJ6">
        <v>0</v>
      </c>
      <c r="AK6">
        <v>0</v>
      </c>
      <c r="AL6">
        <v>0.13300000000000001</v>
      </c>
      <c r="AM6">
        <v>-3.7589999999999999</v>
      </c>
      <c r="AN6">
        <v>0.98299999999999998</v>
      </c>
      <c r="AO6">
        <v>0.05</v>
      </c>
      <c r="AP6">
        <v>-7.0000000000000001E-3</v>
      </c>
      <c r="AQ6">
        <v>-3.0000000000000001E-3</v>
      </c>
      <c r="AR6">
        <v>-6.0000000000000001E-3</v>
      </c>
      <c r="AS6">
        <v>2.5000000000000001E-2</v>
      </c>
      <c r="AT6">
        <v>5.5E-2</v>
      </c>
      <c r="AU6">
        <v>-5.0000000000000001E-3</v>
      </c>
      <c r="AV6">
        <v>8.9999999999999993E-3</v>
      </c>
      <c r="AW6">
        <v>1.6E-2</v>
      </c>
      <c r="AX6">
        <v>1.7000000000000001E-2</v>
      </c>
      <c r="AY6">
        <v>5.7000000000000002E-2</v>
      </c>
      <c r="AZ6">
        <v>-7.0000000000000001E-3</v>
      </c>
      <c r="BA6">
        <v>-7.0000000000000001E-3</v>
      </c>
      <c r="BB6">
        <v>0.02</v>
      </c>
      <c r="BC6">
        <v>-0.112</v>
      </c>
      <c r="BD6">
        <v>-4.1000000000000002E-2</v>
      </c>
      <c r="BE6">
        <v>-7.0000000000000001E-3</v>
      </c>
      <c r="BF6">
        <v>1.0999999999999999E-2</v>
      </c>
      <c r="BG6">
        <v>0</v>
      </c>
      <c r="BH6">
        <v>0</v>
      </c>
      <c r="BI6">
        <v>2E-3</v>
      </c>
      <c r="BJ6">
        <v>0</v>
      </c>
      <c r="BK6">
        <v>1.7000000000000001E-2</v>
      </c>
      <c r="BL6">
        <v>0.873</v>
      </c>
      <c r="BM6">
        <v>0.85599999999999998</v>
      </c>
      <c r="BN6">
        <v>0.01</v>
      </c>
      <c r="BO6">
        <v>-1.7000000000000001E-2</v>
      </c>
      <c r="BP6">
        <v>4.0000000000000001E-3</v>
      </c>
      <c r="BQ6">
        <v>9.4E-2</v>
      </c>
      <c r="BR6">
        <v>0</v>
      </c>
    </row>
    <row r="7" spans="1:70" x14ac:dyDescent="0.25">
      <c r="A7" s="1" t="s">
        <v>74</v>
      </c>
      <c r="B7">
        <v>1</v>
      </c>
      <c r="C7">
        <v>0.38300000000000001</v>
      </c>
      <c r="D7">
        <v>0.10199999999999999</v>
      </c>
      <c r="E7">
        <v>0.14000000000000001</v>
      </c>
      <c r="F7">
        <v>0.24199999999999999</v>
      </c>
      <c r="G7">
        <v>8.7999999999999995E-2</v>
      </c>
      <c r="H7">
        <v>4.9000000000000002E-2</v>
      </c>
      <c r="I7">
        <v>-4.4999999999999998E-2</v>
      </c>
      <c r="J7">
        <v>1.7999999999999999E-2</v>
      </c>
      <c r="K7">
        <v>6.0000000000000001E-3</v>
      </c>
      <c r="L7">
        <v>3.0000000000000001E-3</v>
      </c>
      <c r="M7">
        <v>-0.1</v>
      </c>
      <c r="N7">
        <v>0.23499999999999999</v>
      </c>
      <c r="O7">
        <v>0.23699999999999999</v>
      </c>
      <c r="P7">
        <v>0.51700000000000002</v>
      </c>
      <c r="Q7">
        <v>7.0000000000000001E-3</v>
      </c>
      <c r="R7">
        <v>0.52400000000000002</v>
      </c>
      <c r="S7">
        <v>0.30399999999999999</v>
      </c>
      <c r="T7">
        <v>0.105</v>
      </c>
      <c r="U7">
        <v>0.14699999999999999</v>
      </c>
      <c r="V7">
        <v>1.08</v>
      </c>
      <c r="W7">
        <v>0.40500000000000003</v>
      </c>
      <c r="X7">
        <v>0.97799999999999998</v>
      </c>
      <c r="Y7">
        <v>0.22900000000000001</v>
      </c>
      <c r="Z7">
        <v>0.60199999999999998</v>
      </c>
      <c r="AA7">
        <v>2.6629999999999998</v>
      </c>
      <c r="AB7">
        <v>3.7429999999999999</v>
      </c>
      <c r="AC7">
        <v>8.8999999999999996E-2</v>
      </c>
      <c r="AD7">
        <v>2.4E-2</v>
      </c>
      <c r="AE7">
        <v>1.0489999999999999</v>
      </c>
      <c r="AF7">
        <v>1.2909999999999999</v>
      </c>
      <c r="AG7">
        <v>1.7450000000000001</v>
      </c>
      <c r="AH7">
        <v>2.7930000000000001</v>
      </c>
      <c r="AI7">
        <v>0.22</v>
      </c>
      <c r="AJ7">
        <v>0</v>
      </c>
      <c r="AK7">
        <v>0</v>
      </c>
      <c r="AL7">
        <v>0.129</v>
      </c>
      <c r="AM7">
        <v>-3.8769999999999998</v>
      </c>
      <c r="AN7">
        <v>0.95</v>
      </c>
      <c r="AO7">
        <v>2.9000000000000001E-2</v>
      </c>
      <c r="AP7">
        <v>-0.01</v>
      </c>
      <c r="AQ7">
        <v>-4.0000000000000001E-3</v>
      </c>
      <c r="AR7">
        <v>0</v>
      </c>
      <c r="AS7">
        <v>2.7E-2</v>
      </c>
      <c r="AT7">
        <v>5.6000000000000001E-2</v>
      </c>
      <c r="AU7">
        <v>-4.0000000000000001E-3</v>
      </c>
      <c r="AV7">
        <v>1.7000000000000001E-2</v>
      </c>
      <c r="AW7">
        <v>2.1999999999999999E-2</v>
      </c>
      <c r="AX7">
        <v>-2.4E-2</v>
      </c>
      <c r="AY7">
        <v>3.5999999999999997E-2</v>
      </c>
      <c r="AZ7">
        <v>-7.0000000000000001E-3</v>
      </c>
      <c r="BA7">
        <v>-7.0000000000000001E-3</v>
      </c>
      <c r="BB7">
        <v>0</v>
      </c>
      <c r="BC7">
        <v>-7.4999999999999997E-2</v>
      </c>
      <c r="BD7">
        <v>-5.6000000000000001E-2</v>
      </c>
      <c r="BE7">
        <v>-7.0000000000000001E-3</v>
      </c>
      <c r="BF7">
        <v>0.01</v>
      </c>
      <c r="BG7">
        <v>0</v>
      </c>
      <c r="BH7">
        <v>0</v>
      </c>
      <c r="BI7">
        <v>1E-3</v>
      </c>
      <c r="BJ7">
        <v>-4.0000000000000001E-3</v>
      </c>
      <c r="BK7">
        <v>-2.4E-2</v>
      </c>
      <c r="BL7">
        <v>0.88500000000000001</v>
      </c>
      <c r="BM7">
        <v>0.90900000000000003</v>
      </c>
      <c r="BN7">
        <v>-1.9E-2</v>
      </c>
      <c r="BO7">
        <v>-4.9000000000000002E-2</v>
      </c>
      <c r="BP7">
        <v>-2.5999999999999999E-2</v>
      </c>
      <c r="BQ7">
        <v>3.1E-2</v>
      </c>
      <c r="BR7">
        <v>0</v>
      </c>
    </row>
    <row r="8" spans="1:70" x14ac:dyDescent="0.25">
      <c r="A8" s="1" t="s">
        <v>75</v>
      </c>
      <c r="B8">
        <v>1</v>
      </c>
      <c r="C8">
        <v>0.38300000000000001</v>
      </c>
      <c r="D8">
        <v>9.8000000000000004E-2</v>
      </c>
      <c r="E8">
        <v>0.14899999999999999</v>
      </c>
      <c r="F8">
        <v>0.248</v>
      </c>
      <c r="G8">
        <v>8.7999999999999995E-2</v>
      </c>
      <c r="H8">
        <v>7.9000000000000001E-2</v>
      </c>
      <c r="I8">
        <v>-5.5E-2</v>
      </c>
      <c r="J8">
        <v>1.7999999999999999E-2</v>
      </c>
      <c r="K8">
        <v>4.0000000000000001E-3</v>
      </c>
      <c r="L8">
        <v>-6.0000000000000001E-3</v>
      </c>
      <c r="M8">
        <v>-0.28799999999999998</v>
      </c>
      <c r="N8">
        <v>0.248</v>
      </c>
      <c r="O8">
        <v>0.25</v>
      </c>
      <c r="P8">
        <v>0.55400000000000005</v>
      </c>
      <c r="Q8">
        <v>3.0000000000000001E-3</v>
      </c>
      <c r="R8">
        <v>0.55700000000000005</v>
      </c>
      <c r="S8">
        <v>0.31900000000000001</v>
      </c>
      <c r="T8">
        <v>0.13100000000000001</v>
      </c>
      <c r="U8">
        <v>0.123</v>
      </c>
      <c r="V8">
        <v>1.1299999999999999</v>
      </c>
      <c r="W8">
        <v>0.42399999999999999</v>
      </c>
      <c r="X8">
        <v>1.046</v>
      </c>
      <c r="Y8">
        <v>0.25900000000000001</v>
      </c>
      <c r="Z8">
        <v>0.68300000000000005</v>
      </c>
      <c r="AA8">
        <v>2.855</v>
      </c>
      <c r="AB8">
        <v>3.9860000000000002</v>
      </c>
      <c r="AC8">
        <v>0.1</v>
      </c>
      <c r="AD8">
        <v>2.5999999999999999E-2</v>
      </c>
      <c r="AE8">
        <v>1.113</v>
      </c>
      <c r="AF8">
        <v>1.373</v>
      </c>
      <c r="AG8">
        <v>1.829</v>
      </c>
      <c r="AH8">
        <v>2.9409999999999998</v>
      </c>
      <c r="AI8">
        <v>0.23499999999999999</v>
      </c>
      <c r="AJ8">
        <v>0</v>
      </c>
      <c r="AK8">
        <v>0</v>
      </c>
      <c r="AL8">
        <v>0.129</v>
      </c>
      <c r="AM8">
        <v>-4.0110000000000001</v>
      </c>
      <c r="AN8">
        <v>1.044</v>
      </c>
      <c r="AO8">
        <v>1.2E-2</v>
      </c>
      <c r="AP8">
        <v>-1.7000000000000001E-2</v>
      </c>
      <c r="AQ8">
        <v>-4.0000000000000001E-3</v>
      </c>
      <c r="AR8">
        <v>0</v>
      </c>
      <c r="AS8">
        <v>0.03</v>
      </c>
      <c r="AT8">
        <v>5.6000000000000001E-2</v>
      </c>
      <c r="AU8">
        <v>-1.4E-2</v>
      </c>
      <c r="AV8">
        <v>1.0999999999999999E-2</v>
      </c>
      <c r="AW8">
        <v>2.1000000000000001E-2</v>
      </c>
      <c r="AX8">
        <v>-3.5000000000000003E-2</v>
      </c>
      <c r="AY8">
        <v>0.02</v>
      </c>
      <c r="AZ8">
        <v>-8.0000000000000002E-3</v>
      </c>
      <c r="BA8">
        <v>-8.0000000000000002E-3</v>
      </c>
      <c r="BB8">
        <v>-2E-3</v>
      </c>
      <c r="BC8">
        <v>-5.3999999999999999E-2</v>
      </c>
      <c r="BD8">
        <v>-5.0999999999999997E-2</v>
      </c>
      <c r="BE8">
        <v>-8.0000000000000002E-3</v>
      </c>
      <c r="BF8">
        <v>1.0999999999999999E-2</v>
      </c>
      <c r="BG8">
        <v>0</v>
      </c>
      <c r="BH8">
        <v>0</v>
      </c>
      <c r="BI8">
        <v>0</v>
      </c>
      <c r="BJ8">
        <v>-5.0000000000000001E-3</v>
      </c>
      <c r="BK8">
        <v>-3.5000000000000003E-2</v>
      </c>
      <c r="BL8">
        <v>0.96499999999999997</v>
      </c>
      <c r="BM8">
        <v>1.0009999999999999</v>
      </c>
      <c r="BN8">
        <v>-2.5000000000000001E-2</v>
      </c>
      <c r="BO8">
        <v>-4.9000000000000002E-2</v>
      </c>
      <c r="BP8">
        <v>-3.3000000000000002E-2</v>
      </c>
      <c r="BQ8">
        <v>1.7999999999999999E-2</v>
      </c>
      <c r="BR8">
        <v>0</v>
      </c>
    </row>
    <row r="9" spans="1:70" x14ac:dyDescent="0.25">
      <c r="A9" s="1" t="s">
        <v>76</v>
      </c>
      <c r="B9">
        <v>1</v>
      </c>
      <c r="C9">
        <v>0.39900000000000002</v>
      </c>
      <c r="D9">
        <v>0.10299999999999999</v>
      </c>
      <c r="E9">
        <v>0.16900000000000001</v>
      </c>
      <c r="F9">
        <v>0.27200000000000002</v>
      </c>
      <c r="G9">
        <v>0.09</v>
      </c>
      <c r="H9">
        <v>0.06</v>
      </c>
      <c r="I9">
        <v>-7.6999999999999999E-2</v>
      </c>
      <c r="J9">
        <v>1.9E-2</v>
      </c>
      <c r="K9">
        <v>3.0000000000000001E-3</v>
      </c>
      <c r="L9">
        <v>-7.0000000000000001E-3</v>
      </c>
      <c r="M9">
        <v>-0.30599999999999999</v>
      </c>
      <c r="N9">
        <v>0.27</v>
      </c>
      <c r="O9">
        <v>0.27200000000000002</v>
      </c>
      <c r="P9">
        <v>0.61099999999999999</v>
      </c>
      <c r="Q9">
        <v>-5.0000000000000001E-3</v>
      </c>
      <c r="R9">
        <v>0.61099999999999999</v>
      </c>
      <c r="S9">
        <v>0.33900000000000002</v>
      </c>
      <c r="T9">
        <v>0.14199999999999999</v>
      </c>
      <c r="U9">
        <v>0.13400000000000001</v>
      </c>
      <c r="V9">
        <v>1.226</v>
      </c>
      <c r="W9">
        <v>0.45500000000000002</v>
      </c>
      <c r="X9">
        <v>1.1539999999999999</v>
      </c>
      <c r="Y9">
        <v>0.30299999999999999</v>
      </c>
      <c r="Z9">
        <v>1.002</v>
      </c>
      <c r="AA9">
        <v>3.3769999999999998</v>
      </c>
      <c r="AB9">
        <v>4.6029999999999998</v>
      </c>
      <c r="AC9">
        <v>0.114</v>
      </c>
      <c r="AD9">
        <v>2.7E-2</v>
      </c>
      <c r="AE9">
        <v>1.2270000000000001</v>
      </c>
      <c r="AF9">
        <v>1.506</v>
      </c>
      <c r="AG9">
        <v>1.9950000000000001</v>
      </c>
      <c r="AH9">
        <v>3.222</v>
      </c>
      <c r="AI9">
        <v>0.25700000000000001</v>
      </c>
      <c r="AJ9">
        <v>0</v>
      </c>
      <c r="AK9">
        <v>0</v>
      </c>
      <c r="AL9">
        <v>0.13200000000000001</v>
      </c>
      <c r="AM9">
        <v>-4.0860000000000003</v>
      </c>
      <c r="AN9">
        <v>1.351</v>
      </c>
      <c r="AO9">
        <v>1.7000000000000001E-2</v>
      </c>
      <c r="AP9">
        <v>-1.6E-2</v>
      </c>
      <c r="AQ9">
        <v>-2E-3</v>
      </c>
      <c r="AR9">
        <v>5.0000000000000001E-3</v>
      </c>
      <c r="AS9">
        <v>3.3000000000000002E-2</v>
      </c>
      <c r="AT9">
        <v>5.7000000000000002E-2</v>
      </c>
      <c r="AU9">
        <v>-1.6E-2</v>
      </c>
      <c r="AV9">
        <v>3.3000000000000002E-2</v>
      </c>
      <c r="AW9">
        <v>3.4000000000000002E-2</v>
      </c>
      <c r="AX9">
        <v>-0.04</v>
      </c>
      <c r="AY9">
        <v>2.7E-2</v>
      </c>
      <c r="AZ9">
        <v>-8.9999999999999993E-3</v>
      </c>
      <c r="BA9">
        <v>-8.9999999999999993E-3</v>
      </c>
      <c r="BB9">
        <v>-7.0000000000000007E-2</v>
      </c>
      <c r="BC9">
        <v>-5.0000000000000001E-3</v>
      </c>
      <c r="BD9">
        <v>-7.3999999999999996E-2</v>
      </c>
      <c r="BE9">
        <v>-1.2E-2</v>
      </c>
      <c r="BF9">
        <v>0.28499999999999998</v>
      </c>
      <c r="BG9">
        <v>0</v>
      </c>
      <c r="BH9">
        <v>0</v>
      </c>
      <c r="BI9">
        <v>1.7999999999999999E-2</v>
      </c>
      <c r="BJ9">
        <v>-1.0999999999999999E-2</v>
      </c>
      <c r="BK9">
        <v>-0.04</v>
      </c>
      <c r="BL9">
        <v>1.0980000000000001</v>
      </c>
      <c r="BM9">
        <v>1.1379999999999999</v>
      </c>
      <c r="BN9">
        <v>-4.3999999999999997E-2</v>
      </c>
      <c r="BO9">
        <v>-7.0000000000000007E-2</v>
      </c>
      <c r="BP9">
        <v>-5.2999999999999999E-2</v>
      </c>
      <c r="BQ9">
        <v>-1E-3</v>
      </c>
      <c r="BR9">
        <v>0</v>
      </c>
    </row>
    <row r="10" spans="1:70" x14ac:dyDescent="0.25">
      <c r="A10" s="1" t="s">
        <v>77</v>
      </c>
      <c r="B10">
        <v>1</v>
      </c>
      <c r="C10">
        <v>0.42399999999999999</v>
      </c>
      <c r="D10">
        <v>0.106</v>
      </c>
      <c r="E10">
        <v>0.192</v>
      </c>
      <c r="F10">
        <v>0.29899999999999999</v>
      </c>
      <c r="G10">
        <v>9.1999999999999998E-2</v>
      </c>
      <c r="H10">
        <v>7.5999999999999998E-2</v>
      </c>
      <c r="I10">
        <v>-9.0999999999999998E-2</v>
      </c>
      <c r="J10">
        <v>0.02</v>
      </c>
      <c r="K10">
        <v>2E-3</v>
      </c>
      <c r="L10">
        <v>-1.4E-2</v>
      </c>
      <c r="M10">
        <v>-0.39500000000000002</v>
      </c>
      <c r="N10">
        <v>0.30299999999999999</v>
      </c>
      <c r="O10">
        <v>0.307</v>
      </c>
      <c r="P10">
        <v>0.75800000000000001</v>
      </c>
      <c r="Q10">
        <v>-5.0000000000000001E-3</v>
      </c>
      <c r="R10">
        <v>0.75800000000000001</v>
      </c>
      <c r="S10">
        <v>0.34100000000000003</v>
      </c>
      <c r="T10">
        <v>0.155</v>
      </c>
      <c r="U10">
        <v>0.153</v>
      </c>
      <c r="V10">
        <v>1.4059999999999999</v>
      </c>
      <c r="W10">
        <v>0.504</v>
      </c>
      <c r="X10">
        <v>1.2390000000000001</v>
      </c>
      <c r="Y10">
        <v>0.316</v>
      </c>
      <c r="Z10">
        <v>1.4790000000000001</v>
      </c>
      <c r="AA10">
        <v>4.0529999999999999</v>
      </c>
      <c r="AB10">
        <v>5.4589999999999996</v>
      </c>
      <c r="AC10">
        <v>0.111</v>
      </c>
      <c r="AD10">
        <v>0.03</v>
      </c>
      <c r="AE10">
        <v>1.36</v>
      </c>
      <c r="AF10">
        <v>1.7070000000000001</v>
      </c>
      <c r="AG10">
        <v>2.2589999999999999</v>
      </c>
      <c r="AH10">
        <v>3.6190000000000002</v>
      </c>
      <c r="AI10">
        <v>0.28599999999999998</v>
      </c>
      <c r="AJ10">
        <v>0</v>
      </c>
      <c r="AK10">
        <v>0</v>
      </c>
      <c r="AL10">
        <v>0.11899999999999999</v>
      </c>
      <c r="AM10">
        <v>-4.3</v>
      </c>
      <c r="AN10">
        <v>1.7909999999999999</v>
      </c>
      <c r="AO10">
        <v>2.5999999999999999E-2</v>
      </c>
      <c r="AP10">
        <v>-2.3E-2</v>
      </c>
      <c r="AQ10">
        <v>-5.0000000000000001E-3</v>
      </c>
      <c r="AR10">
        <v>2E-3</v>
      </c>
      <c r="AS10">
        <v>3.7999999999999999E-2</v>
      </c>
      <c r="AT10">
        <v>5.7000000000000002E-2</v>
      </c>
      <c r="AU10">
        <v>-2.3E-2</v>
      </c>
      <c r="AV10">
        <v>5.2999999999999999E-2</v>
      </c>
      <c r="AW10">
        <v>7.9000000000000001E-2</v>
      </c>
      <c r="AX10">
        <v>5.5E-2</v>
      </c>
      <c r="AY10">
        <v>3.7999999999999999E-2</v>
      </c>
      <c r="AZ10">
        <v>-1.0999999999999999E-2</v>
      </c>
      <c r="BA10">
        <v>-1.0999999999999999E-2</v>
      </c>
      <c r="BB10">
        <v>-5.0999999999999997E-2</v>
      </c>
      <c r="BC10">
        <v>-2.8000000000000001E-2</v>
      </c>
      <c r="BD10">
        <v>-4.9000000000000002E-2</v>
      </c>
      <c r="BE10">
        <v>-1.4E-2</v>
      </c>
      <c r="BF10">
        <v>0.314</v>
      </c>
      <c r="BG10">
        <v>0</v>
      </c>
      <c r="BH10">
        <v>0</v>
      </c>
      <c r="BI10">
        <v>7.2999999999999995E-2</v>
      </c>
      <c r="BJ10">
        <v>-7.0000000000000001E-3</v>
      </c>
      <c r="BK10">
        <v>5.5E-2</v>
      </c>
      <c r="BL10">
        <v>1.294</v>
      </c>
      <c r="BM10">
        <v>1.238</v>
      </c>
      <c r="BN10">
        <v>-5.2999999999999999E-2</v>
      </c>
      <c r="BO10">
        <v>-7.6999999999999999E-2</v>
      </c>
      <c r="BP10">
        <v>-6.4000000000000001E-2</v>
      </c>
      <c r="BQ10">
        <v>4.5999999999999999E-2</v>
      </c>
      <c r="BR10">
        <v>0</v>
      </c>
    </row>
    <row r="11" spans="1:70" x14ac:dyDescent="0.25">
      <c r="A11" s="1" t="s">
        <v>78</v>
      </c>
      <c r="B11">
        <v>1</v>
      </c>
      <c r="C11">
        <v>0.45500000000000002</v>
      </c>
      <c r="D11">
        <v>0.11600000000000001</v>
      </c>
      <c r="E11">
        <v>0.23100000000000001</v>
      </c>
      <c r="F11">
        <v>0.34699999999999998</v>
      </c>
      <c r="G11">
        <v>9.9000000000000005E-2</v>
      </c>
      <c r="H11">
        <v>5.0999999999999997E-2</v>
      </c>
      <c r="I11">
        <v>-0.13</v>
      </c>
      <c r="J11">
        <v>2.3E-2</v>
      </c>
      <c r="K11">
        <v>2E-3</v>
      </c>
      <c r="L11">
        <v>-4.2000000000000003E-2</v>
      </c>
      <c r="M11">
        <v>-0.29499999999999998</v>
      </c>
      <c r="N11">
        <v>0.35799999999999998</v>
      </c>
      <c r="O11">
        <v>0.36499999999999999</v>
      </c>
      <c r="P11">
        <v>0.90600000000000003</v>
      </c>
      <c r="Q11">
        <v>0.02</v>
      </c>
      <c r="R11">
        <v>0.93300000000000005</v>
      </c>
      <c r="S11">
        <v>0.34799999999999998</v>
      </c>
      <c r="T11">
        <v>0.13500000000000001</v>
      </c>
      <c r="U11">
        <v>0.218</v>
      </c>
      <c r="V11">
        <v>1.633</v>
      </c>
      <c r="W11">
        <v>0.58599999999999997</v>
      </c>
      <c r="X11">
        <v>1.39</v>
      </c>
      <c r="Y11">
        <v>0.34300000000000003</v>
      </c>
      <c r="Z11">
        <v>2.222</v>
      </c>
      <c r="AA11">
        <v>5.1280000000000001</v>
      </c>
      <c r="AB11">
        <v>6.7610000000000001</v>
      </c>
      <c r="AC11">
        <v>0.115</v>
      </c>
      <c r="AD11">
        <v>3.5000000000000003E-2</v>
      </c>
      <c r="AE11">
        <v>1.5640000000000001</v>
      </c>
      <c r="AF11">
        <v>1.96</v>
      </c>
      <c r="AG11">
        <v>2.6179999999999999</v>
      </c>
      <c r="AH11">
        <v>4.1820000000000004</v>
      </c>
      <c r="AI11">
        <v>0.33</v>
      </c>
      <c r="AJ11">
        <v>0</v>
      </c>
      <c r="AK11">
        <v>0</v>
      </c>
      <c r="AL11">
        <v>0.17399999999999999</v>
      </c>
      <c r="AM11">
        <v>-4.6619999999999999</v>
      </c>
      <c r="AN11">
        <v>2.4470000000000001</v>
      </c>
      <c r="AO11">
        <v>-5.0000000000000001E-3</v>
      </c>
      <c r="AP11">
        <v>-2.7E-2</v>
      </c>
      <c r="AQ11">
        <v>5.0000000000000001E-3</v>
      </c>
      <c r="AR11">
        <v>1.6E-2</v>
      </c>
      <c r="AS11">
        <v>4.3999999999999997E-2</v>
      </c>
      <c r="AT11">
        <v>5.8000000000000003E-2</v>
      </c>
      <c r="AU11">
        <v>-5.0999999999999997E-2</v>
      </c>
      <c r="AV11">
        <v>5.6000000000000001E-2</v>
      </c>
      <c r="AW11">
        <v>6.3E-2</v>
      </c>
      <c r="AX11">
        <v>4.5999999999999999E-2</v>
      </c>
      <c r="AY11">
        <v>8.0000000000000002E-3</v>
      </c>
      <c r="AZ11">
        <v>-1.4E-2</v>
      </c>
      <c r="BA11">
        <v>-1.4E-2</v>
      </c>
      <c r="BB11">
        <v>-6.3E-2</v>
      </c>
      <c r="BC11">
        <v>-4.4999999999999998E-2</v>
      </c>
      <c r="BD11">
        <v>-5.0999999999999997E-2</v>
      </c>
      <c r="BE11">
        <v>-1.7999999999999999E-2</v>
      </c>
      <c r="BF11">
        <v>0.372</v>
      </c>
      <c r="BG11">
        <v>0</v>
      </c>
      <c r="BH11">
        <v>0</v>
      </c>
      <c r="BI11">
        <v>8.7999999999999995E-2</v>
      </c>
      <c r="BJ11">
        <v>0</v>
      </c>
      <c r="BK11">
        <v>4.5999999999999999E-2</v>
      </c>
      <c r="BL11">
        <v>1.478</v>
      </c>
      <c r="BM11">
        <v>1.4319999999999999</v>
      </c>
      <c r="BN11">
        <v>-8.5999999999999993E-2</v>
      </c>
      <c r="BO11">
        <v>-8.7999999999999995E-2</v>
      </c>
      <c r="BP11">
        <v>-0.1</v>
      </c>
      <c r="BQ11">
        <v>6.8000000000000005E-2</v>
      </c>
      <c r="BR11">
        <v>0</v>
      </c>
    </row>
    <row r="12" spans="1:70" x14ac:dyDescent="0.25">
      <c r="A12" s="1" t="s">
        <v>79</v>
      </c>
      <c r="B12">
        <v>1</v>
      </c>
      <c r="C12">
        <v>0.46400000000000002</v>
      </c>
      <c r="D12">
        <v>0.13300000000000001</v>
      </c>
      <c r="E12">
        <v>0.27400000000000002</v>
      </c>
      <c r="F12">
        <v>0.40699999999999997</v>
      </c>
      <c r="G12">
        <v>0.11799999999999999</v>
      </c>
      <c r="H12">
        <v>1.4999999999999999E-2</v>
      </c>
      <c r="I12">
        <v>-0.22</v>
      </c>
      <c r="J12">
        <v>2.8000000000000001E-2</v>
      </c>
      <c r="K12">
        <v>2E-3</v>
      </c>
      <c r="L12">
        <v>-2.8000000000000001E-2</v>
      </c>
      <c r="M12">
        <v>-2.8000000000000001E-2</v>
      </c>
      <c r="N12">
        <v>0.43</v>
      </c>
      <c r="O12">
        <v>0.442</v>
      </c>
      <c r="P12">
        <v>1.149</v>
      </c>
      <c r="Q12">
        <v>7.0999999999999994E-2</v>
      </c>
      <c r="R12">
        <v>1.228</v>
      </c>
      <c r="S12">
        <v>0.34599999999999997</v>
      </c>
      <c r="T12">
        <v>9.2999999999999999E-2</v>
      </c>
      <c r="U12">
        <v>0.314</v>
      </c>
      <c r="V12">
        <v>1.9810000000000001</v>
      </c>
      <c r="W12">
        <v>0.70299999999999996</v>
      </c>
      <c r="X12">
        <v>1.585</v>
      </c>
      <c r="Y12">
        <v>0.374</v>
      </c>
      <c r="Z12">
        <v>3.0710000000000002</v>
      </c>
      <c r="AA12">
        <v>6.4160000000000004</v>
      </c>
      <c r="AB12">
        <v>8.3970000000000002</v>
      </c>
      <c r="AC12">
        <v>0.105</v>
      </c>
      <c r="AD12">
        <v>0.04</v>
      </c>
      <c r="AE12">
        <v>1.84</v>
      </c>
      <c r="AF12">
        <v>2.3109999999999999</v>
      </c>
      <c r="AG12">
        <v>3.1509999999999998</v>
      </c>
      <c r="AH12">
        <v>4.9909999999999997</v>
      </c>
      <c r="AI12">
        <v>0.39400000000000002</v>
      </c>
      <c r="AJ12">
        <v>0</v>
      </c>
      <c r="AK12">
        <v>0</v>
      </c>
      <c r="AL12">
        <v>0.188</v>
      </c>
      <c r="AM12">
        <v>-5.3550000000000004</v>
      </c>
      <c r="AN12">
        <v>3.218</v>
      </c>
      <c r="AO12">
        <v>-4.2999999999999997E-2</v>
      </c>
      <c r="AP12">
        <v>-3.4000000000000002E-2</v>
      </c>
      <c r="AQ12">
        <v>5.0000000000000001E-3</v>
      </c>
      <c r="AR12">
        <v>4.7E-2</v>
      </c>
      <c r="AS12">
        <v>5.1999999999999998E-2</v>
      </c>
      <c r="AT12">
        <v>6.7000000000000004E-2</v>
      </c>
      <c r="AU12">
        <v>-0.04</v>
      </c>
      <c r="AV12">
        <v>9.6000000000000002E-2</v>
      </c>
      <c r="AW12">
        <v>7.9000000000000001E-2</v>
      </c>
      <c r="AX12">
        <v>2.4E-2</v>
      </c>
      <c r="AY12">
        <v>-2.5000000000000001E-2</v>
      </c>
      <c r="AZ12">
        <v>-1.7000000000000001E-2</v>
      </c>
      <c r="BA12">
        <v>-1.7000000000000001E-2</v>
      </c>
      <c r="BB12">
        <v>-7.4999999999999997E-2</v>
      </c>
      <c r="BC12">
        <v>-0.12</v>
      </c>
      <c r="BD12">
        <v>-6.9000000000000006E-2</v>
      </c>
      <c r="BE12">
        <v>-3.2000000000000001E-2</v>
      </c>
      <c r="BF12">
        <v>0.45700000000000002</v>
      </c>
      <c r="BG12">
        <v>0</v>
      </c>
      <c r="BH12">
        <v>0</v>
      </c>
      <c r="BI12">
        <v>0.10199999999999999</v>
      </c>
      <c r="BJ12">
        <v>-4.0000000000000001E-3</v>
      </c>
      <c r="BK12">
        <v>2.4E-2</v>
      </c>
      <c r="BL12">
        <v>1.756</v>
      </c>
      <c r="BM12">
        <v>1.7330000000000001</v>
      </c>
      <c r="BN12">
        <v>-0.16800000000000001</v>
      </c>
      <c r="BO12">
        <v>-0.191</v>
      </c>
      <c r="BP12">
        <v>-0.185</v>
      </c>
      <c r="BQ12">
        <v>0.14099999999999999</v>
      </c>
      <c r="BR12">
        <v>0</v>
      </c>
    </row>
    <row r="13" spans="1:70" x14ac:dyDescent="0.25">
      <c r="A13" s="1" t="s">
        <v>80</v>
      </c>
      <c r="B13">
        <v>1</v>
      </c>
      <c r="C13">
        <v>0.48199999999999998</v>
      </c>
      <c r="D13">
        <v>0.151</v>
      </c>
      <c r="E13">
        <v>0.308</v>
      </c>
      <c r="F13">
        <v>0.45800000000000002</v>
      </c>
      <c r="G13">
        <v>0.13300000000000001</v>
      </c>
      <c r="H13">
        <v>1.4E-2</v>
      </c>
      <c r="I13">
        <v>-0.28000000000000003</v>
      </c>
      <c r="J13">
        <v>3.2000000000000001E-2</v>
      </c>
      <c r="K13">
        <v>2E-3</v>
      </c>
      <c r="L13">
        <v>-2.5000000000000001E-2</v>
      </c>
      <c r="M13">
        <v>-0.159</v>
      </c>
      <c r="N13">
        <v>0.495</v>
      </c>
      <c r="O13">
        <v>0.50600000000000001</v>
      </c>
      <c r="P13">
        <v>1.4419999999999999</v>
      </c>
      <c r="Q13">
        <v>0.17199999999999999</v>
      </c>
      <c r="R13">
        <v>1.615</v>
      </c>
      <c r="S13">
        <v>0.315</v>
      </c>
      <c r="T13">
        <v>0.11799999999999999</v>
      </c>
      <c r="U13">
        <v>0.35299999999999998</v>
      </c>
      <c r="V13">
        <v>2.4020000000000001</v>
      </c>
      <c r="W13">
        <v>0.81699999999999995</v>
      </c>
      <c r="X13">
        <v>1.708</v>
      </c>
      <c r="Y13">
        <v>0.38200000000000001</v>
      </c>
      <c r="Z13">
        <v>3.4449999999999998</v>
      </c>
      <c r="AA13">
        <v>7.101</v>
      </c>
      <c r="AB13">
        <v>9.5030000000000001</v>
      </c>
      <c r="AC13">
        <v>8.1000000000000003E-2</v>
      </c>
      <c r="AD13">
        <v>4.7E-2</v>
      </c>
      <c r="AE13">
        <v>2.0190000000000001</v>
      </c>
      <c r="AF13">
        <v>2.5950000000000002</v>
      </c>
      <c r="AG13">
        <v>3.5859999999999999</v>
      </c>
      <c r="AH13">
        <v>5.6050000000000004</v>
      </c>
      <c r="AI13">
        <v>0.45600000000000002</v>
      </c>
      <c r="AJ13">
        <v>0</v>
      </c>
      <c r="AK13">
        <v>0</v>
      </c>
      <c r="AL13">
        <v>0.26200000000000001</v>
      </c>
      <c r="AM13">
        <v>-6.2649999999999997</v>
      </c>
      <c r="AN13">
        <v>3.6360000000000001</v>
      </c>
      <c r="AO13">
        <v>-0.1</v>
      </c>
      <c r="AP13">
        <v>-0.04</v>
      </c>
      <c r="AQ13">
        <v>-2E-3</v>
      </c>
      <c r="AR13">
        <v>4.2999999999999997E-2</v>
      </c>
      <c r="AS13">
        <v>5.6000000000000001E-2</v>
      </c>
      <c r="AT13">
        <v>7.1999999999999995E-2</v>
      </c>
      <c r="AU13">
        <v>-3.2000000000000001E-2</v>
      </c>
      <c r="AV13">
        <v>9.8000000000000004E-2</v>
      </c>
      <c r="AW13">
        <v>9.7000000000000003E-2</v>
      </c>
      <c r="AX13">
        <v>0.13600000000000001</v>
      </c>
      <c r="AY13">
        <v>-7.6999999999999999E-2</v>
      </c>
      <c r="AZ13">
        <v>-2.3E-2</v>
      </c>
      <c r="BA13">
        <v>-2.3E-2</v>
      </c>
      <c r="BB13">
        <v>5.0999999999999997E-2</v>
      </c>
      <c r="BC13">
        <v>-0.17399999999999999</v>
      </c>
      <c r="BD13">
        <v>5.8999999999999997E-2</v>
      </c>
      <c r="BE13">
        <v>-6.3E-2</v>
      </c>
      <c r="BF13">
        <v>0</v>
      </c>
      <c r="BG13">
        <v>0</v>
      </c>
      <c r="BH13">
        <v>0</v>
      </c>
      <c r="BI13">
        <v>0.152</v>
      </c>
      <c r="BJ13">
        <v>2E-3</v>
      </c>
      <c r="BK13">
        <v>0.13600000000000001</v>
      </c>
      <c r="BL13">
        <v>2.0379999999999998</v>
      </c>
      <c r="BM13">
        <v>1.901</v>
      </c>
      <c r="BN13">
        <v>-0.224</v>
      </c>
      <c r="BO13">
        <v>-0.255</v>
      </c>
      <c r="BP13">
        <v>-0.247</v>
      </c>
      <c r="BQ13">
        <v>0.38300000000000001</v>
      </c>
      <c r="BR13">
        <v>0</v>
      </c>
    </row>
    <row r="14" spans="1:70" x14ac:dyDescent="0.25">
      <c r="A14" s="1" t="s">
        <v>81</v>
      </c>
      <c r="B14">
        <v>1</v>
      </c>
      <c r="C14">
        <v>0.47699999999999998</v>
      </c>
      <c r="D14">
        <v>0.17699999999999999</v>
      </c>
      <c r="E14">
        <v>0.32900000000000001</v>
      </c>
      <c r="F14">
        <v>0.50600000000000001</v>
      </c>
      <c r="G14">
        <v>0.151</v>
      </c>
      <c r="H14">
        <v>4.0000000000000001E-3</v>
      </c>
      <c r="I14">
        <v>-0.35799999999999998</v>
      </c>
      <c r="J14">
        <v>3.5000000000000003E-2</v>
      </c>
      <c r="K14">
        <v>2E-3</v>
      </c>
      <c r="L14">
        <v>-1.9E-2</v>
      </c>
      <c r="M14">
        <v>-7.8E-2</v>
      </c>
      <c r="N14">
        <v>0.55000000000000004</v>
      </c>
      <c r="O14">
        <v>0.56100000000000005</v>
      </c>
      <c r="P14">
        <v>1.6060000000000001</v>
      </c>
      <c r="Q14">
        <v>0.28100000000000003</v>
      </c>
      <c r="R14">
        <v>1.887</v>
      </c>
      <c r="S14">
        <v>0.314</v>
      </c>
      <c r="T14">
        <v>0.11899999999999999</v>
      </c>
      <c r="U14">
        <v>0.375</v>
      </c>
      <c r="V14">
        <v>2.6949999999999998</v>
      </c>
      <c r="W14">
        <v>0.94</v>
      </c>
      <c r="X14">
        <v>1.6679999999999999</v>
      </c>
      <c r="Y14">
        <v>0.38500000000000001</v>
      </c>
      <c r="Z14">
        <v>3.6640000000000001</v>
      </c>
      <c r="AA14">
        <v>7.4420000000000002</v>
      </c>
      <c r="AB14">
        <v>10.137</v>
      </c>
      <c r="AC14">
        <v>8.6999999999999994E-2</v>
      </c>
      <c r="AD14">
        <v>5.2999999999999999E-2</v>
      </c>
      <c r="AE14">
        <v>2.1909999999999998</v>
      </c>
      <c r="AF14">
        <v>2.738</v>
      </c>
      <c r="AG14">
        <v>3.851</v>
      </c>
      <c r="AH14">
        <v>6.0419999999999998</v>
      </c>
      <c r="AI14">
        <v>0.51900000000000002</v>
      </c>
      <c r="AJ14">
        <v>0</v>
      </c>
      <c r="AK14">
        <v>0</v>
      </c>
      <c r="AL14">
        <v>0.36299999999999999</v>
      </c>
      <c r="AM14">
        <v>-6.9039999999999999</v>
      </c>
      <c r="AN14">
        <v>3.7320000000000002</v>
      </c>
      <c r="AO14">
        <v>-0.19400000000000001</v>
      </c>
      <c r="AP14">
        <v>-0.04</v>
      </c>
      <c r="AQ14">
        <v>5.0000000000000001E-3</v>
      </c>
      <c r="AR14">
        <v>9.5000000000000001E-2</v>
      </c>
      <c r="AS14">
        <v>5.8000000000000003E-2</v>
      </c>
      <c r="AT14">
        <v>7.3999999999999996E-2</v>
      </c>
      <c r="AU14">
        <v>-2.7E-2</v>
      </c>
      <c r="AV14">
        <v>8.4000000000000005E-2</v>
      </c>
      <c r="AW14">
        <v>2.5000000000000001E-2</v>
      </c>
      <c r="AX14">
        <v>-0.125</v>
      </c>
      <c r="AY14">
        <v>-0.16500000000000001</v>
      </c>
      <c r="AZ14">
        <v>-2.9000000000000001E-2</v>
      </c>
      <c r="BA14">
        <v>-2.9000000000000001E-2</v>
      </c>
      <c r="BB14">
        <v>-1.6E-2</v>
      </c>
      <c r="BC14">
        <v>-0.188</v>
      </c>
      <c r="BD14">
        <v>-5.3999999999999999E-2</v>
      </c>
      <c r="BE14">
        <v>-7.0999999999999994E-2</v>
      </c>
      <c r="BF14">
        <v>0</v>
      </c>
      <c r="BG14">
        <v>0</v>
      </c>
      <c r="BH14">
        <v>0</v>
      </c>
      <c r="BI14">
        <v>8.5999999999999993E-2</v>
      </c>
      <c r="BJ14">
        <v>7.0000000000000001E-3</v>
      </c>
      <c r="BK14">
        <v>-0.125</v>
      </c>
      <c r="BL14">
        <v>2.15</v>
      </c>
      <c r="BM14">
        <v>2.2749999999999999</v>
      </c>
      <c r="BN14">
        <v>-0.30099999999999999</v>
      </c>
      <c r="BO14">
        <v>-0.34</v>
      </c>
      <c r="BP14">
        <v>-0.33</v>
      </c>
      <c r="BQ14">
        <v>0.504</v>
      </c>
      <c r="BR14">
        <v>0</v>
      </c>
    </row>
    <row r="15" spans="1:70" x14ac:dyDescent="0.25">
      <c r="A15" s="1" t="s">
        <v>82</v>
      </c>
      <c r="B15">
        <v>1</v>
      </c>
      <c r="C15">
        <v>0.47399999999999998</v>
      </c>
      <c r="D15">
        <v>0.19900000000000001</v>
      </c>
      <c r="E15">
        <v>0.33200000000000002</v>
      </c>
      <c r="F15">
        <v>0.53100000000000003</v>
      </c>
      <c r="G15">
        <v>0.18099999999999999</v>
      </c>
      <c r="H15">
        <v>2E-3</v>
      </c>
      <c r="I15">
        <v>-0.44800000000000001</v>
      </c>
      <c r="J15">
        <v>0.04</v>
      </c>
      <c r="K15">
        <v>2E-3</v>
      </c>
      <c r="L15">
        <v>2.1000000000000001E-2</v>
      </c>
      <c r="M15">
        <v>-0.34399999999999997</v>
      </c>
      <c r="N15">
        <v>0.61899999999999999</v>
      </c>
      <c r="O15">
        <v>0.625</v>
      </c>
      <c r="P15">
        <v>2.0449999999999999</v>
      </c>
      <c r="Q15">
        <v>0.36399999999999999</v>
      </c>
      <c r="R15">
        <v>2.4089999999999998</v>
      </c>
      <c r="S15">
        <v>0.308</v>
      </c>
      <c r="T15">
        <v>0.11799999999999999</v>
      </c>
      <c r="U15">
        <v>0.42099999999999999</v>
      </c>
      <c r="V15">
        <v>3.2570000000000001</v>
      </c>
      <c r="W15">
        <v>1.1020000000000001</v>
      </c>
      <c r="X15">
        <v>1.571</v>
      </c>
      <c r="Y15">
        <v>0.36799999999999999</v>
      </c>
      <c r="Z15">
        <v>3.7679999999999998</v>
      </c>
      <c r="AA15">
        <v>7.6749999999999998</v>
      </c>
      <c r="AB15">
        <v>10.932</v>
      </c>
      <c r="AC15">
        <v>8.4000000000000005E-2</v>
      </c>
      <c r="AD15">
        <v>6.2E-2</v>
      </c>
      <c r="AE15">
        <v>2.3570000000000002</v>
      </c>
      <c r="AF15">
        <v>3.0470000000000002</v>
      </c>
      <c r="AG15">
        <v>4.3319999999999999</v>
      </c>
      <c r="AH15">
        <v>6.6890000000000001</v>
      </c>
      <c r="AI15">
        <v>0.59799999999999998</v>
      </c>
      <c r="AJ15">
        <v>0</v>
      </c>
      <c r="AK15">
        <v>0</v>
      </c>
      <c r="AL15">
        <v>0.36499999999999999</v>
      </c>
      <c r="AM15">
        <v>-7.8339999999999996</v>
      </c>
      <c r="AN15">
        <v>3.8780000000000001</v>
      </c>
      <c r="AO15">
        <v>-0.29599999999999999</v>
      </c>
      <c r="AP15">
        <v>-2.9000000000000001E-2</v>
      </c>
      <c r="AQ15">
        <v>-8.0000000000000002E-3</v>
      </c>
      <c r="AR15">
        <v>0.1</v>
      </c>
      <c r="AS15">
        <v>5.8000000000000003E-2</v>
      </c>
      <c r="AT15">
        <v>7.2999999999999995E-2</v>
      </c>
      <c r="AU15">
        <v>1.0999999999999999E-2</v>
      </c>
      <c r="AV15">
        <v>8.5000000000000006E-2</v>
      </c>
      <c r="AW15">
        <v>2.1999999999999999E-2</v>
      </c>
      <c r="AX15">
        <v>-0.255</v>
      </c>
      <c r="AY15">
        <v>-0.253</v>
      </c>
      <c r="AZ15">
        <v>-4.2999999999999997E-2</v>
      </c>
      <c r="BA15">
        <v>-4.2999999999999997E-2</v>
      </c>
      <c r="BB15">
        <v>-1.2999999999999999E-2</v>
      </c>
      <c r="BC15">
        <v>-0.24</v>
      </c>
      <c r="BD15">
        <v>-0.11</v>
      </c>
      <c r="BE15">
        <v>-0.159</v>
      </c>
      <c r="BF15">
        <v>0</v>
      </c>
      <c r="BG15">
        <v>0</v>
      </c>
      <c r="BH15">
        <v>0</v>
      </c>
      <c r="BI15">
        <v>0.106</v>
      </c>
      <c r="BJ15">
        <v>2E-3</v>
      </c>
      <c r="BK15">
        <v>-0.255</v>
      </c>
      <c r="BL15">
        <v>2.6110000000000002</v>
      </c>
      <c r="BM15">
        <v>2.8660000000000001</v>
      </c>
      <c r="BN15">
        <v>-0.39</v>
      </c>
      <c r="BO15">
        <v>-0.46899999999999997</v>
      </c>
      <c r="BP15">
        <v>-0.433</v>
      </c>
      <c r="BQ15">
        <v>0.89900000000000002</v>
      </c>
      <c r="BR15">
        <v>0</v>
      </c>
    </row>
    <row r="16" spans="1:70" x14ac:dyDescent="0.25">
      <c r="A16" s="1" t="s">
        <v>83</v>
      </c>
      <c r="B16">
        <v>1</v>
      </c>
      <c r="C16">
        <v>0.496</v>
      </c>
      <c r="D16">
        <v>0.221</v>
      </c>
      <c r="E16">
        <v>0.29699999999999999</v>
      </c>
      <c r="F16">
        <v>0.51700000000000002</v>
      </c>
      <c r="G16">
        <v>0.183</v>
      </c>
      <c r="H16">
        <v>5.0000000000000001E-3</v>
      </c>
      <c r="I16">
        <v>-0.40300000000000002</v>
      </c>
      <c r="J16">
        <v>3.7999999999999999E-2</v>
      </c>
      <c r="K16">
        <v>5.0000000000000001E-3</v>
      </c>
      <c r="L16">
        <v>-1.6E-2</v>
      </c>
      <c r="M16">
        <v>-0.56000000000000005</v>
      </c>
      <c r="N16">
        <v>0.57999999999999996</v>
      </c>
      <c r="O16">
        <v>0.58099999999999996</v>
      </c>
      <c r="P16">
        <v>2.2120000000000002</v>
      </c>
      <c r="Q16">
        <v>0.34599999999999997</v>
      </c>
      <c r="R16">
        <v>2.5579999999999998</v>
      </c>
      <c r="S16">
        <v>0.25900000000000001</v>
      </c>
      <c r="T16">
        <v>0.108</v>
      </c>
      <c r="U16">
        <v>0.39200000000000002</v>
      </c>
      <c r="V16">
        <v>3.3180000000000001</v>
      </c>
      <c r="W16">
        <v>1.0780000000000001</v>
      </c>
      <c r="X16">
        <v>1.1739999999999999</v>
      </c>
      <c r="Y16">
        <v>0.27400000000000002</v>
      </c>
      <c r="Z16">
        <v>3.3250000000000002</v>
      </c>
      <c r="AA16">
        <v>6.657</v>
      </c>
      <c r="AB16">
        <v>9.9749999999999996</v>
      </c>
      <c r="AC16">
        <v>7.8E-2</v>
      </c>
      <c r="AD16">
        <v>6.2E-2</v>
      </c>
      <c r="AE16">
        <v>2.1779999999999999</v>
      </c>
      <c r="AF16">
        <v>2.71</v>
      </c>
      <c r="AG16">
        <v>3.9239999999999999</v>
      </c>
      <c r="AH16">
        <v>6.1020000000000003</v>
      </c>
      <c r="AI16">
        <v>0.56799999999999995</v>
      </c>
      <c r="AJ16">
        <v>0</v>
      </c>
      <c r="AK16">
        <v>0</v>
      </c>
      <c r="AL16">
        <v>0.38700000000000001</v>
      </c>
      <c r="AM16">
        <v>-7.0919999999999996</v>
      </c>
      <c r="AN16">
        <v>3.4860000000000002</v>
      </c>
      <c r="AO16">
        <v>-0.27800000000000002</v>
      </c>
      <c r="AP16">
        <v>1.2E-2</v>
      </c>
      <c r="AQ16">
        <v>-1.0999999999999999E-2</v>
      </c>
      <c r="AR16">
        <v>3.2000000000000001E-2</v>
      </c>
      <c r="AS16">
        <v>4.8000000000000001E-2</v>
      </c>
      <c r="AT16">
        <v>6.8000000000000005E-2</v>
      </c>
      <c r="AU16">
        <v>-2.1999999999999999E-2</v>
      </c>
      <c r="AV16">
        <v>6.0999999999999999E-2</v>
      </c>
      <c r="AW16">
        <v>2.8000000000000001E-2</v>
      </c>
      <c r="AX16">
        <v>-0.38700000000000001</v>
      </c>
      <c r="AY16">
        <v>-0.22700000000000001</v>
      </c>
      <c r="AZ16">
        <v>-5.0999999999999997E-2</v>
      </c>
      <c r="BA16">
        <v>-5.0999999999999997E-2</v>
      </c>
      <c r="BB16">
        <v>-0.114</v>
      </c>
      <c r="BC16">
        <v>-0.17499999999999999</v>
      </c>
      <c r="BD16">
        <v>-0.23799999999999999</v>
      </c>
      <c r="BE16">
        <v>-0.13600000000000001</v>
      </c>
      <c r="BF16">
        <v>0</v>
      </c>
      <c r="BG16">
        <v>0</v>
      </c>
      <c r="BH16">
        <v>0</v>
      </c>
      <c r="BI16">
        <v>0.114</v>
      </c>
      <c r="BJ16">
        <v>-8.0000000000000002E-3</v>
      </c>
      <c r="BK16">
        <v>-0.38700000000000001</v>
      </c>
      <c r="BL16">
        <v>2.7149999999999999</v>
      </c>
      <c r="BM16">
        <v>3.1019999999999999</v>
      </c>
      <c r="BN16">
        <v>-0.35499999999999998</v>
      </c>
      <c r="BO16">
        <v>-0.38700000000000001</v>
      </c>
      <c r="BP16">
        <v>-0.40600000000000003</v>
      </c>
      <c r="BQ16">
        <v>1.139</v>
      </c>
      <c r="BR16">
        <v>0</v>
      </c>
    </row>
    <row r="17" spans="1:70" x14ac:dyDescent="0.25">
      <c r="A17" s="1" t="s">
        <v>84</v>
      </c>
      <c r="B17">
        <v>1</v>
      </c>
      <c r="C17">
        <v>0.49299999999999999</v>
      </c>
      <c r="D17">
        <v>0.214</v>
      </c>
      <c r="E17">
        <v>0.29199999999999998</v>
      </c>
      <c r="F17">
        <v>0.50700000000000001</v>
      </c>
      <c r="G17">
        <v>0.17899999999999999</v>
      </c>
      <c r="H17">
        <v>4.0000000000000001E-3</v>
      </c>
      <c r="I17">
        <v>-0.38200000000000001</v>
      </c>
      <c r="J17">
        <v>3.4000000000000002E-2</v>
      </c>
      <c r="K17">
        <v>8.0000000000000002E-3</v>
      </c>
      <c r="L17">
        <v>-1.4999999999999999E-2</v>
      </c>
      <c r="M17">
        <v>-0.53100000000000003</v>
      </c>
      <c r="N17">
        <v>0.53400000000000003</v>
      </c>
      <c r="O17">
        <v>0.53400000000000003</v>
      </c>
      <c r="P17">
        <v>2.4609999999999999</v>
      </c>
      <c r="Q17">
        <v>0.26500000000000001</v>
      </c>
      <c r="R17">
        <v>2.7250000000000001</v>
      </c>
      <c r="S17">
        <v>0.252</v>
      </c>
      <c r="T17">
        <v>4.9000000000000002E-2</v>
      </c>
      <c r="U17">
        <v>0.372</v>
      </c>
      <c r="V17">
        <v>3.3980000000000001</v>
      </c>
      <c r="W17">
        <v>1.022</v>
      </c>
      <c r="X17">
        <v>0.63500000000000001</v>
      </c>
      <c r="Y17">
        <v>0.14000000000000001</v>
      </c>
      <c r="Z17">
        <v>3.2290000000000001</v>
      </c>
      <c r="AA17">
        <v>5.7670000000000003</v>
      </c>
      <c r="AB17">
        <v>9.1649999999999991</v>
      </c>
      <c r="AC17">
        <v>7.4999999999999997E-2</v>
      </c>
      <c r="AD17">
        <v>5.8999999999999997E-2</v>
      </c>
      <c r="AE17">
        <v>1.9319999999999999</v>
      </c>
      <c r="AF17">
        <v>2.3769999999999998</v>
      </c>
      <c r="AG17">
        <v>3.52</v>
      </c>
      <c r="AH17">
        <v>5.452</v>
      </c>
      <c r="AI17">
        <v>0.52800000000000002</v>
      </c>
      <c r="AJ17">
        <v>0</v>
      </c>
      <c r="AK17">
        <v>0</v>
      </c>
      <c r="AL17">
        <v>0.32200000000000001</v>
      </c>
      <c r="AM17">
        <v>-6.077</v>
      </c>
      <c r="AN17">
        <v>3.391</v>
      </c>
      <c r="AO17">
        <v>-0.34</v>
      </c>
      <c r="AP17">
        <v>2.4E-2</v>
      </c>
      <c r="AQ17">
        <v>6.0000000000000001E-3</v>
      </c>
      <c r="AR17">
        <v>2.8000000000000001E-2</v>
      </c>
      <c r="AS17">
        <v>3.7999999999999999E-2</v>
      </c>
      <c r="AT17">
        <v>6.4000000000000001E-2</v>
      </c>
      <c r="AU17">
        <v>-2.3E-2</v>
      </c>
      <c r="AV17">
        <v>-5.0000000000000001E-3</v>
      </c>
      <c r="AW17">
        <v>-6.4000000000000001E-2</v>
      </c>
      <c r="AX17">
        <v>-0.53</v>
      </c>
      <c r="AY17">
        <v>-0.28799999999999998</v>
      </c>
      <c r="AZ17">
        <v>-5.1999999999999998E-2</v>
      </c>
      <c r="BA17">
        <v>-5.1999999999999998E-2</v>
      </c>
      <c r="BB17">
        <v>-0.13800000000000001</v>
      </c>
      <c r="BC17">
        <v>-0.157</v>
      </c>
      <c r="BD17">
        <v>-0.26100000000000001</v>
      </c>
      <c r="BE17">
        <v>-8.4000000000000005E-2</v>
      </c>
      <c r="BF17">
        <v>0</v>
      </c>
      <c r="BG17">
        <v>-6.0000000000000001E-3</v>
      </c>
      <c r="BH17">
        <v>-5.0000000000000001E-3</v>
      </c>
      <c r="BI17">
        <v>3.1E-2</v>
      </c>
      <c r="BJ17">
        <v>-1.0999999999999999E-2</v>
      </c>
      <c r="BK17">
        <v>-0.53</v>
      </c>
      <c r="BL17">
        <v>2.8860000000000001</v>
      </c>
      <c r="BM17">
        <v>3.415</v>
      </c>
      <c r="BN17">
        <v>-0.34399999999999997</v>
      </c>
      <c r="BO17">
        <v>-0.36699999999999999</v>
      </c>
      <c r="BP17">
        <v>-0.39600000000000002</v>
      </c>
      <c r="BQ17">
        <v>1.466</v>
      </c>
      <c r="BR17">
        <v>0</v>
      </c>
    </row>
    <row r="18" spans="1:70" x14ac:dyDescent="0.25">
      <c r="A18" s="1" t="s">
        <v>85</v>
      </c>
      <c r="B18">
        <v>1</v>
      </c>
      <c r="C18">
        <v>0.501</v>
      </c>
      <c r="D18">
        <v>0.19500000000000001</v>
      </c>
      <c r="E18">
        <v>0.29199999999999998</v>
      </c>
      <c r="F18">
        <v>0.48599999999999999</v>
      </c>
      <c r="G18">
        <v>0.19</v>
      </c>
      <c r="H18">
        <v>0</v>
      </c>
      <c r="I18">
        <v>-0.36199999999999999</v>
      </c>
      <c r="J18">
        <v>3.1E-2</v>
      </c>
      <c r="K18">
        <v>1.2E-2</v>
      </c>
      <c r="L18">
        <v>-1.4999999999999999E-2</v>
      </c>
      <c r="M18">
        <v>-0.51</v>
      </c>
      <c r="N18">
        <v>0.503</v>
      </c>
      <c r="O18">
        <v>0.503</v>
      </c>
      <c r="P18">
        <v>2.8130000000000002</v>
      </c>
      <c r="Q18">
        <v>0.16900000000000001</v>
      </c>
      <c r="R18">
        <v>2.9820000000000002</v>
      </c>
      <c r="S18">
        <v>0.26700000000000002</v>
      </c>
      <c r="T18">
        <v>3.3000000000000002E-2</v>
      </c>
      <c r="U18">
        <v>0.36599999999999999</v>
      </c>
      <c r="V18">
        <v>3.6480000000000001</v>
      </c>
      <c r="W18">
        <v>0.96099999999999997</v>
      </c>
      <c r="X18">
        <v>0.39600000000000002</v>
      </c>
      <c r="Y18">
        <v>9.0999999999999998E-2</v>
      </c>
      <c r="Z18">
        <v>3.1869999999999998</v>
      </c>
      <c r="AA18">
        <v>5.3070000000000004</v>
      </c>
      <c r="AB18">
        <v>8.9550000000000001</v>
      </c>
      <c r="AC18">
        <v>6.3E-2</v>
      </c>
      <c r="AD18">
        <v>5.8000000000000003E-2</v>
      </c>
      <c r="AE18">
        <v>1.722</v>
      </c>
      <c r="AF18">
        <v>2.1829999999999998</v>
      </c>
      <c r="AG18">
        <v>3.2770000000000001</v>
      </c>
      <c r="AH18">
        <v>4.9989999999999997</v>
      </c>
      <c r="AI18">
        <v>0.498</v>
      </c>
      <c r="AJ18">
        <v>0</v>
      </c>
      <c r="AK18">
        <v>0</v>
      </c>
      <c r="AL18">
        <v>0.28799999999999998</v>
      </c>
      <c r="AM18">
        <v>-5.2679999999999998</v>
      </c>
      <c r="AN18">
        <v>3.669</v>
      </c>
      <c r="AO18">
        <v>-0.35699999999999998</v>
      </c>
      <c r="AP18">
        <v>0.04</v>
      </c>
      <c r="AQ18">
        <v>6.0000000000000001E-3</v>
      </c>
      <c r="AR18">
        <v>-3.9E-2</v>
      </c>
      <c r="AS18">
        <v>3.4000000000000002E-2</v>
      </c>
      <c r="AT18">
        <v>7.6999999999999999E-2</v>
      </c>
      <c r="AU18">
        <v>-2.5000000000000001E-2</v>
      </c>
      <c r="AV18">
        <v>-5.1999999999999998E-2</v>
      </c>
      <c r="AW18">
        <v>-5.8999999999999997E-2</v>
      </c>
      <c r="AX18">
        <v>-0.40899999999999997</v>
      </c>
      <c r="AY18">
        <v>-0.308</v>
      </c>
      <c r="AZ18">
        <v>-4.9000000000000002E-2</v>
      </c>
      <c r="BA18">
        <v>-4.9000000000000002E-2</v>
      </c>
      <c r="BB18">
        <v>-0.11700000000000001</v>
      </c>
      <c r="BC18">
        <v>-0.114</v>
      </c>
      <c r="BD18">
        <v>-0.23100000000000001</v>
      </c>
      <c r="BE18">
        <v>-0.08</v>
      </c>
      <c r="BF18">
        <v>0</v>
      </c>
      <c r="BG18">
        <v>-5.0000000000000001E-3</v>
      </c>
      <c r="BH18">
        <v>-4.0000000000000001E-3</v>
      </c>
      <c r="BI18">
        <v>0.14399999999999999</v>
      </c>
      <c r="BJ18">
        <v>-1.4E-2</v>
      </c>
      <c r="BK18">
        <v>-0.40899999999999997</v>
      </c>
      <c r="BL18">
        <v>3.2440000000000002</v>
      </c>
      <c r="BM18">
        <v>3.653</v>
      </c>
      <c r="BN18">
        <v>-0.32800000000000001</v>
      </c>
      <c r="BO18">
        <v>-0.34699999999999998</v>
      </c>
      <c r="BP18">
        <v>-0.378</v>
      </c>
      <c r="BQ18">
        <v>1.9259999999999999</v>
      </c>
      <c r="BR18">
        <v>0</v>
      </c>
    </row>
    <row r="19" spans="1:70" x14ac:dyDescent="0.25">
      <c r="A19" s="1" t="s">
        <v>86</v>
      </c>
      <c r="B19">
        <v>1</v>
      </c>
      <c r="C19">
        <v>0.499</v>
      </c>
      <c r="D19">
        <v>0.25600000000000001</v>
      </c>
      <c r="E19">
        <v>0.30599999999999999</v>
      </c>
      <c r="F19">
        <v>0.56200000000000006</v>
      </c>
      <c r="G19">
        <v>0.34799999999999998</v>
      </c>
      <c r="H19">
        <v>1E-3</v>
      </c>
      <c r="I19">
        <v>-0.60499999999999998</v>
      </c>
      <c r="J19">
        <v>3.2000000000000001E-2</v>
      </c>
      <c r="K19">
        <v>1.6E-2</v>
      </c>
      <c r="L19">
        <v>-1.4999999999999999E-2</v>
      </c>
      <c r="M19">
        <v>-0.71499999999999997</v>
      </c>
      <c r="N19">
        <v>0.42799999999999999</v>
      </c>
      <c r="O19">
        <v>0.42799999999999999</v>
      </c>
      <c r="P19">
        <v>2.9769999999999999</v>
      </c>
      <c r="Q19">
        <v>8.6999999999999994E-2</v>
      </c>
      <c r="R19">
        <v>3.0640000000000001</v>
      </c>
      <c r="S19">
        <v>0.29799999999999999</v>
      </c>
      <c r="T19">
        <v>3.2000000000000001E-2</v>
      </c>
      <c r="U19">
        <v>0.34200000000000003</v>
      </c>
      <c r="V19">
        <v>3.7349999999999999</v>
      </c>
      <c r="W19">
        <v>0.86499999999999999</v>
      </c>
      <c r="X19">
        <v>0.21</v>
      </c>
      <c r="Y19">
        <v>5.3999999999999999E-2</v>
      </c>
      <c r="Z19">
        <v>3.1160000000000001</v>
      </c>
      <c r="AA19">
        <v>4.8410000000000002</v>
      </c>
      <c r="AB19">
        <v>8.5749999999999993</v>
      </c>
      <c r="AC19">
        <v>5.2999999999999999E-2</v>
      </c>
      <c r="AD19">
        <v>5.2999999999999999E-2</v>
      </c>
      <c r="AE19">
        <v>1.591</v>
      </c>
      <c r="AF19">
        <v>1.879</v>
      </c>
      <c r="AG19">
        <v>2.9089999999999998</v>
      </c>
      <c r="AH19">
        <v>4.5</v>
      </c>
      <c r="AI19">
        <v>0.44900000000000001</v>
      </c>
      <c r="AJ19">
        <v>0</v>
      </c>
      <c r="AK19">
        <v>0</v>
      </c>
      <c r="AL19">
        <v>0.20200000000000001</v>
      </c>
      <c r="AM19">
        <v>-4.4569999999999999</v>
      </c>
      <c r="AN19">
        <v>3.8730000000000002</v>
      </c>
      <c r="AO19">
        <v>-0.32300000000000001</v>
      </c>
      <c r="AP19">
        <v>1.7000000000000001E-2</v>
      </c>
      <c r="AQ19">
        <v>3.0000000000000001E-3</v>
      </c>
      <c r="AR19">
        <v>-2E-3</v>
      </c>
      <c r="AS19">
        <v>3.1E-2</v>
      </c>
      <c r="AT19">
        <v>0.33300000000000002</v>
      </c>
      <c r="AU19">
        <v>-2.5000000000000001E-2</v>
      </c>
      <c r="AV19">
        <v>-0.03</v>
      </c>
      <c r="AW19">
        <v>-4.9000000000000002E-2</v>
      </c>
      <c r="AX19">
        <v>0.127</v>
      </c>
      <c r="AY19">
        <v>-0.27800000000000002</v>
      </c>
      <c r="AZ19">
        <v>-4.4999999999999998E-2</v>
      </c>
      <c r="BA19">
        <v>-4.4999999999999998E-2</v>
      </c>
      <c r="BB19">
        <v>-0.11</v>
      </c>
      <c r="BC19">
        <v>-7.1999999999999995E-2</v>
      </c>
      <c r="BD19">
        <v>-0.19500000000000001</v>
      </c>
      <c r="BE19">
        <v>-1.2E-2</v>
      </c>
      <c r="BF19">
        <v>0</v>
      </c>
      <c r="BG19">
        <v>-5.0000000000000001E-3</v>
      </c>
      <c r="BH19">
        <v>-4.0000000000000001E-3</v>
      </c>
      <c r="BI19">
        <v>0.61099999999999999</v>
      </c>
      <c r="BJ19">
        <v>-1.0999999999999999E-2</v>
      </c>
      <c r="BK19">
        <v>0.127</v>
      </c>
      <c r="BL19">
        <v>3.4220000000000002</v>
      </c>
      <c r="BM19">
        <v>3.2949999999999999</v>
      </c>
      <c r="BN19">
        <v>-0.57399999999999995</v>
      </c>
      <c r="BO19">
        <v>-0.59</v>
      </c>
      <c r="BP19">
        <v>-0.61899999999999999</v>
      </c>
      <c r="BQ19">
        <v>2.1440000000000001</v>
      </c>
      <c r="BR19">
        <v>0</v>
      </c>
    </row>
    <row r="20" spans="1:70" x14ac:dyDescent="0.25">
      <c r="A20" s="1" t="s">
        <v>87</v>
      </c>
      <c r="B20">
        <v>1</v>
      </c>
      <c r="C20">
        <v>0.49</v>
      </c>
      <c r="D20">
        <v>0.23300000000000001</v>
      </c>
      <c r="E20">
        <v>0.32700000000000001</v>
      </c>
      <c r="F20">
        <v>0.56000000000000005</v>
      </c>
      <c r="G20">
        <v>0.34200000000000003</v>
      </c>
      <c r="H20">
        <v>2E-3</v>
      </c>
      <c r="I20">
        <v>-0.60799999999999998</v>
      </c>
      <c r="J20">
        <v>0.04</v>
      </c>
      <c r="K20">
        <v>1.7000000000000001E-2</v>
      </c>
      <c r="L20">
        <v>3.0000000000000001E-3</v>
      </c>
      <c r="M20">
        <v>-0.60099999999999998</v>
      </c>
      <c r="N20">
        <v>0.438</v>
      </c>
      <c r="O20">
        <v>0.438</v>
      </c>
      <c r="P20">
        <v>2.899</v>
      </c>
      <c r="Q20">
        <v>3.1E-2</v>
      </c>
      <c r="R20">
        <v>2.93</v>
      </c>
      <c r="S20">
        <v>0.33400000000000002</v>
      </c>
      <c r="T20">
        <v>2.9000000000000001E-2</v>
      </c>
      <c r="U20">
        <v>0.33400000000000002</v>
      </c>
      <c r="V20">
        <v>3.6269999999999998</v>
      </c>
      <c r="W20">
        <v>0.83599999999999997</v>
      </c>
      <c r="X20">
        <v>4.5999999999999999E-2</v>
      </c>
      <c r="Y20">
        <v>2.1000000000000001E-2</v>
      </c>
      <c r="Z20">
        <v>3.3359999999999999</v>
      </c>
      <c r="AA20">
        <v>4.8150000000000004</v>
      </c>
      <c r="AB20">
        <v>8.4420000000000002</v>
      </c>
      <c r="AC20">
        <v>5.0999999999999997E-2</v>
      </c>
      <c r="AD20">
        <v>5.2999999999999999E-2</v>
      </c>
      <c r="AE20">
        <v>1.5049999999999999</v>
      </c>
      <c r="AF20">
        <v>2.0049999999999999</v>
      </c>
      <c r="AG20">
        <v>4.2</v>
      </c>
      <c r="AH20">
        <v>5.7060000000000004</v>
      </c>
      <c r="AI20">
        <v>0.441</v>
      </c>
      <c r="AJ20">
        <v>1.0049999999999999</v>
      </c>
      <c r="AK20">
        <v>-1.0049999999999999</v>
      </c>
      <c r="AL20">
        <v>0.13900000000000001</v>
      </c>
      <c r="AM20">
        <v>-3.859</v>
      </c>
      <c r="AN20">
        <v>2.597</v>
      </c>
      <c r="AO20">
        <v>-0.34699999999999998</v>
      </c>
      <c r="AP20">
        <v>-2.9000000000000001E-2</v>
      </c>
      <c r="AQ20">
        <v>7.0000000000000001E-3</v>
      </c>
      <c r="AR20">
        <v>1.7999999999999999E-2</v>
      </c>
      <c r="AS20">
        <v>3.3000000000000002E-2</v>
      </c>
      <c r="AT20">
        <v>0.32500000000000001</v>
      </c>
      <c r="AU20">
        <v>-6.0000000000000001E-3</v>
      </c>
      <c r="AV20">
        <v>-3.5000000000000003E-2</v>
      </c>
      <c r="AW20">
        <v>-3.2000000000000001E-2</v>
      </c>
      <c r="AX20">
        <v>0.27300000000000002</v>
      </c>
      <c r="AY20">
        <v>-0.30499999999999999</v>
      </c>
      <c r="AZ20">
        <v>-4.2000000000000003E-2</v>
      </c>
      <c r="BA20">
        <v>-4.2000000000000003E-2</v>
      </c>
      <c r="BB20">
        <v>-5.0000000000000001E-3</v>
      </c>
      <c r="BC20">
        <v>-3.7999999999999999E-2</v>
      </c>
      <c r="BD20">
        <v>-5.6000000000000001E-2</v>
      </c>
      <c r="BE20">
        <v>-1.2E-2</v>
      </c>
      <c r="BF20">
        <v>0</v>
      </c>
      <c r="BG20">
        <v>-5.0000000000000001E-3</v>
      </c>
      <c r="BH20">
        <v>-4.0000000000000001E-3</v>
      </c>
      <c r="BI20">
        <v>0.63200000000000001</v>
      </c>
      <c r="BJ20">
        <v>0</v>
      </c>
      <c r="BK20">
        <v>0.27300000000000002</v>
      </c>
      <c r="BL20">
        <v>3.399</v>
      </c>
      <c r="BM20">
        <v>3.1259999999999999</v>
      </c>
      <c r="BN20">
        <v>-0.57399999999999995</v>
      </c>
      <c r="BO20">
        <v>-0.61099999999999999</v>
      </c>
      <c r="BP20">
        <v>-0.61599999999999999</v>
      </c>
      <c r="BQ20">
        <v>2.1219999999999999</v>
      </c>
      <c r="BR20">
        <v>0</v>
      </c>
    </row>
    <row r="21" spans="1:70" x14ac:dyDescent="0.25">
      <c r="A21" s="1" t="s">
        <v>88</v>
      </c>
      <c r="B21">
        <v>1</v>
      </c>
      <c r="C21">
        <v>0.47199999999999998</v>
      </c>
      <c r="D21">
        <v>0.246</v>
      </c>
      <c r="E21">
        <v>0.33300000000000002</v>
      </c>
      <c r="F21">
        <v>0.57899999999999996</v>
      </c>
      <c r="G21">
        <v>0.35199999999999998</v>
      </c>
      <c r="H21">
        <v>2E-3</v>
      </c>
      <c r="I21">
        <v>-0.66500000000000004</v>
      </c>
      <c r="J21">
        <v>0.05</v>
      </c>
      <c r="K21">
        <v>1.7000000000000001E-2</v>
      </c>
      <c r="L21">
        <v>-2.3E-2</v>
      </c>
      <c r="M21">
        <v>-0.63600000000000001</v>
      </c>
      <c r="N21">
        <v>0.47199999999999998</v>
      </c>
      <c r="O21">
        <v>0.47199999999999998</v>
      </c>
      <c r="P21">
        <v>2.8</v>
      </c>
      <c r="Q21">
        <v>0</v>
      </c>
      <c r="R21">
        <v>2.8</v>
      </c>
      <c r="S21">
        <v>0.372</v>
      </c>
      <c r="T21">
        <v>0.08</v>
      </c>
      <c r="U21">
        <v>0.27600000000000002</v>
      </c>
      <c r="V21">
        <v>3.528</v>
      </c>
      <c r="W21">
        <v>0.77800000000000002</v>
      </c>
      <c r="X21">
        <v>4.9000000000000002E-2</v>
      </c>
      <c r="Y21">
        <v>2.4E-2</v>
      </c>
      <c r="Z21">
        <v>3.5990000000000002</v>
      </c>
      <c r="AA21">
        <v>5.0270000000000001</v>
      </c>
      <c r="AB21">
        <v>8.5540000000000003</v>
      </c>
      <c r="AC21">
        <v>4.5999999999999999E-2</v>
      </c>
      <c r="AD21">
        <v>4.2999999999999997E-2</v>
      </c>
      <c r="AE21">
        <v>1.607</v>
      </c>
      <c r="AF21">
        <v>1.9670000000000001</v>
      </c>
      <c r="AG21">
        <v>4.3540000000000001</v>
      </c>
      <c r="AH21">
        <v>5.96</v>
      </c>
      <c r="AI21">
        <v>0.34599999999999997</v>
      </c>
      <c r="AJ21">
        <v>1.0900000000000001</v>
      </c>
      <c r="AK21">
        <v>-1.0900000000000001</v>
      </c>
      <c r="AL21">
        <v>7.3999999999999996E-2</v>
      </c>
      <c r="AM21">
        <v>-3.7210000000000001</v>
      </c>
      <c r="AN21">
        <v>2.52</v>
      </c>
      <c r="AO21">
        <v>-0.29199999999999998</v>
      </c>
      <c r="AP21">
        <v>-0.02</v>
      </c>
      <c r="AQ21">
        <v>0</v>
      </c>
      <c r="AR21">
        <v>0.02</v>
      </c>
      <c r="AS21">
        <v>3.6999999999999998E-2</v>
      </c>
      <c r="AT21">
        <v>0.33500000000000002</v>
      </c>
      <c r="AU21">
        <v>-3.4000000000000002E-2</v>
      </c>
      <c r="AV21">
        <v>6.2E-2</v>
      </c>
      <c r="AW21">
        <v>6.2E-2</v>
      </c>
      <c r="AX21">
        <v>0.623</v>
      </c>
      <c r="AY21">
        <v>-0.245</v>
      </c>
      <c r="AZ21">
        <v>-4.5999999999999999E-2</v>
      </c>
      <c r="BA21">
        <v>-4.5999999999999999E-2</v>
      </c>
      <c r="BB21">
        <v>2.1999999999999999E-2</v>
      </c>
      <c r="BC21">
        <v>0</v>
      </c>
      <c r="BD21">
        <v>-1.7999999999999999E-2</v>
      </c>
      <c r="BE21">
        <v>-1.4E-2</v>
      </c>
      <c r="BF21">
        <v>0</v>
      </c>
      <c r="BG21">
        <v>0</v>
      </c>
      <c r="BH21">
        <v>0</v>
      </c>
      <c r="BI21">
        <v>0.88100000000000001</v>
      </c>
      <c r="BJ21">
        <v>-1E-3</v>
      </c>
      <c r="BK21">
        <v>0.623</v>
      </c>
      <c r="BL21">
        <v>3.3879999999999999</v>
      </c>
      <c r="BM21">
        <v>2.7650000000000001</v>
      </c>
      <c r="BN21">
        <v>-0.628</v>
      </c>
      <c r="BO21">
        <v>-0.64200000000000002</v>
      </c>
      <c r="BP21">
        <v>-0.67400000000000004</v>
      </c>
      <c r="BQ21">
        <v>1.921</v>
      </c>
      <c r="BR21">
        <v>0</v>
      </c>
    </row>
    <row r="22" spans="1:70" x14ac:dyDescent="0.25">
      <c r="A22" s="1" t="s">
        <v>89</v>
      </c>
      <c r="B22">
        <v>1</v>
      </c>
      <c r="C22">
        <v>0.46300000000000002</v>
      </c>
      <c r="D22">
        <v>0.252</v>
      </c>
      <c r="E22">
        <v>0.33</v>
      </c>
      <c r="F22">
        <v>0.58299999999999996</v>
      </c>
      <c r="G22">
        <v>0.35099999999999998</v>
      </c>
      <c r="H22">
        <v>6.0000000000000001E-3</v>
      </c>
      <c r="I22">
        <v>-0.68400000000000005</v>
      </c>
      <c r="J22">
        <v>5.8999999999999997E-2</v>
      </c>
      <c r="K22">
        <v>1.4E-2</v>
      </c>
      <c r="L22">
        <v>-2.5000000000000001E-2</v>
      </c>
      <c r="M22">
        <v>-0.66700000000000004</v>
      </c>
      <c r="N22">
        <v>0.50600000000000001</v>
      </c>
      <c r="O22">
        <v>0.50600000000000001</v>
      </c>
      <c r="P22">
        <v>1.9610000000000001</v>
      </c>
      <c r="Q22">
        <v>0</v>
      </c>
      <c r="R22">
        <v>1.9610000000000001</v>
      </c>
      <c r="S22">
        <v>0.30399999999999999</v>
      </c>
      <c r="T22">
        <v>8.3000000000000004E-2</v>
      </c>
      <c r="U22">
        <v>0.187</v>
      </c>
      <c r="V22">
        <v>2.5350000000000001</v>
      </c>
      <c r="W22">
        <v>0.58099999999999996</v>
      </c>
      <c r="X22">
        <v>3.9E-2</v>
      </c>
      <c r="Y22">
        <v>0.02</v>
      </c>
      <c r="Z22">
        <v>2.887</v>
      </c>
      <c r="AA22">
        <v>3.9780000000000002</v>
      </c>
      <c r="AB22">
        <v>6.5140000000000002</v>
      </c>
      <c r="AC22">
        <v>3.7999999999999999E-2</v>
      </c>
      <c r="AD22">
        <v>2.9000000000000001E-2</v>
      </c>
      <c r="AE22">
        <v>1.28</v>
      </c>
      <c r="AF22">
        <v>1.518</v>
      </c>
      <c r="AG22">
        <v>3.7719999999999998</v>
      </c>
      <c r="AH22">
        <v>5.0519999999999996</v>
      </c>
      <c r="AI22">
        <v>0.23499999999999999</v>
      </c>
      <c r="AJ22">
        <v>1.1679999999999999</v>
      </c>
      <c r="AK22">
        <v>-1.1679999999999999</v>
      </c>
      <c r="AL22">
        <v>-1E-3</v>
      </c>
      <c r="AM22">
        <v>-2.734</v>
      </c>
      <c r="AN22">
        <v>1.4630000000000001</v>
      </c>
      <c r="AO22">
        <v>-0.27600000000000002</v>
      </c>
      <c r="AP22">
        <v>-5.7000000000000002E-2</v>
      </c>
      <c r="AQ22">
        <v>2E-3</v>
      </c>
      <c r="AR22">
        <v>7.4999999999999997E-2</v>
      </c>
      <c r="AS22">
        <v>4.2000000000000003E-2</v>
      </c>
      <c r="AT22">
        <v>0.33200000000000002</v>
      </c>
      <c r="AU22">
        <v>-3.7999999999999999E-2</v>
      </c>
      <c r="AV22">
        <v>9.8000000000000004E-2</v>
      </c>
      <c r="AW22">
        <v>7.8E-2</v>
      </c>
      <c r="AX22">
        <v>0.52600000000000002</v>
      </c>
      <c r="AY22">
        <v>-0.224</v>
      </c>
      <c r="AZ22">
        <v>-5.0999999999999997E-2</v>
      </c>
      <c r="BA22">
        <v>-5.0999999999999997E-2</v>
      </c>
      <c r="BB22">
        <v>2.4E-2</v>
      </c>
      <c r="BC22">
        <v>0</v>
      </c>
      <c r="BD22">
        <v>-1.4999999999999999E-2</v>
      </c>
      <c r="BE22">
        <v>-3.6999999999999998E-2</v>
      </c>
      <c r="BF22">
        <v>0</v>
      </c>
      <c r="BG22">
        <v>0</v>
      </c>
      <c r="BH22">
        <v>0</v>
      </c>
      <c r="BI22">
        <v>0.755</v>
      </c>
      <c r="BJ22">
        <v>0</v>
      </c>
      <c r="BK22">
        <v>0.52600000000000002</v>
      </c>
      <c r="BL22">
        <v>2.9630000000000001</v>
      </c>
      <c r="BM22">
        <v>2.4369999999999998</v>
      </c>
      <c r="BN22">
        <v>-0.64200000000000002</v>
      </c>
      <c r="BO22">
        <v>-0.65900000000000003</v>
      </c>
      <c r="BP22">
        <v>-0.69399999999999995</v>
      </c>
      <c r="BQ22">
        <v>1.2549999999999999</v>
      </c>
      <c r="BR22">
        <v>0</v>
      </c>
    </row>
    <row r="23" spans="1:70" x14ac:dyDescent="0.25">
      <c r="A23" s="1" t="s">
        <v>90</v>
      </c>
      <c r="B23">
        <v>1</v>
      </c>
      <c r="C23">
        <v>0.47799999999999998</v>
      </c>
      <c r="D23">
        <v>0.17599999999999999</v>
      </c>
      <c r="E23">
        <v>0.29799999999999999</v>
      </c>
      <c r="F23">
        <v>0.47399999999999998</v>
      </c>
      <c r="G23">
        <v>0.13400000000000001</v>
      </c>
      <c r="H23">
        <v>0.01</v>
      </c>
      <c r="I23">
        <v>-0.30499999999999999</v>
      </c>
      <c r="J23">
        <v>6.2E-2</v>
      </c>
      <c r="K23">
        <v>1.0999999999999999E-2</v>
      </c>
      <c r="L23">
        <v>-2.3E-2</v>
      </c>
      <c r="M23">
        <v>-0.31900000000000001</v>
      </c>
      <c r="N23">
        <v>0.57299999999999995</v>
      </c>
      <c r="O23">
        <v>0.57299999999999995</v>
      </c>
      <c r="P23">
        <v>1.0309999999999999</v>
      </c>
      <c r="Q23">
        <v>0</v>
      </c>
      <c r="R23">
        <v>1.0309999999999999</v>
      </c>
      <c r="S23">
        <v>0.20399999999999999</v>
      </c>
      <c r="T23">
        <v>7.3999999999999996E-2</v>
      </c>
      <c r="U23">
        <v>9.8000000000000004E-2</v>
      </c>
      <c r="V23">
        <v>1.4079999999999999</v>
      </c>
      <c r="W23">
        <v>0.36399999999999999</v>
      </c>
      <c r="X23">
        <v>2.5999999999999999E-2</v>
      </c>
      <c r="Y23">
        <v>1.4E-2</v>
      </c>
      <c r="Z23">
        <v>1.984</v>
      </c>
      <c r="AA23">
        <v>2.6970000000000001</v>
      </c>
      <c r="AB23">
        <v>4.1050000000000004</v>
      </c>
      <c r="AC23">
        <v>2.5999999999999999E-2</v>
      </c>
      <c r="AD23">
        <v>1.4999999999999999E-2</v>
      </c>
      <c r="AE23">
        <v>0.85099999999999998</v>
      </c>
      <c r="AF23">
        <v>1.0780000000000001</v>
      </c>
      <c r="AG23">
        <v>3.093</v>
      </c>
      <c r="AH23">
        <v>3.944</v>
      </c>
      <c r="AI23">
        <v>0.11899999999999999</v>
      </c>
      <c r="AJ23">
        <v>1.2070000000000001</v>
      </c>
      <c r="AK23">
        <v>-1.2070000000000001</v>
      </c>
      <c r="AL23">
        <v>0</v>
      </c>
      <c r="AM23">
        <v>-1.629</v>
      </c>
      <c r="AN23">
        <v>0.161</v>
      </c>
      <c r="AO23">
        <v>-0.217</v>
      </c>
      <c r="AP23">
        <v>-4.1000000000000002E-2</v>
      </c>
      <c r="AQ23">
        <v>2E-3</v>
      </c>
      <c r="AR23">
        <v>3.1E-2</v>
      </c>
      <c r="AS23">
        <v>4.1000000000000002E-2</v>
      </c>
      <c r="AT23">
        <v>0.01</v>
      </c>
      <c r="AU23">
        <v>-3.7999999999999999E-2</v>
      </c>
      <c r="AV23">
        <v>8.6999999999999994E-2</v>
      </c>
      <c r="AW23">
        <v>9.4E-2</v>
      </c>
      <c r="AX23">
        <v>0.12</v>
      </c>
      <c r="AY23">
        <v>-0.16700000000000001</v>
      </c>
      <c r="AZ23">
        <v>-5.0999999999999997E-2</v>
      </c>
      <c r="BA23">
        <v>-5.0999999999999997E-2</v>
      </c>
      <c r="BB23">
        <v>0.02</v>
      </c>
      <c r="BC23">
        <v>0</v>
      </c>
      <c r="BD23">
        <v>-0.01</v>
      </c>
      <c r="BE23">
        <v>-4.5999999999999999E-2</v>
      </c>
      <c r="BF23">
        <v>0</v>
      </c>
      <c r="BG23">
        <v>0</v>
      </c>
      <c r="BH23">
        <v>0</v>
      </c>
      <c r="BI23">
        <v>0.29499999999999998</v>
      </c>
      <c r="BJ23">
        <v>-0.01</v>
      </c>
      <c r="BK23">
        <v>0.12</v>
      </c>
      <c r="BL23">
        <v>2.5190000000000001</v>
      </c>
      <c r="BM23">
        <v>2.3980000000000001</v>
      </c>
      <c r="BN23">
        <v>-0.26300000000000001</v>
      </c>
      <c r="BO23">
        <v>-0.28100000000000003</v>
      </c>
      <c r="BP23">
        <v>-0.314</v>
      </c>
      <c r="BQ23">
        <v>0.55700000000000005</v>
      </c>
      <c r="BR23">
        <v>0</v>
      </c>
    </row>
    <row r="24" spans="1:70" x14ac:dyDescent="0.25">
      <c r="A24" s="1" t="s">
        <v>91</v>
      </c>
      <c r="B24">
        <v>1</v>
      </c>
      <c r="C24">
        <v>0.501</v>
      </c>
      <c r="D24">
        <v>0.185</v>
      </c>
      <c r="E24">
        <v>0.28000000000000003</v>
      </c>
      <c r="F24">
        <v>0.46400000000000002</v>
      </c>
      <c r="G24">
        <v>0.13400000000000001</v>
      </c>
      <c r="H24">
        <v>0.02</v>
      </c>
      <c r="I24">
        <v>-0.26900000000000002</v>
      </c>
      <c r="J24">
        <v>5.7000000000000002E-2</v>
      </c>
      <c r="K24">
        <v>8.9999999999999993E-3</v>
      </c>
      <c r="L24">
        <v>2.5000000000000001E-2</v>
      </c>
      <c r="M24">
        <v>8.7999999999999995E-2</v>
      </c>
      <c r="N24">
        <v>0.60099999999999998</v>
      </c>
      <c r="O24">
        <v>0.60099999999999998</v>
      </c>
      <c r="P24">
        <v>0.56799999999999995</v>
      </c>
      <c r="Q24">
        <v>0</v>
      </c>
      <c r="R24">
        <v>0.56799999999999995</v>
      </c>
      <c r="S24">
        <v>0.11799999999999999</v>
      </c>
      <c r="T24">
        <v>6.5000000000000002E-2</v>
      </c>
      <c r="U24">
        <v>1.6E-2</v>
      </c>
      <c r="V24">
        <v>0.76800000000000002</v>
      </c>
      <c r="W24">
        <v>0.14599999999999999</v>
      </c>
      <c r="X24">
        <v>1.4E-2</v>
      </c>
      <c r="Y24">
        <v>7.0000000000000001E-3</v>
      </c>
      <c r="Z24">
        <v>1.0349999999999999</v>
      </c>
      <c r="AA24">
        <v>1.36</v>
      </c>
      <c r="AB24">
        <v>2.1280000000000001</v>
      </c>
      <c r="AC24">
        <v>1.2999999999999999E-2</v>
      </c>
      <c r="AD24">
        <v>0</v>
      </c>
      <c r="AE24">
        <v>0.47099999999999997</v>
      </c>
      <c r="AF24">
        <v>0.40200000000000002</v>
      </c>
      <c r="AG24">
        <v>0.74</v>
      </c>
      <c r="AH24">
        <v>1.212</v>
      </c>
      <c r="AI24">
        <v>0</v>
      </c>
      <c r="AJ24">
        <v>0</v>
      </c>
      <c r="AK24">
        <v>0</v>
      </c>
      <c r="AL24">
        <v>0</v>
      </c>
      <c r="AM24">
        <v>-0.91700000000000004</v>
      </c>
      <c r="AN24">
        <v>0.91700000000000004</v>
      </c>
      <c r="AO24">
        <v>-0.186</v>
      </c>
      <c r="AP24">
        <v>-2.5000000000000001E-2</v>
      </c>
      <c r="AQ24">
        <v>-3.0000000000000001E-3</v>
      </c>
      <c r="AR24">
        <v>2.4E-2</v>
      </c>
      <c r="AS24">
        <v>3.7999999999999999E-2</v>
      </c>
      <c r="AT24">
        <v>1.4999999999999999E-2</v>
      </c>
      <c r="AU24">
        <v>3.0000000000000001E-3</v>
      </c>
      <c r="AV24">
        <v>7.9000000000000001E-2</v>
      </c>
      <c r="AW24">
        <v>8.4000000000000005E-2</v>
      </c>
      <c r="AX24">
        <v>0.21099999999999999</v>
      </c>
      <c r="AY24">
        <v>-0.13700000000000001</v>
      </c>
      <c r="AZ24">
        <v>-0.05</v>
      </c>
      <c r="BA24">
        <v>-0.05</v>
      </c>
      <c r="BB24">
        <v>-4.2000000000000003E-2</v>
      </c>
      <c r="BC24">
        <v>0</v>
      </c>
      <c r="BD24">
        <v>-6.2E-2</v>
      </c>
      <c r="BE24">
        <v>-5.2999999999999999E-2</v>
      </c>
      <c r="BF24">
        <v>0</v>
      </c>
      <c r="BG24">
        <v>-1E-3</v>
      </c>
      <c r="BH24">
        <v>0</v>
      </c>
      <c r="BI24">
        <v>0.41199999999999998</v>
      </c>
      <c r="BJ24">
        <v>-1.0999999999999999E-2</v>
      </c>
      <c r="BK24">
        <v>0.21099999999999999</v>
      </c>
      <c r="BL24">
        <v>2.508</v>
      </c>
      <c r="BM24">
        <v>2.2970000000000002</v>
      </c>
      <c r="BN24">
        <v>-0.23100000000000001</v>
      </c>
      <c r="BO24">
        <v>-0.29399999999999998</v>
      </c>
      <c r="BP24">
        <v>-0.28100000000000003</v>
      </c>
      <c r="BQ24">
        <v>0.29699999999999999</v>
      </c>
      <c r="BR24">
        <v>0</v>
      </c>
    </row>
    <row r="25" spans="1:70" x14ac:dyDescent="0.25">
      <c r="A25" s="1" t="s">
        <v>92</v>
      </c>
      <c r="B25">
        <v>1</v>
      </c>
      <c r="C25">
        <v>0.51700000000000002</v>
      </c>
      <c r="D25">
        <v>0.184</v>
      </c>
      <c r="E25">
        <v>0.26200000000000001</v>
      </c>
      <c r="F25">
        <v>0.44600000000000001</v>
      </c>
      <c r="G25">
        <v>0.13700000000000001</v>
      </c>
      <c r="H25">
        <v>2.5999999999999999E-2</v>
      </c>
      <c r="I25">
        <v>-0.23899999999999999</v>
      </c>
      <c r="J25">
        <v>5.5E-2</v>
      </c>
      <c r="K25">
        <v>8.0000000000000002E-3</v>
      </c>
      <c r="L25">
        <v>7.2999999999999995E-2</v>
      </c>
      <c r="M25">
        <v>0.22700000000000001</v>
      </c>
      <c r="N25">
        <v>0.61499999999999999</v>
      </c>
      <c r="O25">
        <v>0.61499999999999999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-0.14699999999999999</v>
      </c>
      <c r="AP25">
        <v>-4.2999999999999997E-2</v>
      </c>
      <c r="AQ25">
        <v>-8.0000000000000002E-3</v>
      </c>
      <c r="AR25">
        <v>3.5999999999999997E-2</v>
      </c>
      <c r="AS25">
        <v>3.7999999999999999E-2</v>
      </c>
      <c r="AT25">
        <v>1.7000000000000001E-2</v>
      </c>
      <c r="AU25">
        <v>5.0999999999999997E-2</v>
      </c>
      <c r="AV25">
        <v>7.6999999999999999E-2</v>
      </c>
      <c r="AW25">
        <v>9.1999999999999998E-2</v>
      </c>
      <c r="AX25">
        <v>8.3000000000000004E-2</v>
      </c>
      <c r="AY25">
        <v>-0.104</v>
      </c>
      <c r="AZ25">
        <v>-4.3999999999999997E-2</v>
      </c>
      <c r="BA25">
        <v>-4.3999999999999997E-2</v>
      </c>
      <c r="BB25">
        <v>-5.7000000000000002E-2</v>
      </c>
      <c r="BC25">
        <v>0</v>
      </c>
      <c r="BD25">
        <v>-6.5000000000000002E-2</v>
      </c>
      <c r="BE25">
        <v>-6.8000000000000005E-2</v>
      </c>
      <c r="BF25">
        <v>0</v>
      </c>
      <c r="BG25">
        <v>-1E-3</v>
      </c>
      <c r="BH25">
        <v>0</v>
      </c>
      <c r="BI25">
        <v>0.26100000000000001</v>
      </c>
      <c r="BJ25">
        <v>-1.6E-2</v>
      </c>
      <c r="BK25">
        <v>8.3000000000000004E-2</v>
      </c>
      <c r="BL25">
        <v>2.4169999999999998</v>
      </c>
      <c r="BM25">
        <v>2.335</v>
      </c>
      <c r="BN25">
        <v>-0.2</v>
      </c>
      <c r="BO25">
        <v>-0.312</v>
      </c>
      <c r="BP25">
        <v>-0.24399999999999999</v>
      </c>
      <c r="BQ25">
        <v>0</v>
      </c>
      <c r="BR25">
        <v>0</v>
      </c>
    </row>
    <row r="26" spans="1:70" x14ac:dyDescent="0.25">
      <c r="A26" s="1" t="s">
        <v>93</v>
      </c>
    </row>
    <row r="27" spans="1:70" x14ac:dyDescent="0.25">
      <c r="A27" s="1" t="s">
        <v>94</v>
      </c>
    </row>
    <row r="28" spans="1:70" x14ac:dyDescent="0.25">
      <c r="A28" s="1" t="s">
        <v>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28"/>
  <sheetViews>
    <sheetView workbookViewId="0">
      <selection activeCell="B3" sqref="B3"/>
    </sheetView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 s="5">
        <v>3.7999999999999999E-2</v>
      </c>
      <c r="C2">
        <v>-2.4E-2</v>
      </c>
      <c r="D2">
        <v>6.6000000000000003E-2</v>
      </c>
      <c r="E2">
        <v>-2.5999999999999999E-2</v>
      </c>
      <c r="F2">
        <v>-8.0000000000000002E-3</v>
      </c>
      <c r="G2">
        <v>-1.4999999999999999E-2</v>
      </c>
      <c r="H2">
        <v>-1.093</v>
      </c>
      <c r="I2">
        <v>0.39900000000000002</v>
      </c>
      <c r="J2">
        <v>-8.0000000000000002E-3</v>
      </c>
      <c r="K2">
        <v>0.124</v>
      </c>
      <c r="L2">
        <v>-4.2999999999999997E-2</v>
      </c>
      <c r="M2">
        <v>0.44700000000000001</v>
      </c>
      <c r="N2">
        <v>8.0000000000000002E-3</v>
      </c>
      <c r="O2">
        <v>8.0000000000000002E-3</v>
      </c>
      <c r="P2">
        <v>1.2999999999999999E-2</v>
      </c>
      <c r="Q2">
        <v>0.46</v>
      </c>
      <c r="R2">
        <v>6.5000000000000002E-2</v>
      </c>
      <c r="S2">
        <v>0.13400000000000001</v>
      </c>
      <c r="T2">
        <v>-0.52200000000000002</v>
      </c>
      <c r="U2">
        <v>-9.9000000000000005E-2</v>
      </c>
      <c r="V2">
        <v>4.1000000000000002E-2</v>
      </c>
      <c r="W2">
        <v>-1.4999999999999999E-2</v>
      </c>
      <c r="X2">
        <v>-2E-3</v>
      </c>
      <c r="Y2">
        <v>-5.8000000000000003E-2</v>
      </c>
      <c r="Z2">
        <v>0.25700000000000001</v>
      </c>
      <c r="AA2">
        <v>5.3999999999999999E-2</v>
      </c>
      <c r="AB2">
        <v>0.05</v>
      </c>
      <c r="AC2">
        <v>1.9E-2</v>
      </c>
      <c r="AD2">
        <v>0.16600000000000001</v>
      </c>
      <c r="AE2">
        <v>4.4999999999999998E-2</v>
      </c>
      <c r="AF2">
        <v>-3.4000000000000002E-2</v>
      </c>
      <c r="AG2">
        <v>2.8000000000000001E-2</v>
      </c>
      <c r="AH2">
        <v>3.4000000000000002E-2</v>
      </c>
      <c r="AI2">
        <v>-4.1000000000000002E-2</v>
      </c>
      <c r="AL2">
        <v>5.1999999999999998E-2</v>
      </c>
      <c r="AM2">
        <v>-1.7999999999999999E-2</v>
      </c>
      <c r="AN2">
        <v>8.6999999999999994E-2</v>
      </c>
      <c r="AO2">
        <v>0.13700000000000001</v>
      </c>
      <c r="AP2">
        <v>0.111</v>
      </c>
      <c r="AQ2">
        <v>-0.436</v>
      </c>
      <c r="AR2" t="s">
        <v>96</v>
      </c>
      <c r="AS2">
        <v>-3.3000000000000002E-2</v>
      </c>
      <c r="AT2">
        <v>-2.5000000000000001E-2</v>
      </c>
      <c r="AU2" t="s">
        <v>97</v>
      </c>
      <c r="AV2">
        <v>0.30499999999999999</v>
      </c>
      <c r="AW2">
        <v>7.2999999999999995E-2</v>
      </c>
      <c r="AX2">
        <v>-3.5939999999999999</v>
      </c>
      <c r="AY2">
        <v>0.14199999999999999</v>
      </c>
      <c r="AZ2">
        <v>0.22</v>
      </c>
      <c r="BA2">
        <v>0.22</v>
      </c>
      <c r="BB2">
        <v>-77.221999999999994</v>
      </c>
      <c r="BC2">
        <v>0.19500000000000001</v>
      </c>
      <c r="BD2">
        <v>0.67900000000000005</v>
      </c>
      <c r="BE2">
        <v>-0.02</v>
      </c>
      <c r="BF2">
        <v>0.13800000000000001</v>
      </c>
      <c r="BG2">
        <v>-2.5</v>
      </c>
      <c r="BI2">
        <v>1.6180000000000001</v>
      </c>
      <c r="BJ2">
        <v>1.766</v>
      </c>
      <c r="BK2">
        <v>-3.5939999999999999</v>
      </c>
      <c r="BL2">
        <v>-0.12</v>
      </c>
      <c r="BM2">
        <v>-3.6999999999999998E-2</v>
      </c>
      <c r="BN2">
        <v>0.251</v>
      </c>
      <c r="BO2">
        <v>0.46</v>
      </c>
      <c r="BP2">
        <v>0.254</v>
      </c>
      <c r="BQ2">
        <v>1.9E-2</v>
      </c>
      <c r="BR2">
        <v>-5.0000000000000001E-3</v>
      </c>
    </row>
    <row r="3" spans="1:70" x14ac:dyDescent="0.25">
      <c r="A3" s="1" t="s">
        <v>70</v>
      </c>
      <c r="B3" s="5">
        <v>3.5000000000000003E-2</v>
      </c>
      <c r="C3">
        <v>2.7E-2</v>
      </c>
      <c r="D3">
        <v>0.1</v>
      </c>
      <c r="E3">
        <v>-7.9000000000000001E-2</v>
      </c>
      <c r="F3">
        <v>-1.0999999999999999E-2</v>
      </c>
      <c r="G3">
        <v>5.0000000000000001E-3</v>
      </c>
      <c r="H3">
        <v>-0.34799999999999998</v>
      </c>
      <c r="I3">
        <v>0.39100000000000001</v>
      </c>
      <c r="J3">
        <v>-7.0000000000000007E-2</v>
      </c>
      <c r="K3">
        <v>0.14899999999999999</v>
      </c>
      <c r="L3">
        <v>-0.122</v>
      </c>
      <c r="M3">
        <v>-0.26300000000000001</v>
      </c>
      <c r="N3">
        <v>8.0000000000000002E-3</v>
      </c>
      <c r="O3">
        <v>8.0000000000000002E-3</v>
      </c>
      <c r="P3">
        <v>9.4E-2</v>
      </c>
      <c r="Q3">
        <v>0.29499999999999998</v>
      </c>
      <c r="R3">
        <v>0.114</v>
      </c>
      <c r="S3">
        <v>9.2999999999999999E-2</v>
      </c>
      <c r="T3">
        <v>-0.34</v>
      </c>
      <c r="U3">
        <v>0.04</v>
      </c>
      <c r="V3">
        <v>6.9000000000000006E-2</v>
      </c>
      <c r="W3">
        <v>-1.7000000000000001E-2</v>
      </c>
      <c r="X3">
        <v>-3.0000000000000001E-3</v>
      </c>
      <c r="Y3">
        <v>-6.8000000000000005E-2</v>
      </c>
      <c r="Z3">
        <v>0.25900000000000001</v>
      </c>
      <c r="AA3">
        <v>4.2999999999999997E-2</v>
      </c>
      <c r="AB3">
        <v>5.0999999999999997E-2</v>
      </c>
      <c r="AC3">
        <v>0.04</v>
      </c>
      <c r="AD3">
        <v>-8.9999999999999993E-3</v>
      </c>
      <c r="AE3">
        <v>3.5999999999999997E-2</v>
      </c>
      <c r="AF3">
        <v>-3.4000000000000002E-2</v>
      </c>
      <c r="AG3">
        <v>3.2000000000000001E-2</v>
      </c>
      <c r="AH3">
        <v>3.3000000000000002E-2</v>
      </c>
      <c r="AI3">
        <v>-4.2000000000000003E-2</v>
      </c>
      <c r="AL3">
        <v>5.6000000000000001E-2</v>
      </c>
      <c r="AM3">
        <v>-1.2999999999999999E-2</v>
      </c>
      <c r="AN3">
        <v>9.1999999999999998E-2</v>
      </c>
      <c r="AO3">
        <v>0.25800000000000001</v>
      </c>
      <c r="AP3">
        <v>0.77800000000000002</v>
      </c>
      <c r="AQ3">
        <v>0.82799999999999996</v>
      </c>
      <c r="AS3">
        <v>-2.1000000000000001E-2</v>
      </c>
      <c r="AT3">
        <v>7.0000000000000001E-3</v>
      </c>
      <c r="AU3">
        <v>-1</v>
      </c>
      <c r="AV3">
        <v>2.2610000000000001</v>
      </c>
      <c r="AW3">
        <v>0.71499999999999997</v>
      </c>
      <c r="AX3">
        <v>0.57699999999999996</v>
      </c>
      <c r="AY3">
        <v>0.24199999999999999</v>
      </c>
      <c r="AZ3">
        <v>0</v>
      </c>
      <c r="BA3">
        <v>0</v>
      </c>
      <c r="BB3" t="s">
        <v>96</v>
      </c>
      <c r="BC3">
        <v>0.154</v>
      </c>
      <c r="BD3">
        <v>-4.9000000000000002E-2</v>
      </c>
      <c r="BE3">
        <v>0.16200000000000001</v>
      </c>
      <c r="BF3">
        <v>0</v>
      </c>
      <c r="BG3">
        <v>0</v>
      </c>
      <c r="BI3">
        <v>0.51600000000000001</v>
      </c>
      <c r="BJ3">
        <v>-1.746</v>
      </c>
      <c r="BK3">
        <v>0.57699999999999996</v>
      </c>
      <c r="BL3">
        <v>-3.5000000000000003E-2</v>
      </c>
      <c r="BM3">
        <v>-4.3999999999999997E-2</v>
      </c>
      <c r="BN3">
        <v>0.216</v>
      </c>
      <c r="BO3">
        <v>0.51300000000000001</v>
      </c>
      <c r="BP3">
        <v>0.24399999999999999</v>
      </c>
      <c r="BQ3">
        <v>0.27700000000000002</v>
      </c>
      <c r="BR3">
        <v>3.2000000000000001E-2</v>
      </c>
    </row>
    <row r="4" spans="1:70" x14ac:dyDescent="0.25">
      <c r="A4" s="1" t="s">
        <v>71</v>
      </c>
      <c r="B4" s="5">
        <v>3.6999999999999998E-2</v>
      </c>
      <c r="C4">
        <v>4.1000000000000002E-2</v>
      </c>
      <c r="D4">
        <v>-0.05</v>
      </c>
      <c r="E4">
        <v>-4.1000000000000002E-2</v>
      </c>
      <c r="F4">
        <v>-4.4999999999999998E-2</v>
      </c>
      <c r="G4">
        <v>1.2E-2</v>
      </c>
      <c r="H4">
        <v>-1.2969999999999999</v>
      </c>
      <c r="I4">
        <v>1.839</v>
      </c>
      <c r="J4">
        <v>6.0000000000000001E-3</v>
      </c>
      <c r="K4">
        <v>0.219</v>
      </c>
      <c r="L4">
        <v>-54.25</v>
      </c>
      <c r="M4">
        <v>0.79200000000000004</v>
      </c>
      <c r="N4">
        <v>8.0000000000000002E-3</v>
      </c>
      <c r="O4">
        <v>7.0000000000000001E-3</v>
      </c>
      <c r="P4">
        <v>7.1999999999999995E-2</v>
      </c>
      <c r="Q4">
        <v>0.42</v>
      </c>
      <c r="R4">
        <v>9.9000000000000005E-2</v>
      </c>
      <c r="S4">
        <v>0.123</v>
      </c>
      <c r="T4">
        <v>-0.20499999999999999</v>
      </c>
      <c r="U4">
        <v>-8.1000000000000003E-2</v>
      </c>
      <c r="V4">
        <v>5.0999999999999997E-2</v>
      </c>
      <c r="W4">
        <v>-1.6E-2</v>
      </c>
      <c r="X4">
        <v>-3.0000000000000001E-3</v>
      </c>
      <c r="Y4">
        <v>-6.6000000000000003E-2</v>
      </c>
      <c r="Z4">
        <v>0.36799999999999999</v>
      </c>
      <c r="AA4">
        <v>4.8000000000000001E-2</v>
      </c>
      <c r="AB4">
        <v>4.9000000000000002E-2</v>
      </c>
      <c r="AC4">
        <v>2.1000000000000001E-2</v>
      </c>
      <c r="AD4">
        <v>0.39900000000000002</v>
      </c>
      <c r="AE4">
        <v>1.7000000000000001E-2</v>
      </c>
      <c r="AF4">
        <v>-3.4000000000000002E-2</v>
      </c>
      <c r="AG4">
        <v>2.9000000000000001E-2</v>
      </c>
      <c r="AH4">
        <v>2.5000000000000001E-2</v>
      </c>
      <c r="AI4">
        <v>0</v>
      </c>
      <c r="AL4">
        <v>5.8000000000000003E-2</v>
      </c>
      <c r="AM4">
        <v>-1.7000000000000001E-2</v>
      </c>
      <c r="AN4">
        <v>0.111</v>
      </c>
      <c r="AO4">
        <v>0.46700000000000003</v>
      </c>
      <c r="AP4">
        <v>0.105</v>
      </c>
      <c r="AQ4">
        <v>0.93899999999999995</v>
      </c>
      <c r="AR4">
        <v>-1</v>
      </c>
      <c r="AS4">
        <v>-2.4E-2</v>
      </c>
      <c r="AT4">
        <v>-7.0000000000000001E-3</v>
      </c>
      <c r="AU4">
        <v>-1.165</v>
      </c>
      <c r="AV4">
        <v>-1.982</v>
      </c>
      <c r="AW4">
        <v>0.41599999999999998</v>
      </c>
      <c r="AX4">
        <v>-1.222</v>
      </c>
      <c r="AY4">
        <v>0.42399999999999999</v>
      </c>
      <c r="AZ4">
        <v>-1.7999999999999999E-2</v>
      </c>
      <c r="BA4">
        <v>-1.7999999999999999E-2</v>
      </c>
      <c r="BB4">
        <v>-1</v>
      </c>
      <c r="BC4">
        <v>0.15</v>
      </c>
      <c r="BD4">
        <v>-0.22700000000000001</v>
      </c>
      <c r="BE4">
        <v>2.8000000000000001E-2</v>
      </c>
      <c r="BF4">
        <v>0.10199999999999999</v>
      </c>
      <c r="BG4" t="s">
        <v>96</v>
      </c>
      <c r="BI4">
        <v>-0.58699999999999997</v>
      </c>
      <c r="BJ4">
        <v>-0.47099999999999997</v>
      </c>
      <c r="BK4">
        <v>-1.222</v>
      </c>
      <c r="BL4">
        <v>-4.1000000000000002E-2</v>
      </c>
      <c r="BM4">
        <v>-0.11</v>
      </c>
      <c r="BN4">
        <v>0.56599999999999995</v>
      </c>
      <c r="BO4">
        <v>1.2709999999999999</v>
      </c>
      <c r="BP4">
        <v>0.69799999999999995</v>
      </c>
      <c r="BQ4">
        <v>0.34399999999999997</v>
      </c>
      <c r="BR4">
        <v>3.4000000000000002E-2</v>
      </c>
    </row>
    <row r="5" spans="1:70" x14ac:dyDescent="0.25">
      <c r="A5" s="1" t="s">
        <v>72</v>
      </c>
      <c r="B5" s="5">
        <v>2.7E-2</v>
      </c>
      <c r="C5">
        <v>3.5999999999999997E-2</v>
      </c>
      <c r="D5">
        <v>-8.5000000000000006E-2</v>
      </c>
      <c r="E5">
        <v>-4.4999999999999998E-2</v>
      </c>
      <c r="F5">
        <v>-0.06</v>
      </c>
      <c r="G5">
        <v>1.2E-2</v>
      </c>
      <c r="H5">
        <v>8.0000000000000002E-3</v>
      </c>
      <c r="I5">
        <v>-1.7849999999999999</v>
      </c>
      <c r="J5">
        <v>3.3000000000000002E-2</v>
      </c>
      <c r="K5">
        <v>0.30199999999999999</v>
      </c>
      <c r="L5">
        <v>-1.0429999999999999</v>
      </c>
      <c r="M5">
        <v>-3.8159999999999998</v>
      </c>
      <c r="N5">
        <v>8.0000000000000002E-3</v>
      </c>
      <c r="O5">
        <v>1.6E-2</v>
      </c>
      <c r="P5">
        <v>-2.3E-2</v>
      </c>
      <c r="Q5">
        <v>0.95099999999999996</v>
      </c>
      <c r="R5">
        <v>1.6E-2</v>
      </c>
      <c r="S5">
        <v>5.0999999999999997E-2</v>
      </c>
      <c r="T5">
        <v>7.8E-2</v>
      </c>
      <c r="U5">
        <v>3.7999999999999999E-2</v>
      </c>
      <c r="V5">
        <v>3.4000000000000002E-2</v>
      </c>
      <c r="W5">
        <v>1E-3</v>
      </c>
      <c r="X5">
        <v>-5.0000000000000001E-3</v>
      </c>
      <c r="Y5">
        <v>-6.6000000000000003E-2</v>
      </c>
      <c r="Z5">
        <v>2.9000000000000001E-2</v>
      </c>
      <c r="AA5">
        <v>3.9E-2</v>
      </c>
      <c r="AB5">
        <v>3.6999999999999998E-2</v>
      </c>
      <c r="AC5">
        <v>8.9999999999999993E-3</v>
      </c>
      <c r="AD5">
        <v>-0.02</v>
      </c>
      <c r="AE5">
        <v>1.0999999999999999E-2</v>
      </c>
      <c r="AF5">
        <v>-2E-3</v>
      </c>
      <c r="AG5">
        <v>2.1999999999999999E-2</v>
      </c>
      <c r="AH5">
        <v>1.7999999999999999E-2</v>
      </c>
      <c r="AI5">
        <v>-0.01</v>
      </c>
      <c r="AL5">
        <v>2E-3</v>
      </c>
      <c r="AM5">
        <v>-8.0000000000000002E-3</v>
      </c>
      <c r="AN5">
        <v>9.0999999999999998E-2</v>
      </c>
      <c r="AO5">
        <v>0.314</v>
      </c>
      <c r="AP5">
        <v>1.659</v>
      </c>
      <c r="AQ5">
        <v>-1.2889999999999999</v>
      </c>
      <c r="AR5">
        <v>1.0149999999999999</v>
      </c>
      <c r="AS5">
        <v>-2.5000000000000001E-2</v>
      </c>
      <c r="AT5">
        <v>5.0000000000000001E-3</v>
      </c>
      <c r="AU5">
        <v>0</v>
      </c>
      <c r="AV5">
        <v>-1.5369999999999999</v>
      </c>
      <c r="AW5">
        <v>0.61499999999999999</v>
      </c>
      <c r="AX5">
        <v>-3.968</v>
      </c>
      <c r="AY5">
        <v>0.26900000000000002</v>
      </c>
      <c r="AZ5">
        <v>-5.3999999999999999E-2</v>
      </c>
      <c r="BA5">
        <v>-5.3999999999999999E-2</v>
      </c>
      <c r="BB5">
        <v>-1.0999999999999999E-2</v>
      </c>
      <c r="BC5">
        <v>0.95699999999999996</v>
      </c>
      <c r="BD5">
        <v>1.9019999999999999</v>
      </c>
      <c r="BE5">
        <v>0.107</v>
      </c>
      <c r="BF5">
        <v>-0.68400000000000005</v>
      </c>
      <c r="BI5">
        <v>-4.9660000000000002</v>
      </c>
      <c r="BJ5">
        <v>-18</v>
      </c>
      <c r="BK5">
        <v>-3.968</v>
      </c>
      <c r="BL5">
        <v>-5.8000000000000003E-2</v>
      </c>
      <c r="BM5">
        <v>0.02</v>
      </c>
      <c r="BN5">
        <v>2.3620000000000001</v>
      </c>
      <c r="BO5">
        <v>-1.667</v>
      </c>
      <c r="BP5">
        <v>6.9290000000000003</v>
      </c>
      <c r="BQ5">
        <v>0.28199999999999997</v>
      </c>
      <c r="BR5">
        <v>2.1999999999999999E-2</v>
      </c>
    </row>
    <row r="6" spans="1:70" x14ac:dyDescent="0.25">
      <c r="A6" s="1" t="s">
        <v>73</v>
      </c>
      <c r="B6" s="5">
        <v>3.4000000000000002E-2</v>
      </c>
      <c r="C6">
        <v>6.0999999999999999E-2</v>
      </c>
      <c r="D6">
        <v>-0.104</v>
      </c>
      <c r="E6">
        <v>0</v>
      </c>
      <c r="F6">
        <v>-4.3999999999999997E-2</v>
      </c>
      <c r="G6">
        <v>3.5000000000000003E-2</v>
      </c>
      <c r="H6">
        <v>-0.60399999999999998</v>
      </c>
      <c r="I6">
        <v>-0.67600000000000005</v>
      </c>
      <c r="J6">
        <v>8.0000000000000002E-3</v>
      </c>
      <c r="K6">
        <v>0.41899999999999998</v>
      </c>
      <c r="L6">
        <v>-0.113</v>
      </c>
      <c r="M6">
        <v>-0.89</v>
      </c>
      <c r="N6">
        <v>8.0000000000000002E-3</v>
      </c>
      <c r="O6">
        <v>1.4E-2</v>
      </c>
      <c r="P6">
        <v>3.4000000000000002E-2</v>
      </c>
      <c r="Q6">
        <v>2.4020000000000001</v>
      </c>
      <c r="R6">
        <v>6.4000000000000001E-2</v>
      </c>
      <c r="S6">
        <v>1.0999999999999999E-2</v>
      </c>
      <c r="T6">
        <v>-0.13500000000000001</v>
      </c>
      <c r="U6">
        <v>0.22900000000000001</v>
      </c>
      <c r="V6">
        <v>5.1999999999999998E-2</v>
      </c>
      <c r="W6">
        <v>5.0000000000000001E-3</v>
      </c>
      <c r="X6">
        <v>-6.0000000000000001E-3</v>
      </c>
      <c r="Y6">
        <v>-6.6000000000000003E-2</v>
      </c>
      <c r="Z6">
        <v>4.0000000000000001E-3</v>
      </c>
      <c r="AA6">
        <v>1.2999999999999999E-2</v>
      </c>
      <c r="AB6">
        <v>2.4E-2</v>
      </c>
      <c r="AC6">
        <v>-3.7999999999999999E-2</v>
      </c>
      <c r="AD6">
        <v>-4.4999999999999998E-2</v>
      </c>
      <c r="AE6">
        <v>-8.9999999999999993E-3</v>
      </c>
      <c r="AF6">
        <v>-3.0000000000000001E-3</v>
      </c>
      <c r="AG6">
        <v>1.9E-2</v>
      </c>
      <c r="AH6">
        <v>8.0000000000000002E-3</v>
      </c>
      <c r="AI6">
        <v>-0.02</v>
      </c>
      <c r="AL6">
        <v>0.06</v>
      </c>
      <c r="AM6">
        <v>3.0000000000000001E-3</v>
      </c>
      <c r="AN6">
        <v>7.0000000000000007E-2</v>
      </c>
      <c r="AO6">
        <v>0.76900000000000002</v>
      </c>
      <c r="AP6">
        <v>-0.25900000000000001</v>
      </c>
      <c r="AQ6">
        <v>-0.23</v>
      </c>
      <c r="AR6" t="s">
        <v>97</v>
      </c>
      <c r="AS6">
        <v>-3.9E-2</v>
      </c>
      <c r="AT6">
        <v>1.7999999999999999E-2</v>
      </c>
      <c r="AU6">
        <v>5.2999999999999999E-2</v>
      </c>
      <c r="AV6">
        <v>-0.44700000000000001</v>
      </c>
      <c r="AW6">
        <v>-0.23599999999999999</v>
      </c>
      <c r="AX6">
        <v>-1.746</v>
      </c>
      <c r="AY6">
        <v>0.60899999999999999</v>
      </c>
      <c r="AZ6">
        <v>-2.8000000000000001E-2</v>
      </c>
      <c r="BA6">
        <v>-2.8000000000000001E-2</v>
      </c>
      <c r="BB6" t="s">
        <v>96</v>
      </c>
      <c r="BC6">
        <v>0.53200000000000003</v>
      </c>
      <c r="BD6">
        <v>-0.24299999999999999</v>
      </c>
      <c r="BE6">
        <v>3.5999999999999997E-2</v>
      </c>
      <c r="BF6">
        <v>7.4999999999999997E-2</v>
      </c>
      <c r="BI6">
        <v>1.762</v>
      </c>
      <c r="BJ6">
        <v>-0.95399999999999996</v>
      </c>
      <c r="BK6">
        <v>-1.746</v>
      </c>
      <c r="BL6">
        <v>0.02</v>
      </c>
      <c r="BM6">
        <v>-2.5999999999999999E-2</v>
      </c>
      <c r="BN6">
        <v>-1.5760000000000001</v>
      </c>
      <c r="BO6">
        <v>-0.64</v>
      </c>
      <c r="BP6">
        <v>-1.1439999999999999</v>
      </c>
      <c r="BQ6">
        <v>2.0910000000000002</v>
      </c>
      <c r="BR6">
        <v>6.2E-2</v>
      </c>
    </row>
    <row r="7" spans="1:70" x14ac:dyDescent="0.25">
      <c r="A7" s="1" t="s">
        <v>74</v>
      </c>
      <c r="B7" s="5">
        <v>6.2E-2</v>
      </c>
      <c r="C7">
        <v>0.06</v>
      </c>
      <c r="D7">
        <v>9.9000000000000005E-2</v>
      </c>
      <c r="E7">
        <v>0</v>
      </c>
      <c r="F7">
        <v>3.9E-2</v>
      </c>
      <c r="G7">
        <v>6.7000000000000004E-2</v>
      </c>
      <c r="H7">
        <v>-0.33700000000000002</v>
      </c>
      <c r="I7">
        <v>-0.125</v>
      </c>
      <c r="J7">
        <v>6.9000000000000006E-2</v>
      </c>
      <c r="K7">
        <v>0.54700000000000004</v>
      </c>
      <c r="L7">
        <v>-1.5860000000000001</v>
      </c>
      <c r="M7">
        <v>-0.63</v>
      </c>
      <c r="N7">
        <v>7.0000000000000001E-3</v>
      </c>
      <c r="O7">
        <v>7.0000000000000001E-3</v>
      </c>
      <c r="P7">
        <v>-8.0000000000000002E-3</v>
      </c>
      <c r="Q7">
        <v>1.175</v>
      </c>
      <c r="R7">
        <v>-1E-3</v>
      </c>
      <c r="S7">
        <v>8.9999999999999993E-3</v>
      </c>
      <c r="T7">
        <v>-0.14699999999999999</v>
      </c>
      <c r="U7">
        <v>0.27300000000000002</v>
      </c>
      <c r="V7">
        <v>1.4999999999999999E-2</v>
      </c>
      <c r="W7">
        <v>1.4E-2</v>
      </c>
      <c r="X7">
        <v>-7.0000000000000001E-3</v>
      </c>
      <c r="Y7">
        <v>-6.0999999999999999E-2</v>
      </c>
      <c r="Z7">
        <v>-6.5000000000000002E-2</v>
      </c>
      <c r="AA7">
        <v>-0.01</v>
      </c>
      <c r="AB7">
        <v>-3.0000000000000001E-3</v>
      </c>
      <c r="AC7">
        <v>-4.7E-2</v>
      </c>
      <c r="AD7">
        <v>-0.02</v>
      </c>
      <c r="AE7">
        <v>1E-3</v>
      </c>
      <c r="AF7">
        <v>-2E-3</v>
      </c>
      <c r="AG7">
        <v>1.2999999999999999E-2</v>
      </c>
      <c r="AH7">
        <v>8.0000000000000002E-3</v>
      </c>
      <c r="AI7">
        <v>-8.9999999999999993E-3</v>
      </c>
      <c r="AL7">
        <v>6.4000000000000001E-2</v>
      </c>
      <c r="AM7">
        <v>2.5999999999999999E-2</v>
      </c>
      <c r="AN7">
        <v>-3.4000000000000002E-2</v>
      </c>
      <c r="AO7">
        <v>1.528</v>
      </c>
      <c r="AP7">
        <v>-0.35799999999999998</v>
      </c>
      <c r="AQ7">
        <v>0.113</v>
      </c>
      <c r="AS7">
        <v>-0.05</v>
      </c>
      <c r="AT7">
        <v>6.2E-2</v>
      </c>
      <c r="AU7">
        <v>-0.66</v>
      </c>
      <c r="AV7">
        <v>0.69</v>
      </c>
      <c r="AW7">
        <v>7.6999999999999999E-2</v>
      </c>
      <c r="AX7">
        <v>-0.29199999999999998</v>
      </c>
      <c r="AY7">
        <v>0.92100000000000004</v>
      </c>
      <c r="AZ7">
        <v>-0.02</v>
      </c>
      <c r="BA7">
        <v>-0.02</v>
      </c>
      <c r="BB7">
        <v>-1</v>
      </c>
      <c r="BC7">
        <v>0.48399999999999999</v>
      </c>
      <c r="BD7">
        <v>0.161</v>
      </c>
      <c r="BE7">
        <v>-4.4999999999999998E-2</v>
      </c>
      <c r="BF7">
        <v>0</v>
      </c>
      <c r="BI7">
        <v>0.4</v>
      </c>
      <c r="BJ7">
        <v>2.7E-2</v>
      </c>
      <c r="BK7">
        <v>-0.29199999999999998</v>
      </c>
      <c r="BL7">
        <v>-2.5999999999999999E-2</v>
      </c>
      <c r="BM7">
        <v>-3.5000000000000003E-2</v>
      </c>
      <c r="BN7">
        <v>-0.214</v>
      </c>
      <c r="BO7">
        <v>4.2999999999999997E-2</v>
      </c>
      <c r="BP7">
        <v>-0.16800000000000001</v>
      </c>
      <c r="BQ7">
        <v>0.88800000000000001</v>
      </c>
      <c r="BR7">
        <v>1.4E-2</v>
      </c>
    </row>
    <row r="8" spans="1:70" x14ac:dyDescent="0.25">
      <c r="A8" s="1" t="s">
        <v>75</v>
      </c>
      <c r="B8" s="5">
        <v>9.7000000000000003E-2</v>
      </c>
      <c r="C8">
        <v>5.3999999999999999E-2</v>
      </c>
      <c r="D8">
        <v>4.4999999999999998E-2</v>
      </c>
      <c r="E8">
        <v>-2.9000000000000001E-2</v>
      </c>
      <c r="F8">
        <v>-1E-3</v>
      </c>
      <c r="G8">
        <v>7.1999999999999995E-2</v>
      </c>
      <c r="H8">
        <v>0.44700000000000001</v>
      </c>
      <c r="I8">
        <v>-0.216</v>
      </c>
      <c r="J8">
        <v>3.9E-2</v>
      </c>
      <c r="K8">
        <v>0.85299999999999998</v>
      </c>
      <c r="L8">
        <v>-6.7000000000000004E-2</v>
      </c>
      <c r="M8">
        <v>3.3000000000000002E-2</v>
      </c>
      <c r="N8">
        <v>7.0000000000000001E-3</v>
      </c>
      <c r="O8">
        <v>7.0000000000000001E-3</v>
      </c>
      <c r="P8">
        <v>-5.0000000000000001E-3</v>
      </c>
      <c r="Q8">
        <v>-1.78</v>
      </c>
      <c r="R8">
        <v>1E-3</v>
      </c>
      <c r="S8">
        <v>3.5000000000000003E-2</v>
      </c>
      <c r="T8">
        <v>1.2E-2</v>
      </c>
      <c r="U8">
        <v>6.0000000000000001E-3</v>
      </c>
      <c r="V8">
        <v>1.2E-2</v>
      </c>
      <c r="W8">
        <v>2.1999999999999999E-2</v>
      </c>
      <c r="X8">
        <v>-5.0000000000000001E-3</v>
      </c>
      <c r="Y8">
        <v>-6.0999999999999999E-2</v>
      </c>
      <c r="Z8">
        <v>-0.252</v>
      </c>
      <c r="AA8">
        <v>-7.1999999999999995E-2</v>
      </c>
      <c r="AB8">
        <v>-0.05</v>
      </c>
      <c r="AC8">
        <v>-0.04</v>
      </c>
      <c r="AD8">
        <v>0.02</v>
      </c>
      <c r="AE8">
        <v>-5.0000000000000001E-3</v>
      </c>
      <c r="AF8">
        <v>0</v>
      </c>
      <c r="AG8">
        <v>6.0000000000000001E-3</v>
      </c>
      <c r="AH8">
        <v>2E-3</v>
      </c>
      <c r="AI8">
        <v>6.0000000000000001E-3</v>
      </c>
      <c r="AL8">
        <v>7.0999999999999994E-2</v>
      </c>
      <c r="AM8">
        <v>7.6999999999999999E-2</v>
      </c>
      <c r="AN8">
        <v>-0.152</v>
      </c>
      <c r="AO8">
        <v>-0.22900000000000001</v>
      </c>
      <c r="AP8">
        <v>0.17299999999999999</v>
      </c>
      <c r="AQ8">
        <v>1.18</v>
      </c>
      <c r="AR8">
        <v>-1</v>
      </c>
      <c r="AS8">
        <v>-2.4E-2</v>
      </c>
      <c r="AT8">
        <v>0.09</v>
      </c>
      <c r="AU8">
        <v>-4.2999999999999997E-2</v>
      </c>
      <c r="AV8">
        <v>-0.65100000000000002</v>
      </c>
      <c r="AW8">
        <v>-0.317</v>
      </c>
      <c r="AX8">
        <v>-2.4E-2</v>
      </c>
      <c r="AY8">
        <v>-0.17599999999999999</v>
      </c>
      <c r="AZ8">
        <v>-7.6999999999999999E-2</v>
      </c>
      <c r="BA8">
        <v>-7.6999999999999999E-2</v>
      </c>
      <c r="BB8">
        <v>-0.97099999999999997</v>
      </c>
      <c r="BC8">
        <v>11.388</v>
      </c>
      <c r="BD8">
        <v>-0.23400000000000001</v>
      </c>
      <c r="BE8">
        <v>-0.23699999999999999</v>
      </c>
      <c r="BF8">
        <v>-0.95799999999999996</v>
      </c>
      <c r="BI8">
        <v>-0.97099999999999997</v>
      </c>
      <c r="BJ8">
        <v>-0.53300000000000003</v>
      </c>
      <c r="BK8">
        <v>-2.4E-2</v>
      </c>
      <c r="BL8">
        <v>-3.5000000000000003E-2</v>
      </c>
      <c r="BM8">
        <v>-3.5000000000000003E-2</v>
      </c>
      <c r="BN8">
        <v>-0.36199999999999999</v>
      </c>
      <c r="BO8">
        <v>-0.23</v>
      </c>
      <c r="BP8">
        <v>-0.312</v>
      </c>
      <c r="BQ8">
        <v>-15.816000000000001</v>
      </c>
      <c r="BR8">
        <v>1.7000000000000001E-2</v>
      </c>
    </row>
    <row r="9" spans="1:70" x14ac:dyDescent="0.25">
      <c r="A9" s="1" t="s">
        <v>76</v>
      </c>
      <c r="B9" s="5">
        <v>0.13700000000000001</v>
      </c>
      <c r="C9">
        <v>7.0000000000000007E-2</v>
      </c>
      <c r="D9">
        <v>0.104</v>
      </c>
      <c r="E9">
        <v>-3.0000000000000001E-3</v>
      </c>
      <c r="F9">
        <v>3.5000000000000003E-2</v>
      </c>
      <c r="G9">
        <v>0.114</v>
      </c>
      <c r="H9">
        <v>-0.104</v>
      </c>
      <c r="I9">
        <v>-3.3000000000000002E-2</v>
      </c>
      <c r="J9">
        <v>4.3999999999999997E-2</v>
      </c>
      <c r="K9">
        <v>0.59599999999999997</v>
      </c>
      <c r="L9">
        <v>-0.45</v>
      </c>
      <c r="M9">
        <v>-0.121</v>
      </c>
      <c r="N9">
        <v>1.0999999999999999E-2</v>
      </c>
      <c r="O9">
        <v>0.01</v>
      </c>
      <c r="P9">
        <v>-8.4000000000000005E-2</v>
      </c>
      <c r="Q9">
        <v>0</v>
      </c>
      <c r="R9">
        <v>-8.4000000000000005E-2</v>
      </c>
      <c r="S9">
        <v>0.13</v>
      </c>
      <c r="T9">
        <v>4.4999999999999998E-2</v>
      </c>
      <c r="U9">
        <v>-3.0000000000000001E-3</v>
      </c>
      <c r="V9">
        <v>-8.9999999999999993E-3</v>
      </c>
      <c r="W9">
        <v>2.7E-2</v>
      </c>
      <c r="X9">
        <v>5.8999999999999997E-2</v>
      </c>
      <c r="Y9">
        <v>8.7999999999999995E-2</v>
      </c>
      <c r="Z9">
        <v>-0.22900000000000001</v>
      </c>
      <c r="AA9">
        <v>-5.2999999999999999E-2</v>
      </c>
      <c r="AB9">
        <v>-4.1000000000000002E-2</v>
      </c>
      <c r="AC9">
        <v>0.16300000000000001</v>
      </c>
      <c r="AD9">
        <v>2.7E-2</v>
      </c>
      <c r="AE9">
        <v>2.5999999999999999E-2</v>
      </c>
      <c r="AF9">
        <v>3.0000000000000001E-3</v>
      </c>
      <c r="AG9">
        <v>4.0000000000000001E-3</v>
      </c>
      <c r="AH9">
        <v>1.2E-2</v>
      </c>
      <c r="AI9">
        <v>2.1999999999999999E-2</v>
      </c>
      <c r="AL9">
        <v>0.26200000000000001</v>
      </c>
      <c r="AM9">
        <v>8.1000000000000003E-2</v>
      </c>
      <c r="AN9">
        <v>-0.14299999999999999</v>
      </c>
      <c r="AO9">
        <v>-0.247</v>
      </c>
      <c r="AP9">
        <v>-0.19900000000000001</v>
      </c>
      <c r="AQ9">
        <v>-0.56399999999999995</v>
      </c>
      <c r="AR9">
        <v>2</v>
      </c>
      <c r="AS9">
        <v>8.9999999999999993E-3</v>
      </c>
      <c r="AT9">
        <v>0.13900000000000001</v>
      </c>
      <c r="AU9">
        <v>-0.221</v>
      </c>
      <c r="AV9">
        <v>-0.29399999999999998</v>
      </c>
      <c r="AW9">
        <v>-0.51100000000000001</v>
      </c>
      <c r="AX9">
        <v>-1.82</v>
      </c>
      <c r="AY9">
        <v>-0.189</v>
      </c>
      <c r="AZ9">
        <v>-5.5E-2</v>
      </c>
      <c r="BA9">
        <v>-5.5E-2</v>
      </c>
      <c r="BB9">
        <v>0.57499999999999996</v>
      </c>
      <c r="BC9">
        <v>-0.80900000000000005</v>
      </c>
      <c r="BD9">
        <v>0.72099999999999997</v>
      </c>
      <c r="BE9">
        <v>-5.5E-2</v>
      </c>
      <c r="BF9">
        <v>3.2000000000000001E-2</v>
      </c>
      <c r="BI9">
        <v>-0.72199999999999998</v>
      </c>
      <c r="BJ9">
        <v>0.84299999999999997</v>
      </c>
      <c r="BK9">
        <v>-1.82</v>
      </c>
      <c r="BL9">
        <v>-3.5000000000000003E-2</v>
      </c>
      <c r="BM9">
        <v>4.4999999999999998E-2</v>
      </c>
      <c r="BN9">
        <v>-6.3E-2</v>
      </c>
      <c r="BO9">
        <v>4.2000000000000003E-2</v>
      </c>
      <c r="BP9">
        <v>-6.2E-2</v>
      </c>
      <c r="BQ9">
        <v>-1.032</v>
      </c>
      <c r="BR9">
        <v>-3.6999999999999998E-2</v>
      </c>
    </row>
    <row r="10" spans="1:70" x14ac:dyDescent="0.25">
      <c r="A10" s="1" t="s">
        <v>77</v>
      </c>
      <c r="B10" s="5">
        <v>0.19400000000000001</v>
      </c>
      <c r="C10">
        <v>0.112</v>
      </c>
      <c r="D10">
        <v>9.5000000000000001E-2</v>
      </c>
      <c r="E10">
        <v>-8.0000000000000002E-3</v>
      </c>
      <c r="F10">
        <v>2.7E-2</v>
      </c>
      <c r="G10">
        <v>0.10199999999999999</v>
      </c>
      <c r="H10">
        <v>0.76600000000000001</v>
      </c>
      <c r="I10">
        <v>-0.17</v>
      </c>
      <c r="J10">
        <v>4.8000000000000001E-2</v>
      </c>
      <c r="K10">
        <v>9.2999999999999999E-2</v>
      </c>
      <c r="L10">
        <v>-0.61199999999999999</v>
      </c>
      <c r="M10">
        <v>0.59699999999999998</v>
      </c>
      <c r="N10">
        <v>1.2E-2</v>
      </c>
      <c r="O10">
        <v>2E-3</v>
      </c>
      <c r="P10">
        <v>-2E-3</v>
      </c>
      <c r="Q10">
        <v>-1.3080000000000001</v>
      </c>
      <c r="R10">
        <v>-0.03</v>
      </c>
      <c r="S10">
        <v>0.16900000000000001</v>
      </c>
      <c r="T10">
        <v>0.37</v>
      </c>
      <c r="U10">
        <v>-0.161</v>
      </c>
      <c r="V10">
        <v>2.8000000000000001E-2</v>
      </c>
      <c r="W10">
        <v>2.5999999999999999E-2</v>
      </c>
      <c r="X10">
        <v>6.4000000000000001E-2</v>
      </c>
      <c r="Y10">
        <v>0.10100000000000001</v>
      </c>
      <c r="Z10">
        <v>-0.20599999999999999</v>
      </c>
      <c r="AA10">
        <v>-5.7000000000000002E-2</v>
      </c>
      <c r="AB10">
        <v>-3.5999999999999997E-2</v>
      </c>
      <c r="AC10">
        <v>0.155</v>
      </c>
      <c r="AD10">
        <v>5.0999999999999997E-2</v>
      </c>
      <c r="AE10">
        <v>3.7999999999999999E-2</v>
      </c>
      <c r="AF10">
        <v>0.04</v>
      </c>
      <c r="AG10">
        <v>0.03</v>
      </c>
      <c r="AH10">
        <v>3.3000000000000002E-2</v>
      </c>
      <c r="AI10">
        <v>3.3000000000000002E-2</v>
      </c>
      <c r="AL10">
        <v>-0.17899999999999999</v>
      </c>
      <c r="AM10">
        <v>0.10100000000000001</v>
      </c>
      <c r="AN10">
        <v>-0.126</v>
      </c>
      <c r="AO10">
        <v>-7.2220000000000004</v>
      </c>
      <c r="AP10">
        <v>-1.9E-2</v>
      </c>
      <c r="AQ10">
        <v>-2.3860000000000001</v>
      </c>
      <c r="AR10">
        <v>-0.84199999999999997</v>
      </c>
      <c r="AS10">
        <v>1.7999999999999999E-2</v>
      </c>
      <c r="AT10">
        <v>0.159</v>
      </c>
      <c r="AU10">
        <v>-0.45800000000000002</v>
      </c>
      <c r="AV10">
        <v>0.14399999999999999</v>
      </c>
      <c r="AW10">
        <v>0.51</v>
      </c>
      <c r="AX10">
        <v>0.43099999999999999</v>
      </c>
      <c r="AY10">
        <v>4.3090000000000002</v>
      </c>
      <c r="AZ10">
        <v>0</v>
      </c>
      <c r="BA10">
        <v>0</v>
      </c>
      <c r="BB10">
        <v>-3.9E-2</v>
      </c>
      <c r="BC10">
        <v>-0.251</v>
      </c>
      <c r="BD10">
        <v>0.14299999999999999</v>
      </c>
      <c r="BE10">
        <v>-5.3999999999999999E-2</v>
      </c>
      <c r="BF10">
        <v>7.0000000000000001E-3</v>
      </c>
      <c r="BI10">
        <v>-1.6E-2</v>
      </c>
      <c r="BJ10">
        <v>56.332999999999998</v>
      </c>
      <c r="BK10">
        <v>0.43099999999999999</v>
      </c>
      <c r="BL10">
        <v>4.4999999999999998E-2</v>
      </c>
      <c r="BM10">
        <v>3.2000000000000001E-2</v>
      </c>
      <c r="BN10">
        <v>-0.26600000000000001</v>
      </c>
      <c r="BO10">
        <v>4.2999999999999997E-2</v>
      </c>
      <c r="BP10">
        <v>-0.23</v>
      </c>
      <c r="BQ10">
        <v>-0.2</v>
      </c>
      <c r="BR10">
        <v>-8.0000000000000002E-3</v>
      </c>
    </row>
    <row r="11" spans="1:70" x14ac:dyDescent="0.25">
      <c r="A11" s="1" t="s">
        <v>78</v>
      </c>
      <c r="B11" s="5">
        <v>0.22600000000000001</v>
      </c>
      <c r="C11">
        <v>0.20200000000000001</v>
      </c>
      <c r="D11">
        <v>7.2999999999999995E-2</v>
      </c>
      <c r="E11">
        <v>3.3000000000000002E-2</v>
      </c>
      <c r="F11">
        <v>4.5999999999999999E-2</v>
      </c>
      <c r="G11">
        <v>3.5000000000000003E-2</v>
      </c>
      <c r="H11">
        <v>3.327</v>
      </c>
      <c r="I11">
        <v>-0.27200000000000002</v>
      </c>
      <c r="J11">
        <v>2.9000000000000001E-2</v>
      </c>
      <c r="K11">
        <v>0.16200000000000001</v>
      </c>
      <c r="L11">
        <v>0.84799999999999998</v>
      </c>
      <c r="M11">
        <v>11.75</v>
      </c>
      <c r="N11">
        <v>2.1000000000000001E-2</v>
      </c>
      <c r="O11">
        <v>1.2999999999999999E-2</v>
      </c>
      <c r="P11">
        <v>-3.3000000000000002E-2</v>
      </c>
      <c r="Q11">
        <v>-0.65700000000000003</v>
      </c>
      <c r="R11">
        <v>-6.9000000000000006E-2</v>
      </c>
      <c r="S11">
        <v>0.23200000000000001</v>
      </c>
      <c r="T11">
        <v>0.78300000000000003</v>
      </c>
      <c r="U11">
        <v>-0.151</v>
      </c>
      <c r="V11">
        <v>1.0999999999999999E-2</v>
      </c>
      <c r="W11">
        <v>2.1999999999999999E-2</v>
      </c>
      <c r="X11">
        <v>7.4999999999999997E-2</v>
      </c>
      <c r="Y11">
        <v>0.125</v>
      </c>
      <c r="Z11">
        <v>-0.113</v>
      </c>
      <c r="AA11">
        <v>-0.02</v>
      </c>
      <c r="AB11">
        <v>-1.2999999999999999E-2</v>
      </c>
      <c r="AC11">
        <v>0.34399999999999997</v>
      </c>
      <c r="AD11">
        <v>5.3999999999999999E-2</v>
      </c>
      <c r="AE11">
        <v>4.2000000000000003E-2</v>
      </c>
      <c r="AF11">
        <v>0.04</v>
      </c>
      <c r="AG11">
        <v>1.9E-2</v>
      </c>
      <c r="AH11">
        <v>2.8000000000000001E-2</v>
      </c>
      <c r="AI11">
        <v>2.7E-2</v>
      </c>
      <c r="AL11">
        <v>0.13100000000000001</v>
      </c>
      <c r="AM11">
        <v>6.8000000000000005E-2</v>
      </c>
      <c r="AN11">
        <v>-6.7000000000000004E-2</v>
      </c>
      <c r="AO11">
        <v>-0.85499999999999998</v>
      </c>
      <c r="AP11">
        <v>-1.4999999999999999E-2</v>
      </c>
      <c r="AQ11">
        <v>0.122</v>
      </c>
      <c r="AR11">
        <v>-0.58699999999999997</v>
      </c>
      <c r="AS11">
        <v>4.7E-2</v>
      </c>
      <c r="AT11">
        <v>6.7000000000000004E-2</v>
      </c>
      <c r="AU11">
        <v>0.57899999999999996</v>
      </c>
      <c r="AV11">
        <v>-0.29299999999999998</v>
      </c>
      <c r="AW11">
        <v>-2.5999999999999999E-2</v>
      </c>
      <c r="AX11">
        <v>1.379</v>
      </c>
      <c r="AY11">
        <v>-1.407</v>
      </c>
      <c r="AZ11">
        <v>-0.03</v>
      </c>
      <c r="BA11">
        <v>-0.03</v>
      </c>
      <c r="BB11">
        <v>2.4E-2</v>
      </c>
      <c r="BC11">
        <v>-0.53700000000000003</v>
      </c>
      <c r="BD11">
        <v>-9.6000000000000002E-2</v>
      </c>
      <c r="BE11">
        <v>-0.309</v>
      </c>
      <c r="BF11">
        <v>0</v>
      </c>
      <c r="BI11">
        <v>6.3E-2</v>
      </c>
      <c r="BJ11">
        <v>-0.95699999999999996</v>
      </c>
      <c r="BK11">
        <v>1.379</v>
      </c>
      <c r="BL11">
        <v>3.2000000000000001E-2</v>
      </c>
      <c r="BM11">
        <v>1.4E-2</v>
      </c>
      <c r="BN11">
        <v>-0.37</v>
      </c>
      <c r="BO11">
        <v>-0.437</v>
      </c>
      <c r="BP11">
        <v>-0.33800000000000002</v>
      </c>
      <c r="BQ11">
        <v>-0.40400000000000003</v>
      </c>
      <c r="BR11">
        <v>-3.2000000000000001E-2</v>
      </c>
    </row>
    <row r="12" spans="1:70" x14ac:dyDescent="0.25">
      <c r="A12" s="1" t="s">
        <v>79</v>
      </c>
      <c r="B12" s="5">
        <v>0.17599999999999999</v>
      </c>
      <c r="C12">
        <v>0.13300000000000001</v>
      </c>
      <c r="D12">
        <v>3.5999999999999997E-2</v>
      </c>
      <c r="E12">
        <v>4.9000000000000002E-2</v>
      </c>
      <c r="F12">
        <v>4.4999999999999998E-2</v>
      </c>
      <c r="G12">
        <v>3.7999999999999999E-2</v>
      </c>
      <c r="H12">
        <v>0.20399999999999999</v>
      </c>
      <c r="I12">
        <v>-7.9000000000000001E-2</v>
      </c>
      <c r="J12">
        <v>2.5000000000000001E-2</v>
      </c>
      <c r="K12">
        <v>0.156</v>
      </c>
      <c r="L12">
        <v>0.32300000000000001</v>
      </c>
      <c r="M12">
        <v>-0.78900000000000003</v>
      </c>
      <c r="N12">
        <v>2.1000000000000001E-2</v>
      </c>
      <c r="O12">
        <v>2.8000000000000001E-2</v>
      </c>
      <c r="P12">
        <v>-6.3E-2</v>
      </c>
      <c r="Q12">
        <v>-0.51300000000000001</v>
      </c>
      <c r="R12">
        <v>-0.106</v>
      </c>
      <c r="S12">
        <v>0.29199999999999998</v>
      </c>
      <c r="T12">
        <v>-7.8E-2</v>
      </c>
      <c r="U12">
        <v>4.5999999999999999E-2</v>
      </c>
      <c r="V12">
        <v>-0.03</v>
      </c>
      <c r="W12">
        <v>1.2999999999999999E-2</v>
      </c>
      <c r="X12">
        <v>9.0999999999999998E-2</v>
      </c>
      <c r="Y12">
        <v>0.14899999999999999</v>
      </c>
      <c r="Z12">
        <v>4.8000000000000001E-2</v>
      </c>
      <c r="AA12">
        <v>6.2E-2</v>
      </c>
      <c r="AB12">
        <v>3.9E-2</v>
      </c>
      <c r="AC12">
        <v>0.51800000000000002</v>
      </c>
      <c r="AD12">
        <v>1.4E-2</v>
      </c>
      <c r="AE12">
        <v>7.1999999999999995E-2</v>
      </c>
      <c r="AF12">
        <v>4.7E-2</v>
      </c>
      <c r="AG12">
        <v>3.3000000000000002E-2</v>
      </c>
      <c r="AH12">
        <v>4.7E-2</v>
      </c>
      <c r="AI12">
        <v>1.6E-2</v>
      </c>
      <c r="AL12">
        <v>-0.154</v>
      </c>
      <c r="AM12">
        <v>5.0000000000000001E-3</v>
      </c>
      <c r="AN12">
        <v>4.1000000000000002E-2</v>
      </c>
      <c r="AO12">
        <v>-0.499</v>
      </c>
      <c r="AP12">
        <v>8.0000000000000002E-3</v>
      </c>
      <c r="AQ12">
        <v>-4.2140000000000004</v>
      </c>
      <c r="AR12">
        <v>0.28000000000000003</v>
      </c>
      <c r="AS12">
        <v>7.9000000000000001E-2</v>
      </c>
      <c r="AT12">
        <v>9.1999999999999998E-2</v>
      </c>
      <c r="AU12">
        <v>0.45400000000000001</v>
      </c>
      <c r="AV12">
        <v>0.154</v>
      </c>
      <c r="AW12">
        <v>-4.5999999999999999E-2</v>
      </c>
      <c r="AX12">
        <v>-0.79500000000000004</v>
      </c>
      <c r="AY12">
        <v>-0.61099999999999999</v>
      </c>
      <c r="AZ12">
        <v>-0.126</v>
      </c>
      <c r="BA12">
        <v>-0.126</v>
      </c>
      <c r="BB12">
        <v>-2.7429999999999999</v>
      </c>
      <c r="BC12">
        <v>-0.187</v>
      </c>
      <c r="BD12">
        <v>-2.3730000000000002</v>
      </c>
      <c r="BE12">
        <v>-0.40200000000000002</v>
      </c>
      <c r="BF12" t="s">
        <v>96</v>
      </c>
      <c r="BI12">
        <v>-0.21299999999999999</v>
      </c>
      <c r="BJ12">
        <v>-3.3</v>
      </c>
      <c r="BK12">
        <v>-0.79500000000000004</v>
      </c>
      <c r="BL12">
        <v>1.4E-2</v>
      </c>
      <c r="BM12">
        <v>7.1999999999999995E-2</v>
      </c>
      <c r="BN12">
        <v>-0.11799999999999999</v>
      </c>
      <c r="BO12">
        <v>-0.11799999999999999</v>
      </c>
      <c r="BP12">
        <v>-0.11899999999999999</v>
      </c>
      <c r="BQ12">
        <v>-0.56699999999999995</v>
      </c>
      <c r="BR12">
        <v>-9.7000000000000003E-2</v>
      </c>
    </row>
    <row r="13" spans="1:70" x14ac:dyDescent="0.25">
      <c r="A13" s="1" t="s">
        <v>80</v>
      </c>
      <c r="B13" s="5">
        <v>0.13100000000000001</v>
      </c>
      <c r="C13">
        <v>0.14199999999999999</v>
      </c>
      <c r="D13">
        <v>-3.6999999999999998E-2</v>
      </c>
      <c r="E13">
        <v>5.6000000000000001E-2</v>
      </c>
      <c r="F13">
        <v>2.4E-2</v>
      </c>
      <c r="G13">
        <v>0</v>
      </c>
      <c r="H13">
        <v>3.4889999999999999</v>
      </c>
      <c r="I13">
        <v>-0.11600000000000001</v>
      </c>
      <c r="J13">
        <v>2.4E-2</v>
      </c>
      <c r="K13">
        <v>0.10299999999999999</v>
      </c>
      <c r="L13">
        <v>0.5</v>
      </c>
      <c r="M13">
        <v>1.3080000000000001</v>
      </c>
      <c r="N13">
        <v>1.9E-2</v>
      </c>
      <c r="O13">
        <v>0.02</v>
      </c>
      <c r="P13">
        <v>1.6E-2</v>
      </c>
      <c r="Q13">
        <v>-0.307</v>
      </c>
      <c r="R13">
        <v>-3.2000000000000001E-2</v>
      </c>
      <c r="S13">
        <v>0.13600000000000001</v>
      </c>
      <c r="T13">
        <v>0.126</v>
      </c>
      <c r="U13">
        <v>6.5000000000000002E-2</v>
      </c>
      <c r="V13">
        <v>8.0000000000000002E-3</v>
      </c>
      <c r="W13">
        <v>-1.7000000000000001E-2</v>
      </c>
      <c r="X13">
        <v>0.158</v>
      </c>
      <c r="Y13">
        <v>0.124</v>
      </c>
      <c r="Z13">
        <v>6.3E-2</v>
      </c>
      <c r="AA13">
        <v>7.9000000000000001E-2</v>
      </c>
      <c r="AB13">
        <v>0.06</v>
      </c>
      <c r="AC13">
        <v>6.2E-2</v>
      </c>
      <c r="AD13">
        <v>-0.01</v>
      </c>
      <c r="AE13">
        <v>4.2000000000000003E-2</v>
      </c>
      <c r="AF13">
        <v>7.1999999999999995E-2</v>
      </c>
      <c r="AG13">
        <v>5.2999999999999999E-2</v>
      </c>
      <c r="AH13">
        <v>4.9000000000000002E-2</v>
      </c>
      <c r="AI13">
        <v>-7.0000000000000001E-3</v>
      </c>
      <c r="AL13">
        <v>-0.186</v>
      </c>
      <c r="AM13">
        <v>2.5999999999999999E-2</v>
      </c>
      <c r="AN13">
        <v>0.10199999999999999</v>
      </c>
      <c r="AO13">
        <v>-0.41699999999999998</v>
      </c>
      <c r="AP13">
        <v>0.13</v>
      </c>
      <c r="AQ13">
        <v>-1.452</v>
      </c>
      <c r="AR13">
        <v>-0.49099999999999999</v>
      </c>
      <c r="AS13">
        <v>0.106</v>
      </c>
      <c r="AT13">
        <v>0.10100000000000001</v>
      </c>
      <c r="AU13">
        <v>0.35599999999999998</v>
      </c>
      <c r="AV13">
        <v>0.315</v>
      </c>
      <c r="AW13">
        <v>3.4670000000000001</v>
      </c>
      <c r="AX13">
        <v>-2.2290000000000001</v>
      </c>
      <c r="AY13">
        <v>-0.47199999999999998</v>
      </c>
      <c r="AZ13">
        <v>-0.107</v>
      </c>
      <c r="BA13">
        <v>-0.107</v>
      </c>
      <c r="BB13">
        <v>-4.6779999999999999</v>
      </c>
      <c r="BC13">
        <v>4.2999999999999997E-2</v>
      </c>
      <c r="BD13">
        <v>-2.2389999999999999</v>
      </c>
      <c r="BE13">
        <v>3.0000000000000001E-3</v>
      </c>
      <c r="BI13">
        <v>0.995</v>
      </c>
      <c r="BJ13">
        <v>-0.65900000000000003</v>
      </c>
      <c r="BK13">
        <v>-2.2290000000000001</v>
      </c>
      <c r="BL13">
        <v>7.1999999999999995E-2</v>
      </c>
      <c r="BM13">
        <v>-5.5E-2</v>
      </c>
      <c r="BN13">
        <v>-0.158</v>
      </c>
      <c r="BO13">
        <v>-0.15</v>
      </c>
      <c r="BP13">
        <v>-0.154</v>
      </c>
      <c r="BQ13">
        <v>-0.14099999999999999</v>
      </c>
      <c r="BR13">
        <v>-3.4000000000000002E-2</v>
      </c>
    </row>
    <row r="14" spans="1:70" x14ac:dyDescent="0.25">
      <c r="A14" s="1" t="s">
        <v>81</v>
      </c>
      <c r="B14" s="5">
        <v>0.14799999999999999</v>
      </c>
      <c r="C14">
        <v>0.155</v>
      </c>
      <c r="D14">
        <v>2.1999999999999999E-2</v>
      </c>
      <c r="E14">
        <v>0.13700000000000001</v>
      </c>
      <c r="F14">
        <v>9.4E-2</v>
      </c>
      <c r="G14">
        <v>-4.5999999999999999E-2</v>
      </c>
      <c r="H14">
        <v>0.95799999999999996</v>
      </c>
      <c r="I14">
        <v>-8.2000000000000003E-2</v>
      </c>
      <c r="J14">
        <v>1.0999999999999999E-2</v>
      </c>
      <c r="K14">
        <v>0.318</v>
      </c>
      <c r="L14">
        <v>-2.0550000000000002</v>
      </c>
      <c r="M14">
        <v>-0.74099999999999999</v>
      </c>
      <c r="N14">
        <v>1.9E-2</v>
      </c>
      <c r="O14">
        <v>0.03</v>
      </c>
      <c r="P14">
        <v>-9.9000000000000005E-2</v>
      </c>
      <c r="Q14">
        <v>-0.114</v>
      </c>
      <c r="R14">
        <v>-0.10100000000000001</v>
      </c>
      <c r="S14">
        <v>0.16900000000000001</v>
      </c>
      <c r="T14">
        <v>0.14799999999999999</v>
      </c>
      <c r="U14">
        <v>2.1999999999999999E-2</v>
      </c>
      <c r="V14">
        <v>-0.05</v>
      </c>
      <c r="W14">
        <v>-2.1999999999999999E-2</v>
      </c>
      <c r="X14">
        <v>0.219</v>
      </c>
      <c r="Y14">
        <v>0.20100000000000001</v>
      </c>
      <c r="Z14">
        <v>0.11600000000000001</v>
      </c>
      <c r="AA14">
        <v>0.113</v>
      </c>
      <c r="AB14">
        <v>6.4000000000000001E-2</v>
      </c>
      <c r="AC14">
        <v>0.183</v>
      </c>
      <c r="AD14">
        <v>-1.6E-2</v>
      </c>
      <c r="AE14">
        <v>6.6000000000000003E-2</v>
      </c>
      <c r="AF14">
        <v>3.1E-2</v>
      </c>
      <c r="AG14">
        <v>0.02</v>
      </c>
      <c r="AH14">
        <v>3.5999999999999997E-2</v>
      </c>
      <c r="AI14">
        <v>-3.0000000000000001E-3</v>
      </c>
      <c r="AL14">
        <v>0.14299999999999999</v>
      </c>
      <c r="AM14">
        <v>1.0999999999999999E-2</v>
      </c>
      <c r="AN14">
        <v>0.104</v>
      </c>
      <c r="AO14">
        <v>-0.247</v>
      </c>
      <c r="AP14">
        <v>0.55500000000000005</v>
      </c>
      <c r="AQ14">
        <v>-1.6890000000000001</v>
      </c>
      <c r="AR14">
        <v>8.7999999999999995E-2</v>
      </c>
      <c r="AS14">
        <v>0.14699999999999999</v>
      </c>
      <c r="AT14">
        <v>0.17</v>
      </c>
      <c r="AU14">
        <v>-3.7639999999999998</v>
      </c>
      <c r="AV14">
        <v>0.14599999999999999</v>
      </c>
      <c r="AW14">
        <v>0.30199999999999999</v>
      </c>
      <c r="AX14">
        <v>-0.436</v>
      </c>
      <c r="AY14">
        <v>-0.252</v>
      </c>
      <c r="AZ14">
        <v>-0.219</v>
      </c>
      <c r="BA14">
        <v>-0.219</v>
      </c>
      <c r="BB14">
        <v>0.34</v>
      </c>
      <c r="BC14">
        <v>-0.1</v>
      </c>
      <c r="BD14">
        <v>-0.441</v>
      </c>
      <c r="BE14">
        <v>-0.48799999999999999</v>
      </c>
      <c r="BI14">
        <v>-6.7000000000000004E-2</v>
      </c>
      <c r="BJ14">
        <v>3.8889999999999998</v>
      </c>
      <c r="BK14">
        <v>-0.436</v>
      </c>
      <c r="BL14">
        <v>-5.5E-2</v>
      </c>
      <c r="BM14">
        <v>-8.8999999999999996E-2</v>
      </c>
      <c r="BN14">
        <v>-0.11600000000000001</v>
      </c>
      <c r="BO14">
        <v>-0.16800000000000001</v>
      </c>
      <c r="BP14">
        <v>-0.126</v>
      </c>
      <c r="BQ14">
        <v>-0.35699999999999998</v>
      </c>
      <c r="BR14">
        <v>-0.112</v>
      </c>
    </row>
    <row r="15" spans="1:70" x14ac:dyDescent="0.25">
      <c r="A15" s="1" t="s">
        <v>82</v>
      </c>
      <c r="B15" s="5">
        <v>-5.2999999999999999E-2</v>
      </c>
      <c r="C15">
        <v>-9.4E-2</v>
      </c>
      <c r="D15">
        <v>-0.14799999999999999</v>
      </c>
      <c r="E15">
        <v>6.0999999999999999E-2</v>
      </c>
      <c r="F15">
        <v>-2.8000000000000001E-2</v>
      </c>
      <c r="G15">
        <v>-5.8999999999999997E-2</v>
      </c>
      <c r="H15">
        <v>-0.59299999999999997</v>
      </c>
      <c r="I15">
        <v>5.3999999999999999E-2</v>
      </c>
      <c r="J15">
        <v>-7.0000000000000001E-3</v>
      </c>
      <c r="K15">
        <v>-0.6</v>
      </c>
      <c r="L15">
        <v>-2.2240000000000002</v>
      </c>
      <c r="M15">
        <v>-0.41799999999999998</v>
      </c>
      <c r="N15">
        <v>1.0999999999999999E-2</v>
      </c>
      <c r="O15">
        <v>1.9E-2</v>
      </c>
      <c r="P15">
        <v>-0.125</v>
      </c>
      <c r="Q15">
        <v>-3.0000000000000001E-3</v>
      </c>
      <c r="R15">
        <v>-0.108</v>
      </c>
      <c r="S15">
        <v>0.125</v>
      </c>
      <c r="T15">
        <v>4.2000000000000003E-2</v>
      </c>
      <c r="U15">
        <v>1.6E-2</v>
      </c>
      <c r="V15">
        <v>-7.0000000000000007E-2</v>
      </c>
      <c r="W15">
        <v>-3.2000000000000001E-2</v>
      </c>
      <c r="X15">
        <v>0.26700000000000002</v>
      </c>
      <c r="Y15">
        <v>0.27</v>
      </c>
      <c r="Z15">
        <v>7.2999999999999995E-2</v>
      </c>
      <c r="AA15">
        <v>9.1999999999999998E-2</v>
      </c>
      <c r="AB15">
        <v>3.7999999999999999E-2</v>
      </c>
      <c r="AC15">
        <v>1.7999999999999999E-2</v>
      </c>
      <c r="AD15">
        <v>-4.5999999999999999E-2</v>
      </c>
      <c r="AE15">
        <v>2.5000000000000001E-2</v>
      </c>
      <c r="AF15">
        <v>6.4000000000000001E-2</v>
      </c>
      <c r="AG15">
        <v>4.4999999999999998E-2</v>
      </c>
      <c r="AH15">
        <v>3.7999999999999999E-2</v>
      </c>
      <c r="AI15">
        <v>-3.0000000000000001E-3</v>
      </c>
      <c r="AL15">
        <v>-0.108</v>
      </c>
      <c r="AM15">
        <v>4.5999999999999999E-2</v>
      </c>
      <c r="AN15">
        <v>5.3999999999999999E-2</v>
      </c>
      <c r="AO15">
        <v>6.0000000000000001E-3</v>
      </c>
      <c r="AP15">
        <v>-3.3730000000000002</v>
      </c>
      <c r="AQ15">
        <v>-0.32300000000000001</v>
      </c>
      <c r="AR15">
        <v>1.964</v>
      </c>
      <c r="AS15">
        <v>0.14599999999999999</v>
      </c>
      <c r="AT15">
        <v>5.0000000000000001E-3</v>
      </c>
      <c r="AU15">
        <v>-1.4770000000000001</v>
      </c>
      <c r="AV15">
        <v>0.32200000000000001</v>
      </c>
      <c r="AW15">
        <v>-0.26200000000000001</v>
      </c>
      <c r="AX15">
        <v>-0.375</v>
      </c>
      <c r="AY15">
        <v>5.3999999999999999E-2</v>
      </c>
      <c r="AZ15">
        <v>-0.20599999999999999</v>
      </c>
      <c r="BA15">
        <v>-0.20599999999999999</v>
      </c>
      <c r="BB15">
        <v>-0.88900000000000001</v>
      </c>
      <c r="BC15">
        <v>0.30099999999999999</v>
      </c>
      <c r="BD15">
        <v>-0.56000000000000005</v>
      </c>
      <c r="BE15">
        <v>0.11</v>
      </c>
      <c r="BI15">
        <v>-0.11799999999999999</v>
      </c>
      <c r="BJ15">
        <v>-1.196</v>
      </c>
      <c r="BK15">
        <v>-0.375</v>
      </c>
      <c r="BL15">
        <v>-8.8999999999999996E-2</v>
      </c>
      <c r="BM15">
        <v>-0.125</v>
      </c>
      <c r="BN15">
        <v>4.1000000000000002E-2</v>
      </c>
      <c r="BO15">
        <v>0.14699999999999999</v>
      </c>
      <c r="BP15">
        <v>0.01</v>
      </c>
      <c r="BQ15">
        <v>-0.253</v>
      </c>
      <c r="BR15">
        <v>-8.7999999999999995E-2</v>
      </c>
    </row>
    <row r="16" spans="1:70" x14ac:dyDescent="0.25">
      <c r="A16" s="1" t="s">
        <v>83</v>
      </c>
      <c r="B16" s="5">
        <v>-7.0000000000000007E-2</v>
      </c>
      <c r="C16">
        <v>-6.5000000000000002E-2</v>
      </c>
      <c r="D16">
        <v>-4.2000000000000003E-2</v>
      </c>
      <c r="E16">
        <v>-5.6000000000000001E-2</v>
      </c>
      <c r="F16">
        <v>-0.05</v>
      </c>
      <c r="G16">
        <v>-5.3999999999999999E-2</v>
      </c>
      <c r="H16">
        <v>7.2999999999999995E-2</v>
      </c>
      <c r="I16">
        <v>-1.9E-2</v>
      </c>
      <c r="J16">
        <v>3.9E-2</v>
      </c>
      <c r="K16">
        <v>-0.45500000000000002</v>
      </c>
      <c r="L16">
        <v>1.0999999999999999E-2</v>
      </c>
      <c r="M16">
        <v>-1.9E-2</v>
      </c>
      <c r="N16">
        <v>1.0999999999999999E-2</v>
      </c>
      <c r="O16">
        <v>1.2E-2</v>
      </c>
      <c r="P16">
        <v>-0.16400000000000001</v>
      </c>
      <c r="Q16">
        <v>0.215</v>
      </c>
      <c r="R16">
        <v>-0.127</v>
      </c>
      <c r="S16">
        <v>-4.2999999999999997E-2</v>
      </c>
      <c r="T16">
        <v>1.0549999999999999</v>
      </c>
      <c r="U16">
        <v>-1.7000000000000001E-2</v>
      </c>
      <c r="V16">
        <v>-9.1999999999999998E-2</v>
      </c>
      <c r="W16">
        <v>-1.7999999999999999E-2</v>
      </c>
      <c r="X16">
        <v>0.72099999999999997</v>
      </c>
      <c r="Y16">
        <v>0.82099999999999995</v>
      </c>
      <c r="Z16">
        <v>-4.2000000000000003E-2</v>
      </c>
      <c r="AA16">
        <v>7.3999999999999996E-2</v>
      </c>
      <c r="AB16">
        <v>1.2999999999999999E-2</v>
      </c>
      <c r="AC16">
        <v>-3.7999999999999999E-2</v>
      </c>
      <c r="AD16">
        <v>-2.7E-2</v>
      </c>
      <c r="AE16">
        <v>4.9000000000000002E-2</v>
      </c>
      <c r="AF16">
        <v>6.0999999999999999E-2</v>
      </c>
      <c r="AG16">
        <v>3.6999999999999998E-2</v>
      </c>
      <c r="AH16">
        <v>4.1000000000000002E-2</v>
      </c>
      <c r="AI16">
        <v>0</v>
      </c>
      <c r="AL16">
        <v>0.11799999999999999</v>
      </c>
      <c r="AM16">
        <v>8.5999999999999993E-2</v>
      </c>
      <c r="AN16">
        <v>-4.3999999999999997E-2</v>
      </c>
      <c r="AO16">
        <v>-0.23899999999999999</v>
      </c>
      <c r="AP16">
        <v>-0.54900000000000004</v>
      </c>
      <c r="AQ16">
        <v>-2.5830000000000002</v>
      </c>
      <c r="AR16">
        <v>0.06</v>
      </c>
      <c r="AS16">
        <v>0.159</v>
      </c>
      <c r="AT16">
        <v>-8.0000000000000002E-3</v>
      </c>
      <c r="AU16">
        <v>-0.128</v>
      </c>
      <c r="AV16">
        <v>-11.925000000000001</v>
      </c>
      <c r="AW16">
        <v>-1.4039999999999999</v>
      </c>
      <c r="AX16">
        <v>-0.32</v>
      </c>
      <c r="AY16">
        <v>-0.26600000000000001</v>
      </c>
      <c r="AZ16">
        <v>-8.6999999999999994E-2</v>
      </c>
      <c r="BA16">
        <v>-8.6999999999999994E-2</v>
      </c>
      <c r="BB16">
        <v>-0.23100000000000001</v>
      </c>
      <c r="BC16">
        <v>3.3000000000000002E-2</v>
      </c>
      <c r="BD16">
        <v>-0.153</v>
      </c>
      <c r="BE16">
        <v>0.505</v>
      </c>
      <c r="BF16">
        <v>-1</v>
      </c>
      <c r="BG16">
        <v>-1</v>
      </c>
      <c r="BH16">
        <v>-1</v>
      </c>
      <c r="BI16">
        <v>2.448</v>
      </c>
      <c r="BJ16">
        <v>-0.378</v>
      </c>
      <c r="BK16">
        <v>-0.32</v>
      </c>
      <c r="BL16">
        <v>-0.125</v>
      </c>
      <c r="BM16">
        <v>-0.155</v>
      </c>
      <c r="BN16">
        <v>-3.9E-2</v>
      </c>
      <c r="BO16">
        <v>-0.02</v>
      </c>
      <c r="BP16">
        <v>-4.4999999999999998E-2</v>
      </c>
      <c r="BQ16">
        <v>-0.27700000000000002</v>
      </c>
      <c r="BR16">
        <v>-0.14399999999999999</v>
      </c>
    </row>
    <row r="17" spans="1:70" x14ac:dyDescent="0.25">
      <c r="A17" s="1" t="s">
        <v>84</v>
      </c>
      <c r="B17" s="5">
        <v>-0.05</v>
      </c>
      <c r="C17">
        <v>-6.4000000000000001E-2</v>
      </c>
      <c r="D17">
        <v>4.4999999999999998E-2</v>
      </c>
      <c r="E17">
        <v>-4.7E-2</v>
      </c>
      <c r="F17">
        <v>-0.01</v>
      </c>
      <c r="G17">
        <v>-0.10100000000000001</v>
      </c>
      <c r="H17">
        <v>-12</v>
      </c>
      <c r="I17">
        <v>2E-3</v>
      </c>
      <c r="J17">
        <v>5.2999999999999999E-2</v>
      </c>
      <c r="K17">
        <v>-0.40600000000000003</v>
      </c>
      <c r="L17">
        <v>-9.5000000000000001E-2</v>
      </c>
      <c r="M17">
        <v>-0.01</v>
      </c>
      <c r="N17">
        <v>8.0000000000000002E-3</v>
      </c>
      <c r="O17">
        <v>8.0000000000000002E-3</v>
      </c>
      <c r="P17">
        <v>-0.16900000000000001</v>
      </c>
      <c r="Q17">
        <v>0.49099999999999999</v>
      </c>
      <c r="R17">
        <v>-0.13200000000000001</v>
      </c>
      <c r="S17">
        <v>-0.104</v>
      </c>
      <c r="T17">
        <v>0.41299999999999998</v>
      </c>
      <c r="U17">
        <v>-3.5999999999999997E-2</v>
      </c>
      <c r="V17">
        <v>-0.115</v>
      </c>
      <c r="W17">
        <v>0.01</v>
      </c>
      <c r="X17">
        <v>0.52100000000000002</v>
      </c>
      <c r="Y17">
        <v>0.46800000000000003</v>
      </c>
      <c r="Z17">
        <v>-3.6999999999999998E-2</v>
      </c>
      <c r="AA17">
        <v>3.2000000000000001E-2</v>
      </c>
      <c r="AB17">
        <v>-2.8000000000000001E-2</v>
      </c>
      <c r="AC17">
        <v>0.13200000000000001</v>
      </c>
      <c r="AD17">
        <v>-2.8000000000000001E-2</v>
      </c>
      <c r="AE17">
        <v>6.6000000000000003E-2</v>
      </c>
      <c r="AF17">
        <v>3.4000000000000002E-2</v>
      </c>
      <c r="AG17">
        <v>2.1000000000000001E-2</v>
      </c>
      <c r="AH17">
        <v>3.5999999999999997E-2</v>
      </c>
      <c r="AI17">
        <v>7.0000000000000001E-3</v>
      </c>
      <c r="AL17">
        <v>6.4000000000000001E-2</v>
      </c>
      <c r="AM17">
        <v>9.6000000000000002E-2</v>
      </c>
      <c r="AN17">
        <v>-0.122</v>
      </c>
      <c r="AO17">
        <v>-9.6000000000000002E-2</v>
      </c>
      <c r="AP17">
        <v>-0.42299999999999999</v>
      </c>
      <c r="AQ17">
        <v>0.105</v>
      </c>
      <c r="AR17">
        <v>-1.6850000000000001</v>
      </c>
      <c r="AS17">
        <v>7.8E-2</v>
      </c>
      <c r="AT17">
        <v>-0.20699999999999999</v>
      </c>
      <c r="AU17">
        <v>-0.1</v>
      </c>
      <c r="AV17">
        <v>-0.90600000000000003</v>
      </c>
      <c r="AW17">
        <v>3.2000000000000001E-2</v>
      </c>
      <c r="AX17">
        <v>0.23</v>
      </c>
      <c r="AY17">
        <v>-0.112</v>
      </c>
      <c r="AZ17">
        <v>3.0000000000000001E-3</v>
      </c>
      <c r="BA17">
        <v>3.0000000000000001E-3</v>
      </c>
      <c r="BB17">
        <v>0.11799999999999999</v>
      </c>
      <c r="BC17">
        <v>0.308</v>
      </c>
      <c r="BD17">
        <v>7.4999999999999997E-2</v>
      </c>
      <c r="BE17">
        <v>1E-3</v>
      </c>
      <c r="BF17" t="s">
        <v>96</v>
      </c>
      <c r="BG17">
        <v>0</v>
      </c>
      <c r="BH17">
        <v>0</v>
      </c>
      <c r="BI17">
        <v>-0.79600000000000004</v>
      </c>
      <c r="BJ17">
        <v>-0.22500000000000001</v>
      </c>
      <c r="BK17">
        <v>0.23</v>
      </c>
      <c r="BL17">
        <v>-0.155</v>
      </c>
      <c r="BM17">
        <v>-0.112</v>
      </c>
      <c r="BN17">
        <v>-6.0000000000000001E-3</v>
      </c>
      <c r="BO17">
        <v>6.0000000000000001E-3</v>
      </c>
      <c r="BP17">
        <v>-5.0000000000000001E-3</v>
      </c>
      <c r="BQ17">
        <v>-0.27700000000000002</v>
      </c>
      <c r="BR17">
        <v>-0.17</v>
      </c>
    </row>
    <row r="18" spans="1:70" x14ac:dyDescent="0.25">
      <c r="A18" s="1" t="s">
        <v>85</v>
      </c>
      <c r="B18" s="5">
        <v>-6.3E-2</v>
      </c>
      <c r="C18">
        <v>-0.06</v>
      </c>
      <c r="D18">
        <v>-0.28699999999999998</v>
      </c>
      <c r="E18">
        <v>-0.109</v>
      </c>
      <c r="F18">
        <v>-0.19</v>
      </c>
      <c r="G18">
        <v>-0.48899999999999999</v>
      </c>
      <c r="H18">
        <v>-1.3120000000000001</v>
      </c>
      <c r="I18">
        <v>-0.439</v>
      </c>
      <c r="J18">
        <v>-8.8999999999999996E-2</v>
      </c>
      <c r="K18">
        <v>-0.254</v>
      </c>
      <c r="L18">
        <v>-2.8000000000000001E-2</v>
      </c>
      <c r="M18">
        <v>-0.33200000000000002</v>
      </c>
      <c r="N18">
        <v>0.10100000000000001</v>
      </c>
      <c r="O18">
        <v>0.10100000000000001</v>
      </c>
      <c r="P18">
        <v>-0.115</v>
      </c>
      <c r="Q18">
        <v>0.81299999999999994</v>
      </c>
      <c r="R18">
        <v>-8.8999999999999996E-2</v>
      </c>
      <c r="S18">
        <v>-0.158</v>
      </c>
      <c r="T18">
        <v>-0.03</v>
      </c>
      <c r="U18">
        <v>4.0000000000000001E-3</v>
      </c>
      <c r="V18">
        <v>-8.5000000000000006E-2</v>
      </c>
      <c r="W18">
        <v>0.04</v>
      </c>
      <c r="X18">
        <v>0.76700000000000002</v>
      </c>
      <c r="Y18">
        <v>0.58099999999999996</v>
      </c>
      <c r="Z18">
        <v>-4.2000000000000003E-2</v>
      </c>
      <c r="AA18">
        <v>2.7E-2</v>
      </c>
      <c r="AB18">
        <v>-2.1999999999999999E-2</v>
      </c>
      <c r="AC18">
        <v>0.11</v>
      </c>
      <c r="AD18">
        <v>0.01</v>
      </c>
      <c r="AE18">
        <v>1.4E-2</v>
      </c>
      <c r="AF18">
        <v>8.7999999999999995E-2</v>
      </c>
      <c r="AG18">
        <v>5.5E-2</v>
      </c>
      <c r="AH18">
        <v>0.04</v>
      </c>
      <c r="AI18">
        <v>0.04</v>
      </c>
      <c r="AL18">
        <v>0.33500000000000002</v>
      </c>
      <c r="AM18">
        <v>0.107</v>
      </c>
      <c r="AN18">
        <v>-0.113</v>
      </c>
      <c r="AO18">
        <v>3.5000000000000003E-2</v>
      </c>
      <c r="AP18">
        <v>1.2110000000000001</v>
      </c>
      <c r="AQ18">
        <v>0.55100000000000005</v>
      </c>
      <c r="AR18">
        <v>23.227</v>
      </c>
      <c r="AS18">
        <v>1.2999999999999999E-2</v>
      </c>
      <c r="AT18">
        <v>-0.78400000000000003</v>
      </c>
      <c r="AU18">
        <v>-7.0999999999999994E-2</v>
      </c>
      <c r="AV18">
        <v>0.64200000000000002</v>
      </c>
      <c r="AW18">
        <v>0.13400000000000001</v>
      </c>
      <c r="AX18">
        <v>-4.0259999999999998</v>
      </c>
      <c r="AY18">
        <v>3.6999999999999998E-2</v>
      </c>
      <c r="AZ18">
        <v>2.4E-2</v>
      </c>
      <c r="BA18">
        <v>2.4E-2</v>
      </c>
      <c r="BB18">
        <v>-4.0000000000000001E-3</v>
      </c>
      <c r="BC18">
        <v>0.497</v>
      </c>
      <c r="BD18">
        <v>0.106</v>
      </c>
      <c r="BE18">
        <v>5.1580000000000004</v>
      </c>
      <c r="BG18">
        <v>0</v>
      </c>
      <c r="BH18">
        <v>0</v>
      </c>
      <c r="BI18">
        <v>-0.78</v>
      </c>
      <c r="BJ18">
        <v>0.17199999999999999</v>
      </c>
      <c r="BK18">
        <v>-4.0259999999999998</v>
      </c>
      <c r="BL18">
        <v>-0.112</v>
      </c>
      <c r="BM18">
        <v>3.7999999999999999E-2</v>
      </c>
      <c r="BN18">
        <v>-0.46400000000000002</v>
      </c>
      <c r="BO18">
        <v>-0.45</v>
      </c>
      <c r="BP18">
        <v>-0.42799999999999999</v>
      </c>
      <c r="BQ18">
        <v>-0.159</v>
      </c>
      <c r="BR18">
        <v>-9.7000000000000003E-2</v>
      </c>
    </row>
    <row r="19" spans="1:70" x14ac:dyDescent="0.25">
      <c r="A19" s="1" t="s">
        <v>86</v>
      </c>
      <c r="B19" s="5">
        <v>3.1E-2</v>
      </c>
      <c r="C19">
        <v>4.9000000000000002E-2</v>
      </c>
      <c r="D19">
        <v>0.13200000000000001</v>
      </c>
      <c r="E19">
        <v>-3.4000000000000002E-2</v>
      </c>
      <c r="F19">
        <v>3.5000000000000003E-2</v>
      </c>
      <c r="G19">
        <v>4.9000000000000002E-2</v>
      </c>
      <c r="H19">
        <v>-0.33300000000000002</v>
      </c>
      <c r="I19">
        <v>2.7E-2</v>
      </c>
      <c r="J19">
        <v>-0.17699999999999999</v>
      </c>
      <c r="K19">
        <v>-2.5999999999999999E-2</v>
      </c>
      <c r="L19">
        <v>-5.8</v>
      </c>
      <c r="M19">
        <v>0.22600000000000001</v>
      </c>
      <c r="N19">
        <v>8.0000000000000002E-3</v>
      </c>
      <c r="O19">
        <v>8.0000000000000002E-3</v>
      </c>
      <c r="P19">
        <v>5.8999999999999997E-2</v>
      </c>
      <c r="Q19">
        <v>1.889</v>
      </c>
      <c r="R19">
        <v>7.8E-2</v>
      </c>
      <c r="S19">
        <v>-8.3000000000000004E-2</v>
      </c>
      <c r="T19">
        <v>0.14099999999999999</v>
      </c>
      <c r="U19">
        <v>5.7000000000000002E-2</v>
      </c>
      <c r="V19">
        <v>6.2E-2</v>
      </c>
      <c r="W19">
        <v>6.7000000000000004E-2</v>
      </c>
      <c r="X19">
        <v>3.69</v>
      </c>
      <c r="Y19">
        <v>1.601</v>
      </c>
      <c r="Z19">
        <v>-3.6999999999999998E-2</v>
      </c>
      <c r="AA19">
        <v>3.6999999999999998E-2</v>
      </c>
      <c r="AB19">
        <v>4.8000000000000001E-2</v>
      </c>
      <c r="AC19">
        <v>8.8999999999999996E-2</v>
      </c>
      <c r="AD19">
        <v>3.5999999999999997E-2</v>
      </c>
      <c r="AE19">
        <v>0.09</v>
      </c>
      <c r="AF19">
        <v>-3.3000000000000002E-2</v>
      </c>
      <c r="AG19">
        <v>-0.28599999999999998</v>
      </c>
      <c r="AH19">
        <v>-0.187</v>
      </c>
      <c r="AI19">
        <v>5.1999999999999998E-2</v>
      </c>
      <c r="AJ19">
        <v>-1</v>
      </c>
      <c r="AK19">
        <v>-1</v>
      </c>
      <c r="AL19">
        <v>0.499</v>
      </c>
      <c r="AM19">
        <v>0.191</v>
      </c>
      <c r="AN19">
        <v>0.53800000000000003</v>
      </c>
      <c r="AO19">
        <v>-3.9E-2</v>
      </c>
      <c r="AP19">
        <v>-1.607</v>
      </c>
      <c r="AQ19">
        <v>-0.48399999999999999</v>
      </c>
      <c r="AR19">
        <v>-1.0840000000000001</v>
      </c>
      <c r="AS19">
        <v>-3.7999999999999999E-2</v>
      </c>
      <c r="AT19">
        <v>5.8000000000000003E-2</v>
      </c>
      <c r="AU19">
        <v>3.1480000000000001</v>
      </c>
      <c r="AV19">
        <v>-0.128</v>
      </c>
      <c r="AW19">
        <v>0.58099999999999996</v>
      </c>
      <c r="AX19">
        <v>-0.52100000000000002</v>
      </c>
      <c r="AY19">
        <v>-0.06</v>
      </c>
      <c r="AZ19">
        <v>0.11700000000000001</v>
      </c>
      <c r="BA19">
        <v>0.11700000000000001</v>
      </c>
      <c r="BB19">
        <v>24.187999999999999</v>
      </c>
      <c r="BC19">
        <v>0.93</v>
      </c>
      <c r="BD19">
        <v>2.6080000000000001</v>
      </c>
      <c r="BE19">
        <v>7.2999999999999995E-2</v>
      </c>
      <c r="BG19">
        <v>0</v>
      </c>
      <c r="BH19">
        <v>0</v>
      </c>
      <c r="BI19">
        <v>-2E-3</v>
      </c>
      <c r="BJ19">
        <v>39.75</v>
      </c>
      <c r="BK19">
        <v>-0.52100000000000002</v>
      </c>
      <c r="BL19">
        <v>3.7999999999999999E-2</v>
      </c>
      <c r="BM19">
        <v>8.6999999999999994E-2</v>
      </c>
      <c r="BN19">
        <v>0.03</v>
      </c>
      <c r="BO19">
        <v>-4.0000000000000001E-3</v>
      </c>
      <c r="BP19">
        <v>3.5999999999999997E-2</v>
      </c>
      <c r="BQ19">
        <v>4.2000000000000003E-2</v>
      </c>
      <c r="BR19">
        <v>-1E-3</v>
      </c>
    </row>
    <row r="20" spans="1:70" x14ac:dyDescent="0.25">
      <c r="A20" s="1" t="s">
        <v>87</v>
      </c>
      <c r="B20" s="5">
        <v>8.4000000000000005E-2</v>
      </c>
      <c r="C20">
        <v>0.127</v>
      </c>
      <c r="D20">
        <v>2.9000000000000001E-2</v>
      </c>
      <c r="E20">
        <v>6.4000000000000001E-2</v>
      </c>
      <c r="F20">
        <v>4.9000000000000002E-2</v>
      </c>
      <c r="G20">
        <v>5.2999999999999999E-2</v>
      </c>
      <c r="H20">
        <v>-0.111</v>
      </c>
      <c r="I20">
        <v>-8.9999999999999993E-3</v>
      </c>
      <c r="J20">
        <v>-0.14399999999999999</v>
      </c>
      <c r="K20">
        <v>6.8000000000000005E-2</v>
      </c>
      <c r="L20">
        <v>-1.149</v>
      </c>
      <c r="M20">
        <v>2.5000000000000001E-2</v>
      </c>
      <c r="N20">
        <v>5.0000000000000001E-3</v>
      </c>
      <c r="O20">
        <v>5.0000000000000001E-3</v>
      </c>
      <c r="P20">
        <v>0.122</v>
      </c>
      <c r="Q20" t="s">
        <v>96</v>
      </c>
      <c r="R20">
        <v>0.13400000000000001</v>
      </c>
      <c r="S20">
        <v>-2.5000000000000001E-2</v>
      </c>
      <c r="T20">
        <v>-0.61199999999999999</v>
      </c>
      <c r="U20">
        <v>0.311</v>
      </c>
      <c r="V20">
        <v>0.114</v>
      </c>
      <c r="W20">
        <v>0.16600000000000001</v>
      </c>
      <c r="X20">
        <v>2.1999999999999999E-2</v>
      </c>
      <c r="Y20">
        <v>-3.5000000000000003E-2</v>
      </c>
      <c r="Z20">
        <v>5.0000000000000001E-3</v>
      </c>
      <c r="AA20">
        <v>3.7999999999999999E-2</v>
      </c>
      <c r="AB20">
        <v>7.0000000000000007E-2</v>
      </c>
      <c r="AC20">
        <v>0.20499999999999999</v>
      </c>
      <c r="AD20">
        <v>0.35299999999999998</v>
      </c>
      <c r="AE20">
        <v>1.6E-2</v>
      </c>
      <c r="AF20">
        <v>0.105</v>
      </c>
      <c r="AG20">
        <v>4.5999999999999999E-2</v>
      </c>
      <c r="AH20">
        <v>3.7999999999999999E-2</v>
      </c>
      <c r="AI20">
        <v>0.38100000000000001</v>
      </c>
      <c r="AJ20">
        <v>0</v>
      </c>
      <c r="AK20">
        <v>0</v>
      </c>
      <c r="AL20">
        <v>1.0229999999999999</v>
      </c>
      <c r="AM20">
        <v>0.124</v>
      </c>
      <c r="AN20">
        <v>0.11700000000000001</v>
      </c>
      <c r="AO20">
        <v>0.28999999999999998</v>
      </c>
      <c r="AP20">
        <v>0.55300000000000005</v>
      </c>
      <c r="AQ20">
        <v>22.75</v>
      </c>
      <c r="AR20">
        <v>-2.1999999999999999E-2</v>
      </c>
      <c r="AS20">
        <v>-1.7000000000000001E-2</v>
      </c>
      <c r="AT20">
        <v>0.05</v>
      </c>
      <c r="AU20">
        <v>-0.8</v>
      </c>
      <c r="AV20">
        <v>-1.6140000000000001</v>
      </c>
      <c r="AW20">
        <v>-1.5580000000000001</v>
      </c>
      <c r="AX20">
        <v>-0.52500000000000002</v>
      </c>
      <c r="AY20">
        <v>0.34899999999999998</v>
      </c>
      <c r="AZ20">
        <v>-2.3E-2</v>
      </c>
      <c r="BA20">
        <v>-2.3E-2</v>
      </c>
      <c r="BB20">
        <v>-1.224</v>
      </c>
      <c r="BC20" t="s">
        <v>97</v>
      </c>
      <c r="BD20">
        <v>2.3620000000000001</v>
      </c>
      <c r="BE20">
        <v>-6.8000000000000005E-2</v>
      </c>
      <c r="BF20">
        <v>-1</v>
      </c>
      <c r="BG20" t="s">
        <v>97</v>
      </c>
      <c r="BH20" t="s">
        <v>97</v>
      </c>
      <c r="BI20">
        <v>-0.223</v>
      </c>
      <c r="BJ20">
        <v>-0.55600000000000005</v>
      </c>
      <c r="BK20">
        <v>-0.52500000000000002</v>
      </c>
      <c r="BL20">
        <v>8.6999999999999994E-2</v>
      </c>
      <c r="BM20">
        <v>0.22500000000000001</v>
      </c>
      <c r="BN20">
        <v>-8.9999999999999993E-3</v>
      </c>
      <c r="BO20">
        <v>3.2000000000000001E-2</v>
      </c>
      <c r="BP20">
        <v>-0.01</v>
      </c>
      <c r="BQ20">
        <v>0.19700000000000001</v>
      </c>
      <c r="BR20">
        <v>9.7000000000000003E-2</v>
      </c>
    </row>
    <row r="21" spans="1:70" x14ac:dyDescent="0.25">
      <c r="A21" s="1" t="s">
        <v>88</v>
      </c>
      <c r="B21" s="5">
        <v>7.0999999999999994E-2</v>
      </c>
      <c r="C21">
        <v>9.1999999999999998E-2</v>
      </c>
      <c r="D21">
        <v>4.2999999999999997E-2</v>
      </c>
      <c r="E21">
        <v>8.2000000000000003E-2</v>
      </c>
      <c r="F21">
        <v>6.5000000000000002E-2</v>
      </c>
      <c r="G21">
        <v>7.4999999999999997E-2</v>
      </c>
      <c r="H21">
        <v>-0.60299999999999998</v>
      </c>
      <c r="I21">
        <v>4.1000000000000002E-2</v>
      </c>
      <c r="J21">
        <v>-9.8000000000000004E-2</v>
      </c>
      <c r="K21">
        <v>0.28799999999999998</v>
      </c>
      <c r="L21">
        <v>-7.0000000000000001E-3</v>
      </c>
      <c r="M21">
        <v>2.1999999999999999E-2</v>
      </c>
      <c r="N21">
        <v>0</v>
      </c>
      <c r="O21">
        <v>0</v>
      </c>
      <c r="P21">
        <v>0.52900000000000003</v>
      </c>
      <c r="R21">
        <v>0.52900000000000003</v>
      </c>
      <c r="S21">
        <v>0.312</v>
      </c>
      <c r="T21">
        <v>3.3000000000000002E-2</v>
      </c>
      <c r="U21">
        <v>0.57599999999999996</v>
      </c>
      <c r="V21">
        <v>0.49099999999999999</v>
      </c>
      <c r="W21">
        <v>0.435</v>
      </c>
      <c r="X21">
        <v>0.35299999999999998</v>
      </c>
      <c r="Y21">
        <v>0.311</v>
      </c>
      <c r="Z21">
        <v>0.33600000000000002</v>
      </c>
      <c r="AA21">
        <v>0.35399999999999998</v>
      </c>
      <c r="AB21">
        <v>0.40699999999999997</v>
      </c>
      <c r="AC21">
        <v>0.26900000000000002</v>
      </c>
      <c r="AD21">
        <v>0.55000000000000004</v>
      </c>
      <c r="AE21">
        <v>0.34399999999999997</v>
      </c>
      <c r="AF21">
        <v>0.38800000000000001</v>
      </c>
      <c r="AG21">
        <v>0.23699999999999999</v>
      </c>
      <c r="AH21">
        <v>0.26400000000000001</v>
      </c>
      <c r="AI21">
        <v>0.57999999999999996</v>
      </c>
      <c r="AJ21">
        <v>0</v>
      </c>
      <c r="AK21">
        <v>0</v>
      </c>
      <c r="AL21">
        <v>-54.944000000000003</v>
      </c>
      <c r="AM21">
        <v>0.45800000000000002</v>
      </c>
      <c r="AN21">
        <v>0.84499999999999997</v>
      </c>
      <c r="AO21">
        <v>0.13200000000000001</v>
      </c>
      <c r="AP21">
        <v>-0.622</v>
      </c>
      <c r="AQ21">
        <v>-0.81799999999999995</v>
      </c>
      <c r="AR21">
        <v>-0.70899999999999996</v>
      </c>
      <c r="AS21">
        <v>-5.7000000000000002E-2</v>
      </c>
      <c r="AT21">
        <v>8.3000000000000004E-2</v>
      </c>
      <c r="AU21">
        <v>-5.6000000000000001E-2</v>
      </c>
      <c r="AV21">
        <v>-0.32</v>
      </c>
      <c r="AW21">
        <v>-0.155</v>
      </c>
      <c r="AX21">
        <v>0.26800000000000002</v>
      </c>
      <c r="AY21">
        <v>0.17100000000000001</v>
      </c>
      <c r="AZ21">
        <v>-3.7999999999999999E-2</v>
      </c>
      <c r="BA21">
        <v>-3.7999999999999999E-2</v>
      </c>
      <c r="BB21">
        <v>-3.6999999999999998E-2</v>
      </c>
      <c r="BD21">
        <v>0.313</v>
      </c>
      <c r="BE21">
        <v>-0.60399999999999998</v>
      </c>
      <c r="BF21" t="s">
        <v>97</v>
      </c>
      <c r="BG21">
        <v>-1</v>
      </c>
      <c r="BI21">
        <v>0.251</v>
      </c>
      <c r="BJ21">
        <v>0.8</v>
      </c>
      <c r="BK21">
        <v>0.26800000000000002</v>
      </c>
      <c r="BL21">
        <v>0.22500000000000001</v>
      </c>
      <c r="BM21">
        <v>0.216</v>
      </c>
      <c r="BN21">
        <v>4.8000000000000001E-2</v>
      </c>
      <c r="BO21">
        <v>4.2999999999999997E-2</v>
      </c>
      <c r="BP21">
        <v>4.1000000000000002E-2</v>
      </c>
      <c r="BQ21">
        <v>0.64</v>
      </c>
      <c r="BR21">
        <v>0.48</v>
      </c>
    </row>
    <row r="22" spans="1:70" x14ac:dyDescent="0.25">
      <c r="A22" s="1" t="s">
        <v>89</v>
      </c>
      <c r="B22" s="5">
        <v>3.4000000000000002E-2</v>
      </c>
      <c r="C22">
        <v>0</v>
      </c>
      <c r="D22">
        <v>0.48199999999999998</v>
      </c>
      <c r="E22">
        <v>0.14399999999999999</v>
      </c>
      <c r="F22">
        <v>0.27</v>
      </c>
      <c r="G22">
        <v>1.7150000000000001</v>
      </c>
      <c r="H22">
        <v>-0.44700000000000001</v>
      </c>
      <c r="I22">
        <v>1.3220000000000001</v>
      </c>
      <c r="J22">
        <v>-1.2E-2</v>
      </c>
      <c r="K22">
        <v>0.308</v>
      </c>
      <c r="L22">
        <v>0.109</v>
      </c>
      <c r="M22">
        <v>1.1579999999999999</v>
      </c>
      <c r="N22">
        <v>-8.6999999999999994E-2</v>
      </c>
      <c r="O22">
        <v>-8.6999999999999994E-2</v>
      </c>
      <c r="P22">
        <v>0.96699999999999997</v>
      </c>
      <c r="R22">
        <v>0.96699999999999997</v>
      </c>
      <c r="S22">
        <v>0.53500000000000003</v>
      </c>
      <c r="T22">
        <v>0.157</v>
      </c>
      <c r="U22">
        <v>0.97799999999999998</v>
      </c>
      <c r="V22">
        <v>0.86199999999999999</v>
      </c>
      <c r="W22">
        <v>0.64900000000000002</v>
      </c>
      <c r="X22">
        <v>0.54600000000000004</v>
      </c>
      <c r="Y22">
        <v>0.48799999999999999</v>
      </c>
      <c r="Z22">
        <v>0.504</v>
      </c>
      <c r="AA22">
        <v>0.52500000000000002</v>
      </c>
      <c r="AB22">
        <v>0.64</v>
      </c>
      <c r="AC22">
        <v>0.55500000000000005</v>
      </c>
      <c r="AD22">
        <v>1.0109999999999999</v>
      </c>
      <c r="AE22">
        <v>0.55600000000000005</v>
      </c>
      <c r="AF22">
        <v>0.45700000000000002</v>
      </c>
      <c r="AG22">
        <v>0.26100000000000001</v>
      </c>
      <c r="AH22">
        <v>0.32400000000000001</v>
      </c>
      <c r="AI22">
        <v>1.036</v>
      </c>
      <c r="AJ22">
        <v>0</v>
      </c>
      <c r="AK22">
        <v>0</v>
      </c>
      <c r="AL22">
        <v>3.5</v>
      </c>
      <c r="AM22">
        <v>0.73499999999999999</v>
      </c>
      <c r="AN22">
        <v>8.3759999999999994</v>
      </c>
      <c r="AO22">
        <v>0.311</v>
      </c>
      <c r="AP22">
        <v>0.43099999999999999</v>
      </c>
      <c r="AQ22">
        <v>-0.185</v>
      </c>
      <c r="AR22">
        <v>1.5029999999999999</v>
      </c>
      <c r="AS22">
        <v>5.1999999999999998E-2</v>
      </c>
      <c r="AT22">
        <v>32.674999999999997</v>
      </c>
      <c r="AU22">
        <v>4.2999999999999997E-2</v>
      </c>
      <c r="AV22">
        <v>0.17199999999999999</v>
      </c>
      <c r="AW22">
        <v>-0.14399999999999999</v>
      </c>
      <c r="AX22">
        <v>3.5139999999999998</v>
      </c>
      <c r="AY22">
        <v>0.39100000000000001</v>
      </c>
      <c r="AZ22">
        <v>4.9000000000000002E-2</v>
      </c>
      <c r="BA22">
        <v>4.9000000000000002E-2</v>
      </c>
      <c r="BB22">
        <v>0.23799999999999999</v>
      </c>
      <c r="BD22">
        <v>0.54300000000000004</v>
      </c>
      <c r="BE22">
        <v>-0.184</v>
      </c>
      <c r="BG22">
        <v>-0.66700000000000004</v>
      </c>
      <c r="BI22">
        <v>1.6419999999999999</v>
      </c>
      <c r="BJ22">
        <v>-0.95799999999999996</v>
      </c>
      <c r="BK22">
        <v>3.5139999999999998</v>
      </c>
      <c r="BL22">
        <v>0.216</v>
      </c>
      <c r="BM22">
        <v>0.05</v>
      </c>
      <c r="BN22">
        <v>1.52</v>
      </c>
      <c r="BO22">
        <v>1.423</v>
      </c>
      <c r="BP22">
        <v>1.2829999999999999</v>
      </c>
      <c r="BQ22">
        <v>1.331</v>
      </c>
      <c r="BR22">
        <v>0.77500000000000002</v>
      </c>
    </row>
    <row r="23" spans="1:70" x14ac:dyDescent="0.25">
      <c r="A23" s="1" t="s">
        <v>90</v>
      </c>
      <c r="B23" s="5">
        <v>4.5999999999999999E-2</v>
      </c>
      <c r="C23">
        <v>-2E-3</v>
      </c>
      <c r="D23">
        <v>-3.0000000000000001E-3</v>
      </c>
      <c r="E23">
        <v>0.115</v>
      </c>
      <c r="F23">
        <v>6.8000000000000005E-2</v>
      </c>
      <c r="G23">
        <v>4.5999999999999999E-2</v>
      </c>
      <c r="H23">
        <v>-0.45300000000000001</v>
      </c>
      <c r="I23">
        <v>0.183</v>
      </c>
      <c r="J23">
        <v>0.13100000000000001</v>
      </c>
      <c r="K23">
        <v>0.25</v>
      </c>
      <c r="L23">
        <v>-1.968</v>
      </c>
      <c r="M23">
        <v>-4.774</v>
      </c>
      <c r="N23">
        <v>-3.0000000000000001E-3</v>
      </c>
      <c r="O23">
        <v>-3.0000000000000001E-3</v>
      </c>
      <c r="P23">
        <v>0.89700000000000002</v>
      </c>
      <c r="R23">
        <v>0.89700000000000002</v>
      </c>
      <c r="S23">
        <v>0.80400000000000005</v>
      </c>
      <c r="T23">
        <v>0.184</v>
      </c>
      <c r="U23">
        <v>5.4470000000000001</v>
      </c>
      <c r="V23">
        <v>0.91600000000000004</v>
      </c>
      <c r="W23">
        <v>1.6140000000000001</v>
      </c>
      <c r="X23">
        <v>1</v>
      </c>
      <c r="Y23">
        <v>0.95099999999999996</v>
      </c>
      <c r="Z23">
        <v>1.004</v>
      </c>
      <c r="AA23">
        <v>1.0740000000000001</v>
      </c>
      <c r="AB23">
        <v>1.0169999999999999</v>
      </c>
      <c r="AC23">
        <v>1.0069999999999999</v>
      </c>
      <c r="AD23" t="s">
        <v>96</v>
      </c>
      <c r="AE23">
        <v>0.88700000000000001</v>
      </c>
      <c r="AF23">
        <v>1.8</v>
      </c>
      <c r="AG23">
        <v>3.37</v>
      </c>
      <c r="AH23">
        <v>2.4039999999999999</v>
      </c>
      <c r="AI23" t="s">
        <v>96</v>
      </c>
      <c r="AJ23" t="s">
        <v>96</v>
      </c>
      <c r="AK23" t="s">
        <v>97</v>
      </c>
      <c r="AL23" t="s">
        <v>97</v>
      </c>
      <c r="AM23">
        <v>0.85799999999999998</v>
      </c>
      <c r="AN23">
        <v>-0.81599999999999995</v>
      </c>
      <c r="AO23">
        <v>0.221</v>
      </c>
      <c r="AP23">
        <v>0.73799999999999999</v>
      </c>
      <c r="AQ23">
        <v>-1.6919999999999999</v>
      </c>
      <c r="AR23">
        <v>0.38100000000000001</v>
      </c>
      <c r="AS23">
        <v>0.13600000000000001</v>
      </c>
      <c r="AT23">
        <v>-0.29399999999999998</v>
      </c>
      <c r="AU23">
        <v>-13.771000000000001</v>
      </c>
      <c r="AV23">
        <v>0.14699999999999999</v>
      </c>
      <c r="AW23">
        <v>0.18</v>
      </c>
      <c r="AX23">
        <v>-0.40400000000000003</v>
      </c>
      <c r="AY23">
        <v>0.27600000000000002</v>
      </c>
      <c r="AZ23">
        <v>7.0000000000000007E-2</v>
      </c>
      <c r="BA23">
        <v>7.0000000000000007E-2</v>
      </c>
      <c r="BB23">
        <v>-1.504</v>
      </c>
      <c r="BD23">
        <v>-0.83299999999999996</v>
      </c>
      <c r="BE23">
        <v>-8.5000000000000006E-2</v>
      </c>
      <c r="BG23">
        <v>-0.7</v>
      </c>
      <c r="BI23">
        <v>-0.25</v>
      </c>
      <c r="BJ23">
        <v>-8.0000000000000002E-3</v>
      </c>
      <c r="BK23">
        <v>-0.40400000000000003</v>
      </c>
      <c r="BL23">
        <v>0.05</v>
      </c>
      <c r="BM23">
        <v>9.1999999999999998E-2</v>
      </c>
      <c r="BN23">
        <v>0.191</v>
      </c>
      <c r="BO23">
        <v>0</v>
      </c>
      <c r="BP23">
        <v>0.17</v>
      </c>
      <c r="BQ23">
        <v>0.96099999999999997</v>
      </c>
      <c r="BR23">
        <v>1.032</v>
      </c>
    </row>
    <row r="24" spans="1:70" x14ac:dyDescent="0.25">
      <c r="A24" s="1" t="s">
        <v>91</v>
      </c>
      <c r="B24" s="5">
        <v>0.35799999999999998</v>
      </c>
      <c r="C24">
        <v>0.317</v>
      </c>
      <c r="D24">
        <v>0.36299999999999999</v>
      </c>
      <c r="E24">
        <v>0.44700000000000001</v>
      </c>
      <c r="F24">
        <v>0.41299999999999998</v>
      </c>
      <c r="G24">
        <v>0.32100000000000001</v>
      </c>
      <c r="H24">
        <v>3.2000000000000001E-2</v>
      </c>
      <c r="I24">
        <v>0.53200000000000003</v>
      </c>
      <c r="J24">
        <v>0.43</v>
      </c>
      <c r="K24">
        <v>0.50700000000000001</v>
      </c>
      <c r="L24">
        <v>-0.53200000000000003</v>
      </c>
      <c r="M24">
        <v>-0.47099999999999997</v>
      </c>
      <c r="N24">
        <v>0.32900000000000001</v>
      </c>
      <c r="O24">
        <v>0.32900000000000001</v>
      </c>
      <c r="P24" t="s">
        <v>96</v>
      </c>
      <c r="R24" t="s">
        <v>96</v>
      </c>
      <c r="S24" t="s">
        <v>96</v>
      </c>
      <c r="T24" t="s">
        <v>96</v>
      </c>
      <c r="U24" t="s">
        <v>96</v>
      </c>
      <c r="V24" t="s">
        <v>96</v>
      </c>
      <c r="W24" t="s">
        <v>96</v>
      </c>
      <c r="X24" t="s">
        <v>96</v>
      </c>
      <c r="Y24" t="s">
        <v>96</v>
      </c>
      <c r="Z24" t="s">
        <v>96</v>
      </c>
      <c r="AA24" t="s">
        <v>96</v>
      </c>
      <c r="AB24" t="s">
        <v>96</v>
      </c>
      <c r="AC24" t="s">
        <v>96</v>
      </c>
      <c r="AE24" t="s">
        <v>96</v>
      </c>
      <c r="AF24" t="s">
        <v>96</v>
      </c>
      <c r="AG24" t="s">
        <v>96</v>
      </c>
      <c r="AH24" t="s">
        <v>96</v>
      </c>
      <c r="AM24" t="s">
        <v>97</v>
      </c>
      <c r="AN24" t="s">
        <v>96</v>
      </c>
      <c r="AO24">
        <v>0.71799999999999997</v>
      </c>
      <c r="AP24">
        <v>-0.223</v>
      </c>
      <c r="AQ24">
        <v>-0.40899999999999997</v>
      </c>
      <c r="AR24">
        <v>-0.11700000000000001</v>
      </c>
      <c r="AS24">
        <v>0.34399999999999997</v>
      </c>
      <c r="AT24">
        <v>0.17199999999999999</v>
      </c>
      <c r="AU24">
        <v>-0.91700000000000004</v>
      </c>
      <c r="AV24">
        <v>0.39500000000000002</v>
      </c>
      <c r="AW24">
        <v>0.23599999999999999</v>
      </c>
      <c r="AX24">
        <v>2.476</v>
      </c>
      <c r="AY24">
        <v>0.79200000000000004</v>
      </c>
      <c r="AZ24">
        <v>0.54100000000000004</v>
      </c>
      <c r="BA24">
        <v>0.54100000000000004</v>
      </c>
      <c r="BB24">
        <v>0</v>
      </c>
      <c r="BD24">
        <v>0.28899999999999998</v>
      </c>
      <c r="BE24">
        <v>6.6000000000000003E-2</v>
      </c>
      <c r="BG24">
        <v>0</v>
      </c>
      <c r="BI24">
        <v>1.145</v>
      </c>
      <c r="BJ24">
        <v>-0.105</v>
      </c>
      <c r="BK24">
        <v>2.476</v>
      </c>
      <c r="BL24">
        <v>0.40899999999999997</v>
      </c>
      <c r="BM24">
        <v>0.33600000000000002</v>
      </c>
      <c r="BN24">
        <v>0.56799999999999995</v>
      </c>
      <c r="BO24">
        <v>0.28299999999999997</v>
      </c>
      <c r="BP24">
        <v>0.56299999999999994</v>
      </c>
      <c r="BQ24" t="s">
        <v>96</v>
      </c>
      <c r="BR24" t="s">
        <v>96</v>
      </c>
    </row>
    <row r="25" spans="1:70" x14ac:dyDescent="0.25">
      <c r="A25" s="1" t="s">
        <v>92</v>
      </c>
    </row>
    <row r="26" spans="1:70" x14ac:dyDescent="0.25">
      <c r="A26" s="1" t="s">
        <v>93</v>
      </c>
    </row>
    <row r="27" spans="1:70" x14ac:dyDescent="0.25">
      <c r="A27" s="1" t="s">
        <v>94</v>
      </c>
    </row>
    <row r="28" spans="1:70" x14ac:dyDescent="0.25">
      <c r="A28" s="1" t="s">
        <v>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28"/>
  <sheetViews>
    <sheetView workbookViewId="0">
      <selection activeCell="B6" sqref="B6"/>
    </sheetView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5">
      <c r="A2" s="1" t="s">
        <v>69</v>
      </c>
      <c r="B2">
        <v>0.14399999999999999</v>
      </c>
      <c r="C2">
        <v>8.1000000000000003E-2</v>
      </c>
      <c r="D2">
        <v>1.9E-2</v>
      </c>
      <c r="E2">
        <v>-0.17799999999999999</v>
      </c>
      <c r="F2">
        <v>-0.11899999999999999</v>
      </c>
      <c r="G2">
        <v>1.2999999999999999E-2</v>
      </c>
      <c r="H2">
        <v>-0.98199999999999998</v>
      </c>
      <c r="I2">
        <v>-5.3369999999999997</v>
      </c>
      <c r="J2">
        <v>-4.1000000000000002E-2</v>
      </c>
      <c r="K2">
        <v>1.0489999999999999</v>
      </c>
      <c r="L2">
        <v>0.90400000000000003</v>
      </c>
      <c r="M2">
        <v>-6.3769999999999998</v>
      </c>
      <c r="N2">
        <v>3.3000000000000002E-2</v>
      </c>
      <c r="O2">
        <v>4.1000000000000002E-2</v>
      </c>
      <c r="P2">
        <v>0.161</v>
      </c>
      <c r="Q2">
        <v>4.2380000000000004</v>
      </c>
      <c r="R2">
        <v>0.32600000000000001</v>
      </c>
      <c r="S2">
        <v>0.46200000000000002</v>
      </c>
      <c r="T2">
        <v>-0.72899999999999998</v>
      </c>
      <c r="U2">
        <v>-0.107</v>
      </c>
      <c r="V2">
        <v>0.20899999999999999</v>
      </c>
      <c r="W2">
        <v>-4.5999999999999999E-2</v>
      </c>
      <c r="X2">
        <v>-1.2999999999999999E-2</v>
      </c>
      <c r="Y2">
        <v>-0.23499999999999999</v>
      </c>
      <c r="Z2">
        <v>1.228</v>
      </c>
      <c r="AA2">
        <v>0.19700000000000001</v>
      </c>
      <c r="AB2">
        <v>0.20100000000000001</v>
      </c>
      <c r="AC2">
        <v>9.0999999999999998E-2</v>
      </c>
      <c r="AD2">
        <v>0.58499999999999996</v>
      </c>
      <c r="AE2">
        <v>0.113</v>
      </c>
      <c r="AF2">
        <v>-0.10100000000000001</v>
      </c>
      <c r="AG2">
        <v>0.11600000000000001</v>
      </c>
      <c r="AH2">
        <v>0.115</v>
      </c>
      <c r="AI2">
        <v>-9.0999999999999998E-2</v>
      </c>
      <c r="AL2">
        <v>0.17699999999999999</v>
      </c>
      <c r="AM2">
        <v>-5.5E-2</v>
      </c>
      <c r="AN2">
        <v>0.438</v>
      </c>
      <c r="AO2">
        <v>1.7569999999999999</v>
      </c>
      <c r="AP2">
        <v>4.8019999999999996</v>
      </c>
      <c r="AQ2">
        <v>-1.579</v>
      </c>
      <c r="AR2">
        <v>-2</v>
      </c>
      <c r="AS2">
        <v>-9.9000000000000005E-2</v>
      </c>
      <c r="AT2">
        <v>-0.02</v>
      </c>
      <c r="AU2">
        <v>-0.91800000000000004</v>
      </c>
      <c r="AV2">
        <v>1.2430000000000001</v>
      </c>
      <c r="AW2">
        <v>3.21</v>
      </c>
      <c r="AX2">
        <v>-3.69</v>
      </c>
      <c r="AY2">
        <v>1.5609999999999999</v>
      </c>
      <c r="AZ2">
        <v>0.13300000000000001</v>
      </c>
      <c r="BA2">
        <v>0.13300000000000001</v>
      </c>
      <c r="BB2">
        <v>-1.976</v>
      </c>
      <c r="BC2">
        <v>2.1030000000000002</v>
      </c>
      <c r="BD2">
        <v>2.581</v>
      </c>
      <c r="BE2">
        <v>0.29499999999999998</v>
      </c>
      <c r="BF2">
        <v>-0.60299999999999998</v>
      </c>
      <c r="BG2" t="s">
        <v>97</v>
      </c>
      <c r="BI2">
        <v>-7.5</v>
      </c>
      <c r="BJ2">
        <v>17.571000000000002</v>
      </c>
      <c r="BK2">
        <v>-3.69</v>
      </c>
      <c r="BL2">
        <v>-0.23300000000000001</v>
      </c>
      <c r="BM2">
        <v>-0.16400000000000001</v>
      </c>
      <c r="BN2">
        <v>7.008</v>
      </c>
      <c r="BO2">
        <v>-4.3460000000000001</v>
      </c>
      <c r="BP2">
        <v>20</v>
      </c>
      <c r="BQ2">
        <v>1.2410000000000001</v>
      </c>
      <c r="BR2">
        <v>8.5000000000000006E-2</v>
      </c>
    </row>
    <row r="3" spans="1:70" x14ac:dyDescent="0.25">
      <c r="A3" s="1" t="s">
        <v>70</v>
      </c>
      <c r="B3">
        <v>0.14000000000000001</v>
      </c>
      <c r="C3">
        <v>0.17499999999999999</v>
      </c>
      <c r="D3">
        <v>-0.14399999999999999</v>
      </c>
      <c r="E3">
        <v>-0.156</v>
      </c>
      <c r="F3">
        <v>-0.151</v>
      </c>
      <c r="G3">
        <v>6.5000000000000002E-2</v>
      </c>
      <c r="H3">
        <v>-1.077</v>
      </c>
      <c r="I3">
        <v>-2.0049999999999999</v>
      </c>
      <c r="J3">
        <v>-2.5000000000000001E-2</v>
      </c>
      <c r="K3">
        <v>1.5860000000000001</v>
      </c>
      <c r="L3">
        <v>0.76400000000000001</v>
      </c>
      <c r="M3">
        <v>-1.409</v>
      </c>
      <c r="N3">
        <v>3.3000000000000002E-2</v>
      </c>
      <c r="O3">
        <v>4.5999999999999999E-2</v>
      </c>
      <c r="P3">
        <v>0.185</v>
      </c>
      <c r="Q3">
        <v>11.205</v>
      </c>
      <c r="R3">
        <v>0.32400000000000001</v>
      </c>
      <c r="S3">
        <v>0.30399999999999999</v>
      </c>
      <c r="T3">
        <v>-0.51100000000000001</v>
      </c>
      <c r="U3">
        <v>0.219</v>
      </c>
      <c r="V3">
        <v>0.223</v>
      </c>
      <c r="W3">
        <v>-2.7E-2</v>
      </c>
      <c r="X3">
        <v>-1.7000000000000001E-2</v>
      </c>
      <c r="Y3">
        <v>-0.24199999999999999</v>
      </c>
      <c r="Z3">
        <v>0.77900000000000003</v>
      </c>
      <c r="AA3">
        <v>0.15</v>
      </c>
      <c r="AB3">
        <v>0.17100000000000001</v>
      </c>
      <c r="AC3">
        <v>0.03</v>
      </c>
      <c r="AD3">
        <v>0.29799999999999999</v>
      </c>
      <c r="AE3">
        <v>5.6000000000000001E-2</v>
      </c>
      <c r="AF3">
        <v>-7.0999999999999994E-2</v>
      </c>
      <c r="AG3">
        <v>0.106</v>
      </c>
      <c r="AH3">
        <v>8.6999999999999994E-2</v>
      </c>
      <c r="AI3">
        <v>-7.0999999999999994E-2</v>
      </c>
      <c r="AL3">
        <v>0.186</v>
      </c>
      <c r="AM3">
        <v>-3.5000000000000003E-2</v>
      </c>
      <c r="AN3">
        <v>0.41699999999999998</v>
      </c>
      <c r="AO3">
        <v>3.2879999999999998</v>
      </c>
      <c r="AP3">
        <v>2.8740000000000001</v>
      </c>
      <c r="AQ3">
        <v>-1.7909999999999999</v>
      </c>
      <c r="AS3">
        <v>-0.104</v>
      </c>
      <c r="AT3">
        <v>2.4E-2</v>
      </c>
      <c r="AU3">
        <v>-1</v>
      </c>
      <c r="AV3">
        <v>-4.9000000000000002E-2</v>
      </c>
      <c r="AW3">
        <v>1.9970000000000001</v>
      </c>
      <c r="AX3">
        <v>-1.7729999999999999</v>
      </c>
      <c r="AY3">
        <v>2.61</v>
      </c>
      <c r="AZ3">
        <v>-9.7000000000000003E-2</v>
      </c>
      <c r="BA3">
        <v>-9.7000000000000003E-2</v>
      </c>
      <c r="BB3" t="s">
        <v>96</v>
      </c>
      <c r="BC3">
        <v>2.9780000000000002</v>
      </c>
      <c r="BD3">
        <v>0.61399999999999999</v>
      </c>
      <c r="BE3">
        <v>0.36899999999999999</v>
      </c>
      <c r="BF3">
        <v>-0.625</v>
      </c>
      <c r="BG3" t="s">
        <v>96</v>
      </c>
      <c r="BI3">
        <v>-7.8570000000000002</v>
      </c>
      <c r="BJ3">
        <v>-0.69099999999999995</v>
      </c>
      <c r="BK3">
        <v>-1.7729999999999999</v>
      </c>
      <c r="BL3">
        <v>-0.111</v>
      </c>
      <c r="BM3">
        <v>-0.154</v>
      </c>
      <c r="BN3">
        <v>-4.6890000000000001</v>
      </c>
      <c r="BO3">
        <v>-1.8260000000000001</v>
      </c>
      <c r="BP3">
        <v>-3.4060000000000001</v>
      </c>
      <c r="BQ3">
        <v>5.7990000000000004</v>
      </c>
      <c r="BR3">
        <v>0.158</v>
      </c>
    </row>
    <row r="4" spans="1:70" x14ac:dyDescent="0.25">
      <c r="A4" s="1" t="s">
        <v>71</v>
      </c>
      <c r="B4">
        <v>0.17</v>
      </c>
      <c r="C4">
        <v>0.21299999999999999</v>
      </c>
      <c r="D4">
        <v>-0.14499999999999999</v>
      </c>
      <c r="E4">
        <v>-8.4000000000000005E-2</v>
      </c>
      <c r="F4">
        <v>-0.108</v>
      </c>
      <c r="G4">
        <v>0.13100000000000001</v>
      </c>
      <c r="H4">
        <v>-1.079</v>
      </c>
      <c r="I4">
        <v>-1.6319999999999999</v>
      </c>
      <c r="J4">
        <v>0.12</v>
      </c>
      <c r="K4">
        <v>2.4820000000000002</v>
      </c>
      <c r="L4">
        <v>-2.177</v>
      </c>
      <c r="M4">
        <v>-1.206</v>
      </c>
      <c r="N4">
        <v>3.2000000000000001E-2</v>
      </c>
      <c r="O4">
        <v>4.3999999999999997E-2</v>
      </c>
      <c r="P4">
        <v>7.4999999999999997E-2</v>
      </c>
      <c r="Q4">
        <v>19.495000000000001</v>
      </c>
      <c r="R4">
        <v>0.187</v>
      </c>
      <c r="S4">
        <v>0.20499999999999999</v>
      </c>
      <c r="T4">
        <v>-0.36799999999999999</v>
      </c>
      <c r="U4">
        <v>0.49199999999999999</v>
      </c>
      <c r="V4">
        <v>0.161</v>
      </c>
      <c r="W4">
        <v>4.0000000000000001E-3</v>
      </c>
      <c r="X4">
        <v>-2.1999999999999999E-2</v>
      </c>
      <c r="Y4">
        <v>-0.23599999999999999</v>
      </c>
      <c r="Z4">
        <v>0.32100000000000001</v>
      </c>
      <c r="AA4">
        <v>9.0999999999999998E-2</v>
      </c>
      <c r="AB4">
        <v>0.111</v>
      </c>
      <c r="AC4">
        <v>-5.6000000000000001E-2</v>
      </c>
      <c r="AD4">
        <v>0.28399999999999997</v>
      </c>
      <c r="AE4">
        <v>0.02</v>
      </c>
      <c r="AF4">
        <v>-0.04</v>
      </c>
      <c r="AG4">
        <v>8.5999999999999993E-2</v>
      </c>
      <c r="AH4">
        <v>6.0999999999999999E-2</v>
      </c>
      <c r="AI4">
        <v>-3.9E-2</v>
      </c>
      <c r="AL4">
        <v>0.19400000000000001</v>
      </c>
      <c r="AM4">
        <v>4.0000000000000001E-3</v>
      </c>
      <c r="AN4">
        <v>0.253</v>
      </c>
      <c r="AO4">
        <v>7.6210000000000004</v>
      </c>
      <c r="AP4">
        <v>0.39900000000000002</v>
      </c>
      <c r="AQ4">
        <v>-1.4810000000000001</v>
      </c>
      <c r="AS4">
        <v>-0.13100000000000001</v>
      </c>
      <c r="AT4">
        <v>7.9000000000000001E-2</v>
      </c>
      <c r="AU4">
        <v>-1.0589999999999999</v>
      </c>
      <c r="AV4">
        <v>-0.50700000000000001</v>
      </c>
      <c r="AW4">
        <v>0.88200000000000001</v>
      </c>
      <c r="AX4">
        <v>-1.3480000000000001</v>
      </c>
      <c r="AY4">
        <v>4.5839999999999996</v>
      </c>
      <c r="AZ4">
        <v>-0.115</v>
      </c>
      <c r="BA4">
        <v>-0.115</v>
      </c>
      <c r="BB4">
        <v>-1</v>
      </c>
      <c r="BC4">
        <v>4.1139999999999999</v>
      </c>
      <c r="BD4">
        <v>0.97099999999999997</v>
      </c>
      <c r="BE4">
        <v>0.125</v>
      </c>
      <c r="BF4">
        <v>-0.625</v>
      </c>
      <c r="BG4" t="s">
        <v>96</v>
      </c>
      <c r="BI4">
        <v>-7.3330000000000002</v>
      </c>
      <c r="BJ4">
        <v>-1.4259999999999999</v>
      </c>
      <c r="BK4">
        <v>-1.3480000000000001</v>
      </c>
      <c r="BL4">
        <v>-0.10299999999999999</v>
      </c>
      <c r="BM4">
        <v>-0.14699999999999999</v>
      </c>
      <c r="BN4">
        <v>-3.3860000000000001</v>
      </c>
      <c r="BO4">
        <v>-1.569</v>
      </c>
      <c r="BP4">
        <v>-2.61</v>
      </c>
      <c r="BQ4">
        <v>9.0519999999999996</v>
      </c>
      <c r="BR4">
        <v>0.13800000000000001</v>
      </c>
    </row>
    <row r="5" spans="1:70" x14ac:dyDescent="0.25">
      <c r="A5" s="1" t="s">
        <v>72</v>
      </c>
      <c r="B5">
        <v>0.23799999999999999</v>
      </c>
      <c r="C5">
        <v>0.22900000000000001</v>
      </c>
      <c r="D5">
        <v>-5.8999999999999997E-2</v>
      </c>
      <c r="E5">
        <v>-7.1999999999999995E-2</v>
      </c>
      <c r="F5">
        <v>-6.7000000000000004E-2</v>
      </c>
      <c r="G5">
        <v>0.19900000000000001</v>
      </c>
      <c r="H5">
        <v>-0.61699999999999999</v>
      </c>
      <c r="I5">
        <v>-1.175</v>
      </c>
      <c r="J5">
        <v>0.156</v>
      </c>
      <c r="K5">
        <v>4.2930000000000001</v>
      </c>
      <c r="L5">
        <v>-0.97899999999999998</v>
      </c>
      <c r="M5">
        <v>-1.119</v>
      </c>
      <c r="N5">
        <v>3.1E-2</v>
      </c>
      <c r="O5">
        <v>4.3999999999999997E-2</v>
      </c>
      <c r="P5">
        <v>-3.0000000000000001E-3</v>
      </c>
      <c r="Q5">
        <v>-12.265000000000001</v>
      </c>
      <c r="R5">
        <v>8.1000000000000003E-2</v>
      </c>
      <c r="S5">
        <v>0.11</v>
      </c>
      <c r="T5">
        <v>-0.19600000000000001</v>
      </c>
      <c r="U5">
        <v>0.63400000000000001</v>
      </c>
      <c r="V5">
        <v>0.11799999999999999</v>
      </c>
      <c r="W5">
        <v>4.2000000000000003E-2</v>
      </c>
      <c r="X5">
        <v>-2.3E-2</v>
      </c>
      <c r="Y5">
        <v>-0.23200000000000001</v>
      </c>
      <c r="Z5">
        <v>-0.27700000000000002</v>
      </c>
      <c r="AA5">
        <v>-3.4000000000000002E-2</v>
      </c>
      <c r="AB5">
        <v>6.0000000000000001E-3</v>
      </c>
      <c r="AC5">
        <v>-0.113</v>
      </c>
      <c r="AD5">
        <v>-6.4000000000000001E-2</v>
      </c>
      <c r="AE5">
        <v>-2E-3</v>
      </c>
      <c r="AF5">
        <v>-6.0000000000000001E-3</v>
      </c>
      <c r="AG5">
        <v>6.0999999999999999E-2</v>
      </c>
      <c r="AH5">
        <v>3.6999999999999998E-2</v>
      </c>
      <c r="AI5">
        <v>-3.3000000000000002E-2</v>
      </c>
      <c r="AL5">
        <v>0.20899999999999999</v>
      </c>
      <c r="AM5">
        <v>0.1</v>
      </c>
      <c r="AN5">
        <v>-4.3999999999999997E-2</v>
      </c>
      <c r="AO5">
        <v>3.528</v>
      </c>
      <c r="AP5">
        <v>0.48499999999999999</v>
      </c>
      <c r="AQ5">
        <v>-1.5409999999999999</v>
      </c>
      <c r="AR5">
        <v>-3.597</v>
      </c>
      <c r="AS5">
        <v>-0.13100000000000001</v>
      </c>
      <c r="AT5">
        <v>0.184</v>
      </c>
      <c r="AU5">
        <v>-0.65700000000000003</v>
      </c>
      <c r="AV5">
        <v>-1.175</v>
      </c>
      <c r="AW5">
        <v>-9.2999999999999999E-2</v>
      </c>
      <c r="AX5">
        <v>0.53</v>
      </c>
      <c r="AY5">
        <v>2.2320000000000002</v>
      </c>
      <c r="AZ5">
        <v>-0.16800000000000001</v>
      </c>
      <c r="BA5">
        <v>-0.16800000000000001</v>
      </c>
      <c r="BB5">
        <v>-1.341</v>
      </c>
      <c r="BC5">
        <v>54.107999999999997</v>
      </c>
      <c r="BD5">
        <v>0.95499999999999996</v>
      </c>
      <c r="BE5">
        <v>-0.16500000000000001</v>
      </c>
      <c r="BF5">
        <v>-0.98599999999999999</v>
      </c>
      <c r="BI5">
        <v>-1.444</v>
      </c>
      <c r="BJ5">
        <v>-1.375</v>
      </c>
      <c r="BK5">
        <v>0.53</v>
      </c>
      <c r="BL5">
        <v>-9.7000000000000003E-2</v>
      </c>
      <c r="BM5">
        <v>-7.4999999999999997E-2</v>
      </c>
      <c r="BN5">
        <v>-1.972</v>
      </c>
      <c r="BO5">
        <v>-1.1930000000000001</v>
      </c>
      <c r="BP5">
        <v>-1.653</v>
      </c>
      <c r="BQ5">
        <v>-111.842</v>
      </c>
      <c r="BR5">
        <v>0.12</v>
      </c>
    </row>
    <row r="6" spans="1:70" x14ac:dyDescent="0.25">
      <c r="A6" s="1" t="s">
        <v>73</v>
      </c>
      <c r="B6">
        <v>0.37</v>
      </c>
      <c r="C6">
        <v>0.27</v>
      </c>
      <c r="D6">
        <v>0.13500000000000001</v>
      </c>
      <c r="E6">
        <v>-3.2000000000000001E-2</v>
      </c>
      <c r="F6">
        <v>2.8000000000000001E-2</v>
      </c>
      <c r="G6">
        <v>0.31900000000000001</v>
      </c>
      <c r="H6">
        <v>-0.65900000000000003</v>
      </c>
      <c r="I6">
        <v>-0.78500000000000003</v>
      </c>
      <c r="J6">
        <v>0.16900000000000001</v>
      </c>
      <c r="K6">
        <v>5.4889999999999999</v>
      </c>
      <c r="L6">
        <v>-1.266</v>
      </c>
      <c r="M6">
        <v>-0.96299999999999997</v>
      </c>
      <c r="N6">
        <v>3.4000000000000002E-2</v>
      </c>
      <c r="O6">
        <v>3.7999999999999999E-2</v>
      </c>
      <c r="P6">
        <v>-6.4000000000000001E-2</v>
      </c>
      <c r="Q6">
        <v>-6.7729999999999997</v>
      </c>
      <c r="R6">
        <v>-2.5000000000000001E-2</v>
      </c>
      <c r="S6">
        <v>0.19400000000000001</v>
      </c>
      <c r="T6">
        <v>-0.22</v>
      </c>
      <c r="U6">
        <v>0.56999999999999995</v>
      </c>
      <c r="V6">
        <v>7.0999999999999994E-2</v>
      </c>
      <c r="W6">
        <v>6.9000000000000006E-2</v>
      </c>
      <c r="X6">
        <v>3.9E-2</v>
      </c>
      <c r="Y6">
        <v>-0.104</v>
      </c>
      <c r="Z6">
        <v>-0.45900000000000002</v>
      </c>
      <c r="AA6">
        <v>-0.11899999999999999</v>
      </c>
      <c r="AB6">
        <v>-7.0000000000000007E-2</v>
      </c>
      <c r="AC6">
        <v>2.3E-2</v>
      </c>
      <c r="AD6">
        <v>-1.9E-2</v>
      </c>
      <c r="AE6">
        <v>1.2999999999999999E-2</v>
      </c>
      <c r="AF6">
        <v>-1E-3</v>
      </c>
      <c r="AG6">
        <v>4.2000000000000003E-2</v>
      </c>
      <c r="AH6">
        <v>3.1E-2</v>
      </c>
      <c r="AI6">
        <v>-2E-3</v>
      </c>
      <c r="AL6">
        <v>0.52300000000000002</v>
      </c>
      <c r="AM6">
        <v>0.19800000000000001</v>
      </c>
      <c r="AN6">
        <v>-0.248</v>
      </c>
      <c r="AO6">
        <v>1.595</v>
      </c>
      <c r="AP6">
        <v>-0.55300000000000005</v>
      </c>
      <c r="AQ6">
        <v>-0.186</v>
      </c>
      <c r="AR6">
        <v>-4.8680000000000003</v>
      </c>
      <c r="AS6">
        <v>-0.1</v>
      </c>
      <c r="AT6">
        <v>0.34200000000000003</v>
      </c>
      <c r="AU6">
        <v>-0.73299999999999998</v>
      </c>
      <c r="AV6">
        <v>-0.77</v>
      </c>
      <c r="AW6">
        <v>-0.72499999999999998</v>
      </c>
      <c r="AX6">
        <v>-0.57699999999999996</v>
      </c>
      <c r="AY6">
        <v>1.0649999999999999</v>
      </c>
      <c r="AZ6">
        <v>-0.17</v>
      </c>
      <c r="BA6">
        <v>-0.17</v>
      </c>
      <c r="BB6">
        <v>-1.544</v>
      </c>
      <c r="BC6">
        <v>4.3929999999999998</v>
      </c>
      <c r="BD6">
        <v>0.16</v>
      </c>
      <c r="BE6">
        <v>-0.28699999999999998</v>
      </c>
      <c r="BF6">
        <v>-0.95399999999999996</v>
      </c>
      <c r="BI6">
        <v>-0.96899999999999997</v>
      </c>
      <c r="BJ6">
        <v>-0.95899999999999996</v>
      </c>
      <c r="BK6">
        <v>-0.57699999999999996</v>
      </c>
      <c r="BL6">
        <v>-7.4999999999999997E-2</v>
      </c>
      <c r="BM6">
        <v>-5.2999999999999999E-2</v>
      </c>
      <c r="BN6">
        <v>-1.2709999999999999</v>
      </c>
      <c r="BO6">
        <v>-0.69899999999999995</v>
      </c>
      <c r="BP6">
        <v>-1.077</v>
      </c>
      <c r="BQ6">
        <v>1.804</v>
      </c>
      <c r="BR6">
        <v>5.5E-2</v>
      </c>
    </row>
    <row r="7" spans="1:70" x14ac:dyDescent="0.25">
      <c r="A7" s="1" t="s">
        <v>74</v>
      </c>
      <c r="B7">
        <v>0.58099999999999996</v>
      </c>
      <c r="C7">
        <v>0.33</v>
      </c>
      <c r="D7">
        <v>0.38700000000000001</v>
      </c>
      <c r="E7">
        <v>-3.9E-2</v>
      </c>
      <c r="F7">
        <v>0.10299999999999999</v>
      </c>
      <c r="G7">
        <v>0.40500000000000003</v>
      </c>
      <c r="H7">
        <v>0.51800000000000002</v>
      </c>
      <c r="I7">
        <v>-0.44900000000000001</v>
      </c>
      <c r="J7">
        <v>0.215</v>
      </c>
      <c r="K7">
        <v>4</v>
      </c>
      <c r="L7">
        <v>-1.117</v>
      </c>
      <c r="M7">
        <v>-0.46200000000000002</v>
      </c>
      <c r="N7">
        <v>3.7999999999999999E-2</v>
      </c>
      <c r="O7">
        <v>2.5999999999999999E-2</v>
      </c>
      <c r="P7">
        <v>-9.7000000000000003E-2</v>
      </c>
      <c r="Q7">
        <v>-0.47699999999999998</v>
      </c>
      <c r="R7">
        <v>-0.111</v>
      </c>
      <c r="S7">
        <v>0.38</v>
      </c>
      <c r="T7">
        <v>0.23599999999999999</v>
      </c>
      <c r="U7">
        <v>7.0999999999999994E-2</v>
      </c>
      <c r="V7">
        <v>4.5999999999999999E-2</v>
      </c>
      <c r="W7">
        <v>9.1999999999999998E-2</v>
      </c>
      <c r="X7">
        <v>0.113</v>
      </c>
      <c r="Y7">
        <v>5.7000000000000002E-2</v>
      </c>
      <c r="Z7">
        <v>-0.57199999999999995</v>
      </c>
      <c r="AA7">
        <v>-0.17899999999999999</v>
      </c>
      <c r="AB7">
        <v>-0.125</v>
      </c>
      <c r="AC7">
        <v>0.22900000000000001</v>
      </c>
      <c r="AD7">
        <v>0.08</v>
      </c>
      <c r="AE7">
        <v>0.06</v>
      </c>
      <c r="AF7">
        <v>4.2000000000000003E-2</v>
      </c>
      <c r="AG7">
        <v>5.3999999999999999E-2</v>
      </c>
      <c r="AH7">
        <v>5.6000000000000001E-2</v>
      </c>
      <c r="AI7">
        <v>5.2999999999999999E-2</v>
      </c>
      <c r="AL7">
        <v>0.17899999999999999</v>
      </c>
      <c r="AM7">
        <v>0.315</v>
      </c>
      <c r="AN7">
        <v>-0.38600000000000001</v>
      </c>
      <c r="AO7">
        <v>-10.130000000000001</v>
      </c>
      <c r="AP7">
        <v>-0.40799999999999997</v>
      </c>
      <c r="AQ7">
        <v>-2.4649999999999999</v>
      </c>
      <c r="AR7">
        <v>-1</v>
      </c>
      <c r="AS7">
        <v>-4.7E-2</v>
      </c>
      <c r="AT7">
        <v>0.52800000000000002</v>
      </c>
      <c r="AU7">
        <v>-0.86299999999999999</v>
      </c>
      <c r="AV7">
        <v>-0.52400000000000002</v>
      </c>
      <c r="AW7">
        <v>-0.45700000000000002</v>
      </c>
      <c r="AX7">
        <v>-1.8109999999999999</v>
      </c>
      <c r="AY7">
        <v>5.8120000000000003</v>
      </c>
      <c r="AZ7">
        <v>-0.14499999999999999</v>
      </c>
      <c r="BA7">
        <v>-0.14499999999999999</v>
      </c>
      <c r="BB7">
        <v>-1</v>
      </c>
      <c r="BC7">
        <v>1.637</v>
      </c>
      <c r="BD7">
        <v>0.75</v>
      </c>
      <c r="BE7">
        <v>-0.34899999999999998</v>
      </c>
      <c r="BF7">
        <v>-0.95599999999999996</v>
      </c>
      <c r="BI7">
        <v>-0.98899999999999999</v>
      </c>
      <c r="BJ7">
        <v>49.667000000000002</v>
      </c>
      <c r="BK7">
        <v>-1.8109999999999999</v>
      </c>
      <c r="BL7">
        <v>-5.2999999999999999E-2</v>
      </c>
      <c r="BM7">
        <v>4.0000000000000001E-3</v>
      </c>
      <c r="BN7">
        <v>-0.65500000000000003</v>
      </c>
      <c r="BO7">
        <v>-0.127</v>
      </c>
      <c r="BP7">
        <v>-0.58599999999999997</v>
      </c>
      <c r="BQ7">
        <v>-0.27400000000000002</v>
      </c>
      <c r="BR7">
        <v>-1.4999999999999999E-2</v>
      </c>
    </row>
    <row r="8" spans="1:70" x14ac:dyDescent="0.25">
      <c r="A8" s="1" t="s">
        <v>75</v>
      </c>
      <c r="B8">
        <v>0.82599999999999996</v>
      </c>
      <c r="C8">
        <v>0.50800000000000001</v>
      </c>
      <c r="D8">
        <v>0.35399999999999998</v>
      </c>
      <c r="E8">
        <v>-7.0000000000000001E-3</v>
      </c>
      <c r="F8">
        <v>0.111</v>
      </c>
      <c r="G8">
        <v>0.36199999999999999</v>
      </c>
      <c r="H8">
        <v>8.9090000000000007</v>
      </c>
      <c r="I8">
        <v>-0.54200000000000004</v>
      </c>
      <c r="J8">
        <v>0.17</v>
      </c>
      <c r="K8">
        <v>2.7570000000000001</v>
      </c>
      <c r="L8">
        <v>-0.63200000000000001</v>
      </c>
      <c r="M8">
        <v>17.507999999999999</v>
      </c>
      <c r="N8">
        <v>5.1999999999999998E-2</v>
      </c>
      <c r="O8">
        <v>3.2000000000000001E-2</v>
      </c>
      <c r="P8">
        <v>-0.12</v>
      </c>
      <c r="Q8">
        <v>-0.91700000000000004</v>
      </c>
      <c r="R8">
        <v>-0.17199999999999999</v>
      </c>
      <c r="S8">
        <v>0.68400000000000005</v>
      </c>
      <c r="T8">
        <v>1.585</v>
      </c>
      <c r="U8">
        <v>-0.28499999999999998</v>
      </c>
      <c r="V8">
        <v>4.2000000000000003E-2</v>
      </c>
      <c r="W8">
        <v>0.10100000000000001</v>
      </c>
      <c r="X8">
        <v>0.20599999999999999</v>
      </c>
      <c r="Y8">
        <v>0.26600000000000001</v>
      </c>
      <c r="Z8">
        <v>-0.59399999999999997</v>
      </c>
      <c r="AA8">
        <v>-0.187</v>
      </c>
      <c r="AB8">
        <v>-0.13300000000000001</v>
      </c>
      <c r="AC8">
        <v>0.73299999999999998</v>
      </c>
      <c r="AD8">
        <v>0.161</v>
      </c>
      <c r="AE8">
        <v>0.104</v>
      </c>
      <c r="AF8">
        <v>8.5000000000000006E-2</v>
      </c>
      <c r="AG8">
        <v>0.06</v>
      </c>
      <c r="AH8">
        <v>7.5999999999999998E-2</v>
      </c>
      <c r="AI8">
        <v>9.0999999999999998E-2</v>
      </c>
      <c r="AL8">
        <v>0.254</v>
      </c>
      <c r="AM8">
        <v>0.36799999999999999</v>
      </c>
      <c r="AN8">
        <v>-0.40699999999999997</v>
      </c>
      <c r="AO8">
        <v>-1.5249999999999999</v>
      </c>
      <c r="AP8">
        <v>-9.1999999999999998E-2</v>
      </c>
      <c r="AQ8">
        <v>-2.4780000000000002</v>
      </c>
      <c r="AR8">
        <v>-1</v>
      </c>
      <c r="AS8">
        <v>0.05</v>
      </c>
      <c r="AT8">
        <v>0.53500000000000003</v>
      </c>
      <c r="AU8">
        <v>-0.36299999999999999</v>
      </c>
      <c r="AV8">
        <v>-0.80100000000000005</v>
      </c>
      <c r="AW8">
        <v>-0.50900000000000001</v>
      </c>
      <c r="AX8">
        <v>-3.7250000000000001</v>
      </c>
      <c r="AY8">
        <v>-2.4430000000000001</v>
      </c>
      <c r="AZ8">
        <v>-0.154</v>
      </c>
      <c r="BA8">
        <v>-0.154</v>
      </c>
      <c r="BB8">
        <v>-0.95499999999999996</v>
      </c>
      <c r="BC8">
        <v>-0.17799999999999999</v>
      </c>
      <c r="BD8">
        <v>0.36299999999999999</v>
      </c>
      <c r="BE8">
        <v>-0.52900000000000003</v>
      </c>
      <c r="BF8">
        <v>-0.95599999999999996</v>
      </c>
      <c r="BI8">
        <v>-0.99199999999999999</v>
      </c>
      <c r="BJ8">
        <v>1.145</v>
      </c>
      <c r="BK8">
        <v>-3.7250000000000001</v>
      </c>
      <c r="BL8">
        <v>4.0000000000000001E-3</v>
      </c>
      <c r="BM8">
        <v>5.5E-2</v>
      </c>
      <c r="BN8">
        <v>-0.72399999999999998</v>
      </c>
      <c r="BO8">
        <v>-0.52800000000000002</v>
      </c>
      <c r="BP8">
        <v>-0.67100000000000004</v>
      </c>
      <c r="BQ8">
        <v>-0.77100000000000002</v>
      </c>
      <c r="BR8">
        <v>-5.8999999999999997E-2</v>
      </c>
    </row>
    <row r="9" spans="1:70" x14ac:dyDescent="0.25">
      <c r="A9" s="1" t="s">
        <v>76</v>
      </c>
      <c r="B9">
        <v>0.95699999999999996</v>
      </c>
      <c r="C9">
        <v>0.62</v>
      </c>
      <c r="D9">
        <v>0.34300000000000003</v>
      </c>
      <c r="E9">
        <v>7.2999999999999995E-2</v>
      </c>
      <c r="F9">
        <v>0.161</v>
      </c>
      <c r="G9">
        <v>0.318</v>
      </c>
      <c r="H9">
        <v>7.2460000000000004</v>
      </c>
      <c r="I9">
        <v>-0.46200000000000002</v>
      </c>
      <c r="J9">
        <v>0.155</v>
      </c>
      <c r="K9">
        <v>1.3440000000000001</v>
      </c>
      <c r="L9">
        <v>-0.47799999999999998</v>
      </c>
      <c r="M9">
        <v>2.77</v>
      </c>
      <c r="N9">
        <v>6.5000000000000002E-2</v>
      </c>
      <c r="O9">
        <v>5.3999999999999999E-2</v>
      </c>
      <c r="P9">
        <v>-0.17100000000000001</v>
      </c>
      <c r="Q9">
        <v>-1.052</v>
      </c>
      <c r="R9">
        <v>-0.26</v>
      </c>
      <c r="S9">
        <v>1.1020000000000001</v>
      </c>
      <c r="T9">
        <v>1.3560000000000001</v>
      </c>
      <c r="U9">
        <v>-0.25800000000000001</v>
      </c>
      <c r="V9">
        <v>-1E-3</v>
      </c>
      <c r="W9">
        <v>0.09</v>
      </c>
      <c r="X9">
        <v>0.32200000000000001</v>
      </c>
      <c r="Y9">
        <v>0.55000000000000004</v>
      </c>
      <c r="Z9">
        <v>-0.43099999999999999</v>
      </c>
      <c r="AA9">
        <v>-6.9000000000000006E-2</v>
      </c>
      <c r="AB9">
        <v>-5.1999999999999998E-2</v>
      </c>
      <c r="AC9">
        <v>1.7410000000000001</v>
      </c>
      <c r="AD9">
        <v>0.155</v>
      </c>
      <c r="AE9">
        <v>0.19</v>
      </c>
      <c r="AF9">
        <v>0.13600000000000001</v>
      </c>
      <c r="AG9">
        <v>8.8999999999999996E-2</v>
      </c>
      <c r="AH9">
        <v>0.125</v>
      </c>
      <c r="AI9">
        <v>0.10199999999999999</v>
      </c>
      <c r="AL9">
        <v>-8.9999999999999993E-3</v>
      </c>
      <c r="AM9">
        <v>0.27700000000000002</v>
      </c>
      <c r="AN9">
        <v>-0.27300000000000002</v>
      </c>
      <c r="AO9">
        <v>-1.341</v>
      </c>
      <c r="AP9">
        <v>-0.22</v>
      </c>
      <c r="AQ9">
        <v>1.179</v>
      </c>
      <c r="AR9">
        <v>-0.75</v>
      </c>
      <c r="AS9">
        <v>0.16</v>
      </c>
      <c r="AT9">
        <v>0.53700000000000003</v>
      </c>
      <c r="AU9">
        <v>-3.2000000000000001E-2</v>
      </c>
      <c r="AV9">
        <v>-0.34200000000000003</v>
      </c>
      <c r="AW9">
        <v>-0.314</v>
      </c>
      <c r="AX9">
        <v>-1.571</v>
      </c>
      <c r="AY9">
        <v>-1.6819999999999999</v>
      </c>
      <c r="AZ9">
        <v>-0.19900000000000001</v>
      </c>
      <c r="BA9">
        <v>-0.19900000000000001</v>
      </c>
      <c r="BB9">
        <v>-3.7</v>
      </c>
      <c r="BC9">
        <v>-0.94599999999999995</v>
      </c>
      <c r="BD9">
        <v>-3.4409999999999998</v>
      </c>
      <c r="BE9">
        <v>-0.63100000000000001</v>
      </c>
      <c r="BF9" t="s">
        <v>96</v>
      </c>
      <c r="BI9">
        <v>-0.77100000000000002</v>
      </c>
      <c r="BJ9">
        <v>-11.567</v>
      </c>
      <c r="BK9">
        <v>-1.571</v>
      </c>
      <c r="BL9">
        <v>5.5E-2</v>
      </c>
      <c r="BM9">
        <v>0.17100000000000001</v>
      </c>
      <c r="BN9">
        <v>-0.61799999999999999</v>
      </c>
      <c r="BO9">
        <v>-0.46</v>
      </c>
      <c r="BP9">
        <v>-0.57899999999999996</v>
      </c>
      <c r="BQ9">
        <v>-1.0069999999999999</v>
      </c>
      <c r="BR9">
        <v>-0.16400000000000001</v>
      </c>
    </row>
    <row r="10" spans="1:70" x14ac:dyDescent="0.25">
      <c r="A10" s="1" t="s">
        <v>77</v>
      </c>
      <c r="B10">
        <v>0.94699999999999995</v>
      </c>
      <c r="C10">
        <v>0.72899999999999998</v>
      </c>
      <c r="D10">
        <v>0.17100000000000001</v>
      </c>
      <c r="E10">
        <v>0.13700000000000001</v>
      </c>
      <c r="F10">
        <v>0.14899999999999999</v>
      </c>
      <c r="G10">
        <v>0.183</v>
      </c>
      <c r="H10">
        <v>40.298000000000002</v>
      </c>
      <c r="I10">
        <v>-0.50800000000000001</v>
      </c>
      <c r="J10">
        <v>0.13300000000000001</v>
      </c>
      <c r="K10">
        <v>0.621</v>
      </c>
      <c r="L10">
        <v>0.42299999999999999</v>
      </c>
      <c r="M10">
        <v>8.8930000000000007</v>
      </c>
      <c r="N10">
        <v>7.3999999999999996E-2</v>
      </c>
      <c r="O10">
        <v>6.4000000000000001E-2</v>
      </c>
      <c r="P10">
        <v>-8.2000000000000003E-2</v>
      </c>
      <c r="Q10">
        <v>-1.036</v>
      </c>
      <c r="R10">
        <v>-0.219</v>
      </c>
      <c r="S10">
        <v>1.1120000000000001</v>
      </c>
      <c r="T10">
        <v>1.538</v>
      </c>
      <c r="U10">
        <v>-0.20699999999999999</v>
      </c>
      <c r="V10">
        <v>1.4999999999999999E-2</v>
      </c>
      <c r="W10">
        <v>4.3999999999999997E-2</v>
      </c>
      <c r="X10">
        <v>0.44600000000000001</v>
      </c>
      <c r="Y10">
        <v>0.6</v>
      </c>
      <c r="Z10">
        <v>-0.214</v>
      </c>
      <c r="AA10">
        <v>0.06</v>
      </c>
      <c r="AB10">
        <v>4.8000000000000001E-2</v>
      </c>
      <c r="AC10">
        <v>1.502</v>
      </c>
      <c r="AD10">
        <v>0.113</v>
      </c>
      <c r="AE10">
        <v>0.20799999999999999</v>
      </c>
      <c r="AF10">
        <v>0.214</v>
      </c>
      <c r="AG10">
        <v>0.14199999999999999</v>
      </c>
      <c r="AH10">
        <v>0.16600000000000001</v>
      </c>
      <c r="AI10">
        <v>7.1999999999999995E-2</v>
      </c>
      <c r="AL10">
        <v>-0.36099999999999999</v>
      </c>
      <c r="AM10">
        <v>0.21199999999999999</v>
      </c>
      <c r="AN10">
        <v>-6.6000000000000003E-2</v>
      </c>
      <c r="AO10">
        <v>-1.264</v>
      </c>
      <c r="AP10">
        <v>0.10100000000000001</v>
      </c>
      <c r="AQ10">
        <v>-3.258</v>
      </c>
      <c r="AR10">
        <v>-0.95799999999999996</v>
      </c>
      <c r="AS10">
        <v>0.27100000000000002</v>
      </c>
      <c r="AT10">
        <v>0.48599999999999999</v>
      </c>
      <c r="AU10">
        <v>0.68700000000000006</v>
      </c>
      <c r="AV10">
        <v>0.22600000000000001</v>
      </c>
      <c r="AW10">
        <v>5.266</v>
      </c>
      <c r="AX10">
        <v>-1.8560000000000001</v>
      </c>
      <c r="AY10">
        <v>-1.444</v>
      </c>
      <c r="AZ10">
        <v>-0.24299999999999999</v>
      </c>
      <c r="BA10">
        <v>-0.24299999999999999</v>
      </c>
      <c r="BB10">
        <v>5.3070000000000004</v>
      </c>
      <c r="BC10">
        <v>-0.70599999999999996</v>
      </c>
      <c r="BD10">
        <v>0.75800000000000001</v>
      </c>
      <c r="BE10">
        <v>-0.60799999999999998</v>
      </c>
      <c r="BF10" t="s">
        <v>96</v>
      </c>
      <c r="BI10">
        <v>0.64200000000000002</v>
      </c>
      <c r="BJ10">
        <v>-2.9550000000000001</v>
      </c>
      <c r="BK10">
        <v>-1.8560000000000001</v>
      </c>
      <c r="BL10">
        <v>0.17100000000000001</v>
      </c>
      <c r="BM10">
        <v>5.8999999999999997E-2</v>
      </c>
      <c r="BN10">
        <v>-0.65700000000000003</v>
      </c>
      <c r="BO10">
        <v>-0.55900000000000005</v>
      </c>
      <c r="BP10">
        <v>-0.62</v>
      </c>
      <c r="BQ10">
        <v>-0.82299999999999995</v>
      </c>
      <c r="BR10">
        <v>-0.16200000000000001</v>
      </c>
    </row>
    <row r="11" spans="1:70" x14ac:dyDescent="0.25">
      <c r="A11" s="1" t="s">
        <v>78</v>
      </c>
      <c r="B11">
        <v>0.871</v>
      </c>
      <c r="C11">
        <v>0.79700000000000004</v>
      </c>
      <c r="D11">
        <v>9.4E-2</v>
      </c>
      <c r="E11">
        <v>0.30199999999999999</v>
      </c>
      <c r="F11">
        <v>0.224</v>
      </c>
      <c r="G11">
        <v>2.5000000000000001E-2</v>
      </c>
      <c r="H11">
        <v>44.792000000000002</v>
      </c>
      <c r="I11">
        <v>-0.45500000000000002</v>
      </c>
      <c r="J11">
        <v>9.1999999999999998E-2</v>
      </c>
      <c r="K11">
        <v>0.95499999999999996</v>
      </c>
      <c r="L11">
        <v>-4.8680000000000003</v>
      </c>
      <c r="M11">
        <v>0.60499999999999998</v>
      </c>
      <c r="N11">
        <v>8.2000000000000003E-2</v>
      </c>
      <c r="O11">
        <v>9.4E-2</v>
      </c>
      <c r="P11">
        <v>-0.17</v>
      </c>
      <c r="Q11">
        <v>-0.89700000000000002</v>
      </c>
      <c r="R11">
        <v>-0.27500000000000002</v>
      </c>
      <c r="S11">
        <v>1.113</v>
      </c>
      <c r="T11">
        <v>1.127</v>
      </c>
      <c r="U11">
        <v>-3.3000000000000002E-2</v>
      </c>
      <c r="V11">
        <v>-6.2E-2</v>
      </c>
      <c r="W11">
        <v>-5.0000000000000001E-3</v>
      </c>
      <c r="X11">
        <v>0.65600000000000003</v>
      </c>
      <c r="Y11">
        <v>0.74399999999999999</v>
      </c>
      <c r="Z11">
        <v>0.10299999999999999</v>
      </c>
      <c r="AA11">
        <v>0.25</v>
      </c>
      <c r="AB11">
        <v>0.157</v>
      </c>
      <c r="AC11">
        <v>1.5640000000000001</v>
      </c>
      <c r="AD11">
        <v>4.2000000000000003E-2</v>
      </c>
      <c r="AE11">
        <v>0.24199999999999999</v>
      </c>
      <c r="AF11">
        <v>0.20399999999999999</v>
      </c>
      <c r="AG11">
        <v>0.13100000000000001</v>
      </c>
      <c r="AH11">
        <v>0.17</v>
      </c>
      <c r="AI11">
        <v>3.3000000000000002E-2</v>
      </c>
      <c r="AL11">
        <v>-0.109</v>
      </c>
      <c r="AM11">
        <v>0.114</v>
      </c>
      <c r="AN11">
        <v>0.18099999999999999</v>
      </c>
      <c r="AO11">
        <v>-0.96799999999999997</v>
      </c>
      <c r="AP11">
        <v>0.745</v>
      </c>
      <c r="AQ11">
        <v>-2.1219999999999999</v>
      </c>
      <c r="AR11">
        <v>-0.70699999999999996</v>
      </c>
      <c r="AS11">
        <v>0.432</v>
      </c>
      <c r="AT11">
        <v>0.499</v>
      </c>
      <c r="AU11">
        <v>-9.6059999999999999</v>
      </c>
      <c r="AV11">
        <v>0.22800000000000001</v>
      </c>
      <c r="AW11">
        <v>4.4029999999999996</v>
      </c>
      <c r="AX11">
        <v>-1.337</v>
      </c>
      <c r="AY11">
        <v>-1.0629999999999999</v>
      </c>
      <c r="AZ11">
        <v>-0.40899999999999997</v>
      </c>
      <c r="BA11">
        <v>-0.40899999999999997</v>
      </c>
      <c r="BB11">
        <v>7.7910000000000004</v>
      </c>
      <c r="BC11">
        <v>-0.64700000000000002</v>
      </c>
      <c r="BD11">
        <v>-0.14000000000000001</v>
      </c>
      <c r="BE11">
        <v>-0.78800000000000003</v>
      </c>
      <c r="BF11" t="s">
        <v>96</v>
      </c>
      <c r="BI11">
        <v>0.55700000000000005</v>
      </c>
      <c r="BJ11">
        <v>-1.167</v>
      </c>
      <c r="BK11">
        <v>-1.337</v>
      </c>
      <c r="BL11">
        <v>5.8999999999999997E-2</v>
      </c>
      <c r="BM11">
        <v>-6.5000000000000002E-2</v>
      </c>
      <c r="BN11">
        <v>-0.58599999999999997</v>
      </c>
      <c r="BO11">
        <v>-0.64900000000000002</v>
      </c>
      <c r="BP11">
        <v>-0.56899999999999995</v>
      </c>
      <c r="BQ11">
        <v>-0.85799999999999998</v>
      </c>
      <c r="BR11">
        <v>-0.25</v>
      </c>
    </row>
    <row r="12" spans="1:70" x14ac:dyDescent="0.25">
      <c r="A12" s="1" t="s">
        <v>79</v>
      </c>
      <c r="B12">
        <v>0.44500000000000001</v>
      </c>
      <c r="C12">
        <v>0.35399999999999998</v>
      </c>
      <c r="D12">
        <v>-0.13100000000000001</v>
      </c>
      <c r="E12">
        <v>0.33700000000000002</v>
      </c>
      <c r="F12">
        <v>0.13700000000000001</v>
      </c>
      <c r="G12">
        <v>-6.8000000000000005E-2</v>
      </c>
      <c r="H12">
        <v>3.3050000000000002</v>
      </c>
      <c r="I12">
        <v>-0.21199999999999999</v>
      </c>
      <c r="J12">
        <v>5.5E-2</v>
      </c>
      <c r="K12">
        <v>-0.32700000000000001</v>
      </c>
      <c r="L12">
        <v>1.5620000000000001</v>
      </c>
      <c r="M12">
        <v>-0.92700000000000005</v>
      </c>
      <c r="N12">
        <v>7.1999999999999995E-2</v>
      </c>
      <c r="O12">
        <v>0.10100000000000001</v>
      </c>
      <c r="P12">
        <v>-0.249</v>
      </c>
      <c r="Q12">
        <v>-0.70099999999999996</v>
      </c>
      <c r="R12">
        <v>-0.30599999999999999</v>
      </c>
      <c r="S12">
        <v>0.93</v>
      </c>
      <c r="T12">
        <v>0.24199999999999999</v>
      </c>
      <c r="U12">
        <v>0.157</v>
      </c>
      <c r="V12">
        <v>-0.13700000000000001</v>
      </c>
      <c r="W12">
        <v>-5.7000000000000002E-2</v>
      </c>
      <c r="X12">
        <v>0.95099999999999996</v>
      </c>
      <c r="Y12">
        <v>0.97</v>
      </c>
      <c r="Z12">
        <v>0.33500000000000002</v>
      </c>
      <c r="AA12">
        <v>0.39300000000000002</v>
      </c>
      <c r="AB12">
        <v>0.217</v>
      </c>
      <c r="AC12">
        <v>0.94199999999999995</v>
      </c>
      <c r="AD12">
        <v>-5.7000000000000002E-2</v>
      </c>
      <c r="AE12">
        <v>0.221</v>
      </c>
      <c r="AF12">
        <v>0.23200000000000001</v>
      </c>
      <c r="AG12">
        <v>0.16</v>
      </c>
      <c r="AH12">
        <v>0.182</v>
      </c>
      <c r="AI12">
        <v>3.0000000000000001E-3</v>
      </c>
      <c r="AL12">
        <v>-0.29699999999999999</v>
      </c>
      <c r="AM12">
        <v>9.0999999999999998E-2</v>
      </c>
      <c r="AN12">
        <v>0.33400000000000002</v>
      </c>
      <c r="AO12">
        <v>-0.77900000000000003</v>
      </c>
      <c r="AP12">
        <v>-5.2039999999999997</v>
      </c>
      <c r="AQ12">
        <v>-1.677</v>
      </c>
      <c r="AR12">
        <v>1.101</v>
      </c>
      <c r="AS12">
        <v>0.56899999999999995</v>
      </c>
      <c r="AT12">
        <v>0.41199999999999998</v>
      </c>
      <c r="AU12">
        <v>1.6020000000000001</v>
      </c>
      <c r="AV12">
        <v>1.298</v>
      </c>
      <c r="AW12">
        <v>3.0950000000000002</v>
      </c>
      <c r="AX12">
        <v>-1.089</v>
      </c>
      <c r="AY12">
        <v>-0.83799999999999997</v>
      </c>
      <c r="AZ12">
        <v>-0.51600000000000001</v>
      </c>
      <c r="BA12">
        <v>-0.51600000000000001</v>
      </c>
      <c r="BB12">
        <v>-4.8000000000000001E-2</v>
      </c>
      <c r="BC12">
        <v>-8.0000000000000002E-3</v>
      </c>
      <c r="BD12">
        <v>-0.58099999999999996</v>
      </c>
      <c r="BE12">
        <v>-0.65900000000000003</v>
      </c>
      <c r="BF12" t="s">
        <v>96</v>
      </c>
      <c r="BI12">
        <v>0.29099999999999998</v>
      </c>
      <c r="BJ12">
        <v>-0.25</v>
      </c>
      <c r="BK12">
        <v>-1.089</v>
      </c>
      <c r="BL12">
        <v>-6.5000000000000002E-2</v>
      </c>
      <c r="BM12">
        <v>-0.193</v>
      </c>
      <c r="BN12">
        <v>-0.316</v>
      </c>
      <c r="BO12">
        <v>-0.28499999999999998</v>
      </c>
      <c r="BP12">
        <v>-0.34100000000000003</v>
      </c>
      <c r="BQ12">
        <v>-0.82099999999999995</v>
      </c>
      <c r="BR12">
        <v>-0.29399999999999998</v>
      </c>
    </row>
    <row r="13" spans="1:70" x14ac:dyDescent="0.25">
      <c r="A13" s="1" t="s">
        <v>80</v>
      </c>
      <c r="B13">
        <v>0.14299999999999999</v>
      </c>
      <c r="C13">
        <v>0.11700000000000001</v>
      </c>
      <c r="D13">
        <v>-0.19600000000000001</v>
      </c>
      <c r="E13">
        <v>0.20300000000000001</v>
      </c>
      <c r="F13">
        <v>3.4000000000000002E-2</v>
      </c>
      <c r="G13">
        <v>-0.151</v>
      </c>
      <c r="H13">
        <v>2.8359999999999999</v>
      </c>
      <c r="I13">
        <v>-0.161</v>
      </c>
      <c r="J13">
        <v>6.8000000000000005E-2</v>
      </c>
      <c r="K13">
        <v>-0.68300000000000005</v>
      </c>
      <c r="L13">
        <v>0.95799999999999996</v>
      </c>
      <c r="M13">
        <v>-0.65800000000000003</v>
      </c>
      <c r="N13">
        <v>6.0999999999999999E-2</v>
      </c>
      <c r="O13">
        <v>8.3000000000000004E-2</v>
      </c>
      <c r="P13">
        <v>-0.33</v>
      </c>
      <c r="Q13">
        <v>-0.255</v>
      </c>
      <c r="R13">
        <v>-0.32300000000000001</v>
      </c>
      <c r="S13">
        <v>0.43</v>
      </c>
      <c r="T13">
        <v>1.768</v>
      </c>
      <c r="U13">
        <v>8.6999999999999994E-2</v>
      </c>
      <c r="V13">
        <v>-0.192</v>
      </c>
      <c r="W13">
        <v>-8.5999999999999993E-2</v>
      </c>
      <c r="X13">
        <v>2.0779999999999998</v>
      </c>
      <c r="Y13">
        <v>2.1219999999999999</v>
      </c>
      <c r="Z13">
        <v>0.22</v>
      </c>
      <c r="AA13">
        <v>0.40799999999999997</v>
      </c>
      <c r="AB13">
        <v>0.185</v>
      </c>
      <c r="AC13">
        <v>0.23100000000000001</v>
      </c>
      <c r="AD13">
        <v>-9.6000000000000002E-2</v>
      </c>
      <c r="AE13">
        <v>0.19500000000000001</v>
      </c>
      <c r="AF13">
        <v>0.248</v>
      </c>
      <c r="AG13">
        <v>0.16500000000000001</v>
      </c>
      <c r="AH13">
        <v>0.17499999999999999</v>
      </c>
      <c r="AI13">
        <v>-1.2999999999999999E-2</v>
      </c>
      <c r="AL13">
        <v>-7.0999999999999994E-2</v>
      </c>
      <c r="AM13">
        <v>0.17899999999999999</v>
      </c>
      <c r="AN13">
        <v>0.22600000000000001</v>
      </c>
      <c r="AO13">
        <v>-0.66400000000000003</v>
      </c>
      <c r="AP13">
        <v>-2.879</v>
      </c>
      <c r="AQ13">
        <v>-1.333</v>
      </c>
      <c r="AR13">
        <v>0.74</v>
      </c>
      <c r="AS13">
        <v>0.68500000000000005</v>
      </c>
      <c r="AT13">
        <v>0.28299999999999997</v>
      </c>
      <c r="AU13">
        <v>0.56100000000000005</v>
      </c>
      <c r="AV13">
        <v>-22.760999999999999</v>
      </c>
      <c r="AW13">
        <v>-2.7360000000000002</v>
      </c>
      <c r="AX13">
        <v>-1.294</v>
      </c>
      <c r="AY13">
        <v>-0.69399999999999995</v>
      </c>
      <c r="AZ13">
        <v>-0.495</v>
      </c>
      <c r="BA13">
        <v>-0.495</v>
      </c>
      <c r="BB13">
        <v>-1.42</v>
      </c>
      <c r="BC13">
        <v>0.26100000000000001</v>
      </c>
      <c r="BD13">
        <v>-1.258</v>
      </c>
      <c r="BE13">
        <v>-0.14099999999999999</v>
      </c>
      <c r="BF13">
        <v>-1</v>
      </c>
      <c r="BG13">
        <v>-1</v>
      </c>
      <c r="BH13">
        <v>-1</v>
      </c>
      <c r="BI13">
        <v>4.6550000000000002</v>
      </c>
      <c r="BJ13">
        <v>-1.2030000000000001</v>
      </c>
      <c r="BK13">
        <v>-1.294</v>
      </c>
      <c r="BL13">
        <v>-0.193</v>
      </c>
      <c r="BM13">
        <v>-0.36399999999999999</v>
      </c>
      <c r="BN13">
        <v>-0.255</v>
      </c>
      <c r="BO13">
        <v>-0.20499999999999999</v>
      </c>
      <c r="BP13">
        <v>-0.28599999999999998</v>
      </c>
      <c r="BQ13">
        <v>-0.70099999999999996</v>
      </c>
      <c r="BR13">
        <v>-0.33100000000000002</v>
      </c>
    </row>
    <row r="14" spans="1:70" x14ac:dyDescent="0.25">
      <c r="A14" s="1" t="s">
        <v>81</v>
      </c>
      <c r="B14">
        <v>-0.04</v>
      </c>
      <c r="C14">
        <v>-8.5000000000000006E-2</v>
      </c>
      <c r="D14">
        <v>-0.128</v>
      </c>
      <c r="E14">
        <v>8.4000000000000005E-2</v>
      </c>
      <c r="F14">
        <v>-1E-3</v>
      </c>
      <c r="G14">
        <v>-0.23599999999999999</v>
      </c>
      <c r="H14">
        <v>-10.4</v>
      </c>
      <c r="I14">
        <v>-4.9000000000000002E-2</v>
      </c>
      <c r="J14">
        <v>9.8000000000000004E-2</v>
      </c>
      <c r="K14">
        <v>-0.82899999999999996</v>
      </c>
      <c r="L14">
        <v>0.18099999999999999</v>
      </c>
      <c r="M14">
        <v>-0.85299999999999998</v>
      </c>
      <c r="N14">
        <v>0.05</v>
      </c>
      <c r="O14">
        <v>7.0999999999999994E-2</v>
      </c>
      <c r="P14">
        <v>-0.45200000000000001</v>
      </c>
      <c r="Q14">
        <v>0.60199999999999998</v>
      </c>
      <c r="R14">
        <v>-0.39200000000000002</v>
      </c>
      <c r="S14">
        <v>0.128</v>
      </c>
      <c r="T14">
        <v>2.4729999999999999</v>
      </c>
      <c r="U14">
        <v>-1.6E-2</v>
      </c>
      <c r="V14">
        <v>-0.28999999999999998</v>
      </c>
      <c r="W14">
        <v>-0.06</v>
      </c>
      <c r="X14">
        <v>3.0419999999999998</v>
      </c>
      <c r="Y14">
        <v>3.08</v>
      </c>
      <c r="Z14">
        <v>0.104</v>
      </c>
      <c r="AA14">
        <v>0.34699999999999998</v>
      </c>
      <c r="AB14">
        <v>8.6999999999999994E-2</v>
      </c>
      <c r="AC14">
        <v>0.312</v>
      </c>
      <c r="AD14">
        <v>-0.112</v>
      </c>
      <c r="AE14">
        <v>0.222</v>
      </c>
      <c r="AF14">
        <v>0.20499999999999999</v>
      </c>
      <c r="AG14">
        <v>0.129</v>
      </c>
      <c r="AH14">
        <v>0.161</v>
      </c>
      <c r="AI14">
        <v>0</v>
      </c>
      <c r="AL14">
        <v>0.214</v>
      </c>
      <c r="AM14">
        <v>0.25900000000000001</v>
      </c>
      <c r="AN14">
        <v>-2.3E-2</v>
      </c>
      <c r="AO14">
        <v>-0.47899999999999998</v>
      </c>
      <c r="AP14">
        <v>-1.96</v>
      </c>
      <c r="AQ14">
        <v>-0.184</v>
      </c>
      <c r="AR14">
        <v>-3.3410000000000002</v>
      </c>
      <c r="AS14">
        <v>0.64300000000000002</v>
      </c>
      <c r="AT14">
        <v>-7.5999999999999998E-2</v>
      </c>
      <c r="AU14">
        <v>3.5000000000000003E-2</v>
      </c>
      <c r="AV14">
        <v>-2.5489999999999999</v>
      </c>
      <c r="AW14">
        <v>-1.401</v>
      </c>
      <c r="AX14">
        <v>-0.70499999999999996</v>
      </c>
      <c r="AY14">
        <v>-0.48599999999999999</v>
      </c>
      <c r="AZ14">
        <v>-0.432</v>
      </c>
      <c r="BA14">
        <v>-0.432</v>
      </c>
      <c r="BB14">
        <v>-0.872</v>
      </c>
      <c r="BC14">
        <v>0.58199999999999996</v>
      </c>
      <c r="BD14">
        <v>-0.77600000000000002</v>
      </c>
      <c r="BE14">
        <v>-0.14299999999999999</v>
      </c>
      <c r="BG14">
        <v>-1</v>
      </c>
      <c r="BH14">
        <v>-1</v>
      </c>
      <c r="BI14">
        <v>-0.42299999999999999</v>
      </c>
      <c r="BJ14">
        <v>-1.4610000000000001</v>
      </c>
      <c r="BK14">
        <v>-0.70499999999999996</v>
      </c>
      <c r="BL14">
        <v>-0.36399999999999999</v>
      </c>
      <c r="BM14">
        <v>-0.40200000000000002</v>
      </c>
      <c r="BN14">
        <v>-0.12</v>
      </c>
      <c r="BO14">
        <v>-5.8999999999999997E-2</v>
      </c>
      <c r="BP14">
        <v>-0.161</v>
      </c>
      <c r="BQ14">
        <v>-0.749</v>
      </c>
      <c r="BR14">
        <v>-0.42499999999999999</v>
      </c>
    </row>
    <row r="15" spans="1:70" x14ac:dyDescent="0.25">
      <c r="A15" s="1" t="s">
        <v>82</v>
      </c>
      <c r="B15">
        <v>-0.216</v>
      </c>
      <c r="C15">
        <v>-0.255</v>
      </c>
      <c r="D15">
        <v>-0.39200000000000002</v>
      </c>
      <c r="E15">
        <v>-0.15</v>
      </c>
      <c r="F15">
        <v>-0.26</v>
      </c>
      <c r="G15">
        <v>-0.59099999999999997</v>
      </c>
      <c r="H15">
        <v>0.5</v>
      </c>
      <c r="I15">
        <v>-0.41899999999999998</v>
      </c>
      <c r="J15">
        <v>-1.0999999999999999E-2</v>
      </c>
      <c r="K15">
        <v>-0.90400000000000003</v>
      </c>
      <c r="L15">
        <v>-2.0880000000000001</v>
      </c>
      <c r="M15">
        <v>-0.622</v>
      </c>
      <c r="N15">
        <v>0.13400000000000001</v>
      </c>
      <c r="O15">
        <v>0.14399999999999999</v>
      </c>
      <c r="P15">
        <v>-0.46100000000000002</v>
      </c>
      <c r="Q15">
        <v>2.2759999999999998</v>
      </c>
      <c r="R15">
        <v>-0.38400000000000001</v>
      </c>
      <c r="S15">
        <v>-0.188</v>
      </c>
      <c r="T15">
        <v>1.9330000000000001</v>
      </c>
      <c r="U15">
        <v>-3.4000000000000002E-2</v>
      </c>
      <c r="V15">
        <v>-0.316</v>
      </c>
      <c r="W15">
        <v>-1E-3</v>
      </c>
      <c r="X15">
        <v>4.8579999999999997</v>
      </c>
      <c r="Y15">
        <v>4.3719999999999999</v>
      </c>
      <c r="Z15">
        <v>-5.1999999999999998E-2</v>
      </c>
      <c r="AA15">
        <v>0.24299999999999999</v>
      </c>
      <c r="AB15">
        <v>-1E-3</v>
      </c>
      <c r="AC15">
        <v>0.23100000000000001</v>
      </c>
      <c r="AD15">
        <v>-8.8999999999999996E-2</v>
      </c>
      <c r="AE15">
        <v>0.16200000000000001</v>
      </c>
      <c r="AF15">
        <v>0.27100000000000002</v>
      </c>
      <c r="AG15">
        <v>0.16700000000000001</v>
      </c>
      <c r="AH15">
        <v>0.16500000000000001</v>
      </c>
      <c r="AI15">
        <v>4.2999999999999997E-2</v>
      </c>
      <c r="AL15">
        <v>0.41699999999999998</v>
      </c>
      <c r="AM15">
        <v>0.378</v>
      </c>
      <c r="AN15">
        <v>-0.215</v>
      </c>
      <c r="AO15">
        <v>-0.28299999999999997</v>
      </c>
      <c r="AP15">
        <v>-2.3639999999999999</v>
      </c>
      <c r="AQ15">
        <v>-2.8370000000000002</v>
      </c>
      <c r="AR15">
        <v>-53.136000000000003</v>
      </c>
      <c r="AS15">
        <v>0.45200000000000001</v>
      </c>
      <c r="AT15">
        <v>-0.82899999999999996</v>
      </c>
      <c r="AU15">
        <v>-1.3480000000000001</v>
      </c>
      <c r="AV15">
        <v>-3.22</v>
      </c>
      <c r="AW15">
        <v>-1.349</v>
      </c>
      <c r="AX15">
        <v>-2.5819999999999999</v>
      </c>
      <c r="AY15">
        <v>-0.28799999999999998</v>
      </c>
      <c r="AZ15">
        <v>-0.25600000000000001</v>
      </c>
      <c r="BA15">
        <v>-0.25600000000000001</v>
      </c>
      <c r="BB15">
        <v>-0.90500000000000003</v>
      </c>
      <c r="BC15">
        <v>1.631</v>
      </c>
      <c r="BD15">
        <v>-0.55700000000000005</v>
      </c>
      <c r="BE15">
        <v>9.2989999999999995</v>
      </c>
      <c r="BG15">
        <v>-1</v>
      </c>
      <c r="BH15">
        <v>-1</v>
      </c>
      <c r="BI15">
        <v>-0.86399999999999999</v>
      </c>
      <c r="BJ15">
        <v>-1.1100000000000001</v>
      </c>
      <c r="BK15">
        <v>-2.5819999999999999</v>
      </c>
      <c r="BL15">
        <v>-0.40200000000000002</v>
      </c>
      <c r="BM15">
        <v>-0.318</v>
      </c>
      <c r="BN15">
        <v>-0.46700000000000003</v>
      </c>
      <c r="BO15">
        <v>-0.378</v>
      </c>
      <c r="BP15">
        <v>-0.45100000000000001</v>
      </c>
      <c r="BQ15">
        <v>-0.67100000000000004</v>
      </c>
      <c r="BR15">
        <v>-0.41499999999999998</v>
      </c>
    </row>
    <row r="16" spans="1:70" x14ac:dyDescent="0.25">
      <c r="A16" s="1" t="s">
        <v>83</v>
      </c>
      <c r="B16">
        <v>-0.14599999999999999</v>
      </c>
      <c r="C16">
        <v>-0.13700000000000001</v>
      </c>
      <c r="D16">
        <v>-0.192</v>
      </c>
      <c r="E16">
        <v>-0.22500000000000001</v>
      </c>
      <c r="F16">
        <v>-0.21099999999999999</v>
      </c>
      <c r="G16">
        <v>-0.54400000000000004</v>
      </c>
      <c r="H16">
        <v>1.458</v>
      </c>
      <c r="I16">
        <v>-0.434</v>
      </c>
      <c r="J16">
        <v>-0.18099999999999999</v>
      </c>
      <c r="K16">
        <v>-0.76500000000000001</v>
      </c>
      <c r="L16">
        <v>-5.2670000000000003</v>
      </c>
      <c r="M16">
        <v>-0.20399999999999999</v>
      </c>
      <c r="N16">
        <v>0.13</v>
      </c>
      <c r="O16">
        <v>0.13100000000000001</v>
      </c>
      <c r="P16">
        <v>-0.34799999999999998</v>
      </c>
      <c r="Q16">
        <v>8.4909999999999997</v>
      </c>
      <c r="R16">
        <v>-0.255</v>
      </c>
      <c r="S16">
        <v>-0.33800000000000002</v>
      </c>
      <c r="T16">
        <v>2.2120000000000002</v>
      </c>
      <c r="U16">
        <v>4.0000000000000001E-3</v>
      </c>
      <c r="V16">
        <v>-0.219</v>
      </c>
      <c r="W16">
        <v>0.10100000000000001</v>
      </c>
      <c r="X16">
        <v>20.683</v>
      </c>
      <c r="Y16">
        <v>10</v>
      </c>
      <c r="Z16">
        <v>-0.14899999999999999</v>
      </c>
      <c r="AA16">
        <v>0.18</v>
      </c>
      <c r="AB16">
        <v>8.9999999999999993E-3</v>
      </c>
      <c r="AC16">
        <v>0.317</v>
      </c>
      <c r="AD16">
        <v>-1.0999999999999999E-2</v>
      </c>
      <c r="AE16">
        <v>0.23499999999999999</v>
      </c>
      <c r="AF16">
        <v>0.154</v>
      </c>
      <c r="AG16">
        <v>-0.20200000000000001</v>
      </c>
      <c r="AH16">
        <v>-8.6999999999999994E-2</v>
      </c>
      <c r="AI16">
        <v>0.1</v>
      </c>
      <c r="AJ16">
        <v>-1</v>
      </c>
      <c r="AK16">
        <v>-1</v>
      </c>
      <c r="AL16">
        <v>1.38</v>
      </c>
      <c r="AM16">
        <v>0.56899999999999995</v>
      </c>
      <c r="AN16">
        <v>0.14599999999999999</v>
      </c>
      <c r="AO16">
        <v>-0.315</v>
      </c>
      <c r="AP16">
        <v>-1.349</v>
      </c>
      <c r="AQ16">
        <v>-2.4</v>
      </c>
      <c r="AR16">
        <v>0.48299999999999998</v>
      </c>
      <c r="AS16">
        <v>0.218</v>
      </c>
      <c r="AT16">
        <v>-0.82</v>
      </c>
      <c r="AU16">
        <v>2.0230000000000001</v>
      </c>
      <c r="AV16">
        <v>-2.464</v>
      </c>
      <c r="AW16">
        <v>-1.748</v>
      </c>
      <c r="AX16">
        <v>-2.2120000000000002</v>
      </c>
      <c r="AY16">
        <v>-0.36499999999999999</v>
      </c>
      <c r="AZ16">
        <v>4.8000000000000001E-2</v>
      </c>
      <c r="BA16">
        <v>4.8000000000000001E-2</v>
      </c>
      <c r="BB16">
        <v>20.562000000000001</v>
      </c>
      <c r="BC16">
        <v>2.9020000000000001</v>
      </c>
      <c r="BD16">
        <v>2.6320000000000001</v>
      </c>
      <c r="BE16">
        <v>8.952</v>
      </c>
      <c r="BG16">
        <v>-1</v>
      </c>
      <c r="BH16">
        <v>-1</v>
      </c>
      <c r="BI16">
        <v>-0.84599999999999997</v>
      </c>
      <c r="BJ16">
        <v>22</v>
      </c>
      <c r="BK16">
        <v>-2.2120000000000002</v>
      </c>
      <c r="BL16">
        <v>-0.318</v>
      </c>
      <c r="BM16">
        <v>-0.153</v>
      </c>
      <c r="BN16">
        <v>-0.47199999999999998</v>
      </c>
      <c r="BO16">
        <v>-0.45900000000000002</v>
      </c>
      <c r="BP16">
        <v>-0.437</v>
      </c>
      <c r="BQ16">
        <v>-0.54100000000000004</v>
      </c>
      <c r="BR16">
        <v>-0.35899999999999999</v>
      </c>
    </row>
    <row r="17" spans="1:70" x14ac:dyDescent="0.25">
      <c r="A17" s="1" t="s">
        <v>84</v>
      </c>
      <c r="B17">
        <v>-5.0000000000000001E-3</v>
      </c>
      <c r="C17">
        <v>0.04</v>
      </c>
      <c r="D17">
        <v>-0.13300000000000001</v>
      </c>
      <c r="E17">
        <v>-0.127</v>
      </c>
      <c r="F17">
        <v>-0.129</v>
      </c>
      <c r="G17">
        <v>-0.49299999999999999</v>
      </c>
      <c r="H17">
        <v>1.0369999999999999</v>
      </c>
      <c r="I17">
        <v>-0.42899999999999999</v>
      </c>
      <c r="J17">
        <v>-0.32500000000000001</v>
      </c>
      <c r="K17">
        <v>-0.53900000000000003</v>
      </c>
      <c r="L17">
        <v>-0.371</v>
      </c>
      <c r="M17">
        <v>-0.16900000000000001</v>
      </c>
      <c r="N17">
        <v>0.124</v>
      </c>
      <c r="O17">
        <v>0.124</v>
      </c>
      <c r="P17">
        <v>-0.126</v>
      </c>
      <c r="Q17" t="s">
        <v>96</v>
      </c>
      <c r="R17">
        <v>-3.2000000000000001E-2</v>
      </c>
      <c r="S17">
        <v>-0.32500000000000001</v>
      </c>
      <c r="T17">
        <v>-0.39400000000000002</v>
      </c>
      <c r="U17">
        <v>0.34</v>
      </c>
      <c r="V17">
        <v>-4.2000000000000003E-2</v>
      </c>
      <c r="W17">
        <v>0.307</v>
      </c>
      <c r="X17">
        <v>11.872999999999999</v>
      </c>
      <c r="Y17">
        <v>4.827</v>
      </c>
      <c r="Z17">
        <v>-0.107</v>
      </c>
      <c r="AA17">
        <v>0.14099999999999999</v>
      </c>
      <c r="AB17">
        <v>6.6000000000000003E-2</v>
      </c>
      <c r="AC17">
        <v>0.65</v>
      </c>
      <c r="AD17">
        <v>0.377</v>
      </c>
      <c r="AE17">
        <v>0.19600000000000001</v>
      </c>
      <c r="AF17">
        <v>0.20200000000000001</v>
      </c>
      <c r="AG17">
        <v>-0.19600000000000001</v>
      </c>
      <c r="AH17">
        <v>-0.09</v>
      </c>
      <c r="AI17">
        <v>0.52</v>
      </c>
      <c r="AJ17">
        <v>-1</v>
      </c>
      <c r="AK17">
        <v>-1</v>
      </c>
      <c r="AL17">
        <v>3.3050000000000002</v>
      </c>
      <c r="AM17">
        <v>0.624</v>
      </c>
      <c r="AN17">
        <v>0.33900000000000002</v>
      </c>
      <c r="AO17">
        <v>0.16</v>
      </c>
      <c r="AP17">
        <v>-2.202</v>
      </c>
      <c r="AQ17">
        <v>20</v>
      </c>
      <c r="AR17">
        <v>0.36699999999999999</v>
      </c>
      <c r="AS17">
        <v>3.3000000000000002E-2</v>
      </c>
      <c r="AT17">
        <v>-0.81</v>
      </c>
      <c r="AU17">
        <v>-0.307</v>
      </c>
      <c r="AV17">
        <v>-1.0820000000000001</v>
      </c>
      <c r="AW17">
        <v>-2.032</v>
      </c>
      <c r="AX17">
        <v>-1.8460000000000001</v>
      </c>
      <c r="AY17">
        <v>0.16700000000000001</v>
      </c>
      <c r="AZ17">
        <v>0.121</v>
      </c>
      <c r="BA17">
        <v>0.121</v>
      </c>
      <c r="BB17">
        <v>-7.2759999999999998</v>
      </c>
      <c r="BC17" t="s">
        <v>97</v>
      </c>
      <c r="BD17">
        <v>13.417</v>
      </c>
      <c r="BE17">
        <v>5.1639999999999997</v>
      </c>
      <c r="BF17">
        <v>-2</v>
      </c>
      <c r="BG17" t="s">
        <v>97</v>
      </c>
      <c r="BH17" t="s">
        <v>97</v>
      </c>
      <c r="BI17">
        <v>-0.96499999999999997</v>
      </c>
      <c r="BJ17">
        <v>15.444000000000001</v>
      </c>
      <c r="BK17">
        <v>-1.8460000000000001</v>
      </c>
      <c r="BL17">
        <v>-0.153</v>
      </c>
      <c r="BM17">
        <v>0.22800000000000001</v>
      </c>
      <c r="BN17">
        <v>-0.45600000000000002</v>
      </c>
      <c r="BO17">
        <v>-0.43099999999999999</v>
      </c>
      <c r="BP17">
        <v>-0.41599999999999998</v>
      </c>
      <c r="BQ17">
        <v>-0.24099999999999999</v>
      </c>
      <c r="BR17">
        <v>-0.17899999999999999</v>
      </c>
    </row>
    <row r="18" spans="1:70" x14ac:dyDescent="0.25">
      <c r="A18" s="1" t="s">
        <v>85</v>
      </c>
      <c r="B18">
        <v>0.122</v>
      </c>
      <c r="C18">
        <v>0.214</v>
      </c>
      <c r="D18">
        <v>-0.13500000000000001</v>
      </c>
      <c r="E18">
        <v>-8.9999999999999993E-3</v>
      </c>
      <c r="F18">
        <v>-6.3E-2</v>
      </c>
      <c r="G18">
        <v>-0.39300000000000002</v>
      </c>
      <c r="H18">
        <v>-1.0740000000000001</v>
      </c>
      <c r="I18">
        <v>-0.40600000000000003</v>
      </c>
      <c r="J18">
        <v>-0.42099999999999999</v>
      </c>
      <c r="K18">
        <v>0</v>
      </c>
      <c r="L18">
        <v>-0.309</v>
      </c>
      <c r="M18">
        <v>-0.14199999999999999</v>
      </c>
      <c r="N18">
        <v>0.115</v>
      </c>
      <c r="O18">
        <v>0.115</v>
      </c>
      <c r="P18">
        <v>0.60899999999999999</v>
      </c>
      <c r="Q18" t="s">
        <v>96</v>
      </c>
      <c r="R18">
        <v>0.70499999999999996</v>
      </c>
      <c r="S18">
        <v>-1.2E-2</v>
      </c>
      <c r="T18">
        <v>-0.55700000000000005</v>
      </c>
      <c r="U18">
        <v>1.1919999999999999</v>
      </c>
      <c r="V18">
        <v>0.61399999999999999</v>
      </c>
      <c r="W18">
        <v>0.85599999999999998</v>
      </c>
      <c r="X18">
        <v>10.455</v>
      </c>
      <c r="Y18">
        <v>4.202</v>
      </c>
      <c r="Z18">
        <v>0.23899999999999999</v>
      </c>
      <c r="AA18">
        <v>0.496</v>
      </c>
      <c r="AB18">
        <v>0.54200000000000004</v>
      </c>
      <c r="AC18">
        <v>0.85</v>
      </c>
      <c r="AD18">
        <v>1.196</v>
      </c>
      <c r="AE18">
        <v>0.50900000000000001</v>
      </c>
      <c r="AF18">
        <v>0.61299999999999999</v>
      </c>
      <c r="AG18">
        <v>-2.5999999999999999E-2</v>
      </c>
      <c r="AH18">
        <v>0.11</v>
      </c>
      <c r="AI18">
        <v>1.3839999999999999</v>
      </c>
      <c r="AJ18">
        <v>-1</v>
      </c>
      <c r="AK18">
        <v>-1</v>
      </c>
      <c r="AL18">
        <v>-219.27799999999999</v>
      </c>
      <c r="AM18">
        <v>1.1619999999999999</v>
      </c>
      <c r="AN18">
        <v>1.8129999999999999</v>
      </c>
      <c r="AO18">
        <v>0.45300000000000001</v>
      </c>
      <c r="AP18">
        <v>-1.7869999999999999</v>
      </c>
      <c r="AQ18">
        <v>2.4550000000000001</v>
      </c>
      <c r="AR18">
        <v>-1.5820000000000001</v>
      </c>
      <c r="AS18">
        <v>-9.6000000000000002E-2</v>
      </c>
      <c r="AT18">
        <v>-0.74</v>
      </c>
      <c r="AU18">
        <v>-0.27300000000000002</v>
      </c>
      <c r="AV18">
        <v>-1.5980000000000001</v>
      </c>
      <c r="AW18">
        <v>-1.845</v>
      </c>
      <c r="AX18">
        <v>-1.8720000000000001</v>
      </c>
      <c r="AY18">
        <v>0.54</v>
      </c>
      <c r="AZ18">
        <v>7.4999999999999997E-2</v>
      </c>
      <c r="BA18">
        <v>7.4999999999999997E-2</v>
      </c>
      <c r="BB18">
        <v>-6.4039999999999999</v>
      </c>
      <c r="BC18" t="s">
        <v>97</v>
      </c>
      <c r="BD18">
        <v>16.609000000000002</v>
      </c>
      <c r="BE18">
        <v>1.4379999999999999</v>
      </c>
      <c r="BG18">
        <v>73</v>
      </c>
      <c r="BH18" t="s">
        <v>97</v>
      </c>
      <c r="BI18">
        <v>-0.78600000000000003</v>
      </c>
      <c r="BJ18">
        <v>37.200000000000003</v>
      </c>
      <c r="BK18">
        <v>-1.8720000000000001</v>
      </c>
      <c r="BL18">
        <v>0.22800000000000001</v>
      </c>
      <c r="BM18">
        <v>0.68200000000000005</v>
      </c>
      <c r="BN18">
        <v>-0.42699999999999999</v>
      </c>
      <c r="BO18">
        <v>-0.41</v>
      </c>
      <c r="BP18">
        <v>-0.38900000000000001</v>
      </c>
      <c r="BQ18">
        <v>0.72099999999999997</v>
      </c>
      <c r="BR18">
        <v>0.46400000000000002</v>
      </c>
    </row>
    <row r="19" spans="1:70" x14ac:dyDescent="0.25">
      <c r="A19" s="1" t="s">
        <v>86</v>
      </c>
      <c r="B19">
        <v>0.23799999999999999</v>
      </c>
      <c r="C19">
        <v>0.29099999999999998</v>
      </c>
      <c r="D19">
        <v>0.79900000000000004</v>
      </c>
      <c r="E19">
        <v>0.27200000000000002</v>
      </c>
      <c r="F19">
        <v>0.46800000000000003</v>
      </c>
      <c r="G19">
        <v>2.222</v>
      </c>
      <c r="H19">
        <v>-0.87</v>
      </c>
      <c r="I19">
        <v>1.4590000000000001</v>
      </c>
      <c r="J19">
        <v>-0.372</v>
      </c>
      <c r="K19">
        <v>0.754</v>
      </c>
      <c r="L19">
        <v>-0.21199999999999999</v>
      </c>
      <c r="M19">
        <v>1.772</v>
      </c>
      <c r="N19">
        <v>-7.5999999999999998E-2</v>
      </c>
      <c r="O19">
        <v>-7.4999999999999997E-2</v>
      </c>
      <c r="P19">
        <v>2.5739999999999998</v>
      </c>
      <c r="Q19" t="s">
        <v>96</v>
      </c>
      <c r="R19">
        <v>2.6789999999999998</v>
      </c>
      <c r="S19">
        <v>0.80200000000000005</v>
      </c>
      <c r="T19">
        <v>-0.47099999999999997</v>
      </c>
      <c r="U19">
        <v>3.3210000000000002</v>
      </c>
      <c r="V19">
        <v>2.2850000000000001</v>
      </c>
      <c r="W19">
        <v>1.9430000000000001</v>
      </c>
      <c r="X19">
        <v>9.0229999999999997</v>
      </c>
      <c r="Y19">
        <v>3.8940000000000001</v>
      </c>
      <c r="Z19">
        <v>0.94399999999999995</v>
      </c>
      <c r="AA19">
        <v>1.222</v>
      </c>
      <c r="AB19">
        <v>1.5860000000000001</v>
      </c>
      <c r="AC19">
        <v>1.591</v>
      </c>
      <c r="AD19">
        <v>3.371</v>
      </c>
      <c r="AE19">
        <v>1.3149999999999999</v>
      </c>
      <c r="AF19">
        <v>1.159</v>
      </c>
      <c r="AG19">
        <v>0.16500000000000001</v>
      </c>
      <c r="AH19">
        <v>0.41299999999999998</v>
      </c>
      <c r="AI19">
        <v>3.6709999999999998</v>
      </c>
      <c r="AJ19">
        <v>-1</v>
      </c>
      <c r="AK19">
        <v>-1</v>
      </c>
      <c r="AL19">
        <v>-737</v>
      </c>
      <c r="AM19">
        <v>2.387</v>
      </c>
      <c r="AN19">
        <v>28.73</v>
      </c>
      <c r="AO19">
        <v>0.84099999999999997</v>
      </c>
      <c r="AP19">
        <v>-1.5089999999999999</v>
      </c>
      <c r="AQ19">
        <v>0.81499999999999995</v>
      </c>
      <c r="AR19">
        <v>-1.06</v>
      </c>
      <c r="AS19">
        <v>-6.2E-2</v>
      </c>
      <c r="AT19">
        <v>39.517000000000003</v>
      </c>
      <c r="AU19">
        <v>-0.183</v>
      </c>
      <c r="AV19">
        <v>-1.427</v>
      </c>
      <c r="AW19">
        <v>-1.6379999999999999</v>
      </c>
      <c r="AX19">
        <v>0.30099999999999999</v>
      </c>
      <c r="AY19">
        <v>1.0660000000000001</v>
      </c>
      <c r="AZ19">
        <v>0.10100000000000001</v>
      </c>
      <c r="BA19">
        <v>0.10100000000000001</v>
      </c>
      <c r="BB19">
        <v>-7.7169999999999996</v>
      </c>
      <c r="BC19" t="s">
        <v>97</v>
      </c>
      <c r="BD19">
        <v>23.568999999999999</v>
      </c>
      <c r="BE19">
        <v>-0.67700000000000005</v>
      </c>
      <c r="BG19">
        <v>23.667000000000002</v>
      </c>
      <c r="BH19" t="s">
        <v>97</v>
      </c>
      <c r="BI19">
        <v>1.5640000000000001</v>
      </c>
      <c r="BJ19">
        <v>0.38100000000000001</v>
      </c>
      <c r="BK19">
        <v>0.30099999999999999</v>
      </c>
      <c r="BL19">
        <v>0.68200000000000005</v>
      </c>
      <c r="BM19">
        <v>0.70099999999999996</v>
      </c>
      <c r="BN19">
        <v>1.696</v>
      </c>
      <c r="BO19">
        <v>1.597</v>
      </c>
      <c r="BP19">
        <v>1.4390000000000001</v>
      </c>
      <c r="BQ19">
        <v>3.7679999999999998</v>
      </c>
      <c r="BR19">
        <v>1.879</v>
      </c>
    </row>
    <row r="20" spans="1:70" x14ac:dyDescent="0.25">
      <c r="A20" s="1" t="s">
        <v>87</v>
      </c>
      <c r="B20">
        <v>0.255</v>
      </c>
      <c r="C20">
        <v>0.22900000000000001</v>
      </c>
      <c r="D20">
        <v>0.58499999999999996</v>
      </c>
      <c r="E20">
        <v>0.46800000000000003</v>
      </c>
      <c r="F20">
        <v>0.51400000000000001</v>
      </c>
      <c r="G20">
        <v>2.2130000000000001</v>
      </c>
      <c r="H20">
        <v>-0.89300000000000002</v>
      </c>
      <c r="I20">
        <v>1.8340000000000001</v>
      </c>
      <c r="J20">
        <v>-0.13700000000000001</v>
      </c>
      <c r="K20">
        <v>1.25</v>
      </c>
      <c r="L20">
        <v>-0.84099999999999997</v>
      </c>
      <c r="M20">
        <v>-9.532</v>
      </c>
      <c r="N20">
        <v>-8.5999999999999993E-2</v>
      </c>
      <c r="O20">
        <v>-8.5000000000000006E-2</v>
      </c>
      <c r="P20">
        <v>5.4020000000000001</v>
      </c>
      <c r="Q20" t="s">
        <v>96</v>
      </c>
      <c r="R20">
        <v>5.4710000000000001</v>
      </c>
      <c r="S20">
        <v>2.5449999999999999</v>
      </c>
      <c r="T20">
        <v>-0.45100000000000001</v>
      </c>
      <c r="U20">
        <v>25.363</v>
      </c>
      <c r="V20">
        <v>4.9260000000000002</v>
      </c>
      <c r="W20">
        <v>6.21</v>
      </c>
      <c r="X20">
        <v>3.2749999999999999</v>
      </c>
      <c r="Y20">
        <v>2.6709999999999998</v>
      </c>
      <c r="Z20">
        <v>3.0449999999999999</v>
      </c>
      <c r="AA20">
        <v>3.4430000000000001</v>
      </c>
      <c r="AB20">
        <v>3.9780000000000002</v>
      </c>
      <c r="AC20">
        <v>3.7730000000000001</v>
      </c>
      <c r="AD20" t="s">
        <v>96</v>
      </c>
      <c r="AE20">
        <v>3.008</v>
      </c>
      <c r="AF20">
        <v>5.2539999999999996</v>
      </c>
      <c r="AG20">
        <v>6.1230000000000002</v>
      </c>
      <c r="AH20">
        <v>4.9109999999999996</v>
      </c>
      <c r="AI20" t="s">
        <v>96</v>
      </c>
      <c r="AJ20" t="s">
        <v>96</v>
      </c>
      <c r="AK20" t="s">
        <v>97</v>
      </c>
      <c r="AL20" t="s">
        <v>96</v>
      </c>
      <c r="AM20">
        <v>4.2839999999999998</v>
      </c>
      <c r="AN20">
        <v>2.556</v>
      </c>
      <c r="AO20">
        <v>1.339</v>
      </c>
      <c r="AP20">
        <v>0.45900000000000002</v>
      </c>
      <c r="AQ20">
        <v>-3.4359999999999999</v>
      </c>
      <c r="AR20">
        <v>-1.4999999999999999E-2</v>
      </c>
      <c r="AS20">
        <v>0.108</v>
      </c>
      <c r="AT20">
        <v>26.035</v>
      </c>
      <c r="AU20">
        <v>-3.5139999999999998</v>
      </c>
      <c r="AV20">
        <v>-1.5620000000000001</v>
      </c>
      <c r="AW20">
        <v>-1.476</v>
      </c>
      <c r="AX20">
        <v>0.62</v>
      </c>
      <c r="AY20">
        <v>1.804</v>
      </c>
      <c r="AZ20">
        <v>5.3999999999999999E-2</v>
      </c>
      <c r="BA20">
        <v>5.3999999999999999E-2</v>
      </c>
      <c r="BB20">
        <v>-0.86599999999999999</v>
      </c>
      <c r="BC20" t="s">
        <v>97</v>
      </c>
      <c r="BD20">
        <v>0.13700000000000001</v>
      </c>
      <c r="BE20">
        <v>-0.72499999999999998</v>
      </c>
      <c r="BG20">
        <v>6.4</v>
      </c>
      <c r="BH20" t="s">
        <v>97</v>
      </c>
      <c r="BI20">
        <v>0.92700000000000005</v>
      </c>
      <c r="BJ20">
        <v>-0.96599999999999997</v>
      </c>
      <c r="BK20">
        <v>0.62</v>
      </c>
      <c r="BL20">
        <v>0.70099999999999996</v>
      </c>
      <c r="BM20">
        <v>0.70899999999999996</v>
      </c>
      <c r="BN20">
        <v>2.1160000000000001</v>
      </c>
      <c r="BO20">
        <v>1.6060000000000001</v>
      </c>
      <c r="BP20">
        <v>1.7529999999999999</v>
      </c>
      <c r="BQ20">
        <v>7.9720000000000004</v>
      </c>
      <c r="BR20">
        <v>4.8540000000000001</v>
      </c>
    </row>
    <row r="21" spans="1:70" x14ac:dyDescent="0.25">
      <c r="A21" s="1" t="s">
        <v>88</v>
      </c>
      <c r="B21">
        <v>0.57299999999999995</v>
      </c>
      <c r="C21">
        <v>0.436</v>
      </c>
      <c r="D21">
        <v>1.1000000000000001</v>
      </c>
      <c r="E21">
        <v>0.998</v>
      </c>
      <c r="F21">
        <v>1.04</v>
      </c>
      <c r="G21">
        <v>3.0329999999999999</v>
      </c>
      <c r="H21">
        <v>-0.876</v>
      </c>
      <c r="I21">
        <v>3.383</v>
      </c>
      <c r="J21">
        <v>0.442</v>
      </c>
      <c r="K21">
        <v>2.1739999999999999</v>
      </c>
      <c r="L21">
        <v>-1.4990000000000001</v>
      </c>
      <c r="M21">
        <v>-5.4039999999999999</v>
      </c>
      <c r="N21">
        <v>0.20799999999999999</v>
      </c>
      <c r="O21">
        <v>0.20899999999999999</v>
      </c>
      <c r="P21" t="s">
        <v>96</v>
      </c>
      <c r="R21" t="s">
        <v>96</v>
      </c>
      <c r="S21" t="s">
        <v>96</v>
      </c>
      <c r="T21" t="s">
        <v>96</v>
      </c>
      <c r="U21" t="s">
        <v>96</v>
      </c>
      <c r="V21" t="s">
        <v>96</v>
      </c>
      <c r="W21" t="s">
        <v>96</v>
      </c>
      <c r="X21" t="s">
        <v>96</v>
      </c>
      <c r="Y21" t="s">
        <v>96</v>
      </c>
      <c r="Z21" t="s">
        <v>96</v>
      </c>
      <c r="AA21" t="s">
        <v>96</v>
      </c>
      <c r="AB21" t="s">
        <v>96</v>
      </c>
      <c r="AC21" t="s">
        <v>96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96</v>
      </c>
      <c r="AK21" t="s">
        <v>97</v>
      </c>
      <c r="AL21" t="s">
        <v>96</v>
      </c>
      <c r="AM21" t="s">
        <v>97</v>
      </c>
      <c r="AN21" t="s">
        <v>96</v>
      </c>
      <c r="AO21">
        <v>2.1139999999999999</v>
      </c>
      <c r="AP21">
        <v>-0.27</v>
      </c>
      <c r="AQ21">
        <v>-1.0609999999999999</v>
      </c>
      <c r="AR21">
        <v>-0.11</v>
      </c>
      <c r="AS21">
        <v>0.51400000000000001</v>
      </c>
      <c r="AT21">
        <v>29.193000000000001</v>
      </c>
      <c r="AU21">
        <v>-2.048</v>
      </c>
      <c r="AV21">
        <v>0.27600000000000002</v>
      </c>
      <c r="AW21">
        <v>5.5E-2</v>
      </c>
      <c r="AX21">
        <v>10.866</v>
      </c>
      <c r="AY21">
        <v>2.7240000000000002</v>
      </c>
      <c r="AZ21">
        <v>0.66300000000000003</v>
      </c>
      <c r="BA21">
        <v>0.66300000000000003</v>
      </c>
      <c r="BB21">
        <v>-1.601</v>
      </c>
      <c r="BD21">
        <v>-0.56399999999999995</v>
      </c>
      <c r="BE21">
        <v>-0.68500000000000005</v>
      </c>
      <c r="BF21" t="s">
        <v>97</v>
      </c>
      <c r="BG21">
        <v>-1</v>
      </c>
      <c r="BI21">
        <v>4.3159999999999998</v>
      </c>
      <c r="BJ21">
        <v>-0.93200000000000005</v>
      </c>
      <c r="BK21">
        <v>10.866</v>
      </c>
      <c r="BL21">
        <v>1.2050000000000001</v>
      </c>
      <c r="BM21">
        <v>0.86299999999999999</v>
      </c>
      <c r="BN21">
        <v>3.93</v>
      </c>
      <c r="BO21">
        <v>2.2400000000000002</v>
      </c>
      <c r="BP21">
        <v>3.3460000000000001</v>
      </c>
      <c r="BQ21" t="s">
        <v>96</v>
      </c>
      <c r="BR21" t="s">
        <v>96</v>
      </c>
    </row>
    <row r="22" spans="1:70" x14ac:dyDescent="0.25">
      <c r="A22" s="1" t="s">
        <v>89</v>
      </c>
    </row>
    <row r="23" spans="1:70" x14ac:dyDescent="0.25">
      <c r="A23" s="1" t="s">
        <v>90</v>
      </c>
    </row>
    <row r="24" spans="1:70" x14ac:dyDescent="0.25">
      <c r="A24" s="1" t="s">
        <v>91</v>
      </c>
    </row>
    <row r="25" spans="1:70" x14ac:dyDescent="0.25">
      <c r="A25" s="1" t="s">
        <v>92</v>
      </c>
    </row>
    <row r="26" spans="1:70" x14ac:dyDescent="0.25">
      <c r="A26" s="1" t="s">
        <v>93</v>
      </c>
    </row>
    <row r="27" spans="1:70" x14ac:dyDescent="0.25">
      <c r="A27" s="1" t="s">
        <v>94</v>
      </c>
    </row>
    <row r="28" spans="1:70" x14ac:dyDescent="0.25">
      <c r="A28" s="1" t="s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1"/>
  <sheetViews>
    <sheetView workbookViewId="0">
      <selection activeCell="M1" sqref="M1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13.140625" bestFit="1" customWidth="1"/>
    <col min="4" max="4" width="5.140625" bestFit="1" customWidth="1"/>
    <col min="5" max="5" width="12" bestFit="1" customWidth="1"/>
    <col min="6" max="6" width="18" bestFit="1" customWidth="1"/>
    <col min="7" max="7" width="17.42578125" bestFit="1" customWidth="1"/>
    <col min="8" max="8" width="15.85546875" bestFit="1" customWidth="1"/>
    <col min="11" max="11" width="10.7109375" bestFit="1" customWidth="1"/>
    <col min="12" max="12" width="16.85546875" bestFit="1" customWidth="1"/>
    <col min="13" max="13" width="18" bestFit="1" customWidth="1"/>
  </cols>
  <sheetData>
    <row r="1" spans="1:23" x14ac:dyDescent="0.25">
      <c r="A1" s="1" t="s">
        <v>0</v>
      </c>
      <c r="B1" s="1" t="s">
        <v>98</v>
      </c>
      <c r="C1" s="1" t="s">
        <v>99</v>
      </c>
      <c r="D1" s="1" t="s">
        <v>100</v>
      </c>
      <c r="E1" s="1" t="s">
        <v>1</v>
      </c>
      <c r="F1" s="1" t="s">
        <v>101</v>
      </c>
      <c r="G1" s="1" t="s">
        <v>102</v>
      </c>
      <c r="H1" s="1" t="s">
        <v>103</v>
      </c>
    </row>
    <row r="2" spans="1:23" x14ac:dyDescent="0.25">
      <c r="A2" s="1" t="s">
        <v>104</v>
      </c>
      <c r="D2" t="s">
        <v>105</v>
      </c>
      <c r="G2" t="s">
        <v>106</v>
      </c>
      <c r="H2" t="s">
        <v>107</v>
      </c>
      <c r="M2" s="6">
        <f>CAPM!B13</f>
        <v>7.8294737659005964E-2</v>
      </c>
    </row>
    <row r="3" spans="1:23" x14ac:dyDescent="0.25">
      <c r="A3" s="1" t="s">
        <v>108</v>
      </c>
      <c r="D3" t="s">
        <v>105</v>
      </c>
      <c r="G3" t="s">
        <v>106</v>
      </c>
      <c r="H3" t="s">
        <v>109</v>
      </c>
      <c r="L3" t="s">
        <v>1542</v>
      </c>
      <c r="M3" s="8">
        <f>M4-$L$4</f>
        <v>1</v>
      </c>
      <c r="N3" s="8">
        <f t="shared" ref="N3:V3" si="0">N4-$L$4</f>
        <v>2</v>
      </c>
      <c r="O3" s="8">
        <f t="shared" si="0"/>
        <v>3</v>
      </c>
      <c r="P3" s="8">
        <f t="shared" si="0"/>
        <v>4</v>
      </c>
      <c r="Q3" s="8">
        <f t="shared" si="0"/>
        <v>5</v>
      </c>
      <c r="R3" s="8">
        <f t="shared" si="0"/>
        <v>6</v>
      </c>
      <c r="S3" s="8">
        <f t="shared" si="0"/>
        <v>7</v>
      </c>
      <c r="T3" s="8">
        <f t="shared" si="0"/>
        <v>8</v>
      </c>
      <c r="U3" s="8">
        <f t="shared" si="0"/>
        <v>9</v>
      </c>
      <c r="V3" s="8">
        <f t="shared" si="0"/>
        <v>10</v>
      </c>
    </row>
    <row r="4" spans="1:23" x14ac:dyDescent="0.25">
      <c r="A4" s="1" t="s">
        <v>110</v>
      </c>
      <c r="D4" t="s">
        <v>105</v>
      </c>
      <c r="G4" t="s">
        <v>106</v>
      </c>
      <c r="H4" t="s">
        <v>111</v>
      </c>
      <c r="L4">
        <v>2024</v>
      </c>
      <c r="M4">
        <v>2025</v>
      </c>
      <c r="N4">
        <f>M4+1</f>
        <v>2026</v>
      </c>
      <c r="O4">
        <f t="shared" ref="O4:R4" si="1">N4+1</f>
        <v>2027</v>
      </c>
      <c r="P4">
        <f t="shared" si="1"/>
        <v>2028</v>
      </c>
      <c r="Q4">
        <f t="shared" si="1"/>
        <v>2029</v>
      </c>
      <c r="R4">
        <f t="shared" si="1"/>
        <v>2030</v>
      </c>
      <c r="S4">
        <f t="shared" ref="S4" si="2">R4+1</f>
        <v>2031</v>
      </c>
      <c r="T4">
        <f t="shared" ref="T4:U4" si="3">S4+1</f>
        <v>2032</v>
      </c>
      <c r="U4">
        <f t="shared" si="3"/>
        <v>2033</v>
      </c>
      <c r="V4">
        <f t="shared" ref="V4" si="4">U4+1</f>
        <v>2034</v>
      </c>
      <c r="W4" s="9" t="s">
        <v>1539</v>
      </c>
    </row>
    <row r="5" spans="1:23" x14ac:dyDescent="0.25">
      <c r="A5" s="1" t="s">
        <v>112</v>
      </c>
      <c r="C5">
        <v>0.41</v>
      </c>
      <c r="D5" t="s">
        <v>105</v>
      </c>
      <c r="F5" s="3">
        <v>10968000000</v>
      </c>
      <c r="G5" t="s">
        <v>106</v>
      </c>
      <c r="H5" t="s">
        <v>113</v>
      </c>
      <c r="J5">
        <f>F5/E9-1</f>
        <v>0.18037021093413697</v>
      </c>
      <c r="M5" s="7">
        <v>0.16</v>
      </c>
      <c r="N5" s="7">
        <f>M5-0.02</f>
        <v>0.14000000000000001</v>
      </c>
      <c r="O5" s="7">
        <f t="shared" ref="O5:Q5" si="5">N5-0.02</f>
        <v>0.12000000000000001</v>
      </c>
      <c r="P5" s="7">
        <f>O5</f>
        <v>0.12000000000000001</v>
      </c>
      <c r="Q5" s="7">
        <f t="shared" si="5"/>
        <v>0.1</v>
      </c>
      <c r="R5" s="7">
        <f>Q5</f>
        <v>0.1</v>
      </c>
      <c r="S5" s="7">
        <f t="shared" ref="S5" si="6">R5-0.02</f>
        <v>0.08</v>
      </c>
      <c r="T5" s="7">
        <f t="shared" ref="T5:U5" si="7">S5-0.02</f>
        <v>0.06</v>
      </c>
      <c r="U5" s="7">
        <f t="shared" si="7"/>
        <v>3.9999999999999994E-2</v>
      </c>
      <c r="V5" s="7">
        <f t="shared" ref="V5" si="8">U5-0.02</f>
        <v>1.9999999999999993E-2</v>
      </c>
      <c r="W5" s="7">
        <v>0</v>
      </c>
    </row>
    <row r="6" spans="1:23" x14ac:dyDescent="0.25">
      <c r="A6" s="1" t="s">
        <v>114</v>
      </c>
      <c r="B6">
        <v>0.47</v>
      </c>
      <c r="C6">
        <v>0.31</v>
      </c>
      <c r="D6" t="s">
        <v>105</v>
      </c>
      <c r="E6">
        <v>10700000000</v>
      </c>
      <c r="F6">
        <v>10568275713</v>
      </c>
      <c r="G6" t="s">
        <v>106</v>
      </c>
      <c r="H6" t="s">
        <v>69</v>
      </c>
      <c r="K6" t="s">
        <v>1540</v>
      </c>
      <c r="L6" s="3">
        <f>(F5/1000000)*4</f>
        <v>43872</v>
      </c>
      <c r="M6" s="10">
        <f>(L6)*(1+M5)</f>
        <v>50891.519999999997</v>
      </c>
      <c r="N6" s="10">
        <f t="shared" ref="N6:S6" si="9">M6*(1+N5)</f>
        <v>58016.332800000004</v>
      </c>
      <c r="O6" s="10">
        <f t="shared" si="9"/>
        <v>64978.29273600001</v>
      </c>
      <c r="P6" s="10">
        <f t="shared" si="9"/>
        <v>72775.687864320018</v>
      </c>
      <c r="Q6" s="10">
        <f t="shared" si="9"/>
        <v>80053.256650752024</v>
      </c>
      <c r="R6" s="10">
        <f t="shared" si="9"/>
        <v>88058.58231582724</v>
      </c>
      <c r="S6" s="10">
        <f t="shared" si="9"/>
        <v>95103.268901093426</v>
      </c>
      <c r="T6" s="10">
        <f t="shared" ref="T6" si="10">S6*(1+T5)</f>
        <v>100809.46503515904</v>
      </c>
      <c r="U6" s="10">
        <f t="shared" ref="U6:V6" si="11">T6*(1+U5)</f>
        <v>104841.84363656541</v>
      </c>
      <c r="V6" s="10">
        <f t="shared" si="11"/>
        <v>106938.68050929671</v>
      </c>
    </row>
    <row r="7" spans="1:23" x14ac:dyDescent="0.25">
      <c r="A7" s="1" t="s">
        <v>115</v>
      </c>
      <c r="B7">
        <v>-0.32</v>
      </c>
      <c r="C7">
        <v>0.2203</v>
      </c>
      <c r="D7" t="s">
        <v>105</v>
      </c>
      <c r="E7">
        <v>10131000000</v>
      </c>
      <c r="F7">
        <v>10094869025</v>
      </c>
      <c r="G7" t="s">
        <v>116</v>
      </c>
      <c r="H7" t="s">
        <v>70</v>
      </c>
      <c r="K7" t="s">
        <v>1541</v>
      </c>
      <c r="L7" s="7">
        <v>0.12</v>
      </c>
      <c r="M7" s="4">
        <f>L7</f>
        <v>0.12</v>
      </c>
      <c r="N7" s="7">
        <f>M7+0.02</f>
        <v>0.13999999999999999</v>
      </c>
      <c r="O7" s="7">
        <f>N7+0.02</f>
        <v>0.15999999999999998</v>
      </c>
      <c r="P7" s="7">
        <f t="shared" ref="P7:Q7" si="12">O7+0.02</f>
        <v>0.17999999999999997</v>
      </c>
      <c r="Q7" s="7">
        <f t="shared" si="12"/>
        <v>0.19999999999999996</v>
      </c>
      <c r="R7" s="7">
        <f>Q7+0.01</f>
        <v>0.20999999999999996</v>
      </c>
      <c r="S7" s="7">
        <f t="shared" ref="S7:V7" si="13">R7+0.01</f>
        <v>0.21999999999999997</v>
      </c>
      <c r="T7" s="7">
        <f t="shared" si="13"/>
        <v>0.22999999999999998</v>
      </c>
      <c r="U7" s="7">
        <f t="shared" si="13"/>
        <v>0.24</v>
      </c>
      <c r="V7" s="7">
        <f t="shared" si="13"/>
        <v>0.25</v>
      </c>
      <c r="W7" s="7"/>
    </row>
    <row r="8" spans="1:23" x14ac:dyDescent="0.25">
      <c r="A8" s="1" t="s">
        <v>117</v>
      </c>
      <c r="B8">
        <v>0.62</v>
      </c>
      <c r="C8">
        <v>0.16</v>
      </c>
      <c r="D8" t="s">
        <v>105</v>
      </c>
      <c r="E8">
        <v>9936000000</v>
      </c>
      <c r="F8">
        <v>9755682515</v>
      </c>
      <c r="G8" t="s">
        <v>118</v>
      </c>
      <c r="H8" t="s">
        <v>71</v>
      </c>
      <c r="K8" t="s">
        <v>1543</v>
      </c>
      <c r="M8" s="10">
        <f>M7*M6</f>
        <v>6106.982399999999</v>
      </c>
      <c r="N8" s="10">
        <f t="shared" ref="N8:V8" si="14">N7*N6</f>
        <v>8122.2865919999995</v>
      </c>
      <c r="O8" s="10">
        <f t="shared" si="14"/>
        <v>10396.52683776</v>
      </c>
      <c r="P8" s="10">
        <f t="shared" si="14"/>
        <v>13099.623815577601</v>
      </c>
      <c r="Q8" s="10">
        <f t="shared" si="14"/>
        <v>16010.651330150402</v>
      </c>
      <c r="R8" s="10">
        <f t="shared" si="14"/>
        <v>18492.302286323717</v>
      </c>
      <c r="S8" s="10">
        <f t="shared" si="14"/>
        <v>20922.71915824055</v>
      </c>
      <c r="T8" s="10">
        <f t="shared" si="14"/>
        <v>23186.176958086577</v>
      </c>
      <c r="U8" s="10">
        <f t="shared" si="14"/>
        <v>25162.042472775698</v>
      </c>
      <c r="V8" s="10">
        <f t="shared" si="14"/>
        <v>26734.670127324178</v>
      </c>
    </row>
    <row r="9" spans="1:23" x14ac:dyDescent="0.25">
      <c r="A9" s="1" t="s">
        <v>119</v>
      </c>
      <c r="B9">
        <v>0.1</v>
      </c>
      <c r="C9">
        <v>0.12</v>
      </c>
      <c r="D9" t="s">
        <v>105</v>
      </c>
      <c r="E9">
        <v>9292000000</v>
      </c>
      <c r="F9">
        <v>8987100000</v>
      </c>
      <c r="G9" t="s">
        <v>120</v>
      </c>
      <c r="H9" t="s">
        <v>72</v>
      </c>
      <c r="K9" t="s">
        <v>1544</v>
      </c>
      <c r="M9" s="10">
        <f>M8/((1+$M$2)^M3)</f>
        <v>5663.5557855529823</v>
      </c>
      <c r="N9" s="10">
        <f t="shared" ref="N9:V9" si="15">N8/((1+$M$2)^N3)</f>
        <v>6985.5939491448344</v>
      </c>
      <c r="O9" s="10">
        <f t="shared" si="15"/>
        <v>8292.3155818395717</v>
      </c>
      <c r="P9" s="10">
        <f t="shared" si="15"/>
        <v>9689.6676467153266</v>
      </c>
      <c r="Q9" s="10">
        <f t="shared" si="15"/>
        <v>10983.014856841786</v>
      </c>
      <c r="R9" s="10">
        <f t="shared" si="15"/>
        <v>11764.29942261651</v>
      </c>
      <c r="S9" s="10">
        <f t="shared" si="15"/>
        <v>12343.994665582979</v>
      </c>
      <c r="T9" s="10">
        <f t="shared" si="15"/>
        <v>12686.132997208699</v>
      </c>
      <c r="U9" s="10">
        <f t="shared" si="15"/>
        <v>12767.577987869679</v>
      </c>
      <c r="V9" s="10">
        <f t="shared" si="15"/>
        <v>12580.559969681897</v>
      </c>
    </row>
    <row r="10" spans="1:23" x14ac:dyDescent="0.25">
      <c r="A10" s="1" t="s">
        <v>121</v>
      </c>
      <c r="B10">
        <v>0.18</v>
      </c>
      <c r="C10">
        <v>8.8699999999999994E-3</v>
      </c>
      <c r="D10" t="s">
        <v>105</v>
      </c>
      <c r="E10">
        <v>9230000000</v>
      </c>
      <c r="F10">
        <v>9334270000</v>
      </c>
      <c r="G10" t="s">
        <v>120</v>
      </c>
      <c r="H10" t="s">
        <v>73</v>
      </c>
    </row>
    <row r="11" spans="1:23" x14ac:dyDescent="0.25">
      <c r="A11" s="1" t="s">
        <v>122</v>
      </c>
      <c r="B11">
        <v>-0.08</v>
      </c>
      <c r="C11">
        <v>-0.1</v>
      </c>
      <c r="D11" t="s">
        <v>105</v>
      </c>
      <c r="E11">
        <v>8823000000</v>
      </c>
      <c r="F11">
        <v>8722640000</v>
      </c>
      <c r="G11" t="s">
        <v>120</v>
      </c>
      <c r="H11" t="s">
        <v>74</v>
      </c>
    </row>
    <row r="12" spans="1:23" x14ac:dyDescent="0.25">
      <c r="A12" s="1" t="s">
        <v>123</v>
      </c>
      <c r="B12">
        <v>0.28999999999999998</v>
      </c>
      <c r="C12">
        <v>-0.18</v>
      </c>
      <c r="D12" t="s">
        <v>105</v>
      </c>
      <c r="E12">
        <v>8607000000</v>
      </c>
      <c r="F12">
        <v>8128070000</v>
      </c>
      <c r="G12" t="s">
        <v>120</v>
      </c>
      <c r="H12" t="s">
        <v>75</v>
      </c>
      <c r="K12" t="s">
        <v>1545</v>
      </c>
      <c r="L12" s="10">
        <f>SUM(M9:V9)</f>
        <v>103756.71286305426</v>
      </c>
    </row>
    <row r="13" spans="1:23" x14ac:dyDescent="0.25">
      <c r="A13" s="1" t="s">
        <v>124</v>
      </c>
      <c r="B13">
        <v>-0.61</v>
      </c>
      <c r="C13">
        <v>-0.17</v>
      </c>
      <c r="D13" t="s">
        <v>105</v>
      </c>
      <c r="E13">
        <v>8343000000</v>
      </c>
      <c r="G13" t="s">
        <v>120</v>
      </c>
      <c r="H13" t="s">
        <v>76</v>
      </c>
      <c r="K13" t="s">
        <v>1546</v>
      </c>
      <c r="L13" s="10">
        <f>(V8*(1+W5))/(M2-W5)</f>
        <v>341461.90314553003</v>
      </c>
      <c r="M13" s="10">
        <f>L12+L13</f>
        <v>445218.61600858427</v>
      </c>
    </row>
    <row r="14" spans="1:23" x14ac:dyDescent="0.25">
      <c r="A14" s="1" t="s">
        <v>125</v>
      </c>
      <c r="B14">
        <v>-1.33</v>
      </c>
      <c r="C14">
        <v>-0.25</v>
      </c>
      <c r="D14" t="s">
        <v>105</v>
      </c>
      <c r="E14">
        <v>8073000000</v>
      </c>
      <c r="G14" t="s">
        <v>120</v>
      </c>
      <c r="H14" t="s">
        <v>77</v>
      </c>
      <c r="K14" t="s">
        <v>1547</v>
      </c>
      <c r="L14" s="10">
        <f>V8*8</f>
        <v>213877.36101859342</v>
      </c>
      <c r="M14" s="10">
        <f>L12+L14</f>
        <v>317634.07388164767</v>
      </c>
    </row>
    <row r="15" spans="1:23" x14ac:dyDescent="0.25">
      <c r="A15" s="1" t="s">
        <v>126</v>
      </c>
      <c r="B15">
        <v>-3.04</v>
      </c>
      <c r="C15">
        <v>-0.27</v>
      </c>
      <c r="D15" t="s">
        <v>127</v>
      </c>
      <c r="E15">
        <v>6854000000</v>
      </c>
      <c r="G15" t="s">
        <v>120</v>
      </c>
      <c r="H15" t="s">
        <v>78</v>
      </c>
      <c r="M15" s="13">
        <f>AVERAGE(M13:M14)</f>
        <v>381426.34494511597</v>
      </c>
    </row>
    <row r="16" spans="1:23" x14ac:dyDescent="0.25">
      <c r="A16" s="1" t="s">
        <v>128</v>
      </c>
      <c r="B16">
        <v>0.44</v>
      </c>
      <c r="C16">
        <v>-0.33</v>
      </c>
      <c r="D16" t="s">
        <v>127</v>
      </c>
      <c r="E16">
        <v>5778000000</v>
      </c>
      <c r="F16">
        <v>5323070000</v>
      </c>
      <c r="G16" t="s">
        <v>120</v>
      </c>
      <c r="H16" t="s">
        <v>79</v>
      </c>
    </row>
    <row r="17" spans="1:23" x14ac:dyDescent="0.25">
      <c r="A17" s="1" t="s">
        <v>129</v>
      </c>
      <c r="B17">
        <v>-0.23</v>
      </c>
      <c r="C17">
        <v>-0.37</v>
      </c>
      <c r="D17" t="s">
        <v>127</v>
      </c>
      <c r="E17">
        <v>4845000000</v>
      </c>
      <c r="F17">
        <v>4448050000</v>
      </c>
      <c r="G17" t="s">
        <v>120</v>
      </c>
      <c r="H17" t="s">
        <v>80</v>
      </c>
      <c r="K17" t="s">
        <v>1548</v>
      </c>
      <c r="L17" s="3">
        <f>'Financial Statements'!O2/1000000</f>
        <v>2150.0189999999998</v>
      </c>
      <c r="M17" s="10">
        <f>L17*(1+M18)</f>
        <v>2223.1196459999996</v>
      </c>
      <c r="N17" s="10">
        <f t="shared" ref="N17:W17" si="16">M17*(1+N18)</f>
        <v>2289.8132353799997</v>
      </c>
      <c r="O17" s="10">
        <f t="shared" si="16"/>
        <v>2349.3483794998797</v>
      </c>
      <c r="P17" s="10">
        <f t="shared" si="16"/>
        <v>2408.0820889873767</v>
      </c>
      <c r="Q17" s="10">
        <f t="shared" si="16"/>
        <v>2456.2437307671244</v>
      </c>
      <c r="R17" s="10">
        <f t="shared" si="16"/>
        <v>2493.0873867286309</v>
      </c>
      <c r="S17" s="10">
        <f t="shared" si="16"/>
        <v>2518.0182605959171</v>
      </c>
      <c r="T17" s="10">
        <f t="shared" si="16"/>
        <v>2530.6083518988962</v>
      </c>
      <c r="U17" s="10">
        <f t="shared" si="16"/>
        <v>2530.6083518988962</v>
      </c>
      <c r="V17" s="10">
        <f t="shared" si="16"/>
        <v>2530.6083518988962</v>
      </c>
      <c r="W17" s="10">
        <f t="shared" si="16"/>
        <v>2530.6083518988962</v>
      </c>
    </row>
    <row r="18" spans="1:23" x14ac:dyDescent="0.25">
      <c r="A18" s="1" t="s">
        <v>130</v>
      </c>
      <c r="B18">
        <v>0.57999999999999996</v>
      </c>
      <c r="C18">
        <v>-0.53</v>
      </c>
      <c r="D18" t="s">
        <v>127</v>
      </c>
      <c r="E18">
        <v>3929000000</v>
      </c>
      <c r="F18">
        <v>3746660000</v>
      </c>
      <c r="G18" t="s">
        <v>120</v>
      </c>
      <c r="H18" t="s">
        <v>81</v>
      </c>
      <c r="M18" s="11">
        <v>3.4000000000000002E-2</v>
      </c>
      <c r="N18" s="11">
        <f>M18-0.004</f>
        <v>3.0000000000000002E-2</v>
      </c>
      <c r="O18" s="11">
        <f>N18-0.004</f>
        <v>2.6000000000000002E-2</v>
      </c>
      <c r="P18" s="11">
        <f>O18-0.001</f>
        <v>2.5000000000000001E-2</v>
      </c>
      <c r="Q18" s="11">
        <f>P18-0.005</f>
        <v>0.02</v>
      </c>
      <c r="R18" s="11">
        <f t="shared" ref="R18:U18" si="17">Q18-0.005</f>
        <v>1.4999999999999999E-2</v>
      </c>
      <c r="S18" s="11">
        <f t="shared" si="17"/>
        <v>9.9999999999999985E-3</v>
      </c>
      <c r="T18" s="11">
        <f t="shared" si="17"/>
        <v>4.9999999999999984E-3</v>
      </c>
      <c r="U18" s="11">
        <f t="shared" si="17"/>
        <v>0</v>
      </c>
      <c r="V18" s="11">
        <f>U18</f>
        <v>0</v>
      </c>
      <c r="W18" s="11">
        <f>V18</f>
        <v>0</v>
      </c>
    </row>
    <row r="19" spans="1:23" x14ac:dyDescent="0.25">
      <c r="A19" s="1" t="s">
        <v>131</v>
      </c>
      <c r="B19">
        <v>-0.42</v>
      </c>
      <c r="C19">
        <v>-0.56000000000000005</v>
      </c>
      <c r="D19" t="s">
        <v>127</v>
      </c>
      <c r="E19">
        <v>2903000000</v>
      </c>
      <c r="F19">
        <v>3276260000</v>
      </c>
      <c r="G19" t="s">
        <v>120</v>
      </c>
      <c r="H19" t="s">
        <v>82</v>
      </c>
    </row>
    <row r="20" spans="1:23" x14ac:dyDescent="0.25">
      <c r="A20" s="1" t="s">
        <v>132</v>
      </c>
      <c r="B20">
        <v>-0.54</v>
      </c>
      <c r="C20">
        <v>-0.53</v>
      </c>
      <c r="D20" t="s">
        <v>127</v>
      </c>
      <c r="E20">
        <v>3165000000</v>
      </c>
      <c r="F20">
        <v>3605310000</v>
      </c>
      <c r="G20" t="s">
        <v>120</v>
      </c>
      <c r="H20" t="s">
        <v>83</v>
      </c>
    </row>
    <row r="21" spans="1:23" x14ac:dyDescent="0.25">
      <c r="A21" s="1" t="s">
        <v>133</v>
      </c>
      <c r="B21">
        <v>-0.62</v>
      </c>
      <c r="C21">
        <v>-0.6</v>
      </c>
      <c r="D21" t="s">
        <v>127</v>
      </c>
      <c r="E21">
        <v>3129000000</v>
      </c>
      <c r="F21">
        <v>3280403225</v>
      </c>
      <c r="G21" t="s">
        <v>120</v>
      </c>
      <c r="H21" t="s">
        <v>84</v>
      </c>
    </row>
    <row r="22" spans="1:23" x14ac:dyDescent="0.25">
      <c r="A22" s="1" t="s">
        <v>134</v>
      </c>
      <c r="B22">
        <v>-1.02</v>
      </c>
      <c r="C22">
        <v>-0.78</v>
      </c>
      <c r="D22" t="s">
        <v>127</v>
      </c>
      <c r="E22">
        <v>2241000000</v>
      </c>
      <c r="F22">
        <v>1889470588</v>
      </c>
      <c r="G22" t="s">
        <v>120</v>
      </c>
      <c r="H22" t="s">
        <v>85</v>
      </c>
      <c r="L22" t="s">
        <v>1549</v>
      </c>
      <c r="M22" s="12">
        <f>M15/L17</f>
        <v>177.40603452579535</v>
      </c>
    </row>
    <row r="23" spans="1:23" x14ac:dyDescent="0.25">
      <c r="A23" s="1" t="s">
        <v>135</v>
      </c>
      <c r="B23">
        <v>-0.64</v>
      </c>
      <c r="C23">
        <v>-0.79</v>
      </c>
      <c r="D23" t="s">
        <v>127</v>
      </c>
      <c r="E23">
        <v>3543000000</v>
      </c>
      <c r="F23">
        <v>3026773828</v>
      </c>
      <c r="G23" t="s">
        <v>120</v>
      </c>
      <c r="H23" t="s">
        <v>86</v>
      </c>
      <c r="L23" t="s">
        <v>1550</v>
      </c>
      <c r="M23" s="15">
        <f>M15/W17</f>
        <v>150.72515850147437</v>
      </c>
    </row>
    <row r="24" spans="1:23" x14ac:dyDescent="0.25">
      <c r="A24" s="1" t="s">
        <v>136</v>
      </c>
      <c r="B24">
        <v>-0.64</v>
      </c>
      <c r="C24">
        <v>-0.68</v>
      </c>
      <c r="D24" t="s">
        <v>127</v>
      </c>
      <c r="E24">
        <v>4069000000</v>
      </c>
      <c r="F24">
        <v>4259734375</v>
      </c>
      <c r="G24" t="s">
        <v>120</v>
      </c>
      <c r="H24" t="s">
        <v>87</v>
      </c>
    </row>
    <row r="25" spans="1:23" x14ac:dyDescent="0.25">
      <c r="A25" s="1" t="s">
        <v>137</v>
      </c>
      <c r="B25">
        <v>-0.68</v>
      </c>
      <c r="C25">
        <v>-0.83</v>
      </c>
      <c r="D25" t="s">
        <v>127</v>
      </c>
      <c r="E25">
        <v>3813000000</v>
      </c>
      <c r="F25">
        <v>4541955882</v>
      </c>
      <c r="G25" t="s">
        <v>120</v>
      </c>
      <c r="H25" t="s">
        <v>88</v>
      </c>
      <c r="M25">
        <v>85.48</v>
      </c>
    </row>
    <row r="26" spans="1:23" x14ac:dyDescent="0.25">
      <c r="A26" s="1" t="s">
        <v>138</v>
      </c>
      <c r="B26">
        <v>-4.72</v>
      </c>
      <c r="C26">
        <v>-3.33</v>
      </c>
      <c r="D26" t="s">
        <v>127</v>
      </c>
      <c r="E26">
        <v>3166000000</v>
      </c>
      <c r="F26">
        <v>2139733050</v>
      </c>
      <c r="G26" t="s">
        <v>120</v>
      </c>
      <c r="H26" t="s">
        <v>89</v>
      </c>
    </row>
    <row r="27" spans="1:23" x14ac:dyDescent="0.25">
      <c r="A27" s="1" t="s">
        <v>139</v>
      </c>
      <c r="B27">
        <v>-2.2599999999999998</v>
      </c>
      <c r="C27">
        <v>-2.3199999999999998</v>
      </c>
      <c r="D27" t="s">
        <v>127</v>
      </c>
      <c r="E27">
        <v>3099000000</v>
      </c>
      <c r="F27">
        <v>3140137168</v>
      </c>
      <c r="G27" t="s">
        <v>120</v>
      </c>
      <c r="H27" t="s">
        <v>90</v>
      </c>
      <c r="M27" s="14">
        <f>M23/M25-1</f>
        <v>0.76327981400882505</v>
      </c>
    </row>
    <row r="28" spans="1:23" x14ac:dyDescent="0.25">
      <c r="A28" s="1" t="s">
        <v>91</v>
      </c>
      <c r="B28">
        <v>-0.52893000000000001</v>
      </c>
      <c r="D28" t="s">
        <v>127</v>
      </c>
      <c r="E28">
        <v>2974000000</v>
      </c>
      <c r="G28" t="s">
        <v>120</v>
      </c>
      <c r="H28" t="s">
        <v>91</v>
      </c>
    </row>
    <row r="29" spans="1:23" x14ac:dyDescent="0.25">
      <c r="A29" s="1" t="s">
        <v>92</v>
      </c>
      <c r="B29">
        <v>-0.57992999999999995</v>
      </c>
      <c r="D29" t="s">
        <v>127</v>
      </c>
      <c r="E29">
        <v>2944000000</v>
      </c>
      <c r="G29" t="s">
        <v>120</v>
      </c>
      <c r="H29" t="s">
        <v>92</v>
      </c>
    </row>
    <row r="30" spans="1:23" x14ac:dyDescent="0.25">
      <c r="A30" s="1" t="s">
        <v>93</v>
      </c>
      <c r="B30">
        <v>-0.51641000000000004</v>
      </c>
      <c r="D30" t="s">
        <v>127</v>
      </c>
      <c r="E30">
        <v>2768000000</v>
      </c>
      <c r="G30" t="s">
        <v>120</v>
      </c>
      <c r="H30" t="s">
        <v>93</v>
      </c>
    </row>
    <row r="31" spans="1:23" x14ac:dyDescent="0.25">
      <c r="A31" s="1" t="s">
        <v>94</v>
      </c>
      <c r="B31">
        <v>2.2000000000000002</v>
      </c>
      <c r="D31" t="s">
        <v>127</v>
      </c>
      <c r="E31">
        <v>2584000000</v>
      </c>
      <c r="G31" t="s">
        <v>120</v>
      </c>
      <c r="H31" t="s">
        <v>94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workbookViewId="0">
      <selection activeCell="F3" sqref="F3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18.28515625" bestFit="1" customWidth="1"/>
    <col min="4" max="4" width="9.5703125" bestFit="1" customWidth="1"/>
    <col min="5" max="5" width="11" bestFit="1" customWidth="1"/>
    <col min="6" max="6" width="15.42578125" bestFit="1" customWidth="1"/>
    <col min="7" max="7" width="12" bestFit="1" customWidth="1"/>
    <col min="8" max="8" width="20.5703125" bestFit="1" customWidth="1"/>
  </cols>
  <sheetData>
    <row r="1" spans="1:8" x14ac:dyDescent="0.25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</v>
      </c>
      <c r="H1" s="1" t="s">
        <v>146</v>
      </c>
    </row>
    <row r="2" spans="1:8" x14ac:dyDescent="0.25">
      <c r="A2" s="1" t="s">
        <v>71</v>
      </c>
      <c r="B2" t="s">
        <v>147</v>
      </c>
      <c r="C2" t="s">
        <v>148</v>
      </c>
      <c r="D2" t="s">
        <v>149</v>
      </c>
      <c r="E2" t="s">
        <v>150</v>
      </c>
      <c r="F2">
        <v>30400</v>
      </c>
      <c r="G2">
        <v>37281000000</v>
      </c>
      <c r="H2" s="3">
        <v>1226348.6842105261</v>
      </c>
    </row>
    <row r="3" spans="1:8" x14ac:dyDescent="0.25">
      <c r="A3" s="1" t="s">
        <v>75</v>
      </c>
      <c r="B3" t="s">
        <v>151</v>
      </c>
      <c r="C3" t="s">
        <v>152</v>
      </c>
      <c r="D3" t="s">
        <v>149</v>
      </c>
      <c r="E3" t="s">
        <v>150</v>
      </c>
      <c r="F3">
        <v>32800</v>
      </c>
      <c r="G3">
        <v>31877000000</v>
      </c>
      <c r="H3" s="3">
        <v>971859.75609756098</v>
      </c>
    </row>
    <row r="4" spans="1:8" x14ac:dyDescent="0.25">
      <c r="A4" s="1" t="s">
        <v>79</v>
      </c>
      <c r="B4" t="s">
        <v>153</v>
      </c>
      <c r="C4" t="s">
        <v>154</v>
      </c>
      <c r="D4" t="s">
        <v>149</v>
      </c>
      <c r="E4" t="s">
        <v>150</v>
      </c>
      <c r="F4">
        <v>29300</v>
      </c>
      <c r="G4">
        <v>17455000000</v>
      </c>
      <c r="H4" s="3">
        <v>595733.78839590447</v>
      </c>
    </row>
    <row r="5" spans="1:8" x14ac:dyDescent="0.25">
      <c r="A5" s="1" t="s">
        <v>83</v>
      </c>
      <c r="B5" t="s">
        <v>155</v>
      </c>
      <c r="C5" t="s">
        <v>156</v>
      </c>
      <c r="D5" t="s">
        <v>149</v>
      </c>
      <c r="E5" t="s">
        <v>150</v>
      </c>
      <c r="F5">
        <v>22800</v>
      </c>
      <c r="G5">
        <v>12078000000</v>
      </c>
      <c r="H5" s="3">
        <v>529736.84210526315</v>
      </c>
    </row>
    <row r="6" spans="1:8" x14ac:dyDescent="0.25">
      <c r="A6" s="1" t="s">
        <v>87</v>
      </c>
      <c r="B6" t="s">
        <v>157</v>
      </c>
      <c r="C6" t="s">
        <v>158</v>
      </c>
      <c r="D6" t="s">
        <v>149</v>
      </c>
      <c r="E6" t="s">
        <v>150</v>
      </c>
      <c r="F6">
        <v>26900</v>
      </c>
      <c r="G6">
        <v>14147000000</v>
      </c>
      <c r="H6" s="3">
        <v>525910.78066914494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2"/>
  <sheetViews>
    <sheetView workbookViewId="0">
      <selection activeCell="B2" sqref="B2:D13"/>
    </sheetView>
  </sheetViews>
  <sheetFormatPr defaultRowHeight="15" x14ac:dyDescent="0.25"/>
  <cols>
    <col min="1" max="1" width="10.42578125" bestFit="1" customWidth="1"/>
    <col min="2" max="4" width="16.85546875" bestFit="1" customWidth="1"/>
    <col min="5" max="5" width="17.7109375" bestFit="1" customWidth="1"/>
    <col min="6" max="6" width="34.5703125" bestFit="1" customWidth="1"/>
    <col min="7" max="8" width="15.28515625" bestFit="1" customWidth="1"/>
    <col min="9" max="9" width="14.7109375" bestFit="1" customWidth="1"/>
    <col min="10" max="12" width="16.85546875" bestFit="1" customWidth="1"/>
  </cols>
  <sheetData>
    <row r="1" spans="1:12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</row>
    <row r="2" spans="1:12" x14ac:dyDescent="0.25">
      <c r="A2" s="1" t="s">
        <v>70</v>
      </c>
      <c r="B2" s="3">
        <v>3214000000</v>
      </c>
      <c r="C2" s="3">
        <v>1284000000</v>
      </c>
      <c r="D2" s="3">
        <v>5633000000</v>
      </c>
      <c r="E2" s="3"/>
      <c r="F2" s="3"/>
      <c r="G2" s="3"/>
      <c r="H2" s="3"/>
      <c r="I2" s="3"/>
      <c r="J2" s="3"/>
      <c r="K2" s="3"/>
      <c r="L2" s="3"/>
    </row>
    <row r="3" spans="1:12" x14ac:dyDescent="0.25">
      <c r="A3" s="1" t="s">
        <v>71</v>
      </c>
      <c r="B3" s="3">
        <v>3119000000</v>
      </c>
      <c r="C3" s="3">
        <v>1280000000</v>
      </c>
      <c r="D3" s="3">
        <v>5537000000</v>
      </c>
      <c r="E3" s="3"/>
      <c r="F3" s="3"/>
      <c r="G3" s="3"/>
      <c r="H3" s="3"/>
      <c r="I3" s="3"/>
      <c r="J3" s="3"/>
      <c r="K3" s="3"/>
      <c r="L3" s="3"/>
    </row>
    <row r="4" spans="1:12" x14ac:dyDescent="0.25">
      <c r="A4" s="1" t="s">
        <v>72</v>
      </c>
      <c r="B4" s="3">
        <v>2935000000</v>
      </c>
      <c r="C4" s="3">
        <v>1286000000</v>
      </c>
      <c r="D4" s="3">
        <v>5071000000</v>
      </c>
      <c r="E4" s="3"/>
      <c r="F4" s="3"/>
      <c r="G4" s="3"/>
      <c r="H4" s="3"/>
      <c r="I4" s="3"/>
      <c r="J4" s="3"/>
      <c r="K4" s="3"/>
      <c r="L4" s="3"/>
    </row>
    <row r="5" spans="1:12" x14ac:dyDescent="0.25">
      <c r="A5" s="1" t="s">
        <v>73</v>
      </c>
      <c r="B5" s="3">
        <v>3057000000</v>
      </c>
      <c r="C5" s="3">
        <v>1279000000</v>
      </c>
      <c r="D5" s="3">
        <v>4894000000</v>
      </c>
      <c r="E5" s="3"/>
      <c r="F5" s="3"/>
      <c r="G5" s="3"/>
      <c r="H5" s="3"/>
      <c r="I5" s="3"/>
      <c r="J5" s="3"/>
      <c r="K5" s="3"/>
      <c r="L5" s="3"/>
    </row>
    <row r="6" spans="1:12" x14ac:dyDescent="0.25">
      <c r="A6" s="1" t="s">
        <v>74</v>
      </c>
      <c r="B6" s="3">
        <v>3093000000</v>
      </c>
      <c r="C6" s="3">
        <v>1400000000</v>
      </c>
      <c r="D6" s="3">
        <v>4330000000</v>
      </c>
      <c r="E6" s="3"/>
      <c r="F6" s="3"/>
      <c r="G6" s="3"/>
      <c r="H6" s="3"/>
      <c r="I6" s="3"/>
      <c r="J6" s="3"/>
      <c r="K6" s="3"/>
      <c r="L6" s="3"/>
    </row>
    <row r="7" spans="1:12" x14ac:dyDescent="0.25">
      <c r="A7" s="1" t="s">
        <v>75</v>
      </c>
      <c r="B7" s="3">
        <v>2931000000</v>
      </c>
      <c r="C7" s="3">
        <v>1540000000</v>
      </c>
      <c r="D7" s="3">
        <v>4136000000</v>
      </c>
      <c r="E7" s="3"/>
      <c r="F7" s="3"/>
      <c r="G7" s="3"/>
      <c r="H7" s="3"/>
      <c r="I7" s="3"/>
      <c r="J7" s="3"/>
      <c r="K7" s="3"/>
      <c r="L7" s="3"/>
    </row>
    <row r="8" spans="1:12" x14ac:dyDescent="0.25">
      <c r="A8" s="1" t="s">
        <v>76</v>
      </c>
      <c r="B8" s="3">
        <v>2770000000</v>
      </c>
      <c r="C8" s="3">
        <v>1751000000</v>
      </c>
      <c r="D8" s="3">
        <v>3822000000</v>
      </c>
      <c r="E8" s="3">
        <v>0</v>
      </c>
      <c r="F8" s="3"/>
      <c r="G8" s="3"/>
      <c r="H8" s="3"/>
      <c r="I8" s="3"/>
      <c r="J8" s="3"/>
      <c r="K8" s="3"/>
      <c r="L8" s="3"/>
    </row>
    <row r="9" spans="1:12" x14ac:dyDescent="0.25">
      <c r="A9" s="1" t="s">
        <v>77</v>
      </c>
      <c r="B9" s="3">
        <v>2688000000</v>
      </c>
      <c r="C9" s="3">
        <v>1832000000</v>
      </c>
      <c r="D9" s="3">
        <v>3553000000</v>
      </c>
      <c r="E9" s="3">
        <v>0</v>
      </c>
      <c r="F9" s="3"/>
      <c r="G9" s="3"/>
      <c r="H9" s="3"/>
      <c r="I9" s="3"/>
      <c r="J9" s="3"/>
      <c r="K9" s="3"/>
      <c r="L9" s="3"/>
    </row>
    <row r="10" spans="1:12" x14ac:dyDescent="0.25">
      <c r="A10" s="1" t="s">
        <v>78</v>
      </c>
      <c r="B10" s="3">
        <v>2512000000</v>
      </c>
      <c r="C10" s="3">
        <v>1824000000</v>
      </c>
      <c r="D10" s="3">
        <v>2518000000</v>
      </c>
      <c r="E10" s="3">
        <v>0</v>
      </c>
      <c r="F10" s="3"/>
      <c r="G10" s="3"/>
      <c r="H10" s="3"/>
      <c r="I10" s="3"/>
      <c r="J10" s="3"/>
      <c r="K10" s="3"/>
      <c r="L10" s="3"/>
    </row>
    <row r="11" spans="1:12" x14ac:dyDescent="0.25">
      <c r="A11" s="1" t="s">
        <v>79</v>
      </c>
      <c r="B11" s="3">
        <v>2420000000</v>
      </c>
      <c r="C11" s="3">
        <v>1081000000</v>
      </c>
      <c r="D11" s="3">
        <v>2277000000</v>
      </c>
      <c r="E11" s="3">
        <v>0</v>
      </c>
      <c r="F11" s="3"/>
      <c r="G11" s="3"/>
      <c r="H11" s="3"/>
      <c r="I11" s="3"/>
      <c r="J11" s="3"/>
      <c r="K11" s="3"/>
      <c r="L11" s="3"/>
    </row>
    <row r="12" spans="1:12" x14ac:dyDescent="0.25">
      <c r="A12" s="1" t="s">
        <v>80</v>
      </c>
      <c r="B12" s="3">
        <v>2238000000</v>
      </c>
      <c r="C12" s="3">
        <v>402000000</v>
      </c>
      <c r="D12" s="3">
        <v>2205000000</v>
      </c>
      <c r="E12" s="3">
        <v>0</v>
      </c>
      <c r="F12" s="3"/>
      <c r="G12" s="3"/>
      <c r="H12" s="3"/>
      <c r="I12" s="3"/>
      <c r="J12" s="3"/>
      <c r="K12" s="3"/>
      <c r="L12" s="3"/>
    </row>
    <row r="13" spans="1:12" x14ac:dyDescent="0.25">
      <c r="A13" s="1" t="s">
        <v>81</v>
      </c>
      <c r="B13" s="3">
        <v>1963000000</v>
      </c>
      <c r="C13" s="3">
        <v>348000000</v>
      </c>
      <c r="D13" s="3">
        <v>1618000000</v>
      </c>
      <c r="E13" s="3">
        <v>0</v>
      </c>
      <c r="F13" s="3"/>
      <c r="G13" s="3"/>
      <c r="H13" s="3"/>
      <c r="I13" s="3"/>
      <c r="J13" s="3"/>
      <c r="K13" s="3"/>
      <c r="L13" s="3"/>
    </row>
    <row r="14" spans="1:12" x14ac:dyDescent="0.25">
      <c r="A14" s="1" t="s">
        <v>82</v>
      </c>
      <c r="B14" s="3">
        <v>1741000000</v>
      </c>
      <c r="C14" s="3">
        <v>301000000</v>
      </c>
      <c r="D14" s="3">
        <v>853000000</v>
      </c>
      <c r="E14" s="3">
        <v>8000000</v>
      </c>
      <c r="F14" s="3"/>
      <c r="G14" s="3"/>
      <c r="H14" s="3"/>
      <c r="I14" s="3"/>
      <c r="J14" s="3"/>
      <c r="K14" s="3"/>
      <c r="L14" s="3"/>
    </row>
    <row r="15" spans="1:12" x14ac:dyDescent="0.25">
      <c r="A15" s="1" t="s">
        <v>83</v>
      </c>
      <c r="B15" s="3">
        <v>1242000000</v>
      </c>
      <c r="C15" s="3">
        <v>313000000</v>
      </c>
      <c r="D15" s="3">
        <v>3934000000</v>
      </c>
      <c r="E15" s="3"/>
      <c r="F15" s="3">
        <v>25000000</v>
      </c>
      <c r="G15" s="3"/>
      <c r="H15" s="3"/>
      <c r="I15" s="3"/>
      <c r="J15" s="3"/>
      <c r="K15" s="3"/>
      <c r="L15" s="3"/>
    </row>
    <row r="16" spans="1:12" x14ac:dyDescent="0.25">
      <c r="A16" s="1" t="s">
        <v>84</v>
      </c>
      <c r="B16" s="3">
        <v>1451000000</v>
      </c>
      <c r="C16" s="3">
        <v>288000000</v>
      </c>
      <c r="D16" s="3">
        <v>1365000000</v>
      </c>
      <c r="E16" s="3">
        <v>0</v>
      </c>
      <c r="F16" s="3">
        <v>25000000</v>
      </c>
      <c r="G16" s="3"/>
      <c r="H16" s="3"/>
      <c r="I16" s="3"/>
      <c r="J16" s="3"/>
      <c r="K16" s="3"/>
      <c r="L16" s="3"/>
    </row>
    <row r="17" spans="1:12" x14ac:dyDescent="0.25">
      <c r="A17" s="1" t="s">
        <v>85</v>
      </c>
      <c r="B17" s="3">
        <v>1211000000</v>
      </c>
      <c r="C17" s="3">
        <v>211000000</v>
      </c>
      <c r="D17" s="3">
        <v>790000000</v>
      </c>
      <c r="E17" s="3"/>
      <c r="F17" s="3">
        <v>25000000</v>
      </c>
      <c r="G17" s="3">
        <v>4000000</v>
      </c>
      <c r="H17" s="3"/>
      <c r="I17" s="3"/>
      <c r="J17" s="3"/>
      <c r="K17" s="3"/>
      <c r="L17" s="3"/>
    </row>
    <row r="18" spans="1:12" x14ac:dyDescent="0.25">
      <c r="A18" s="1" t="s">
        <v>86</v>
      </c>
      <c r="B18" s="3"/>
      <c r="C18" s="3">
        <v>199000000</v>
      </c>
      <c r="D18" s="3"/>
      <c r="E18" s="3"/>
      <c r="F18" s="3">
        <v>25000000</v>
      </c>
      <c r="G18" s="3">
        <v>30000000</v>
      </c>
      <c r="H18" s="3">
        <v>819000000</v>
      </c>
      <c r="I18" s="3">
        <v>19000000</v>
      </c>
      <c r="J18" s="3">
        <v>2470000000</v>
      </c>
      <c r="K18" s="3">
        <v>2450000000</v>
      </c>
      <c r="L18" s="3"/>
    </row>
    <row r="19" spans="1:12" x14ac:dyDescent="0.25">
      <c r="A19" s="1" t="s">
        <v>87</v>
      </c>
      <c r="B19" s="3"/>
      <c r="C19" s="3"/>
      <c r="D19" s="3"/>
      <c r="E19" s="3"/>
      <c r="F19" s="3"/>
      <c r="G19" s="3"/>
      <c r="H19" s="3"/>
      <c r="I19" s="3">
        <v>86000000</v>
      </c>
      <c r="J19" s="3"/>
      <c r="K19" s="3">
        <v>3022000000</v>
      </c>
      <c r="L19" s="3"/>
    </row>
    <row r="20" spans="1:12" x14ac:dyDescent="0.25">
      <c r="A20" s="1" t="s">
        <v>88</v>
      </c>
      <c r="B20" s="3"/>
      <c r="C20" s="3">
        <v>218000000</v>
      </c>
      <c r="D20" s="3"/>
      <c r="E20" s="3"/>
      <c r="F20" s="3">
        <v>17000000</v>
      </c>
      <c r="G20" s="3">
        <v>38000000</v>
      </c>
      <c r="H20" s="3">
        <v>645000000</v>
      </c>
      <c r="I20" s="3">
        <v>26000000</v>
      </c>
      <c r="J20" s="3">
        <v>2895000000</v>
      </c>
      <c r="K20" s="3">
        <v>2866000000</v>
      </c>
      <c r="L20" s="3"/>
    </row>
    <row r="21" spans="1:12" x14ac:dyDescent="0.25">
      <c r="A21" s="1" t="s">
        <v>89</v>
      </c>
      <c r="B21" s="3"/>
      <c r="C21" s="3"/>
      <c r="D21" s="3"/>
      <c r="E21" s="3">
        <v>25000000</v>
      </c>
      <c r="F21" s="3"/>
      <c r="G21" s="3">
        <v>195000000</v>
      </c>
      <c r="H21" s="3">
        <v>595000000</v>
      </c>
      <c r="I21" s="3"/>
      <c r="J21" s="3"/>
      <c r="K21" s="3">
        <v>2348000000</v>
      </c>
      <c r="L21" s="3">
        <v>2971000000</v>
      </c>
    </row>
    <row r="22" spans="1:12" x14ac:dyDescent="0.25">
      <c r="A22" s="1" t="s">
        <v>90</v>
      </c>
      <c r="B22" s="3"/>
      <c r="C22" s="3"/>
      <c r="D22" s="3"/>
      <c r="E22" s="3">
        <v>32000000</v>
      </c>
      <c r="F22" s="3"/>
      <c r="G22" s="3">
        <v>145000000</v>
      </c>
      <c r="H22" s="3">
        <v>536000000</v>
      </c>
      <c r="I22" s="3"/>
      <c r="J22" s="3"/>
      <c r="K22" s="3">
        <v>2376000000</v>
      </c>
      <c r="L22" s="3">
        <v>2954000000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2"/>
  <sheetViews>
    <sheetView workbookViewId="0"/>
  </sheetViews>
  <sheetFormatPr defaultRowHeight="15" x14ac:dyDescent="0.25"/>
  <sheetData>
    <row r="1" spans="1:12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</row>
    <row r="2" spans="1:12" x14ac:dyDescent="0.25">
      <c r="A2" s="1" t="s">
        <v>70</v>
      </c>
      <c r="B2">
        <v>0.3172441022603889</v>
      </c>
      <c r="C2">
        <v>0.12673970980159899</v>
      </c>
      <c r="D2">
        <v>0.556016187938012</v>
      </c>
    </row>
    <row r="3" spans="1:12" x14ac:dyDescent="0.25">
      <c r="A3" s="1" t="s">
        <v>71</v>
      </c>
      <c r="B3">
        <v>0.31390901771336549</v>
      </c>
      <c r="C3">
        <v>0.1288244766505636</v>
      </c>
      <c r="D3">
        <v>0.55726650563607083</v>
      </c>
    </row>
    <row r="4" spans="1:12" x14ac:dyDescent="0.25">
      <c r="A4" s="1" t="s">
        <v>72</v>
      </c>
      <c r="B4">
        <v>0.31586310804993539</v>
      </c>
      <c r="C4">
        <v>0.13839862247094281</v>
      </c>
      <c r="D4">
        <v>0.54573826947912185</v>
      </c>
    </row>
    <row r="5" spans="1:12" x14ac:dyDescent="0.25">
      <c r="A5" s="1" t="s">
        <v>73</v>
      </c>
      <c r="B5">
        <v>0.33120260021668468</v>
      </c>
      <c r="C5">
        <v>0.13856988082340191</v>
      </c>
      <c r="D5">
        <v>0.53022751895991338</v>
      </c>
    </row>
    <row r="6" spans="1:12" x14ac:dyDescent="0.25">
      <c r="A6" s="1" t="s">
        <v>74</v>
      </c>
      <c r="B6">
        <v>0.35056103366201968</v>
      </c>
      <c r="C6">
        <v>0.15867618723790089</v>
      </c>
      <c r="D6">
        <v>0.49076277910007932</v>
      </c>
    </row>
    <row r="7" spans="1:12" x14ac:dyDescent="0.25">
      <c r="A7" s="1" t="s">
        <v>75</v>
      </c>
      <c r="B7">
        <v>0.34053677239456259</v>
      </c>
      <c r="C7">
        <v>0.1789241315208551</v>
      </c>
      <c r="D7">
        <v>0.48053909608458228</v>
      </c>
    </row>
    <row r="8" spans="1:12" x14ac:dyDescent="0.25">
      <c r="A8" s="1" t="s">
        <v>76</v>
      </c>
      <c r="B8">
        <v>0.33201486275919928</v>
      </c>
      <c r="C8">
        <v>0.2098765432098765</v>
      </c>
      <c r="D8">
        <v>0.45810859403092408</v>
      </c>
      <c r="E8">
        <v>0</v>
      </c>
    </row>
    <row r="9" spans="1:12" x14ac:dyDescent="0.25">
      <c r="A9" s="1" t="s">
        <v>77</v>
      </c>
      <c r="B9">
        <v>0.33296172426607212</v>
      </c>
      <c r="C9">
        <v>0.2269292704075313</v>
      </c>
      <c r="D9">
        <v>0.44010900532639657</v>
      </c>
      <c r="E9">
        <v>0</v>
      </c>
    </row>
    <row r="10" spans="1:12" x14ac:dyDescent="0.25">
      <c r="A10" s="1" t="s">
        <v>78</v>
      </c>
      <c r="B10">
        <v>0.36650131310183842</v>
      </c>
      <c r="C10">
        <v>0.26612197257076159</v>
      </c>
      <c r="D10">
        <v>0.36737671432739999</v>
      </c>
      <c r="E10">
        <v>0</v>
      </c>
    </row>
    <row r="11" spans="1:12" x14ac:dyDescent="0.25">
      <c r="A11" s="1" t="s">
        <v>79</v>
      </c>
      <c r="B11">
        <v>0.41883004499826931</v>
      </c>
      <c r="C11">
        <v>0.1870889581169955</v>
      </c>
      <c r="D11">
        <v>0.39408099688473519</v>
      </c>
      <c r="E11">
        <v>0</v>
      </c>
    </row>
    <row r="12" spans="1:12" x14ac:dyDescent="0.25">
      <c r="A12" s="1" t="s">
        <v>80</v>
      </c>
      <c r="B12">
        <v>0.46191950464396292</v>
      </c>
      <c r="C12">
        <v>8.297213622291022E-2</v>
      </c>
      <c r="D12">
        <v>0.45510835913312692</v>
      </c>
      <c r="E12">
        <v>0</v>
      </c>
    </row>
    <row r="13" spans="1:12" x14ac:dyDescent="0.25">
      <c r="A13" s="1" t="s">
        <v>81</v>
      </c>
      <c r="B13">
        <v>0.4996182234665309</v>
      </c>
      <c r="C13">
        <v>8.8572155764825661E-2</v>
      </c>
      <c r="D13">
        <v>0.41180962076864341</v>
      </c>
      <c r="E13">
        <v>0</v>
      </c>
    </row>
    <row r="14" spans="1:12" x14ac:dyDescent="0.25">
      <c r="A14" s="1" t="s">
        <v>82</v>
      </c>
      <c r="B14">
        <v>0.59972442301067863</v>
      </c>
      <c r="C14">
        <v>0.1036858422321736</v>
      </c>
      <c r="D14">
        <v>0.29383396486393393</v>
      </c>
      <c r="E14">
        <v>2.7557698932139168E-3</v>
      </c>
    </row>
    <row r="15" spans="1:12" x14ac:dyDescent="0.25">
      <c r="A15" s="1" t="s">
        <v>83</v>
      </c>
      <c r="B15">
        <v>0.22524483133841131</v>
      </c>
      <c r="C15">
        <v>5.6764599202031203E-2</v>
      </c>
      <c r="D15">
        <v>0.71345665578527384</v>
      </c>
      <c r="F15">
        <v>4.5339136742836416E-3</v>
      </c>
    </row>
    <row r="16" spans="1:12" x14ac:dyDescent="0.25">
      <c r="A16" s="1" t="s">
        <v>84</v>
      </c>
      <c r="B16">
        <v>0.4637264301693832</v>
      </c>
      <c r="C16">
        <v>9.2042186001917548E-2</v>
      </c>
      <c r="D16">
        <v>0.43624161073825501</v>
      </c>
      <c r="E16">
        <v>0</v>
      </c>
      <c r="F16">
        <v>7.9897730904442306E-3</v>
      </c>
    </row>
    <row r="17" spans="1:12" x14ac:dyDescent="0.25">
      <c r="A17" s="1" t="s">
        <v>85</v>
      </c>
      <c r="B17">
        <v>0.54038375725122711</v>
      </c>
      <c r="C17">
        <v>9.4154395359214632E-2</v>
      </c>
      <c r="D17">
        <v>0.35252119589468989</v>
      </c>
      <c r="F17">
        <v>1.115573404730031E-2</v>
      </c>
      <c r="G17">
        <v>1.7849174475680499E-3</v>
      </c>
    </row>
    <row r="18" spans="1:12" x14ac:dyDescent="0.25">
      <c r="A18" s="1" t="s">
        <v>86</v>
      </c>
      <c r="C18">
        <v>3.3100465735196268E-2</v>
      </c>
      <c r="F18">
        <v>4.1583499667332E-3</v>
      </c>
      <c r="G18">
        <v>4.9900199600798403E-3</v>
      </c>
      <c r="H18">
        <v>0.1362275449101796</v>
      </c>
      <c r="I18">
        <v>3.160345974717232E-3</v>
      </c>
      <c r="J18">
        <v>0.41084497671324022</v>
      </c>
      <c r="K18">
        <v>0.40751829673985362</v>
      </c>
    </row>
    <row r="19" spans="1:12" x14ac:dyDescent="0.25">
      <c r="A19" s="1" t="s">
        <v>87</v>
      </c>
      <c r="I19">
        <v>2.7670527670527668E-2</v>
      </c>
      <c r="K19">
        <v>0.97232947232947231</v>
      </c>
    </row>
    <row r="20" spans="1:12" x14ac:dyDescent="0.25">
      <c r="A20" s="1" t="s">
        <v>88</v>
      </c>
      <c r="C20">
        <v>3.251304996271439E-2</v>
      </c>
      <c r="F20">
        <v>2.535421327367636E-3</v>
      </c>
      <c r="G20">
        <v>5.6674123788217736E-3</v>
      </c>
      <c r="H20">
        <v>9.6196868008948541E-2</v>
      </c>
      <c r="I20">
        <v>3.877703206562267E-3</v>
      </c>
      <c r="J20">
        <v>0.43176733780760629</v>
      </c>
      <c r="K20">
        <v>0.42744220730797911</v>
      </c>
    </row>
    <row r="21" spans="1:12" x14ac:dyDescent="0.25">
      <c r="A21" s="1" t="s">
        <v>89</v>
      </c>
      <c r="E21">
        <v>4.0756439517443746E-3</v>
      </c>
      <c r="G21">
        <v>3.1790022823606129E-2</v>
      </c>
      <c r="H21">
        <v>9.7000326051516136E-2</v>
      </c>
      <c r="K21">
        <v>0.38278447994783182</v>
      </c>
      <c r="L21">
        <v>0.48434952722530161</v>
      </c>
    </row>
    <row r="22" spans="1:12" x14ac:dyDescent="0.25">
      <c r="A22" s="1" t="s">
        <v>90</v>
      </c>
      <c r="E22">
        <v>5.295383087870263E-3</v>
      </c>
      <c r="G22">
        <v>2.3994704616912131E-2</v>
      </c>
      <c r="H22">
        <v>8.8697666721826912E-2</v>
      </c>
      <c r="K22">
        <v>0.39318219427436701</v>
      </c>
      <c r="L22">
        <v>0.48883005129902368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2"/>
  <sheetViews>
    <sheetView workbookViewId="0"/>
  </sheetViews>
  <sheetFormatPr defaultRowHeight="15" x14ac:dyDescent="0.25"/>
  <sheetData>
    <row r="1" spans="1:12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</row>
    <row r="2" spans="1:12" x14ac:dyDescent="0.25">
      <c r="A2" s="1" t="s">
        <v>70</v>
      </c>
      <c r="B2">
        <v>3.9120594891690841E-2</v>
      </c>
      <c r="C2">
        <v>-8.2857142857142851E-2</v>
      </c>
      <c r="D2">
        <v>0.30092378752886839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 t="s">
        <v>71</v>
      </c>
      <c r="B3">
        <v>6.4141931081542092E-2</v>
      </c>
      <c r="C3">
        <v>-0.1688311688311688</v>
      </c>
      <c r="D3">
        <v>0.33873307543520309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 t="s">
        <v>72</v>
      </c>
      <c r="B4">
        <v>5.9566787003610067E-2</v>
      </c>
      <c r="C4">
        <v>-0.26556253569388921</v>
      </c>
      <c r="D4">
        <v>0.32679225536368389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 t="s">
        <v>73</v>
      </c>
      <c r="B5">
        <v>0.13727678571428581</v>
      </c>
      <c r="C5">
        <v>-0.30185589519650657</v>
      </c>
      <c r="D5">
        <v>0.37742752603433721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74</v>
      </c>
      <c r="B6">
        <v>0.2312898089171975</v>
      </c>
      <c r="C6">
        <v>-0.23245614035087711</v>
      </c>
      <c r="D6">
        <v>0.71961874503574275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 t="s">
        <v>75</v>
      </c>
      <c r="B7">
        <v>0.21115702479338849</v>
      </c>
      <c r="C7">
        <v>0.42460684551341349</v>
      </c>
      <c r="D7">
        <v>0.81642512077294693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" t="s">
        <v>76</v>
      </c>
      <c r="B8">
        <v>0.23771224307417341</v>
      </c>
      <c r="C8">
        <v>3.355721393034826</v>
      </c>
      <c r="D8">
        <v>0.73333333333333339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 t="s">
        <v>77</v>
      </c>
      <c r="B9">
        <v>0.36933265410086608</v>
      </c>
      <c r="C9">
        <v>4.264367816091954</v>
      </c>
      <c r="D9">
        <v>1.195920889987639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 t="s">
        <v>78</v>
      </c>
      <c r="B10">
        <v>0.44284893739230319</v>
      </c>
      <c r="C10">
        <v>5.059800664451827</v>
      </c>
      <c r="D10">
        <v>1.951934349355217</v>
      </c>
      <c r="E10">
        <v>-1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 t="s">
        <v>79</v>
      </c>
      <c r="B11">
        <v>0.94847020933977455</v>
      </c>
      <c r="C11">
        <v>2.4536741214057511</v>
      </c>
      <c r="D11">
        <v>-0.42119979664463653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" t="s">
        <v>80</v>
      </c>
      <c r="B12">
        <v>0.54238456237077881</v>
      </c>
      <c r="C12">
        <v>0.39583333333333331</v>
      </c>
      <c r="D12">
        <v>0.61538461538461542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 t="s">
        <v>81</v>
      </c>
      <c r="B13">
        <v>0.62097440132122217</v>
      </c>
      <c r="C13">
        <v>0.64928909952606628</v>
      </c>
      <c r="D13">
        <v>1.0481012658227851</v>
      </c>
      <c r="E13">
        <v>-1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 t="s">
        <v>82</v>
      </c>
      <c r="C14">
        <v>0.51256281407035176</v>
      </c>
      <c r="E14">
        <v>-0.67999999999999994</v>
      </c>
      <c r="F14">
        <v>0</v>
      </c>
      <c r="G14">
        <v>-0.8666666666666667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1" t="s">
        <v>83</v>
      </c>
      <c r="C15">
        <v>0.43577981651376141</v>
      </c>
      <c r="E15">
        <v>-1</v>
      </c>
      <c r="F15">
        <v>0.47058823529411781</v>
      </c>
      <c r="G15">
        <v>-0.89473684210526316</v>
      </c>
      <c r="H15">
        <v>0.2697674418604652</v>
      </c>
      <c r="I15">
        <v>-0.77906976744186052</v>
      </c>
      <c r="J15">
        <v>-0.14680483592400689</v>
      </c>
      <c r="K15">
        <v>-0.18927862342819321</v>
      </c>
      <c r="L15">
        <v>0</v>
      </c>
    </row>
    <row r="16" spans="1:12" x14ac:dyDescent="0.25">
      <c r="A16" s="1" t="s">
        <v>84</v>
      </c>
      <c r="C16">
        <v>0.32110091743119268</v>
      </c>
      <c r="E16">
        <v>-1</v>
      </c>
      <c r="F16">
        <v>0.47058823529411781</v>
      </c>
      <c r="G16">
        <v>-0.89473684210526316</v>
      </c>
      <c r="H16">
        <v>0.2697674418604652</v>
      </c>
      <c r="I16">
        <v>-0.26923076923076927</v>
      </c>
      <c r="J16">
        <v>-0.14680483592400689</v>
      </c>
      <c r="K16">
        <v>-0.14515003489183531</v>
      </c>
      <c r="L16">
        <v>0</v>
      </c>
    </row>
    <row r="17" spans="1:12" x14ac:dyDescent="0.25">
      <c r="A17" s="1" t="s">
        <v>85</v>
      </c>
      <c r="E17">
        <v>0</v>
      </c>
      <c r="G17">
        <v>-0.97948717948717945</v>
      </c>
      <c r="H17">
        <v>0.37647058823529411</v>
      </c>
      <c r="K17">
        <v>4.3441226575809289E-2</v>
      </c>
      <c r="L17">
        <v>0</v>
      </c>
    </row>
    <row r="18" spans="1:12" x14ac:dyDescent="0.25">
      <c r="A18" s="1" t="s">
        <v>86</v>
      </c>
      <c r="E18">
        <v>-0.21875</v>
      </c>
      <c r="G18">
        <v>-0.7931034482758621</v>
      </c>
      <c r="H18">
        <v>0.52798507462686572</v>
      </c>
      <c r="K18">
        <v>3.1144781144781138E-2</v>
      </c>
      <c r="L18">
        <v>5.7549085985104664E-3</v>
      </c>
    </row>
    <row r="19" spans="1:12" x14ac:dyDescent="0.25">
      <c r="A19" s="1" t="s">
        <v>87</v>
      </c>
    </row>
    <row r="20" spans="1:12" x14ac:dyDescent="0.25">
      <c r="A20" s="1" t="s">
        <v>88</v>
      </c>
    </row>
    <row r="21" spans="1:12" x14ac:dyDescent="0.25">
      <c r="A21" s="1" t="s">
        <v>89</v>
      </c>
    </row>
    <row r="22" spans="1:12" x14ac:dyDescent="0.25">
      <c r="A22" s="1" t="s">
        <v>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2"/>
  <sheetViews>
    <sheetView workbookViewId="0"/>
  </sheetViews>
  <sheetFormatPr defaultRowHeight="15" x14ac:dyDescent="0.25"/>
  <sheetData>
    <row r="1" spans="1:12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</row>
    <row r="2" spans="1:12" x14ac:dyDescent="0.25">
      <c r="A2" s="1" t="s">
        <v>70</v>
      </c>
      <c r="B2">
        <v>3.0458480282141709E-2</v>
      </c>
      <c r="C2">
        <v>3.125000000000044E-3</v>
      </c>
      <c r="D2">
        <v>1.733790861477336E-2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 t="s">
        <v>71</v>
      </c>
      <c r="B3">
        <v>6.2691652470187487E-2</v>
      </c>
      <c r="C3">
        <v>-4.6656298600310508E-3</v>
      </c>
      <c r="D3">
        <v>9.1895089725892332E-2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 t="s">
        <v>72</v>
      </c>
      <c r="B4">
        <v>-3.9908406934903502E-2</v>
      </c>
      <c r="C4">
        <v>5.4730258014072941E-3</v>
      </c>
      <c r="D4">
        <v>3.6166734777278282E-2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 t="s">
        <v>73</v>
      </c>
      <c r="B5">
        <v>-1.1639185257032E-2</v>
      </c>
      <c r="C5">
        <v>-8.642857142857141E-2</v>
      </c>
      <c r="D5">
        <v>0.13025404157043871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 t="s">
        <v>74</v>
      </c>
      <c r="B6">
        <v>5.527123848515858E-2</v>
      </c>
      <c r="C6">
        <v>-9.0909090909090939E-2</v>
      </c>
      <c r="D6">
        <v>4.6905222437137351E-2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 t="s">
        <v>75</v>
      </c>
      <c r="B7">
        <v>5.8122743682310407E-2</v>
      </c>
      <c r="C7">
        <v>-0.1205025699600228</v>
      </c>
      <c r="D7">
        <v>8.2155939298796499E-2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1" t="s">
        <v>76</v>
      </c>
      <c r="B8">
        <v>3.0505952380952332E-2</v>
      </c>
      <c r="C8">
        <v>-4.4213973799126623E-2</v>
      </c>
      <c r="D8">
        <v>7.5710667041936297E-2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1" t="s">
        <v>77</v>
      </c>
      <c r="B9">
        <v>7.0063694267515908E-2</v>
      </c>
      <c r="C9">
        <v>4.3859649122806044E-3</v>
      </c>
      <c r="D9">
        <v>0.41104050833995243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 t="s">
        <v>78</v>
      </c>
      <c r="B10">
        <v>3.8016528925619797E-2</v>
      </c>
      <c r="C10">
        <v>0.68732654949121175</v>
      </c>
      <c r="D10">
        <v>0.10584101888449721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1" t="s">
        <v>79</v>
      </c>
      <c r="B11">
        <v>8.1322609472743501E-2</v>
      </c>
      <c r="C11">
        <v>1.689054726368159</v>
      </c>
      <c r="D11">
        <v>3.2653061224489743E-2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1" t="s">
        <v>80</v>
      </c>
      <c r="B12">
        <v>0.14009169638308719</v>
      </c>
      <c r="C12">
        <v>0.1551724137931034</v>
      </c>
      <c r="D12">
        <v>0.36279357231149573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 t="s">
        <v>81</v>
      </c>
      <c r="B13">
        <v>0.12751292360712241</v>
      </c>
      <c r="C13">
        <v>0.15614617940199341</v>
      </c>
      <c r="D13">
        <v>0.89683470105509966</v>
      </c>
      <c r="E13">
        <v>-1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 t="s">
        <v>82</v>
      </c>
      <c r="B14">
        <v>0.40177133655394531</v>
      </c>
      <c r="C14">
        <v>-3.833865814696491E-2</v>
      </c>
      <c r="D14">
        <v>-0.78317234367056432</v>
      </c>
      <c r="E14" t="s">
        <v>96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1" t="s">
        <v>83</v>
      </c>
      <c r="B15">
        <v>-0.14403859407305311</v>
      </c>
      <c r="C15">
        <v>8.680555555555558E-2</v>
      </c>
      <c r="D15">
        <v>1.882051282051282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 t="s">
        <v>84</v>
      </c>
      <c r="B16">
        <v>0.19818331957060289</v>
      </c>
      <c r="C16">
        <v>0.36492890995260668</v>
      </c>
      <c r="D16">
        <v>0.72784810126582289</v>
      </c>
      <c r="E16">
        <v>-1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 t="s">
        <v>85</v>
      </c>
      <c r="C17">
        <v>6.0301507537688481E-2</v>
      </c>
      <c r="E17">
        <v>0</v>
      </c>
      <c r="F17">
        <v>0</v>
      </c>
      <c r="G17">
        <v>-0.8666666666666667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 t="s">
        <v>86</v>
      </c>
      <c r="C18">
        <v>-8.7155963302752326E-2</v>
      </c>
      <c r="E18">
        <v>0</v>
      </c>
      <c r="F18">
        <v>0.47058823529411781</v>
      </c>
      <c r="G18">
        <v>-0.2105263157894737</v>
      </c>
      <c r="H18">
        <v>0.2697674418604652</v>
      </c>
      <c r="I18">
        <v>-0.77906976744186052</v>
      </c>
      <c r="J18">
        <v>-0.14680483592400689</v>
      </c>
      <c r="K18">
        <v>-0.18927862342819321</v>
      </c>
      <c r="L18">
        <v>0</v>
      </c>
    </row>
    <row r="19" spans="1:12" x14ac:dyDescent="0.25">
      <c r="A19" s="1" t="s">
        <v>87</v>
      </c>
      <c r="C19">
        <v>0</v>
      </c>
      <c r="E19">
        <v>0</v>
      </c>
      <c r="F19">
        <v>0</v>
      </c>
      <c r="G19">
        <v>0</v>
      </c>
      <c r="H19">
        <v>0</v>
      </c>
      <c r="I19">
        <v>2.307692307692307</v>
      </c>
      <c r="J19">
        <v>0</v>
      </c>
      <c r="K19">
        <v>5.4431263084438131E-2</v>
      </c>
      <c r="L19">
        <v>0</v>
      </c>
    </row>
    <row r="20" spans="1:12" x14ac:dyDescent="0.25">
      <c r="A20" s="1" t="s">
        <v>88</v>
      </c>
      <c r="E20">
        <v>0</v>
      </c>
      <c r="G20">
        <v>-0.80512820512820515</v>
      </c>
      <c r="H20">
        <v>8.4033613445378075E-2</v>
      </c>
      <c r="K20">
        <v>0.22061328790459969</v>
      </c>
      <c r="L20">
        <v>0</v>
      </c>
    </row>
    <row r="21" spans="1:12" x14ac:dyDescent="0.25">
      <c r="A21" s="1" t="s">
        <v>89</v>
      </c>
      <c r="E21">
        <v>-0.21875</v>
      </c>
      <c r="G21">
        <v>0.34482758620689657</v>
      </c>
      <c r="H21">
        <v>0.1100746268656716</v>
      </c>
      <c r="K21">
        <v>-1.178451178451179E-2</v>
      </c>
      <c r="L21">
        <v>5.7549085985104664E-3</v>
      </c>
    </row>
    <row r="22" spans="1:12" x14ac:dyDescent="0.25">
      <c r="A22" s="1" t="s">
        <v>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2"/>
  <sheetViews>
    <sheetView workbookViewId="0"/>
  </sheetViews>
  <sheetFormatPr defaultRowHeight="15" x14ac:dyDescent="0.25"/>
  <cols>
    <col min="1" max="1" width="10.42578125" bestFit="1" customWidth="1"/>
    <col min="2" max="3" width="11" bestFit="1" customWidth="1"/>
    <col min="4" max="4" width="13.140625" bestFit="1" customWidth="1"/>
    <col min="5" max="5" width="24.28515625" bestFit="1" customWidth="1"/>
  </cols>
  <sheetData>
    <row r="1" spans="1:5" x14ac:dyDescent="0.25">
      <c r="A1" s="1" t="s">
        <v>159</v>
      </c>
      <c r="B1" s="1" t="s">
        <v>171</v>
      </c>
      <c r="C1" s="1" t="s">
        <v>172</v>
      </c>
      <c r="D1" s="1" t="s">
        <v>173</v>
      </c>
      <c r="E1" s="1" t="s">
        <v>174</v>
      </c>
    </row>
    <row r="2" spans="1:5" x14ac:dyDescent="0.25">
      <c r="A2" s="1" t="s">
        <v>70</v>
      </c>
      <c r="B2">
        <v>1192000000</v>
      </c>
      <c r="C2">
        <v>2756000000</v>
      </c>
      <c r="D2">
        <v>710000000</v>
      </c>
      <c r="E2">
        <v>5473000000</v>
      </c>
    </row>
    <row r="3" spans="1:5" x14ac:dyDescent="0.25">
      <c r="A3" s="1" t="s">
        <v>71</v>
      </c>
      <c r="B3">
        <v>1185000000</v>
      </c>
      <c r="C3">
        <v>2838000000</v>
      </c>
      <c r="D3">
        <v>678000000</v>
      </c>
      <c r="E3">
        <v>5235000000</v>
      </c>
    </row>
    <row r="4" spans="1:5" x14ac:dyDescent="0.25">
      <c r="A4" s="1" t="s">
        <v>72</v>
      </c>
      <c r="B4">
        <v>1150000000</v>
      </c>
      <c r="C4">
        <v>2560000000</v>
      </c>
      <c r="D4">
        <v>642000000</v>
      </c>
      <c r="E4">
        <v>4940000000</v>
      </c>
    </row>
    <row r="5" spans="1:5" x14ac:dyDescent="0.25">
      <c r="A5" s="1" t="s">
        <v>73</v>
      </c>
      <c r="B5">
        <v>1062000000</v>
      </c>
      <c r="C5">
        <v>2412000000</v>
      </c>
      <c r="D5">
        <v>627000000</v>
      </c>
      <c r="E5">
        <v>5129000000</v>
      </c>
    </row>
    <row r="6" spans="1:5" x14ac:dyDescent="0.25">
      <c r="A6" s="1" t="s">
        <v>74</v>
      </c>
      <c r="B6">
        <v>1032000000</v>
      </c>
      <c r="C6">
        <v>2094000000</v>
      </c>
      <c r="D6">
        <v>565000000</v>
      </c>
      <c r="E6">
        <v>5132000000</v>
      </c>
    </row>
    <row r="7" spans="1:5" x14ac:dyDescent="0.25">
      <c r="A7" s="1" t="s">
        <v>75</v>
      </c>
      <c r="B7">
        <v>991000000</v>
      </c>
      <c r="C7">
        <v>2093000000</v>
      </c>
      <c r="D7">
        <v>547000000</v>
      </c>
      <c r="E7">
        <v>4976000000</v>
      </c>
    </row>
    <row r="8" spans="1:5" x14ac:dyDescent="0.25">
      <c r="A8" s="1" t="s">
        <v>76</v>
      </c>
      <c r="B8">
        <v>947000000</v>
      </c>
      <c r="C8">
        <v>1878000000</v>
      </c>
      <c r="D8">
        <v>518000000</v>
      </c>
      <c r="E8">
        <v>5000000000</v>
      </c>
    </row>
    <row r="9" spans="1:5" x14ac:dyDescent="0.25">
      <c r="A9" s="1" t="s">
        <v>77</v>
      </c>
      <c r="B9">
        <v>810000000</v>
      </c>
      <c r="C9">
        <v>1846000000</v>
      </c>
      <c r="D9">
        <v>481000000</v>
      </c>
      <c r="E9">
        <v>4936000000</v>
      </c>
    </row>
    <row r="10" spans="1:5" x14ac:dyDescent="0.25">
      <c r="A10" s="1" t="s">
        <v>78</v>
      </c>
      <c r="B10">
        <v>733000000</v>
      </c>
      <c r="C10">
        <v>1127000000</v>
      </c>
      <c r="D10">
        <v>432000000</v>
      </c>
      <c r="E10">
        <v>4562000000</v>
      </c>
    </row>
    <row r="11" spans="1:5" x14ac:dyDescent="0.25">
      <c r="A11" s="1" t="s">
        <v>79</v>
      </c>
      <c r="B11">
        <v>752000000</v>
      </c>
      <c r="C11">
        <v>995000000</v>
      </c>
      <c r="D11">
        <v>418000000</v>
      </c>
      <c r="E11">
        <v>3613000000</v>
      </c>
    </row>
    <row r="12" spans="1:5" x14ac:dyDescent="0.25">
      <c r="A12" s="1" t="s">
        <v>80</v>
      </c>
      <c r="B12">
        <v>743000000</v>
      </c>
      <c r="C12">
        <v>1064000000</v>
      </c>
      <c r="D12">
        <v>390000000</v>
      </c>
      <c r="E12">
        <v>2648000000</v>
      </c>
    </row>
    <row r="13" spans="1:5" x14ac:dyDescent="0.25">
      <c r="A13" s="1" t="s">
        <v>81</v>
      </c>
      <c r="B13">
        <v>709000000</v>
      </c>
      <c r="C13">
        <v>929000000</v>
      </c>
      <c r="D13">
        <v>307000000</v>
      </c>
      <c r="E13">
        <v>1984000000</v>
      </c>
    </row>
    <row r="14" spans="1:5" x14ac:dyDescent="0.25">
      <c r="A14" s="1" t="s">
        <v>82</v>
      </c>
      <c r="B14">
        <v>527000000</v>
      </c>
      <c r="C14">
        <v>225000000</v>
      </c>
      <c r="D14">
        <v>302000000</v>
      </c>
      <c r="E14">
        <v>1849000000</v>
      </c>
    </row>
    <row r="15" spans="1:5" x14ac:dyDescent="0.25">
      <c r="A15" s="1" t="s">
        <v>83</v>
      </c>
      <c r="B15">
        <v>0</v>
      </c>
      <c r="C15">
        <v>492000000</v>
      </c>
      <c r="D15">
        <v>246000000</v>
      </c>
      <c r="E15">
        <v>1545000000</v>
      </c>
    </row>
    <row r="16" spans="1:5" x14ac:dyDescent="0.25">
      <c r="A16" s="1" t="s">
        <v>84</v>
      </c>
      <c r="B16">
        <v>494000000</v>
      </c>
      <c r="C16">
        <v>641000000</v>
      </c>
      <c r="D16">
        <v>320000000</v>
      </c>
      <c r="E16">
        <v>1674000000</v>
      </c>
    </row>
    <row r="17" spans="1:5" x14ac:dyDescent="0.25">
      <c r="A17" s="1" t="s">
        <v>85</v>
      </c>
      <c r="B17">
        <v>358000000</v>
      </c>
      <c r="C17">
        <v>401000000</v>
      </c>
      <c r="D17">
        <v>232000000</v>
      </c>
      <c r="E17">
        <v>1250000000</v>
      </c>
    </row>
    <row r="18" spans="1:5" x14ac:dyDescent="0.25">
      <c r="A18" s="1" t="s">
        <v>86</v>
      </c>
      <c r="B18">
        <v>352000000</v>
      </c>
      <c r="C18">
        <v>552000000</v>
      </c>
      <c r="D18">
        <v>497000000</v>
      </c>
      <c r="E18">
        <v>2142000000</v>
      </c>
    </row>
    <row r="19" spans="1:5" x14ac:dyDescent="0.25">
      <c r="A19" s="1" t="s">
        <v>87</v>
      </c>
      <c r="B19">
        <v>902000000</v>
      </c>
      <c r="C19">
        <v>1614000000</v>
      </c>
      <c r="D19">
        <v>1023000000</v>
      </c>
      <c r="E19">
        <v>2788000000</v>
      </c>
    </row>
    <row r="20" spans="1:5" x14ac:dyDescent="0.25">
      <c r="A20" s="1" t="s">
        <v>88</v>
      </c>
      <c r="B20">
        <v>345000000</v>
      </c>
      <c r="C20">
        <v>534000000</v>
      </c>
      <c r="D20">
        <v>527000000</v>
      </c>
      <c r="E20">
        <v>2407000000</v>
      </c>
    </row>
    <row r="21" spans="1:5" x14ac:dyDescent="0.25">
      <c r="A21" s="1" t="s">
        <v>89</v>
      </c>
      <c r="D21">
        <v>188000000</v>
      </c>
      <c r="E21">
        <v>1853000000</v>
      </c>
    </row>
    <row r="22" spans="1:5" x14ac:dyDescent="0.25">
      <c r="A22" s="1" t="s">
        <v>90</v>
      </c>
      <c r="D22">
        <v>209000000</v>
      </c>
      <c r="E22">
        <v>1757000000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2"/>
  <sheetViews>
    <sheetView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7.140625" bestFit="1" customWidth="1"/>
    <col min="4" max="4" width="13.140625" bestFit="1" customWidth="1"/>
    <col min="5" max="5" width="24.28515625" bestFit="1" customWidth="1"/>
  </cols>
  <sheetData>
    <row r="1" spans="1:5" x14ac:dyDescent="0.25">
      <c r="A1" s="1" t="s">
        <v>159</v>
      </c>
      <c r="B1" s="1" t="s">
        <v>171</v>
      </c>
      <c r="C1" s="1" t="s">
        <v>172</v>
      </c>
      <c r="D1" s="1" t="s">
        <v>173</v>
      </c>
      <c r="E1" s="1" t="s">
        <v>174</v>
      </c>
    </row>
    <row r="2" spans="1:5" x14ac:dyDescent="0.25">
      <c r="A2" s="1" t="s">
        <v>70</v>
      </c>
      <c r="B2" s="5">
        <v>0.11765867140459969</v>
      </c>
      <c r="C2" s="5">
        <v>0.27203632415358803</v>
      </c>
      <c r="D2" s="5">
        <v>7.0081926759451185E-2</v>
      </c>
      <c r="E2" s="5">
        <v>0.54022307768236111</v>
      </c>
    </row>
    <row r="3" spans="1:5" x14ac:dyDescent="0.25">
      <c r="A3" s="1" t="s">
        <v>71</v>
      </c>
      <c r="B3" s="5">
        <v>0.11926328502415461</v>
      </c>
      <c r="C3" s="5">
        <v>0.28562801932367149</v>
      </c>
      <c r="D3" s="5">
        <v>6.8236714975845408E-2</v>
      </c>
      <c r="E3" s="5">
        <v>0.52687198067632846</v>
      </c>
    </row>
    <row r="4" spans="1:5" x14ac:dyDescent="0.25">
      <c r="A4" s="1" t="s">
        <v>72</v>
      </c>
      <c r="B4" s="5">
        <v>0.1237623762376238</v>
      </c>
      <c r="C4" s="5">
        <v>0.27550581145071029</v>
      </c>
      <c r="D4" s="5">
        <v>6.9091691777873443E-2</v>
      </c>
      <c r="E4" s="5">
        <v>0.5316401205337925</v>
      </c>
    </row>
    <row r="5" spans="1:5" x14ac:dyDescent="0.25">
      <c r="A5" s="1" t="s">
        <v>73</v>
      </c>
      <c r="B5" s="5">
        <v>0.11505958829902491</v>
      </c>
      <c r="C5" s="5">
        <v>0.26132177681473462</v>
      </c>
      <c r="D5" s="5">
        <v>6.7930660888407365E-2</v>
      </c>
      <c r="E5" s="5">
        <v>0.55568797399783321</v>
      </c>
    </row>
    <row r="6" spans="1:5" x14ac:dyDescent="0.25">
      <c r="A6" s="1" t="s">
        <v>74</v>
      </c>
      <c r="B6" s="5">
        <v>0.1169670180210813</v>
      </c>
      <c r="C6" s="5">
        <v>0.23733424005440329</v>
      </c>
      <c r="D6" s="5">
        <v>6.4037175563867163E-2</v>
      </c>
      <c r="E6" s="5">
        <v>0.58166156636064825</v>
      </c>
    </row>
    <row r="7" spans="1:5" x14ac:dyDescent="0.25">
      <c r="A7" s="1" t="s">
        <v>75</v>
      </c>
      <c r="B7" s="5">
        <v>0.1151388404786801</v>
      </c>
      <c r="C7" s="5">
        <v>0.24317416056698041</v>
      </c>
      <c r="D7" s="5">
        <v>6.3552922040199841E-2</v>
      </c>
      <c r="E7" s="5">
        <v>0.57813407691413965</v>
      </c>
    </row>
    <row r="8" spans="1:5" x14ac:dyDescent="0.25">
      <c r="A8" s="1" t="s">
        <v>76</v>
      </c>
      <c r="B8" s="5">
        <v>0.11350833033680929</v>
      </c>
      <c r="C8" s="5">
        <v>0.22509888529305999</v>
      </c>
      <c r="D8" s="5">
        <v>6.2087977945583121E-2</v>
      </c>
      <c r="E8" s="5">
        <v>0.59930480642454753</v>
      </c>
    </row>
    <row r="9" spans="1:5" x14ac:dyDescent="0.25">
      <c r="A9" s="1" t="s">
        <v>77</v>
      </c>
      <c r="B9" s="5">
        <v>0.10033444816053511</v>
      </c>
      <c r="C9" s="5">
        <v>0.22866344605475039</v>
      </c>
      <c r="D9" s="5">
        <v>5.9581320450885669E-2</v>
      </c>
      <c r="E9" s="5">
        <v>0.61142078533382882</v>
      </c>
    </row>
    <row r="10" spans="1:5" x14ac:dyDescent="0.25">
      <c r="A10" s="1" t="s">
        <v>78</v>
      </c>
      <c r="B10" s="5">
        <v>0.1069448497227896</v>
      </c>
      <c r="C10" s="5">
        <v>0.16442953020134229</v>
      </c>
      <c r="D10" s="5">
        <v>6.3028888240443531E-2</v>
      </c>
      <c r="E10" s="5">
        <v>0.66559673183542456</v>
      </c>
    </row>
    <row r="11" spans="1:5" x14ac:dyDescent="0.25">
      <c r="A11" s="1" t="s">
        <v>79</v>
      </c>
      <c r="B11" s="5">
        <v>0.13014884042921429</v>
      </c>
      <c r="C11" s="5">
        <v>0.17220491519556941</v>
      </c>
      <c r="D11" s="5">
        <v>7.2343371408791976E-2</v>
      </c>
      <c r="E11" s="5">
        <v>0.62530287296642439</v>
      </c>
    </row>
    <row r="12" spans="1:5" x14ac:dyDescent="0.25">
      <c r="A12" s="1" t="s">
        <v>80</v>
      </c>
      <c r="B12" s="5">
        <v>0.15335397316821461</v>
      </c>
      <c r="C12" s="5">
        <v>0.2196078431372549</v>
      </c>
      <c r="D12" s="5">
        <v>8.0495356037151702E-2</v>
      </c>
      <c r="E12" s="5">
        <v>0.54654282765737872</v>
      </c>
    </row>
    <row r="13" spans="1:5" x14ac:dyDescent="0.25">
      <c r="A13" s="1" t="s">
        <v>81</v>
      </c>
      <c r="B13" s="5">
        <v>0.1804530414863833</v>
      </c>
      <c r="C13" s="5">
        <v>0.2364469330618478</v>
      </c>
      <c r="D13" s="5">
        <v>7.8136930516670908E-2</v>
      </c>
      <c r="E13" s="5">
        <v>0.50496309493509794</v>
      </c>
    </row>
    <row r="14" spans="1:5" x14ac:dyDescent="0.25">
      <c r="A14" s="1" t="s">
        <v>82</v>
      </c>
      <c r="B14" s="5">
        <v>0.18153634171546679</v>
      </c>
      <c r="C14" s="5">
        <v>7.7506028246641406E-2</v>
      </c>
      <c r="D14" s="5">
        <v>0.10403031346882539</v>
      </c>
      <c r="E14" s="5">
        <v>0.63692731656906654</v>
      </c>
    </row>
    <row r="15" spans="1:5" x14ac:dyDescent="0.25">
      <c r="A15" s="1" t="s">
        <v>83</v>
      </c>
      <c r="B15" s="5">
        <v>0</v>
      </c>
      <c r="C15" s="5">
        <v>0.21550591327201049</v>
      </c>
      <c r="D15" s="5">
        <v>0.1077529566360053</v>
      </c>
      <c r="E15" s="5">
        <v>0.67674113009198422</v>
      </c>
    </row>
    <row r="16" spans="1:5" x14ac:dyDescent="0.25">
      <c r="A16" s="1" t="s">
        <v>84</v>
      </c>
      <c r="B16" s="5">
        <v>0.15787791626717801</v>
      </c>
      <c r="C16" s="5">
        <v>0.2048577820389901</v>
      </c>
      <c r="D16" s="5">
        <v>0.10226909555768619</v>
      </c>
      <c r="E16" s="5">
        <v>0.53499520613614571</v>
      </c>
    </row>
    <row r="17" spans="1:5" x14ac:dyDescent="0.25">
      <c r="A17" s="1" t="s">
        <v>85</v>
      </c>
      <c r="B17" s="5">
        <v>0.15975011155734051</v>
      </c>
      <c r="C17" s="5">
        <v>0.178937974118697</v>
      </c>
      <c r="D17" s="5">
        <v>0.1035252119589469</v>
      </c>
      <c r="E17" s="5">
        <v>0.5577867023650156</v>
      </c>
    </row>
    <row r="18" spans="1:5" x14ac:dyDescent="0.25">
      <c r="A18" s="1" t="s">
        <v>86</v>
      </c>
      <c r="B18" s="5">
        <v>9.9350832627716629E-2</v>
      </c>
      <c r="C18" s="5">
        <v>0.15580016934801019</v>
      </c>
      <c r="D18" s="5">
        <v>0.1402766017499294</v>
      </c>
      <c r="E18" s="5">
        <v>0.60457239627434378</v>
      </c>
    </row>
    <row r="19" spans="1:5" x14ac:dyDescent="0.25">
      <c r="A19" s="1" t="s">
        <v>87</v>
      </c>
      <c r="B19" s="5">
        <v>0.14256361624782679</v>
      </c>
      <c r="C19" s="5">
        <v>0.25509720246562351</v>
      </c>
      <c r="D19" s="5">
        <v>0.16168800379326689</v>
      </c>
      <c r="E19" s="5">
        <v>0.44065117749328281</v>
      </c>
    </row>
    <row r="20" spans="1:5" x14ac:dyDescent="0.25">
      <c r="A20" s="1" t="s">
        <v>88</v>
      </c>
      <c r="B20" s="5">
        <v>9.0479937057435095E-2</v>
      </c>
      <c r="C20" s="5">
        <v>0.14004720692368211</v>
      </c>
      <c r="D20" s="5">
        <v>0.13821138211382111</v>
      </c>
      <c r="E20" s="5">
        <v>0.6312614739050616</v>
      </c>
    </row>
    <row r="21" spans="1:5" x14ac:dyDescent="0.25">
      <c r="A21" s="1" t="s">
        <v>89</v>
      </c>
      <c r="B21" s="5"/>
      <c r="C21" s="5"/>
      <c r="D21" s="5">
        <v>9.2111709946104847E-2</v>
      </c>
      <c r="E21" s="5">
        <v>0.90788829005389515</v>
      </c>
    </row>
    <row r="22" spans="1:5" x14ac:dyDescent="0.25">
      <c r="A22" s="1" t="s">
        <v>90</v>
      </c>
      <c r="B22" s="5"/>
      <c r="C22" s="5"/>
      <c r="D22" s="5">
        <v>0.10630722278738559</v>
      </c>
      <c r="E22" s="5">
        <v>0.89369277721261442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2"/>
  <sheetViews>
    <sheetView workbookViewId="0"/>
  </sheetViews>
  <sheetFormatPr defaultRowHeight="15" x14ac:dyDescent="0.25"/>
  <sheetData>
    <row r="1" spans="1:5" x14ac:dyDescent="0.25">
      <c r="A1" s="1" t="s">
        <v>159</v>
      </c>
      <c r="B1" s="1" t="s">
        <v>171</v>
      </c>
      <c r="C1" s="1" t="s">
        <v>172</v>
      </c>
      <c r="D1" s="1" t="s">
        <v>173</v>
      </c>
      <c r="E1" s="1" t="s">
        <v>174</v>
      </c>
    </row>
    <row r="2" spans="1:5" x14ac:dyDescent="0.25">
      <c r="A2" s="1" t="s">
        <v>70</v>
      </c>
      <c r="B2">
        <v>0.15503875968992251</v>
      </c>
      <c r="C2">
        <v>0.3161413562559694</v>
      </c>
      <c r="D2">
        <v>0.25663716814159288</v>
      </c>
      <c r="E2">
        <v>6.6445830085736457E-2</v>
      </c>
    </row>
    <row r="3" spans="1:5" x14ac:dyDescent="0.25">
      <c r="A3" s="1" t="s">
        <v>71</v>
      </c>
      <c r="B3">
        <v>0.19576185671039359</v>
      </c>
      <c r="C3">
        <v>0.35594839942666029</v>
      </c>
      <c r="D3">
        <v>0.23948811700182809</v>
      </c>
      <c r="E3">
        <v>5.2049839228295758E-2</v>
      </c>
    </row>
    <row r="4" spans="1:5" x14ac:dyDescent="0.25">
      <c r="A4" s="1" t="s">
        <v>72</v>
      </c>
      <c r="B4">
        <v>0.21436114044350571</v>
      </c>
      <c r="C4">
        <v>0.36315228966986163</v>
      </c>
      <c r="D4">
        <v>0.23938223938223929</v>
      </c>
      <c r="E4">
        <v>-1.2000000000000011E-2</v>
      </c>
    </row>
    <row r="5" spans="1:5" x14ac:dyDescent="0.25">
      <c r="A5" s="1" t="s">
        <v>73</v>
      </c>
      <c r="B5">
        <v>0.31111111111111112</v>
      </c>
      <c r="C5">
        <v>0.30660888407367271</v>
      </c>
      <c r="D5">
        <v>0.30353430353430338</v>
      </c>
      <c r="E5">
        <v>3.91004862236628E-2</v>
      </c>
    </row>
    <row r="6" spans="1:5" x14ac:dyDescent="0.25">
      <c r="A6" s="1" t="s">
        <v>74</v>
      </c>
      <c r="B6">
        <v>0.40791268758526611</v>
      </c>
      <c r="C6">
        <v>0.85803016858917469</v>
      </c>
      <c r="D6">
        <v>0.30787037037037052</v>
      </c>
      <c r="E6">
        <v>0.124945199473915</v>
      </c>
    </row>
    <row r="7" spans="1:5" x14ac:dyDescent="0.25">
      <c r="A7" s="1" t="s">
        <v>75</v>
      </c>
      <c r="B7">
        <v>0.31781914893617008</v>
      </c>
      <c r="C7">
        <v>1.1035175879396979</v>
      </c>
      <c r="D7">
        <v>0.30861244019138739</v>
      </c>
      <c r="E7">
        <v>0.37724882369222251</v>
      </c>
    </row>
    <row r="8" spans="1:5" x14ac:dyDescent="0.25">
      <c r="A8" s="1" t="s">
        <v>76</v>
      </c>
      <c r="B8">
        <v>0.2745625841184387</v>
      </c>
      <c r="C8">
        <v>0.76503759398496252</v>
      </c>
      <c r="D8">
        <v>0.32820512820512809</v>
      </c>
      <c r="E8">
        <v>0.8882175226586102</v>
      </c>
    </row>
    <row r="9" spans="1:5" x14ac:dyDescent="0.25">
      <c r="A9" s="1" t="s">
        <v>77</v>
      </c>
      <c r="B9">
        <v>0.14245416078984491</v>
      </c>
      <c r="C9">
        <v>0.98708288482238959</v>
      </c>
      <c r="D9">
        <v>0.5667752442996743</v>
      </c>
      <c r="E9">
        <v>1.487903225806452</v>
      </c>
    </row>
    <row r="10" spans="1:5" x14ac:dyDescent="0.25">
      <c r="A10" s="1" t="s">
        <v>78</v>
      </c>
      <c r="B10">
        <v>0.39089184060721061</v>
      </c>
      <c r="C10">
        <v>4.0088888888888894</v>
      </c>
      <c r="D10">
        <v>0.43046357615894038</v>
      </c>
      <c r="E10">
        <v>1.467279610600325</v>
      </c>
    </row>
    <row r="11" spans="1:5" x14ac:dyDescent="0.25">
      <c r="A11" s="1" t="s">
        <v>79</v>
      </c>
      <c r="B11" t="s">
        <v>96</v>
      </c>
      <c r="C11">
        <v>1.0223577235772361</v>
      </c>
      <c r="D11">
        <v>0.69918699186991873</v>
      </c>
      <c r="E11">
        <v>1.338511326860842</v>
      </c>
    </row>
    <row r="12" spans="1:5" x14ac:dyDescent="0.25">
      <c r="A12" s="1" t="s">
        <v>80</v>
      </c>
      <c r="B12">
        <v>0.50404858299595134</v>
      </c>
      <c r="C12">
        <v>0.65990639625585024</v>
      </c>
      <c r="D12">
        <v>0.21875</v>
      </c>
      <c r="E12">
        <v>0.58183990442054956</v>
      </c>
    </row>
    <row r="13" spans="1:5" x14ac:dyDescent="0.25">
      <c r="A13" s="1" t="s">
        <v>81</v>
      </c>
      <c r="B13">
        <v>0.98044692737430172</v>
      </c>
      <c r="C13">
        <v>1.3167082294264341</v>
      </c>
      <c r="D13">
        <v>0.32327586206896552</v>
      </c>
      <c r="E13">
        <v>0.58719999999999994</v>
      </c>
    </row>
    <row r="14" spans="1:5" x14ac:dyDescent="0.25">
      <c r="A14" s="1" t="s">
        <v>82</v>
      </c>
      <c r="B14">
        <v>0.49715909090909077</v>
      </c>
      <c r="C14">
        <v>-0.59239130434782616</v>
      </c>
      <c r="D14">
        <v>-0.39235412474849102</v>
      </c>
      <c r="E14">
        <v>-0.13678804855275439</v>
      </c>
    </row>
    <row r="15" spans="1:5" x14ac:dyDescent="0.25">
      <c r="A15" s="1" t="s">
        <v>83</v>
      </c>
      <c r="B15">
        <v>-1</v>
      </c>
      <c r="C15">
        <v>-0.69516728624535318</v>
      </c>
      <c r="D15">
        <v>-0.7595307917888563</v>
      </c>
      <c r="E15">
        <v>-0.44583931133428978</v>
      </c>
    </row>
    <row r="16" spans="1:5" x14ac:dyDescent="0.25">
      <c r="A16" s="1" t="s">
        <v>84</v>
      </c>
      <c r="B16">
        <v>0.43188405797101459</v>
      </c>
      <c r="C16">
        <v>0.2003745318352059</v>
      </c>
      <c r="D16">
        <v>-0.39278937381404178</v>
      </c>
      <c r="E16">
        <v>-0.3045284586622351</v>
      </c>
    </row>
    <row r="17" spans="1:5" x14ac:dyDescent="0.25">
      <c r="A17" s="1" t="s">
        <v>85</v>
      </c>
      <c r="D17">
        <v>0.23404255319148939</v>
      </c>
      <c r="E17">
        <v>-0.32541824069077169</v>
      </c>
    </row>
    <row r="18" spans="1:5" x14ac:dyDescent="0.25">
      <c r="A18" s="1" t="s">
        <v>86</v>
      </c>
      <c r="D18">
        <v>1.3779904306220101</v>
      </c>
      <c r="E18">
        <v>0.21912350597609559</v>
      </c>
    </row>
    <row r="19" spans="1:5" x14ac:dyDescent="0.25">
      <c r="A19" s="1" t="s">
        <v>87</v>
      </c>
    </row>
    <row r="20" spans="1:5" x14ac:dyDescent="0.25">
      <c r="A20" s="1" t="s">
        <v>88</v>
      </c>
    </row>
    <row r="21" spans="1:5" x14ac:dyDescent="0.25">
      <c r="A21" s="1" t="s">
        <v>89</v>
      </c>
    </row>
    <row r="22" spans="1:5" x14ac:dyDescent="0.25">
      <c r="A22" s="1" t="s">
        <v>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2"/>
  <sheetViews>
    <sheetView workbookViewId="0"/>
  </sheetViews>
  <sheetFormatPr defaultRowHeight="15" x14ac:dyDescent="0.25"/>
  <sheetData>
    <row r="1" spans="1:5" x14ac:dyDescent="0.25">
      <c r="A1" s="1" t="s">
        <v>159</v>
      </c>
      <c r="B1" s="1" t="s">
        <v>171</v>
      </c>
      <c r="C1" s="1" t="s">
        <v>172</v>
      </c>
      <c r="D1" s="1" t="s">
        <v>173</v>
      </c>
      <c r="E1" s="1" t="s">
        <v>174</v>
      </c>
    </row>
    <row r="2" spans="1:5" x14ac:dyDescent="0.25">
      <c r="A2" s="1" t="s">
        <v>70</v>
      </c>
      <c r="B2">
        <v>5.9071729957806962E-3</v>
      </c>
      <c r="C2">
        <v>-2.8893587033121951E-2</v>
      </c>
      <c r="D2">
        <v>4.71976401179941E-2</v>
      </c>
      <c r="E2">
        <v>4.5463228271251273E-2</v>
      </c>
    </row>
    <row r="3" spans="1:5" x14ac:dyDescent="0.25">
      <c r="A3" s="1" t="s">
        <v>71</v>
      </c>
      <c r="B3">
        <v>3.0434782608695699E-2</v>
      </c>
      <c r="C3">
        <v>0.10859375</v>
      </c>
      <c r="D3">
        <v>5.6074766355140193E-2</v>
      </c>
      <c r="E3">
        <v>5.9716599190283493E-2</v>
      </c>
    </row>
    <row r="4" spans="1:5" x14ac:dyDescent="0.25">
      <c r="A4" s="1" t="s">
        <v>72</v>
      </c>
      <c r="B4">
        <v>8.2862523540489619E-2</v>
      </c>
      <c r="C4">
        <v>6.1359867330016638E-2</v>
      </c>
      <c r="D4">
        <v>2.3923444976076569E-2</v>
      </c>
      <c r="E4">
        <v>-3.68492883603041E-2</v>
      </c>
    </row>
    <row r="5" spans="1:5" x14ac:dyDescent="0.25">
      <c r="A5" s="1" t="s">
        <v>73</v>
      </c>
      <c r="B5">
        <v>2.906976744186052E-2</v>
      </c>
      <c r="C5">
        <v>0.15186246418338101</v>
      </c>
      <c r="D5">
        <v>0.10973451327433641</v>
      </c>
      <c r="E5">
        <v>-5.8456742010914997E-4</v>
      </c>
    </row>
    <row r="6" spans="1:5" x14ac:dyDescent="0.25">
      <c r="A6" s="1" t="s">
        <v>74</v>
      </c>
      <c r="B6">
        <v>4.1372351160444021E-2</v>
      </c>
      <c r="C6">
        <v>4.777830864788335E-4</v>
      </c>
      <c r="D6">
        <v>3.2906764168190161E-2</v>
      </c>
      <c r="E6">
        <v>3.1350482315112498E-2</v>
      </c>
    </row>
    <row r="7" spans="1:5" x14ac:dyDescent="0.25">
      <c r="A7" s="1" t="s">
        <v>75</v>
      </c>
      <c r="B7">
        <v>4.6462513199577497E-2</v>
      </c>
      <c r="C7">
        <v>0.1144834930777423</v>
      </c>
      <c r="D7">
        <v>5.5984555984555977E-2</v>
      </c>
      <c r="E7">
        <v>-4.8000000000000256E-3</v>
      </c>
    </row>
    <row r="8" spans="1:5" x14ac:dyDescent="0.25">
      <c r="A8" s="1" t="s">
        <v>76</v>
      </c>
      <c r="B8">
        <v>0.16913580246913579</v>
      </c>
      <c r="C8">
        <v>1.7334777898158071E-2</v>
      </c>
      <c r="D8">
        <v>7.6923076923076872E-2</v>
      </c>
      <c r="E8">
        <v>1.296596434359798E-2</v>
      </c>
    </row>
    <row r="9" spans="1:5" x14ac:dyDescent="0.25">
      <c r="A9" s="1" t="s">
        <v>77</v>
      </c>
      <c r="B9">
        <v>0.1050477489768076</v>
      </c>
      <c r="C9">
        <v>0.63797692990239585</v>
      </c>
      <c r="D9">
        <v>0.11342592592592581</v>
      </c>
      <c r="E9">
        <v>8.1981587023235436E-2</v>
      </c>
    </row>
    <row r="10" spans="1:5" x14ac:dyDescent="0.25">
      <c r="A10" s="1" t="s">
        <v>78</v>
      </c>
      <c r="B10">
        <v>-2.5265957446808481E-2</v>
      </c>
      <c r="C10">
        <v>0.1326633165829145</v>
      </c>
      <c r="D10">
        <v>3.3492822966507241E-2</v>
      </c>
      <c r="E10">
        <v>0.26266260725159141</v>
      </c>
    </row>
    <row r="11" spans="1:5" x14ac:dyDescent="0.25">
      <c r="A11" s="1" t="s">
        <v>79</v>
      </c>
      <c r="B11">
        <v>1.211305518169592E-2</v>
      </c>
      <c r="C11">
        <v>-6.4849624060150379E-2</v>
      </c>
      <c r="D11">
        <v>7.1794871794871762E-2</v>
      </c>
      <c r="E11">
        <v>0.3644259818731117</v>
      </c>
    </row>
    <row r="12" spans="1:5" x14ac:dyDescent="0.25">
      <c r="A12" s="1" t="s">
        <v>80</v>
      </c>
      <c r="B12">
        <v>4.7954866008462549E-2</v>
      </c>
      <c r="C12">
        <v>0.1453175457481162</v>
      </c>
      <c r="D12">
        <v>0.27035830618892498</v>
      </c>
      <c r="E12">
        <v>0.33467741935483869</v>
      </c>
    </row>
    <row r="13" spans="1:5" x14ac:dyDescent="0.25">
      <c r="A13" s="1" t="s">
        <v>81</v>
      </c>
      <c r="B13">
        <v>0.34535104364326391</v>
      </c>
      <c r="C13">
        <v>3.1288888888888891</v>
      </c>
      <c r="D13">
        <v>1.655629139072845E-2</v>
      </c>
      <c r="E13">
        <v>7.3012439156300735E-2</v>
      </c>
    </row>
    <row r="14" spans="1:5" x14ac:dyDescent="0.25">
      <c r="A14" s="1" t="s">
        <v>82</v>
      </c>
      <c r="B14" t="s">
        <v>96</v>
      </c>
      <c r="C14">
        <v>-0.54268292682926833</v>
      </c>
      <c r="D14">
        <v>0.22764227642276411</v>
      </c>
      <c r="E14">
        <v>0.19676375404530749</v>
      </c>
    </row>
    <row r="15" spans="1:5" x14ac:dyDescent="0.25">
      <c r="A15" s="1" t="s">
        <v>83</v>
      </c>
      <c r="B15">
        <v>-1</v>
      </c>
      <c r="C15">
        <v>-0.23244929797191879</v>
      </c>
      <c r="D15">
        <v>-0.23125000000000001</v>
      </c>
      <c r="E15">
        <v>-7.7060931899641583E-2</v>
      </c>
    </row>
    <row r="16" spans="1:5" x14ac:dyDescent="0.25">
      <c r="A16" s="1" t="s">
        <v>84</v>
      </c>
      <c r="B16">
        <v>0.37988826815642462</v>
      </c>
      <c r="C16">
        <v>0.59850374064837908</v>
      </c>
      <c r="D16">
        <v>0.3793103448275863</v>
      </c>
      <c r="E16">
        <v>0.33919999999999989</v>
      </c>
    </row>
    <row r="17" spans="1:5" x14ac:dyDescent="0.25">
      <c r="A17" s="1" t="s">
        <v>85</v>
      </c>
      <c r="B17">
        <v>1.7045454545454589E-2</v>
      </c>
      <c r="C17">
        <v>-0.27355072463768121</v>
      </c>
      <c r="D17">
        <v>-0.53319919517102621</v>
      </c>
      <c r="E17">
        <v>-0.41643323996265169</v>
      </c>
    </row>
    <row r="18" spans="1:5" x14ac:dyDescent="0.25">
      <c r="A18" s="1" t="s">
        <v>86</v>
      </c>
      <c r="B18">
        <v>-0.6097560975609756</v>
      </c>
      <c r="C18">
        <v>-0.65799256505576209</v>
      </c>
      <c r="D18">
        <v>-0.51417399804496577</v>
      </c>
      <c r="E18">
        <v>-0.23170731707317069</v>
      </c>
    </row>
    <row r="19" spans="1:5" x14ac:dyDescent="0.25">
      <c r="A19" s="1" t="s">
        <v>87</v>
      </c>
      <c r="B19">
        <v>1.614492753623189</v>
      </c>
      <c r="C19">
        <v>2.02247191011236</v>
      </c>
      <c r="D19">
        <v>0.94117647058823528</v>
      </c>
      <c r="E19">
        <v>0.15828832571665991</v>
      </c>
    </row>
    <row r="20" spans="1:5" x14ac:dyDescent="0.25">
      <c r="A20" s="1" t="s">
        <v>88</v>
      </c>
      <c r="D20">
        <v>1.803191489361702</v>
      </c>
      <c r="E20">
        <v>0.29897463572584998</v>
      </c>
    </row>
    <row r="21" spans="1:5" x14ac:dyDescent="0.25">
      <c r="A21" s="1" t="s">
        <v>89</v>
      </c>
      <c r="D21">
        <v>-0.1004784688995215</v>
      </c>
      <c r="E21">
        <v>5.4638588503130407E-2</v>
      </c>
    </row>
    <row r="22" spans="1:5" x14ac:dyDescent="0.25">
      <c r="A22" s="1" t="s">
        <v>90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36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175</v>
      </c>
    </row>
    <row r="2" spans="1:2" x14ac:dyDescent="0.25">
      <c r="A2" s="1" t="s">
        <v>106</v>
      </c>
      <c r="B2">
        <v>180042549813</v>
      </c>
    </row>
    <row r="3" spans="1:2" x14ac:dyDescent="0.25">
      <c r="A3" s="1" t="s">
        <v>176</v>
      </c>
      <c r="B3">
        <v>163022665522</v>
      </c>
    </row>
    <row r="4" spans="1:2" x14ac:dyDescent="0.25">
      <c r="A4" s="1" t="s">
        <v>177</v>
      </c>
      <c r="B4">
        <v>162918056522</v>
      </c>
    </row>
    <row r="5" spans="1:2" x14ac:dyDescent="0.25">
      <c r="A5" s="1" t="s">
        <v>178</v>
      </c>
      <c r="B5">
        <v>159361350523</v>
      </c>
    </row>
    <row r="6" spans="1:2" x14ac:dyDescent="0.25">
      <c r="A6" s="1" t="s">
        <v>179</v>
      </c>
      <c r="B6">
        <v>156055706125</v>
      </c>
    </row>
    <row r="7" spans="1:2" x14ac:dyDescent="0.25">
      <c r="A7" s="1" t="s">
        <v>180</v>
      </c>
      <c r="B7">
        <v>155407130325</v>
      </c>
    </row>
    <row r="8" spans="1:2" x14ac:dyDescent="0.25">
      <c r="A8" s="1" t="s">
        <v>181</v>
      </c>
      <c r="B8">
        <v>152603609127</v>
      </c>
    </row>
    <row r="9" spans="1:2" x14ac:dyDescent="0.25">
      <c r="A9" s="1" t="s">
        <v>182</v>
      </c>
      <c r="B9">
        <v>152457156527</v>
      </c>
    </row>
    <row r="10" spans="1:2" x14ac:dyDescent="0.25">
      <c r="A10" s="1" t="s">
        <v>183</v>
      </c>
      <c r="B10">
        <v>155323443125</v>
      </c>
    </row>
    <row r="11" spans="1:2" x14ac:dyDescent="0.25">
      <c r="A11" s="1" t="s">
        <v>113</v>
      </c>
      <c r="B11">
        <v>157248248724</v>
      </c>
    </row>
    <row r="12" spans="1:2" x14ac:dyDescent="0.25">
      <c r="A12" s="1" t="s">
        <v>184</v>
      </c>
      <c r="B12">
        <v>158482634924</v>
      </c>
    </row>
    <row r="13" spans="1:2" x14ac:dyDescent="0.25">
      <c r="A13" s="1" t="s">
        <v>185</v>
      </c>
      <c r="B13">
        <v>160449284123</v>
      </c>
    </row>
    <row r="14" spans="1:2" x14ac:dyDescent="0.25">
      <c r="A14" s="1" t="s">
        <v>186</v>
      </c>
      <c r="B14">
        <v>161390765122</v>
      </c>
    </row>
    <row r="15" spans="1:2" x14ac:dyDescent="0.25">
      <c r="A15" s="1" t="s">
        <v>187</v>
      </c>
      <c r="B15">
        <v>162018419122</v>
      </c>
    </row>
    <row r="16" spans="1:2" x14ac:dyDescent="0.25">
      <c r="A16" s="1" t="s">
        <v>188</v>
      </c>
      <c r="B16">
        <v>156306767725</v>
      </c>
    </row>
    <row r="17" spans="1:2" x14ac:dyDescent="0.25">
      <c r="A17" s="1" t="s">
        <v>189</v>
      </c>
      <c r="B17">
        <v>154695789126</v>
      </c>
    </row>
    <row r="18" spans="1:2" x14ac:dyDescent="0.25">
      <c r="A18" s="1" t="s">
        <v>190</v>
      </c>
      <c r="B18">
        <v>157499310324</v>
      </c>
    </row>
    <row r="19" spans="1:2" x14ac:dyDescent="0.25">
      <c r="A19" s="1" t="s">
        <v>191</v>
      </c>
      <c r="B19">
        <v>153775229926</v>
      </c>
    </row>
    <row r="20" spans="1:2" x14ac:dyDescent="0.25">
      <c r="A20" s="1" t="s">
        <v>192</v>
      </c>
      <c r="B20">
        <v>152268860327</v>
      </c>
    </row>
    <row r="21" spans="1:2" x14ac:dyDescent="0.25">
      <c r="A21" s="1" t="s">
        <v>193</v>
      </c>
      <c r="B21">
        <v>149632713528</v>
      </c>
    </row>
    <row r="22" spans="1:2" x14ac:dyDescent="0.25">
      <c r="A22" s="1" t="s">
        <v>194</v>
      </c>
      <c r="B22">
        <v>151641206327</v>
      </c>
    </row>
    <row r="23" spans="1:2" x14ac:dyDescent="0.25">
      <c r="A23" s="1" t="s">
        <v>195</v>
      </c>
      <c r="B23">
        <v>142456536131</v>
      </c>
    </row>
    <row r="24" spans="1:2" x14ac:dyDescent="0.25">
      <c r="A24" s="1" t="s">
        <v>196</v>
      </c>
      <c r="B24">
        <v>146682739729</v>
      </c>
    </row>
    <row r="25" spans="1:2" x14ac:dyDescent="0.25">
      <c r="A25" s="1" t="s">
        <v>197</v>
      </c>
      <c r="B25">
        <v>144339498131</v>
      </c>
    </row>
    <row r="26" spans="1:2" x14ac:dyDescent="0.25">
      <c r="A26" s="1" t="s">
        <v>198</v>
      </c>
      <c r="B26">
        <v>146034163930</v>
      </c>
    </row>
    <row r="27" spans="1:2" x14ac:dyDescent="0.25">
      <c r="A27" s="1" t="s">
        <v>199</v>
      </c>
      <c r="B27">
        <v>145573884330</v>
      </c>
    </row>
    <row r="28" spans="1:2" x14ac:dyDescent="0.25">
      <c r="A28" s="1" t="s">
        <v>200</v>
      </c>
      <c r="B28">
        <v>149067824928</v>
      </c>
    </row>
    <row r="29" spans="1:2" x14ac:dyDescent="0.25">
      <c r="A29" s="1" t="s">
        <v>201</v>
      </c>
      <c r="B29">
        <v>149716400728</v>
      </c>
    </row>
    <row r="30" spans="1:2" x14ac:dyDescent="0.25">
      <c r="A30" s="1" t="s">
        <v>202</v>
      </c>
      <c r="B30">
        <v>150406820128</v>
      </c>
    </row>
    <row r="31" spans="1:2" x14ac:dyDescent="0.25">
      <c r="A31" s="1" t="s">
        <v>203</v>
      </c>
      <c r="B31">
        <v>153001123326</v>
      </c>
    </row>
    <row r="32" spans="1:2" x14ac:dyDescent="0.25">
      <c r="A32" s="1" t="s">
        <v>204</v>
      </c>
      <c r="B32">
        <v>151139083127</v>
      </c>
    </row>
    <row r="33" spans="1:2" x14ac:dyDescent="0.25">
      <c r="A33" s="1" t="s">
        <v>205</v>
      </c>
      <c r="B33">
        <v>150323132928</v>
      </c>
    </row>
    <row r="34" spans="1:2" x14ac:dyDescent="0.25">
      <c r="A34" s="1" t="s">
        <v>206</v>
      </c>
      <c r="B34">
        <v>151808580727</v>
      </c>
    </row>
    <row r="35" spans="1:2" x14ac:dyDescent="0.25">
      <c r="A35" s="1" t="s">
        <v>207</v>
      </c>
      <c r="B35">
        <v>151913189727</v>
      </c>
    </row>
    <row r="36" spans="1:2" x14ac:dyDescent="0.25">
      <c r="A36" s="1" t="s">
        <v>208</v>
      </c>
      <c r="B36">
        <v>155448973925</v>
      </c>
    </row>
    <row r="37" spans="1:2" x14ac:dyDescent="0.25">
      <c r="A37" s="1" t="s">
        <v>209</v>
      </c>
      <c r="B37">
        <v>153377715726</v>
      </c>
    </row>
    <row r="38" spans="1:2" x14ac:dyDescent="0.25">
      <c r="A38" s="1" t="s">
        <v>210</v>
      </c>
      <c r="B38">
        <v>153733386326</v>
      </c>
    </row>
    <row r="39" spans="1:2" x14ac:dyDescent="0.25">
      <c r="A39" s="1" t="s">
        <v>211</v>
      </c>
      <c r="B39">
        <v>153377715726</v>
      </c>
    </row>
    <row r="40" spans="1:2" x14ac:dyDescent="0.25">
      <c r="A40" s="1" t="s">
        <v>212</v>
      </c>
      <c r="B40">
        <v>155197912325</v>
      </c>
    </row>
    <row r="41" spans="1:2" x14ac:dyDescent="0.25">
      <c r="A41" s="1" t="s">
        <v>213</v>
      </c>
      <c r="B41">
        <v>150720647127</v>
      </c>
    </row>
    <row r="42" spans="1:2" x14ac:dyDescent="0.25">
      <c r="A42" s="1" t="s">
        <v>214</v>
      </c>
      <c r="B42">
        <v>152164251327</v>
      </c>
    </row>
    <row r="43" spans="1:2" x14ac:dyDescent="0.25">
      <c r="A43" s="1" t="s">
        <v>215</v>
      </c>
      <c r="B43">
        <v>150490507328</v>
      </c>
    </row>
    <row r="44" spans="1:2" x14ac:dyDescent="0.25">
      <c r="A44" s="1" t="s">
        <v>216</v>
      </c>
      <c r="B44">
        <v>148670310728</v>
      </c>
    </row>
    <row r="45" spans="1:2" x14ac:dyDescent="0.25">
      <c r="A45" s="1" t="s">
        <v>217</v>
      </c>
      <c r="B45">
        <v>144904386730</v>
      </c>
    </row>
    <row r="46" spans="1:2" x14ac:dyDescent="0.25">
      <c r="A46" s="1" t="s">
        <v>218</v>
      </c>
      <c r="B46">
        <v>143398017131</v>
      </c>
    </row>
    <row r="47" spans="1:2" x14ac:dyDescent="0.25">
      <c r="A47" s="1" t="s">
        <v>219</v>
      </c>
      <c r="B47">
        <v>144381341730</v>
      </c>
    </row>
    <row r="48" spans="1:2" x14ac:dyDescent="0.25">
      <c r="A48" s="1" t="s">
        <v>116</v>
      </c>
      <c r="B48">
        <v>137121477134</v>
      </c>
    </row>
    <row r="49" spans="1:2" x14ac:dyDescent="0.25">
      <c r="A49" s="1" t="s">
        <v>114</v>
      </c>
      <c r="B49">
        <v>135719716535</v>
      </c>
    </row>
    <row r="50" spans="1:2" x14ac:dyDescent="0.25">
      <c r="A50" s="1" t="s">
        <v>220</v>
      </c>
      <c r="B50">
        <v>122350686341</v>
      </c>
    </row>
    <row r="51" spans="1:2" x14ac:dyDescent="0.25">
      <c r="A51" s="1" t="s">
        <v>221</v>
      </c>
      <c r="B51">
        <v>123417698200</v>
      </c>
    </row>
    <row r="52" spans="1:2" x14ac:dyDescent="0.25">
      <c r="A52" s="1" t="s">
        <v>222</v>
      </c>
      <c r="B52">
        <v>126828056340</v>
      </c>
    </row>
    <row r="53" spans="1:2" x14ac:dyDescent="0.25">
      <c r="A53" s="1" t="s">
        <v>223</v>
      </c>
      <c r="B53">
        <v>133998767490</v>
      </c>
    </row>
    <row r="54" spans="1:2" x14ac:dyDescent="0.25">
      <c r="A54" s="1" t="s">
        <v>224</v>
      </c>
      <c r="B54">
        <v>131130483030</v>
      </c>
    </row>
    <row r="55" spans="1:2" x14ac:dyDescent="0.25">
      <c r="A55" s="1" t="s">
        <v>225</v>
      </c>
      <c r="B55">
        <v>132523055920</v>
      </c>
    </row>
    <row r="56" spans="1:2" x14ac:dyDescent="0.25">
      <c r="A56" s="1" t="s">
        <v>226</v>
      </c>
      <c r="B56">
        <v>133853274800</v>
      </c>
    </row>
    <row r="57" spans="1:2" x14ac:dyDescent="0.25">
      <c r="A57" s="1" t="s">
        <v>227</v>
      </c>
      <c r="B57">
        <v>136638420579</v>
      </c>
    </row>
    <row r="58" spans="1:2" x14ac:dyDescent="0.25">
      <c r="A58" s="1" t="s">
        <v>228</v>
      </c>
      <c r="B58">
        <v>137469807380</v>
      </c>
    </row>
    <row r="59" spans="1:2" x14ac:dyDescent="0.25">
      <c r="A59" s="1" t="s">
        <v>229</v>
      </c>
      <c r="B59">
        <v>140338091840</v>
      </c>
    </row>
    <row r="60" spans="1:2" x14ac:dyDescent="0.25">
      <c r="A60" s="1" t="s">
        <v>230</v>
      </c>
      <c r="B60">
        <v>140774569910</v>
      </c>
    </row>
    <row r="61" spans="1:2" x14ac:dyDescent="0.25">
      <c r="A61" s="1" t="s">
        <v>231</v>
      </c>
      <c r="B61">
        <v>139901613770</v>
      </c>
    </row>
    <row r="62" spans="1:2" x14ac:dyDescent="0.25">
      <c r="A62" s="1" t="s">
        <v>232</v>
      </c>
      <c r="B62">
        <v>137719223420</v>
      </c>
    </row>
    <row r="63" spans="1:2" x14ac:dyDescent="0.25">
      <c r="A63" s="1" t="s">
        <v>233</v>
      </c>
      <c r="B63">
        <v>142624405540</v>
      </c>
    </row>
    <row r="64" spans="1:2" x14ac:dyDescent="0.25">
      <c r="A64" s="1" t="s">
        <v>234</v>
      </c>
      <c r="B64">
        <v>154430098100</v>
      </c>
    </row>
    <row r="65" spans="1:2" x14ac:dyDescent="0.25">
      <c r="A65" s="1" t="s">
        <v>235</v>
      </c>
      <c r="B65">
        <v>150252379430</v>
      </c>
    </row>
    <row r="66" spans="1:2" x14ac:dyDescent="0.25">
      <c r="A66" s="1" t="s">
        <v>236</v>
      </c>
      <c r="B66">
        <v>150543364810</v>
      </c>
    </row>
    <row r="67" spans="1:2" x14ac:dyDescent="0.25">
      <c r="A67" s="1" t="s">
        <v>237</v>
      </c>
      <c r="B67">
        <v>152829678510</v>
      </c>
    </row>
    <row r="68" spans="1:2" x14ac:dyDescent="0.25">
      <c r="A68" s="1" t="s">
        <v>238</v>
      </c>
      <c r="B68">
        <v>143975409090</v>
      </c>
    </row>
    <row r="69" spans="1:2" x14ac:dyDescent="0.25">
      <c r="A69" s="1" t="s">
        <v>239</v>
      </c>
      <c r="B69">
        <v>148236266440</v>
      </c>
    </row>
    <row r="70" spans="1:2" x14ac:dyDescent="0.25">
      <c r="A70" s="1" t="s">
        <v>240</v>
      </c>
      <c r="B70">
        <v>148090773750</v>
      </c>
    </row>
    <row r="71" spans="1:2" x14ac:dyDescent="0.25">
      <c r="A71" s="1" t="s">
        <v>241</v>
      </c>
      <c r="B71">
        <v>147695865020</v>
      </c>
    </row>
    <row r="72" spans="1:2" x14ac:dyDescent="0.25">
      <c r="A72" s="1" t="s">
        <v>242</v>
      </c>
      <c r="B72">
        <v>148194697100</v>
      </c>
    </row>
    <row r="73" spans="1:2" x14ac:dyDescent="0.25">
      <c r="A73" s="1" t="s">
        <v>243</v>
      </c>
      <c r="B73">
        <v>146885262890</v>
      </c>
    </row>
    <row r="74" spans="1:2" x14ac:dyDescent="0.25">
      <c r="A74" s="1" t="s">
        <v>244</v>
      </c>
      <c r="B74">
        <v>147779003700</v>
      </c>
    </row>
    <row r="75" spans="1:2" x14ac:dyDescent="0.25">
      <c r="A75" s="1" t="s">
        <v>245</v>
      </c>
      <c r="B75">
        <v>151062981560</v>
      </c>
    </row>
    <row r="76" spans="1:2" x14ac:dyDescent="0.25">
      <c r="A76" s="1" t="s">
        <v>246</v>
      </c>
      <c r="B76">
        <v>146199368780</v>
      </c>
    </row>
    <row r="77" spans="1:2" x14ac:dyDescent="0.25">
      <c r="A77" s="1" t="s">
        <v>247</v>
      </c>
      <c r="B77">
        <v>147259386950</v>
      </c>
    </row>
    <row r="78" spans="1:2" x14ac:dyDescent="0.25">
      <c r="A78" s="1" t="s">
        <v>248</v>
      </c>
      <c r="B78">
        <v>148360974460</v>
      </c>
    </row>
    <row r="79" spans="1:2" x14ac:dyDescent="0.25">
      <c r="A79" s="1" t="s">
        <v>249</v>
      </c>
      <c r="B79">
        <v>146615062180</v>
      </c>
    </row>
    <row r="80" spans="1:2" x14ac:dyDescent="0.25">
      <c r="A80" s="1" t="s">
        <v>250</v>
      </c>
      <c r="B80">
        <v>145929168070</v>
      </c>
    </row>
    <row r="81" spans="1:2" x14ac:dyDescent="0.25">
      <c r="A81" s="1" t="s">
        <v>251</v>
      </c>
      <c r="B81">
        <v>146116230100</v>
      </c>
    </row>
    <row r="82" spans="1:2" x14ac:dyDescent="0.25">
      <c r="A82" s="1" t="s">
        <v>252</v>
      </c>
      <c r="B82">
        <v>146178584110</v>
      </c>
    </row>
    <row r="83" spans="1:2" x14ac:dyDescent="0.25">
      <c r="A83" s="1" t="s">
        <v>253</v>
      </c>
      <c r="B83">
        <v>146511138830</v>
      </c>
    </row>
    <row r="84" spans="1:2" x14ac:dyDescent="0.25">
      <c r="A84" s="1" t="s">
        <v>254</v>
      </c>
      <c r="B84">
        <v>145617398020</v>
      </c>
    </row>
    <row r="85" spans="1:2" x14ac:dyDescent="0.25">
      <c r="A85" s="1" t="s">
        <v>255</v>
      </c>
      <c r="B85">
        <v>147280171620</v>
      </c>
    </row>
    <row r="86" spans="1:2" x14ac:dyDescent="0.25">
      <c r="A86" s="1" t="s">
        <v>256</v>
      </c>
      <c r="B86">
        <v>152039861050</v>
      </c>
    </row>
    <row r="87" spans="1:2" x14ac:dyDescent="0.25">
      <c r="A87" s="1" t="s">
        <v>257</v>
      </c>
      <c r="B87">
        <v>144640518530</v>
      </c>
    </row>
    <row r="88" spans="1:2" x14ac:dyDescent="0.25">
      <c r="A88" s="1" t="s">
        <v>258</v>
      </c>
      <c r="B88">
        <v>142582836200</v>
      </c>
    </row>
    <row r="89" spans="1:2" x14ac:dyDescent="0.25">
      <c r="A89" s="1" t="s">
        <v>259</v>
      </c>
      <c r="B89">
        <v>144058547770</v>
      </c>
    </row>
    <row r="90" spans="1:2" x14ac:dyDescent="0.25">
      <c r="A90" s="1" t="s">
        <v>260</v>
      </c>
      <c r="B90">
        <v>143206376300</v>
      </c>
    </row>
    <row r="91" spans="1:2" x14ac:dyDescent="0.25">
      <c r="A91" s="1" t="s">
        <v>261</v>
      </c>
      <c r="B91">
        <v>136804697939</v>
      </c>
    </row>
    <row r="92" spans="1:2" x14ac:dyDescent="0.25">
      <c r="A92" s="1" t="s">
        <v>262</v>
      </c>
      <c r="B92">
        <v>134165044850</v>
      </c>
    </row>
    <row r="93" spans="1:2" x14ac:dyDescent="0.25">
      <c r="A93" s="1" t="s">
        <v>263</v>
      </c>
      <c r="B93">
        <v>132585409930</v>
      </c>
    </row>
    <row r="94" spans="1:2" x14ac:dyDescent="0.25">
      <c r="A94" s="1" t="s">
        <v>264</v>
      </c>
      <c r="B94">
        <v>134185829520</v>
      </c>
    </row>
    <row r="95" spans="1:2" x14ac:dyDescent="0.25">
      <c r="A95" s="1" t="s">
        <v>265</v>
      </c>
      <c r="B95">
        <v>133271304040</v>
      </c>
    </row>
    <row r="96" spans="1:2" x14ac:dyDescent="0.25">
      <c r="A96" s="1" t="s">
        <v>266</v>
      </c>
      <c r="B96">
        <v>134954862310</v>
      </c>
    </row>
    <row r="97" spans="1:2" x14ac:dyDescent="0.25">
      <c r="A97" s="1" t="s">
        <v>267</v>
      </c>
      <c r="B97">
        <v>132024223840</v>
      </c>
    </row>
    <row r="98" spans="1:2" x14ac:dyDescent="0.25">
      <c r="A98" s="1" t="s">
        <v>268</v>
      </c>
      <c r="B98">
        <v>133562289420</v>
      </c>
    </row>
    <row r="99" spans="1:2" x14ac:dyDescent="0.25">
      <c r="A99" s="1" t="s">
        <v>269</v>
      </c>
      <c r="B99">
        <v>132190501200</v>
      </c>
    </row>
    <row r="100" spans="1:2" x14ac:dyDescent="0.25">
      <c r="A100" s="1" t="s">
        <v>270</v>
      </c>
      <c r="B100">
        <v>136098019160</v>
      </c>
    </row>
    <row r="101" spans="1:2" x14ac:dyDescent="0.25">
      <c r="A101" s="1" t="s">
        <v>271</v>
      </c>
      <c r="B101">
        <v>132959533990</v>
      </c>
    </row>
    <row r="102" spans="1:2" x14ac:dyDescent="0.25">
      <c r="A102" s="1" t="s">
        <v>272</v>
      </c>
      <c r="B102">
        <v>134372891550</v>
      </c>
    </row>
    <row r="103" spans="1:2" x14ac:dyDescent="0.25">
      <c r="A103" s="1" t="s">
        <v>273</v>
      </c>
      <c r="B103">
        <v>136492927890</v>
      </c>
    </row>
    <row r="104" spans="1:2" x14ac:dyDescent="0.25">
      <c r="A104" s="1" t="s">
        <v>274</v>
      </c>
      <c r="B104">
        <v>137282745350</v>
      </c>
    </row>
    <row r="105" spans="1:2" x14ac:dyDescent="0.25">
      <c r="A105" s="1" t="s">
        <v>275</v>
      </c>
      <c r="B105">
        <v>138467471540</v>
      </c>
    </row>
    <row r="106" spans="1:2" x14ac:dyDescent="0.25">
      <c r="A106" s="1" t="s">
        <v>276</v>
      </c>
      <c r="B106">
        <v>135765464439</v>
      </c>
    </row>
    <row r="107" spans="1:2" x14ac:dyDescent="0.25">
      <c r="A107" s="1" t="s">
        <v>277</v>
      </c>
      <c r="B107">
        <v>137220391339</v>
      </c>
    </row>
    <row r="108" spans="1:2" x14ac:dyDescent="0.25">
      <c r="A108" s="1" t="s">
        <v>278</v>
      </c>
      <c r="B108">
        <v>139236504330</v>
      </c>
    </row>
    <row r="109" spans="1:2" x14ac:dyDescent="0.25">
      <c r="A109" s="1" t="s">
        <v>279</v>
      </c>
      <c r="B109">
        <v>141190263310</v>
      </c>
    </row>
    <row r="110" spans="1:2" x14ac:dyDescent="0.25">
      <c r="A110" s="1" t="s">
        <v>115</v>
      </c>
      <c r="B110">
        <v>138010208800</v>
      </c>
    </row>
    <row r="111" spans="1:2" x14ac:dyDescent="0.25">
      <c r="A111" s="1" t="s">
        <v>118</v>
      </c>
      <c r="B111">
        <v>146386430810</v>
      </c>
    </row>
    <row r="112" spans="1:2" x14ac:dyDescent="0.25">
      <c r="A112" s="1" t="s">
        <v>280</v>
      </c>
      <c r="B112">
        <v>148631175170</v>
      </c>
    </row>
    <row r="113" spans="1:2" x14ac:dyDescent="0.25">
      <c r="A113" s="1" t="s">
        <v>281</v>
      </c>
      <c r="B113">
        <v>143892270410</v>
      </c>
    </row>
    <row r="114" spans="1:2" x14ac:dyDescent="0.25">
      <c r="A114" s="1" t="s">
        <v>282</v>
      </c>
      <c r="B114">
        <v>142520482190</v>
      </c>
    </row>
    <row r="115" spans="1:2" x14ac:dyDescent="0.25">
      <c r="A115" s="1" t="s">
        <v>120</v>
      </c>
      <c r="B115">
        <v>140899277930</v>
      </c>
    </row>
    <row r="116" spans="1:2" x14ac:dyDescent="0.25">
      <c r="A116" s="1" t="s">
        <v>283</v>
      </c>
      <c r="B116">
        <v>137740008090</v>
      </c>
    </row>
    <row r="117" spans="1:2" x14ac:dyDescent="0.25">
      <c r="A117" s="1" t="s">
        <v>284</v>
      </c>
      <c r="B117">
        <v>140088675800</v>
      </c>
    </row>
    <row r="118" spans="1:2" x14ac:dyDescent="0.25">
      <c r="A118" s="1" t="s">
        <v>285</v>
      </c>
      <c r="B118">
        <v>143518146350</v>
      </c>
    </row>
    <row r="119" spans="1:2" x14ac:dyDescent="0.25">
      <c r="A119" s="1" t="s">
        <v>286</v>
      </c>
      <c r="B119">
        <v>144058547770</v>
      </c>
    </row>
    <row r="120" spans="1:2" x14ac:dyDescent="0.25">
      <c r="A120" s="1" t="s">
        <v>287</v>
      </c>
      <c r="B120">
        <v>144162471120</v>
      </c>
    </row>
    <row r="121" spans="1:2" x14ac:dyDescent="0.25">
      <c r="A121" s="1" t="s">
        <v>288</v>
      </c>
      <c r="B121">
        <v>147155463600</v>
      </c>
    </row>
    <row r="122" spans="1:2" x14ac:dyDescent="0.25">
      <c r="A122" s="1" t="s">
        <v>289</v>
      </c>
      <c r="B122">
        <v>143372653660</v>
      </c>
    </row>
    <row r="123" spans="1:2" x14ac:dyDescent="0.25">
      <c r="A123" s="1" t="s">
        <v>290</v>
      </c>
      <c r="B123">
        <v>143829916400</v>
      </c>
    </row>
    <row r="124" spans="1:2" x14ac:dyDescent="0.25">
      <c r="A124" s="1" t="s">
        <v>291</v>
      </c>
      <c r="B124">
        <v>148194697100</v>
      </c>
    </row>
    <row r="125" spans="1:2" x14ac:dyDescent="0.25">
      <c r="A125" s="1" t="s">
        <v>292</v>
      </c>
      <c r="B125">
        <v>149524915980</v>
      </c>
    </row>
    <row r="126" spans="1:2" x14ac:dyDescent="0.25">
      <c r="A126" s="1" t="s">
        <v>293</v>
      </c>
      <c r="B126">
        <v>154076758710</v>
      </c>
    </row>
    <row r="127" spans="1:2" x14ac:dyDescent="0.25">
      <c r="A127" s="1" t="s">
        <v>294</v>
      </c>
      <c r="B127">
        <v>152559477800</v>
      </c>
    </row>
    <row r="128" spans="1:2" x14ac:dyDescent="0.25">
      <c r="A128" s="1" t="s">
        <v>295</v>
      </c>
      <c r="B128">
        <v>156466995760</v>
      </c>
    </row>
    <row r="129" spans="1:2" x14ac:dyDescent="0.25">
      <c r="A129" s="1" t="s">
        <v>296</v>
      </c>
      <c r="B129">
        <v>158337616060</v>
      </c>
    </row>
    <row r="130" spans="1:2" x14ac:dyDescent="0.25">
      <c r="A130" s="1" t="s">
        <v>297</v>
      </c>
      <c r="B130">
        <v>154534021450</v>
      </c>
    </row>
    <row r="131" spans="1:2" x14ac:dyDescent="0.25">
      <c r="A131" s="1" t="s">
        <v>298</v>
      </c>
      <c r="B131">
        <v>156176010380</v>
      </c>
    </row>
    <row r="132" spans="1:2" x14ac:dyDescent="0.25">
      <c r="A132" s="1" t="s">
        <v>299</v>
      </c>
      <c r="B132">
        <v>155947379010</v>
      </c>
    </row>
    <row r="133" spans="1:2" x14ac:dyDescent="0.25">
      <c r="A133" s="1" t="s">
        <v>300</v>
      </c>
      <c r="B133">
        <v>160374513720</v>
      </c>
    </row>
    <row r="134" spans="1:2" x14ac:dyDescent="0.25">
      <c r="A134" s="1" t="s">
        <v>301</v>
      </c>
      <c r="B134">
        <v>155718747640</v>
      </c>
    </row>
    <row r="135" spans="1:2" x14ac:dyDescent="0.25">
      <c r="A135" s="1" t="s">
        <v>302</v>
      </c>
      <c r="B135">
        <v>159647050270</v>
      </c>
    </row>
    <row r="136" spans="1:2" x14ac:dyDescent="0.25">
      <c r="A136" s="1" t="s">
        <v>303</v>
      </c>
      <c r="B136">
        <v>160000389660</v>
      </c>
    </row>
    <row r="137" spans="1:2" x14ac:dyDescent="0.25">
      <c r="A137" s="1" t="s">
        <v>304</v>
      </c>
      <c r="B137">
        <v>158794878800</v>
      </c>
    </row>
    <row r="138" spans="1:2" x14ac:dyDescent="0.25">
      <c r="A138" s="1" t="s">
        <v>305</v>
      </c>
      <c r="B138">
        <v>160021174330</v>
      </c>
    </row>
    <row r="139" spans="1:2" x14ac:dyDescent="0.25">
      <c r="A139" s="1" t="s">
        <v>306</v>
      </c>
      <c r="B139">
        <v>162349057370</v>
      </c>
    </row>
    <row r="140" spans="1:2" x14ac:dyDescent="0.25">
      <c r="A140" s="1" t="s">
        <v>307</v>
      </c>
      <c r="B140">
        <v>161933363970</v>
      </c>
    </row>
    <row r="141" spans="1:2" x14ac:dyDescent="0.25">
      <c r="A141" s="1" t="s">
        <v>308</v>
      </c>
      <c r="B141">
        <v>165051064470</v>
      </c>
    </row>
    <row r="142" spans="1:2" x14ac:dyDescent="0.25">
      <c r="A142" s="1" t="s">
        <v>309</v>
      </c>
      <c r="B142">
        <v>166755407410</v>
      </c>
    </row>
    <row r="143" spans="1:2" x14ac:dyDescent="0.25">
      <c r="A143" s="1" t="s">
        <v>310</v>
      </c>
      <c r="B143">
        <v>166796976750</v>
      </c>
    </row>
    <row r="144" spans="1:2" x14ac:dyDescent="0.25">
      <c r="A144" s="1" t="s">
        <v>311</v>
      </c>
      <c r="B144">
        <v>163450644880</v>
      </c>
    </row>
    <row r="145" spans="1:2" x14ac:dyDescent="0.25">
      <c r="A145" s="1" t="s">
        <v>312</v>
      </c>
      <c r="B145">
        <v>160208236360</v>
      </c>
    </row>
    <row r="146" spans="1:2" x14ac:dyDescent="0.25">
      <c r="A146" s="1" t="s">
        <v>313</v>
      </c>
      <c r="B146">
        <v>157339951900</v>
      </c>
    </row>
    <row r="147" spans="1:2" x14ac:dyDescent="0.25">
      <c r="A147" s="1" t="s">
        <v>314</v>
      </c>
      <c r="B147">
        <v>158108984690</v>
      </c>
    </row>
    <row r="148" spans="1:2" x14ac:dyDescent="0.25">
      <c r="A148" s="1" t="s">
        <v>315</v>
      </c>
      <c r="B148">
        <v>161392962550</v>
      </c>
    </row>
    <row r="149" spans="1:2" x14ac:dyDescent="0.25">
      <c r="A149" s="1" t="s">
        <v>316</v>
      </c>
      <c r="B149">
        <v>162640042750</v>
      </c>
    </row>
    <row r="150" spans="1:2" x14ac:dyDescent="0.25">
      <c r="A150" s="1" t="s">
        <v>317</v>
      </c>
      <c r="B150">
        <v>162785535440</v>
      </c>
    </row>
    <row r="151" spans="1:2" x14ac:dyDescent="0.25">
      <c r="A151" s="1" t="s">
        <v>318</v>
      </c>
      <c r="B151">
        <v>161018838490</v>
      </c>
    </row>
    <row r="152" spans="1:2" x14ac:dyDescent="0.25">
      <c r="A152" s="1" t="s">
        <v>319</v>
      </c>
      <c r="B152">
        <v>163575352900</v>
      </c>
    </row>
    <row r="153" spans="1:2" x14ac:dyDescent="0.25">
      <c r="A153" s="1" t="s">
        <v>320</v>
      </c>
      <c r="B153">
        <v>165051064470</v>
      </c>
    </row>
    <row r="154" spans="1:2" x14ac:dyDescent="0.25">
      <c r="A154" s="1" t="s">
        <v>321</v>
      </c>
      <c r="B154">
        <v>163450644880</v>
      </c>
    </row>
    <row r="155" spans="1:2" x14ac:dyDescent="0.25">
      <c r="A155" s="1" t="s">
        <v>322</v>
      </c>
      <c r="B155">
        <v>164385955030</v>
      </c>
    </row>
    <row r="156" spans="1:2" x14ac:dyDescent="0.25">
      <c r="A156" s="1" t="s">
        <v>323</v>
      </c>
      <c r="B156">
        <v>168979367100</v>
      </c>
    </row>
    <row r="157" spans="1:2" x14ac:dyDescent="0.25">
      <c r="A157" s="1" t="s">
        <v>324</v>
      </c>
      <c r="B157">
        <v>168418181010</v>
      </c>
    </row>
    <row r="158" spans="1:2" x14ac:dyDescent="0.25">
      <c r="A158" s="1" t="s">
        <v>325</v>
      </c>
      <c r="B158">
        <v>165238126500</v>
      </c>
    </row>
    <row r="159" spans="1:2" x14ac:dyDescent="0.25">
      <c r="A159" s="1" t="s">
        <v>326</v>
      </c>
      <c r="B159">
        <v>161559239910</v>
      </c>
    </row>
    <row r="160" spans="1:2" x14ac:dyDescent="0.25">
      <c r="A160" s="1" t="s">
        <v>327</v>
      </c>
      <c r="B160">
        <v>163679276250</v>
      </c>
    </row>
    <row r="161" spans="1:2" x14ac:dyDescent="0.25">
      <c r="A161" s="1" t="s">
        <v>328</v>
      </c>
      <c r="B161">
        <v>162868674120</v>
      </c>
    </row>
    <row r="162" spans="1:2" x14ac:dyDescent="0.25">
      <c r="A162" s="1" t="s">
        <v>329</v>
      </c>
      <c r="B162">
        <v>162536119400</v>
      </c>
    </row>
    <row r="163" spans="1:2" x14ac:dyDescent="0.25">
      <c r="A163" s="1" t="s">
        <v>330</v>
      </c>
      <c r="B163">
        <v>162182780010</v>
      </c>
    </row>
    <row r="164" spans="1:2" x14ac:dyDescent="0.25">
      <c r="A164" s="1" t="s">
        <v>331</v>
      </c>
      <c r="B164">
        <v>158878017480</v>
      </c>
    </row>
    <row r="165" spans="1:2" x14ac:dyDescent="0.25">
      <c r="A165" s="1" t="s">
        <v>332</v>
      </c>
      <c r="B165">
        <v>159210572200</v>
      </c>
    </row>
    <row r="166" spans="1:2" x14ac:dyDescent="0.25">
      <c r="A166" s="1" t="s">
        <v>333</v>
      </c>
      <c r="B166">
        <v>162972597470</v>
      </c>
    </row>
    <row r="167" spans="1:2" x14ac:dyDescent="0.25">
      <c r="A167" s="1" t="s">
        <v>147</v>
      </c>
      <c r="B167">
        <v>169166429130</v>
      </c>
    </row>
    <row r="168" spans="1:2" x14ac:dyDescent="0.25">
      <c r="A168" s="1" t="s">
        <v>334</v>
      </c>
      <c r="B168">
        <v>164510663050</v>
      </c>
    </row>
    <row r="169" spans="1:2" x14ac:dyDescent="0.25">
      <c r="A169" s="1" t="s">
        <v>335</v>
      </c>
      <c r="B169">
        <v>143393438330</v>
      </c>
    </row>
    <row r="170" spans="1:2" x14ac:dyDescent="0.25">
      <c r="A170" s="1" t="s">
        <v>336</v>
      </c>
      <c r="B170">
        <v>143663639040</v>
      </c>
    </row>
    <row r="171" spans="1:2" x14ac:dyDescent="0.25">
      <c r="A171" s="1" t="s">
        <v>337</v>
      </c>
      <c r="B171">
        <v>147384094970</v>
      </c>
    </row>
    <row r="172" spans="1:2" x14ac:dyDescent="0.25">
      <c r="A172" s="1" t="s">
        <v>338</v>
      </c>
      <c r="B172">
        <v>148839021870</v>
      </c>
    </row>
    <row r="173" spans="1:2" x14ac:dyDescent="0.25">
      <c r="A173" s="1" t="s">
        <v>117</v>
      </c>
      <c r="B173">
        <v>146843693550</v>
      </c>
    </row>
    <row r="174" spans="1:2" x14ac:dyDescent="0.25">
      <c r="A174" s="1" t="s">
        <v>339</v>
      </c>
      <c r="B174">
        <v>146469569490</v>
      </c>
    </row>
    <row r="175" spans="1:2" x14ac:dyDescent="0.25">
      <c r="A175" s="1" t="s">
        <v>340</v>
      </c>
      <c r="B175">
        <v>143393438330</v>
      </c>
    </row>
    <row r="176" spans="1:2" x14ac:dyDescent="0.25">
      <c r="A176" s="1" t="s">
        <v>341</v>
      </c>
      <c r="B176">
        <v>141481248690</v>
      </c>
    </row>
    <row r="177" spans="1:2" x14ac:dyDescent="0.25">
      <c r="A177" s="1" t="s">
        <v>342</v>
      </c>
      <c r="B177">
        <v>138696102910</v>
      </c>
    </row>
    <row r="178" spans="1:2" x14ac:dyDescent="0.25">
      <c r="A178" s="1" t="s">
        <v>343</v>
      </c>
      <c r="B178">
        <v>135661541089</v>
      </c>
    </row>
    <row r="179" spans="1:2" x14ac:dyDescent="0.25">
      <c r="A179" s="1" t="s">
        <v>344</v>
      </c>
      <c r="B179">
        <v>138924734280</v>
      </c>
    </row>
    <row r="180" spans="1:2" x14ac:dyDescent="0.25">
      <c r="A180" s="1" t="s">
        <v>345</v>
      </c>
      <c r="B180">
        <v>139215719660</v>
      </c>
    </row>
    <row r="181" spans="1:2" x14ac:dyDescent="0.25">
      <c r="A181" s="1" t="s">
        <v>346</v>
      </c>
      <c r="B181">
        <v>136181157839</v>
      </c>
    </row>
    <row r="182" spans="1:2" x14ac:dyDescent="0.25">
      <c r="A182" s="1" t="s">
        <v>347</v>
      </c>
      <c r="B182">
        <v>137178822000</v>
      </c>
    </row>
    <row r="183" spans="1:2" x14ac:dyDescent="0.25">
      <c r="A183" s="1" t="s">
        <v>348</v>
      </c>
      <c r="B183">
        <v>132523055920</v>
      </c>
    </row>
    <row r="184" spans="1:2" x14ac:dyDescent="0.25">
      <c r="A184" s="1" t="s">
        <v>349</v>
      </c>
      <c r="B184">
        <v>133686997439</v>
      </c>
    </row>
    <row r="185" spans="1:2" x14ac:dyDescent="0.25">
      <c r="A185" s="1" t="s">
        <v>350</v>
      </c>
      <c r="B185">
        <v>134165044850</v>
      </c>
    </row>
    <row r="186" spans="1:2" x14ac:dyDescent="0.25">
      <c r="A186" s="1" t="s">
        <v>351</v>
      </c>
      <c r="B186">
        <v>135328986370</v>
      </c>
    </row>
    <row r="187" spans="1:2" x14ac:dyDescent="0.25">
      <c r="A187" s="1" t="s">
        <v>352</v>
      </c>
      <c r="B187">
        <v>134850938959</v>
      </c>
    </row>
    <row r="188" spans="1:2" x14ac:dyDescent="0.25">
      <c r="A188" s="1" t="s">
        <v>353</v>
      </c>
      <c r="B188">
        <v>131192837040</v>
      </c>
    </row>
    <row r="189" spans="1:2" x14ac:dyDescent="0.25">
      <c r="A189" s="1" t="s">
        <v>354</v>
      </c>
      <c r="B189">
        <v>132294424550</v>
      </c>
    </row>
    <row r="190" spans="1:2" x14ac:dyDescent="0.25">
      <c r="A190" s="1" t="s">
        <v>355</v>
      </c>
      <c r="B190">
        <v>131359114400</v>
      </c>
    </row>
    <row r="191" spans="1:2" x14ac:dyDescent="0.25">
      <c r="A191" s="1" t="s">
        <v>356</v>
      </c>
      <c r="B191">
        <v>131920300490</v>
      </c>
    </row>
    <row r="192" spans="1:2" x14ac:dyDescent="0.25">
      <c r="A192" s="1" t="s">
        <v>357</v>
      </c>
      <c r="B192">
        <v>129717125470</v>
      </c>
    </row>
    <row r="193" spans="1:2" x14ac:dyDescent="0.25">
      <c r="A193" s="1" t="s">
        <v>358</v>
      </c>
      <c r="B193">
        <v>125331560100</v>
      </c>
    </row>
    <row r="194" spans="1:2" x14ac:dyDescent="0.25">
      <c r="A194" s="1" t="s">
        <v>359</v>
      </c>
      <c r="B194">
        <v>122650337670</v>
      </c>
    </row>
    <row r="195" spans="1:2" x14ac:dyDescent="0.25">
      <c r="A195" s="1" t="s">
        <v>360</v>
      </c>
      <c r="B195">
        <v>119678129860</v>
      </c>
    </row>
    <row r="196" spans="1:2" x14ac:dyDescent="0.25">
      <c r="A196" s="1" t="s">
        <v>361</v>
      </c>
      <c r="B196">
        <v>120135392600</v>
      </c>
    </row>
    <row r="197" spans="1:2" x14ac:dyDescent="0.25">
      <c r="A197" s="1" t="s">
        <v>362</v>
      </c>
      <c r="B197">
        <v>121070702750</v>
      </c>
    </row>
    <row r="198" spans="1:2" x14ac:dyDescent="0.25">
      <c r="A198" s="1" t="s">
        <v>363</v>
      </c>
      <c r="B198">
        <v>121340903460</v>
      </c>
    </row>
    <row r="199" spans="1:2" x14ac:dyDescent="0.25">
      <c r="A199" s="1" t="s">
        <v>364</v>
      </c>
      <c r="B199">
        <v>126888689450</v>
      </c>
    </row>
    <row r="200" spans="1:2" x14ac:dyDescent="0.25">
      <c r="A200" s="1" t="s">
        <v>365</v>
      </c>
      <c r="B200">
        <v>130124278900</v>
      </c>
    </row>
    <row r="201" spans="1:2" x14ac:dyDescent="0.25">
      <c r="A201" s="1" t="s">
        <v>366</v>
      </c>
      <c r="B201">
        <v>130412802800</v>
      </c>
    </row>
    <row r="202" spans="1:2" x14ac:dyDescent="0.25">
      <c r="A202" s="1" t="s">
        <v>367</v>
      </c>
      <c r="B202">
        <v>127733652300</v>
      </c>
    </row>
    <row r="203" spans="1:2" x14ac:dyDescent="0.25">
      <c r="A203" s="1" t="s">
        <v>368</v>
      </c>
      <c r="B203">
        <v>127177213350</v>
      </c>
    </row>
    <row r="204" spans="1:2" x14ac:dyDescent="0.25">
      <c r="A204" s="1" t="s">
        <v>369</v>
      </c>
      <c r="B204">
        <v>126661992100</v>
      </c>
    </row>
    <row r="205" spans="1:2" x14ac:dyDescent="0.25">
      <c r="A205" s="1" t="s">
        <v>370</v>
      </c>
      <c r="B205">
        <v>125054501800</v>
      </c>
    </row>
    <row r="206" spans="1:2" x14ac:dyDescent="0.25">
      <c r="A206" s="1" t="s">
        <v>371</v>
      </c>
      <c r="B206">
        <v>128022176200</v>
      </c>
    </row>
    <row r="207" spans="1:2" x14ac:dyDescent="0.25">
      <c r="A207" s="1" t="s">
        <v>372</v>
      </c>
      <c r="B207">
        <v>127218431050</v>
      </c>
    </row>
    <row r="208" spans="1:2" x14ac:dyDescent="0.25">
      <c r="A208" s="1" t="s">
        <v>373</v>
      </c>
      <c r="B208">
        <v>127486346100</v>
      </c>
    </row>
    <row r="209" spans="1:2" x14ac:dyDescent="0.25">
      <c r="A209" s="1" t="s">
        <v>374</v>
      </c>
      <c r="B209">
        <v>128805312500</v>
      </c>
    </row>
    <row r="210" spans="1:2" x14ac:dyDescent="0.25">
      <c r="A210" s="1" t="s">
        <v>375</v>
      </c>
      <c r="B210">
        <v>127713043450</v>
      </c>
    </row>
    <row r="211" spans="1:2" x14ac:dyDescent="0.25">
      <c r="A211" s="1" t="s">
        <v>376</v>
      </c>
      <c r="B211">
        <v>129258707200</v>
      </c>
    </row>
    <row r="212" spans="1:2" x14ac:dyDescent="0.25">
      <c r="A212" s="1" t="s">
        <v>377</v>
      </c>
      <c r="B212">
        <v>128722877100</v>
      </c>
    </row>
    <row r="213" spans="1:2" x14ac:dyDescent="0.25">
      <c r="A213" s="1" t="s">
        <v>378</v>
      </c>
      <c r="B213">
        <v>127156604500</v>
      </c>
    </row>
    <row r="214" spans="1:2" x14ac:dyDescent="0.25">
      <c r="A214" s="1" t="s">
        <v>379</v>
      </c>
      <c r="B214">
        <v>125672767300</v>
      </c>
    </row>
    <row r="215" spans="1:2" x14ac:dyDescent="0.25">
      <c r="A215" s="1" t="s">
        <v>380</v>
      </c>
      <c r="B215">
        <v>123137878750</v>
      </c>
    </row>
    <row r="216" spans="1:2" x14ac:dyDescent="0.25">
      <c r="A216" s="1" t="s">
        <v>381</v>
      </c>
      <c r="B216">
        <v>119469503450</v>
      </c>
    </row>
    <row r="217" spans="1:2" x14ac:dyDescent="0.25">
      <c r="A217" s="1" t="s">
        <v>382</v>
      </c>
      <c r="B217">
        <v>120829687550</v>
      </c>
    </row>
    <row r="218" spans="1:2" x14ac:dyDescent="0.25">
      <c r="A218" s="1" t="s">
        <v>383</v>
      </c>
      <c r="B218">
        <v>118191754750</v>
      </c>
    </row>
    <row r="219" spans="1:2" x14ac:dyDescent="0.25">
      <c r="A219" s="1" t="s">
        <v>384</v>
      </c>
      <c r="B219">
        <v>116192696300</v>
      </c>
    </row>
    <row r="220" spans="1:2" x14ac:dyDescent="0.25">
      <c r="A220" s="1" t="s">
        <v>385</v>
      </c>
      <c r="B220">
        <v>116233914000</v>
      </c>
    </row>
    <row r="221" spans="1:2" x14ac:dyDescent="0.25">
      <c r="A221" s="1" t="s">
        <v>386</v>
      </c>
      <c r="B221">
        <v>115842345850</v>
      </c>
    </row>
    <row r="222" spans="1:2" x14ac:dyDescent="0.25">
      <c r="A222" s="1" t="s">
        <v>387</v>
      </c>
      <c r="B222">
        <v>115533213100</v>
      </c>
    </row>
    <row r="223" spans="1:2" x14ac:dyDescent="0.25">
      <c r="A223" s="1" t="s">
        <v>388</v>
      </c>
      <c r="B223">
        <v>114008158200</v>
      </c>
    </row>
    <row r="224" spans="1:2" x14ac:dyDescent="0.25">
      <c r="A224" s="1" t="s">
        <v>389</v>
      </c>
      <c r="B224">
        <v>114111202450</v>
      </c>
    </row>
    <row r="225" spans="1:2" x14ac:dyDescent="0.25">
      <c r="A225" s="1" t="s">
        <v>390</v>
      </c>
      <c r="B225">
        <v>113039542250</v>
      </c>
    </row>
    <row r="226" spans="1:2" x14ac:dyDescent="0.25">
      <c r="A226" s="1" t="s">
        <v>391</v>
      </c>
      <c r="B226">
        <v>112833453750</v>
      </c>
    </row>
    <row r="227" spans="1:2" x14ac:dyDescent="0.25">
      <c r="A227" s="1" t="s">
        <v>392</v>
      </c>
      <c r="B227">
        <v>112194579400</v>
      </c>
    </row>
    <row r="228" spans="1:2" x14ac:dyDescent="0.25">
      <c r="A228" s="1" t="s">
        <v>393</v>
      </c>
      <c r="B228">
        <v>112153361700</v>
      </c>
    </row>
    <row r="229" spans="1:2" x14ac:dyDescent="0.25">
      <c r="A229" s="1" t="s">
        <v>394</v>
      </c>
      <c r="B229">
        <v>110793177600</v>
      </c>
    </row>
    <row r="230" spans="1:2" x14ac:dyDescent="0.25">
      <c r="A230" s="1" t="s">
        <v>395</v>
      </c>
      <c r="B230">
        <v>111040483800</v>
      </c>
    </row>
    <row r="231" spans="1:2" x14ac:dyDescent="0.25">
      <c r="A231" s="1" t="s">
        <v>396</v>
      </c>
      <c r="B231">
        <v>107660632400</v>
      </c>
    </row>
    <row r="232" spans="1:2" x14ac:dyDescent="0.25">
      <c r="A232" s="1" t="s">
        <v>397</v>
      </c>
      <c r="B232">
        <v>106300448300</v>
      </c>
    </row>
    <row r="233" spans="1:2" x14ac:dyDescent="0.25">
      <c r="A233" s="1" t="s">
        <v>398</v>
      </c>
      <c r="B233">
        <v>103147294250</v>
      </c>
    </row>
    <row r="234" spans="1:2" x14ac:dyDescent="0.25">
      <c r="A234" s="1" t="s">
        <v>399</v>
      </c>
      <c r="B234">
        <v>102013807500</v>
      </c>
    </row>
    <row r="235" spans="1:2" x14ac:dyDescent="0.25">
      <c r="A235" s="1" t="s">
        <v>119</v>
      </c>
      <c r="B235">
        <v>102879379200</v>
      </c>
    </row>
    <row r="236" spans="1:2" x14ac:dyDescent="0.25">
      <c r="A236" s="1" t="s">
        <v>400</v>
      </c>
      <c r="B236">
        <v>99211003900</v>
      </c>
    </row>
    <row r="237" spans="1:2" x14ac:dyDescent="0.25">
      <c r="A237" s="1" t="s">
        <v>401</v>
      </c>
      <c r="B237">
        <v>98407258750</v>
      </c>
    </row>
    <row r="238" spans="1:2" x14ac:dyDescent="0.25">
      <c r="A238" s="1" t="s">
        <v>402</v>
      </c>
      <c r="B238">
        <v>95789934800</v>
      </c>
    </row>
    <row r="239" spans="1:2" x14ac:dyDescent="0.25">
      <c r="A239" s="1" t="s">
        <v>403</v>
      </c>
      <c r="B239">
        <v>90328589550</v>
      </c>
    </row>
    <row r="240" spans="1:2" x14ac:dyDescent="0.25">
      <c r="A240" s="1" t="s">
        <v>404</v>
      </c>
      <c r="B240">
        <v>89195102800</v>
      </c>
    </row>
    <row r="241" spans="1:2" x14ac:dyDescent="0.25">
      <c r="A241" s="1" t="s">
        <v>405</v>
      </c>
      <c r="B241">
        <v>88061616050</v>
      </c>
    </row>
    <row r="242" spans="1:2" x14ac:dyDescent="0.25">
      <c r="A242" s="1" t="s">
        <v>406</v>
      </c>
      <c r="B242">
        <v>84970288550</v>
      </c>
    </row>
    <row r="243" spans="1:2" x14ac:dyDescent="0.25">
      <c r="A243" s="1" t="s">
        <v>407</v>
      </c>
      <c r="B243">
        <v>83713148700</v>
      </c>
    </row>
    <row r="244" spans="1:2" x14ac:dyDescent="0.25">
      <c r="A244" s="1" t="s">
        <v>408</v>
      </c>
      <c r="B244">
        <v>87278479750</v>
      </c>
    </row>
    <row r="245" spans="1:2" x14ac:dyDescent="0.25">
      <c r="A245" s="1" t="s">
        <v>409</v>
      </c>
      <c r="B245">
        <v>91070508150</v>
      </c>
    </row>
    <row r="246" spans="1:2" x14ac:dyDescent="0.25">
      <c r="A246" s="1" t="s">
        <v>410</v>
      </c>
      <c r="B246">
        <v>88700490400</v>
      </c>
    </row>
    <row r="247" spans="1:2" x14ac:dyDescent="0.25">
      <c r="A247" s="1" t="s">
        <v>411</v>
      </c>
      <c r="B247">
        <v>88535619600</v>
      </c>
    </row>
    <row r="248" spans="1:2" x14ac:dyDescent="0.25">
      <c r="A248" s="1" t="s">
        <v>412</v>
      </c>
      <c r="B248">
        <v>88041007200</v>
      </c>
    </row>
    <row r="249" spans="1:2" x14ac:dyDescent="0.25">
      <c r="A249" s="1" t="s">
        <v>413</v>
      </c>
      <c r="B249">
        <v>88618055000</v>
      </c>
    </row>
    <row r="250" spans="1:2" x14ac:dyDescent="0.25">
      <c r="A250" s="1" t="s">
        <v>414</v>
      </c>
      <c r="B250">
        <v>91462076300</v>
      </c>
    </row>
    <row r="251" spans="1:2" x14ac:dyDescent="0.25">
      <c r="A251" s="1" t="s">
        <v>415</v>
      </c>
      <c r="B251">
        <v>92142168350</v>
      </c>
    </row>
    <row r="252" spans="1:2" x14ac:dyDescent="0.25">
      <c r="A252" s="1" t="s">
        <v>416</v>
      </c>
      <c r="B252">
        <v>89607279800</v>
      </c>
    </row>
    <row r="253" spans="1:2" x14ac:dyDescent="0.25">
      <c r="A253" s="1" t="s">
        <v>417</v>
      </c>
      <c r="B253">
        <v>94697665750</v>
      </c>
    </row>
    <row r="254" spans="1:2" x14ac:dyDescent="0.25">
      <c r="A254" s="1" t="s">
        <v>418</v>
      </c>
      <c r="B254">
        <v>96119676400</v>
      </c>
    </row>
    <row r="255" spans="1:2" x14ac:dyDescent="0.25">
      <c r="A255" s="1" t="s">
        <v>419</v>
      </c>
      <c r="B255">
        <v>96099067550</v>
      </c>
    </row>
    <row r="256" spans="1:2" x14ac:dyDescent="0.25">
      <c r="A256" s="1" t="s">
        <v>420</v>
      </c>
      <c r="B256">
        <v>93667223250</v>
      </c>
    </row>
    <row r="257" spans="1:2" x14ac:dyDescent="0.25">
      <c r="A257" s="1" t="s">
        <v>421</v>
      </c>
      <c r="B257">
        <v>94347315300</v>
      </c>
    </row>
    <row r="258" spans="1:2" x14ac:dyDescent="0.25">
      <c r="A258" s="1" t="s">
        <v>422</v>
      </c>
      <c r="B258">
        <v>91936079850</v>
      </c>
    </row>
    <row r="259" spans="1:2" x14ac:dyDescent="0.25">
      <c r="A259" s="1" t="s">
        <v>423</v>
      </c>
      <c r="B259">
        <v>92616171900</v>
      </c>
    </row>
    <row r="260" spans="1:2" x14ac:dyDescent="0.25">
      <c r="A260" s="1" t="s">
        <v>424</v>
      </c>
      <c r="B260">
        <v>91729991350</v>
      </c>
    </row>
    <row r="261" spans="1:2" x14ac:dyDescent="0.25">
      <c r="A261" s="1" t="s">
        <v>425</v>
      </c>
      <c r="B261">
        <v>94141226800</v>
      </c>
    </row>
    <row r="262" spans="1:2" x14ac:dyDescent="0.25">
      <c r="A262" s="1" t="s">
        <v>426</v>
      </c>
      <c r="B262">
        <v>94035201120</v>
      </c>
    </row>
    <row r="263" spans="1:2" x14ac:dyDescent="0.25">
      <c r="A263" s="1" t="s">
        <v>427</v>
      </c>
      <c r="B263">
        <v>94341904320</v>
      </c>
    </row>
    <row r="264" spans="1:2" x14ac:dyDescent="0.25">
      <c r="A264" s="1" t="s">
        <v>428</v>
      </c>
      <c r="B264">
        <v>92297216320</v>
      </c>
    </row>
    <row r="265" spans="1:2" x14ac:dyDescent="0.25">
      <c r="A265" s="1" t="s">
        <v>429</v>
      </c>
      <c r="B265">
        <v>90518337760</v>
      </c>
    </row>
    <row r="266" spans="1:2" x14ac:dyDescent="0.25">
      <c r="A266" s="1" t="s">
        <v>430</v>
      </c>
      <c r="B266">
        <v>91826938080</v>
      </c>
    </row>
    <row r="267" spans="1:2" x14ac:dyDescent="0.25">
      <c r="A267" s="1" t="s">
        <v>431</v>
      </c>
      <c r="B267">
        <v>90804594080</v>
      </c>
    </row>
    <row r="268" spans="1:2" x14ac:dyDescent="0.25">
      <c r="A268" s="1" t="s">
        <v>432</v>
      </c>
      <c r="B268">
        <v>91193084800</v>
      </c>
    </row>
    <row r="269" spans="1:2" x14ac:dyDescent="0.25">
      <c r="A269" s="1" t="s">
        <v>433</v>
      </c>
      <c r="B269">
        <v>95180226400</v>
      </c>
    </row>
    <row r="270" spans="1:2" x14ac:dyDescent="0.25">
      <c r="A270" s="1" t="s">
        <v>434</v>
      </c>
      <c r="B270">
        <v>97306701920</v>
      </c>
    </row>
    <row r="271" spans="1:2" x14ac:dyDescent="0.25">
      <c r="A271" s="1" t="s">
        <v>435</v>
      </c>
      <c r="B271">
        <v>95098438880</v>
      </c>
    </row>
    <row r="272" spans="1:2" x14ac:dyDescent="0.25">
      <c r="A272" s="1" t="s">
        <v>436</v>
      </c>
      <c r="B272">
        <v>97163573760</v>
      </c>
    </row>
    <row r="273" spans="1:2" x14ac:dyDescent="0.25">
      <c r="A273" s="1" t="s">
        <v>437</v>
      </c>
      <c r="B273">
        <v>98799324160</v>
      </c>
    </row>
    <row r="274" spans="1:2" x14ac:dyDescent="0.25">
      <c r="A274" s="1" t="s">
        <v>438</v>
      </c>
      <c r="B274">
        <v>98472174080</v>
      </c>
    </row>
    <row r="275" spans="1:2" x14ac:dyDescent="0.25">
      <c r="A275" s="1" t="s">
        <v>439</v>
      </c>
      <c r="B275">
        <v>97981448960</v>
      </c>
    </row>
    <row r="276" spans="1:2" x14ac:dyDescent="0.25">
      <c r="A276" s="1" t="s">
        <v>440</v>
      </c>
      <c r="B276">
        <v>100067030720</v>
      </c>
    </row>
    <row r="277" spans="1:2" x14ac:dyDescent="0.25">
      <c r="A277" s="1" t="s">
        <v>441</v>
      </c>
      <c r="B277">
        <v>96591061120</v>
      </c>
    </row>
    <row r="278" spans="1:2" x14ac:dyDescent="0.25">
      <c r="A278" s="1" t="s">
        <v>442</v>
      </c>
      <c r="B278">
        <v>94607713760</v>
      </c>
    </row>
    <row r="279" spans="1:2" x14ac:dyDescent="0.25">
      <c r="A279" s="1" t="s">
        <v>443</v>
      </c>
      <c r="B279">
        <v>93851179200</v>
      </c>
    </row>
    <row r="280" spans="1:2" x14ac:dyDescent="0.25">
      <c r="A280" s="1" t="s">
        <v>444</v>
      </c>
      <c r="B280">
        <v>95180226400</v>
      </c>
    </row>
    <row r="281" spans="1:2" x14ac:dyDescent="0.25">
      <c r="A281" s="1" t="s">
        <v>445</v>
      </c>
      <c r="B281">
        <v>96182123520</v>
      </c>
    </row>
    <row r="282" spans="1:2" x14ac:dyDescent="0.25">
      <c r="A282" s="1" t="s">
        <v>446</v>
      </c>
      <c r="B282">
        <v>96570614240</v>
      </c>
    </row>
    <row r="283" spans="1:2" x14ac:dyDescent="0.25">
      <c r="A283" s="1" t="s">
        <v>447</v>
      </c>
      <c r="B283">
        <v>95098438880</v>
      </c>
    </row>
    <row r="284" spans="1:2" x14ac:dyDescent="0.25">
      <c r="A284" s="1" t="s">
        <v>448</v>
      </c>
      <c r="B284">
        <v>92726600800</v>
      </c>
    </row>
    <row r="285" spans="1:2" x14ac:dyDescent="0.25">
      <c r="A285" s="1" t="s">
        <v>449</v>
      </c>
      <c r="B285">
        <v>90272975200</v>
      </c>
    </row>
    <row r="286" spans="1:2" x14ac:dyDescent="0.25">
      <c r="A286" s="1" t="s">
        <v>450</v>
      </c>
      <c r="B286">
        <v>89884484480</v>
      </c>
    </row>
    <row r="287" spans="1:2" x14ac:dyDescent="0.25">
      <c r="A287" s="1" t="s">
        <v>451</v>
      </c>
      <c r="B287">
        <v>91356659840</v>
      </c>
    </row>
    <row r="288" spans="1:2" x14ac:dyDescent="0.25">
      <c r="A288" s="1" t="s">
        <v>452</v>
      </c>
      <c r="B288">
        <v>92297216320</v>
      </c>
    </row>
    <row r="289" spans="1:2" x14ac:dyDescent="0.25">
      <c r="A289" s="1" t="s">
        <v>453</v>
      </c>
      <c r="B289">
        <v>90681912800</v>
      </c>
    </row>
    <row r="290" spans="1:2" x14ac:dyDescent="0.25">
      <c r="A290" s="1" t="s">
        <v>454</v>
      </c>
      <c r="B290">
        <v>91254425440</v>
      </c>
    </row>
    <row r="291" spans="1:2" x14ac:dyDescent="0.25">
      <c r="A291" s="1" t="s">
        <v>455</v>
      </c>
      <c r="B291">
        <v>91377106720</v>
      </c>
    </row>
    <row r="292" spans="1:2" x14ac:dyDescent="0.25">
      <c r="A292" s="1" t="s">
        <v>456</v>
      </c>
      <c r="B292">
        <v>89904931360</v>
      </c>
    </row>
    <row r="293" spans="1:2" x14ac:dyDescent="0.25">
      <c r="A293" s="1" t="s">
        <v>457</v>
      </c>
      <c r="B293">
        <v>89250631200</v>
      </c>
    </row>
    <row r="294" spans="1:2" x14ac:dyDescent="0.25">
      <c r="A294" s="1" t="s">
        <v>458</v>
      </c>
      <c r="B294">
        <v>90129847040</v>
      </c>
    </row>
    <row r="295" spans="1:2" x14ac:dyDescent="0.25">
      <c r="A295" s="1" t="s">
        <v>459</v>
      </c>
      <c r="B295">
        <v>91704256800</v>
      </c>
    </row>
    <row r="296" spans="1:2" x14ac:dyDescent="0.25">
      <c r="A296" s="1" t="s">
        <v>460</v>
      </c>
      <c r="B296">
        <v>89373312480</v>
      </c>
    </row>
    <row r="297" spans="1:2" x14ac:dyDescent="0.25">
      <c r="A297" s="1" t="s">
        <v>461</v>
      </c>
      <c r="B297">
        <v>91193084800</v>
      </c>
    </row>
    <row r="298" spans="1:2" x14ac:dyDescent="0.25">
      <c r="A298" s="1" t="s">
        <v>462</v>
      </c>
      <c r="B298">
        <v>90191187680</v>
      </c>
    </row>
    <row r="299" spans="1:2" x14ac:dyDescent="0.25">
      <c r="A299" s="1" t="s">
        <v>463</v>
      </c>
      <c r="B299">
        <v>92338110080</v>
      </c>
    </row>
    <row r="300" spans="1:2" x14ac:dyDescent="0.25">
      <c r="A300" s="1" t="s">
        <v>464</v>
      </c>
      <c r="B300">
        <v>91908725600</v>
      </c>
    </row>
    <row r="301" spans="1:2" x14ac:dyDescent="0.25">
      <c r="A301" s="1" t="s">
        <v>465</v>
      </c>
      <c r="B301">
        <v>92419897600</v>
      </c>
    </row>
    <row r="302" spans="1:2" x14ac:dyDescent="0.25">
      <c r="A302" s="1" t="s">
        <v>466</v>
      </c>
      <c r="B302">
        <v>93871626080</v>
      </c>
    </row>
    <row r="303" spans="1:2" x14ac:dyDescent="0.25">
      <c r="A303" s="1" t="s">
        <v>467</v>
      </c>
      <c r="B303">
        <v>96018548480</v>
      </c>
    </row>
    <row r="304" spans="1:2" x14ac:dyDescent="0.25">
      <c r="A304" s="1" t="s">
        <v>121</v>
      </c>
      <c r="B304">
        <v>95384695200</v>
      </c>
    </row>
    <row r="305" spans="1:2" x14ac:dyDescent="0.25">
      <c r="A305" s="1" t="s">
        <v>468</v>
      </c>
      <c r="B305">
        <v>101130268480</v>
      </c>
    </row>
    <row r="306" spans="1:2" x14ac:dyDescent="0.25">
      <c r="A306" s="1" t="s">
        <v>469</v>
      </c>
      <c r="B306">
        <v>98431280320</v>
      </c>
    </row>
    <row r="307" spans="1:2" x14ac:dyDescent="0.25">
      <c r="A307" s="1" t="s">
        <v>470</v>
      </c>
      <c r="B307">
        <v>95302907680</v>
      </c>
    </row>
    <row r="308" spans="1:2" x14ac:dyDescent="0.25">
      <c r="A308" s="1" t="s">
        <v>471</v>
      </c>
      <c r="B308">
        <v>96734189280</v>
      </c>
    </row>
    <row r="309" spans="1:2" x14ac:dyDescent="0.25">
      <c r="A309" s="1" t="s">
        <v>472</v>
      </c>
      <c r="B309">
        <v>96447932960</v>
      </c>
    </row>
    <row r="310" spans="1:2" x14ac:dyDescent="0.25">
      <c r="A310" s="1" t="s">
        <v>473</v>
      </c>
      <c r="B310">
        <v>96754636160</v>
      </c>
    </row>
    <row r="311" spans="1:2" x14ac:dyDescent="0.25">
      <c r="A311" s="1" t="s">
        <v>474</v>
      </c>
      <c r="B311">
        <v>96570614240</v>
      </c>
    </row>
    <row r="312" spans="1:2" x14ac:dyDescent="0.25">
      <c r="A312" s="1" t="s">
        <v>475</v>
      </c>
      <c r="B312">
        <v>95221120160</v>
      </c>
    </row>
    <row r="313" spans="1:2" x14ac:dyDescent="0.25">
      <c r="A313" s="1" t="s">
        <v>476</v>
      </c>
      <c r="B313">
        <v>96345698560</v>
      </c>
    </row>
    <row r="314" spans="1:2" x14ac:dyDescent="0.25">
      <c r="A314" s="1" t="s">
        <v>477</v>
      </c>
      <c r="B314">
        <v>96938658080</v>
      </c>
    </row>
    <row r="315" spans="1:2" x14ac:dyDescent="0.25">
      <c r="A315" s="1" t="s">
        <v>478</v>
      </c>
      <c r="B315">
        <v>93053750880</v>
      </c>
    </row>
    <row r="316" spans="1:2" x14ac:dyDescent="0.25">
      <c r="A316" s="1" t="s">
        <v>479</v>
      </c>
      <c r="B316">
        <v>91499788000</v>
      </c>
    </row>
    <row r="317" spans="1:2" x14ac:dyDescent="0.25">
      <c r="A317" s="1" t="s">
        <v>480</v>
      </c>
      <c r="B317">
        <v>93319560320</v>
      </c>
    </row>
    <row r="318" spans="1:2" x14ac:dyDescent="0.25">
      <c r="A318" s="1" t="s">
        <v>481</v>
      </c>
      <c r="B318">
        <v>91029509760</v>
      </c>
    </row>
    <row r="319" spans="1:2" x14ac:dyDescent="0.25">
      <c r="A319" s="1" t="s">
        <v>482</v>
      </c>
      <c r="B319">
        <v>90702359680</v>
      </c>
    </row>
    <row r="320" spans="1:2" x14ac:dyDescent="0.25">
      <c r="A320" s="1" t="s">
        <v>483</v>
      </c>
      <c r="B320">
        <v>87471752640</v>
      </c>
    </row>
    <row r="321" spans="1:2" x14ac:dyDescent="0.25">
      <c r="A321" s="1" t="s">
        <v>484</v>
      </c>
      <c r="B321">
        <v>87737562080</v>
      </c>
    </row>
    <row r="322" spans="1:2" x14ac:dyDescent="0.25">
      <c r="A322" s="1" t="s">
        <v>485</v>
      </c>
      <c r="B322">
        <v>86101811680</v>
      </c>
    </row>
    <row r="323" spans="1:2" x14ac:dyDescent="0.25">
      <c r="A323" s="1" t="s">
        <v>486</v>
      </c>
      <c r="B323">
        <v>89271078080</v>
      </c>
    </row>
    <row r="324" spans="1:2" x14ac:dyDescent="0.25">
      <c r="A324" s="1" t="s">
        <v>487</v>
      </c>
      <c r="B324">
        <v>88105605920</v>
      </c>
    </row>
    <row r="325" spans="1:2" x14ac:dyDescent="0.25">
      <c r="A325" s="1" t="s">
        <v>73</v>
      </c>
      <c r="B325">
        <v>88269180960</v>
      </c>
    </row>
    <row r="326" spans="1:2" x14ac:dyDescent="0.25">
      <c r="A326" s="1" t="s">
        <v>488</v>
      </c>
      <c r="B326">
        <v>86301697540</v>
      </c>
    </row>
    <row r="327" spans="1:2" x14ac:dyDescent="0.25">
      <c r="A327" s="1" t="s">
        <v>489</v>
      </c>
      <c r="B327">
        <v>89666207120</v>
      </c>
    </row>
    <row r="328" spans="1:2" x14ac:dyDescent="0.25">
      <c r="A328" s="1" t="s">
        <v>490</v>
      </c>
      <c r="B328">
        <v>88835213790</v>
      </c>
    </row>
    <row r="329" spans="1:2" x14ac:dyDescent="0.25">
      <c r="A329" s="1" t="s">
        <v>491</v>
      </c>
      <c r="B329">
        <v>90031033460</v>
      </c>
    </row>
    <row r="330" spans="1:2" x14ac:dyDescent="0.25">
      <c r="A330" s="1" t="s">
        <v>492</v>
      </c>
      <c r="B330">
        <v>87842075420</v>
      </c>
    </row>
    <row r="331" spans="1:2" x14ac:dyDescent="0.25">
      <c r="A331" s="1" t="s">
        <v>493</v>
      </c>
      <c r="B331">
        <v>86767864530</v>
      </c>
    </row>
    <row r="332" spans="1:2" x14ac:dyDescent="0.25">
      <c r="A332" s="1" t="s">
        <v>494</v>
      </c>
      <c r="B332">
        <v>86463842580</v>
      </c>
    </row>
    <row r="333" spans="1:2" x14ac:dyDescent="0.25">
      <c r="A333" s="1" t="s">
        <v>495</v>
      </c>
      <c r="B333">
        <v>85470704210</v>
      </c>
    </row>
    <row r="334" spans="1:2" x14ac:dyDescent="0.25">
      <c r="A334" s="1" t="s">
        <v>496</v>
      </c>
      <c r="B334">
        <v>88206901760</v>
      </c>
    </row>
    <row r="335" spans="1:2" x14ac:dyDescent="0.25">
      <c r="A335" s="1" t="s">
        <v>497</v>
      </c>
      <c r="B335">
        <v>87882611680</v>
      </c>
    </row>
    <row r="336" spans="1:2" x14ac:dyDescent="0.25">
      <c r="A336" s="1" t="s">
        <v>498</v>
      </c>
      <c r="B336">
        <v>83646572510</v>
      </c>
    </row>
    <row r="337" spans="1:2" x14ac:dyDescent="0.25">
      <c r="A337" s="1" t="s">
        <v>499</v>
      </c>
      <c r="B337">
        <v>83930326330</v>
      </c>
    </row>
    <row r="338" spans="1:2" x14ac:dyDescent="0.25">
      <c r="A338" s="1" t="s">
        <v>500</v>
      </c>
      <c r="B338">
        <v>84599174620</v>
      </c>
    </row>
    <row r="339" spans="1:2" x14ac:dyDescent="0.25">
      <c r="A339" s="1" t="s">
        <v>501</v>
      </c>
      <c r="B339">
        <v>83079064870</v>
      </c>
    </row>
    <row r="340" spans="1:2" x14ac:dyDescent="0.25">
      <c r="A340" s="1" t="s">
        <v>502</v>
      </c>
      <c r="B340">
        <v>81599491380</v>
      </c>
    </row>
    <row r="341" spans="1:2" x14ac:dyDescent="0.25">
      <c r="A341" s="1" t="s">
        <v>503</v>
      </c>
      <c r="B341">
        <v>79025438870</v>
      </c>
    </row>
    <row r="342" spans="1:2" x14ac:dyDescent="0.25">
      <c r="A342" s="1" t="s">
        <v>504</v>
      </c>
      <c r="B342">
        <v>81579223250</v>
      </c>
    </row>
    <row r="343" spans="1:2" x14ac:dyDescent="0.25">
      <c r="A343" s="1" t="s">
        <v>505</v>
      </c>
      <c r="B343">
        <v>81923781460</v>
      </c>
    </row>
    <row r="344" spans="1:2" x14ac:dyDescent="0.25">
      <c r="A344" s="1" t="s">
        <v>506</v>
      </c>
      <c r="B344">
        <v>80525280490</v>
      </c>
    </row>
    <row r="345" spans="1:2" x14ac:dyDescent="0.25">
      <c r="A345" s="1" t="s">
        <v>507</v>
      </c>
      <c r="B345">
        <v>77991764240</v>
      </c>
    </row>
    <row r="346" spans="1:2" x14ac:dyDescent="0.25">
      <c r="A346" s="1" t="s">
        <v>508</v>
      </c>
      <c r="B346">
        <v>76877017090</v>
      </c>
    </row>
    <row r="347" spans="1:2" x14ac:dyDescent="0.25">
      <c r="A347" s="1" t="s">
        <v>509</v>
      </c>
      <c r="B347">
        <v>76127096280</v>
      </c>
    </row>
    <row r="348" spans="1:2" x14ac:dyDescent="0.25">
      <c r="A348" s="1" t="s">
        <v>510</v>
      </c>
      <c r="B348">
        <v>77930959850</v>
      </c>
    </row>
    <row r="349" spans="1:2" x14ac:dyDescent="0.25">
      <c r="A349" s="1" t="s">
        <v>511</v>
      </c>
      <c r="B349">
        <v>76917553350</v>
      </c>
    </row>
    <row r="350" spans="1:2" x14ac:dyDescent="0.25">
      <c r="A350" s="1" t="s">
        <v>512</v>
      </c>
      <c r="B350">
        <v>76937821480</v>
      </c>
    </row>
    <row r="351" spans="1:2" x14ac:dyDescent="0.25">
      <c r="A351" s="1" t="s">
        <v>513</v>
      </c>
      <c r="B351">
        <v>78356590580</v>
      </c>
    </row>
    <row r="352" spans="1:2" x14ac:dyDescent="0.25">
      <c r="A352" s="1" t="s">
        <v>514</v>
      </c>
      <c r="B352">
        <v>79390265210</v>
      </c>
    </row>
    <row r="353" spans="1:2" x14ac:dyDescent="0.25">
      <c r="A353" s="1" t="s">
        <v>515</v>
      </c>
      <c r="B353">
        <v>79410533340</v>
      </c>
    </row>
    <row r="354" spans="1:2" x14ac:dyDescent="0.25">
      <c r="A354" s="1" t="s">
        <v>516</v>
      </c>
      <c r="B354">
        <v>79552410250</v>
      </c>
    </row>
    <row r="355" spans="1:2" x14ac:dyDescent="0.25">
      <c r="A355" s="1" t="s">
        <v>517</v>
      </c>
      <c r="B355">
        <v>76694603920</v>
      </c>
    </row>
    <row r="356" spans="1:2" x14ac:dyDescent="0.25">
      <c r="A356" s="1" t="s">
        <v>518</v>
      </c>
      <c r="B356">
        <v>75883878720</v>
      </c>
    </row>
    <row r="357" spans="1:2" x14ac:dyDescent="0.25">
      <c r="A357" s="1" t="s">
        <v>519</v>
      </c>
      <c r="B357">
        <v>77302647820</v>
      </c>
    </row>
    <row r="358" spans="1:2" x14ac:dyDescent="0.25">
      <c r="A358" s="1" t="s">
        <v>520</v>
      </c>
      <c r="B358">
        <v>77930959850</v>
      </c>
    </row>
    <row r="359" spans="1:2" x14ac:dyDescent="0.25">
      <c r="A359" s="1" t="s">
        <v>521</v>
      </c>
      <c r="B359">
        <v>77870155460</v>
      </c>
    </row>
    <row r="360" spans="1:2" x14ac:dyDescent="0.25">
      <c r="A360" s="1" t="s">
        <v>522</v>
      </c>
      <c r="B360">
        <v>78620076270</v>
      </c>
    </row>
    <row r="361" spans="1:2" x14ac:dyDescent="0.25">
      <c r="A361" s="1" t="s">
        <v>523</v>
      </c>
      <c r="B361">
        <v>77403988470</v>
      </c>
    </row>
    <row r="362" spans="1:2" x14ac:dyDescent="0.25">
      <c r="A362" s="1" t="s">
        <v>524</v>
      </c>
      <c r="B362">
        <v>78701148790</v>
      </c>
    </row>
    <row r="363" spans="1:2" x14ac:dyDescent="0.25">
      <c r="A363" s="1" t="s">
        <v>525</v>
      </c>
      <c r="B363">
        <v>76512190750</v>
      </c>
    </row>
    <row r="364" spans="1:2" x14ac:dyDescent="0.25">
      <c r="A364" s="1" t="s">
        <v>526</v>
      </c>
      <c r="B364">
        <v>75985219370</v>
      </c>
    </row>
    <row r="365" spans="1:2" x14ac:dyDescent="0.25">
      <c r="A365" s="1" t="s">
        <v>527</v>
      </c>
      <c r="B365">
        <v>76694603920</v>
      </c>
    </row>
    <row r="366" spans="1:2" x14ac:dyDescent="0.25">
      <c r="A366" s="1" t="s">
        <v>122</v>
      </c>
      <c r="B366">
        <v>74019210760</v>
      </c>
    </row>
    <row r="367" spans="1:2" x14ac:dyDescent="0.25">
      <c r="A367" s="1" t="s">
        <v>528</v>
      </c>
      <c r="B367">
        <v>66357857620</v>
      </c>
    </row>
    <row r="368" spans="1:2" x14ac:dyDescent="0.25">
      <c r="A368" s="1" t="s">
        <v>529</v>
      </c>
      <c r="B368">
        <v>62932543650</v>
      </c>
    </row>
    <row r="369" spans="1:2" x14ac:dyDescent="0.25">
      <c r="A369" s="1" t="s">
        <v>530</v>
      </c>
      <c r="B369">
        <v>60196346100</v>
      </c>
    </row>
    <row r="370" spans="1:2" x14ac:dyDescent="0.25">
      <c r="A370" s="1" t="s">
        <v>531</v>
      </c>
      <c r="B370">
        <v>60155809840</v>
      </c>
    </row>
    <row r="371" spans="1:2" x14ac:dyDescent="0.25">
      <c r="A371" s="1" t="s">
        <v>532</v>
      </c>
      <c r="B371">
        <v>59973396670</v>
      </c>
    </row>
    <row r="372" spans="1:2" x14ac:dyDescent="0.25">
      <c r="A372" s="1" t="s">
        <v>533</v>
      </c>
      <c r="B372">
        <v>62182622840</v>
      </c>
    </row>
    <row r="373" spans="1:2" x14ac:dyDescent="0.25">
      <c r="A373" s="1" t="s">
        <v>534</v>
      </c>
      <c r="B373">
        <v>62486644790</v>
      </c>
    </row>
    <row r="374" spans="1:2" x14ac:dyDescent="0.25">
      <c r="A374" s="1" t="s">
        <v>535</v>
      </c>
      <c r="B374">
        <v>63844609500</v>
      </c>
    </row>
    <row r="375" spans="1:2" x14ac:dyDescent="0.25">
      <c r="A375" s="1" t="s">
        <v>536</v>
      </c>
      <c r="B375">
        <v>64939088520</v>
      </c>
    </row>
    <row r="376" spans="1:2" x14ac:dyDescent="0.25">
      <c r="A376" s="1" t="s">
        <v>537</v>
      </c>
      <c r="B376">
        <v>64310776490</v>
      </c>
    </row>
    <row r="377" spans="1:2" x14ac:dyDescent="0.25">
      <c r="A377" s="1" t="s">
        <v>538</v>
      </c>
      <c r="B377">
        <v>65020161040</v>
      </c>
    </row>
    <row r="378" spans="1:2" x14ac:dyDescent="0.25">
      <c r="A378" s="1" t="s">
        <v>539</v>
      </c>
      <c r="B378">
        <v>63804073240</v>
      </c>
    </row>
    <row r="379" spans="1:2" x14ac:dyDescent="0.25">
      <c r="A379" s="1" t="s">
        <v>540</v>
      </c>
      <c r="B379">
        <v>63723000720</v>
      </c>
    </row>
    <row r="380" spans="1:2" x14ac:dyDescent="0.25">
      <c r="A380" s="1" t="s">
        <v>541</v>
      </c>
      <c r="B380">
        <v>62000209670</v>
      </c>
    </row>
    <row r="381" spans="1:2" x14ac:dyDescent="0.25">
      <c r="A381" s="1" t="s">
        <v>542</v>
      </c>
      <c r="B381">
        <v>63074420560</v>
      </c>
    </row>
    <row r="382" spans="1:2" x14ac:dyDescent="0.25">
      <c r="A382" s="1" t="s">
        <v>543</v>
      </c>
      <c r="B382">
        <v>64331044620</v>
      </c>
    </row>
    <row r="383" spans="1:2" x14ac:dyDescent="0.25">
      <c r="A383" s="1" t="s">
        <v>544</v>
      </c>
      <c r="B383">
        <v>63196029340</v>
      </c>
    </row>
    <row r="384" spans="1:2" x14ac:dyDescent="0.25">
      <c r="A384" s="1" t="s">
        <v>545</v>
      </c>
      <c r="B384">
        <v>63074420560</v>
      </c>
    </row>
    <row r="385" spans="1:2" x14ac:dyDescent="0.25">
      <c r="A385" s="1" t="s">
        <v>546</v>
      </c>
      <c r="B385">
        <v>63621660070</v>
      </c>
    </row>
    <row r="386" spans="1:2" x14ac:dyDescent="0.25">
      <c r="A386" s="1" t="s">
        <v>547</v>
      </c>
      <c r="B386">
        <v>63763536980</v>
      </c>
    </row>
    <row r="387" spans="1:2" x14ac:dyDescent="0.25">
      <c r="A387" s="1" t="s">
        <v>74</v>
      </c>
      <c r="B387">
        <v>64249972100</v>
      </c>
    </row>
    <row r="388" spans="1:2" x14ac:dyDescent="0.25">
      <c r="A388" s="1" t="s">
        <v>548</v>
      </c>
      <c r="B388">
        <v>62678082830</v>
      </c>
    </row>
    <row r="389" spans="1:2" x14ac:dyDescent="0.25">
      <c r="A389" s="1" t="s">
        <v>549</v>
      </c>
      <c r="B389">
        <v>62035024590</v>
      </c>
    </row>
    <row r="390" spans="1:2" x14ac:dyDescent="0.25">
      <c r="A390" s="1" t="s">
        <v>550</v>
      </c>
      <c r="B390">
        <v>60427378990</v>
      </c>
    </row>
    <row r="391" spans="1:2" x14ac:dyDescent="0.25">
      <c r="A391" s="1" t="s">
        <v>551</v>
      </c>
      <c r="B391">
        <v>61532635340</v>
      </c>
    </row>
    <row r="392" spans="1:2" x14ac:dyDescent="0.25">
      <c r="A392" s="1" t="s">
        <v>552</v>
      </c>
      <c r="B392">
        <v>61793877750</v>
      </c>
    </row>
    <row r="393" spans="1:2" x14ac:dyDescent="0.25">
      <c r="A393" s="1" t="s">
        <v>553</v>
      </c>
      <c r="B393">
        <v>62657987260</v>
      </c>
    </row>
    <row r="394" spans="1:2" x14ac:dyDescent="0.25">
      <c r="A394" s="1" t="s">
        <v>554</v>
      </c>
      <c r="B394">
        <v>63341236640</v>
      </c>
    </row>
    <row r="395" spans="1:2" x14ac:dyDescent="0.25">
      <c r="A395" s="1" t="s">
        <v>555</v>
      </c>
      <c r="B395">
        <v>66034043020</v>
      </c>
    </row>
    <row r="396" spans="1:2" x14ac:dyDescent="0.25">
      <c r="A396" s="1" t="s">
        <v>556</v>
      </c>
      <c r="B396">
        <v>64165155010</v>
      </c>
    </row>
    <row r="397" spans="1:2" x14ac:dyDescent="0.25">
      <c r="A397" s="1" t="s">
        <v>557</v>
      </c>
      <c r="B397">
        <v>63863721460</v>
      </c>
    </row>
    <row r="398" spans="1:2" x14ac:dyDescent="0.25">
      <c r="A398" s="1" t="s">
        <v>558</v>
      </c>
      <c r="B398">
        <v>65772800609</v>
      </c>
    </row>
    <row r="399" spans="1:2" x14ac:dyDescent="0.25">
      <c r="A399" s="1" t="s">
        <v>559</v>
      </c>
      <c r="B399">
        <v>64245537290</v>
      </c>
    </row>
    <row r="400" spans="1:2" x14ac:dyDescent="0.25">
      <c r="A400" s="1" t="s">
        <v>560</v>
      </c>
      <c r="B400">
        <v>65029264520</v>
      </c>
    </row>
    <row r="401" spans="1:2" x14ac:dyDescent="0.25">
      <c r="A401" s="1" t="s">
        <v>561</v>
      </c>
      <c r="B401">
        <v>61934546740</v>
      </c>
    </row>
    <row r="402" spans="1:2" x14ac:dyDescent="0.25">
      <c r="A402" s="1" t="s">
        <v>562</v>
      </c>
      <c r="B402">
        <v>62517318270</v>
      </c>
    </row>
    <row r="403" spans="1:2" x14ac:dyDescent="0.25">
      <c r="A403" s="1" t="s">
        <v>563</v>
      </c>
      <c r="B403">
        <v>64948882240</v>
      </c>
    </row>
    <row r="404" spans="1:2" x14ac:dyDescent="0.25">
      <c r="A404" s="1" t="s">
        <v>564</v>
      </c>
      <c r="B404">
        <v>68345033569</v>
      </c>
    </row>
    <row r="405" spans="1:2" x14ac:dyDescent="0.25">
      <c r="A405" s="1" t="s">
        <v>565</v>
      </c>
      <c r="B405">
        <v>68606275980</v>
      </c>
    </row>
    <row r="406" spans="1:2" x14ac:dyDescent="0.25">
      <c r="A406" s="1" t="s">
        <v>566</v>
      </c>
      <c r="B406">
        <v>68083791160</v>
      </c>
    </row>
    <row r="407" spans="1:2" x14ac:dyDescent="0.25">
      <c r="A407" s="1" t="s">
        <v>567</v>
      </c>
      <c r="B407">
        <v>69470385490</v>
      </c>
    </row>
    <row r="408" spans="1:2" x14ac:dyDescent="0.25">
      <c r="A408" s="1" t="s">
        <v>568</v>
      </c>
      <c r="B408">
        <v>67701975329</v>
      </c>
    </row>
    <row r="409" spans="1:2" x14ac:dyDescent="0.25">
      <c r="A409" s="1" t="s">
        <v>569</v>
      </c>
      <c r="B409">
        <v>66295285430</v>
      </c>
    </row>
    <row r="410" spans="1:2" x14ac:dyDescent="0.25">
      <c r="A410" s="1" t="s">
        <v>570</v>
      </c>
      <c r="B410">
        <v>66837865819</v>
      </c>
    </row>
    <row r="411" spans="1:2" x14ac:dyDescent="0.25">
      <c r="A411" s="1" t="s">
        <v>571</v>
      </c>
      <c r="B411">
        <v>67420637349</v>
      </c>
    </row>
    <row r="412" spans="1:2" x14ac:dyDescent="0.25">
      <c r="A412" s="1" t="s">
        <v>572</v>
      </c>
      <c r="B412">
        <v>67119203800</v>
      </c>
    </row>
    <row r="413" spans="1:2" x14ac:dyDescent="0.25">
      <c r="A413" s="1" t="s">
        <v>573</v>
      </c>
      <c r="B413">
        <v>69269429790</v>
      </c>
    </row>
    <row r="414" spans="1:2" x14ac:dyDescent="0.25">
      <c r="A414" s="1" t="s">
        <v>574</v>
      </c>
      <c r="B414">
        <v>69410098780</v>
      </c>
    </row>
    <row r="415" spans="1:2" x14ac:dyDescent="0.25">
      <c r="A415" s="1" t="s">
        <v>151</v>
      </c>
      <c r="B415">
        <v>68726849400</v>
      </c>
    </row>
    <row r="416" spans="1:2" x14ac:dyDescent="0.25">
      <c r="A416" s="1" t="s">
        <v>575</v>
      </c>
      <c r="B416">
        <v>69872296890</v>
      </c>
    </row>
    <row r="417" spans="1:2" x14ac:dyDescent="0.25">
      <c r="A417" s="1" t="s">
        <v>576</v>
      </c>
      <c r="B417">
        <v>72786154540</v>
      </c>
    </row>
    <row r="418" spans="1:2" x14ac:dyDescent="0.25">
      <c r="A418" s="1" t="s">
        <v>577</v>
      </c>
      <c r="B418">
        <v>72806250110</v>
      </c>
    </row>
    <row r="419" spans="1:2" x14ac:dyDescent="0.25">
      <c r="A419" s="1" t="s">
        <v>578</v>
      </c>
      <c r="B419">
        <v>70796693110</v>
      </c>
    </row>
    <row r="420" spans="1:2" x14ac:dyDescent="0.25">
      <c r="A420" s="1" t="s">
        <v>579</v>
      </c>
      <c r="B420">
        <v>67199586079</v>
      </c>
    </row>
    <row r="421" spans="1:2" x14ac:dyDescent="0.25">
      <c r="A421" s="1" t="s">
        <v>580</v>
      </c>
      <c r="B421">
        <v>68927805100</v>
      </c>
    </row>
    <row r="422" spans="1:2" x14ac:dyDescent="0.25">
      <c r="A422" s="1" t="s">
        <v>581</v>
      </c>
      <c r="B422">
        <v>72123000730</v>
      </c>
    </row>
    <row r="423" spans="1:2" x14ac:dyDescent="0.25">
      <c r="A423" s="1" t="s">
        <v>123</v>
      </c>
      <c r="B423">
        <v>74011984310</v>
      </c>
    </row>
    <row r="424" spans="1:2" x14ac:dyDescent="0.25">
      <c r="A424" s="1" t="s">
        <v>582</v>
      </c>
      <c r="B424">
        <v>70133539300</v>
      </c>
    </row>
    <row r="425" spans="1:2" x14ac:dyDescent="0.25">
      <c r="A425" s="1" t="s">
        <v>583</v>
      </c>
      <c r="B425">
        <v>68123982300</v>
      </c>
    </row>
    <row r="426" spans="1:2" x14ac:dyDescent="0.25">
      <c r="A426" s="1" t="s">
        <v>584</v>
      </c>
      <c r="B426">
        <v>66496241130</v>
      </c>
    </row>
    <row r="427" spans="1:2" x14ac:dyDescent="0.25">
      <c r="A427" s="1" t="s">
        <v>585</v>
      </c>
      <c r="B427">
        <v>66415858849</v>
      </c>
    </row>
    <row r="428" spans="1:2" x14ac:dyDescent="0.25">
      <c r="A428" s="1" t="s">
        <v>586</v>
      </c>
      <c r="B428">
        <v>63280949930</v>
      </c>
    </row>
    <row r="429" spans="1:2" x14ac:dyDescent="0.25">
      <c r="A429" s="1" t="s">
        <v>587</v>
      </c>
      <c r="B429">
        <v>62155598010</v>
      </c>
    </row>
    <row r="430" spans="1:2" x14ac:dyDescent="0.25">
      <c r="A430" s="1" t="s">
        <v>588</v>
      </c>
      <c r="B430">
        <v>59543173910</v>
      </c>
    </row>
    <row r="431" spans="1:2" x14ac:dyDescent="0.25">
      <c r="A431" s="1" t="s">
        <v>589</v>
      </c>
      <c r="B431">
        <v>61010150520</v>
      </c>
    </row>
    <row r="432" spans="1:2" x14ac:dyDescent="0.25">
      <c r="A432" s="1" t="s">
        <v>590</v>
      </c>
      <c r="B432">
        <v>60326901140</v>
      </c>
    </row>
    <row r="433" spans="1:2" x14ac:dyDescent="0.25">
      <c r="A433" s="1" t="s">
        <v>591</v>
      </c>
      <c r="B433">
        <v>60869481530</v>
      </c>
    </row>
    <row r="434" spans="1:2" x14ac:dyDescent="0.25">
      <c r="A434" s="1" t="s">
        <v>592</v>
      </c>
      <c r="B434">
        <v>60146041010</v>
      </c>
    </row>
    <row r="435" spans="1:2" x14ac:dyDescent="0.25">
      <c r="A435" s="1" t="s">
        <v>593</v>
      </c>
      <c r="B435">
        <v>61351775210</v>
      </c>
    </row>
    <row r="436" spans="1:2" x14ac:dyDescent="0.25">
      <c r="A436" s="1" t="s">
        <v>594</v>
      </c>
      <c r="B436">
        <v>61010150520</v>
      </c>
    </row>
    <row r="437" spans="1:2" x14ac:dyDescent="0.25">
      <c r="A437" s="1" t="s">
        <v>595</v>
      </c>
      <c r="B437">
        <v>58337439710</v>
      </c>
    </row>
    <row r="438" spans="1:2" x14ac:dyDescent="0.25">
      <c r="A438" s="1" t="s">
        <v>596</v>
      </c>
      <c r="B438">
        <v>58196770720</v>
      </c>
    </row>
    <row r="439" spans="1:2" x14ac:dyDescent="0.25">
      <c r="A439" s="1" t="s">
        <v>597</v>
      </c>
      <c r="B439">
        <v>58679064400</v>
      </c>
    </row>
    <row r="440" spans="1:2" x14ac:dyDescent="0.25">
      <c r="A440" s="1" t="s">
        <v>598</v>
      </c>
      <c r="B440">
        <v>59161358080</v>
      </c>
    </row>
    <row r="441" spans="1:2" x14ac:dyDescent="0.25">
      <c r="A441" s="1" t="s">
        <v>599</v>
      </c>
      <c r="B441">
        <v>58337439710</v>
      </c>
    </row>
    <row r="442" spans="1:2" x14ac:dyDescent="0.25">
      <c r="A442" s="1" t="s">
        <v>600</v>
      </c>
      <c r="B442">
        <v>56970940950</v>
      </c>
    </row>
    <row r="443" spans="1:2" x14ac:dyDescent="0.25">
      <c r="A443" s="1" t="s">
        <v>601</v>
      </c>
      <c r="B443">
        <v>56347978280</v>
      </c>
    </row>
    <row r="444" spans="1:2" x14ac:dyDescent="0.25">
      <c r="A444" s="1" t="s">
        <v>602</v>
      </c>
      <c r="B444">
        <v>55061861800</v>
      </c>
    </row>
    <row r="445" spans="1:2" x14ac:dyDescent="0.25">
      <c r="A445" s="1" t="s">
        <v>603</v>
      </c>
      <c r="B445">
        <v>53052304800</v>
      </c>
    </row>
    <row r="446" spans="1:2" x14ac:dyDescent="0.25">
      <c r="A446" s="1" t="s">
        <v>604</v>
      </c>
      <c r="B446">
        <v>51344181350</v>
      </c>
    </row>
    <row r="447" spans="1:2" x14ac:dyDescent="0.25">
      <c r="A447" s="1" t="s">
        <v>605</v>
      </c>
      <c r="B447">
        <v>52067621870</v>
      </c>
    </row>
    <row r="448" spans="1:2" x14ac:dyDescent="0.25">
      <c r="A448" s="1" t="s">
        <v>606</v>
      </c>
      <c r="B448">
        <v>50962365520</v>
      </c>
    </row>
    <row r="449" spans="1:2" x14ac:dyDescent="0.25">
      <c r="A449" s="1" t="s">
        <v>607</v>
      </c>
      <c r="B449">
        <v>49331404000</v>
      </c>
    </row>
    <row r="450" spans="1:2" x14ac:dyDescent="0.25">
      <c r="A450" s="1" t="s">
        <v>608</v>
      </c>
      <c r="B450">
        <v>49690468000</v>
      </c>
    </row>
    <row r="451" spans="1:2" x14ac:dyDescent="0.25">
      <c r="A451" s="1" t="s">
        <v>609</v>
      </c>
      <c r="B451">
        <v>49052132000</v>
      </c>
    </row>
    <row r="452" spans="1:2" x14ac:dyDescent="0.25">
      <c r="A452" s="1" t="s">
        <v>610</v>
      </c>
      <c r="B452">
        <v>48673120000</v>
      </c>
    </row>
    <row r="453" spans="1:2" x14ac:dyDescent="0.25">
      <c r="A453" s="1" t="s">
        <v>611</v>
      </c>
      <c r="B453">
        <v>49151872000</v>
      </c>
    </row>
    <row r="454" spans="1:2" x14ac:dyDescent="0.25">
      <c r="A454" s="1" t="s">
        <v>612</v>
      </c>
      <c r="B454">
        <v>49151872000</v>
      </c>
    </row>
    <row r="455" spans="1:2" x14ac:dyDescent="0.25">
      <c r="A455" s="1" t="s">
        <v>613</v>
      </c>
      <c r="B455">
        <v>50588128000</v>
      </c>
    </row>
    <row r="456" spans="1:2" x14ac:dyDescent="0.25">
      <c r="A456" s="1" t="s">
        <v>614</v>
      </c>
      <c r="B456">
        <v>49790208000</v>
      </c>
    </row>
    <row r="457" spans="1:2" x14ac:dyDescent="0.25">
      <c r="A457" s="1" t="s">
        <v>615</v>
      </c>
      <c r="B457">
        <v>49770260000</v>
      </c>
    </row>
    <row r="458" spans="1:2" x14ac:dyDescent="0.25">
      <c r="A458" s="1" t="s">
        <v>616</v>
      </c>
      <c r="B458">
        <v>51804956000</v>
      </c>
    </row>
    <row r="459" spans="1:2" x14ac:dyDescent="0.25">
      <c r="A459" s="1" t="s">
        <v>617</v>
      </c>
      <c r="B459">
        <v>52343552000</v>
      </c>
    </row>
    <row r="460" spans="1:2" x14ac:dyDescent="0.25">
      <c r="A460" s="1" t="s">
        <v>618</v>
      </c>
      <c r="B460">
        <v>54797156000</v>
      </c>
    </row>
    <row r="461" spans="1:2" x14ac:dyDescent="0.25">
      <c r="A461" s="1" t="s">
        <v>619</v>
      </c>
      <c r="B461">
        <v>53819704000</v>
      </c>
    </row>
    <row r="462" spans="1:2" x14ac:dyDescent="0.25">
      <c r="A462" s="1" t="s">
        <v>620</v>
      </c>
      <c r="B462">
        <v>53919444000</v>
      </c>
    </row>
    <row r="463" spans="1:2" x14ac:dyDescent="0.25">
      <c r="A463" s="1" t="s">
        <v>621</v>
      </c>
      <c r="B463">
        <v>52961940000</v>
      </c>
    </row>
    <row r="464" spans="1:2" x14ac:dyDescent="0.25">
      <c r="A464" s="1" t="s">
        <v>622</v>
      </c>
      <c r="B464">
        <v>52762460000</v>
      </c>
    </row>
    <row r="465" spans="1:2" x14ac:dyDescent="0.25">
      <c r="A465" s="1" t="s">
        <v>623</v>
      </c>
      <c r="B465">
        <v>52662720000</v>
      </c>
    </row>
    <row r="466" spans="1:2" x14ac:dyDescent="0.25">
      <c r="A466" s="1" t="s">
        <v>624</v>
      </c>
      <c r="B466">
        <v>53700016000</v>
      </c>
    </row>
    <row r="467" spans="1:2" x14ac:dyDescent="0.25">
      <c r="A467" s="1" t="s">
        <v>625</v>
      </c>
      <c r="B467">
        <v>55255960000</v>
      </c>
    </row>
    <row r="468" spans="1:2" x14ac:dyDescent="0.25">
      <c r="A468" s="1" t="s">
        <v>626</v>
      </c>
      <c r="B468">
        <v>57350500000</v>
      </c>
    </row>
    <row r="469" spans="1:2" x14ac:dyDescent="0.25">
      <c r="A469" s="1" t="s">
        <v>627</v>
      </c>
      <c r="B469">
        <v>56532632000</v>
      </c>
    </row>
    <row r="470" spans="1:2" x14ac:dyDescent="0.25">
      <c r="A470" s="1" t="s">
        <v>628</v>
      </c>
      <c r="B470">
        <v>58128472000</v>
      </c>
    </row>
    <row r="471" spans="1:2" x14ac:dyDescent="0.25">
      <c r="A471" s="1" t="s">
        <v>629</v>
      </c>
      <c r="B471">
        <v>55375648000</v>
      </c>
    </row>
    <row r="472" spans="1:2" x14ac:dyDescent="0.25">
      <c r="A472" s="1" t="s">
        <v>630</v>
      </c>
      <c r="B472">
        <v>55375648000</v>
      </c>
    </row>
    <row r="473" spans="1:2" x14ac:dyDescent="0.25">
      <c r="A473" s="1" t="s">
        <v>631</v>
      </c>
      <c r="B473">
        <v>56851800000</v>
      </c>
    </row>
    <row r="474" spans="1:2" x14ac:dyDescent="0.25">
      <c r="A474" s="1" t="s">
        <v>632</v>
      </c>
      <c r="B474">
        <v>57430292000</v>
      </c>
    </row>
    <row r="475" spans="1:2" x14ac:dyDescent="0.25">
      <c r="A475" s="1" t="s">
        <v>633</v>
      </c>
      <c r="B475">
        <v>56013984000</v>
      </c>
    </row>
    <row r="476" spans="1:2" x14ac:dyDescent="0.25">
      <c r="A476" s="1" t="s">
        <v>634</v>
      </c>
      <c r="B476">
        <v>56353100000</v>
      </c>
    </row>
    <row r="477" spans="1:2" x14ac:dyDescent="0.25">
      <c r="A477" s="1" t="s">
        <v>635</v>
      </c>
      <c r="B477">
        <v>57769408000</v>
      </c>
    </row>
    <row r="478" spans="1:2" x14ac:dyDescent="0.25">
      <c r="A478" s="1" t="s">
        <v>636</v>
      </c>
      <c r="B478">
        <v>57609824000</v>
      </c>
    </row>
    <row r="479" spans="1:2" x14ac:dyDescent="0.25">
      <c r="A479" s="1" t="s">
        <v>637</v>
      </c>
      <c r="B479">
        <v>59923792000</v>
      </c>
    </row>
    <row r="480" spans="1:2" x14ac:dyDescent="0.25">
      <c r="A480" s="1" t="s">
        <v>638</v>
      </c>
      <c r="B480">
        <v>62975836000</v>
      </c>
    </row>
    <row r="481" spans="1:2" x14ac:dyDescent="0.25">
      <c r="A481" s="1" t="s">
        <v>639</v>
      </c>
      <c r="B481">
        <v>57988836000</v>
      </c>
    </row>
    <row r="482" spans="1:2" x14ac:dyDescent="0.25">
      <c r="A482" s="1" t="s">
        <v>640</v>
      </c>
      <c r="B482">
        <v>58148420000</v>
      </c>
    </row>
    <row r="483" spans="1:2" x14ac:dyDescent="0.25">
      <c r="A483" s="1" t="s">
        <v>641</v>
      </c>
      <c r="B483">
        <v>57549980000</v>
      </c>
    </row>
    <row r="484" spans="1:2" x14ac:dyDescent="0.25">
      <c r="A484" s="1" t="s">
        <v>642</v>
      </c>
      <c r="B484">
        <v>52961940000</v>
      </c>
    </row>
    <row r="485" spans="1:2" x14ac:dyDescent="0.25">
      <c r="A485" s="1" t="s">
        <v>643</v>
      </c>
      <c r="B485">
        <v>54737312000</v>
      </c>
    </row>
    <row r="486" spans="1:2" x14ac:dyDescent="0.25">
      <c r="A486" s="1" t="s">
        <v>644</v>
      </c>
      <c r="B486">
        <v>55236012000</v>
      </c>
    </row>
    <row r="487" spans="1:2" x14ac:dyDescent="0.25">
      <c r="A487" s="1" t="s">
        <v>645</v>
      </c>
      <c r="B487">
        <v>56632372000</v>
      </c>
    </row>
    <row r="488" spans="1:2" x14ac:dyDescent="0.25">
      <c r="A488" s="1" t="s">
        <v>646</v>
      </c>
      <c r="B488">
        <v>57310604000</v>
      </c>
    </row>
    <row r="489" spans="1:2" x14ac:dyDescent="0.25">
      <c r="A489" s="1" t="s">
        <v>647</v>
      </c>
      <c r="B489">
        <v>57470188000</v>
      </c>
    </row>
    <row r="490" spans="1:2" x14ac:dyDescent="0.25">
      <c r="A490" s="1" t="s">
        <v>124</v>
      </c>
      <c r="B490">
        <v>59345300000</v>
      </c>
    </row>
    <row r="491" spans="1:2" x14ac:dyDescent="0.25">
      <c r="A491" s="1" t="s">
        <v>648</v>
      </c>
      <c r="B491">
        <v>53001836000</v>
      </c>
    </row>
    <row r="492" spans="1:2" x14ac:dyDescent="0.25">
      <c r="A492" s="1" t="s">
        <v>649</v>
      </c>
      <c r="B492">
        <v>54857000000</v>
      </c>
    </row>
    <row r="493" spans="1:2" x14ac:dyDescent="0.25">
      <c r="A493" s="1" t="s">
        <v>650</v>
      </c>
      <c r="B493">
        <v>55495336000</v>
      </c>
    </row>
    <row r="494" spans="1:2" x14ac:dyDescent="0.25">
      <c r="A494" s="1" t="s">
        <v>651</v>
      </c>
      <c r="B494">
        <v>56253360000</v>
      </c>
    </row>
    <row r="495" spans="1:2" x14ac:dyDescent="0.25">
      <c r="A495" s="1" t="s">
        <v>652</v>
      </c>
      <c r="B495">
        <v>56572528000</v>
      </c>
    </row>
    <row r="496" spans="1:2" x14ac:dyDescent="0.25">
      <c r="A496" s="1" t="s">
        <v>653</v>
      </c>
      <c r="B496">
        <v>55156220000</v>
      </c>
    </row>
    <row r="497" spans="1:2" x14ac:dyDescent="0.25">
      <c r="A497" s="1" t="s">
        <v>654</v>
      </c>
      <c r="B497">
        <v>55894296000</v>
      </c>
    </row>
    <row r="498" spans="1:2" x14ac:dyDescent="0.25">
      <c r="A498" s="1" t="s">
        <v>655</v>
      </c>
      <c r="B498">
        <v>55595076000</v>
      </c>
    </row>
    <row r="499" spans="1:2" x14ac:dyDescent="0.25">
      <c r="A499" s="1" t="s">
        <v>656</v>
      </c>
      <c r="B499">
        <v>54916844000</v>
      </c>
    </row>
    <row r="500" spans="1:2" x14ac:dyDescent="0.25">
      <c r="A500" s="1" t="s">
        <v>657</v>
      </c>
      <c r="B500">
        <v>55076428000</v>
      </c>
    </row>
    <row r="501" spans="1:2" x14ac:dyDescent="0.25">
      <c r="A501" s="1" t="s">
        <v>658</v>
      </c>
      <c r="B501">
        <v>51745112000</v>
      </c>
    </row>
    <row r="502" spans="1:2" x14ac:dyDescent="0.25">
      <c r="A502" s="1" t="s">
        <v>659</v>
      </c>
      <c r="B502">
        <v>49291508000</v>
      </c>
    </row>
    <row r="503" spans="1:2" x14ac:dyDescent="0.25">
      <c r="A503" s="1" t="s">
        <v>660</v>
      </c>
      <c r="B503">
        <v>49870000000</v>
      </c>
    </row>
    <row r="504" spans="1:2" x14ac:dyDescent="0.25">
      <c r="A504" s="1" t="s">
        <v>661</v>
      </c>
      <c r="B504">
        <v>51824904000</v>
      </c>
    </row>
    <row r="505" spans="1:2" x14ac:dyDescent="0.25">
      <c r="A505" s="1" t="s">
        <v>662</v>
      </c>
      <c r="B505">
        <v>49191768000</v>
      </c>
    </row>
    <row r="506" spans="1:2" x14ac:dyDescent="0.25">
      <c r="A506" s="1" t="s">
        <v>663</v>
      </c>
      <c r="B506">
        <v>54916844000</v>
      </c>
    </row>
    <row r="507" spans="1:2" x14ac:dyDescent="0.25">
      <c r="A507" s="1" t="s">
        <v>664</v>
      </c>
      <c r="B507">
        <v>55994036000</v>
      </c>
    </row>
    <row r="508" spans="1:2" x14ac:dyDescent="0.25">
      <c r="A508" s="1" t="s">
        <v>665</v>
      </c>
      <c r="B508">
        <v>59305404000</v>
      </c>
    </row>
    <row r="509" spans="1:2" x14ac:dyDescent="0.25">
      <c r="A509" s="1" t="s">
        <v>666</v>
      </c>
      <c r="B509">
        <v>58208264000</v>
      </c>
    </row>
    <row r="510" spans="1:2" x14ac:dyDescent="0.25">
      <c r="A510" s="1" t="s">
        <v>667</v>
      </c>
      <c r="B510">
        <v>58228212000</v>
      </c>
    </row>
    <row r="511" spans="1:2" x14ac:dyDescent="0.25">
      <c r="A511" s="1" t="s">
        <v>668</v>
      </c>
      <c r="B511">
        <v>53301056000</v>
      </c>
    </row>
    <row r="512" spans="1:2" x14ac:dyDescent="0.25">
      <c r="A512" s="1" t="s">
        <v>76</v>
      </c>
      <c r="B512">
        <v>52862200000</v>
      </c>
    </row>
    <row r="513" spans="1:2" x14ac:dyDescent="0.25">
      <c r="A513" s="1" t="s">
        <v>669</v>
      </c>
      <c r="B513">
        <v>52233639335</v>
      </c>
    </row>
    <row r="514" spans="1:2" x14ac:dyDescent="0.25">
      <c r="A514" s="1" t="s">
        <v>670</v>
      </c>
      <c r="B514">
        <v>55436459007</v>
      </c>
    </row>
    <row r="515" spans="1:2" x14ac:dyDescent="0.25">
      <c r="A515" s="1" t="s">
        <v>671</v>
      </c>
      <c r="B515">
        <v>54507245892</v>
      </c>
    </row>
    <row r="516" spans="1:2" x14ac:dyDescent="0.25">
      <c r="A516" s="1" t="s">
        <v>672</v>
      </c>
      <c r="B516">
        <v>53162852450</v>
      </c>
    </row>
    <row r="517" spans="1:2" x14ac:dyDescent="0.25">
      <c r="A517" s="1" t="s">
        <v>673</v>
      </c>
      <c r="B517">
        <v>55001508187</v>
      </c>
    </row>
    <row r="518" spans="1:2" x14ac:dyDescent="0.25">
      <c r="A518" s="1" t="s">
        <v>674</v>
      </c>
      <c r="B518">
        <v>56504065564</v>
      </c>
    </row>
    <row r="519" spans="1:2" x14ac:dyDescent="0.25">
      <c r="A519" s="1" t="s">
        <v>675</v>
      </c>
      <c r="B519">
        <v>60240688514</v>
      </c>
    </row>
    <row r="520" spans="1:2" x14ac:dyDescent="0.25">
      <c r="A520" s="1" t="s">
        <v>676</v>
      </c>
      <c r="B520">
        <v>62257278678</v>
      </c>
    </row>
    <row r="521" spans="1:2" x14ac:dyDescent="0.25">
      <c r="A521" s="1" t="s">
        <v>677</v>
      </c>
      <c r="B521">
        <v>62257278678</v>
      </c>
    </row>
    <row r="522" spans="1:2" x14ac:dyDescent="0.25">
      <c r="A522" s="1" t="s">
        <v>678</v>
      </c>
      <c r="B522">
        <v>63127180317</v>
      </c>
    </row>
    <row r="523" spans="1:2" x14ac:dyDescent="0.25">
      <c r="A523" s="1" t="s">
        <v>679</v>
      </c>
      <c r="B523">
        <v>65499639333</v>
      </c>
    </row>
    <row r="524" spans="1:2" x14ac:dyDescent="0.25">
      <c r="A524" s="1" t="s">
        <v>680</v>
      </c>
      <c r="B524">
        <v>65341475398</v>
      </c>
    </row>
    <row r="525" spans="1:2" x14ac:dyDescent="0.25">
      <c r="A525" s="1" t="s">
        <v>681</v>
      </c>
      <c r="B525">
        <v>61921180317</v>
      </c>
    </row>
    <row r="526" spans="1:2" x14ac:dyDescent="0.25">
      <c r="A526" s="1" t="s">
        <v>682</v>
      </c>
      <c r="B526">
        <v>64254098350</v>
      </c>
    </row>
    <row r="527" spans="1:2" x14ac:dyDescent="0.25">
      <c r="A527" s="1" t="s">
        <v>683</v>
      </c>
      <c r="B527">
        <v>62830622940</v>
      </c>
    </row>
    <row r="528" spans="1:2" x14ac:dyDescent="0.25">
      <c r="A528" s="1" t="s">
        <v>684</v>
      </c>
      <c r="B528">
        <v>60655868842</v>
      </c>
    </row>
    <row r="529" spans="1:2" x14ac:dyDescent="0.25">
      <c r="A529" s="1" t="s">
        <v>685</v>
      </c>
      <c r="B529">
        <v>59370786875</v>
      </c>
    </row>
    <row r="530" spans="1:2" x14ac:dyDescent="0.25">
      <c r="A530" s="1" t="s">
        <v>686</v>
      </c>
      <c r="B530">
        <v>57116950810</v>
      </c>
    </row>
    <row r="531" spans="1:2" x14ac:dyDescent="0.25">
      <c r="A531" s="1" t="s">
        <v>687</v>
      </c>
      <c r="B531">
        <v>57433278679</v>
      </c>
    </row>
    <row r="532" spans="1:2" x14ac:dyDescent="0.25">
      <c r="A532" s="1" t="s">
        <v>688</v>
      </c>
      <c r="B532">
        <v>57176262285</v>
      </c>
    </row>
    <row r="533" spans="1:2" x14ac:dyDescent="0.25">
      <c r="A533" s="1" t="s">
        <v>689</v>
      </c>
      <c r="B533">
        <v>56859934416</v>
      </c>
    </row>
    <row r="534" spans="1:2" x14ac:dyDescent="0.25">
      <c r="A534" s="1" t="s">
        <v>690</v>
      </c>
      <c r="B534">
        <v>56761081957</v>
      </c>
    </row>
    <row r="535" spans="1:2" x14ac:dyDescent="0.25">
      <c r="A535" s="1" t="s">
        <v>691</v>
      </c>
      <c r="B535">
        <v>56820393433</v>
      </c>
    </row>
    <row r="536" spans="1:2" x14ac:dyDescent="0.25">
      <c r="A536" s="1" t="s">
        <v>692</v>
      </c>
      <c r="B536">
        <v>56504065564</v>
      </c>
    </row>
    <row r="537" spans="1:2" x14ac:dyDescent="0.25">
      <c r="A537" s="1" t="s">
        <v>693</v>
      </c>
      <c r="B537">
        <v>58560196711</v>
      </c>
    </row>
    <row r="538" spans="1:2" x14ac:dyDescent="0.25">
      <c r="A538" s="1" t="s">
        <v>694</v>
      </c>
      <c r="B538">
        <v>56761081957</v>
      </c>
    </row>
    <row r="539" spans="1:2" x14ac:dyDescent="0.25">
      <c r="A539" s="1" t="s">
        <v>695</v>
      </c>
      <c r="B539">
        <v>54981737695</v>
      </c>
    </row>
    <row r="540" spans="1:2" x14ac:dyDescent="0.25">
      <c r="A540" s="1" t="s">
        <v>696</v>
      </c>
      <c r="B540">
        <v>55357377040</v>
      </c>
    </row>
    <row r="541" spans="1:2" x14ac:dyDescent="0.25">
      <c r="A541" s="1" t="s">
        <v>697</v>
      </c>
      <c r="B541">
        <v>57354196711</v>
      </c>
    </row>
    <row r="542" spans="1:2" x14ac:dyDescent="0.25">
      <c r="A542" s="1" t="s">
        <v>698</v>
      </c>
      <c r="B542">
        <v>59608032777</v>
      </c>
    </row>
    <row r="543" spans="1:2" x14ac:dyDescent="0.25">
      <c r="A543" s="1" t="s">
        <v>699</v>
      </c>
      <c r="B543">
        <v>60734950809</v>
      </c>
    </row>
    <row r="544" spans="1:2" x14ac:dyDescent="0.25">
      <c r="A544" s="1" t="s">
        <v>700</v>
      </c>
      <c r="B544">
        <v>64016852448</v>
      </c>
    </row>
    <row r="545" spans="1:2" x14ac:dyDescent="0.25">
      <c r="A545" s="1" t="s">
        <v>701</v>
      </c>
      <c r="B545">
        <v>64234327858</v>
      </c>
    </row>
    <row r="546" spans="1:2" x14ac:dyDescent="0.25">
      <c r="A546" s="1" t="s">
        <v>702</v>
      </c>
      <c r="B546">
        <v>64194786874</v>
      </c>
    </row>
    <row r="547" spans="1:2" x14ac:dyDescent="0.25">
      <c r="A547" s="1" t="s">
        <v>703</v>
      </c>
      <c r="B547">
        <v>63740065563</v>
      </c>
    </row>
    <row r="548" spans="1:2" x14ac:dyDescent="0.25">
      <c r="A548" s="1" t="s">
        <v>704</v>
      </c>
      <c r="B548">
        <v>64847213103</v>
      </c>
    </row>
    <row r="549" spans="1:2" x14ac:dyDescent="0.25">
      <c r="A549" s="1" t="s">
        <v>705</v>
      </c>
      <c r="B549">
        <v>61407147530</v>
      </c>
    </row>
    <row r="550" spans="1:2" x14ac:dyDescent="0.25">
      <c r="A550" s="1" t="s">
        <v>706</v>
      </c>
      <c r="B550">
        <v>62969016383</v>
      </c>
    </row>
    <row r="551" spans="1:2" x14ac:dyDescent="0.25">
      <c r="A551" s="1" t="s">
        <v>707</v>
      </c>
      <c r="B551">
        <v>63285344251</v>
      </c>
    </row>
    <row r="552" spans="1:2" x14ac:dyDescent="0.25">
      <c r="A552" s="1" t="s">
        <v>708</v>
      </c>
      <c r="B552">
        <v>62969016383</v>
      </c>
    </row>
    <row r="553" spans="1:2" x14ac:dyDescent="0.25">
      <c r="A553" s="1" t="s">
        <v>709</v>
      </c>
      <c r="B553">
        <v>59687114744</v>
      </c>
    </row>
    <row r="554" spans="1:2" x14ac:dyDescent="0.25">
      <c r="A554" s="1" t="s">
        <v>125</v>
      </c>
      <c r="B554">
        <v>57828688515</v>
      </c>
    </row>
    <row r="555" spans="1:2" x14ac:dyDescent="0.25">
      <c r="A555" s="1" t="s">
        <v>710</v>
      </c>
      <c r="B555">
        <v>48635409828</v>
      </c>
    </row>
    <row r="556" spans="1:2" x14ac:dyDescent="0.25">
      <c r="A556" s="1" t="s">
        <v>711</v>
      </c>
      <c r="B556">
        <v>46361803271</v>
      </c>
    </row>
    <row r="557" spans="1:2" x14ac:dyDescent="0.25">
      <c r="A557" s="1" t="s">
        <v>712</v>
      </c>
      <c r="B557">
        <v>46085016385</v>
      </c>
    </row>
    <row r="558" spans="1:2" x14ac:dyDescent="0.25">
      <c r="A558" s="1" t="s">
        <v>713</v>
      </c>
      <c r="B558">
        <v>45650065566</v>
      </c>
    </row>
    <row r="559" spans="1:2" x14ac:dyDescent="0.25">
      <c r="A559" s="1" t="s">
        <v>714</v>
      </c>
      <c r="B559">
        <v>44582459009</v>
      </c>
    </row>
    <row r="560" spans="1:2" x14ac:dyDescent="0.25">
      <c r="A560" s="1" t="s">
        <v>715</v>
      </c>
      <c r="B560">
        <v>46164098353</v>
      </c>
    </row>
    <row r="561" spans="1:2" x14ac:dyDescent="0.25">
      <c r="A561" s="1" t="s">
        <v>716</v>
      </c>
      <c r="B561">
        <v>46065245894</v>
      </c>
    </row>
    <row r="562" spans="1:2" x14ac:dyDescent="0.25">
      <c r="A562" s="1" t="s">
        <v>717</v>
      </c>
      <c r="B562">
        <v>47903901631</v>
      </c>
    </row>
    <row r="563" spans="1:2" x14ac:dyDescent="0.25">
      <c r="A563" s="1" t="s">
        <v>718</v>
      </c>
      <c r="B563">
        <v>47686426221</v>
      </c>
    </row>
    <row r="564" spans="1:2" x14ac:dyDescent="0.25">
      <c r="A564" s="1" t="s">
        <v>719</v>
      </c>
      <c r="B564">
        <v>44819704910</v>
      </c>
    </row>
    <row r="565" spans="1:2" x14ac:dyDescent="0.25">
      <c r="A565" s="1" t="s">
        <v>720</v>
      </c>
      <c r="B565">
        <v>44641770484</v>
      </c>
    </row>
    <row r="566" spans="1:2" x14ac:dyDescent="0.25">
      <c r="A566" s="1" t="s">
        <v>721</v>
      </c>
      <c r="B566">
        <v>42842655730</v>
      </c>
    </row>
    <row r="567" spans="1:2" x14ac:dyDescent="0.25">
      <c r="A567" s="1" t="s">
        <v>722</v>
      </c>
      <c r="B567">
        <v>40826065567</v>
      </c>
    </row>
    <row r="568" spans="1:2" x14ac:dyDescent="0.25">
      <c r="A568" s="1" t="s">
        <v>723</v>
      </c>
      <c r="B568">
        <v>42506557370</v>
      </c>
    </row>
    <row r="569" spans="1:2" x14ac:dyDescent="0.25">
      <c r="A569" s="1" t="s">
        <v>724</v>
      </c>
      <c r="B569">
        <v>42644950812</v>
      </c>
    </row>
    <row r="570" spans="1:2" x14ac:dyDescent="0.25">
      <c r="A570" s="1" t="s">
        <v>725</v>
      </c>
      <c r="B570">
        <v>41893672124</v>
      </c>
    </row>
    <row r="571" spans="1:2" x14ac:dyDescent="0.25">
      <c r="A571" s="1" t="s">
        <v>726</v>
      </c>
      <c r="B571">
        <v>44167278681</v>
      </c>
    </row>
    <row r="572" spans="1:2" x14ac:dyDescent="0.25">
      <c r="A572" s="1" t="s">
        <v>727</v>
      </c>
      <c r="B572">
        <v>44958098353</v>
      </c>
    </row>
    <row r="573" spans="1:2" x14ac:dyDescent="0.25">
      <c r="A573" s="1" t="s">
        <v>728</v>
      </c>
      <c r="B573">
        <v>42506557370</v>
      </c>
    </row>
    <row r="574" spans="1:2" x14ac:dyDescent="0.25">
      <c r="A574" s="1" t="s">
        <v>729</v>
      </c>
      <c r="B574">
        <v>44523147533</v>
      </c>
    </row>
    <row r="575" spans="1:2" x14ac:dyDescent="0.25">
      <c r="A575" s="1" t="s">
        <v>730</v>
      </c>
      <c r="B575">
        <v>42190229501</v>
      </c>
    </row>
    <row r="576" spans="1:2" x14ac:dyDescent="0.25">
      <c r="A576" s="1" t="s">
        <v>77</v>
      </c>
      <c r="B576">
        <v>40450426222</v>
      </c>
    </row>
    <row r="577" spans="1:2" x14ac:dyDescent="0.25">
      <c r="A577" s="1" t="s">
        <v>731</v>
      </c>
      <c r="B577">
        <v>42173606880</v>
      </c>
    </row>
    <row r="578" spans="1:2" x14ac:dyDescent="0.25">
      <c r="A578" s="1" t="s">
        <v>732</v>
      </c>
      <c r="B578">
        <v>43371832320</v>
      </c>
    </row>
    <row r="579" spans="1:2" x14ac:dyDescent="0.25">
      <c r="A579" s="1" t="s">
        <v>733</v>
      </c>
      <c r="B579">
        <v>44903989440</v>
      </c>
    </row>
    <row r="580" spans="1:2" x14ac:dyDescent="0.25">
      <c r="A580" s="1" t="s">
        <v>734</v>
      </c>
      <c r="B580">
        <v>45237921120</v>
      </c>
    </row>
    <row r="581" spans="1:2" x14ac:dyDescent="0.25">
      <c r="A581" s="1" t="s">
        <v>735</v>
      </c>
      <c r="B581">
        <v>43941480480</v>
      </c>
    </row>
    <row r="582" spans="1:2" x14ac:dyDescent="0.25">
      <c r="A582" s="1" t="s">
        <v>736</v>
      </c>
      <c r="B582">
        <v>42232536000</v>
      </c>
    </row>
    <row r="583" spans="1:2" x14ac:dyDescent="0.25">
      <c r="A583" s="1" t="s">
        <v>737</v>
      </c>
      <c r="B583">
        <v>42743255040</v>
      </c>
    </row>
    <row r="584" spans="1:2" x14ac:dyDescent="0.25">
      <c r="A584" s="1" t="s">
        <v>738</v>
      </c>
      <c r="B584">
        <v>42841470240</v>
      </c>
    </row>
    <row r="585" spans="1:2" x14ac:dyDescent="0.25">
      <c r="A585" s="1" t="s">
        <v>739</v>
      </c>
      <c r="B585">
        <v>40209302880</v>
      </c>
    </row>
    <row r="586" spans="1:2" x14ac:dyDescent="0.25">
      <c r="A586" s="1" t="s">
        <v>740</v>
      </c>
      <c r="B586">
        <v>43273617120</v>
      </c>
    </row>
    <row r="587" spans="1:2" x14ac:dyDescent="0.25">
      <c r="A587" s="1" t="s">
        <v>741</v>
      </c>
      <c r="B587">
        <v>41427171360</v>
      </c>
    </row>
    <row r="588" spans="1:2" x14ac:dyDescent="0.25">
      <c r="A588" s="1" t="s">
        <v>742</v>
      </c>
      <c r="B588">
        <v>42370037280</v>
      </c>
    </row>
    <row r="589" spans="1:2" x14ac:dyDescent="0.25">
      <c r="A589" s="1" t="s">
        <v>743</v>
      </c>
      <c r="B589">
        <v>46593290880</v>
      </c>
    </row>
    <row r="590" spans="1:2" x14ac:dyDescent="0.25">
      <c r="A590" s="1" t="s">
        <v>744</v>
      </c>
      <c r="B590">
        <v>49971893760</v>
      </c>
    </row>
    <row r="591" spans="1:2" x14ac:dyDescent="0.25">
      <c r="A591" s="1" t="s">
        <v>745</v>
      </c>
      <c r="B591">
        <v>50737972320</v>
      </c>
    </row>
    <row r="592" spans="1:2" x14ac:dyDescent="0.25">
      <c r="A592" s="1" t="s">
        <v>746</v>
      </c>
      <c r="B592">
        <v>49696891200</v>
      </c>
    </row>
    <row r="593" spans="1:2" x14ac:dyDescent="0.25">
      <c r="A593" s="1" t="s">
        <v>747</v>
      </c>
      <c r="B593">
        <v>48577237920</v>
      </c>
    </row>
    <row r="594" spans="1:2" x14ac:dyDescent="0.25">
      <c r="A594" s="1" t="s">
        <v>748</v>
      </c>
      <c r="B594">
        <v>47437941600</v>
      </c>
    </row>
    <row r="595" spans="1:2" x14ac:dyDescent="0.25">
      <c r="A595" s="1" t="s">
        <v>749</v>
      </c>
      <c r="B595">
        <v>48596880960</v>
      </c>
    </row>
    <row r="596" spans="1:2" x14ac:dyDescent="0.25">
      <c r="A596" s="1" t="s">
        <v>750</v>
      </c>
      <c r="B596">
        <v>45061133760</v>
      </c>
    </row>
    <row r="597" spans="1:2" x14ac:dyDescent="0.25">
      <c r="A597" s="1" t="s">
        <v>751</v>
      </c>
      <c r="B597">
        <v>45571852800</v>
      </c>
    </row>
    <row r="598" spans="1:2" x14ac:dyDescent="0.25">
      <c r="A598" s="1" t="s">
        <v>752</v>
      </c>
      <c r="B598">
        <v>46495075680</v>
      </c>
    </row>
    <row r="599" spans="1:2" x14ac:dyDescent="0.25">
      <c r="A599" s="1" t="s">
        <v>753</v>
      </c>
      <c r="B599">
        <v>45375422400</v>
      </c>
    </row>
    <row r="600" spans="1:2" x14ac:dyDescent="0.25">
      <c r="A600" s="1" t="s">
        <v>754</v>
      </c>
      <c r="B600">
        <v>43293260160</v>
      </c>
    </row>
    <row r="601" spans="1:2" x14ac:dyDescent="0.25">
      <c r="A601" s="1" t="s">
        <v>755</v>
      </c>
      <c r="B601">
        <v>42330751200</v>
      </c>
    </row>
    <row r="602" spans="1:2" x14ac:dyDescent="0.25">
      <c r="A602" s="1" t="s">
        <v>756</v>
      </c>
      <c r="B602">
        <v>46711149120</v>
      </c>
    </row>
    <row r="603" spans="1:2" x14ac:dyDescent="0.25">
      <c r="A603" s="1" t="s">
        <v>757</v>
      </c>
      <c r="B603">
        <v>45866498400</v>
      </c>
    </row>
    <row r="604" spans="1:2" x14ac:dyDescent="0.25">
      <c r="A604" s="1" t="s">
        <v>758</v>
      </c>
      <c r="B604">
        <v>45650424960</v>
      </c>
    </row>
    <row r="605" spans="1:2" x14ac:dyDescent="0.25">
      <c r="A605" s="1" t="s">
        <v>759</v>
      </c>
      <c r="B605">
        <v>44118267840</v>
      </c>
    </row>
    <row r="606" spans="1:2" x14ac:dyDescent="0.25">
      <c r="A606" s="1" t="s">
        <v>760</v>
      </c>
      <c r="B606">
        <v>47536156800</v>
      </c>
    </row>
    <row r="607" spans="1:2" x14ac:dyDescent="0.25">
      <c r="A607" s="1" t="s">
        <v>761</v>
      </c>
      <c r="B607">
        <v>46337931360</v>
      </c>
    </row>
    <row r="608" spans="1:2" x14ac:dyDescent="0.25">
      <c r="A608" s="1" t="s">
        <v>762</v>
      </c>
      <c r="B608">
        <v>47909374560</v>
      </c>
    </row>
    <row r="609" spans="1:2" x14ac:dyDescent="0.25">
      <c r="A609" s="1" t="s">
        <v>763</v>
      </c>
      <c r="B609">
        <v>45748640160</v>
      </c>
    </row>
    <row r="610" spans="1:2" x14ac:dyDescent="0.25">
      <c r="A610" s="1" t="s">
        <v>764</v>
      </c>
      <c r="B610">
        <v>44334341280</v>
      </c>
    </row>
    <row r="611" spans="1:2" x14ac:dyDescent="0.25">
      <c r="A611" s="1" t="s">
        <v>765</v>
      </c>
      <c r="B611">
        <v>46495075680</v>
      </c>
    </row>
    <row r="612" spans="1:2" x14ac:dyDescent="0.25">
      <c r="A612" s="1" t="s">
        <v>766</v>
      </c>
      <c r="B612">
        <v>45277207200</v>
      </c>
    </row>
    <row r="613" spans="1:2" x14ac:dyDescent="0.25">
      <c r="A613" s="1" t="s">
        <v>767</v>
      </c>
      <c r="B613">
        <v>51209405280</v>
      </c>
    </row>
    <row r="614" spans="1:2" x14ac:dyDescent="0.25">
      <c r="A614" s="1" t="s">
        <v>768</v>
      </c>
      <c r="B614">
        <v>52702276320</v>
      </c>
    </row>
    <row r="615" spans="1:2" x14ac:dyDescent="0.25">
      <c r="A615" s="1" t="s">
        <v>126</v>
      </c>
      <c r="B615">
        <v>55196942400</v>
      </c>
    </row>
    <row r="616" spans="1:2" x14ac:dyDescent="0.25">
      <c r="A616" s="1" t="s">
        <v>769</v>
      </c>
      <c r="B616">
        <v>57888038880</v>
      </c>
    </row>
    <row r="617" spans="1:2" x14ac:dyDescent="0.25">
      <c r="A617" s="1" t="s">
        <v>770</v>
      </c>
      <c r="B617">
        <v>59695198560</v>
      </c>
    </row>
    <row r="618" spans="1:2" x14ac:dyDescent="0.25">
      <c r="A618" s="1" t="s">
        <v>771</v>
      </c>
      <c r="B618">
        <v>61836289920</v>
      </c>
    </row>
    <row r="619" spans="1:2" x14ac:dyDescent="0.25">
      <c r="A619" s="1" t="s">
        <v>772</v>
      </c>
      <c r="B619">
        <v>64468457280</v>
      </c>
    </row>
    <row r="620" spans="1:2" x14ac:dyDescent="0.25">
      <c r="A620" s="1" t="s">
        <v>773</v>
      </c>
      <c r="B620">
        <v>60264846720</v>
      </c>
    </row>
    <row r="621" spans="1:2" x14ac:dyDescent="0.25">
      <c r="A621" s="1" t="s">
        <v>774</v>
      </c>
      <c r="B621">
        <v>61541644320</v>
      </c>
    </row>
    <row r="622" spans="1:2" x14ac:dyDescent="0.25">
      <c r="A622" s="1" t="s">
        <v>775</v>
      </c>
      <c r="B622">
        <v>63722021759</v>
      </c>
    </row>
    <row r="623" spans="1:2" x14ac:dyDescent="0.25">
      <c r="A623" s="1" t="s">
        <v>776</v>
      </c>
      <c r="B623">
        <v>60559492320</v>
      </c>
    </row>
    <row r="624" spans="1:2" x14ac:dyDescent="0.25">
      <c r="A624" s="1" t="s">
        <v>777</v>
      </c>
      <c r="B624">
        <v>62229150720</v>
      </c>
    </row>
    <row r="625" spans="1:2" x14ac:dyDescent="0.25">
      <c r="A625" s="1" t="s">
        <v>778</v>
      </c>
      <c r="B625">
        <v>65234535840</v>
      </c>
    </row>
    <row r="626" spans="1:2" x14ac:dyDescent="0.25">
      <c r="A626" s="1" t="s">
        <v>779</v>
      </c>
      <c r="B626">
        <v>66393475199</v>
      </c>
    </row>
    <row r="627" spans="1:2" x14ac:dyDescent="0.25">
      <c r="A627" s="1" t="s">
        <v>780</v>
      </c>
      <c r="B627">
        <v>62445224160</v>
      </c>
    </row>
    <row r="628" spans="1:2" x14ac:dyDescent="0.25">
      <c r="A628" s="1" t="s">
        <v>781</v>
      </c>
      <c r="B628">
        <v>64193454720</v>
      </c>
    </row>
    <row r="629" spans="1:2" x14ac:dyDescent="0.25">
      <c r="A629" s="1" t="s">
        <v>782</v>
      </c>
      <c r="B629">
        <v>64095239520</v>
      </c>
    </row>
    <row r="630" spans="1:2" x14ac:dyDescent="0.25">
      <c r="A630" s="1" t="s">
        <v>783</v>
      </c>
      <c r="B630">
        <v>62838084960</v>
      </c>
    </row>
    <row r="631" spans="1:2" x14ac:dyDescent="0.25">
      <c r="A631" s="1" t="s">
        <v>784</v>
      </c>
      <c r="B631">
        <v>62936300160</v>
      </c>
    </row>
    <row r="632" spans="1:2" x14ac:dyDescent="0.25">
      <c r="A632" s="1" t="s">
        <v>785</v>
      </c>
      <c r="B632">
        <v>62955943199</v>
      </c>
    </row>
    <row r="633" spans="1:2" x14ac:dyDescent="0.25">
      <c r="A633" s="1" t="s">
        <v>786</v>
      </c>
      <c r="B633">
        <v>63388090080</v>
      </c>
    </row>
    <row r="634" spans="1:2" x14ac:dyDescent="0.25">
      <c r="A634" s="1" t="s">
        <v>787</v>
      </c>
      <c r="B634">
        <v>65627396639</v>
      </c>
    </row>
    <row r="635" spans="1:2" x14ac:dyDescent="0.25">
      <c r="A635" s="1" t="s">
        <v>788</v>
      </c>
      <c r="B635">
        <v>68672067840</v>
      </c>
    </row>
    <row r="636" spans="1:2" x14ac:dyDescent="0.25">
      <c r="A636" s="1" t="s">
        <v>789</v>
      </c>
      <c r="B636">
        <v>71716739040</v>
      </c>
    </row>
    <row r="637" spans="1:2" x14ac:dyDescent="0.25">
      <c r="A637" s="1" t="s">
        <v>790</v>
      </c>
      <c r="B637">
        <v>70675657920</v>
      </c>
    </row>
    <row r="638" spans="1:2" x14ac:dyDescent="0.25">
      <c r="A638" s="1" t="s">
        <v>78</v>
      </c>
      <c r="B638">
        <v>70086366720</v>
      </c>
    </row>
    <row r="639" spans="1:2" x14ac:dyDescent="0.25">
      <c r="A639" s="1" t="s">
        <v>791</v>
      </c>
      <c r="B639">
        <v>71476917620</v>
      </c>
    </row>
    <row r="640" spans="1:2" x14ac:dyDescent="0.25">
      <c r="A640" s="1" t="s">
        <v>792</v>
      </c>
      <c r="B640">
        <v>72668850910</v>
      </c>
    </row>
    <row r="641" spans="1:2" x14ac:dyDescent="0.25">
      <c r="A641" s="1" t="s">
        <v>793</v>
      </c>
      <c r="B641">
        <v>67940197530</v>
      </c>
    </row>
    <row r="642" spans="1:2" x14ac:dyDescent="0.25">
      <c r="A642" s="1" t="s">
        <v>794</v>
      </c>
      <c r="B642">
        <v>66552865340</v>
      </c>
    </row>
    <row r="643" spans="1:2" x14ac:dyDescent="0.25">
      <c r="A643" s="1" t="s">
        <v>795</v>
      </c>
      <c r="B643">
        <v>67803418300</v>
      </c>
    </row>
    <row r="644" spans="1:2" x14ac:dyDescent="0.25">
      <c r="A644" s="1" t="s">
        <v>796</v>
      </c>
      <c r="B644">
        <v>64598876340</v>
      </c>
    </row>
    <row r="645" spans="1:2" x14ac:dyDescent="0.25">
      <c r="A645" s="1" t="s">
        <v>797</v>
      </c>
      <c r="B645">
        <v>65165533150</v>
      </c>
    </row>
    <row r="646" spans="1:2" x14ac:dyDescent="0.25">
      <c r="A646" s="1" t="s">
        <v>798</v>
      </c>
      <c r="B646">
        <v>62488568220</v>
      </c>
    </row>
    <row r="647" spans="1:2" x14ac:dyDescent="0.25">
      <c r="A647" s="1" t="s">
        <v>799</v>
      </c>
      <c r="B647">
        <v>65185073040</v>
      </c>
    </row>
    <row r="648" spans="1:2" x14ac:dyDescent="0.25">
      <c r="A648" s="1" t="s">
        <v>800</v>
      </c>
      <c r="B648">
        <v>64188538650</v>
      </c>
    </row>
    <row r="649" spans="1:2" x14ac:dyDescent="0.25">
      <c r="A649" s="1" t="s">
        <v>801</v>
      </c>
      <c r="B649">
        <v>63719581290</v>
      </c>
    </row>
    <row r="650" spans="1:2" x14ac:dyDescent="0.25">
      <c r="A650" s="1" t="s">
        <v>802</v>
      </c>
      <c r="B650">
        <v>58228872200</v>
      </c>
    </row>
    <row r="651" spans="1:2" x14ac:dyDescent="0.25">
      <c r="A651" s="1" t="s">
        <v>803</v>
      </c>
      <c r="B651">
        <v>57193258030</v>
      </c>
    </row>
    <row r="652" spans="1:2" x14ac:dyDescent="0.25">
      <c r="A652" s="1" t="s">
        <v>804</v>
      </c>
      <c r="B652">
        <v>60104701640</v>
      </c>
    </row>
    <row r="653" spans="1:2" x14ac:dyDescent="0.25">
      <c r="A653" s="1" t="s">
        <v>805</v>
      </c>
      <c r="B653">
        <v>59420805490</v>
      </c>
    </row>
    <row r="654" spans="1:2" x14ac:dyDescent="0.25">
      <c r="A654" s="1" t="s">
        <v>806</v>
      </c>
      <c r="B654">
        <v>61550653500</v>
      </c>
    </row>
    <row r="655" spans="1:2" x14ac:dyDescent="0.25">
      <c r="A655" s="1" t="s">
        <v>807</v>
      </c>
      <c r="B655">
        <v>60065621860</v>
      </c>
    </row>
    <row r="656" spans="1:2" x14ac:dyDescent="0.25">
      <c r="A656" s="1" t="s">
        <v>808</v>
      </c>
      <c r="B656">
        <v>55825465730</v>
      </c>
    </row>
    <row r="657" spans="1:2" x14ac:dyDescent="0.25">
      <c r="A657" s="1" t="s">
        <v>809</v>
      </c>
      <c r="B657">
        <v>58287491870</v>
      </c>
    </row>
    <row r="658" spans="1:2" x14ac:dyDescent="0.25">
      <c r="A658" s="1" t="s">
        <v>810</v>
      </c>
      <c r="B658">
        <v>61980531080</v>
      </c>
    </row>
    <row r="659" spans="1:2" x14ac:dyDescent="0.25">
      <c r="A659" s="1" t="s">
        <v>811</v>
      </c>
      <c r="B659">
        <v>66513785560</v>
      </c>
    </row>
    <row r="660" spans="1:2" x14ac:dyDescent="0.25">
      <c r="A660" s="1" t="s">
        <v>812</v>
      </c>
      <c r="B660">
        <v>66220687210</v>
      </c>
    </row>
    <row r="661" spans="1:2" x14ac:dyDescent="0.25">
      <c r="A661" s="1" t="s">
        <v>813</v>
      </c>
      <c r="B661">
        <v>70402223670</v>
      </c>
    </row>
    <row r="662" spans="1:2" x14ac:dyDescent="0.25">
      <c r="A662" s="1" t="s">
        <v>814</v>
      </c>
      <c r="B662">
        <v>68350535219</v>
      </c>
    </row>
    <row r="663" spans="1:2" x14ac:dyDescent="0.25">
      <c r="A663" s="1" t="s">
        <v>153</v>
      </c>
      <c r="B663">
        <v>68135596429</v>
      </c>
    </row>
    <row r="664" spans="1:2" x14ac:dyDescent="0.25">
      <c r="A664" s="1" t="s">
        <v>815</v>
      </c>
      <c r="B664">
        <v>63289703710</v>
      </c>
    </row>
    <row r="665" spans="1:2" x14ac:dyDescent="0.25">
      <c r="A665" s="1" t="s">
        <v>816</v>
      </c>
      <c r="B665">
        <v>65810349520</v>
      </c>
    </row>
    <row r="666" spans="1:2" x14ac:dyDescent="0.25">
      <c r="A666" s="1" t="s">
        <v>817</v>
      </c>
      <c r="B666">
        <v>67764338520</v>
      </c>
    </row>
    <row r="667" spans="1:2" x14ac:dyDescent="0.25">
      <c r="A667" s="1" t="s">
        <v>818</v>
      </c>
      <c r="B667">
        <v>69776947190</v>
      </c>
    </row>
    <row r="668" spans="1:2" x14ac:dyDescent="0.25">
      <c r="A668" s="1" t="s">
        <v>819</v>
      </c>
      <c r="B668">
        <v>71476917620</v>
      </c>
    </row>
    <row r="669" spans="1:2" x14ac:dyDescent="0.25">
      <c r="A669" s="1" t="s">
        <v>820</v>
      </c>
      <c r="B669">
        <v>72473452010</v>
      </c>
    </row>
    <row r="670" spans="1:2" x14ac:dyDescent="0.25">
      <c r="A670" s="1" t="s">
        <v>821</v>
      </c>
      <c r="B670">
        <v>67588479510</v>
      </c>
    </row>
    <row r="671" spans="1:2" x14ac:dyDescent="0.25">
      <c r="A671" s="1" t="s">
        <v>822</v>
      </c>
      <c r="B671">
        <v>68956271810</v>
      </c>
    </row>
    <row r="672" spans="1:2" x14ac:dyDescent="0.25">
      <c r="A672" s="1" t="s">
        <v>823</v>
      </c>
      <c r="B672">
        <v>73763084750</v>
      </c>
    </row>
    <row r="673" spans="1:2" x14ac:dyDescent="0.25">
      <c r="A673" s="1" t="s">
        <v>128</v>
      </c>
      <c r="B673">
        <v>78530817910</v>
      </c>
    </row>
    <row r="674" spans="1:2" x14ac:dyDescent="0.25">
      <c r="A674" s="1" t="s">
        <v>824</v>
      </c>
      <c r="B674">
        <v>74915938260</v>
      </c>
    </row>
    <row r="675" spans="1:2" x14ac:dyDescent="0.25">
      <c r="A675" s="1" t="s">
        <v>825</v>
      </c>
      <c r="B675">
        <v>73352747060</v>
      </c>
    </row>
    <row r="676" spans="1:2" x14ac:dyDescent="0.25">
      <c r="A676" s="1" t="s">
        <v>826</v>
      </c>
      <c r="B676">
        <v>72395292450</v>
      </c>
    </row>
    <row r="677" spans="1:2" x14ac:dyDescent="0.25">
      <c r="A677" s="1" t="s">
        <v>827</v>
      </c>
      <c r="B677">
        <v>67490780060</v>
      </c>
    </row>
    <row r="678" spans="1:2" x14ac:dyDescent="0.25">
      <c r="A678" s="1" t="s">
        <v>828</v>
      </c>
      <c r="B678">
        <v>72629771130</v>
      </c>
    </row>
    <row r="679" spans="1:2" x14ac:dyDescent="0.25">
      <c r="A679" s="1" t="s">
        <v>829</v>
      </c>
      <c r="B679">
        <v>75443515290</v>
      </c>
    </row>
    <row r="680" spans="1:2" x14ac:dyDescent="0.25">
      <c r="A680" s="1" t="s">
        <v>830</v>
      </c>
      <c r="B680">
        <v>73079188600</v>
      </c>
    </row>
    <row r="681" spans="1:2" x14ac:dyDescent="0.25">
      <c r="A681" s="1" t="s">
        <v>831</v>
      </c>
      <c r="B681">
        <v>68799952690</v>
      </c>
    </row>
    <row r="682" spans="1:2" x14ac:dyDescent="0.25">
      <c r="A682" s="1" t="s">
        <v>832</v>
      </c>
      <c r="B682">
        <v>66611485010</v>
      </c>
    </row>
    <row r="683" spans="1:2" x14ac:dyDescent="0.25">
      <c r="A683" s="1" t="s">
        <v>833</v>
      </c>
      <c r="B683">
        <v>67998817199</v>
      </c>
    </row>
    <row r="684" spans="1:2" x14ac:dyDescent="0.25">
      <c r="A684" s="1" t="s">
        <v>834</v>
      </c>
      <c r="B684">
        <v>68037896980</v>
      </c>
    </row>
    <row r="685" spans="1:2" x14ac:dyDescent="0.25">
      <c r="A685" s="1" t="s">
        <v>835</v>
      </c>
      <c r="B685">
        <v>70890720920</v>
      </c>
    </row>
    <row r="686" spans="1:2" x14ac:dyDescent="0.25">
      <c r="A686" s="1" t="s">
        <v>836</v>
      </c>
      <c r="B686">
        <v>70226364660</v>
      </c>
    </row>
    <row r="687" spans="1:2" x14ac:dyDescent="0.25">
      <c r="A687" s="1" t="s">
        <v>837</v>
      </c>
      <c r="B687">
        <v>73899863980</v>
      </c>
    </row>
    <row r="688" spans="1:2" x14ac:dyDescent="0.25">
      <c r="A688" s="1" t="s">
        <v>838</v>
      </c>
      <c r="B688">
        <v>73978023540</v>
      </c>
    </row>
    <row r="689" spans="1:2" x14ac:dyDescent="0.25">
      <c r="A689" s="1" t="s">
        <v>839</v>
      </c>
      <c r="B689">
        <v>75052717490</v>
      </c>
    </row>
    <row r="690" spans="1:2" x14ac:dyDescent="0.25">
      <c r="A690" s="1" t="s">
        <v>840</v>
      </c>
      <c r="B690">
        <v>81110083390</v>
      </c>
    </row>
    <row r="691" spans="1:2" x14ac:dyDescent="0.25">
      <c r="A691" s="1" t="s">
        <v>841</v>
      </c>
      <c r="B691">
        <v>83767508430</v>
      </c>
    </row>
    <row r="692" spans="1:2" x14ac:dyDescent="0.25">
      <c r="A692" s="1" t="s">
        <v>842</v>
      </c>
      <c r="B692">
        <v>84099686560</v>
      </c>
    </row>
    <row r="693" spans="1:2" x14ac:dyDescent="0.25">
      <c r="A693" s="1" t="s">
        <v>843</v>
      </c>
      <c r="B693">
        <v>85233000180</v>
      </c>
    </row>
    <row r="694" spans="1:2" x14ac:dyDescent="0.25">
      <c r="A694" s="1" t="s">
        <v>844</v>
      </c>
      <c r="B694">
        <v>83239931400</v>
      </c>
    </row>
    <row r="695" spans="1:2" x14ac:dyDescent="0.25">
      <c r="A695" s="1" t="s">
        <v>845</v>
      </c>
      <c r="B695">
        <v>81110083390</v>
      </c>
    </row>
    <row r="696" spans="1:2" x14ac:dyDescent="0.25">
      <c r="A696" s="1" t="s">
        <v>846</v>
      </c>
      <c r="B696">
        <v>82126157670</v>
      </c>
    </row>
    <row r="697" spans="1:2" x14ac:dyDescent="0.25">
      <c r="A697" s="1" t="s">
        <v>847</v>
      </c>
      <c r="B697">
        <v>84490484360</v>
      </c>
    </row>
    <row r="698" spans="1:2" x14ac:dyDescent="0.25">
      <c r="A698" s="1" t="s">
        <v>848</v>
      </c>
      <c r="B698">
        <v>86796191380</v>
      </c>
    </row>
    <row r="699" spans="1:2" x14ac:dyDescent="0.25">
      <c r="A699" s="1" t="s">
        <v>849</v>
      </c>
      <c r="B699">
        <v>85877816550</v>
      </c>
    </row>
    <row r="700" spans="1:2" x14ac:dyDescent="0.25">
      <c r="A700" s="1" t="s">
        <v>79</v>
      </c>
      <c r="B700">
        <v>81930758770</v>
      </c>
    </row>
    <row r="701" spans="1:2" x14ac:dyDescent="0.25">
      <c r="A701" s="1" t="s">
        <v>850</v>
      </c>
      <c r="B701">
        <v>82621157760</v>
      </c>
    </row>
    <row r="702" spans="1:2" x14ac:dyDescent="0.25">
      <c r="A702" s="1" t="s">
        <v>851</v>
      </c>
      <c r="B702">
        <v>82233810560</v>
      </c>
    </row>
    <row r="703" spans="1:2" x14ac:dyDescent="0.25">
      <c r="A703" s="1" t="s">
        <v>852</v>
      </c>
      <c r="B703">
        <v>82388749440</v>
      </c>
    </row>
    <row r="704" spans="1:2" x14ac:dyDescent="0.25">
      <c r="A704" s="1" t="s">
        <v>853</v>
      </c>
      <c r="B704">
        <v>83202178560</v>
      </c>
    </row>
    <row r="705" spans="1:2" x14ac:dyDescent="0.25">
      <c r="A705" s="1" t="s">
        <v>854</v>
      </c>
      <c r="B705">
        <v>85042077760</v>
      </c>
    </row>
    <row r="706" spans="1:2" x14ac:dyDescent="0.25">
      <c r="A706" s="1" t="s">
        <v>855</v>
      </c>
      <c r="B706">
        <v>83318382720</v>
      </c>
    </row>
    <row r="707" spans="1:2" x14ac:dyDescent="0.25">
      <c r="A707" s="1" t="s">
        <v>856</v>
      </c>
      <c r="B707">
        <v>81284809920</v>
      </c>
    </row>
    <row r="708" spans="1:2" x14ac:dyDescent="0.25">
      <c r="A708" s="1" t="s">
        <v>857</v>
      </c>
      <c r="B708">
        <v>76888419200</v>
      </c>
    </row>
    <row r="709" spans="1:2" x14ac:dyDescent="0.25">
      <c r="A709" s="1" t="s">
        <v>858</v>
      </c>
      <c r="B709">
        <v>76849684480</v>
      </c>
    </row>
    <row r="710" spans="1:2" x14ac:dyDescent="0.25">
      <c r="A710" s="1" t="s">
        <v>859</v>
      </c>
      <c r="B710">
        <v>73014947200</v>
      </c>
    </row>
    <row r="711" spans="1:2" x14ac:dyDescent="0.25">
      <c r="A711" s="1" t="s">
        <v>860</v>
      </c>
      <c r="B711">
        <v>73266722880</v>
      </c>
    </row>
    <row r="712" spans="1:2" x14ac:dyDescent="0.25">
      <c r="A712" s="1" t="s">
        <v>861</v>
      </c>
      <c r="B712">
        <v>72162783360</v>
      </c>
    </row>
    <row r="713" spans="1:2" x14ac:dyDescent="0.25">
      <c r="A713" s="1" t="s">
        <v>862</v>
      </c>
      <c r="B713">
        <v>69199577280</v>
      </c>
    </row>
    <row r="714" spans="1:2" x14ac:dyDescent="0.25">
      <c r="A714" s="1" t="s">
        <v>863</v>
      </c>
      <c r="B714">
        <v>71020109120</v>
      </c>
    </row>
    <row r="715" spans="1:2" x14ac:dyDescent="0.25">
      <c r="A715" s="1" t="s">
        <v>864</v>
      </c>
      <c r="B715">
        <v>72705069440</v>
      </c>
    </row>
    <row r="716" spans="1:2" x14ac:dyDescent="0.25">
      <c r="A716" s="1" t="s">
        <v>865</v>
      </c>
      <c r="B716">
        <v>75164724160</v>
      </c>
    </row>
    <row r="717" spans="1:2" x14ac:dyDescent="0.25">
      <c r="A717" s="1" t="s">
        <v>866</v>
      </c>
      <c r="B717">
        <v>73750906880</v>
      </c>
    </row>
    <row r="718" spans="1:2" x14ac:dyDescent="0.25">
      <c r="A718" s="1" t="s">
        <v>867</v>
      </c>
      <c r="B718">
        <v>74544968640</v>
      </c>
    </row>
    <row r="719" spans="1:2" x14ac:dyDescent="0.25">
      <c r="A719" s="1" t="s">
        <v>868</v>
      </c>
      <c r="B719">
        <v>69431985600</v>
      </c>
    </row>
    <row r="720" spans="1:2" x14ac:dyDescent="0.25">
      <c r="A720" s="1" t="s">
        <v>869</v>
      </c>
      <c r="B720">
        <v>73828376320</v>
      </c>
    </row>
    <row r="721" spans="1:2" x14ac:dyDescent="0.25">
      <c r="A721" s="1" t="s">
        <v>870</v>
      </c>
      <c r="B721">
        <v>69761230720</v>
      </c>
    </row>
    <row r="722" spans="1:2" x14ac:dyDescent="0.25">
      <c r="A722" s="1" t="s">
        <v>871</v>
      </c>
      <c r="B722">
        <v>73595968000</v>
      </c>
    </row>
    <row r="723" spans="1:2" x14ac:dyDescent="0.25">
      <c r="A723" s="1" t="s">
        <v>872</v>
      </c>
      <c r="B723">
        <v>76888419200</v>
      </c>
    </row>
    <row r="724" spans="1:2" x14ac:dyDescent="0.25">
      <c r="A724" s="1" t="s">
        <v>873</v>
      </c>
      <c r="B724">
        <v>78476542720</v>
      </c>
    </row>
    <row r="725" spans="1:2" x14ac:dyDescent="0.25">
      <c r="A725" s="1" t="s">
        <v>874</v>
      </c>
      <c r="B725">
        <v>81497850880</v>
      </c>
    </row>
    <row r="726" spans="1:2" x14ac:dyDescent="0.25">
      <c r="A726" s="1" t="s">
        <v>875</v>
      </c>
      <c r="B726">
        <v>82659892480</v>
      </c>
    </row>
    <row r="727" spans="1:2" x14ac:dyDescent="0.25">
      <c r="A727" s="1" t="s">
        <v>876</v>
      </c>
      <c r="B727">
        <v>82504953600</v>
      </c>
    </row>
    <row r="728" spans="1:2" x14ac:dyDescent="0.25">
      <c r="A728" s="1" t="s">
        <v>877</v>
      </c>
      <c r="B728">
        <v>85661833280</v>
      </c>
    </row>
    <row r="729" spans="1:2" x14ac:dyDescent="0.25">
      <c r="A729" s="1" t="s">
        <v>878</v>
      </c>
      <c r="B729">
        <v>87153120000</v>
      </c>
    </row>
    <row r="730" spans="1:2" x14ac:dyDescent="0.25">
      <c r="A730" s="1" t="s">
        <v>879</v>
      </c>
      <c r="B730">
        <v>85429424960</v>
      </c>
    </row>
    <row r="731" spans="1:2" x14ac:dyDescent="0.25">
      <c r="A731" s="1" t="s">
        <v>880</v>
      </c>
      <c r="B731">
        <v>88625039360</v>
      </c>
    </row>
    <row r="732" spans="1:2" x14ac:dyDescent="0.25">
      <c r="A732" s="1" t="s">
        <v>881</v>
      </c>
      <c r="B732">
        <v>84461056960</v>
      </c>
    </row>
    <row r="733" spans="1:2" x14ac:dyDescent="0.25">
      <c r="A733" s="1" t="s">
        <v>882</v>
      </c>
      <c r="B733">
        <v>87385528320</v>
      </c>
    </row>
    <row r="734" spans="1:2" x14ac:dyDescent="0.25">
      <c r="A734" s="1" t="s">
        <v>883</v>
      </c>
      <c r="B734">
        <v>83821934080</v>
      </c>
    </row>
    <row r="735" spans="1:2" x14ac:dyDescent="0.25">
      <c r="A735" s="1" t="s">
        <v>884</v>
      </c>
      <c r="B735">
        <v>84015607680</v>
      </c>
    </row>
    <row r="736" spans="1:2" x14ac:dyDescent="0.25">
      <c r="A736" s="1" t="s">
        <v>885</v>
      </c>
      <c r="B736">
        <v>88140855360</v>
      </c>
    </row>
    <row r="737" spans="1:2" x14ac:dyDescent="0.25">
      <c r="A737" s="1" t="s">
        <v>886</v>
      </c>
      <c r="B737">
        <v>88876815040</v>
      </c>
    </row>
    <row r="738" spans="1:2" x14ac:dyDescent="0.25">
      <c r="A738" s="1" t="s">
        <v>887</v>
      </c>
      <c r="B738">
        <v>91394571840</v>
      </c>
    </row>
    <row r="739" spans="1:2" x14ac:dyDescent="0.25">
      <c r="A739" s="1" t="s">
        <v>129</v>
      </c>
      <c r="B739">
        <v>87676038720</v>
      </c>
    </row>
    <row r="740" spans="1:2" x14ac:dyDescent="0.25">
      <c r="A740" s="1" t="s">
        <v>888</v>
      </c>
      <c r="B740">
        <v>88547569920</v>
      </c>
    </row>
    <row r="741" spans="1:2" x14ac:dyDescent="0.25">
      <c r="A741" s="1" t="s">
        <v>889</v>
      </c>
      <c r="B741">
        <v>83066607040</v>
      </c>
    </row>
    <row r="742" spans="1:2" x14ac:dyDescent="0.25">
      <c r="A742" s="1" t="s">
        <v>890</v>
      </c>
      <c r="B742">
        <v>85913608960</v>
      </c>
    </row>
    <row r="743" spans="1:2" x14ac:dyDescent="0.25">
      <c r="A743" s="1" t="s">
        <v>891</v>
      </c>
      <c r="B743">
        <v>84867771520</v>
      </c>
    </row>
    <row r="744" spans="1:2" x14ac:dyDescent="0.25">
      <c r="A744" s="1" t="s">
        <v>892</v>
      </c>
      <c r="B744">
        <v>86417160320</v>
      </c>
    </row>
    <row r="745" spans="1:2" x14ac:dyDescent="0.25">
      <c r="A745" s="1" t="s">
        <v>893</v>
      </c>
      <c r="B745">
        <v>86630201280</v>
      </c>
    </row>
    <row r="746" spans="1:2" x14ac:dyDescent="0.25">
      <c r="A746" s="1" t="s">
        <v>894</v>
      </c>
      <c r="B746">
        <v>89128590720</v>
      </c>
    </row>
    <row r="747" spans="1:2" x14ac:dyDescent="0.25">
      <c r="A747" s="1" t="s">
        <v>895</v>
      </c>
      <c r="B747">
        <v>88547569920</v>
      </c>
    </row>
    <row r="748" spans="1:2" x14ac:dyDescent="0.25">
      <c r="A748" s="1" t="s">
        <v>896</v>
      </c>
      <c r="B748">
        <v>88140855360</v>
      </c>
    </row>
    <row r="749" spans="1:2" x14ac:dyDescent="0.25">
      <c r="A749" s="1" t="s">
        <v>897</v>
      </c>
      <c r="B749">
        <v>90000121920</v>
      </c>
    </row>
    <row r="750" spans="1:2" x14ac:dyDescent="0.25">
      <c r="A750" s="1" t="s">
        <v>898</v>
      </c>
      <c r="B750">
        <v>89089856000</v>
      </c>
    </row>
    <row r="751" spans="1:2" x14ac:dyDescent="0.25">
      <c r="A751" s="1" t="s">
        <v>899</v>
      </c>
      <c r="B751">
        <v>91123428800</v>
      </c>
    </row>
    <row r="752" spans="1:2" x14ac:dyDescent="0.25">
      <c r="A752" s="1" t="s">
        <v>900</v>
      </c>
      <c r="B752">
        <v>91162163520</v>
      </c>
    </row>
    <row r="753" spans="1:2" x14ac:dyDescent="0.25">
      <c r="A753" s="1" t="s">
        <v>901</v>
      </c>
      <c r="B753">
        <v>93660552960</v>
      </c>
    </row>
    <row r="754" spans="1:2" x14ac:dyDescent="0.25">
      <c r="A754" s="1" t="s">
        <v>902</v>
      </c>
      <c r="B754">
        <v>91568878080</v>
      </c>
    </row>
    <row r="755" spans="1:2" x14ac:dyDescent="0.25">
      <c r="A755" s="1" t="s">
        <v>903</v>
      </c>
      <c r="B755">
        <v>89883917760</v>
      </c>
    </row>
    <row r="756" spans="1:2" x14ac:dyDescent="0.25">
      <c r="A756" s="1" t="s">
        <v>904</v>
      </c>
      <c r="B756">
        <v>90484305920</v>
      </c>
    </row>
    <row r="757" spans="1:2" x14ac:dyDescent="0.25">
      <c r="A757" s="1" t="s">
        <v>905</v>
      </c>
      <c r="B757">
        <v>89651509440</v>
      </c>
    </row>
    <row r="758" spans="1:2" x14ac:dyDescent="0.25">
      <c r="A758" s="1" t="s">
        <v>906</v>
      </c>
      <c r="B758">
        <v>92517878720</v>
      </c>
    </row>
    <row r="759" spans="1:2" x14ac:dyDescent="0.25">
      <c r="A759" s="1" t="s">
        <v>907</v>
      </c>
      <c r="B759">
        <v>92789021760</v>
      </c>
    </row>
    <row r="760" spans="1:2" x14ac:dyDescent="0.25">
      <c r="A760" s="1" t="s">
        <v>908</v>
      </c>
      <c r="B760">
        <v>91045959360</v>
      </c>
    </row>
    <row r="761" spans="1:2" x14ac:dyDescent="0.25">
      <c r="A761" s="1" t="s">
        <v>909</v>
      </c>
      <c r="B761">
        <v>88334528960</v>
      </c>
    </row>
    <row r="762" spans="1:2" x14ac:dyDescent="0.25">
      <c r="A762" s="1" t="s">
        <v>910</v>
      </c>
      <c r="B762">
        <v>88547569920</v>
      </c>
    </row>
    <row r="763" spans="1:2" x14ac:dyDescent="0.25">
      <c r="A763" s="1" t="s">
        <v>911</v>
      </c>
      <c r="B763">
        <v>91123428800</v>
      </c>
    </row>
    <row r="764" spans="1:2" x14ac:dyDescent="0.25">
      <c r="A764" s="1" t="s">
        <v>80</v>
      </c>
      <c r="B764">
        <v>86765772800</v>
      </c>
    </row>
    <row r="765" spans="1:2" x14ac:dyDescent="0.25">
      <c r="A765" s="1" t="s">
        <v>912</v>
      </c>
      <c r="B765">
        <v>84309750000</v>
      </c>
    </row>
    <row r="766" spans="1:2" x14ac:dyDescent="0.25">
      <c r="A766" s="1" t="s">
        <v>913</v>
      </c>
      <c r="B766">
        <v>87074625000</v>
      </c>
    </row>
    <row r="767" spans="1:2" x14ac:dyDescent="0.25">
      <c r="A767" s="1" t="s">
        <v>914</v>
      </c>
      <c r="B767">
        <v>89479687500</v>
      </c>
    </row>
    <row r="768" spans="1:2" x14ac:dyDescent="0.25">
      <c r="A768" s="1" t="s">
        <v>915</v>
      </c>
      <c r="B768">
        <v>88305562500</v>
      </c>
    </row>
    <row r="769" spans="1:2" x14ac:dyDescent="0.25">
      <c r="A769" s="1" t="s">
        <v>916</v>
      </c>
      <c r="B769">
        <v>86127750000</v>
      </c>
    </row>
    <row r="770" spans="1:2" x14ac:dyDescent="0.25">
      <c r="A770" s="1" t="s">
        <v>917</v>
      </c>
      <c r="B770">
        <v>84972562500</v>
      </c>
    </row>
    <row r="771" spans="1:2" x14ac:dyDescent="0.25">
      <c r="A771" s="1" t="s">
        <v>918</v>
      </c>
      <c r="B771">
        <v>84006750000</v>
      </c>
    </row>
    <row r="772" spans="1:2" x14ac:dyDescent="0.25">
      <c r="A772" s="1" t="s">
        <v>919</v>
      </c>
      <c r="B772">
        <v>75352312500</v>
      </c>
    </row>
    <row r="773" spans="1:2" x14ac:dyDescent="0.25">
      <c r="A773" s="1" t="s">
        <v>920</v>
      </c>
      <c r="B773">
        <v>75276562500</v>
      </c>
    </row>
    <row r="774" spans="1:2" x14ac:dyDescent="0.25">
      <c r="A774" s="1" t="s">
        <v>921</v>
      </c>
      <c r="B774">
        <v>74841000000</v>
      </c>
    </row>
    <row r="775" spans="1:2" x14ac:dyDescent="0.25">
      <c r="A775" s="1" t="s">
        <v>922</v>
      </c>
      <c r="B775">
        <v>72871500000</v>
      </c>
    </row>
    <row r="776" spans="1:2" x14ac:dyDescent="0.25">
      <c r="A776" s="1" t="s">
        <v>923</v>
      </c>
      <c r="B776">
        <v>73875187500</v>
      </c>
    </row>
    <row r="777" spans="1:2" x14ac:dyDescent="0.25">
      <c r="A777" s="1" t="s">
        <v>924</v>
      </c>
      <c r="B777">
        <v>75882562500</v>
      </c>
    </row>
    <row r="778" spans="1:2" x14ac:dyDescent="0.25">
      <c r="A778" s="1" t="s">
        <v>925</v>
      </c>
      <c r="B778">
        <v>75541687500</v>
      </c>
    </row>
    <row r="779" spans="1:2" x14ac:dyDescent="0.25">
      <c r="A779" s="1" t="s">
        <v>926</v>
      </c>
      <c r="B779">
        <v>76412812500</v>
      </c>
    </row>
    <row r="780" spans="1:2" x14ac:dyDescent="0.25">
      <c r="A780" s="1" t="s">
        <v>927</v>
      </c>
      <c r="B780">
        <v>75882562500</v>
      </c>
    </row>
    <row r="781" spans="1:2" x14ac:dyDescent="0.25">
      <c r="A781" s="1" t="s">
        <v>928</v>
      </c>
      <c r="B781">
        <v>77549062500</v>
      </c>
    </row>
    <row r="782" spans="1:2" x14ac:dyDescent="0.25">
      <c r="A782" s="1" t="s">
        <v>929</v>
      </c>
      <c r="B782">
        <v>76356000000</v>
      </c>
    </row>
    <row r="783" spans="1:2" x14ac:dyDescent="0.25">
      <c r="A783" s="1" t="s">
        <v>930</v>
      </c>
      <c r="B783">
        <v>78401250000</v>
      </c>
    </row>
    <row r="784" spans="1:2" x14ac:dyDescent="0.25">
      <c r="A784" s="1" t="s">
        <v>931</v>
      </c>
      <c r="B784">
        <v>76924125000</v>
      </c>
    </row>
    <row r="785" spans="1:2" x14ac:dyDescent="0.25">
      <c r="A785" s="1" t="s">
        <v>932</v>
      </c>
      <c r="B785">
        <v>74121375000</v>
      </c>
    </row>
    <row r="786" spans="1:2" x14ac:dyDescent="0.25">
      <c r="A786" s="1" t="s">
        <v>933</v>
      </c>
      <c r="B786">
        <v>74973562500</v>
      </c>
    </row>
    <row r="787" spans="1:2" x14ac:dyDescent="0.25">
      <c r="A787" s="1" t="s">
        <v>934</v>
      </c>
      <c r="B787">
        <v>77056687500</v>
      </c>
    </row>
    <row r="788" spans="1:2" x14ac:dyDescent="0.25">
      <c r="A788" s="1" t="s">
        <v>935</v>
      </c>
      <c r="B788">
        <v>76924125000</v>
      </c>
    </row>
    <row r="789" spans="1:2" x14ac:dyDescent="0.25">
      <c r="A789" s="1" t="s">
        <v>936</v>
      </c>
      <c r="B789">
        <v>78685312500</v>
      </c>
    </row>
    <row r="790" spans="1:2" x14ac:dyDescent="0.25">
      <c r="A790" s="1" t="s">
        <v>937</v>
      </c>
      <c r="B790">
        <v>76071937500</v>
      </c>
    </row>
    <row r="791" spans="1:2" x14ac:dyDescent="0.25">
      <c r="A791" s="1" t="s">
        <v>938</v>
      </c>
      <c r="B791">
        <v>77643750000</v>
      </c>
    </row>
    <row r="792" spans="1:2" x14ac:dyDescent="0.25">
      <c r="A792" s="1" t="s">
        <v>939</v>
      </c>
      <c r="B792">
        <v>75655312500</v>
      </c>
    </row>
    <row r="793" spans="1:2" x14ac:dyDescent="0.25">
      <c r="A793" s="1" t="s">
        <v>940</v>
      </c>
      <c r="B793">
        <v>75484875000</v>
      </c>
    </row>
    <row r="794" spans="1:2" x14ac:dyDescent="0.25">
      <c r="A794" s="1" t="s">
        <v>941</v>
      </c>
      <c r="B794">
        <v>77416500000</v>
      </c>
    </row>
    <row r="795" spans="1:2" x14ac:dyDescent="0.25">
      <c r="A795" s="1" t="s">
        <v>942</v>
      </c>
      <c r="B795">
        <v>77643750000</v>
      </c>
    </row>
    <row r="796" spans="1:2" x14ac:dyDescent="0.25">
      <c r="A796" s="1" t="s">
        <v>943</v>
      </c>
      <c r="B796">
        <v>78590625000</v>
      </c>
    </row>
    <row r="797" spans="1:2" x14ac:dyDescent="0.25">
      <c r="A797" s="1" t="s">
        <v>944</v>
      </c>
      <c r="B797">
        <v>79954125000</v>
      </c>
    </row>
    <row r="798" spans="1:2" x14ac:dyDescent="0.25">
      <c r="A798" s="1" t="s">
        <v>945</v>
      </c>
      <c r="B798">
        <v>80919937500</v>
      </c>
    </row>
    <row r="799" spans="1:2" x14ac:dyDescent="0.25">
      <c r="A799" s="1" t="s">
        <v>946</v>
      </c>
      <c r="B799">
        <v>81582750000</v>
      </c>
    </row>
    <row r="800" spans="1:2" x14ac:dyDescent="0.25">
      <c r="A800" s="1" t="s">
        <v>947</v>
      </c>
      <c r="B800">
        <v>82378125000</v>
      </c>
    </row>
    <row r="801" spans="1:2" x14ac:dyDescent="0.25">
      <c r="A801" s="1" t="s">
        <v>948</v>
      </c>
      <c r="B801">
        <v>81904687500</v>
      </c>
    </row>
    <row r="802" spans="1:2" x14ac:dyDescent="0.25">
      <c r="A802" s="1" t="s">
        <v>949</v>
      </c>
      <c r="B802">
        <v>83855250000</v>
      </c>
    </row>
    <row r="803" spans="1:2" x14ac:dyDescent="0.25">
      <c r="A803" s="1" t="s">
        <v>950</v>
      </c>
      <c r="B803">
        <v>81563812500</v>
      </c>
    </row>
    <row r="804" spans="1:2" x14ac:dyDescent="0.25">
      <c r="A804" s="1" t="s">
        <v>130</v>
      </c>
      <c r="B804">
        <v>79177687500</v>
      </c>
    </row>
    <row r="805" spans="1:2" x14ac:dyDescent="0.25">
      <c r="A805" s="1" t="s">
        <v>951</v>
      </c>
      <c r="B805">
        <v>81033562500</v>
      </c>
    </row>
    <row r="806" spans="1:2" x14ac:dyDescent="0.25">
      <c r="A806" s="1" t="s">
        <v>952</v>
      </c>
      <c r="B806">
        <v>82359187500</v>
      </c>
    </row>
    <row r="807" spans="1:2" x14ac:dyDescent="0.25">
      <c r="A807" s="1" t="s">
        <v>953</v>
      </c>
      <c r="B807">
        <v>82302375000</v>
      </c>
    </row>
    <row r="808" spans="1:2" x14ac:dyDescent="0.25">
      <c r="A808" s="1" t="s">
        <v>954</v>
      </c>
      <c r="B808">
        <v>84631687500</v>
      </c>
    </row>
    <row r="809" spans="1:2" x14ac:dyDescent="0.25">
      <c r="A809" s="1" t="s">
        <v>955</v>
      </c>
      <c r="B809">
        <v>87377625000</v>
      </c>
    </row>
    <row r="810" spans="1:2" x14ac:dyDescent="0.25">
      <c r="A810" s="1" t="s">
        <v>956</v>
      </c>
      <c r="B810">
        <v>86771625000</v>
      </c>
    </row>
    <row r="811" spans="1:2" x14ac:dyDescent="0.25">
      <c r="A811" s="1" t="s">
        <v>957</v>
      </c>
      <c r="B811">
        <v>88646437500</v>
      </c>
    </row>
    <row r="812" spans="1:2" x14ac:dyDescent="0.25">
      <c r="A812" s="1" t="s">
        <v>958</v>
      </c>
      <c r="B812">
        <v>89877375000</v>
      </c>
    </row>
    <row r="813" spans="1:2" x14ac:dyDescent="0.25">
      <c r="A813" s="1" t="s">
        <v>959</v>
      </c>
      <c r="B813">
        <v>90085687500</v>
      </c>
    </row>
    <row r="814" spans="1:2" x14ac:dyDescent="0.25">
      <c r="A814" s="1" t="s">
        <v>960</v>
      </c>
      <c r="B814">
        <v>89991000000</v>
      </c>
    </row>
    <row r="815" spans="1:2" x14ac:dyDescent="0.25">
      <c r="A815" s="1" t="s">
        <v>961</v>
      </c>
      <c r="B815">
        <v>87718500000</v>
      </c>
    </row>
    <row r="816" spans="1:2" x14ac:dyDescent="0.25">
      <c r="A816" s="1" t="s">
        <v>962</v>
      </c>
      <c r="B816">
        <v>86279250000</v>
      </c>
    </row>
    <row r="817" spans="1:2" x14ac:dyDescent="0.25">
      <c r="A817" s="1" t="s">
        <v>963</v>
      </c>
      <c r="B817">
        <v>87472312500</v>
      </c>
    </row>
    <row r="818" spans="1:2" x14ac:dyDescent="0.25">
      <c r="A818" s="1" t="s">
        <v>964</v>
      </c>
      <c r="B818">
        <v>87907875000</v>
      </c>
    </row>
    <row r="819" spans="1:2" x14ac:dyDescent="0.25">
      <c r="A819" s="1" t="s">
        <v>965</v>
      </c>
      <c r="B819">
        <v>89290312500</v>
      </c>
    </row>
    <row r="820" spans="1:2" x14ac:dyDescent="0.25">
      <c r="A820" s="1" t="s">
        <v>966</v>
      </c>
      <c r="B820">
        <v>91051500000</v>
      </c>
    </row>
    <row r="821" spans="1:2" x14ac:dyDescent="0.25">
      <c r="A821" s="1" t="s">
        <v>967</v>
      </c>
      <c r="B821">
        <v>91676437500</v>
      </c>
    </row>
    <row r="822" spans="1:2" x14ac:dyDescent="0.25">
      <c r="A822" s="1" t="s">
        <v>968</v>
      </c>
      <c r="B822">
        <v>92926312500</v>
      </c>
    </row>
    <row r="823" spans="1:2" x14ac:dyDescent="0.25">
      <c r="A823" s="1" t="s">
        <v>969</v>
      </c>
      <c r="B823">
        <v>90047812500</v>
      </c>
    </row>
    <row r="824" spans="1:2" x14ac:dyDescent="0.25">
      <c r="A824" s="1" t="s">
        <v>970</v>
      </c>
      <c r="B824">
        <v>92187750000</v>
      </c>
    </row>
    <row r="825" spans="1:2" x14ac:dyDescent="0.25">
      <c r="A825" s="1" t="s">
        <v>971</v>
      </c>
      <c r="B825">
        <v>96202500000</v>
      </c>
    </row>
    <row r="826" spans="1:2" x14ac:dyDescent="0.25">
      <c r="A826" s="1" t="s">
        <v>972</v>
      </c>
      <c r="B826">
        <v>97925812500</v>
      </c>
    </row>
    <row r="827" spans="1:2" x14ac:dyDescent="0.25">
      <c r="A827" s="1" t="s">
        <v>973</v>
      </c>
      <c r="B827">
        <v>95804812500</v>
      </c>
    </row>
    <row r="828" spans="1:2" x14ac:dyDescent="0.25">
      <c r="A828" s="1" t="s">
        <v>81</v>
      </c>
      <c r="B828">
        <v>94914750000</v>
      </c>
    </row>
    <row r="829" spans="1:2" x14ac:dyDescent="0.25">
      <c r="A829" s="1" t="s">
        <v>974</v>
      </c>
      <c r="B829">
        <v>95182918560</v>
      </c>
    </row>
    <row r="830" spans="1:2" x14ac:dyDescent="0.25">
      <c r="A830" s="1" t="s">
        <v>975</v>
      </c>
      <c r="B830">
        <v>95839223160</v>
      </c>
    </row>
    <row r="831" spans="1:2" x14ac:dyDescent="0.25">
      <c r="A831" s="1" t="s">
        <v>976</v>
      </c>
      <c r="B831">
        <v>97001819880</v>
      </c>
    </row>
    <row r="832" spans="1:2" x14ac:dyDescent="0.25">
      <c r="A832" s="1" t="s">
        <v>977</v>
      </c>
      <c r="B832">
        <v>95295427920</v>
      </c>
    </row>
    <row r="833" spans="1:2" x14ac:dyDescent="0.25">
      <c r="A833" s="1" t="s">
        <v>978</v>
      </c>
      <c r="B833">
        <v>94714129560</v>
      </c>
    </row>
    <row r="834" spans="1:2" x14ac:dyDescent="0.25">
      <c r="A834" s="1" t="s">
        <v>979</v>
      </c>
      <c r="B834">
        <v>91976401800</v>
      </c>
    </row>
    <row r="835" spans="1:2" x14ac:dyDescent="0.25">
      <c r="A835" s="1" t="s">
        <v>980</v>
      </c>
      <c r="B835">
        <v>90232506720</v>
      </c>
    </row>
    <row r="836" spans="1:2" x14ac:dyDescent="0.25">
      <c r="A836" s="1" t="s">
        <v>981</v>
      </c>
      <c r="B836">
        <v>93195253200</v>
      </c>
    </row>
    <row r="837" spans="1:2" x14ac:dyDescent="0.25">
      <c r="A837" s="1" t="s">
        <v>982</v>
      </c>
      <c r="B837">
        <v>93195253200</v>
      </c>
    </row>
    <row r="838" spans="1:2" x14ac:dyDescent="0.25">
      <c r="A838" s="1" t="s">
        <v>983</v>
      </c>
      <c r="B838">
        <v>91676376840</v>
      </c>
    </row>
    <row r="839" spans="1:2" x14ac:dyDescent="0.25">
      <c r="A839" s="1" t="s">
        <v>984</v>
      </c>
      <c r="B839">
        <v>92445190800</v>
      </c>
    </row>
    <row r="840" spans="1:2" x14ac:dyDescent="0.25">
      <c r="A840" s="1" t="s">
        <v>985</v>
      </c>
      <c r="B840">
        <v>95201670120</v>
      </c>
    </row>
    <row r="841" spans="1:2" x14ac:dyDescent="0.25">
      <c r="A841" s="1" t="s">
        <v>986</v>
      </c>
      <c r="B841">
        <v>93776551560</v>
      </c>
    </row>
    <row r="842" spans="1:2" x14ac:dyDescent="0.25">
      <c r="A842" s="1" t="s">
        <v>987</v>
      </c>
      <c r="B842">
        <v>92913979800</v>
      </c>
    </row>
    <row r="843" spans="1:2" x14ac:dyDescent="0.25">
      <c r="A843" s="1" t="s">
        <v>988</v>
      </c>
      <c r="B843">
        <v>92145165840</v>
      </c>
    </row>
    <row r="844" spans="1:2" x14ac:dyDescent="0.25">
      <c r="A844" s="1" t="s">
        <v>989</v>
      </c>
      <c r="B844">
        <v>93532781280</v>
      </c>
    </row>
    <row r="845" spans="1:2" x14ac:dyDescent="0.25">
      <c r="A845" s="1" t="s">
        <v>990</v>
      </c>
      <c r="B845">
        <v>95182918560</v>
      </c>
    </row>
    <row r="846" spans="1:2" x14ac:dyDescent="0.25">
      <c r="A846" s="1" t="s">
        <v>991</v>
      </c>
      <c r="B846">
        <v>94095328080</v>
      </c>
    </row>
    <row r="847" spans="1:2" x14ac:dyDescent="0.25">
      <c r="A847" s="1" t="s">
        <v>992</v>
      </c>
      <c r="B847">
        <v>91320097200</v>
      </c>
    </row>
    <row r="848" spans="1:2" x14ac:dyDescent="0.25">
      <c r="A848" s="1" t="s">
        <v>993</v>
      </c>
      <c r="B848">
        <v>95239173240</v>
      </c>
    </row>
    <row r="849" spans="1:2" x14ac:dyDescent="0.25">
      <c r="A849" s="1" t="s">
        <v>994</v>
      </c>
      <c r="B849">
        <v>95595452880</v>
      </c>
    </row>
    <row r="850" spans="1:2" x14ac:dyDescent="0.25">
      <c r="A850" s="1" t="s">
        <v>995</v>
      </c>
      <c r="B850">
        <v>95314179480</v>
      </c>
    </row>
    <row r="851" spans="1:2" x14ac:dyDescent="0.25">
      <c r="A851" s="1" t="s">
        <v>996</v>
      </c>
      <c r="B851">
        <v>95089160760</v>
      </c>
    </row>
    <row r="852" spans="1:2" x14ac:dyDescent="0.25">
      <c r="A852" s="1" t="s">
        <v>997</v>
      </c>
      <c r="B852">
        <v>95857974720</v>
      </c>
    </row>
    <row r="853" spans="1:2" x14ac:dyDescent="0.25">
      <c r="A853" s="1" t="s">
        <v>998</v>
      </c>
      <c r="B853">
        <v>94620371760</v>
      </c>
    </row>
    <row r="854" spans="1:2" x14ac:dyDescent="0.25">
      <c r="A854" s="1" t="s">
        <v>999</v>
      </c>
      <c r="B854">
        <v>93814054680</v>
      </c>
    </row>
    <row r="855" spans="1:2" x14ac:dyDescent="0.25">
      <c r="A855" s="1" t="s">
        <v>1000</v>
      </c>
      <c r="B855">
        <v>91545115920</v>
      </c>
    </row>
    <row r="856" spans="1:2" x14ac:dyDescent="0.25">
      <c r="A856" s="1" t="s">
        <v>1001</v>
      </c>
      <c r="B856">
        <v>92501445480</v>
      </c>
    </row>
    <row r="857" spans="1:2" x14ac:dyDescent="0.25">
      <c r="A857" s="1" t="s">
        <v>1002</v>
      </c>
      <c r="B857">
        <v>92763967320</v>
      </c>
    </row>
    <row r="858" spans="1:2" x14ac:dyDescent="0.25">
      <c r="A858" s="1" t="s">
        <v>1003</v>
      </c>
      <c r="B858">
        <v>92201420520</v>
      </c>
    </row>
    <row r="859" spans="1:2" x14ac:dyDescent="0.25">
      <c r="A859" s="1" t="s">
        <v>1004</v>
      </c>
      <c r="B859">
        <v>89088661560</v>
      </c>
    </row>
    <row r="860" spans="1:2" x14ac:dyDescent="0.25">
      <c r="A860" s="1" t="s">
        <v>1005</v>
      </c>
      <c r="B860">
        <v>88919897520</v>
      </c>
    </row>
    <row r="861" spans="1:2" x14ac:dyDescent="0.25">
      <c r="A861" s="1" t="s">
        <v>1006</v>
      </c>
      <c r="B861">
        <v>83406938880</v>
      </c>
    </row>
    <row r="862" spans="1:2" x14ac:dyDescent="0.25">
      <c r="A862" s="1" t="s">
        <v>1007</v>
      </c>
      <c r="B862">
        <v>82150584360</v>
      </c>
    </row>
    <row r="863" spans="1:2" x14ac:dyDescent="0.25">
      <c r="A863" s="1" t="s">
        <v>1008</v>
      </c>
      <c r="B863">
        <v>86650958760</v>
      </c>
    </row>
    <row r="864" spans="1:2" x14ac:dyDescent="0.25">
      <c r="A864" s="1" t="s">
        <v>1009</v>
      </c>
      <c r="B864">
        <v>85863393240</v>
      </c>
    </row>
    <row r="865" spans="1:2" x14ac:dyDescent="0.25">
      <c r="A865" s="1" t="s">
        <v>1010</v>
      </c>
      <c r="B865">
        <v>88188586680</v>
      </c>
    </row>
    <row r="866" spans="1:2" x14ac:dyDescent="0.25">
      <c r="A866" s="1" t="s">
        <v>1011</v>
      </c>
      <c r="B866">
        <v>87476027400</v>
      </c>
    </row>
    <row r="867" spans="1:2" x14ac:dyDescent="0.25">
      <c r="A867" s="1" t="s">
        <v>131</v>
      </c>
      <c r="B867">
        <v>95970484080</v>
      </c>
    </row>
    <row r="868" spans="1:2" x14ac:dyDescent="0.25">
      <c r="A868" s="1" t="s">
        <v>1012</v>
      </c>
      <c r="B868">
        <v>99364516440</v>
      </c>
    </row>
    <row r="869" spans="1:2" x14ac:dyDescent="0.25">
      <c r="A869" s="1" t="s">
        <v>1013</v>
      </c>
      <c r="B869">
        <v>102852306600</v>
      </c>
    </row>
    <row r="870" spans="1:2" x14ac:dyDescent="0.25">
      <c r="A870" s="1" t="s">
        <v>1014</v>
      </c>
      <c r="B870">
        <v>102702294120</v>
      </c>
    </row>
    <row r="871" spans="1:2" x14ac:dyDescent="0.25">
      <c r="A871" s="1" t="s">
        <v>1015</v>
      </c>
      <c r="B871">
        <v>103002319080</v>
      </c>
    </row>
    <row r="872" spans="1:2" x14ac:dyDescent="0.25">
      <c r="A872" s="1" t="s">
        <v>1016</v>
      </c>
      <c r="B872">
        <v>109584116640</v>
      </c>
    </row>
    <row r="873" spans="1:2" x14ac:dyDescent="0.25">
      <c r="A873" s="1" t="s">
        <v>1017</v>
      </c>
      <c r="B873">
        <v>107183916960</v>
      </c>
    </row>
    <row r="874" spans="1:2" x14ac:dyDescent="0.25">
      <c r="A874" s="1" t="s">
        <v>1018</v>
      </c>
      <c r="B874">
        <v>108027737160</v>
      </c>
    </row>
    <row r="875" spans="1:2" x14ac:dyDescent="0.25">
      <c r="A875" s="1" t="s">
        <v>1019</v>
      </c>
      <c r="B875">
        <v>108627787080</v>
      </c>
    </row>
    <row r="876" spans="1:2" x14ac:dyDescent="0.25">
      <c r="A876" s="1" t="s">
        <v>1020</v>
      </c>
      <c r="B876">
        <v>105533779680</v>
      </c>
    </row>
    <row r="877" spans="1:2" x14ac:dyDescent="0.25">
      <c r="A877" s="1" t="s">
        <v>1021</v>
      </c>
      <c r="B877">
        <v>104577450120</v>
      </c>
    </row>
    <row r="878" spans="1:2" x14ac:dyDescent="0.25">
      <c r="A878" s="1" t="s">
        <v>1022</v>
      </c>
      <c r="B878">
        <v>104033654880</v>
      </c>
    </row>
    <row r="879" spans="1:2" x14ac:dyDescent="0.25">
      <c r="A879" s="1" t="s">
        <v>1023</v>
      </c>
      <c r="B879">
        <v>108477774600</v>
      </c>
    </row>
    <row r="880" spans="1:2" x14ac:dyDescent="0.25">
      <c r="A880" s="1" t="s">
        <v>1024</v>
      </c>
      <c r="B880">
        <v>113165664600</v>
      </c>
    </row>
    <row r="881" spans="1:2" x14ac:dyDescent="0.25">
      <c r="A881" s="1" t="s">
        <v>1025</v>
      </c>
      <c r="B881">
        <v>113896975440</v>
      </c>
    </row>
    <row r="882" spans="1:2" x14ac:dyDescent="0.25">
      <c r="A882" s="1" t="s">
        <v>1026</v>
      </c>
      <c r="B882">
        <v>111065489880</v>
      </c>
    </row>
    <row r="883" spans="1:2" x14ac:dyDescent="0.25">
      <c r="A883" s="1" t="s">
        <v>1027</v>
      </c>
      <c r="B883">
        <v>113709459840</v>
      </c>
    </row>
    <row r="884" spans="1:2" x14ac:dyDescent="0.25">
      <c r="A884" s="1" t="s">
        <v>1028</v>
      </c>
      <c r="B884">
        <v>111459272640</v>
      </c>
    </row>
    <row r="885" spans="1:2" x14ac:dyDescent="0.25">
      <c r="A885" s="1" t="s">
        <v>1029</v>
      </c>
      <c r="B885">
        <v>108158998080</v>
      </c>
    </row>
    <row r="886" spans="1:2" x14ac:dyDescent="0.25">
      <c r="A886" s="1" t="s">
        <v>1030</v>
      </c>
      <c r="B886">
        <v>108440271480</v>
      </c>
    </row>
    <row r="887" spans="1:2" x14ac:dyDescent="0.25">
      <c r="A887" s="1" t="s">
        <v>1031</v>
      </c>
      <c r="B887">
        <v>106677624840</v>
      </c>
    </row>
    <row r="888" spans="1:2" x14ac:dyDescent="0.25">
      <c r="A888" s="1" t="s">
        <v>1032</v>
      </c>
      <c r="B888">
        <v>108852805800</v>
      </c>
    </row>
    <row r="889" spans="1:2" x14ac:dyDescent="0.25">
      <c r="A889" s="1" t="s">
        <v>1033</v>
      </c>
      <c r="B889">
        <v>107633954400</v>
      </c>
    </row>
    <row r="890" spans="1:2" x14ac:dyDescent="0.25">
      <c r="A890" s="1" t="s">
        <v>1034</v>
      </c>
      <c r="B890">
        <v>108008985600</v>
      </c>
    </row>
    <row r="891" spans="1:2" x14ac:dyDescent="0.25">
      <c r="A891" s="1" t="s">
        <v>82</v>
      </c>
      <c r="B891">
        <v>102214753560</v>
      </c>
    </row>
    <row r="892" spans="1:2" x14ac:dyDescent="0.25">
      <c r="A892" s="1" t="s">
        <v>1035</v>
      </c>
      <c r="B892">
        <v>96228000000</v>
      </c>
    </row>
    <row r="893" spans="1:2" x14ac:dyDescent="0.25">
      <c r="A893" s="1" t="s">
        <v>1036</v>
      </c>
      <c r="B893">
        <v>96030000000</v>
      </c>
    </row>
    <row r="894" spans="1:2" x14ac:dyDescent="0.25">
      <c r="A894" s="1" t="s">
        <v>1037</v>
      </c>
      <c r="B894">
        <v>98478000000</v>
      </c>
    </row>
    <row r="895" spans="1:2" x14ac:dyDescent="0.25">
      <c r="A895" s="1" t="s">
        <v>1038</v>
      </c>
      <c r="B895">
        <v>97002000000</v>
      </c>
    </row>
    <row r="896" spans="1:2" x14ac:dyDescent="0.25">
      <c r="A896" s="1" t="s">
        <v>1039</v>
      </c>
      <c r="B896">
        <v>94626000000</v>
      </c>
    </row>
    <row r="897" spans="1:2" x14ac:dyDescent="0.25">
      <c r="A897" s="1" t="s">
        <v>1040</v>
      </c>
      <c r="B897">
        <v>96282000000</v>
      </c>
    </row>
    <row r="898" spans="1:2" x14ac:dyDescent="0.25">
      <c r="A898" s="1" t="s">
        <v>1041</v>
      </c>
      <c r="B898">
        <v>100242000000</v>
      </c>
    </row>
    <row r="899" spans="1:2" x14ac:dyDescent="0.25">
      <c r="A899" s="1" t="s">
        <v>1042</v>
      </c>
      <c r="B899">
        <v>102744000000</v>
      </c>
    </row>
    <row r="900" spans="1:2" x14ac:dyDescent="0.25">
      <c r="A900" s="1" t="s">
        <v>1043</v>
      </c>
      <c r="B900">
        <v>100242000000</v>
      </c>
    </row>
    <row r="901" spans="1:2" x14ac:dyDescent="0.25">
      <c r="A901" s="1" t="s">
        <v>1044</v>
      </c>
      <c r="B901">
        <v>101448000000</v>
      </c>
    </row>
    <row r="902" spans="1:2" x14ac:dyDescent="0.25">
      <c r="A902" s="1" t="s">
        <v>1045</v>
      </c>
      <c r="B902">
        <v>105930000000</v>
      </c>
    </row>
    <row r="903" spans="1:2" x14ac:dyDescent="0.25">
      <c r="A903" s="1" t="s">
        <v>1046</v>
      </c>
      <c r="B903">
        <v>108342000000</v>
      </c>
    </row>
    <row r="904" spans="1:2" x14ac:dyDescent="0.25">
      <c r="A904" s="1" t="s">
        <v>1047</v>
      </c>
      <c r="B904">
        <v>108630000000</v>
      </c>
    </row>
    <row r="905" spans="1:2" x14ac:dyDescent="0.25">
      <c r="A905" s="1" t="s">
        <v>1048</v>
      </c>
      <c r="B905">
        <v>106110000000</v>
      </c>
    </row>
    <row r="906" spans="1:2" x14ac:dyDescent="0.25">
      <c r="A906" s="1" t="s">
        <v>1049</v>
      </c>
      <c r="B906">
        <v>103824000000</v>
      </c>
    </row>
    <row r="907" spans="1:2" x14ac:dyDescent="0.25">
      <c r="A907" s="1" t="s">
        <v>1050</v>
      </c>
      <c r="B907">
        <v>99450000000</v>
      </c>
    </row>
    <row r="908" spans="1:2" x14ac:dyDescent="0.25">
      <c r="A908" s="1" t="s">
        <v>1051</v>
      </c>
      <c r="B908">
        <v>95760000000</v>
      </c>
    </row>
    <row r="909" spans="1:2" x14ac:dyDescent="0.25">
      <c r="A909" s="1" t="s">
        <v>1052</v>
      </c>
      <c r="B909">
        <v>99972000000</v>
      </c>
    </row>
    <row r="910" spans="1:2" x14ac:dyDescent="0.25">
      <c r="A910" s="1" t="s">
        <v>1053</v>
      </c>
      <c r="B910">
        <v>95526000000</v>
      </c>
    </row>
    <row r="911" spans="1:2" x14ac:dyDescent="0.25">
      <c r="A911" s="1" t="s">
        <v>1054</v>
      </c>
      <c r="B911">
        <v>100998000000</v>
      </c>
    </row>
    <row r="912" spans="1:2" x14ac:dyDescent="0.25">
      <c r="A912" s="1" t="s">
        <v>1055</v>
      </c>
      <c r="B912">
        <v>98370000000</v>
      </c>
    </row>
    <row r="913" spans="1:2" x14ac:dyDescent="0.25">
      <c r="A913" s="1" t="s">
        <v>155</v>
      </c>
      <c r="B913">
        <v>97920000000</v>
      </c>
    </row>
    <row r="914" spans="1:2" x14ac:dyDescent="0.25">
      <c r="A914" s="1" t="s">
        <v>1056</v>
      </c>
      <c r="B914">
        <v>93150000000</v>
      </c>
    </row>
    <row r="915" spans="1:2" x14ac:dyDescent="0.25">
      <c r="A915" s="1" t="s">
        <v>1057</v>
      </c>
      <c r="B915">
        <v>92610000000</v>
      </c>
    </row>
    <row r="916" spans="1:2" x14ac:dyDescent="0.25">
      <c r="A916" s="1" t="s">
        <v>1058</v>
      </c>
      <c r="B916">
        <v>97038000000</v>
      </c>
    </row>
    <row r="917" spans="1:2" x14ac:dyDescent="0.25">
      <c r="A917" s="1" t="s">
        <v>1059</v>
      </c>
      <c r="B917">
        <v>100800000000</v>
      </c>
    </row>
    <row r="918" spans="1:2" x14ac:dyDescent="0.25">
      <c r="A918" s="1" t="s">
        <v>1060</v>
      </c>
      <c r="B918">
        <v>99558000000</v>
      </c>
    </row>
    <row r="919" spans="1:2" x14ac:dyDescent="0.25">
      <c r="A919" s="1" t="s">
        <v>1061</v>
      </c>
      <c r="B919">
        <v>105102000000</v>
      </c>
    </row>
    <row r="920" spans="1:2" x14ac:dyDescent="0.25">
      <c r="A920" s="1" t="s">
        <v>1062</v>
      </c>
      <c r="B920">
        <v>106200000000</v>
      </c>
    </row>
    <row r="921" spans="1:2" x14ac:dyDescent="0.25">
      <c r="A921" s="1" t="s">
        <v>1063</v>
      </c>
      <c r="B921">
        <v>109458000000</v>
      </c>
    </row>
    <row r="922" spans="1:2" x14ac:dyDescent="0.25">
      <c r="A922" s="1" t="s">
        <v>1064</v>
      </c>
      <c r="B922">
        <v>108936000000</v>
      </c>
    </row>
    <row r="923" spans="1:2" x14ac:dyDescent="0.25">
      <c r="A923" s="1" t="s">
        <v>1065</v>
      </c>
      <c r="B923">
        <v>109134000000</v>
      </c>
    </row>
    <row r="924" spans="1:2" x14ac:dyDescent="0.25">
      <c r="A924" s="1" t="s">
        <v>1066</v>
      </c>
      <c r="B924">
        <v>109278000000</v>
      </c>
    </row>
    <row r="925" spans="1:2" x14ac:dyDescent="0.25">
      <c r="A925" s="1" t="s">
        <v>132</v>
      </c>
      <c r="B925">
        <v>113724000000</v>
      </c>
    </row>
    <row r="926" spans="1:2" x14ac:dyDescent="0.25">
      <c r="A926" s="1" t="s">
        <v>1067</v>
      </c>
      <c r="B926">
        <v>107298000000</v>
      </c>
    </row>
    <row r="927" spans="1:2" x14ac:dyDescent="0.25">
      <c r="A927" s="1" t="s">
        <v>1068</v>
      </c>
      <c r="B927">
        <v>106722000000</v>
      </c>
    </row>
    <row r="928" spans="1:2" x14ac:dyDescent="0.25">
      <c r="A928" s="1" t="s">
        <v>1069</v>
      </c>
      <c r="B928">
        <v>105444000000</v>
      </c>
    </row>
    <row r="929" spans="1:2" x14ac:dyDescent="0.25">
      <c r="A929" s="1" t="s">
        <v>1070</v>
      </c>
      <c r="B929">
        <v>104130000000</v>
      </c>
    </row>
    <row r="930" spans="1:2" x14ac:dyDescent="0.25">
      <c r="A930" s="1" t="s">
        <v>1071</v>
      </c>
      <c r="B930">
        <v>102816000000</v>
      </c>
    </row>
    <row r="931" spans="1:2" x14ac:dyDescent="0.25">
      <c r="A931" s="1" t="s">
        <v>1072</v>
      </c>
      <c r="B931">
        <v>101628000000</v>
      </c>
    </row>
    <row r="932" spans="1:2" x14ac:dyDescent="0.25">
      <c r="A932" s="1" t="s">
        <v>1073</v>
      </c>
      <c r="B932">
        <v>94968000000</v>
      </c>
    </row>
    <row r="933" spans="1:2" x14ac:dyDescent="0.25">
      <c r="A933" s="1" t="s">
        <v>1074</v>
      </c>
      <c r="B933">
        <v>91674000000</v>
      </c>
    </row>
    <row r="934" spans="1:2" x14ac:dyDescent="0.25">
      <c r="A934" s="1" t="s">
        <v>1075</v>
      </c>
      <c r="B934">
        <v>92844000000</v>
      </c>
    </row>
    <row r="935" spans="1:2" x14ac:dyDescent="0.25">
      <c r="A935" s="1" t="s">
        <v>1076</v>
      </c>
      <c r="B935">
        <v>86598000000</v>
      </c>
    </row>
    <row r="936" spans="1:2" x14ac:dyDescent="0.25">
      <c r="A936" s="1" t="s">
        <v>1077</v>
      </c>
      <c r="B936">
        <v>93456000000</v>
      </c>
    </row>
    <row r="937" spans="1:2" x14ac:dyDescent="0.25">
      <c r="A937" s="1" t="s">
        <v>1078</v>
      </c>
      <c r="B937">
        <v>97722000000</v>
      </c>
    </row>
    <row r="938" spans="1:2" x14ac:dyDescent="0.25">
      <c r="A938" s="1" t="s">
        <v>1079</v>
      </c>
      <c r="B938">
        <v>97758000000</v>
      </c>
    </row>
    <row r="939" spans="1:2" x14ac:dyDescent="0.25">
      <c r="A939" s="1" t="s">
        <v>1080</v>
      </c>
      <c r="B939">
        <v>100422000000</v>
      </c>
    </row>
    <row r="940" spans="1:2" x14ac:dyDescent="0.25">
      <c r="A940" s="1" t="s">
        <v>1081</v>
      </c>
      <c r="B940">
        <v>101484000000</v>
      </c>
    </row>
    <row r="941" spans="1:2" x14ac:dyDescent="0.25">
      <c r="A941" s="1" t="s">
        <v>1082</v>
      </c>
      <c r="B941">
        <v>101340000000</v>
      </c>
    </row>
    <row r="942" spans="1:2" x14ac:dyDescent="0.25">
      <c r="A942" s="1" t="s">
        <v>1083</v>
      </c>
      <c r="B942">
        <v>99936000000</v>
      </c>
    </row>
    <row r="943" spans="1:2" x14ac:dyDescent="0.25">
      <c r="A943" s="1" t="s">
        <v>1084</v>
      </c>
      <c r="B943">
        <v>102438000000</v>
      </c>
    </row>
    <row r="944" spans="1:2" x14ac:dyDescent="0.25">
      <c r="A944" s="1" t="s">
        <v>1085</v>
      </c>
      <c r="B944">
        <v>106920000000</v>
      </c>
    </row>
    <row r="945" spans="1:2" x14ac:dyDescent="0.25">
      <c r="A945" s="1" t="s">
        <v>1086</v>
      </c>
      <c r="B945">
        <v>105372000000</v>
      </c>
    </row>
    <row r="946" spans="1:2" x14ac:dyDescent="0.25">
      <c r="A946" s="1" t="s">
        <v>1087</v>
      </c>
      <c r="B946">
        <v>98262000000</v>
      </c>
    </row>
    <row r="947" spans="1:2" x14ac:dyDescent="0.25">
      <c r="A947" s="1" t="s">
        <v>1088</v>
      </c>
      <c r="B947">
        <v>95904000000</v>
      </c>
    </row>
    <row r="948" spans="1:2" x14ac:dyDescent="0.25">
      <c r="A948" s="1" t="s">
        <v>1089</v>
      </c>
      <c r="B948">
        <v>101034000000</v>
      </c>
    </row>
    <row r="949" spans="1:2" x14ac:dyDescent="0.25">
      <c r="A949" s="1" t="s">
        <v>1090</v>
      </c>
      <c r="B949">
        <v>94464000000</v>
      </c>
    </row>
    <row r="950" spans="1:2" x14ac:dyDescent="0.25">
      <c r="A950" s="1" t="s">
        <v>1091</v>
      </c>
      <c r="B950">
        <v>97218000000</v>
      </c>
    </row>
    <row r="951" spans="1:2" x14ac:dyDescent="0.25">
      <c r="A951" s="1" t="s">
        <v>1092</v>
      </c>
      <c r="B951">
        <v>92052000000</v>
      </c>
    </row>
    <row r="952" spans="1:2" x14ac:dyDescent="0.25">
      <c r="A952" s="1" t="s">
        <v>83</v>
      </c>
      <c r="B952">
        <v>91800000000</v>
      </c>
    </row>
    <row r="953" spans="1:2" x14ac:dyDescent="0.25">
      <c r="A953" s="1" t="s">
        <v>1093</v>
      </c>
      <c r="B953">
        <v>94820025040</v>
      </c>
    </row>
    <row r="954" spans="1:2" x14ac:dyDescent="0.25">
      <c r="A954" s="1" t="s">
        <v>1094</v>
      </c>
      <c r="B954">
        <v>93250098003</v>
      </c>
    </row>
    <row r="955" spans="1:2" x14ac:dyDescent="0.25">
      <c r="A955" s="1" t="s">
        <v>1095</v>
      </c>
      <c r="B955">
        <v>92714895604</v>
      </c>
    </row>
    <row r="956" spans="1:2" x14ac:dyDescent="0.25">
      <c r="A956" s="1" t="s">
        <v>1096</v>
      </c>
      <c r="B956">
        <v>94338342881</v>
      </c>
    </row>
    <row r="957" spans="1:2" x14ac:dyDescent="0.25">
      <c r="A957" s="1" t="s">
        <v>1097</v>
      </c>
      <c r="B957">
        <v>95819069518</v>
      </c>
    </row>
    <row r="958" spans="1:2" x14ac:dyDescent="0.25">
      <c r="A958" s="1" t="s">
        <v>1098</v>
      </c>
      <c r="B958">
        <v>95943950078</v>
      </c>
    </row>
    <row r="959" spans="1:2" x14ac:dyDescent="0.25">
      <c r="A959" s="1" t="s">
        <v>1099</v>
      </c>
      <c r="B959">
        <v>92411614244</v>
      </c>
    </row>
    <row r="960" spans="1:2" x14ac:dyDescent="0.25">
      <c r="A960" s="1" t="s">
        <v>1100</v>
      </c>
      <c r="B960">
        <v>90306484808</v>
      </c>
    </row>
    <row r="961" spans="1:2" x14ac:dyDescent="0.25">
      <c r="A961" s="1" t="s">
        <v>1101</v>
      </c>
      <c r="B961">
        <v>90324324888</v>
      </c>
    </row>
    <row r="962" spans="1:2" x14ac:dyDescent="0.25">
      <c r="A962" s="1" t="s">
        <v>1102</v>
      </c>
      <c r="B962">
        <v>90074563768</v>
      </c>
    </row>
    <row r="963" spans="1:2" x14ac:dyDescent="0.25">
      <c r="A963" s="1" t="s">
        <v>1103</v>
      </c>
      <c r="B963">
        <v>90984407847</v>
      </c>
    </row>
    <row r="964" spans="1:2" x14ac:dyDescent="0.25">
      <c r="A964" s="1" t="s">
        <v>1104</v>
      </c>
      <c r="B964">
        <v>91805051525</v>
      </c>
    </row>
    <row r="965" spans="1:2" x14ac:dyDescent="0.25">
      <c r="A965" s="1" t="s">
        <v>1105</v>
      </c>
      <c r="B965">
        <v>93892340882</v>
      </c>
    </row>
    <row r="966" spans="1:2" x14ac:dyDescent="0.25">
      <c r="A966" s="1" t="s">
        <v>1106</v>
      </c>
      <c r="B966">
        <v>96960834636</v>
      </c>
    </row>
    <row r="967" spans="1:2" x14ac:dyDescent="0.25">
      <c r="A967" s="1" t="s">
        <v>1107</v>
      </c>
      <c r="B967">
        <v>95961790158</v>
      </c>
    </row>
    <row r="968" spans="1:2" x14ac:dyDescent="0.25">
      <c r="A968" s="1" t="s">
        <v>1108</v>
      </c>
      <c r="B968">
        <v>94570263920</v>
      </c>
    </row>
    <row r="969" spans="1:2" x14ac:dyDescent="0.25">
      <c r="A969" s="1" t="s">
        <v>1109</v>
      </c>
      <c r="B969">
        <v>95979630238</v>
      </c>
    </row>
    <row r="970" spans="1:2" x14ac:dyDescent="0.25">
      <c r="A970" s="1" t="s">
        <v>1110</v>
      </c>
      <c r="B970">
        <v>97870678715</v>
      </c>
    </row>
    <row r="971" spans="1:2" x14ac:dyDescent="0.25">
      <c r="A971" s="1" t="s">
        <v>1111</v>
      </c>
      <c r="B971">
        <v>93696100002</v>
      </c>
    </row>
    <row r="972" spans="1:2" x14ac:dyDescent="0.25">
      <c r="A972" s="1" t="s">
        <v>1112</v>
      </c>
      <c r="B972">
        <v>94712984560</v>
      </c>
    </row>
    <row r="973" spans="1:2" x14ac:dyDescent="0.25">
      <c r="A973" s="1" t="s">
        <v>1113</v>
      </c>
      <c r="B973">
        <v>88540316891</v>
      </c>
    </row>
    <row r="974" spans="1:2" x14ac:dyDescent="0.25">
      <c r="A974" s="1" t="s">
        <v>1114</v>
      </c>
      <c r="B974">
        <v>88593837131</v>
      </c>
    </row>
    <row r="975" spans="1:2" x14ac:dyDescent="0.25">
      <c r="A975" s="1" t="s">
        <v>1115</v>
      </c>
      <c r="B975">
        <v>90484885607</v>
      </c>
    </row>
    <row r="976" spans="1:2" x14ac:dyDescent="0.25">
      <c r="A976" s="1" t="s">
        <v>1116</v>
      </c>
      <c r="B976">
        <v>90627606247</v>
      </c>
    </row>
    <row r="977" spans="1:2" x14ac:dyDescent="0.25">
      <c r="A977" s="1" t="s">
        <v>1117</v>
      </c>
      <c r="B977">
        <v>91448249926</v>
      </c>
    </row>
    <row r="978" spans="1:2" x14ac:dyDescent="0.25">
      <c r="A978" s="1" t="s">
        <v>1118</v>
      </c>
      <c r="B978">
        <v>89271760169</v>
      </c>
    </row>
    <row r="979" spans="1:2" x14ac:dyDescent="0.25">
      <c r="A979" s="1" t="s">
        <v>1119</v>
      </c>
      <c r="B979">
        <v>86399507294</v>
      </c>
    </row>
    <row r="980" spans="1:2" x14ac:dyDescent="0.25">
      <c r="A980" s="1" t="s">
        <v>1120</v>
      </c>
      <c r="B980">
        <v>87880233932</v>
      </c>
    </row>
    <row r="981" spans="1:2" x14ac:dyDescent="0.25">
      <c r="A981" s="1" t="s">
        <v>1121</v>
      </c>
      <c r="B981">
        <v>87612632732</v>
      </c>
    </row>
    <row r="982" spans="1:2" x14ac:dyDescent="0.25">
      <c r="A982" s="1" t="s">
        <v>1122</v>
      </c>
      <c r="B982">
        <v>87220150973</v>
      </c>
    </row>
    <row r="983" spans="1:2" x14ac:dyDescent="0.25">
      <c r="A983" s="1" t="s">
        <v>1123</v>
      </c>
      <c r="B983">
        <v>87791033532</v>
      </c>
    </row>
    <row r="984" spans="1:2" x14ac:dyDescent="0.25">
      <c r="A984" s="1" t="s">
        <v>1124</v>
      </c>
      <c r="B984">
        <v>84936620737</v>
      </c>
    </row>
    <row r="985" spans="1:2" x14ac:dyDescent="0.25">
      <c r="A985" s="1" t="s">
        <v>1125</v>
      </c>
      <c r="B985">
        <v>82777971060</v>
      </c>
    </row>
    <row r="986" spans="1:2" x14ac:dyDescent="0.25">
      <c r="A986" s="1" t="s">
        <v>1126</v>
      </c>
      <c r="B986">
        <v>82474689701</v>
      </c>
    </row>
    <row r="987" spans="1:2" x14ac:dyDescent="0.25">
      <c r="A987" s="1" t="s">
        <v>1127</v>
      </c>
      <c r="B987">
        <v>83848375859</v>
      </c>
    </row>
    <row r="988" spans="1:2" x14ac:dyDescent="0.25">
      <c r="A988" s="1" t="s">
        <v>1128</v>
      </c>
      <c r="B988">
        <v>85953505295</v>
      </c>
    </row>
    <row r="989" spans="1:2" x14ac:dyDescent="0.25">
      <c r="A989" s="1" t="s">
        <v>1129</v>
      </c>
      <c r="B989">
        <v>80048438825</v>
      </c>
    </row>
    <row r="990" spans="1:2" x14ac:dyDescent="0.25">
      <c r="A990" s="1" t="s">
        <v>133</v>
      </c>
      <c r="B990">
        <v>74856975554</v>
      </c>
    </row>
    <row r="991" spans="1:2" x14ac:dyDescent="0.25">
      <c r="A991" s="1" t="s">
        <v>1130</v>
      </c>
      <c r="B991">
        <v>73126487797</v>
      </c>
    </row>
    <row r="992" spans="1:2" x14ac:dyDescent="0.25">
      <c r="A992" s="1" t="s">
        <v>1131</v>
      </c>
      <c r="B992">
        <v>63813966052</v>
      </c>
    </row>
    <row r="993" spans="1:2" x14ac:dyDescent="0.25">
      <c r="A993" s="1" t="s">
        <v>1132</v>
      </c>
      <c r="B993">
        <v>62101318375</v>
      </c>
    </row>
    <row r="994" spans="1:2" x14ac:dyDescent="0.25">
      <c r="A994" s="1" t="s">
        <v>1133</v>
      </c>
      <c r="B994">
        <v>59603707179</v>
      </c>
    </row>
    <row r="995" spans="1:2" x14ac:dyDescent="0.25">
      <c r="A995" s="1" t="s">
        <v>1134</v>
      </c>
      <c r="B995">
        <v>60763312377</v>
      </c>
    </row>
    <row r="996" spans="1:2" x14ac:dyDescent="0.25">
      <c r="A996" s="1" t="s">
        <v>1135</v>
      </c>
      <c r="B996">
        <v>60031869099</v>
      </c>
    </row>
    <row r="997" spans="1:2" x14ac:dyDescent="0.25">
      <c r="A997" s="1" t="s">
        <v>1136</v>
      </c>
      <c r="B997">
        <v>60941713177</v>
      </c>
    </row>
    <row r="998" spans="1:2" x14ac:dyDescent="0.25">
      <c r="A998" s="1" t="s">
        <v>1137</v>
      </c>
      <c r="B998">
        <v>63314443813</v>
      </c>
    </row>
    <row r="999" spans="1:2" x14ac:dyDescent="0.25">
      <c r="A999" s="1" t="s">
        <v>1138</v>
      </c>
      <c r="B999">
        <v>65562293889</v>
      </c>
    </row>
    <row r="1000" spans="1:2" x14ac:dyDescent="0.25">
      <c r="A1000" s="1" t="s">
        <v>1139</v>
      </c>
      <c r="B1000">
        <v>65473093489</v>
      </c>
    </row>
    <row r="1001" spans="1:2" x14ac:dyDescent="0.25">
      <c r="A1001" s="1" t="s">
        <v>1140</v>
      </c>
      <c r="B1001">
        <v>62797081494</v>
      </c>
    </row>
    <row r="1002" spans="1:2" x14ac:dyDescent="0.25">
      <c r="A1002" s="1" t="s">
        <v>1141</v>
      </c>
      <c r="B1002">
        <v>64777330371</v>
      </c>
    </row>
    <row r="1003" spans="1:2" x14ac:dyDescent="0.25">
      <c r="A1003" s="1" t="s">
        <v>1142</v>
      </c>
      <c r="B1003">
        <v>61048753657</v>
      </c>
    </row>
    <row r="1004" spans="1:2" x14ac:dyDescent="0.25">
      <c r="A1004" s="1" t="s">
        <v>1143</v>
      </c>
      <c r="B1004">
        <v>60156749658</v>
      </c>
    </row>
    <row r="1005" spans="1:2" x14ac:dyDescent="0.25">
      <c r="A1005" s="1" t="s">
        <v>1144</v>
      </c>
      <c r="B1005">
        <v>61120113977</v>
      </c>
    </row>
    <row r="1006" spans="1:2" x14ac:dyDescent="0.25">
      <c r="A1006" s="1" t="s">
        <v>1145</v>
      </c>
      <c r="B1006">
        <v>62636520774</v>
      </c>
    </row>
    <row r="1007" spans="1:2" x14ac:dyDescent="0.25">
      <c r="A1007" s="1" t="s">
        <v>1146</v>
      </c>
      <c r="B1007">
        <v>63439324373</v>
      </c>
    </row>
    <row r="1008" spans="1:2" x14ac:dyDescent="0.25">
      <c r="A1008" s="1" t="s">
        <v>1147</v>
      </c>
      <c r="B1008">
        <v>64688129971</v>
      </c>
    </row>
    <row r="1009" spans="1:2" x14ac:dyDescent="0.25">
      <c r="A1009" s="1" t="s">
        <v>1148</v>
      </c>
      <c r="B1009">
        <v>66489978048</v>
      </c>
    </row>
    <row r="1010" spans="1:2" x14ac:dyDescent="0.25">
      <c r="A1010" s="1" t="s">
        <v>1149</v>
      </c>
      <c r="B1010">
        <v>66614858607</v>
      </c>
    </row>
    <row r="1011" spans="1:2" x14ac:dyDescent="0.25">
      <c r="A1011" s="1" t="s">
        <v>1150</v>
      </c>
      <c r="B1011">
        <v>65615814129</v>
      </c>
    </row>
    <row r="1012" spans="1:2" x14ac:dyDescent="0.25">
      <c r="A1012" s="1" t="s">
        <v>1151</v>
      </c>
      <c r="B1012">
        <v>64688129971</v>
      </c>
    </row>
    <row r="1013" spans="1:2" x14ac:dyDescent="0.25">
      <c r="A1013" s="1" t="s">
        <v>1152</v>
      </c>
      <c r="B1013">
        <v>66258057008</v>
      </c>
    </row>
    <row r="1014" spans="1:2" x14ac:dyDescent="0.25">
      <c r="A1014" s="1" t="s">
        <v>1153</v>
      </c>
      <c r="B1014">
        <v>67292781646</v>
      </c>
    </row>
    <row r="1015" spans="1:2" x14ac:dyDescent="0.25">
      <c r="A1015" s="1" t="s">
        <v>1154</v>
      </c>
      <c r="B1015">
        <v>66258057008</v>
      </c>
    </row>
    <row r="1016" spans="1:2" x14ac:dyDescent="0.25">
      <c r="A1016" s="1" t="s">
        <v>84</v>
      </c>
      <c r="B1016">
        <v>65080611730</v>
      </c>
    </row>
    <row r="1017" spans="1:2" x14ac:dyDescent="0.25">
      <c r="A1017" s="1" t="s">
        <v>1155</v>
      </c>
      <c r="B1017">
        <v>62180677470</v>
      </c>
    </row>
    <row r="1018" spans="1:2" x14ac:dyDescent="0.25">
      <c r="A1018" s="1" t="s">
        <v>1156</v>
      </c>
      <c r="B1018">
        <v>62408831240</v>
      </c>
    </row>
    <row r="1019" spans="1:2" x14ac:dyDescent="0.25">
      <c r="A1019" s="1" t="s">
        <v>1157</v>
      </c>
      <c r="B1019">
        <v>60478299340</v>
      </c>
    </row>
    <row r="1020" spans="1:2" x14ac:dyDescent="0.25">
      <c r="A1020" s="1" t="s">
        <v>1158</v>
      </c>
      <c r="B1020">
        <v>58530217150</v>
      </c>
    </row>
    <row r="1021" spans="1:2" x14ac:dyDescent="0.25">
      <c r="A1021" s="1" t="s">
        <v>1159</v>
      </c>
      <c r="B1021">
        <v>58881222949</v>
      </c>
    </row>
    <row r="1022" spans="1:2" x14ac:dyDescent="0.25">
      <c r="A1022" s="1" t="s">
        <v>1160</v>
      </c>
      <c r="B1022">
        <v>60372997600</v>
      </c>
    </row>
    <row r="1023" spans="1:2" x14ac:dyDescent="0.25">
      <c r="A1023" s="1" t="s">
        <v>1161</v>
      </c>
      <c r="B1023">
        <v>64041008210</v>
      </c>
    </row>
    <row r="1024" spans="1:2" x14ac:dyDescent="0.25">
      <c r="A1024" s="1" t="s">
        <v>1162</v>
      </c>
      <c r="B1024">
        <v>65146676479</v>
      </c>
    </row>
    <row r="1025" spans="1:2" x14ac:dyDescent="0.25">
      <c r="A1025" s="1" t="s">
        <v>1163</v>
      </c>
      <c r="B1025">
        <v>65041374740</v>
      </c>
    </row>
    <row r="1026" spans="1:2" x14ac:dyDescent="0.25">
      <c r="A1026" s="1" t="s">
        <v>1164</v>
      </c>
      <c r="B1026">
        <v>66094392139</v>
      </c>
    </row>
    <row r="1027" spans="1:2" x14ac:dyDescent="0.25">
      <c r="A1027" s="1" t="s">
        <v>1165</v>
      </c>
      <c r="B1027">
        <v>65760936630</v>
      </c>
    </row>
    <row r="1028" spans="1:2" x14ac:dyDescent="0.25">
      <c r="A1028" s="1" t="s">
        <v>1166</v>
      </c>
      <c r="B1028">
        <v>66603350550</v>
      </c>
    </row>
    <row r="1029" spans="1:2" x14ac:dyDescent="0.25">
      <c r="A1029" s="1" t="s">
        <v>1167</v>
      </c>
      <c r="B1029">
        <v>64900972419</v>
      </c>
    </row>
    <row r="1030" spans="1:2" x14ac:dyDescent="0.25">
      <c r="A1030" s="1" t="s">
        <v>1168</v>
      </c>
      <c r="B1030">
        <v>63145943419</v>
      </c>
    </row>
    <row r="1031" spans="1:2" x14ac:dyDescent="0.25">
      <c r="A1031" s="1" t="s">
        <v>1169</v>
      </c>
      <c r="B1031">
        <v>61443565290</v>
      </c>
    </row>
    <row r="1032" spans="1:2" x14ac:dyDescent="0.25">
      <c r="A1032" s="1" t="s">
        <v>1170</v>
      </c>
      <c r="B1032">
        <v>60232595280</v>
      </c>
    </row>
    <row r="1033" spans="1:2" x14ac:dyDescent="0.25">
      <c r="A1033" s="1" t="s">
        <v>1171</v>
      </c>
      <c r="B1033">
        <v>58337163960</v>
      </c>
    </row>
    <row r="1034" spans="1:2" x14ac:dyDescent="0.25">
      <c r="A1034" s="1" t="s">
        <v>1172</v>
      </c>
      <c r="B1034">
        <v>58635518889</v>
      </c>
    </row>
    <row r="1035" spans="1:2" x14ac:dyDescent="0.25">
      <c r="A1035" s="1" t="s">
        <v>1173</v>
      </c>
      <c r="B1035">
        <v>60320346729</v>
      </c>
    </row>
    <row r="1036" spans="1:2" x14ac:dyDescent="0.25">
      <c r="A1036" s="1" t="s">
        <v>1174</v>
      </c>
      <c r="B1036">
        <v>60197494699</v>
      </c>
    </row>
    <row r="1037" spans="1:2" x14ac:dyDescent="0.25">
      <c r="A1037" s="1" t="s">
        <v>1175</v>
      </c>
      <c r="B1037">
        <v>59021625270</v>
      </c>
    </row>
    <row r="1038" spans="1:2" x14ac:dyDescent="0.25">
      <c r="A1038" s="1" t="s">
        <v>1176</v>
      </c>
      <c r="B1038">
        <v>59319980199</v>
      </c>
    </row>
    <row r="1039" spans="1:2" x14ac:dyDescent="0.25">
      <c r="A1039" s="1" t="s">
        <v>1177</v>
      </c>
      <c r="B1039">
        <v>57564951199</v>
      </c>
    </row>
    <row r="1040" spans="1:2" x14ac:dyDescent="0.25">
      <c r="A1040" s="1" t="s">
        <v>1178</v>
      </c>
      <c r="B1040">
        <v>56687436699</v>
      </c>
    </row>
    <row r="1041" spans="1:2" x14ac:dyDescent="0.25">
      <c r="A1041" s="1" t="s">
        <v>1179</v>
      </c>
      <c r="B1041">
        <v>54739354510</v>
      </c>
    </row>
    <row r="1042" spans="1:2" x14ac:dyDescent="0.25">
      <c r="A1042" s="1" t="s">
        <v>1180</v>
      </c>
      <c r="B1042">
        <v>54476100160</v>
      </c>
    </row>
    <row r="1043" spans="1:2" x14ac:dyDescent="0.25">
      <c r="A1043" s="1" t="s">
        <v>1181</v>
      </c>
      <c r="B1043">
        <v>54107544070</v>
      </c>
    </row>
    <row r="1044" spans="1:2" x14ac:dyDescent="0.25">
      <c r="A1044" s="1" t="s">
        <v>1182</v>
      </c>
      <c r="B1044">
        <v>55125460890</v>
      </c>
    </row>
    <row r="1045" spans="1:2" x14ac:dyDescent="0.25">
      <c r="A1045" s="1" t="s">
        <v>1183</v>
      </c>
      <c r="B1045">
        <v>51632953180</v>
      </c>
    </row>
    <row r="1046" spans="1:2" x14ac:dyDescent="0.25">
      <c r="A1046" s="1" t="s">
        <v>1184</v>
      </c>
      <c r="B1046">
        <v>52791272320</v>
      </c>
    </row>
    <row r="1047" spans="1:2" x14ac:dyDescent="0.25">
      <c r="A1047" s="1" t="s">
        <v>1185</v>
      </c>
      <c r="B1047">
        <v>51738254920</v>
      </c>
    </row>
    <row r="1048" spans="1:2" x14ac:dyDescent="0.25">
      <c r="A1048" s="1" t="s">
        <v>1186</v>
      </c>
      <c r="B1048">
        <v>52633319710</v>
      </c>
    </row>
    <row r="1049" spans="1:2" x14ac:dyDescent="0.25">
      <c r="A1049" s="1" t="s">
        <v>1187</v>
      </c>
      <c r="B1049">
        <v>53458183340</v>
      </c>
    </row>
    <row r="1050" spans="1:2" x14ac:dyDescent="0.25">
      <c r="A1050" s="1" t="s">
        <v>1188</v>
      </c>
      <c r="B1050">
        <v>54125094360</v>
      </c>
    </row>
    <row r="1051" spans="1:2" x14ac:dyDescent="0.25">
      <c r="A1051" s="1" t="s">
        <v>1189</v>
      </c>
      <c r="B1051">
        <v>54774455090</v>
      </c>
    </row>
    <row r="1052" spans="1:2" x14ac:dyDescent="0.25">
      <c r="A1052" s="1" t="s">
        <v>1190</v>
      </c>
      <c r="B1052">
        <v>56634785830</v>
      </c>
    </row>
    <row r="1053" spans="1:2" x14ac:dyDescent="0.25">
      <c r="A1053" s="1" t="s">
        <v>1191</v>
      </c>
      <c r="B1053">
        <v>57740454100</v>
      </c>
    </row>
    <row r="1054" spans="1:2" x14ac:dyDescent="0.25">
      <c r="A1054" s="1" t="s">
        <v>134</v>
      </c>
      <c r="B1054">
        <v>60917056590</v>
      </c>
    </row>
    <row r="1055" spans="1:2" x14ac:dyDescent="0.25">
      <c r="A1055" s="1" t="s">
        <v>1192</v>
      </c>
      <c r="B1055">
        <v>58266962800</v>
      </c>
    </row>
    <row r="1056" spans="1:2" x14ac:dyDescent="0.25">
      <c r="A1056" s="1" t="s">
        <v>1193</v>
      </c>
      <c r="B1056">
        <v>57354347720</v>
      </c>
    </row>
    <row r="1057" spans="1:2" x14ac:dyDescent="0.25">
      <c r="A1057" s="1" t="s">
        <v>1194</v>
      </c>
      <c r="B1057">
        <v>54739354510</v>
      </c>
    </row>
    <row r="1058" spans="1:2" x14ac:dyDescent="0.25">
      <c r="A1058" s="1" t="s">
        <v>1195</v>
      </c>
      <c r="B1058">
        <v>53107177540</v>
      </c>
    </row>
    <row r="1059" spans="1:2" x14ac:dyDescent="0.25">
      <c r="A1059" s="1" t="s">
        <v>1196</v>
      </c>
      <c r="B1059">
        <v>53072076960</v>
      </c>
    </row>
    <row r="1060" spans="1:2" x14ac:dyDescent="0.25">
      <c r="A1060" s="1" t="s">
        <v>1197</v>
      </c>
      <c r="B1060">
        <v>54440999580</v>
      </c>
    </row>
    <row r="1061" spans="1:2" x14ac:dyDescent="0.25">
      <c r="A1061" s="1" t="s">
        <v>1198</v>
      </c>
      <c r="B1061">
        <v>54072443490</v>
      </c>
    </row>
    <row r="1062" spans="1:2" x14ac:dyDescent="0.25">
      <c r="A1062" s="1" t="s">
        <v>1199</v>
      </c>
      <c r="B1062">
        <v>54388348710</v>
      </c>
    </row>
    <row r="1063" spans="1:2" x14ac:dyDescent="0.25">
      <c r="A1063" s="1" t="s">
        <v>1200</v>
      </c>
      <c r="B1063">
        <v>54721804220</v>
      </c>
    </row>
    <row r="1064" spans="1:2" x14ac:dyDescent="0.25">
      <c r="A1064" s="1" t="s">
        <v>1201</v>
      </c>
      <c r="B1064">
        <v>56459282930</v>
      </c>
    </row>
    <row r="1065" spans="1:2" x14ac:dyDescent="0.25">
      <c r="A1065" s="1" t="s">
        <v>1202</v>
      </c>
      <c r="B1065">
        <v>57319247139</v>
      </c>
    </row>
    <row r="1066" spans="1:2" x14ac:dyDescent="0.25">
      <c r="A1066" s="1" t="s">
        <v>1203</v>
      </c>
      <c r="B1066">
        <v>57126193949</v>
      </c>
    </row>
    <row r="1067" spans="1:2" x14ac:dyDescent="0.25">
      <c r="A1067" s="1" t="s">
        <v>1204</v>
      </c>
      <c r="B1067">
        <v>59074276139</v>
      </c>
    </row>
    <row r="1068" spans="1:2" x14ac:dyDescent="0.25">
      <c r="A1068" s="1" t="s">
        <v>1205</v>
      </c>
      <c r="B1068">
        <v>57126193949</v>
      </c>
    </row>
    <row r="1069" spans="1:2" x14ac:dyDescent="0.25">
      <c r="A1069" s="1" t="s">
        <v>1206</v>
      </c>
      <c r="B1069">
        <v>56775188150</v>
      </c>
    </row>
    <row r="1070" spans="1:2" x14ac:dyDescent="0.25">
      <c r="A1070" s="1" t="s">
        <v>1207</v>
      </c>
      <c r="B1070">
        <v>57582501490</v>
      </c>
    </row>
    <row r="1071" spans="1:2" x14ac:dyDescent="0.25">
      <c r="A1071" s="1" t="s">
        <v>1208</v>
      </c>
      <c r="B1071">
        <v>54283046970</v>
      </c>
    </row>
    <row r="1072" spans="1:2" x14ac:dyDescent="0.25">
      <c r="A1072" s="1" t="s">
        <v>1209</v>
      </c>
      <c r="B1072">
        <v>55669519880</v>
      </c>
    </row>
    <row r="1073" spans="1:2" x14ac:dyDescent="0.25">
      <c r="A1073" s="1" t="s">
        <v>1210</v>
      </c>
      <c r="B1073">
        <v>58161661060</v>
      </c>
    </row>
    <row r="1074" spans="1:2" x14ac:dyDescent="0.25">
      <c r="A1074" s="1" t="s">
        <v>1211</v>
      </c>
      <c r="B1074">
        <v>58179211350</v>
      </c>
    </row>
    <row r="1075" spans="1:2" x14ac:dyDescent="0.25">
      <c r="A1075" s="1" t="s">
        <v>1212</v>
      </c>
      <c r="B1075">
        <v>59548133970</v>
      </c>
    </row>
    <row r="1076" spans="1:2" x14ac:dyDescent="0.25">
      <c r="A1076" s="1" t="s">
        <v>1213</v>
      </c>
      <c r="B1076">
        <v>57600051780</v>
      </c>
    </row>
    <row r="1077" spans="1:2" x14ac:dyDescent="0.25">
      <c r="A1077" s="1" t="s">
        <v>1214</v>
      </c>
      <c r="B1077">
        <v>57073543080</v>
      </c>
    </row>
    <row r="1078" spans="1:2" x14ac:dyDescent="0.25">
      <c r="A1078" s="1" t="s">
        <v>1215</v>
      </c>
      <c r="B1078">
        <v>53844289720</v>
      </c>
    </row>
    <row r="1079" spans="1:2" x14ac:dyDescent="0.25">
      <c r="A1079" s="1" t="s">
        <v>1216</v>
      </c>
      <c r="B1079">
        <v>53405532470</v>
      </c>
    </row>
    <row r="1080" spans="1:2" x14ac:dyDescent="0.25">
      <c r="A1080" s="1" t="s">
        <v>85</v>
      </c>
      <c r="B1080">
        <v>54546301320</v>
      </c>
    </row>
    <row r="1081" spans="1:2" x14ac:dyDescent="0.25">
      <c r="A1081" s="1" t="s">
        <v>1217</v>
      </c>
      <c r="B1081">
        <v>51523518110</v>
      </c>
    </row>
    <row r="1082" spans="1:2" x14ac:dyDescent="0.25">
      <c r="A1082" s="1" t="s">
        <v>1218</v>
      </c>
      <c r="B1082">
        <v>51488740170</v>
      </c>
    </row>
    <row r="1083" spans="1:2" x14ac:dyDescent="0.25">
      <c r="A1083" s="1" t="s">
        <v>1219</v>
      </c>
      <c r="B1083">
        <v>53175470260</v>
      </c>
    </row>
    <row r="1084" spans="1:2" x14ac:dyDescent="0.25">
      <c r="A1084" s="1" t="s">
        <v>1220</v>
      </c>
      <c r="B1084">
        <v>52966802620</v>
      </c>
    </row>
    <row r="1085" spans="1:2" x14ac:dyDescent="0.25">
      <c r="A1085" s="1" t="s">
        <v>1221</v>
      </c>
      <c r="B1085">
        <v>57470545849</v>
      </c>
    </row>
    <row r="1086" spans="1:2" x14ac:dyDescent="0.25">
      <c r="A1086" s="1" t="s">
        <v>1222</v>
      </c>
      <c r="B1086">
        <v>56827153960</v>
      </c>
    </row>
    <row r="1087" spans="1:2" x14ac:dyDescent="0.25">
      <c r="A1087" s="1" t="s">
        <v>1223</v>
      </c>
      <c r="B1087">
        <v>56166373099</v>
      </c>
    </row>
    <row r="1088" spans="1:2" x14ac:dyDescent="0.25">
      <c r="A1088" s="1" t="s">
        <v>1224</v>
      </c>
      <c r="B1088">
        <v>58079159800</v>
      </c>
    </row>
    <row r="1089" spans="1:2" x14ac:dyDescent="0.25">
      <c r="A1089" s="1" t="s">
        <v>1225</v>
      </c>
      <c r="B1089">
        <v>57887881130</v>
      </c>
    </row>
    <row r="1090" spans="1:2" x14ac:dyDescent="0.25">
      <c r="A1090" s="1" t="s">
        <v>1226</v>
      </c>
      <c r="B1090">
        <v>58235660530</v>
      </c>
    </row>
    <row r="1091" spans="1:2" x14ac:dyDescent="0.25">
      <c r="A1091" s="1" t="s">
        <v>1227</v>
      </c>
      <c r="B1091">
        <v>56809764990</v>
      </c>
    </row>
    <row r="1092" spans="1:2" x14ac:dyDescent="0.25">
      <c r="A1092" s="1" t="s">
        <v>1228</v>
      </c>
      <c r="B1092">
        <v>56062039280</v>
      </c>
    </row>
    <row r="1093" spans="1:2" x14ac:dyDescent="0.25">
      <c r="A1093" s="1" t="s">
        <v>1229</v>
      </c>
      <c r="B1093">
        <v>54079696700</v>
      </c>
    </row>
    <row r="1094" spans="1:2" x14ac:dyDescent="0.25">
      <c r="A1094" s="1" t="s">
        <v>1230</v>
      </c>
      <c r="B1094">
        <v>60565782510</v>
      </c>
    </row>
    <row r="1095" spans="1:2" x14ac:dyDescent="0.25">
      <c r="A1095" s="1" t="s">
        <v>1231</v>
      </c>
      <c r="B1095">
        <v>63626241230</v>
      </c>
    </row>
    <row r="1096" spans="1:2" x14ac:dyDescent="0.25">
      <c r="A1096" s="1" t="s">
        <v>1232</v>
      </c>
      <c r="B1096">
        <v>64478300760</v>
      </c>
    </row>
    <row r="1097" spans="1:2" x14ac:dyDescent="0.25">
      <c r="A1097" s="1" t="s">
        <v>1233</v>
      </c>
      <c r="B1097">
        <v>64704357370</v>
      </c>
    </row>
    <row r="1098" spans="1:2" x14ac:dyDescent="0.25">
      <c r="A1098" s="1" t="s">
        <v>1234</v>
      </c>
      <c r="B1098">
        <v>63348017710</v>
      </c>
    </row>
    <row r="1099" spans="1:2" x14ac:dyDescent="0.25">
      <c r="A1099" s="1" t="s">
        <v>1235</v>
      </c>
      <c r="B1099">
        <v>63904464750</v>
      </c>
    </row>
    <row r="1100" spans="1:2" x14ac:dyDescent="0.25">
      <c r="A1100" s="1" t="s">
        <v>1236</v>
      </c>
      <c r="B1100">
        <v>62269901570</v>
      </c>
    </row>
    <row r="1101" spans="1:2" x14ac:dyDescent="0.25">
      <c r="A1101" s="1" t="s">
        <v>1237</v>
      </c>
      <c r="B1101">
        <v>62287290540</v>
      </c>
    </row>
    <row r="1102" spans="1:2" x14ac:dyDescent="0.25">
      <c r="A1102" s="1" t="s">
        <v>1238</v>
      </c>
      <c r="B1102">
        <v>63156739040</v>
      </c>
    </row>
    <row r="1103" spans="1:2" x14ac:dyDescent="0.25">
      <c r="A1103" s="1" t="s">
        <v>1239</v>
      </c>
      <c r="B1103">
        <v>59383332550</v>
      </c>
    </row>
    <row r="1104" spans="1:2" x14ac:dyDescent="0.25">
      <c r="A1104" s="1" t="s">
        <v>1240</v>
      </c>
      <c r="B1104">
        <v>60652727360</v>
      </c>
    </row>
    <row r="1105" spans="1:2" x14ac:dyDescent="0.25">
      <c r="A1105" s="1" t="s">
        <v>1241</v>
      </c>
      <c r="B1105">
        <v>60096280320</v>
      </c>
    </row>
    <row r="1106" spans="1:2" x14ac:dyDescent="0.25">
      <c r="A1106" s="1" t="s">
        <v>1242</v>
      </c>
      <c r="B1106">
        <v>60565782510</v>
      </c>
    </row>
    <row r="1107" spans="1:2" x14ac:dyDescent="0.25">
      <c r="A1107" s="1" t="s">
        <v>1243</v>
      </c>
      <c r="B1107">
        <v>59574611220</v>
      </c>
    </row>
    <row r="1108" spans="1:2" x14ac:dyDescent="0.25">
      <c r="A1108" s="1" t="s">
        <v>1244</v>
      </c>
      <c r="B1108">
        <v>59957168559</v>
      </c>
    </row>
    <row r="1109" spans="1:2" x14ac:dyDescent="0.25">
      <c r="A1109" s="1" t="s">
        <v>1245</v>
      </c>
      <c r="B1109">
        <v>58079159800</v>
      </c>
    </row>
    <row r="1110" spans="1:2" x14ac:dyDescent="0.25">
      <c r="A1110" s="1" t="s">
        <v>1246</v>
      </c>
      <c r="B1110">
        <v>58461717139</v>
      </c>
    </row>
    <row r="1111" spans="1:2" x14ac:dyDescent="0.25">
      <c r="A1111" s="1" t="s">
        <v>1247</v>
      </c>
      <c r="B1111">
        <v>56461985590</v>
      </c>
    </row>
    <row r="1112" spans="1:2" x14ac:dyDescent="0.25">
      <c r="A1112" s="1" t="s">
        <v>1248</v>
      </c>
      <c r="B1112">
        <v>57018432630</v>
      </c>
    </row>
    <row r="1113" spans="1:2" x14ac:dyDescent="0.25">
      <c r="A1113" s="1" t="s">
        <v>1249</v>
      </c>
      <c r="B1113">
        <v>57418378940</v>
      </c>
    </row>
    <row r="1114" spans="1:2" x14ac:dyDescent="0.25">
      <c r="A1114" s="1" t="s">
        <v>1250</v>
      </c>
      <c r="B1114">
        <v>56340262800</v>
      </c>
    </row>
    <row r="1115" spans="1:2" x14ac:dyDescent="0.25">
      <c r="A1115" s="1" t="s">
        <v>1251</v>
      </c>
      <c r="B1115">
        <v>55018701080</v>
      </c>
    </row>
    <row r="1116" spans="1:2" x14ac:dyDescent="0.25">
      <c r="A1116" s="1" t="s">
        <v>1252</v>
      </c>
      <c r="B1116">
        <v>57018432630</v>
      </c>
    </row>
    <row r="1117" spans="1:2" x14ac:dyDescent="0.25">
      <c r="A1117" s="1" t="s">
        <v>135</v>
      </c>
      <c r="B1117">
        <v>53784084210</v>
      </c>
    </row>
    <row r="1118" spans="1:2" x14ac:dyDescent="0.25">
      <c r="A1118" s="1" t="s">
        <v>1253</v>
      </c>
      <c r="B1118">
        <v>48376114540</v>
      </c>
    </row>
    <row r="1119" spans="1:2" x14ac:dyDescent="0.25">
      <c r="A1119" s="1" t="s">
        <v>1254</v>
      </c>
      <c r="B1119">
        <v>48810838790</v>
      </c>
    </row>
    <row r="1120" spans="1:2" x14ac:dyDescent="0.25">
      <c r="A1120" s="1" t="s">
        <v>1255</v>
      </c>
      <c r="B1120">
        <v>47680555740</v>
      </c>
    </row>
    <row r="1121" spans="1:2" x14ac:dyDescent="0.25">
      <c r="A1121" s="1" t="s">
        <v>1256</v>
      </c>
      <c r="B1121">
        <v>49367285830</v>
      </c>
    </row>
    <row r="1122" spans="1:2" x14ac:dyDescent="0.25">
      <c r="A1122" s="1" t="s">
        <v>1257</v>
      </c>
      <c r="B1122">
        <v>52636412190</v>
      </c>
    </row>
    <row r="1123" spans="1:2" x14ac:dyDescent="0.25">
      <c r="A1123" s="1" t="s">
        <v>1258</v>
      </c>
      <c r="B1123">
        <v>54549198890</v>
      </c>
    </row>
    <row r="1124" spans="1:2" x14ac:dyDescent="0.25">
      <c r="A1124" s="1" t="s">
        <v>1259</v>
      </c>
      <c r="B1124">
        <v>52375577640</v>
      </c>
    </row>
    <row r="1125" spans="1:2" x14ac:dyDescent="0.25">
      <c r="A1125" s="1" t="s">
        <v>1260</v>
      </c>
      <c r="B1125">
        <v>52306021760</v>
      </c>
    </row>
    <row r="1126" spans="1:2" x14ac:dyDescent="0.25">
      <c r="A1126" s="1" t="s">
        <v>1261</v>
      </c>
      <c r="B1126">
        <v>51280072530</v>
      </c>
    </row>
    <row r="1127" spans="1:2" x14ac:dyDescent="0.25">
      <c r="A1127" s="1" t="s">
        <v>1262</v>
      </c>
      <c r="B1127">
        <v>49262952010</v>
      </c>
    </row>
    <row r="1128" spans="1:2" x14ac:dyDescent="0.25">
      <c r="A1128" s="1" t="s">
        <v>1263</v>
      </c>
      <c r="B1128">
        <v>49106451280</v>
      </c>
    </row>
    <row r="1129" spans="1:2" x14ac:dyDescent="0.25">
      <c r="A1129" s="1" t="s">
        <v>1264</v>
      </c>
      <c r="B1129">
        <v>47280609430</v>
      </c>
    </row>
    <row r="1130" spans="1:2" x14ac:dyDescent="0.25">
      <c r="A1130" s="1" t="s">
        <v>1265</v>
      </c>
      <c r="B1130">
        <v>49019506430</v>
      </c>
    </row>
    <row r="1131" spans="1:2" x14ac:dyDescent="0.25">
      <c r="A1131" s="1" t="s">
        <v>1266</v>
      </c>
      <c r="B1131">
        <v>48689116000</v>
      </c>
    </row>
    <row r="1132" spans="1:2" x14ac:dyDescent="0.25">
      <c r="A1132" s="1" t="s">
        <v>1267</v>
      </c>
      <c r="B1132">
        <v>47002385910</v>
      </c>
    </row>
    <row r="1133" spans="1:2" x14ac:dyDescent="0.25">
      <c r="A1133" s="1" t="s">
        <v>1268</v>
      </c>
      <c r="B1133">
        <v>47663166770</v>
      </c>
    </row>
    <row r="1134" spans="1:2" x14ac:dyDescent="0.25">
      <c r="A1134" s="1" t="s">
        <v>1269</v>
      </c>
      <c r="B1134">
        <v>48254391750</v>
      </c>
    </row>
    <row r="1135" spans="1:2" x14ac:dyDescent="0.25">
      <c r="A1135" s="1" t="s">
        <v>1270</v>
      </c>
      <c r="B1135">
        <v>48671727030</v>
      </c>
    </row>
    <row r="1136" spans="1:2" x14ac:dyDescent="0.25">
      <c r="A1136" s="1" t="s">
        <v>1271</v>
      </c>
      <c r="B1136">
        <v>47141497670</v>
      </c>
    </row>
    <row r="1137" spans="1:2" x14ac:dyDescent="0.25">
      <c r="A1137" s="1" t="s">
        <v>1272</v>
      </c>
      <c r="B1137">
        <v>46845885180</v>
      </c>
    </row>
    <row r="1138" spans="1:2" x14ac:dyDescent="0.25">
      <c r="A1138" s="1" t="s">
        <v>1273</v>
      </c>
      <c r="B1138">
        <v>44759208780</v>
      </c>
    </row>
    <row r="1139" spans="1:2" x14ac:dyDescent="0.25">
      <c r="A1139" s="1" t="s">
        <v>1274</v>
      </c>
      <c r="B1139">
        <v>45193933030</v>
      </c>
    </row>
    <row r="1140" spans="1:2" x14ac:dyDescent="0.25">
      <c r="A1140" s="1" t="s">
        <v>1275</v>
      </c>
      <c r="B1140">
        <v>39681629540</v>
      </c>
    </row>
    <row r="1141" spans="1:2" x14ac:dyDescent="0.25">
      <c r="A1141" s="1" t="s">
        <v>1276</v>
      </c>
      <c r="B1141">
        <v>41177080960</v>
      </c>
    </row>
    <row r="1142" spans="1:2" x14ac:dyDescent="0.25">
      <c r="A1142" s="1" t="s">
        <v>1277</v>
      </c>
      <c r="B1142">
        <v>44202761740</v>
      </c>
    </row>
    <row r="1143" spans="1:2" x14ac:dyDescent="0.25">
      <c r="A1143" s="1" t="s">
        <v>86</v>
      </c>
      <c r="B1143">
        <v>48550004240</v>
      </c>
    </row>
    <row r="1144" spans="1:2" x14ac:dyDescent="0.25">
      <c r="A1144" s="1" t="s">
        <v>1278</v>
      </c>
      <c r="B1144">
        <v>47989133610</v>
      </c>
    </row>
    <row r="1145" spans="1:2" x14ac:dyDescent="0.25">
      <c r="A1145" s="1" t="s">
        <v>1279</v>
      </c>
      <c r="B1145">
        <v>47040731760</v>
      </c>
    </row>
    <row r="1146" spans="1:2" x14ac:dyDescent="0.25">
      <c r="A1146" s="1" t="s">
        <v>1280</v>
      </c>
      <c r="B1146">
        <v>48489200040</v>
      </c>
    </row>
    <row r="1147" spans="1:2" x14ac:dyDescent="0.25">
      <c r="A1147" s="1" t="s">
        <v>1281</v>
      </c>
      <c r="B1147">
        <v>45161171730</v>
      </c>
    </row>
    <row r="1148" spans="1:2" x14ac:dyDescent="0.25">
      <c r="A1148" s="1" t="s">
        <v>1282</v>
      </c>
      <c r="B1148">
        <v>45506045130</v>
      </c>
    </row>
    <row r="1149" spans="1:2" x14ac:dyDescent="0.25">
      <c r="A1149" s="1" t="s">
        <v>1283</v>
      </c>
      <c r="B1149">
        <v>38625820800</v>
      </c>
    </row>
    <row r="1150" spans="1:2" x14ac:dyDescent="0.25">
      <c r="A1150" s="1" t="s">
        <v>1284</v>
      </c>
      <c r="B1150">
        <v>36780748110</v>
      </c>
    </row>
    <row r="1151" spans="1:2" x14ac:dyDescent="0.25">
      <c r="A1151" s="1" t="s">
        <v>1285</v>
      </c>
      <c r="B1151">
        <v>35332279830</v>
      </c>
    </row>
    <row r="1152" spans="1:2" x14ac:dyDescent="0.25">
      <c r="A1152" s="1" t="s">
        <v>1286</v>
      </c>
      <c r="B1152">
        <v>25555118940</v>
      </c>
    </row>
    <row r="1153" spans="1:2" x14ac:dyDescent="0.25">
      <c r="A1153" s="1" t="s">
        <v>1287</v>
      </c>
      <c r="B1153">
        <v>32607779970</v>
      </c>
    </row>
    <row r="1154" spans="1:2" x14ac:dyDescent="0.25">
      <c r="A1154" s="1" t="s">
        <v>1288</v>
      </c>
      <c r="B1154">
        <v>34987406430</v>
      </c>
    </row>
    <row r="1155" spans="1:2" x14ac:dyDescent="0.25">
      <c r="A1155" s="1" t="s">
        <v>1289</v>
      </c>
      <c r="B1155">
        <v>38970694200</v>
      </c>
    </row>
    <row r="1156" spans="1:2" x14ac:dyDescent="0.25">
      <c r="A1156" s="1" t="s">
        <v>1290</v>
      </c>
      <c r="B1156">
        <v>38987937870</v>
      </c>
    </row>
    <row r="1157" spans="1:2" x14ac:dyDescent="0.25">
      <c r="A1157" s="1" t="s">
        <v>1291</v>
      </c>
      <c r="B1157">
        <v>45247390080</v>
      </c>
    </row>
    <row r="1158" spans="1:2" x14ac:dyDescent="0.25">
      <c r="A1158" s="1" t="s">
        <v>1292</v>
      </c>
      <c r="B1158">
        <v>49954911990</v>
      </c>
    </row>
    <row r="1159" spans="1:2" x14ac:dyDescent="0.25">
      <c r="A1159" s="1" t="s">
        <v>1293</v>
      </c>
      <c r="B1159">
        <v>48575418390</v>
      </c>
    </row>
    <row r="1160" spans="1:2" x14ac:dyDescent="0.25">
      <c r="A1160" s="1" t="s">
        <v>1294</v>
      </c>
      <c r="B1160">
        <v>54627946560</v>
      </c>
    </row>
    <row r="1161" spans="1:2" x14ac:dyDescent="0.25">
      <c r="A1161" s="1" t="s">
        <v>1295</v>
      </c>
      <c r="B1161">
        <v>55541861070</v>
      </c>
    </row>
    <row r="1162" spans="1:2" x14ac:dyDescent="0.25">
      <c r="A1162" s="1" t="s">
        <v>1296</v>
      </c>
      <c r="B1162">
        <v>59542392510</v>
      </c>
    </row>
    <row r="1163" spans="1:2" x14ac:dyDescent="0.25">
      <c r="A1163" s="1" t="s">
        <v>1297</v>
      </c>
      <c r="B1163">
        <v>56973085680</v>
      </c>
    </row>
    <row r="1164" spans="1:2" x14ac:dyDescent="0.25">
      <c r="A1164" s="1" t="s">
        <v>157</v>
      </c>
      <c r="B1164">
        <v>56645455950</v>
      </c>
    </row>
    <row r="1165" spans="1:2" x14ac:dyDescent="0.25">
      <c r="A1165" s="1" t="s">
        <v>1298</v>
      </c>
      <c r="B1165">
        <v>58404310289</v>
      </c>
    </row>
    <row r="1166" spans="1:2" x14ac:dyDescent="0.25">
      <c r="A1166" s="1" t="s">
        <v>1299</v>
      </c>
      <c r="B1166">
        <v>55955709150</v>
      </c>
    </row>
    <row r="1167" spans="1:2" x14ac:dyDescent="0.25">
      <c r="A1167" s="1" t="s">
        <v>1300</v>
      </c>
      <c r="B1167">
        <v>59404443150</v>
      </c>
    </row>
    <row r="1168" spans="1:2" x14ac:dyDescent="0.25">
      <c r="A1168" s="1" t="s">
        <v>1301</v>
      </c>
      <c r="B1168">
        <v>61887531630</v>
      </c>
    </row>
    <row r="1169" spans="1:2" x14ac:dyDescent="0.25">
      <c r="A1169" s="1" t="s">
        <v>1302</v>
      </c>
      <c r="B1169">
        <v>66060499770</v>
      </c>
    </row>
    <row r="1170" spans="1:2" x14ac:dyDescent="0.25">
      <c r="A1170" s="1" t="s">
        <v>1303</v>
      </c>
      <c r="B1170">
        <v>70216224240</v>
      </c>
    </row>
    <row r="1171" spans="1:2" x14ac:dyDescent="0.25">
      <c r="A1171" s="1" t="s">
        <v>1304</v>
      </c>
      <c r="B1171">
        <v>70561097640</v>
      </c>
    </row>
    <row r="1172" spans="1:2" x14ac:dyDescent="0.25">
      <c r="A1172" s="1" t="s">
        <v>1305</v>
      </c>
      <c r="B1172">
        <v>70785265350</v>
      </c>
    </row>
    <row r="1173" spans="1:2" x14ac:dyDescent="0.25">
      <c r="A1173" s="1" t="s">
        <v>1306</v>
      </c>
      <c r="B1173">
        <v>69285066060</v>
      </c>
    </row>
    <row r="1174" spans="1:2" x14ac:dyDescent="0.25">
      <c r="A1174" s="1" t="s">
        <v>1307</v>
      </c>
      <c r="B1174">
        <v>68388395219</v>
      </c>
    </row>
    <row r="1175" spans="1:2" x14ac:dyDescent="0.25">
      <c r="A1175" s="1" t="s">
        <v>1308</v>
      </c>
      <c r="B1175">
        <v>69129873030</v>
      </c>
    </row>
    <row r="1176" spans="1:2" x14ac:dyDescent="0.25">
      <c r="A1176" s="1" t="s">
        <v>1309</v>
      </c>
      <c r="B1176">
        <v>71130138750</v>
      </c>
    </row>
    <row r="1177" spans="1:2" x14ac:dyDescent="0.25">
      <c r="A1177" s="1" t="s">
        <v>1310</v>
      </c>
      <c r="B1177">
        <v>71164626090</v>
      </c>
    </row>
    <row r="1178" spans="1:2" x14ac:dyDescent="0.25">
      <c r="A1178" s="1" t="s">
        <v>1311</v>
      </c>
      <c r="B1178">
        <v>68991923670</v>
      </c>
    </row>
    <row r="1179" spans="1:2" x14ac:dyDescent="0.25">
      <c r="A1179" s="1" t="s">
        <v>1312</v>
      </c>
      <c r="B1179">
        <v>70061031210</v>
      </c>
    </row>
    <row r="1180" spans="1:2" x14ac:dyDescent="0.25">
      <c r="A1180" s="1" t="s">
        <v>136</v>
      </c>
      <c r="B1180">
        <v>63956772030</v>
      </c>
    </row>
    <row r="1181" spans="1:2" x14ac:dyDescent="0.25">
      <c r="A1181" s="1" t="s">
        <v>1313</v>
      </c>
      <c r="B1181">
        <v>63473949270</v>
      </c>
    </row>
    <row r="1182" spans="1:2" x14ac:dyDescent="0.25">
      <c r="A1182" s="1" t="s">
        <v>1314</v>
      </c>
      <c r="B1182">
        <v>66439860510</v>
      </c>
    </row>
    <row r="1183" spans="1:2" x14ac:dyDescent="0.25">
      <c r="A1183" s="1" t="s">
        <v>1315</v>
      </c>
      <c r="B1183">
        <v>64818955530</v>
      </c>
    </row>
    <row r="1184" spans="1:2" x14ac:dyDescent="0.25">
      <c r="A1184" s="1" t="s">
        <v>1316</v>
      </c>
      <c r="B1184">
        <v>62577278430</v>
      </c>
    </row>
    <row r="1185" spans="1:2" x14ac:dyDescent="0.25">
      <c r="A1185" s="1" t="s">
        <v>1317</v>
      </c>
      <c r="B1185">
        <v>63249781560</v>
      </c>
    </row>
    <row r="1186" spans="1:2" x14ac:dyDescent="0.25">
      <c r="A1186" s="1" t="s">
        <v>1318</v>
      </c>
      <c r="B1186">
        <v>63784335330</v>
      </c>
    </row>
    <row r="1187" spans="1:2" x14ac:dyDescent="0.25">
      <c r="A1187" s="1" t="s">
        <v>1319</v>
      </c>
      <c r="B1187">
        <v>63818822670</v>
      </c>
    </row>
    <row r="1188" spans="1:2" x14ac:dyDescent="0.25">
      <c r="A1188" s="1" t="s">
        <v>1320</v>
      </c>
      <c r="B1188">
        <v>62594522099</v>
      </c>
    </row>
    <row r="1189" spans="1:2" x14ac:dyDescent="0.25">
      <c r="A1189" s="1" t="s">
        <v>1321</v>
      </c>
      <c r="B1189">
        <v>63456705599</v>
      </c>
    </row>
    <row r="1190" spans="1:2" x14ac:dyDescent="0.25">
      <c r="A1190" s="1" t="s">
        <v>1322</v>
      </c>
      <c r="B1190">
        <v>64491325800</v>
      </c>
    </row>
    <row r="1191" spans="1:2" x14ac:dyDescent="0.25">
      <c r="A1191" s="1" t="s">
        <v>1323</v>
      </c>
      <c r="B1191">
        <v>63870553680</v>
      </c>
    </row>
    <row r="1192" spans="1:2" x14ac:dyDescent="0.25">
      <c r="A1192" s="1" t="s">
        <v>1324</v>
      </c>
      <c r="B1192">
        <v>64836199200</v>
      </c>
    </row>
    <row r="1193" spans="1:2" x14ac:dyDescent="0.25">
      <c r="A1193" s="1" t="s">
        <v>1325</v>
      </c>
      <c r="B1193">
        <v>60577012710</v>
      </c>
    </row>
    <row r="1194" spans="1:2" x14ac:dyDescent="0.25">
      <c r="A1194" s="1" t="s">
        <v>1326</v>
      </c>
      <c r="B1194">
        <v>59801047560</v>
      </c>
    </row>
    <row r="1195" spans="1:2" x14ac:dyDescent="0.25">
      <c r="A1195" s="1" t="s">
        <v>1327</v>
      </c>
      <c r="B1195">
        <v>60370088670</v>
      </c>
    </row>
    <row r="1196" spans="1:2" x14ac:dyDescent="0.25">
      <c r="A1196" s="1" t="s">
        <v>1328</v>
      </c>
      <c r="B1196">
        <v>60076946280</v>
      </c>
    </row>
    <row r="1197" spans="1:2" x14ac:dyDescent="0.25">
      <c r="A1197" s="1" t="s">
        <v>1329</v>
      </c>
      <c r="B1197">
        <v>58869889380</v>
      </c>
    </row>
    <row r="1198" spans="1:2" x14ac:dyDescent="0.25">
      <c r="A1198" s="1" t="s">
        <v>1330</v>
      </c>
      <c r="B1198">
        <v>58645721670</v>
      </c>
    </row>
    <row r="1199" spans="1:2" x14ac:dyDescent="0.25">
      <c r="A1199" s="1" t="s">
        <v>1331</v>
      </c>
      <c r="B1199">
        <v>58576746990</v>
      </c>
    </row>
    <row r="1200" spans="1:2" x14ac:dyDescent="0.25">
      <c r="A1200" s="1" t="s">
        <v>1332</v>
      </c>
      <c r="B1200">
        <v>58507772310</v>
      </c>
    </row>
    <row r="1201" spans="1:2" x14ac:dyDescent="0.25">
      <c r="A1201" s="1" t="s">
        <v>1333</v>
      </c>
      <c r="B1201">
        <v>56576481270</v>
      </c>
    </row>
    <row r="1202" spans="1:2" x14ac:dyDescent="0.25">
      <c r="A1202" s="1" t="s">
        <v>1334</v>
      </c>
      <c r="B1202">
        <v>54455509860</v>
      </c>
    </row>
    <row r="1203" spans="1:2" x14ac:dyDescent="0.25">
      <c r="A1203" s="1" t="s">
        <v>1335</v>
      </c>
      <c r="B1203">
        <v>54093392790</v>
      </c>
    </row>
    <row r="1204" spans="1:2" x14ac:dyDescent="0.25">
      <c r="A1204" s="1" t="s">
        <v>1336</v>
      </c>
      <c r="B1204">
        <v>53438133330</v>
      </c>
    </row>
    <row r="1205" spans="1:2" x14ac:dyDescent="0.25">
      <c r="A1205" s="1" t="s">
        <v>87</v>
      </c>
      <c r="B1205">
        <v>51282674580</v>
      </c>
    </row>
    <row r="1206" spans="1:2" x14ac:dyDescent="0.25">
      <c r="A1206" s="1" t="s">
        <v>1337</v>
      </c>
      <c r="B1206">
        <v>50863132400</v>
      </c>
    </row>
    <row r="1207" spans="1:2" x14ac:dyDescent="0.25">
      <c r="A1207" s="1" t="s">
        <v>1338</v>
      </c>
      <c r="B1207">
        <v>51598544200</v>
      </c>
    </row>
    <row r="1208" spans="1:2" x14ac:dyDescent="0.25">
      <c r="A1208" s="1" t="s">
        <v>1339</v>
      </c>
      <c r="B1208">
        <v>52453674200</v>
      </c>
    </row>
    <row r="1209" spans="1:2" x14ac:dyDescent="0.25">
      <c r="A1209" s="1" t="s">
        <v>1340</v>
      </c>
      <c r="B1209">
        <v>52060314400</v>
      </c>
    </row>
    <row r="1210" spans="1:2" x14ac:dyDescent="0.25">
      <c r="A1210" s="1" t="s">
        <v>1341</v>
      </c>
      <c r="B1210">
        <v>51872185800</v>
      </c>
    </row>
    <row r="1211" spans="1:2" x14ac:dyDescent="0.25">
      <c r="A1211" s="1" t="s">
        <v>1342</v>
      </c>
      <c r="B1211">
        <v>52077417000</v>
      </c>
    </row>
    <row r="1212" spans="1:2" x14ac:dyDescent="0.25">
      <c r="A1212" s="1" t="s">
        <v>1343</v>
      </c>
      <c r="B1212">
        <v>51290697400</v>
      </c>
    </row>
    <row r="1213" spans="1:2" x14ac:dyDescent="0.25">
      <c r="A1213" s="1" t="s">
        <v>1344</v>
      </c>
      <c r="B1213">
        <v>51530133800</v>
      </c>
    </row>
    <row r="1214" spans="1:2" x14ac:dyDescent="0.25">
      <c r="A1214" s="1" t="s">
        <v>1345</v>
      </c>
      <c r="B1214">
        <v>50880235000</v>
      </c>
    </row>
    <row r="1215" spans="1:2" x14ac:dyDescent="0.25">
      <c r="A1215" s="1" t="s">
        <v>1346</v>
      </c>
      <c r="B1215">
        <v>51393313000</v>
      </c>
    </row>
    <row r="1216" spans="1:2" x14ac:dyDescent="0.25">
      <c r="A1216" s="1" t="s">
        <v>1347</v>
      </c>
      <c r="B1216">
        <v>48725307400</v>
      </c>
    </row>
    <row r="1217" spans="1:2" x14ac:dyDescent="0.25">
      <c r="A1217" s="1" t="s">
        <v>1348</v>
      </c>
      <c r="B1217">
        <v>49067359400</v>
      </c>
    </row>
    <row r="1218" spans="1:2" x14ac:dyDescent="0.25">
      <c r="A1218" s="1" t="s">
        <v>1349</v>
      </c>
      <c r="B1218">
        <v>48605589200</v>
      </c>
    </row>
    <row r="1219" spans="1:2" x14ac:dyDescent="0.25">
      <c r="A1219" s="1" t="s">
        <v>1350</v>
      </c>
      <c r="B1219">
        <v>47699151400</v>
      </c>
    </row>
    <row r="1220" spans="1:2" x14ac:dyDescent="0.25">
      <c r="A1220" s="1" t="s">
        <v>1351</v>
      </c>
      <c r="B1220">
        <v>47339996800</v>
      </c>
    </row>
    <row r="1221" spans="1:2" x14ac:dyDescent="0.25">
      <c r="A1221" s="1" t="s">
        <v>1352</v>
      </c>
      <c r="B1221">
        <v>47647843600</v>
      </c>
    </row>
    <row r="1222" spans="1:2" x14ac:dyDescent="0.25">
      <c r="A1222" s="1" t="s">
        <v>1353</v>
      </c>
      <c r="B1222">
        <v>48998949000</v>
      </c>
    </row>
    <row r="1223" spans="1:2" x14ac:dyDescent="0.25">
      <c r="A1223" s="1" t="s">
        <v>1354</v>
      </c>
      <c r="B1223">
        <v>49700155600</v>
      </c>
    </row>
    <row r="1224" spans="1:2" x14ac:dyDescent="0.25">
      <c r="A1224" s="1" t="s">
        <v>1355</v>
      </c>
      <c r="B1224">
        <v>49631745200</v>
      </c>
    </row>
    <row r="1225" spans="1:2" x14ac:dyDescent="0.25">
      <c r="A1225" s="1" t="s">
        <v>1356</v>
      </c>
      <c r="B1225">
        <v>49563334800</v>
      </c>
    </row>
    <row r="1226" spans="1:2" x14ac:dyDescent="0.25">
      <c r="A1226" s="1" t="s">
        <v>1357</v>
      </c>
      <c r="B1226">
        <v>50623696000</v>
      </c>
    </row>
    <row r="1227" spans="1:2" x14ac:dyDescent="0.25">
      <c r="A1227" s="1" t="s">
        <v>1358</v>
      </c>
      <c r="B1227">
        <v>50435567400</v>
      </c>
    </row>
    <row r="1228" spans="1:2" x14ac:dyDescent="0.25">
      <c r="A1228" s="1" t="s">
        <v>1359</v>
      </c>
      <c r="B1228">
        <v>50503977800</v>
      </c>
    </row>
    <row r="1229" spans="1:2" x14ac:dyDescent="0.25">
      <c r="A1229" s="1" t="s">
        <v>1360</v>
      </c>
      <c r="B1229">
        <v>49785668600</v>
      </c>
    </row>
    <row r="1230" spans="1:2" x14ac:dyDescent="0.25">
      <c r="A1230" s="1" t="s">
        <v>1361</v>
      </c>
      <c r="B1230">
        <v>50555285600</v>
      </c>
    </row>
    <row r="1231" spans="1:2" x14ac:dyDescent="0.25">
      <c r="A1231" s="1" t="s">
        <v>1362</v>
      </c>
      <c r="B1231">
        <v>50384259600</v>
      </c>
    </row>
    <row r="1232" spans="1:2" x14ac:dyDescent="0.25">
      <c r="A1232" s="1" t="s">
        <v>1363</v>
      </c>
      <c r="B1232">
        <v>47938587800</v>
      </c>
    </row>
    <row r="1233" spans="1:2" x14ac:dyDescent="0.25">
      <c r="A1233" s="1" t="s">
        <v>1364</v>
      </c>
      <c r="B1233">
        <v>46262533000</v>
      </c>
    </row>
    <row r="1234" spans="1:2" x14ac:dyDescent="0.25">
      <c r="A1234" s="1" t="s">
        <v>1365</v>
      </c>
      <c r="B1234">
        <v>45749455000</v>
      </c>
    </row>
    <row r="1235" spans="1:2" x14ac:dyDescent="0.25">
      <c r="A1235" s="1" t="s">
        <v>1366</v>
      </c>
      <c r="B1235">
        <v>45817865400</v>
      </c>
    </row>
    <row r="1236" spans="1:2" x14ac:dyDescent="0.25">
      <c r="A1236" s="1" t="s">
        <v>1367</v>
      </c>
      <c r="B1236">
        <v>44449657400</v>
      </c>
    </row>
    <row r="1237" spans="1:2" x14ac:dyDescent="0.25">
      <c r="A1237" s="1" t="s">
        <v>1368</v>
      </c>
      <c r="B1237">
        <v>45681044600</v>
      </c>
    </row>
    <row r="1238" spans="1:2" x14ac:dyDescent="0.25">
      <c r="A1238" s="1" t="s">
        <v>1369</v>
      </c>
      <c r="B1238">
        <v>45663942000</v>
      </c>
    </row>
    <row r="1239" spans="1:2" x14ac:dyDescent="0.25">
      <c r="A1239" s="1" t="s">
        <v>1370</v>
      </c>
      <c r="B1239">
        <v>46416456400</v>
      </c>
    </row>
    <row r="1240" spans="1:2" x14ac:dyDescent="0.25">
      <c r="A1240" s="1" t="s">
        <v>1371</v>
      </c>
      <c r="B1240">
        <v>46194122600</v>
      </c>
    </row>
    <row r="1241" spans="1:2" x14ac:dyDescent="0.25">
      <c r="A1241" s="1" t="s">
        <v>1372</v>
      </c>
      <c r="B1241">
        <v>46826918800</v>
      </c>
    </row>
    <row r="1242" spans="1:2" x14ac:dyDescent="0.25">
      <c r="A1242" s="1" t="s">
        <v>1373</v>
      </c>
      <c r="B1242">
        <v>46074404400</v>
      </c>
    </row>
    <row r="1243" spans="1:2" x14ac:dyDescent="0.25">
      <c r="A1243" s="1" t="s">
        <v>1374</v>
      </c>
      <c r="B1243">
        <v>47921485200</v>
      </c>
    </row>
    <row r="1244" spans="1:2" x14ac:dyDescent="0.25">
      <c r="A1244" s="1" t="s">
        <v>137</v>
      </c>
      <c r="B1244">
        <v>53154880800</v>
      </c>
    </row>
    <row r="1245" spans="1:2" x14ac:dyDescent="0.25">
      <c r="A1245" s="1" t="s">
        <v>1375</v>
      </c>
      <c r="B1245">
        <v>53650856200</v>
      </c>
    </row>
    <row r="1246" spans="1:2" x14ac:dyDescent="0.25">
      <c r="A1246" s="1" t="s">
        <v>1376</v>
      </c>
      <c r="B1246">
        <v>53873190000</v>
      </c>
    </row>
    <row r="1247" spans="1:2" x14ac:dyDescent="0.25">
      <c r="A1247" s="1" t="s">
        <v>1377</v>
      </c>
      <c r="B1247">
        <v>57721275000</v>
      </c>
    </row>
    <row r="1248" spans="1:2" x14ac:dyDescent="0.25">
      <c r="A1248" s="1" t="s">
        <v>1378</v>
      </c>
      <c r="B1248">
        <v>55446629200</v>
      </c>
    </row>
    <row r="1249" spans="1:2" x14ac:dyDescent="0.25">
      <c r="A1249" s="1" t="s">
        <v>1379</v>
      </c>
      <c r="B1249">
        <v>56814837200</v>
      </c>
    </row>
    <row r="1250" spans="1:2" x14ac:dyDescent="0.25">
      <c r="A1250" s="1" t="s">
        <v>1380</v>
      </c>
      <c r="B1250">
        <v>55942604600</v>
      </c>
    </row>
    <row r="1251" spans="1:2" x14ac:dyDescent="0.25">
      <c r="A1251" s="1" t="s">
        <v>1381</v>
      </c>
      <c r="B1251">
        <v>56917452800</v>
      </c>
    </row>
    <row r="1252" spans="1:2" x14ac:dyDescent="0.25">
      <c r="A1252" s="1" t="s">
        <v>1382</v>
      </c>
      <c r="B1252">
        <v>56524092999</v>
      </c>
    </row>
    <row r="1253" spans="1:2" x14ac:dyDescent="0.25">
      <c r="A1253" s="1" t="s">
        <v>1383</v>
      </c>
      <c r="B1253">
        <v>55634757800</v>
      </c>
    </row>
    <row r="1254" spans="1:2" x14ac:dyDescent="0.25">
      <c r="A1254" s="1" t="s">
        <v>1384</v>
      </c>
      <c r="B1254">
        <v>53719266600</v>
      </c>
    </row>
    <row r="1255" spans="1:2" x14ac:dyDescent="0.25">
      <c r="A1255" s="1" t="s">
        <v>1385</v>
      </c>
      <c r="B1255">
        <v>54830935600</v>
      </c>
    </row>
    <row r="1256" spans="1:2" x14ac:dyDescent="0.25">
      <c r="A1256" s="1" t="s">
        <v>1386</v>
      </c>
      <c r="B1256">
        <v>55788681199</v>
      </c>
    </row>
    <row r="1257" spans="1:2" x14ac:dyDescent="0.25">
      <c r="A1257" s="1" t="s">
        <v>1387</v>
      </c>
      <c r="B1257">
        <v>54505986200</v>
      </c>
    </row>
    <row r="1258" spans="1:2" x14ac:dyDescent="0.25">
      <c r="A1258" s="1" t="s">
        <v>1388</v>
      </c>
      <c r="B1258">
        <v>54728320000</v>
      </c>
    </row>
    <row r="1259" spans="1:2" x14ac:dyDescent="0.25">
      <c r="A1259" s="1" t="s">
        <v>1389</v>
      </c>
      <c r="B1259">
        <v>53223291200</v>
      </c>
    </row>
    <row r="1260" spans="1:2" x14ac:dyDescent="0.25">
      <c r="A1260" s="1" t="s">
        <v>1390</v>
      </c>
      <c r="B1260">
        <v>51530133800</v>
      </c>
    </row>
    <row r="1261" spans="1:2" x14ac:dyDescent="0.25">
      <c r="A1261" s="1" t="s">
        <v>1391</v>
      </c>
      <c r="B1261">
        <v>49375206200</v>
      </c>
    </row>
    <row r="1262" spans="1:2" x14ac:dyDescent="0.25">
      <c r="A1262" s="1" t="s">
        <v>1392</v>
      </c>
      <c r="B1262">
        <v>49717258200</v>
      </c>
    </row>
    <row r="1263" spans="1:2" x14ac:dyDescent="0.25">
      <c r="A1263" s="1" t="s">
        <v>1393</v>
      </c>
      <c r="B1263">
        <v>50076412800</v>
      </c>
    </row>
    <row r="1264" spans="1:2" x14ac:dyDescent="0.25">
      <c r="A1264" s="1" t="s">
        <v>1394</v>
      </c>
      <c r="B1264">
        <v>51940596200</v>
      </c>
    </row>
    <row r="1265" spans="1:2" x14ac:dyDescent="0.25">
      <c r="A1265" s="1" t="s">
        <v>1395</v>
      </c>
      <c r="B1265">
        <v>50743414200</v>
      </c>
    </row>
    <row r="1266" spans="1:2" x14ac:dyDescent="0.25">
      <c r="A1266" s="1" t="s">
        <v>1396</v>
      </c>
      <c r="B1266">
        <v>50828927200</v>
      </c>
    </row>
    <row r="1267" spans="1:2" x14ac:dyDescent="0.25">
      <c r="A1267" s="1" t="s">
        <v>1397</v>
      </c>
      <c r="B1267">
        <v>49597540000</v>
      </c>
    </row>
    <row r="1268" spans="1:2" x14ac:dyDescent="0.25">
      <c r="A1268" s="1" t="s">
        <v>1398</v>
      </c>
      <c r="B1268">
        <v>49854079000</v>
      </c>
    </row>
    <row r="1269" spans="1:2" x14ac:dyDescent="0.25">
      <c r="A1269" s="1" t="s">
        <v>88</v>
      </c>
      <c r="B1269">
        <v>52111622200</v>
      </c>
    </row>
    <row r="1270" spans="1:2" x14ac:dyDescent="0.25">
      <c r="A1270" s="1" t="s">
        <v>1399</v>
      </c>
      <c r="B1270">
        <v>51499451770</v>
      </c>
    </row>
    <row r="1271" spans="1:2" x14ac:dyDescent="0.25">
      <c r="A1271" s="1" t="s">
        <v>1400</v>
      </c>
      <c r="B1271">
        <v>53675724410</v>
      </c>
    </row>
    <row r="1272" spans="1:2" x14ac:dyDescent="0.25">
      <c r="A1272" s="1" t="s">
        <v>1401</v>
      </c>
      <c r="B1272">
        <v>53862747840</v>
      </c>
    </row>
    <row r="1273" spans="1:2" x14ac:dyDescent="0.25">
      <c r="A1273" s="1" t="s">
        <v>1402</v>
      </c>
      <c r="B1273">
        <v>53216666900</v>
      </c>
    </row>
    <row r="1274" spans="1:2" x14ac:dyDescent="0.25">
      <c r="A1274" s="1" t="s">
        <v>1403</v>
      </c>
      <c r="B1274">
        <v>56107029000</v>
      </c>
    </row>
    <row r="1275" spans="1:2" x14ac:dyDescent="0.25">
      <c r="A1275" s="1" t="s">
        <v>1404</v>
      </c>
      <c r="B1275">
        <v>55426943800</v>
      </c>
    </row>
    <row r="1276" spans="1:2" x14ac:dyDescent="0.25">
      <c r="A1276" s="1" t="s">
        <v>1405</v>
      </c>
      <c r="B1276">
        <v>57501203660</v>
      </c>
    </row>
    <row r="1277" spans="1:2" x14ac:dyDescent="0.25">
      <c r="A1277" s="1" t="s">
        <v>1406</v>
      </c>
      <c r="B1277">
        <v>58249297380</v>
      </c>
    </row>
    <row r="1278" spans="1:2" x14ac:dyDescent="0.25">
      <c r="A1278" s="1" t="s">
        <v>1407</v>
      </c>
      <c r="B1278">
        <v>58300303770</v>
      </c>
    </row>
    <row r="1279" spans="1:2" x14ac:dyDescent="0.25">
      <c r="A1279" s="1" t="s">
        <v>1408</v>
      </c>
      <c r="B1279">
        <v>58538333590</v>
      </c>
    </row>
    <row r="1280" spans="1:2" x14ac:dyDescent="0.25">
      <c r="A1280" s="1" t="s">
        <v>1409</v>
      </c>
      <c r="B1280">
        <v>56532082250</v>
      </c>
    </row>
    <row r="1281" spans="1:2" x14ac:dyDescent="0.25">
      <c r="A1281" s="1" t="s">
        <v>1410</v>
      </c>
      <c r="B1281">
        <v>57926256910</v>
      </c>
    </row>
    <row r="1282" spans="1:2" x14ac:dyDescent="0.25">
      <c r="A1282" s="1" t="s">
        <v>1411</v>
      </c>
      <c r="B1282">
        <v>57807242000</v>
      </c>
    </row>
    <row r="1283" spans="1:2" x14ac:dyDescent="0.25">
      <c r="A1283" s="1" t="s">
        <v>1412</v>
      </c>
      <c r="B1283">
        <v>56974137630</v>
      </c>
    </row>
    <row r="1284" spans="1:2" x14ac:dyDescent="0.25">
      <c r="A1284" s="1" t="s">
        <v>1413</v>
      </c>
      <c r="B1284">
        <v>54814867120</v>
      </c>
    </row>
    <row r="1285" spans="1:2" x14ac:dyDescent="0.25">
      <c r="A1285" s="1" t="s">
        <v>1414</v>
      </c>
      <c r="B1285">
        <v>54168786180</v>
      </c>
    </row>
    <row r="1286" spans="1:2" x14ac:dyDescent="0.25">
      <c r="A1286" s="1" t="s">
        <v>1415</v>
      </c>
      <c r="B1286">
        <v>55273924630</v>
      </c>
    </row>
    <row r="1287" spans="1:2" x14ac:dyDescent="0.25">
      <c r="A1287" s="1" t="s">
        <v>1416</v>
      </c>
      <c r="B1287">
        <v>54389813870</v>
      </c>
    </row>
    <row r="1288" spans="1:2" x14ac:dyDescent="0.25">
      <c r="A1288" s="1" t="s">
        <v>1417</v>
      </c>
      <c r="B1288">
        <v>52196539100</v>
      </c>
    </row>
    <row r="1289" spans="1:2" x14ac:dyDescent="0.25">
      <c r="A1289" s="1" t="s">
        <v>1418</v>
      </c>
      <c r="B1289">
        <v>55375937410</v>
      </c>
    </row>
    <row r="1290" spans="1:2" x14ac:dyDescent="0.25">
      <c r="A1290" s="1" t="s">
        <v>1419</v>
      </c>
      <c r="B1290">
        <v>55698977880</v>
      </c>
    </row>
    <row r="1291" spans="1:2" x14ac:dyDescent="0.25">
      <c r="A1291" s="1" t="s">
        <v>1420</v>
      </c>
      <c r="B1291">
        <v>55409941670</v>
      </c>
    </row>
    <row r="1292" spans="1:2" x14ac:dyDescent="0.25">
      <c r="A1292" s="1" t="s">
        <v>1421</v>
      </c>
      <c r="B1292">
        <v>56294052430</v>
      </c>
    </row>
    <row r="1293" spans="1:2" x14ac:dyDescent="0.25">
      <c r="A1293" s="1" t="s">
        <v>1422</v>
      </c>
      <c r="B1293">
        <v>56634095030</v>
      </c>
    </row>
    <row r="1294" spans="1:2" x14ac:dyDescent="0.25">
      <c r="A1294" s="1" t="s">
        <v>1423</v>
      </c>
      <c r="B1294">
        <v>56838120590</v>
      </c>
    </row>
    <row r="1295" spans="1:2" x14ac:dyDescent="0.25">
      <c r="A1295" s="1" t="s">
        <v>1424</v>
      </c>
      <c r="B1295">
        <v>57807242000</v>
      </c>
    </row>
    <row r="1296" spans="1:2" x14ac:dyDescent="0.25">
      <c r="A1296" s="1" t="s">
        <v>1425</v>
      </c>
      <c r="B1296">
        <v>59354435829</v>
      </c>
    </row>
    <row r="1297" spans="1:2" x14ac:dyDescent="0.25">
      <c r="A1297" s="1" t="s">
        <v>1426</v>
      </c>
      <c r="B1297">
        <v>60000516770</v>
      </c>
    </row>
    <row r="1298" spans="1:2" x14ac:dyDescent="0.25">
      <c r="A1298" s="1" t="s">
        <v>1427</v>
      </c>
      <c r="B1298">
        <v>58844371930</v>
      </c>
    </row>
    <row r="1299" spans="1:2" x14ac:dyDescent="0.25">
      <c r="A1299" s="1" t="s">
        <v>1428</v>
      </c>
      <c r="B1299">
        <v>59898503989</v>
      </c>
    </row>
    <row r="1300" spans="1:2" x14ac:dyDescent="0.25">
      <c r="A1300" s="1" t="s">
        <v>1429</v>
      </c>
      <c r="B1300">
        <v>56481075860</v>
      </c>
    </row>
    <row r="1301" spans="1:2" x14ac:dyDescent="0.25">
      <c r="A1301" s="1" t="s">
        <v>1430</v>
      </c>
      <c r="B1301">
        <v>57739233480</v>
      </c>
    </row>
    <row r="1302" spans="1:2" x14ac:dyDescent="0.25">
      <c r="A1302" s="1" t="s">
        <v>1431</v>
      </c>
      <c r="B1302">
        <v>61972763850</v>
      </c>
    </row>
    <row r="1303" spans="1:2" x14ac:dyDescent="0.25">
      <c r="A1303" s="1" t="s">
        <v>1432</v>
      </c>
      <c r="B1303">
        <v>62907881000</v>
      </c>
    </row>
    <row r="1304" spans="1:2" x14ac:dyDescent="0.25">
      <c r="A1304" s="1" t="s">
        <v>1433</v>
      </c>
      <c r="B1304">
        <v>68093530649</v>
      </c>
    </row>
    <row r="1305" spans="1:2" x14ac:dyDescent="0.25">
      <c r="A1305" s="1" t="s">
        <v>138</v>
      </c>
      <c r="B1305">
        <v>73058152610</v>
      </c>
    </row>
    <row r="1306" spans="1:2" x14ac:dyDescent="0.25">
      <c r="A1306" s="1" t="s">
        <v>1434</v>
      </c>
      <c r="B1306">
        <v>67498456100</v>
      </c>
    </row>
    <row r="1307" spans="1:2" x14ac:dyDescent="0.25">
      <c r="A1307" s="1" t="s">
        <v>1435</v>
      </c>
      <c r="B1307">
        <v>66563338950</v>
      </c>
    </row>
    <row r="1308" spans="1:2" x14ac:dyDescent="0.25">
      <c r="A1308" s="1" t="s">
        <v>1436</v>
      </c>
      <c r="B1308">
        <v>66393317649</v>
      </c>
    </row>
    <row r="1309" spans="1:2" x14ac:dyDescent="0.25">
      <c r="A1309" s="1" t="s">
        <v>1437</v>
      </c>
      <c r="B1309">
        <v>68688605200</v>
      </c>
    </row>
    <row r="1310" spans="1:2" x14ac:dyDescent="0.25">
      <c r="A1310" s="1" t="s">
        <v>1438</v>
      </c>
      <c r="B1310">
        <v>70235799030</v>
      </c>
    </row>
    <row r="1311" spans="1:2" x14ac:dyDescent="0.25">
      <c r="A1311" s="1" t="s">
        <v>1439</v>
      </c>
      <c r="B1311">
        <v>71646975820</v>
      </c>
    </row>
    <row r="1312" spans="1:2" x14ac:dyDescent="0.25">
      <c r="A1312" s="1" t="s">
        <v>1440</v>
      </c>
      <c r="B1312">
        <v>72412071670</v>
      </c>
    </row>
    <row r="1313" spans="1:2" x14ac:dyDescent="0.25">
      <c r="A1313" s="1" t="s">
        <v>1441</v>
      </c>
      <c r="B1313">
        <v>74605346440</v>
      </c>
    </row>
    <row r="1314" spans="1:2" x14ac:dyDescent="0.25">
      <c r="A1314" s="1" t="s">
        <v>1442</v>
      </c>
      <c r="B1314">
        <v>75693482760</v>
      </c>
    </row>
    <row r="1315" spans="1:2" x14ac:dyDescent="0.25">
      <c r="A1315" s="1" t="s">
        <v>1443</v>
      </c>
      <c r="B1315">
        <v>73789244200</v>
      </c>
    </row>
    <row r="1316" spans="1:2" x14ac:dyDescent="0.25">
      <c r="A1316" s="1" t="s">
        <v>1444</v>
      </c>
      <c r="B1316">
        <v>74401320880</v>
      </c>
    </row>
    <row r="1317" spans="1:2" x14ac:dyDescent="0.25">
      <c r="A1317" s="1" t="s">
        <v>1445</v>
      </c>
      <c r="B1317">
        <v>73721235680</v>
      </c>
    </row>
    <row r="1318" spans="1:2" x14ac:dyDescent="0.25">
      <c r="A1318" s="1" t="s">
        <v>1446</v>
      </c>
      <c r="B1318">
        <v>74282305970</v>
      </c>
    </row>
    <row r="1319" spans="1:2" x14ac:dyDescent="0.25">
      <c r="A1319" s="1" t="s">
        <v>1447</v>
      </c>
      <c r="B1319">
        <v>73415197340</v>
      </c>
    </row>
    <row r="1320" spans="1:2" x14ac:dyDescent="0.25">
      <c r="A1320" s="1" t="s">
        <v>1448</v>
      </c>
      <c r="B1320">
        <v>74316310230</v>
      </c>
    </row>
    <row r="1321" spans="1:2" x14ac:dyDescent="0.25">
      <c r="A1321" s="1" t="s">
        <v>1449</v>
      </c>
      <c r="B1321">
        <v>74163291060</v>
      </c>
    </row>
    <row r="1322" spans="1:2" x14ac:dyDescent="0.25">
      <c r="A1322" s="1" t="s">
        <v>1450</v>
      </c>
      <c r="B1322">
        <v>75030399690</v>
      </c>
    </row>
    <row r="1323" spans="1:2" x14ac:dyDescent="0.25">
      <c r="A1323" s="1" t="s">
        <v>1451</v>
      </c>
      <c r="B1323">
        <v>75710484890</v>
      </c>
    </row>
    <row r="1324" spans="1:2" x14ac:dyDescent="0.25">
      <c r="A1324" s="1" t="s">
        <v>1452</v>
      </c>
      <c r="B1324">
        <v>74792369870</v>
      </c>
    </row>
    <row r="1325" spans="1:2" x14ac:dyDescent="0.25">
      <c r="A1325" s="1" t="s">
        <v>1453</v>
      </c>
      <c r="B1325">
        <v>74792369870</v>
      </c>
    </row>
    <row r="1326" spans="1:2" x14ac:dyDescent="0.25">
      <c r="A1326" s="1" t="s">
        <v>1454</v>
      </c>
      <c r="B1326">
        <v>74299308100</v>
      </c>
    </row>
    <row r="1327" spans="1:2" x14ac:dyDescent="0.25">
      <c r="A1327" s="1" t="s">
        <v>1455</v>
      </c>
      <c r="B1327">
        <v>75149414600</v>
      </c>
    </row>
    <row r="1328" spans="1:2" x14ac:dyDescent="0.25">
      <c r="A1328" s="1" t="s">
        <v>1456</v>
      </c>
      <c r="B1328">
        <v>73024148350</v>
      </c>
    </row>
    <row r="1329" spans="1:2" x14ac:dyDescent="0.25">
      <c r="A1329" s="1" t="s">
        <v>1457</v>
      </c>
      <c r="B1329">
        <v>74010271890</v>
      </c>
    </row>
    <row r="1330" spans="1:2" x14ac:dyDescent="0.25">
      <c r="A1330" s="1" t="s">
        <v>1458</v>
      </c>
      <c r="B1330">
        <v>75200420990</v>
      </c>
    </row>
    <row r="1331" spans="1:2" x14ac:dyDescent="0.25">
      <c r="A1331" s="1" t="s">
        <v>1459</v>
      </c>
      <c r="B1331">
        <v>74809372000</v>
      </c>
    </row>
    <row r="1332" spans="1:2" x14ac:dyDescent="0.25">
      <c r="A1332" s="1" t="s">
        <v>1460</v>
      </c>
      <c r="B1332">
        <v>75268429510</v>
      </c>
    </row>
    <row r="1333" spans="1:2" x14ac:dyDescent="0.25">
      <c r="A1333" s="1" t="s">
        <v>1461</v>
      </c>
      <c r="B1333">
        <v>51450355890</v>
      </c>
    </row>
    <row r="1334" spans="1:2" x14ac:dyDescent="0.25">
      <c r="A1334" s="1" t="s">
        <v>1462</v>
      </c>
      <c r="B1334">
        <v>50063703349</v>
      </c>
    </row>
    <row r="1335" spans="1:2" x14ac:dyDescent="0.25">
      <c r="A1335" s="1" t="s">
        <v>1463</v>
      </c>
      <c r="B1335">
        <v>47146186402</v>
      </c>
    </row>
    <row r="1336" spans="1:2" x14ac:dyDescent="0.25">
      <c r="A1336" s="1" t="s">
        <v>1464</v>
      </c>
      <c r="B1336">
        <v>47800686401</v>
      </c>
    </row>
    <row r="1337" spans="1:2" x14ac:dyDescent="0.25">
      <c r="A1337" s="1" t="s">
        <v>1465</v>
      </c>
      <c r="B1337">
        <v>47800686401</v>
      </c>
    </row>
    <row r="1338" spans="1:2" x14ac:dyDescent="0.25">
      <c r="A1338" s="1" t="s">
        <v>1466</v>
      </c>
      <c r="B1338">
        <v>48810169452</v>
      </c>
    </row>
    <row r="1339" spans="1:2" x14ac:dyDescent="0.25">
      <c r="A1339" s="1" t="s">
        <v>1467</v>
      </c>
      <c r="B1339">
        <v>48654864367</v>
      </c>
    </row>
    <row r="1340" spans="1:2" x14ac:dyDescent="0.25">
      <c r="A1340" s="1" t="s">
        <v>1468</v>
      </c>
      <c r="B1340">
        <v>49764186400</v>
      </c>
    </row>
    <row r="1341" spans="1:2" x14ac:dyDescent="0.25">
      <c r="A1341" s="1" t="s">
        <v>1469</v>
      </c>
      <c r="B1341">
        <v>48654864367</v>
      </c>
    </row>
    <row r="1342" spans="1:2" x14ac:dyDescent="0.25">
      <c r="A1342" s="1" t="s">
        <v>1470</v>
      </c>
      <c r="B1342">
        <v>48566118604</v>
      </c>
    </row>
    <row r="1343" spans="1:2" x14ac:dyDescent="0.25">
      <c r="A1343" s="1" t="s">
        <v>1471</v>
      </c>
      <c r="B1343">
        <v>47955991486</v>
      </c>
    </row>
    <row r="1344" spans="1:2" x14ac:dyDescent="0.25">
      <c r="A1344" s="1" t="s">
        <v>1472</v>
      </c>
      <c r="B1344">
        <v>49154059282</v>
      </c>
    </row>
    <row r="1345" spans="1:2" x14ac:dyDescent="0.25">
      <c r="A1345" s="1" t="s">
        <v>1473</v>
      </c>
      <c r="B1345">
        <v>46780110131</v>
      </c>
    </row>
    <row r="1346" spans="1:2" x14ac:dyDescent="0.25">
      <c r="A1346" s="1" t="s">
        <v>1474</v>
      </c>
      <c r="B1346">
        <v>47090720300</v>
      </c>
    </row>
    <row r="1347" spans="1:2" x14ac:dyDescent="0.25">
      <c r="A1347" s="1" t="s">
        <v>1475</v>
      </c>
      <c r="B1347">
        <v>47268211826</v>
      </c>
    </row>
    <row r="1348" spans="1:2" x14ac:dyDescent="0.25">
      <c r="A1348" s="1" t="s">
        <v>1476</v>
      </c>
      <c r="B1348">
        <v>48987660977</v>
      </c>
    </row>
    <row r="1349" spans="1:2" x14ac:dyDescent="0.25">
      <c r="A1349" s="1" t="s">
        <v>1477</v>
      </c>
      <c r="B1349">
        <v>49830745722</v>
      </c>
    </row>
    <row r="1350" spans="1:2" x14ac:dyDescent="0.25">
      <c r="A1350" s="1" t="s">
        <v>1478</v>
      </c>
      <c r="B1350">
        <v>49919491485</v>
      </c>
    </row>
    <row r="1351" spans="1:2" x14ac:dyDescent="0.25">
      <c r="A1351" s="1" t="s">
        <v>1479</v>
      </c>
      <c r="B1351">
        <v>47423516910</v>
      </c>
    </row>
    <row r="1352" spans="1:2" x14ac:dyDescent="0.25">
      <c r="A1352" s="1" t="s">
        <v>1480</v>
      </c>
      <c r="B1352">
        <v>45759533861</v>
      </c>
    </row>
    <row r="1353" spans="1:2" x14ac:dyDescent="0.25">
      <c r="A1353" s="1" t="s">
        <v>1481</v>
      </c>
      <c r="B1353">
        <v>44827703353</v>
      </c>
    </row>
    <row r="1354" spans="1:2" x14ac:dyDescent="0.25">
      <c r="A1354" s="1" t="s">
        <v>139</v>
      </c>
      <c r="B1354">
        <v>44151016913</v>
      </c>
    </row>
    <row r="1355" spans="1:2" x14ac:dyDescent="0.25">
      <c r="A1355" s="1" t="s">
        <v>1482</v>
      </c>
      <c r="B1355">
        <v>44306321998</v>
      </c>
    </row>
    <row r="1356" spans="1:2" x14ac:dyDescent="0.25">
      <c r="A1356" s="1" t="s">
        <v>1483</v>
      </c>
      <c r="B1356">
        <v>45426737251</v>
      </c>
    </row>
    <row r="1357" spans="1:2" x14ac:dyDescent="0.25">
      <c r="A1357" s="1" t="s">
        <v>1484</v>
      </c>
      <c r="B1357">
        <v>46047957589</v>
      </c>
    </row>
    <row r="1358" spans="1:2" x14ac:dyDescent="0.25">
      <c r="A1358" s="1" t="s">
        <v>1485</v>
      </c>
      <c r="B1358">
        <v>44894262675</v>
      </c>
    </row>
    <row r="1359" spans="1:2" x14ac:dyDescent="0.25">
      <c r="A1359" s="1" t="s">
        <v>1486</v>
      </c>
      <c r="B1359">
        <v>45759533861</v>
      </c>
    </row>
    <row r="1360" spans="1:2" x14ac:dyDescent="0.25">
      <c r="A1360" s="1" t="s">
        <v>1487</v>
      </c>
      <c r="B1360">
        <v>46036864369</v>
      </c>
    </row>
    <row r="1361" spans="1:2" x14ac:dyDescent="0.25">
      <c r="A1361" s="1" t="s">
        <v>1488</v>
      </c>
      <c r="B1361">
        <v>46136703352</v>
      </c>
    </row>
    <row r="1362" spans="1:2" x14ac:dyDescent="0.25">
      <c r="A1362" s="1" t="s">
        <v>1489</v>
      </c>
      <c r="B1362">
        <v>46491686403</v>
      </c>
    </row>
    <row r="1363" spans="1:2" x14ac:dyDescent="0.25">
      <c r="A1363" s="1" t="s">
        <v>1490</v>
      </c>
      <c r="B1363">
        <v>47700847419</v>
      </c>
    </row>
    <row r="1364" spans="1:2" x14ac:dyDescent="0.25">
      <c r="A1364" s="1" t="s">
        <v>1491</v>
      </c>
      <c r="B1364">
        <v>45803906742</v>
      </c>
    </row>
    <row r="1365" spans="1:2" x14ac:dyDescent="0.25">
      <c r="A1365" s="1" t="s">
        <v>1492</v>
      </c>
      <c r="B1365">
        <v>44328508438</v>
      </c>
    </row>
    <row r="1366" spans="1:2" x14ac:dyDescent="0.25">
      <c r="A1366" s="1" t="s">
        <v>1493</v>
      </c>
      <c r="B1366">
        <v>41155847424</v>
      </c>
    </row>
    <row r="1367" spans="1:2" x14ac:dyDescent="0.25">
      <c r="A1367" s="1" t="s">
        <v>1494</v>
      </c>
      <c r="B1367">
        <v>46114516911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66"/>
  <sheetViews>
    <sheetView tabSelected="1" workbookViewId="0">
      <selection activeCell="F2" sqref="F2"/>
    </sheetView>
  </sheetViews>
  <sheetFormatPr defaultRowHeight="15" x14ac:dyDescent="0.25"/>
  <cols>
    <col min="1" max="1" width="18.28515625" bestFit="1" customWidth="1"/>
  </cols>
  <sheetData>
    <row r="1" spans="1:8" x14ac:dyDescent="0.25">
      <c r="B1" s="1" t="s">
        <v>1495</v>
      </c>
      <c r="C1" s="1" t="s">
        <v>1496</v>
      </c>
      <c r="D1" s="1" t="s">
        <v>1497</v>
      </c>
      <c r="E1" s="1" t="s">
        <v>1498</v>
      </c>
      <c r="F1" s="1" t="s">
        <v>1499</v>
      </c>
      <c r="G1" s="1" t="s">
        <v>175</v>
      </c>
      <c r="H1" s="1" t="s">
        <v>1500</v>
      </c>
    </row>
    <row r="2" spans="1:8" x14ac:dyDescent="0.25">
      <c r="A2" s="2">
        <v>43595</v>
      </c>
      <c r="B2">
        <v>42</v>
      </c>
      <c r="C2">
        <v>45</v>
      </c>
      <c r="D2">
        <v>41.060001373291023</v>
      </c>
      <c r="E2">
        <v>41.569999694824219</v>
      </c>
      <c r="F2">
        <v>186322500</v>
      </c>
    </row>
    <row r="3" spans="1:8" x14ac:dyDescent="0.25">
      <c r="A3" s="2">
        <v>43598</v>
      </c>
      <c r="B3">
        <v>38.790000915527337</v>
      </c>
      <c r="C3">
        <v>39.240001678466797</v>
      </c>
      <c r="D3">
        <v>36.080001831054688</v>
      </c>
      <c r="E3">
        <v>37.099998474121087</v>
      </c>
      <c r="F3">
        <v>79442400</v>
      </c>
    </row>
    <row r="4" spans="1:8" x14ac:dyDescent="0.25">
      <c r="A4" s="2">
        <v>43599</v>
      </c>
      <c r="B4">
        <v>38.310001373291023</v>
      </c>
      <c r="C4">
        <v>39.959999084472663</v>
      </c>
      <c r="D4">
        <v>36.849998474121087</v>
      </c>
      <c r="E4">
        <v>39.959999084472663</v>
      </c>
      <c r="F4">
        <v>46661100</v>
      </c>
    </row>
    <row r="5" spans="1:8" x14ac:dyDescent="0.25">
      <c r="A5" s="2">
        <v>43600</v>
      </c>
      <c r="B5">
        <v>39.369998931884773</v>
      </c>
      <c r="C5">
        <v>41.880001068115227</v>
      </c>
      <c r="D5">
        <v>38.950000762939453</v>
      </c>
      <c r="E5">
        <v>41.290000915527337</v>
      </c>
      <c r="F5">
        <v>36086100</v>
      </c>
    </row>
    <row r="6" spans="1:8" x14ac:dyDescent="0.25">
      <c r="A6" s="2">
        <v>43601</v>
      </c>
      <c r="B6">
        <v>41.479999542236328</v>
      </c>
      <c r="C6">
        <v>44.060001373291023</v>
      </c>
      <c r="D6">
        <v>41.25</v>
      </c>
      <c r="E6">
        <v>43</v>
      </c>
      <c r="F6">
        <v>38115500</v>
      </c>
    </row>
    <row r="7" spans="1:8" x14ac:dyDescent="0.25">
      <c r="A7" s="2">
        <v>43602</v>
      </c>
      <c r="B7">
        <v>41.979999542236328</v>
      </c>
      <c r="C7">
        <v>43.290000915527337</v>
      </c>
      <c r="D7">
        <v>41.270000457763672</v>
      </c>
      <c r="E7">
        <v>41.909999847412109</v>
      </c>
      <c r="F7">
        <v>20225700</v>
      </c>
    </row>
    <row r="8" spans="1:8" x14ac:dyDescent="0.25">
      <c r="A8" s="2">
        <v>43605</v>
      </c>
      <c r="B8">
        <v>41.189998626708977</v>
      </c>
      <c r="C8">
        <v>41.680000305175781</v>
      </c>
      <c r="D8">
        <v>39.459999084472663</v>
      </c>
      <c r="E8">
        <v>41.590000152587891</v>
      </c>
      <c r="F8">
        <v>29222300</v>
      </c>
    </row>
    <row r="9" spans="1:8" x14ac:dyDescent="0.25">
      <c r="A9" s="2">
        <v>43606</v>
      </c>
      <c r="B9">
        <v>42</v>
      </c>
      <c r="C9">
        <v>42.240001678466797</v>
      </c>
      <c r="D9">
        <v>41.25</v>
      </c>
      <c r="E9">
        <v>41.5</v>
      </c>
      <c r="F9">
        <v>10802900</v>
      </c>
    </row>
    <row r="10" spans="1:8" x14ac:dyDescent="0.25">
      <c r="A10" s="2">
        <v>43607</v>
      </c>
      <c r="B10">
        <v>41.049999237060547</v>
      </c>
      <c r="C10">
        <v>41.279998779296882</v>
      </c>
      <c r="D10">
        <v>40.5</v>
      </c>
      <c r="E10">
        <v>41.25</v>
      </c>
      <c r="F10">
        <v>9089500</v>
      </c>
    </row>
    <row r="11" spans="1:8" x14ac:dyDescent="0.25">
      <c r="A11" s="2">
        <v>43608</v>
      </c>
      <c r="B11">
        <v>40.799999237060547</v>
      </c>
      <c r="C11">
        <v>41.090000152587891</v>
      </c>
      <c r="D11">
        <v>40.020000457763672</v>
      </c>
      <c r="E11">
        <v>40.470001220703118</v>
      </c>
      <c r="F11">
        <v>11119900</v>
      </c>
    </row>
    <row r="12" spans="1:8" x14ac:dyDescent="0.25">
      <c r="A12" s="2">
        <v>43609</v>
      </c>
      <c r="B12">
        <v>41.279998779296882</v>
      </c>
      <c r="C12">
        <v>41.509998321533203</v>
      </c>
      <c r="D12">
        <v>40.5</v>
      </c>
      <c r="E12">
        <v>41.509998321533203</v>
      </c>
      <c r="F12">
        <v>8786800</v>
      </c>
    </row>
    <row r="13" spans="1:8" x14ac:dyDescent="0.25">
      <c r="A13" s="2">
        <v>43613</v>
      </c>
      <c r="B13">
        <v>41.700000762939453</v>
      </c>
      <c r="C13">
        <v>41.799999237060547</v>
      </c>
      <c r="D13">
        <v>40.599998474121087</v>
      </c>
      <c r="E13">
        <v>40.950000762939453</v>
      </c>
      <c r="F13">
        <v>13391600</v>
      </c>
    </row>
    <row r="14" spans="1:8" x14ac:dyDescent="0.25">
      <c r="A14" s="2">
        <v>43614</v>
      </c>
      <c r="B14">
        <v>40.520000457763672</v>
      </c>
      <c r="C14">
        <v>40.709999084472663</v>
      </c>
      <c r="D14">
        <v>39.146999359130859</v>
      </c>
      <c r="E14">
        <v>39.939998626708977</v>
      </c>
      <c r="F14">
        <v>14060400</v>
      </c>
    </row>
    <row r="15" spans="1:8" x14ac:dyDescent="0.25">
      <c r="A15" s="2">
        <v>43615</v>
      </c>
      <c r="B15">
        <v>40.069999694824219</v>
      </c>
      <c r="C15">
        <v>40.380001068115227</v>
      </c>
      <c r="D15">
        <v>39.5</v>
      </c>
      <c r="E15">
        <v>39.799999237060547</v>
      </c>
      <c r="F15">
        <v>26451900</v>
      </c>
    </row>
    <row r="16" spans="1:8" x14ac:dyDescent="0.25">
      <c r="A16" s="2">
        <v>43616</v>
      </c>
      <c r="B16">
        <v>41.150001525878913</v>
      </c>
      <c r="C16">
        <v>41.569999694824219</v>
      </c>
      <c r="D16">
        <v>39.409999847412109</v>
      </c>
      <c r="E16">
        <v>40.409999847412109</v>
      </c>
      <c r="F16">
        <v>23209800</v>
      </c>
    </row>
    <row r="17" spans="1:6" x14ac:dyDescent="0.25">
      <c r="A17" s="2">
        <v>43619</v>
      </c>
      <c r="B17">
        <v>40.743999481201172</v>
      </c>
      <c r="C17">
        <v>41.849998474121087</v>
      </c>
      <c r="D17">
        <v>40.240001678466797</v>
      </c>
      <c r="E17">
        <v>41.25</v>
      </c>
      <c r="F17">
        <v>16605300</v>
      </c>
    </row>
    <row r="18" spans="1:6" x14ac:dyDescent="0.25">
      <c r="A18" s="2">
        <v>43620</v>
      </c>
      <c r="B18">
        <v>42.560001373291023</v>
      </c>
      <c r="C18">
        <v>42.880001068115227</v>
      </c>
      <c r="D18">
        <v>40.700000762939453</v>
      </c>
      <c r="E18">
        <v>42.75</v>
      </c>
      <c r="F18">
        <v>23432100</v>
      </c>
    </row>
    <row r="19" spans="1:6" x14ac:dyDescent="0.25">
      <c r="A19" s="2">
        <v>43621</v>
      </c>
      <c r="B19">
        <v>42.869998931884773</v>
      </c>
      <c r="C19">
        <v>45.659999847412109</v>
      </c>
      <c r="D19">
        <v>42.5</v>
      </c>
      <c r="E19">
        <v>45</v>
      </c>
      <c r="F19">
        <v>28609600</v>
      </c>
    </row>
    <row r="20" spans="1:6" x14ac:dyDescent="0.25">
      <c r="A20" s="2">
        <v>43622</v>
      </c>
      <c r="B20">
        <v>45</v>
      </c>
      <c r="C20">
        <v>45.75</v>
      </c>
      <c r="D20">
        <v>44.279998779296882</v>
      </c>
      <c r="E20">
        <v>44.919998168945313</v>
      </c>
      <c r="F20">
        <v>16403700</v>
      </c>
    </row>
    <row r="21" spans="1:6" x14ac:dyDescent="0.25">
      <c r="A21" s="2">
        <v>43623</v>
      </c>
      <c r="B21">
        <v>44.919998168945313</v>
      </c>
      <c r="C21">
        <v>45.669998168945313</v>
      </c>
      <c r="D21">
        <v>44.130001068115227</v>
      </c>
      <c r="E21">
        <v>44.159999847412109</v>
      </c>
      <c r="F21">
        <v>12654700</v>
      </c>
    </row>
    <row r="22" spans="1:6" x14ac:dyDescent="0.25">
      <c r="A22" s="2">
        <v>43626</v>
      </c>
      <c r="B22">
        <v>44.020000457763672</v>
      </c>
      <c r="C22">
        <v>44.590000152587891</v>
      </c>
      <c r="D22">
        <v>42.529998779296882</v>
      </c>
      <c r="E22">
        <v>42.610000610351563</v>
      </c>
      <c r="F22">
        <v>11618700</v>
      </c>
    </row>
    <row r="23" spans="1:6" x14ac:dyDescent="0.25">
      <c r="A23" s="2">
        <v>43627</v>
      </c>
      <c r="B23">
        <v>43.220001220703118</v>
      </c>
      <c r="C23">
        <v>43.650001525878913</v>
      </c>
      <c r="D23">
        <v>41.799999237060547</v>
      </c>
      <c r="E23">
        <v>42.450000762939453</v>
      </c>
      <c r="F23">
        <v>9095000</v>
      </c>
    </row>
    <row r="24" spans="1:6" x14ac:dyDescent="0.25">
      <c r="A24" s="2">
        <v>43628</v>
      </c>
      <c r="B24">
        <v>42.520000457763672</v>
      </c>
      <c r="C24">
        <v>42.650001525878913</v>
      </c>
      <c r="D24">
        <v>41.709999084472663</v>
      </c>
      <c r="E24">
        <v>42.169998168945313</v>
      </c>
      <c r="F24">
        <v>5965300</v>
      </c>
    </row>
    <row r="25" spans="1:6" x14ac:dyDescent="0.25">
      <c r="A25" s="2">
        <v>43629</v>
      </c>
      <c r="B25">
        <v>43.049999237060547</v>
      </c>
      <c r="C25">
        <v>44.349998474121087</v>
      </c>
      <c r="D25">
        <v>42.799999237060547</v>
      </c>
      <c r="E25">
        <v>44.310001373291023</v>
      </c>
      <c r="F25">
        <v>10178900</v>
      </c>
    </row>
    <row r="26" spans="1:6" x14ac:dyDescent="0.25">
      <c r="A26" s="2">
        <v>43630</v>
      </c>
      <c r="B26">
        <v>44.75</v>
      </c>
      <c r="C26">
        <v>44.799999237060547</v>
      </c>
      <c r="D26">
        <v>43.110000610351563</v>
      </c>
      <c r="E26">
        <v>43.229999542236328</v>
      </c>
      <c r="F26">
        <v>7902200</v>
      </c>
    </row>
    <row r="27" spans="1:6" x14ac:dyDescent="0.25">
      <c r="A27" s="2">
        <v>43633</v>
      </c>
      <c r="B27">
        <v>43.279998779296882</v>
      </c>
      <c r="C27">
        <v>44.078998565673828</v>
      </c>
      <c r="D27">
        <v>42.930000305175781</v>
      </c>
      <c r="E27">
        <v>43.779998779296882</v>
      </c>
      <c r="F27">
        <v>6557600</v>
      </c>
    </row>
    <row r="28" spans="1:6" x14ac:dyDescent="0.25">
      <c r="A28" s="2">
        <v>43634</v>
      </c>
      <c r="B28">
        <v>44.299999237060547</v>
      </c>
      <c r="C28">
        <v>44.889999389648438</v>
      </c>
      <c r="D28">
        <v>43.75</v>
      </c>
      <c r="E28">
        <v>43.860000610351563</v>
      </c>
      <c r="F28">
        <v>7313600</v>
      </c>
    </row>
    <row r="29" spans="1:6" x14ac:dyDescent="0.25">
      <c r="A29" s="2">
        <v>43635</v>
      </c>
      <c r="B29">
        <v>44.459999084472663</v>
      </c>
      <c r="C29">
        <v>45.5</v>
      </c>
      <c r="D29">
        <v>43.950000762939453</v>
      </c>
      <c r="E29">
        <v>44.860000610351563</v>
      </c>
      <c r="F29">
        <v>10331500</v>
      </c>
    </row>
    <row r="30" spans="1:6" x14ac:dyDescent="0.25">
      <c r="A30" s="2">
        <v>43636</v>
      </c>
      <c r="B30">
        <v>45.029998779296882</v>
      </c>
      <c r="C30">
        <v>45.290000915527337</v>
      </c>
      <c r="D30">
        <v>43.509998321533203</v>
      </c>
      <c r="E30">
        <v>43.860000610351563</v>
      </c>
      <c r="F30">
        <v>9567400</v>
      </c>
    </row>
    <row r="31" spans="1:6" x14ac:dyDescent="0.25">
      <c r="A31" s="2">
        <v>43637</v>
      </c>
      <c r="B31">
        <v>43.849998474121087</v>
      </c>
      <c r="C31">
        <v>44.139999389648438</v>
      </c>
      <c r="D31">
        <v>43.380001068115227</v>
      </c>
      <c r="E31">
        <v>44</v>
      </c>
      <c r="F31">
        <v>4974000</v>
      </c>
    </row>
    <row r="32" spans="1:6" x14ac:dyDescent="0.25">
      <c r="A32" s="2">
        <v>43640</v>
      </c>
      <c r="B32">
        <v>44</v>
      </c>
      <c r="C32">
        <v>44.069999694824219</v>
      </c>
      <c r="D32">
        <v>42.819999694824219</v>
      </c>
      <c r="E32">
        <v>43.090000152587891</v>
      </c>
      <c r="F32">
        <v>5985100</v>
      </c>
    </row>
    <row r="33" spans="1:6" x14ac:dyDescent="0.25">
      <c r="A33" s="2">
        <v>43641</v>
      </c>
      <c r="B33">
        <v>43.279998779296882</v>
      </c>
      <c r="C33">
        <v>43.790000915527337</v>
      </c>
      <c r="D33">
        <v>42.443000793457031</v>
      </c>
      <c r="E33">
        <v>43.090000152587891</v>
      </c>
      <c r="F33">
        <v>5753300</v>
      </c>
    </row>
    <row r="34" spans="1:6" x14ac:dyDescent="0.25">
      <c r="A34" s="2">
        <v>43642</v>
      </c>
      <c r="B34">
        <v>43.25</v>
      </c>
      <c r="C34">
        <v>43.400001525878913</v>
      </c>
      <c r="D34">
        <v>42.360000610351563</v>
      </c>
      <c r="E34">
        <v>42.5</v>
      </c>
      <c r="F34">
        <v>8109100</v>
      </c>
    </row>
    <row r="35" spans="1:6" x14ac:dyDescent="0.25">
      <c r="A35" s="2">
        <v>43643</v>
      </c>
      <c r="B35">
        <v>43.349998474121087</v>
      </c>
      <c r="C35">
        <v>45.299999237060547</v>
      </c>
      <c r="D35">
        <v>43.200000762939453</v>
      </c>
      <c r="E35">
        <v>45.130001068115227</v>
      </c>
      <c r="F35">
        <v>20155100</v>
      </c>
    </row>
    <row r="36" spans="1:6" x14ac:dyDescent="0.25">
      <c r="A36" s="2">
        <v>43644</v>
      </c>
      <c r="B36">
        <v>45.099998474121087</v>
      </c>
      <c r="C36">
        <v>47.080001831054688</v>
      </c>
      <c r="D36">
        <v>45.080001831054688</v>
      </c>
      <c r="E36">
        <v>46.380001068115227</v>
      </c>
      <c r="F36">
        <v>28657000</v>
      </c>
    </row>
    <row r="37" spans="1:6" x14ac:dyDescent="0.25">
      <c r="A37" s="2">
        <v>43647</v>
      </c>
      <c r="B37">
        <v>46.979999542236328</v>
      </c>
      <c r="C37">
        <v>47.040000915527337</v>
      </c>
      <c r="D37">
        <v>44.060001373291023</v>
      </c>
      <c r="E37">
        <v>44.270000457763672</v>
      </c>
      <c r="F37">
        <v>17660500</v>
      </c>
    </row>
    <row r="38" spans="1:6" x14ac:dyDescent="0.25">
      <c r="A38" s="2">
        <v>43648</v>
      </c>
      <c r="B38">
        <v>44.549999237060547</v>
      </c>
      <c r="C38">
        <v>44.680000305175781</v>
      </c>
      <c r="D38">
        <v>43.75</v>
      </c>
      <c r="E38">
        <v>44</v>
      </c>
      <c r="F38">
        <v>11881300</v>
      </c>
    </row>
    <row r="39" spans="1:6" x14ac:dyDescent="0.25">
      <c r="A39" s="2">
        <v>43649</v>
      </c>
      <c r="B39">
        <v>44</v>
      </c>
      <c r="C39">
        <v>44.459999084472663</v>
      </c>
      <c r="D39">
        <v>43.790000915527337</v>
      </c>
      <c r="E39">
        <v>44.229999542236328</v>
      </c>
      <c r="F39">
        <v>3380000</v>
      </c>
    </row>
    <row r="40" spans="1:6" x14ac:dyDescent="0.25">
      <c r="A40" s="2">
        <v>43651</v>
      </c>
      <c r="B40">
        <v>44.310001373291023</v>
      </c>
      <c r="C40">
        <v>44.549999237060547</v>
      </c>
      <c r="D40">
        <v>43.009998321533203</v>
      </c>
      <c r="E40">
        <v>43.529998779296882</v>
      </c>
      <c r="F40">
        <v>8239500</v>
      </c>
    </row>
    <row r="41" spans="1:6" x14ac:dyDescent="0.25">
      <c r="A41" s="2">
        <v>43654</v>
      </c>
      <c r="B41">
        <v>43.590000152587891</v>
      </c>
      <c r="C41">
        <v>43.849998474121087</v>
      </c>
      <c r="D41">
        <v>42.75</v>
      </c>
      <c r="E41">
        <v>42.950000762939453</v>
      </c>
      <c r="F41">
        <v>9304100</v>
      </c>
    </row>
    <row r="42" spans="1:6" x14ac:dyDescent="0.25">
      <c r="A42" s="2">
        <v>43655</v>
      </c>
      <c r="B42">
        <v>43.180000305175781</v>
      </c>
      <c r="C42">
        <v>44.229999542236328</v>
      </c>
      <c r="D42">
        <v>42.979999542236328</v>
      </c>
      <c r="E42">
        <v>44.200000762939453</v>
      </c>
      <c r="F42">
        <v>5251600</v>
      </c>
    </row>
    <row r="43" spans="1:6" x14ac:dyDescent="0.25">
      <c r="A43" s="2">
        <v>43656</v>
      </c>
      <c r="B43">
        <v>44.479999542236328</v>
      </c>
      <c r="C43">
        <v>44.799999237060547</v>
      </c>
      <c r="D43">
        <v>43.560001373291023</v>
      </c>
      <c r="E43">
        <v>43.700000762939453</v>
      </c>
      <c r="F43">
        <v>9746500</v>
      </c>
    </row>
    <row r="44" spans="1:6" x14ac:dyDescent="0.25">
      <c r="A44" s="2">
        <v>43657</v>
      </c>
      <c r="B44">
        <v>44.099998474121087</v>
      </c>
      <c r="C44">
        <v>44.290000915527337</v>
      </c>
      <c r="D44">
        <v>43.310001373291023</v>
      </c>
      <c r="E44">
        <v>43.990001678466797</v>
      </c>
      <c r="F44">
        <v>8050900</v>
      </c>
    </row>
    <row r="45" spans="1:6" x14ac:dyDescent="0.25">
      <c r="A45" s="2">
        <v>43658</v>
      </c>
      <c r="B45">
        <v>44.159999847412109</v>
      </c>
      <c r="C45">
        <v>44.240001678466797</v>
      </c>
      <c r="D45">
        <v>43.389999389648438</v>
      </c>
      <c r="E45">
        <v>43.990001678466797</v>
      </c>
      <c r="F45">
        <v>8760500</v>
      </c>
    </row>
    <row r="46" spans="1:6" x14ac:dyDescent="0.25">
      <c r="A46" s="2">
        <v>43661</v>
      </c>
      <c r="B46">
        <v>44.200000762939453</v>
      </c>
      <c r="C46">
        <v>44.700000762939453</v>
      </c>
      <c r="D46">
        <v>43.970001220703118</v>
      </c>
      <c r="E46">
        <v>44.529998779296882</v>
      </c>
      <c r="F46">
        <v>5811200</v>
      </c>
    </row>
    <row r="47" spans="1:6" x14ac:dyDescent="0.25">
      <c r="A47" s="2">
        <v>43662</v>
      </c>
      <c r="B47">
        <v>44.599998474121087</v>
      </c>
      <c r="C47">
        <v>44.979999542236328</v>
      </c>
      <c r="D47">
        <v>44.020000457763672</v>
      </c>
      <c r="E47">
        <v>44.130001068115227</v>
      </c>
      <c r="F47">
        <v>5613300</v>
      </c>
    </row>
    <row r="48" spans="1:6" x14ac:dyDescent="0.25">
      <c r="A48" s="2">
        <v>43663</v>
      </c>
      <c r="B48">
        <v>44.060001373291023</v>
      </c>
      <c r="C48">
        <v>44.349998474121087</v>
      </c>
      <c r="D48">
        <v>43.520000457763672</v>
      </c>
      <c r="E48">
        <v>43.619998931884773</v>
      </c>
      <c r="F48">
        <v>5854100</v>
      </c>
    </row>
    <row r="49" spans="1:8" x14ac:dyDescent="0.25">
      <c r="A49" s="2">
        <v>43664</v>
      </c>
      <c r="B49">
        <v>43.5</v>
      </c>
      <c r="C49">
        <v>43.849998474121087</v>
      </c>
      <c r="D49">
        <v>43.189998626708977</v>
      </c>
      <c r="E49">
        <v>43.709999084472663</v>
      </c>
      <c r="F49">
        <v>4078700</v>
      </c>
    </row>
    <row r="50" spans="1:8" x14ac:dyDescent="0.25">
      <c r="A50" s="2">
        <v>43665</v>
      </c>
      <c r="B50">
        <v>43.900001525878913</v>
      </c>
      <c r="C50">
        <v>44.08599853515625</v>
      </c>
      <c r="D50">
        <v>43.159999847412109</v>
      </c>
      <c r="E50">
        <v>43.180000305175781</v>
      </c>
      <c r="F50">
        <v>4021000</v>
      </c>
    </row>
    <row r="51" spans="1:8" x14ac:dyDescent="0.25">
      <c r="A51" s="2">
        <v>43668</v>
      </c>
      <c r="B51">
        <v>43.25</v>
      </c>
      <c r="C51">
        <v>43.720001220703118</v>
      </c>
      <c r="D51">
        <v>43.009998321533203</v>
      </c>
      <c r="E51">
        <v>43.689998626708977</v>
      </c>
      <c r="F51">
        <v>3815300</v>
      </c>
    </row>
    <row r="52" spans="1:8" x14ac:dyDescent="0.25">
      <c r="A52" s="2">
        <v>43669</v>
      </c>
      <c r="B52">
        <v>43.75</v>
      </c>
      <c r="C52">
        <v>44.310001373291023</v>
      </c>
      <c r="D52">
        <v>43.110000610351563</v>
      </c>
      <c r="E52">
        <v>43.360000610351563</v>
      </c>
      <c r="F52">
        <v>5110100</v>
      </c>
    </row>
    <row r="53" spans="1:8" x14ac:dyDescent="0.25">
      <c r="A53" s="2">
        <v>43670</v>
      </c>
      <c r="B53">
        <v>43.360000610351563</v>
      </c>
      <c r="C53">
        <v>43.869998931884773</v>
      </c>
      <c r="D53">
        <v>43.360000610351563</v>
      </c>
      <c r="E53">
        <v>43.759998321533203</v>
      </c>
      <c r="F53">
        <v>3775700</v>
      </c>
    </row>
    <row r="54" spans="1:8" x14ac:dyDescent="0.25">
      <c r="A54" s="2">
        <v>43671</v>
      </c>
      <c r="B54">
        <v>43.720001220703118</v>
      </c>
      <c r="C54">
        <v>43.959999084472663</v>
      </c>
      <c r="D54">
        <v>43.209999084472663</v>
      </c>
      <c r="E54">
        <v>43.400001525878913</v>
      </c>
      <c r="F54">
        <v>4412000</v>
      </c>
    </row>
    <row r="55" spans="1:8" x14ac:dyDescent="0.25">
      <c r="A55" s="2">
        <v>43672</v>
      </c>
      <c r="B55">
        <v>43.419998168945313</v>
      </c>
      <c r="C55">
        <v>44.959999084472663</v>
      </c>
      <c r="D55">
        <v>43.389999389648438</v>
      </c>
      <c r="E55">
        <v>44.520000457763672</v>
      </c>
      <c r="F55">
        <v>7598800</v>
      </c>
    </row>
    <row r="56" spans="1:8" x14ac:dyDescent="0.25">
      <c r="A56" s="2">
        <v>43675</v>
      </c>
      <c r="B56">
        <v>45</v>
      </c>
      <c r="C56">
        <v>45.626998901367188</v>
      </c>
      <c r="D56">
        <v>43.119998931884773</v>
      </c>
      <c r="E56">
        <v>43.880001068115227</v>
      </c>
      <c r="F56">
        <v>8652200</v>
      </c>
    </row>
    <row r="57" spans="1:8" x14ac:dyDescent="0.25">
      <c r="A57" s="2">
        <v>43676</v>
      </c>
      <c r="B57">
        <v>43.709999084472663</v>
      </c>
      <c r="C57">
        <v>43.740001678466797</v>
      </c>
      <c r="D57">
        <v>42.490001678466797</v>
      </c>
      <c r="E57">
        <v>42.590000152587891</v>
      </c>
      <c r="F57">
        <v>7686300</v>
      </c>
      <c r="G57">
        <v>72412071670</v>
      </c>
      <c r="H57">
        <v>1700212994</v>
      </c>
    </row>
    <row r="58" spans="1:8" x14ac:dyDescent="0.25">
      <c r="A58" s="2">
        <v>43677</v>
      </c>
      <c r="B58">
        <v>42.599998474121087</v>
      </c>
      <c r="C58">
        <v>42.979999542236328</v>
      </c>
      <c r="D58">
        <v>41.840000152587891</v>
      </c>
      <c r="E58">
        <v>42.139999389648438</v>
      </c>
      <c r="F58">
        <v>5970800</v>
      </c>
      <c r="G58">
        <v>71646975820</v>
      </c>
      <c r="H58">
        <v>1700213025</v>
      </c>
    </row>
    <row r="59" spans="1:8" x14ac:dyDescent="0.25">
      <c r="A59" s="2">
        <v>43678</v>
      </c>
      <c r="B59">
        <v>42.139999389648438</v>
      </c>
      <c r="C59">
        <v>42.535999298095703</v>
      </c>
      <c r="D59">
        <v>41</v>
      </c>
      <c r="E59">
        <v>41.310001373291023</v>
      </c>
      <c r="F59">
        <v>7349700</v>
      </c>
      <c r="G59">
        <v>70235799030</v>
      </c>
      <c r="H59">
        <v>1700212943</v>
      </c>
    </row>
    <row r="60" spans="1:8" x14ac:dyDescent="0.25">
      <c r="A60" s="2">
        <v>43679</v>
      </c>
      <c r="B60">
        <v>41.029998779296882</v>
      </c>
      <c r="C60">
        <v>41.060001373291023</v>
      </c>
      <c r="D60">
        <v>39.950000762939453</v>
      </c>
      <c r="E60">
        <v>40.400001525878913</v>
      </c>
      <c r="F60">
        <v>8225700</v>
      </c>
      <c r="G60">
        <v>68688605200</v>
      </c>
      <c r="H60">
        <v>1700212936</v>
      </c>
    </row>
    <row r="61" spans="1:8" x14ac:dyDescent="0.25">
      <c r="A61" s="2">
        <v>43682</v>
      </c>
      <c r="B61">
        <v>39.349998474121087</v>
      </c>
      <c r="C61">
        <v>39.419998168945313</v>
      </c>
      <c r="D61">
        <v>38.432998657226563</v>
      </c>
      <c r="E61">
        <v>39.049999237060547</v>
      </c>
      <c r="F61">
        <v>9799300</v>
      </c>
      <c r="G61">
        <v>66393317649</v>
      </c>
      <c r="H61">
        <v>1700213033</v>
      </c>
    </row>
    <row r="62" spans="1:8" x14ac:dyDescent="0.25">
      <c r="A62" s="2">
        <v>43683</v>
      </c>
      <c r="B62">
        <v>39.680000305175781</v>
      </c>
      <c r="C62">
        <v>40.807998657226563</v>
      </c>
      <c r="D62">
        <v>38.360000610351563</v>
      </c>
      <c r="E62">
        <v>39.150001525878913</v>
      </c>
      <c r="F62">
        <v>8570300</v>
      </c>
      <c r="G62">
        <v>66563338950</v>
      </c>
      <c r="H62">
        <v>1700212934</v>
      </c>
    </row>
    <row r="63" spans="1:8" x14ac:dyDescent="0.25">
      <c r="A63" s="2">
        <v>43684</v>
      </c>
      <c r="B63">
        <v>39.060001373291023</v>
      </c>
      <c r="C63">
        <v>39.990001678466797</v>
      </c>
      <c r="D63">
        <v>38.319999694824219</v>
      </c>
      <c r="E63">
        <v>39.700000762939453</v>
      </c>
      <c r="F63">
        <v>8896000</v>
      </c>
      <c r="G63">
        <v>67498456100</v>
      </c>
      <c r="H63">
        <v>1700212967</v>
      </c>
    </row>
    <row r="64" spans="1:8" x14ac:dyDescent="0.25">
      <c r="A64" s="2">
        <v>43685</v>
      </c>
      <c r="B64">
        <v>41.979999542236328</v>
      </c>
      <c r="C64">
        <v>43</v>
      </c>
      <c r="D64">
        <v>41.25</v>
      </c>
      <c r="E64">
        <v>42.970001220703118</v>
      </c>
      <c r="F64">
        <v>29610500</v>
      </c>
      <c r="G64">
        <v>73058152610</v>
      </c>
      <c r="H64">
        <v>1700212952</v>
      </c>
    </row>
    <row r="65" spans="1:8" x14ac:dyDescent="0.25">
      <c r="A65" s="2">
        <v>43686</v>
      </c>
      <c r="B65">
        <v>39.560001373291023</v>
      </c>
      <c r="C65">
        <v>40.680000305175781</v>
      </c>
      <c r="D65">
        <v>38.709999084472663</v>
      </c>
      <c r="E65">
        <v>40.049999237060547</v>
      </c>
      <c r="F65">
        <v>35138800</v>
      </c>
      <c r="G65">
        <v>68093530649</v>
      </c>
      <c r="H65">
        <v>1700213032</v>
      </c>
    </row>
    <row r="66" spans="1:8" x14ac:dyDescent="0.25">
      <c r="A66" s="2">
        <v>43689</v>
      </c>
      <c r="B66">
        <v>39.830001831054688</v>
      </c>
      <c r="C66">
        <v>39.950000762939453</v>
      </c>
      <c r="D66">
        <v>37</v>
      </c>
      <c r="E66">
        <v>37</v>
      </c>
      <c r="F66">
        <v>21231300</v>
      </c>
      <c r="G66">
        <v>62907881000</v>
      </c>
      <c r="H66">
        <v>1700213000</v>
      </c>
    </row>
    <row r="67" spans="1:8" x14ac:dyDescent="0.25">
      <c r="A67" s="2">
        <v>43690</v>
      </c>
      <c r="B67">
        <v>37</v>
      </c>
      <c r="C67">
        <v>37.459999084472663</v>
      </c>
      <c r="D67">
        <v>36.119998931884773</v>
      </c>
      <c r="E67">
        <v>36.450000762939453</v>
      </c>
      <c r="F67">
        <v>18990600</v>
      </c>
      <c r="G67">
        <v>61972763850</v>
      </c>
      <c r="H67">
        <v>1700212964</v>
      </c>
    </row>
    <row r="68" spans="1:8" x14ac:dyDescent="0.25">
      <c r="A68" s="2">
        <v>43691</v>
      </c>
      <c r="B68">
        <v>36</v>
      </c>
      <c r="C68">
        <v>36.299999237060547</v>
      </c>
      <c r="D68">
        <v>33.360000610351563</v>
      </c>
      <c r="E68">
        <v>33.959999084472663</v>
      </c>
      <c r="F68">
        <v>24481600</v>
      </c>
      <c r="G68">
        <v>57739233480</v>
      </c>
      <c r="H68">
        <v>1700213046</v>
      </c>
    </row>
    <row r="69" spans="1:8" x14ac:dyDescent="0.25">
      <c r="A69" s="2">
        <v>43692</v>
      </c>
      <c r="B69">
        <v>34.520000457763672</v>
      </c>
      <c r="C69">
        <v>34.549999237060547</v>
      </c>
      <c r="D69">
        <v>32.919998168945313</v>
      </c>
      <c r="E69">
        <v>33.220001220703118</v>
      </c>
      <c r="F69">
        <v>13265800</v>
      </c>
      <c r="G69">
        <v>56481075860</v>
      </c>
      <c r="H69">
        <v>1700212938</v>
      </c>
    </row>
    <row r="70" spans="1:8" x14ac:dyDescent="0.25">
      <c r="A70" s="2">
        <v>43693</v>
      </c>
      <c r="B70">
        <v>33.459999084472663</v>
      </c>
      <c r="C70">
        <v>35.479999542236328</v>
      </c>
      <c r="D70">
        <v>33.400001525878913</v>
      </c>
      <c r="E70">
        <v>35.229999542236328</v>
      </c>
      <c r="F70">
        <v>13883200</v>
      </c>
      <c r="G70">
        <v>59898503989</v>
      </c>
      <c r="H70">
        <v>1700213022</v>
      </c>
    </row>
    <row r="71" spans="1:8" x14ac:dyDescent="0.25">
      <c r="A71" s="2">
        <v>43696</v>
      </c>
      <c r="B71">
        <v>35.529998779296882</v>
      </c>
      <c r="C71">
        <v>35.799999237060547</v>
      </c>
      <c r="D71">
        <v>34.369998931884773</v>
      </c>
      <c r="E71">
        <v>34.610000610351563</v>
      </c>
      <c r="F71">
        <v>10853100</v>
      </c>
      <c r="G71">
        <v>58844371930</v>
      </c>
      <c r="H71">
        <v>1700212970</v>
      </c>
    </row>
    <row r="72" spans="1:8" x14ac:dyDescent="0.25">
      <c r="A72" s="2">
        <v>43697</v>
      </c>
      <c r="B72">
        <v>34.479999542236328</v>
      </c>
      <c r="C72">
        <v>36.069999694824219</v>
      </c>
      <c r="D72">
        <v>34.389999389648438</v>
      </c>
      <c r="E72">
        <v>35.290000915527337</v>
      </c>
      <c r="F72">
        <v>10760700</v>
      </c>
      <c r="G72">
        <v>60000516770</v>
      </c>
      <c r="H72">
        <v>1700212956</v>
      </c>
    </row>
    <row r="73" spans="1:8" x14ac:dyDescent="0.25">
      <c r="A73" s="2">
        <v>43698</v>
      </c>
      <c r="B73">
        <v>35.5</v>
      </c>
      <c r="C73">
        <v>35.830001831054688</v>
      </c>
      <c r="D73">
        <v>34.75</v>
      </c>
      <c r="E73">
        <v>34.909999847412109</v>
      </c>
      <c r="F73">
        <v>7923000</v>
      </c>
      <c r="G73">
        <v>59354435829</v>
      </c>
      <c r="H73">
        <v>1700213007</v>
      </c>
    </row>
    <row r="74" spans="1:8" x14ac:dyDescent="0.25">
      <c r="A74" s="2">
        <v>43699</v>
      </c>
      <c r="B74">
        <v>34.799999237060547</v>
      </c>
      <c r="C74">
        <v>34.909999847412109</v>
      </c>
      <c r="D74">
        <v>33.520000457763672</v>
      </c>
      <c r="E74">
        <v>34</v>
      </c>
      <c r="F74">
        <v>8513300</v>
      </c>
      <c r="G74">
        <v>57807242000</v>
      </c>
      <c r="H74">
        <v>1700213000</v>
      </c>
    </row>
    <row r="75" spans="1:8" x14ac:dyDescent="0.25">
      <c r="A75" s="2">
        <v>43700</v>
      </c>
      <c r="B75">
        <v>33.650001525878913</v>
      </c>
      <c r="C75">
        <v>34.229999542236328</v>
      </c>
      <c r="D75">
        <v>33.119998931884773</v>
      </c>
      <c r="E75">
        <v>33.430000305175781</v>
      </c>
      <c r="F75">
        <v>8160600</v>
      </c>
      <c r="G75">
        <v>56838120590</v>
      </c>
      <c r="H75">
        <v>1700212984</v>
      </c>
    </row>
    <row r="76" spans="1:8" x14ac:dyDescent="0.25">
      <c r="A76" s="2">
        <v>43703</v>
      </c>
      <c r="B76">
        <v>33.669998168945313</v>
      </c>
      <c r="C76">
        <v>33.830001831054688</v>
      </c>
      <c r="D76">
        <v>33.060001373291023</v>
      </c>
      <c r="E76">
        <v>33.310001373291023</v>
      </c>
      <c r="F76">
        <v>5662500</v>
      </c>
      <c r="G76">
        <v>56634095030</v>
      </c>
      <c r="H76">
        <v>1700212930</v>
      </c>
    </row>
    <row r="77" spans="1:8" x14ac:dyDescent="0.25">
      <c r="A77" s="2">
        <v>43704</v>
      </c>
      <c r="B77">
        <v>33.689998626708977</v>
      </c>
      <c r="C77">
        <v>34.240001678466797</v>
      </c>
      <c r="D77">
        <v>32.979999542236328</v>
      </c>
      <c r="E77">
        <v>33.110000610351563</v>
      </c>
      <c r="F77">
        <v>6574800</v>
      </c>
      <c r="G77">
        <v>56294052430</v>
      </c>
      <c r="H77">
        <v>1700212969</v>
      </c>
    </row>
    <row r="78" spans="1:8" x14ac:dyDescent="0.25">
      <c r="A78" s="2">
        <v>43705</v>
      </c>
      <c r="B78">
        <v>32.560001373291023</v>
      </c>
      <c r="C78">
        <v>33.049999237060547</v>
      </c>
      <c r="D78">
        <v>32.259998321533203</v>
      </c>
      <c r="E78">
        <v>32.590000152587891</v>
      </c>
      <c r="F78">
        <v>6245500</v>
      </c>
      <c r="G78">
        <v>55409941670</v>
      </c>
      <c r="H78">
        <v>1700212992</v>
      </c>
    </row>
    <row r="79" spans="1:8" x14ac:dyDescent="0.25">
      <c r="A79" s="2">
        <v>43706</v>
      </c>
      <c r="B79">
        <v>32.900001525878913</v>
      </c>
      <c r="C79">
        <v>33.299999237060547</v>
      </c>
      <c r="D79">
        <v>32.599998474121087</v>
      </c>
      <c r="E79">
        <v>32.759998321533203</v>
      </c>
      <c r="F79">
        <v>5772200</v>
      </c>
      <c r="G79">
        <v>55698977880</v>
      </c>
      <c r="H79">
        <v>1700213087</v>
      </c>
    </row>
    <row r="80" spans="1:8" x14ac:dyDescent="0.25">
      <c r="A80" s="2">
        <v>43707</v>
      </c>
      <c r="B80">
        <v>33</v>
      </c>
      <c r="C80">
        <v>33.130001068115227</v>
      </c>
      <c r="D80">
        <v>32.040000915527337</v>
      </c>
      <c r="E80">
        <v>32.569999694824219</v>
      </c>
      <c r="F80">
        <v>6628700</v>
      </c>
      <c r="G80">
        <v>55375937410</v>
      </c>
      <c r="H80">
        <v>1700213016</v>
      </c>
    </row>
    <row r="81" spans="1:8" x14ac:dyDescent="0.25">
      <c r="A81" s="2">
        <v>43711</v>
      </c>
      <c r="B81">
        <v>32.099998474121087</v>
      </c>
      <c r="C81">
        <v>32.529998779296882</v>
      </c>
      <c r="D81">
        <v>30.66500091552734</v>
      </c>
      <c r="E81">
        <v>30.70000076293945</v>
      </c>
      <c r="F81">
        <v>12154000</v>
      </c>
      <c r="G81">
        <v>52196539100</v>
      </c>
      <c r="H81">
        <v>1700212958</v>
      </c>
    </row>
    <row r="82" spans="1:8" x14ac:dyDescent="0.25">
      <c r="A82" s="2">
        <v>43712</v>
      </c>
      <c r="B82">
        <v>30.909999847412109</v>
      </c>
      <c r="C82">
        <v>32.360000610351563</v>
      </c>
      <c r="D82">
        <v>30.85000038146973</v>
      </c>
      <c r="E82">
        <v>31.989999771118161</v>
      </c>
      <c r="F82">
        <v>10357600</v>
      </c>
      <c r="G82">
        <v>54389813870</v>
      </c>
      <c r="H82">
        <v>1700213012</v>
      </c>
    </row>
    <row r="83" spans="1:8" x14ac:dyDescent="0.25">
      <c r="A83" s="2">
        <v>43713</v>
      </c>
      <c r="B83">
        <v>32.330001831054688</v>
      </c>
      <c r="C83">
        <v>33.029998779296882</v>
      </c>
      <c r="D83">
        <v>32.25</v>
      </c>
      <c r="E83">
        <v>32.509998321533203</v>
      </c>
      <c r="F83">
        <v>7933300</v>
      </c>
      <c r="G83">
        <v>55273924630</v>
      </c>
      <c r="H83">
        <v>1700213088</v>
      </c>
    </row>
    <row r="84" spans="1:8" x14ac:dyDescent="0.25">
      <c r="A84" s="2">
        <v>43714</v>
      </c>
      <c r="B84">
        <v>32.709999084472663</v>
      </c>
      <c r="C84">
        <v>32.740001678466797</v>
      </c>
      <c r="D84">
        <v>31.409999847412109</v>
      </c>
      <c r="E84">
        <v>31.860000610351559</v>
      </c>
      <c r="F84">
        <v>7036000</v>
      </c>
      <c r="G84">
        <v>54168786180</v>
      </c>
      <c r="H84">
        <v>1700212967</v>
      </c>
    </row>
    <row r="85" spans="1:8" x14ac:dyDescent="0.25">
      <c r="A85" s="2">
        <v>43717</v>
      </c>
      <c r="B85">
        <v>32.049999237060547</v>
      </c>
      <c r="C85">
        <v>32.389999389648438</v>
      </c>
      <c r="D85">
        <v>31.45999908447266</v>
      </c>
      <c r="E85">
        <v>32.240001678466797</v>
      </c>
      <c r="F85">
        <v>7448400</v>
      </c>
      <c r="G85">
        <v>54814867120</v>
      </c>
      <c r="H85">
        <v>1700212911</v>
      </c>
    </row>
    <row r="86" spans="1:8" x14ac:dyDescent="0.25">
      <c r="A86" s="2">
        <v>43718</v>
      </c>
      <c r="B86">
        <v>32</v>
      </c>
      <c r="C86">
        <v>33.740001678466797</v>
      </c>
      <c r="D86">
        <v>31.64999961853027</v>
      </c>
      <c r="E86">
        <v>33.509998321533203</v>
      </c>
      <c r="F86">
        <v>10817100</v>
      </c>
      <c r="G86">
        <v>56974137630</v>
      </c>
      <c r="H86">
        <v>1700213085</v>
      </c>
    </row>
    <row r="87" spans="1:8" x14ac:dyDescent="0.25">
      <c r="A87" s="2">
        <v>43719</v>
      </c>
      <c r="B87">
        <v>33.380001068115227</v>
      </c>
      <c r="C87">
        <v>35.139999389648438</v>
      </c>
      <c r="D87">
        <v>33.020000457763672</v>
      </c>
      <c r="E87">
        <v>34</v>
      </c>
      <c r="F87">
        <v>14715800</v>
      </c>
      <c r="G87">
        <v>57807242000</v>
      </c>
      <c r="H87">
        <v>1700213000</v>
      </c>
    </row>
    <row r="88" spans="1:8" x14ac:dyDescent="0.25">
      <c r="A88" s="2">
        <v>43720</v>
      </c>
      <c r="B88">
        <v>34.139999389648438</v>
      </c>
      <c r="C88">
        <v>34.486000061035163</v>
      </c>
      <c r="D88">
        <v>33.330001831054688</v>
      </c>
      <c r="E88">
        <v>34.069999694824219</v>
      </c>
      <c r="F88">
        <v>7734800</v>
      </c>
      <c r="G88">
        <v>57926256910</v>
      </c>
      <c r="H88">
        <v>1700213015</v>
      </c>
    </row>
    <row r="89" spans="1:8" x14ac:dyDescent="0.25">
      <c r="A89" s="2">
        <v>43721</v>
      </c>
      <c r="B89">
        <v>34.25</v>
      </c>
      <c r="C89">
        <v>34.435001373291023</v>
      </c>
      <c r="D89">
        <v>32.939998626708977</v>
      </c>
      <c r="E89">
        <v>33.25</v>
      </c>
      <c r="F89">
        <v>9428600</v>
      </c>
      <c r="G89">
        <v>56532082250</v>
      </c>
      <c r="H89">
        <v>1700213000</v>
      </c>
    </row>
    <row r="90" spans="1:8" x14ac:dyDescent="0.25">
      <c r="A90" s="2">
        <v>43724</v>
      </c>
      <c r="B90">
        <v>33.599998474121087</v>
      </c>
      <c r="C90">
        <v>34.799999237060547</v>
      </c>
      <c r="D90">
        <v>33.470001220703118</v>
      </c>
      <c r="E90">
        <v>34.430000305175781</v>
      </c>
      <c r="F90">
        <v>7942600</v>
      </c>
      <c r="G90">
        <v>58538333590</v>
      </c>
      <c r="H90">
        <v>1700212985</v>
      </c>
    </row>
    <row r="91" spans="1:8" x14ac:dyDescent="0.25">
      <c r="A91" s="2">
        <v>43725</v>
      </c>
      <c r="B91">
        <v>34.75</v>
      </c>
      <c r="C91">
        <v>34.75</v>
      </c>
      <c r="D91">
        <v>33.549999237060547</v>
      </c>
      <c r="E91">
        <v>34.290000915527337</v>
      </c>
      <c r="F91">
        <v>5561300</v>
      </c>
      <c r="G91">
        <v>58300303770</v>
      </c>
      <c r="H91">
        <v>1700212955</v>
      </c>
    </row>
    <row r="92" spans="1:8" x14ac:dyDescent="0.25">
      <c r="A92" s="2">
        <v>43726</v>
      </c>
      <c r="B92">
        <v>34.349998474121087</v>
      </c>
      <c r="C92">
        <v>34.889999389648438</v>
      </c>
      <c r="D92">
        <v>33.75</v>
      </c>
      <c r="E92">
        <v>34.259998321533203</v>
      </c>
      <c r="F92">
        <v>6608300</v>
      </c>
      <c r="G92">
        <v>58249297380</v>
      </c>
      <c r="H92">
        <v>1700213083</v>
      </c>
    </row>
    <row r="93" spans="1:8" x14ac:dyDescent="0.25">
      <c r="A93" s="2">
        <v>43727</v>
      </c>
      <c r="B93">
        <v>34.200000762939453</v>
      </c>
      <c r="C93">
        <v>34.639999389648438</v>
      </c>
      <c r="D93">
        <v>33.680000305175781</v>
      </c>
      <c r="E93">
        <v>33.819999694824219</v>
      </c>
      <c r="F93">
        <v>6869600</v>
      </c>
      <c r="G93">
        <v>57501203660</v>
      </c>
      <c r="H93">
        <v>1700213015</v>
      </c>
    </row>
    <row r="94" spans="1:8" x14ac:dyDescent="0.25">
      <c r="A94" s="2">
        <v>43728</v>
      </c>
      <c r="B94">
        <v>33.979999542236328</v>
      </c>
      <c r="C94">
        <v>34.216999053955078</v>
      </c>
      <c r="D94">
        <v>32.5</v>
      </c>
      <c r="E94">
        <v>32.599998474121087</v>
      </c>
      <c r="F94">
        <v>11935400</v>
      </c>
      <c r="G94">
        <v>55426943800</v>
      </c>
      <c r="H94">
        <v>1700213080</v>
      </c>
    </row>
    <row r="95" spans="1:8" x14ac:dyDescent="0.25">
      <c r="A95" s="2">
        <v>43731</v>
      </c>
      <c r="B95">
        <v>32.520000457763672</v>
      </c>
      <c r="C95">
        <v>33.009998321533203</v>
      </c>
      <c r="D95">
        <v>32.060001373291023</v>
      </c>
      <c r="E95">
        <v>33</v>
      </c>
      <c r="F95">
        <v>5513000</v>
      </c>
      <c r="G95">
        <v>56107029000</v>
      </c>
      <c r="H95">
        <v>1700213000</v>
      </c>
    </row>
    <row r="96" spans="1:8" x14ac:dyDescent="0.25">
      <c r="A96" s="2">
        <v>43732</v>
      </c>
      <c r="B96">
        <v>33</v>
      </c>
      <c r="C96">
        <v>33.145000457763672</v>
      </c>
      <c r="D96">
        <v>31.010000228881839</v>
      </c>
      <c r="E96">
        <v>31.29999923706055</v>
      </c>
      <c r="F96">
        <v>10579900</v>
      </c>
      <c r="G96">
        <v>53216666900</v>
      </c>
      <c r="H96">
        <v>1700213041</v>
      </c>
    </row>
    <row r="97" spans="1:8" x14ac:dyDescent="0.25">
      <c r="A97" s="2">
        <v>43733</v>
      </c>
      <c r="B97">
        <v>31.270000457763668</v>
      </c>
      <c r="C97">
        <v>31.719999313354489</v>
      </c>
      <c r="D97">
        <v>30.760000228881839</v>
      </c>
      <c r="E97">
        <v>31.680000305175781</v>
      </c>
      <c r="F97">
        <v>7875000</v>
      </c>
      <c r="G97">
        <v>53862747840</v>
      </c>
      <c r="H97">
        <v>1700212984</v>
      </c>
    </row>
    <row r="98" spans="1:8" x14ac:dyDescent="0.25">
      <c r="A98" s="2">
        <v>43734</v>
      </c>
      <c r="B98">
        <v>31.719999313354489</v>
      </c>
      <c r="C98">
        <v>32.130001068115227</v>
      </c>
      <c r="D98">
        <v>31.129999160766602</v>
      </c>
      <c r="E98">
        <v>31.569999694824219</v>
      </c>
      <c r="F98">
        <v>6058700</v>
      </c>
      <c r="G98">
        <v>53675724410</v>
      </c>
      <c r="H98">
        <v>1700213016</v>
      </c>
    </row>
    <row r="99" spans="1:8" x14ac:dyDescent="0.25">
      <c r="A99" s="2">
        <v>43735</v>
      </c>
      <c r="B99">
        <v>31.70999908447266</v>
      </c>
      <c r="C99">
        <v>31.89999961853027</v>
      </c>
      <c r="D99">
        <v>30.129999160766602</v>
      </c>
      <c r="E99">
        <v>30.29000091552734</v>
      </c>
      <c r="F99">
        <v>11846700</v>
      </c>
      <c r="G99">
        <v>51499451770</v>
      </c>
      <c r="H99">
        <v>1700212949</v>
      </c>
    </row>
    <row r="100" spans="1:8" x14ac:dyDescent="0.25">
      <c r="A100" s="2">
        <v>43738</v>
      </c>
      <c r="B100">
        <v>30.39999961853027</v>
      </c>
      <c r="C100">
        <v>30.735000610351559</v>
      </c>
      <c r="D100">
        <v>30.170000076293949</v>
      </c>
      <c r="E100">
        <v>30.469999313354489</v>
      </c>
      <c r="F100">
        <v>4986600</v>
      </c>
      <c r="G100">
        <v>52111622200</v>
      </c>
      <c r="H100">
        <v>1710260039</v>
      </c>
    </row>
    <row r="101" spans="1:8" x14ac:dyDescent="0.25">
      <c r="A101" s="2">
        <v>43739</v>
      </c>
      <c r="B101">
        <v>30.370000839233398</v>
      </c>
      <c r="C101">
        <v>30.510000228881839</v>
      </c>
      <c r="D101">
        <v>28.64999961853027</v>
      </c>
      <c r="E101">
        <v>29.14999961853027</v>
      </c>
      <c r="F101">
        <v>13380200</v>
      </c>
      <c r="G101">
        <v>49854079000</v>
      </c>
      <c r="H101">
        <v>1710260022</v>
      </c>
    </row>
    <row r="102" spans="1:8" x14ac:dyDescent="0.25">
      <c r="A102" s="2">
        <v>43740</v>
      </c>
      <c r="B102">
        <v>28.670000076293949</v>
      </c>
      <c r="C102">
        <v>29.54999923706055</v>
      </c>
      <c r="D102">
        <v>28.309999465942379</v>
      </c>
      <c r="E102">
        <v>29</v>
      </c>
      <c r="F102">
        <v>8782400</v>
      </c>
      <c r="G102">
        <v>49597540000</v>
      </c>
      <c r="H102">
        <v>1710260000</v>
      </c>
    </row>
    <row r="103" spans="1:8" x14ac:dyDescent="0.25">
      <c r="A103" s="2">
        <v>43741</v>
      </c>
      <c r="B103">
        <v>28.969999313354489</v>
      </c>
      <c r="C103">
        <v>29.879999160766602</v>
      </c>
      <c r="D103">
        <v>28.520000457763668</v>
      </c>
      <c r="E103">
        <v>29.719999313354489</v>
      </c>
      <c r="F103">
        <v>9412000</v>
      </c>
      <c r="G103">
        <v>50828927200</v>
      </c>
      <c r="H103">
        <v>1710260040</v>
      </c>
    </row>
    <row r="104" spans="1:8" x14ac:dyDescent="0.25">
      <c r="A104" s="2">
        <v>43742</v>
      </c>
      <c r="B104">
        <v>29.89999961853027</v>
      </c>
      <c r="C104">
        <v>30.180000305175781</v>
      </c>
      <c r="D104">
        <v>28.89999961853027</v>
      </c>
      <c r="E104">
        <v>29.670000076293949</v>
      </c>
      <c r="F104">
        <v>8597700</v>
      </c>
      <c r="G104">
        <v>50743414200</v>
      </c>
      <c r="H104">
        <v>1710259996</v>
      </c>
    </row>
    <row r="105" spans="1:8" x14ac:dyDescent="0.25">
      <c r="A105" s="2">
        <v>43745</v>
      </c>
      <c r="B105">
        <v>30.60000038146973</v>
      </c>
      <c r="C105">
        <v>30.75</v>
      </c>
      <c r="D105">
        <v>29.829999923706051</v>
      </c>
      <c r="E105">
        <v>30.370000839233398</v>
      </c>
      <c r="F105">
        <v>10083800</v>
      </c>
      <c r="G105">
        <v>51940596200</v>
      </c>
      <c r="H105">
        <v>1710259953</v>
      </c>
    </row>
    <row r="106" spans="1:8" x14ac:dyDescent="0.25">
      <c r="A106" s="2">
        <v>43746</v>
      </c>
      <c r="B106">
        <v>30.010000228881839</v>
      </c>
      <c r="C106">
        <v>30.14999961853027</v>
      </c>
      <c r="D106">
        <v>29.170000076293949</v>
      </c>
      <c r="E106">
        <v>29.280000686645511</v>
      </c>
      <c r="F106">
        <v>7769100</v>
      </c>
      <c r="G106">
        <v>50076412800</v>
      </c>
      <c r="H106">
        <v>1710259960</v>
      </c>
    </row>
    <row r="107" spans="1:8" x14ac:dyDescent="0.25">
      <c r="A107" s="2">
        <v>43747</v>
      </c>
      <c r="B107">
        <v>29.620000839233398</v>
      </c>
      <c r="C107">
        <v>29.620000839233398</v>
      </c>
      <c r="D107">
        <v>28.809999465942379</v>
      </c>
      <c r="E107">
        <v>29.069999694824219</v>
      </c>
      <c r="F107">
        <v>7112900</v>
      </c>
      <c r="G107">
        <v>49717258200</v>
      </c>
      <c r="H107">
        <v>1710260018</v>
      </c>
    </row>
    <row r="108" spans="1:8" x14ac:dyDescent="0.25">
      <c r="A108" s="2">
        <v>43748</v>
      </c>
      <c r="B108">
        <v>29.20999908447266</v>
      </c>
      <c r="C108">
        <v>29.280000686645511</v>
      </c>
      <c r="D108">
        <v>28.579999923706051</v>
      </c>
      <c r="E108">
        <v>28.870000839233398</v>
      </c>
      <c r="F108">
        <v>7716300</v>
      </c>
      <c r="G108">
        <v>49375206200</v>
      </c>
      <c r="H108">
        <v>1710259950</v>
      </c>
    </row>
    <row r="109" spans="1:8" x14ac:dyDescent="0.25">
      <c r="A109" s="2">
        <v>43749</v>
      </c>
      <c r="B109">
        <v>28.95000076293945</v>
      </c>
      <c r="C109">
        <v>30.39999961853027</v>
      </c>
      <c r="D109">
        <v>28.940000534057621</v>
      </c>
      <c r="E109">
        <v>30.129999160766602</v>
      </c>
      <c r="F109">
        <v>10216900</v>
      </c>
      <c r="G109">
        <v>51530133800</v>
      </c>
      <c r="H109">
        <v>1710260048</v>
      </c>
    </row>
    <row r="110" spans="1:8" x14ac:dyDescent="0.25">
      <c r="A110" s="2">
        <v>43752</v>
      </c>
      <c r="B110">
        <v>30.219999313354489</v>
      </c>
      <c r="C110">
        <v>31.54000091552734</v>
      </c>
      <c r="D110">
        <v>29.819000244140621</v>
      </c>
      <c r="E110">
        <v>31.120000839233398</v>
      </c>
      <c r="F110">
        <v>7945400</v>
      </c>
      <c r="G110">
        <v>53223291200</v>
      </c>
      <c r="H110">
        <v>1710259954</v>
      </c>
    </row>
    <row r="111" spans="1:8" x14ac:dyDescent="0.25">
      <c r="A111" s="2">
        <v>43753</v>
      </c>
      <c r="B111">
        <v>31.20000076293945</v>
      </c>
      <c r="C111">
        <v>32.169998168945313</v>
      </c>
      <c r="D111">
        <v>31.194999694824219</v>
      </c>
      <c r="E111">
        <v>32</v>
      </c>
      <c r="F111">
        <v>7843800</v>
      </c>
      <c r="G111">
        <v>54728320000</v>
      </c>
      <c r="H111">
        <v>1710260000</v>
      </c>
    </row>
    <row r="112" spans="1:8" x14ac:dyDescent="0.25">
      <c r="A112" s="2">
        <v>43754</v>
      </c>
      <c r="B112">
        <v>31.79999923706055</v>
      </c>
      <c r="C112">
        <v>32.380001068115227</v>
      </c>
      <c r="D112">
        <v>31.4379997253418</v>
      </c>
      <c r="E112">
        <v>31.870000839233398</v>
      </c>
      <c r="F112">
        <v>7781600</v>
      </c>
      <c r="G112">
        <v>54505986200</v>
      </c>
      <c r="H112">
        <v>1710259955</v>
      </c>
    </row>
    <row r="113" spans="1:8" x14ac:dyDescent="0.25">
      <c r="A113" s="2">
        <v>43755</v>
      </c>
      <c r="B113">
        <v>31.79999923706055</v>
      </c>
      <c r="C113">
        <v>32.930000305175781</v>
      </c>
      <c r="D113">
        <v>31.45000076293945</v>
      </c>
      <c r="E113">
        <v>32.619998931884773</v>
      </c>
      <c r="F113">
        <v>7200800</v>
      </c>
      <c r="G113">
        <v>55788681199</v>
      </c>
      <c r="H113">
        <v>1710260056</v>
      </c>
    </row>
    <row r="114" spans="1:8" x14ac:dyDescent="0.25">
      <c r="A114" s="2">
        <v>43756</v>
      </c>
      <c r="B114">
        <v>32.549999237060547</v>
      </c>
      <c r="C114">
        <v>32.659999847412109</v>
      </c>
      <c r="D114">
        <v>31.270000457763668</v>
      </c>
      <c r="E114">
        <v>32.060001373291023</v>
      </c>
      <c r="F114">
        <v>7844500</v>
      </c>
      <c r="G114">
        <v>54830935600</v>
      </c>
      <c r="H114">
        <v>1710259927</v>
      </c>
    </row>
    <row r="115" spans="1:8" x14ac:dyDescent="0.25">
      <c r="A115" s="2">
        <v>43759</v>
      </c>
      <c r="B115">
        <v>31.95000076293945</v>
      </c>
      <c r="C115">
        <v>32.283000946044922</v>
      </c>
      <c r="D115">
        <v>31.184999465942379</v>
      </c>
      <c r="E115">
        <v>31.409999847412109</v>
      </c>
      <c r="F115">
        <v>7203400</v>
      </c>
      <c r="G115">
        <v>53719266600</v>
      </c>
      <c r="H115">
        <v>1710260008</v>
      </c>
    </row>
    <row r="116" spans="1:8" x14ac:dyDescent="0.25">
      <c r="A116" s="2">
        <v>43760</v>
      </c>
      <c r="B116">
        <v>31.409999847412109</v>
      </c>
      <c r="C116">
        <v>33.889999389648438</v>
      </c>
      <c r="D116">
        <v>30.219999313354489</v>
      </c>
      <c r="E116">
        <v>32.529998779296882</v>
      </c>
      <c r="F116">
        <v>19214800</v>
      </c>
      <c r="G116">
        <v>55634757800</v>
      </c>
      <c r="H116">
        <v>1710260064</v>
      </c>
    </row>
    <row r="117" spans="1:8" x14ac:dyDescent="0.25">
      <c r="A117" s="2">
        <v>43761</v>
      </c>
      <c r="B117">
        <v>32.869998931884773</v>
      </c>
      <c r="C117">
        <v>33.270000457763672</v>
      </c>
      <c r="D117">
        <v>32.169998168945313</v>
      </c>
      <c r="E117">
        <v>33.049999237060547</v>
      </c>
      <c r="F117">
        <v>6709800</v>
      </c>
      <c r="G117">
        <v>56524092999</v>
      </c>
      <c r="H117">
        <v>1710260039</v>
      </c>
    </row>
    <row r="118" spans="1:8" x14ac:dyDescent="0.25">
      <c r="A118" s="2">
        <v>43762</v>
      </c>
      <c r="B118">
        <v>33</v>
      </c>
      <c r="C118">
        <v>33.419998168945313</v>
      </c>
      <c r="D118">
        <v>32.509998321533203</v>
      </c>
      <c r="E118">
        <v>33.279998779296882</v>
      </c>
      <c r="F118">
        <v>6729300</v>
      </c>
      <c r="G118">
        <v>56917452800</v>
      </c>
      <c r="H118">
        <v>1710260063</v>
      </c>
    </row>
    <row r="119" spans="1:8" x14ac:dyDescent="0.25">
      <c r="A119" s="2">
        <v>43763</v>
      </c>
      <c r="B119">
        <v>33.200000762939453</v>
      </c>
      <c r="C119">
        <v>33.479999542236328</v>
      </c>
      <c r="D119">
        <v>32.610000610351563</v>
      </c>
      <c r="E119">
        <v>32.709999084472663</v>
      </c>
      <c r="F119">
        <v>8077300</v>
      </c>
      <c r="G119">
        <v>55942604600</v>
      </c>
      <c r="H119">
        <v>1710260048</v>
      </c>
    </row>
    <row r="120" spans="1:8" x14ac:dyDescent="0.25">
      <c r="A120" s="2">
        <v>43766</v>
      </c>
      <c r="B120">
        <v>32.900001525878913</v>
      </c>
      <c r="C120">
        <v>33.354999542236328</v>
      </c>
      <c r="D120">
        <v>32.5</v>
      </c>
      <c r="E120">
        <v>33.220001220703118</v>
      </c>
      <c r="F120">
        <v>7532800</v>
      </c>
      <c r="G120">
        <v>56814837200</v>
      </c>
      <c r="H120">
        <v>1710259937</v>
      </c>
    </row>
    <row r="121" spans="1:8" x14ac:dyDescent="0.25">
      <c r="A121" s="2">
        <v>43767</v>
      </c>
      <c r="B121">
        <v>32.369998931884773</v>
      </c>
      <c r="C121">
        <v>32.919998168945313</v>
      </c>
      <c r="D121">
        <v>31.815000534057621</v>
      </c>
      <c r="E121">
        <v>32.419998168945313</v>
      </c>
      <c r="F121">
        <v>9319200</v>
      </c>
      <c r="G121">
        <v>55446629200</v>
      </c>
      <c r="H121">
        <v>1710260097</v>
      </c>
    </row>
    <row r="122" spans="1:8" x14ac:dyDescent="0.25">
      <c r="A122" s="2">
        <v>43768</v>
      </c>
      <c r="B122">
        <v>32.509998321533203</v>
      </c>
      <c r="C122">
        <v>33.799999237060547</v>
      </c>
      <c r="D122">
        <v>32.110000610351563</v>
      </c>
      <c r="E122">
        <v>33.75</v>
      </c>
      <c r="F122">
        <v>10732700</v>
      </c>
      <c r="G122">
        <v>57721275000</v>
      </c>
      <c r="H122">
        <v>1710260000</v>
      </c>
    </row>
    <row r="123" spans="1:8" x14ac:dyDescent="0.25">
      <c r="A123" s="2">
        <v>43769</v>
      </c>
      <c r="B123">
        <v>33.229999542236328</v>
      </c>
      <c r="C123">
        <v>33.360000610351563</v>
      </c>
      <c r="D123">
        <v>31.260000228881839</v>
      </c>
      <c r="E123">
        <v>31.5</v>
      </c>
      <c r="F123">
        <v>15912400</v>
      </c>
      <c r="G123">
        <v>53873190000</v>
      </c>
      <c r="H123">
        <v>1710260000</v>
      </c>
    </row>
    <row r="124" spans="1:8" x14ac:dyDescent="0.25">
      <c r="A124" s="2">
        <v>43770</v>
      </c>
      <c r="B124">
        <v>31.45000076293945</v>
      </c>
      <c r="C124">
        <v>31.70000076293945</v>
      </c>
      <c r="D124">
        <v>30.740999221801761</v>
      </c>
      <c r="E124">
        <v>31.370000839233398</v>
      </c>
      <c r="F124">
        <v>10434300</v>
      </c>
      <c r="G124">
        <v>53650856200</v>
      </c>
      <c r="H124">
        <v>1710259954</v>
      </c>
    </row>
    <row r="125" spans="1:8" x14ac:dyDescent="0.25">
      <c r="A125" s="2">
        <v>43773</v>
      </c>
      <c r="B125">
        <v>31.45000076293945</v>
      </c>
      <c r="C125">
        <v>31.75</v>
      </c>
      <c r="D125">
        <v>30.120000839233398</v>
      </c>
      <c r="E125">
        <v>31.079999923706051</v>
      </c>
      <c r="F125">
        <v>28787400</v>
      </c>
      <c r="G125">
        <v>53154880800</v>
      </c>
      <c r="H125">
        <v>1710260004</v>
      </c>
    </row>
    <row r="126" spans="1:8" x14ac:dyDescent="0.25">
      <c r="A126" s="2">
        <v>43774</v>
      </c>
      <c r="B126">
        <v>29.129999160766602</v>
      </c>
      <c r="C126">
        <v>29.29999923706055</v>
      </c>
      <c r="D126">
        <v>27.969999313354489</v>
      </c>
      <c r="E126">
        <v>28.020000457763668</v>
      </c>
      <c r="F126">
        <v>51963500</v>
      </c>
      <c r="G126">
        <v>47921485200</v>
      </c>
      <c r="H126">
        <v>1710259972</v>
      </c>
    </row>
    <row r="127" spans="1:8" x14ac:dyDescent="0.25">
      <c r="A127" s="2">
        <v>43775</v>
      </c>
      <c r="B127">
        <v>26.059999465942379</v>
      </c>
      <c r="C127">
        <v>27.54999923706055</v>
      </c>
      <c r="D127">
        <v>25.579999923706051</v>
      </c>
      <c r="E127">
        <v>26.940000534057621</v>
      </c>
      <c r="F127">
        <v>130965700</v>
      </c>
      <c r="G127">
        <v>46074404400</v>
      </c>
      <c r="H127">
        <v>1710259966</v>
      </c>
    </row>
    <row r="128" spans="1:8" x14ac:dyDescent="0.25">
      <c r="A128" s="2">
        <v>43776</v>
      </c>
      <c r="B128">
        <v>26.79999923706055</v>
      </c>
      <c r="C128">
        <v>27.420000076293949</v>
      </c>
      <c r="D128">
        <v>26.45000076293945</v>
      </c>
      <c r="E128">
        <v>27.379999160766602</v>
      </c>
      <c r="F128">
        <v>65861400</v>
      </c>
      <c r="G128">
        <v>46826918800</v>
      </c>
      <c r="H128">
        <v>1710260052</v>
      </c>
    </row>
    <row r="129" spans="1:8" x14ac:dyDescent="0.25">
      <c r="A129" s="2">
        <v>43777</v>
      </c>
      <c r="B129">
        <v>27.479999542236332</v>
      </c>
      <c r="C129">
        <v>27.620000839233398</v>
      </c>
      <c r="D129">
        <v>26.91500091552734</v>
      </c>
      <c r="E129">
        <v>27.010000228881839</v>
      </c>
      <c r="F129">
        <v>44923600</v>
      </c>
      <c r="G129">
        <v>46194122600</v>
      </c>
      <c r="H129">
        <v>1710259986</v>
      </c>
    </row>
    <row r="130" spans="1:8" x14ac:dyDescent="0.25">
      <c r="A130" s="2">
        <v>43780</v>
      </c>
      <c r="B130">
        <v>27.030000686645511</v>
      </c>
      <c r="C130">
        <v>27.20999908447266</v>
      </c>
      <c r="D130">
        <v>26.229999542236332</v>
      </c>
      <c r="E130">
        <v>27.139999389648441</v>
      </c>
      <c r="F130">
        <v>41138100</v>
      </c>
      <c r="G130">
        <v>46416456400</v>
      </c>
      <c r="H130">
        <v>1710260038</v>
      </c>
    </row>
    <row r="131" spans="1:8" x14ac:dyDescent="0.25">
      <c r="A131" s="2">
        <v>43781</v>
      </c>
      <c r="B131">
        <v>27.379999160766602</v>
      </c>
      <c r="C131">
        <v>27.659999847412109</v>
      </c>
      <c r="D131">
        <v>26.659999847412109</v>
      </c>
      <c r="E131">
        <v>26.70000076293945</v>
      </c>
      <c r="F131">
        <v>37095400</v>
      </c>
      <c r="G131">
        <v>45663942000</v>
      </c>
      <c r="H131">
        <v>1710259951</v>
      </c>
    </row>
    <row r="132" spans="1:8" x14ac:dyDescent="0.25">
      <c r="A132" s="2">
        <v>43782</v>
      </c>
      <c r="B132">
        <v>26.469999313354489</v>
      </c>
      <c r="C132">
        <v>26.819999694824219</v>
      </c>
      <c r="D132">
        <v>26.139999389648441</v>
      </c>
      <c r="E132">
        <v>26.70999908447266</v>
      </c>
      <c r="F132">
        <v>32678300</v>
      </c>
      <c r="G132">
        <v>45681044600</v>
      </c>
      <c r="H132">
        <v>1710260059</v>
      </c>
    </row>
    <row r="133" spans="1:8" x14ac:dyDescent="0.25">
      <c r="A133" s="2">
        <v>43783</v>
      </c>
      <c r="B133">
        <v>26.79999923706055</v>
      </c>
      <c r="C133">
        <v>26.860000610351559</v>
      </c>
      <c r="D133">
        <v>25.66500091552734</v>
      </c>
      <c r="E133">
        <v>25.989999771118161</v>
      </c>
      <c r="F133">
        <v>27893900</v>
      </c>
      <c r="G133">
        <v>44449657400</v>
      </c>
      <c r="H133">
        <v>1710260015</v>
      </c>
    </row>
    <row r="134" spans="1:8" x14ac:dyDescent="0.25">
      <c r="A134" s="2">
        <v>43784</v>
      </c>
      <c r="B134">
        <v>26.180000305175781</v>
      </c>
      <c r="C134">
        <v>26.79999923706055</v>
      </c>
      <c r="D134">
        <v>25.954999923706051</v>
      </c>
      <c r="E134">
        <v>26.79000091552734</v>
      </c>
      <c r="F134">
        <v>41236200</v>
      </c>
      <c r="G134">
        <v>45817865400</v>
      </c>
      <c r="H134">
        <v>1710259942</v>
      </c>
    </row>
    <row r="135" spans="1:8" x14ac:dyDescent="0.25">
      <c r="A135" s="2">
        <v>43787</v>
      </c>
      <c r="B135">
        <v>26.79999923706055</v>
      </c>
      <c r="C135">
        <v>27</v>
      </c>
      <c r="D135">
        <v>26.29999923706055</v>
      </c>
      <c r="E135">
        <v>26.75</v>
      </c>
      <c r="F135">
        <v>35916100</v>
      </c>
      <c r="G135">
        <v>45749455000</v>
      </c>
      <c r="H135">
        <v>1710260000</v>
      </c>
    </row>
    <row r="136" spans="1:8" x14ac:dyDescent="0.25">
      <c r="A136" s="2">
        <v>43788</v>
      </c>
      <c r="B136">
        <v>26.770000457763668</v>
      </c>
      <c r="C136">
        <v>27.219999313354489</v>
      </c>
      <c r="D136">
        <v>26.610000610351559</v>
      </c>
      <c r="E136">
        <v>27.04999923706055</v>
      </c>
      <c r="F136">
        <v>31793500</v>
      </c>
      <c r="G136">
        <v>46262533000</v>
      </c>
      <c r="H136">
        <v>1710260048</v>
      </c>
    </row>
    <row r="137" spans="1:8" x14ac:dyDescent="0.25">
      <c r="A137" s="2">
        <v>43789</v>
      </c>
      <c r="B137">
        <v>27.059999465942379</v>
      </c>
      <c r="C137">
        <v>28.39999961853027</v>
      </c>
      <c r="D137">
        <v>26.944999694824219</v>
      </c>
      <c r="E137">
        <v>28.030000686645511</v>
      </c>
      <c r="F137">
        <v>52746600</v>
      </c>
      <c r="G137">
        <v>47938587800</v>
      </c>
      <c r="H137">
        <v>1710259958</v>
      </c>
    </row>
    <row r="138" spans="1:8" x14ac:dyDescent="0.25">
      <c r="A138" s="2">
        <v>43790</v>
      </c>
      <c r="B138">
        <v>28.670000076293949</v>
      </c>
      <c r="C138">
        <v>29.60000038146973</v>
      </c>
      <c r="D138">
        <v>28.5</v>
      </c>
      <c r="E138">
        <v>29.45999908447266</v>
      </c>
      <c r="F138">
        <v>54551400</v>
      </c>
      <c r="G138">
        <v>50384259600</v>
      </c>
      <c r="H138">
        <v>1710260053</v>
      </c>
    </row>
    <row r="139" spans="1:8" x14ac:dyDescent="0.25">
      <c r="A139" s="2">
        <v>43791</v>
      </c>
      <c r="B139">
        <v>29.840000152587891</v>
      </c>
      <c r="C139">
        <v>30.129999160766602</v>
      </c>
      <c r="D139">
        <v>29.20999908447266</v>
      </c>
      <c r="E139">
        <v>29.559999465942379</v>
      </c>
      <c r="F139">
        <v>42302900</v>
      </c>
      <c r="G139">
        <v>50555285600</v>
      </c>
      <c r="H139">
        <v>1710260031</v>
      </c>
    </row>
    <row r="140" spans="1:8" x14ac:dyDescent="0.25">
      <c r="A140" s="2">
        <v>43794</v>
      </c>
      <c r="B140">
        <v>28.690000534057621</v>
      </c>
      <c r="C140">
        <v>29.60000038146973</v>
      </c>
      <c r="D140">
        <v>28.379999160766602</v>
      </c>
      <c r="E140">
        <v>29.110000610351559</v>
      </c>
      <c r="F140">
        <v>36967500</v>
      </c>
      <c r="G140">
        <v>49785668600</v>
      </c>
      <c r="H140">
        <v>1710259964</v>
      </c>
    </row>
    <row r="141" spans="1:8" x14ac:dyDescent="0.25">
      <c r="A141" s="2">
        <v>43795</v>
      </c>
      <c r="B141">
        <v>29.489999771118161</v>
      </c>
      <c r="C141">
        <v>30.14999961853027</v>
      </c>
      <c r="D141">
        <v>29.360000610351559</v>
      </c>
      <c r="E141">
        <v>29.530000686645511</v>
      </c>
      <c r="F141">
        <v>28746600</v>
      </c>
      <c r="G141">
        <v>50503977800</v>
      </c>
      <c r="H141">
        <v>1710259960</v>
      </c>
    </row>
    <row r="142" spans="1:8" x14ac:dyDescent="0.25">
      <c r="A142" s="2">
        <v>43796</v>
      </c>
      <c r="B142">
        <v>29.420000076293949</v>
      </c>
      <c r="C142">
        <v>29.590000152587891</v>
      </c>
      <c r="D142">
        <v>28.879999160766602</v>
      </c>
      <c r="E142">
        <v>29.489999771118161</v>
      </c>
      <c r="F142">
        <v>22421400</v>
      </c>
      <c r="G142">
        <v>50435567400</v>
      </c>
      <c r="H142">
        <v>1710260013</v>
      </c>
    </row>
    <row r="143" spans="1:8" x14ac:dyDescent="0.25">
      <c r="A143" s="2">
        <v>43798</v>
      </c>
      <c r="B143">
        <v>29.409999847412109</v>
      </c>
      <c r="C143">
        <v>29.85000038146973</v>
      </c>
      <c r="D143">
        <v>29.25</v>
      </c>
      <c r="E143">
        <v>29.60000038146973</v>
      </c>
      <c r="F143">
        <v>8115100</v>
      </c>
      <c r="G143">
        <v>50623696000</v>
      </c>
      <c r="H143">
        <v>1710259978</v>
      </c>
    </row>
    <row r="144" spans="1:8" x14ac:dyDescent="0.25">
      <c r="A144" s="2">
        <v>43801</v>
      </c>
      <c r="B144">
        <v>29.319999694824219</v>
      </c>
      <c r="C144">
        <v>29.52499961853027</v>
      </c>
      <c r="D144">
        <v>28.70000076293945</v>
      </c>
      <c r="E144">
        <v>28.979999542236332</v>
      </c>
      <c r="F144">
        <v>16927100</v>
      </c>
      <c r="G144">
        <v>49563334800</v>
      </c>
      <c r="H144">
        <v>1710260027</v>
      </c>
    </row>
    <row r="145" spans="1:8" x14ac:dyDescent="0.25">
      <c r="A145" s="2">
        <v>43802</v>
      </c>
      <c r="B145">
        <v>28.20000076293945</v>
      </c>
      <c r="C145">
        <v>29.329999923706051</v>
      </c>
      <c r="D145">
        <v>28.14999961853027</v>
      </c>
      <c r="E145">
        <v>29.020000457763668</v>
      </c>
      <c r="F145">
        <v>25252400</v>
      </c>
      <c r="G145">
        <v>49631745200</v>
      </c>
      <c r="H145">
        <v>1710259973</v>
      </c>
    </row>
    <row r="146" spans="1:8" x14ac:dyDescent="0.25">
      <c r="A146" s="2">
        <v>43803</v>
      </c>
      <c r="B146">
        <v>29.10000038146973</v>
      </c>
      <c r="C146">
        <v>29.20000076293945</v>
      </c>
      <c r="D146">
        <v>28.70000076293945</v>
      </c>
      <c r="E146">
        <v>29.059999465942379</v>
      </c>
      <c r="F146">
        <v>22517600</v>
      </c>
      <c r="G146">
        <v>49700155600</v>
      </c>
      <c r="H146">
        <v>1710260031</v>
      </c>
    </row>
    <row r="147" spans="1:8" x14ac:dyDescent="0.25">
      <c r="A147" s="2">
        <v>43804</v>
      </c>
      <c r="B147">
        <v>28.940000534057621</v>
      </c>
      <c r="C147">
        <v>28.989999771118161</v>
      </c>
      <c r="D147">
        <v>28.180000305175781</v>
      </c>
      <c r="E147">
        <v>28.64999961853027</v>
      </c>
      <c r="F147">
        <v>22504300</v>
      </c>
      <c r="G147">
        <v>48998949000</v>
      </c>
      <c r="H147">
        <v>1710260023</v>
      </c>
    </row>
    <row r="148" spans="1:8" x14ac:dyDescent="0.25">
      <c r="A148" s="2">
        <v>43805</v>
      </c>
      <c r="B148">
        <v>28.39999961853027</v>
      </c>
      <c r="C148">
        <v>28.92499923706055</v>
      </c>
      <c r="D148">
        <v>27.79999923706055</v>
      </c>
      <c r="E148">
        <v>27.860000610351559</v>
      </c>
      <c r="F148">
        <v>32816100</v>
      </c>
      <c r="G148">
        <v>47647843600</v>
      </c>
      <c r="H148">
        <v>1710259963</v>
      </c>
    </row>
    <row r="149" spans="1:8" x14ac:dyDescent="0.25">
      <c r="A149" s="2">
        <v>43808</v>
      </c>
      <c r="B149">
        <v>27.95999908447266</v>
      </c>
      <c r="C149">
        <v>28.360000610351559</v>
      </c>
      <c r="D149">
        <v>27.680000305175781</v>
      </c>
      <c r="E149">
        <v>27.680000305175781</v>
      </c>
      <c r="F149">
        <v>20977300</v>
      </c>
      <c r="G149">
        <v>47339996800</v>
      </c>
      <c r="H149">
        <v>1710259981</v>
      </c>
    </row>
    <row r="150" spans="1:8" x14ac:dyDescent="0.25">
      <c r="A150" s="2">
        <v>43809</v>
      </c>
      <c r="B150">
        <v>27.729999542236332</v>
      </c>
      <c r="C150">
        <v>27.993000030517582</v>
      </c>
      <c r="D150">
        <v>27.604999542236332</v>
      </c>
      <c r="E150">
        <v>27.889999389648441</v>
      </c>
      <c r="F150">
        <v>23602700</v>
      </c>
      <c r="G150">
        <v>47699151400</v>
      </c>
      <c r="H150">
        <v>1710260037</v>
      </c>
    </row>
    <row r="151" spans="1:8" x14ac:dyDescent="0.25">
      <c r="A151" s="2">
        <v>43810</v>
      </c>
      <c r="B151">
        <v>27.989999771118161</v>
      </c>
      <c r="C151">
        <v>28.545000076293949</v>
      </c>
      <c r="D151">
        <v>27.85000038146973</v>
      </c>
      <c r="E151">
        <v>28.420000076293949</v>
      </c>
      <c r="F151">
        <v>23281700</v>
      </c>
      <c r="G151">
        <v>48605589200</v>
      </c>
      <c r="H151">
        <v>1710259995</v>
      </c>
    </row>
    <row r="152" spans="1:8" x14ac:dyDescent="0.25">
      <c r="A152" s="2">
        <v>43811</v>
      </c>
      <c r="B152">
        <v>28.29000091552734</v>
      </c>
      <c r="C152">
        <v>28.75</v>
      </c>
      <c r="D152">
        <v>28.190000534057621</v>
      </c>
      <c r="E152">
        <v>28.690000534057621</v>
      </c>
      <c r="F152">
        <v>23569900</v>
      </c>
      <c r="G152">
        <v>49067359400</v>
      </c>
      <c r="H152">
        <v>1710259968</v>
      </c>
    </row>
    <row r="153" spans="1:8" x14ac:dyDescent="0.25">
      <c r="A153" s="2">
        <v>43812</v>
      </c>
      <c r="B153">
        <v>28.579999923706051</v>
      </c>
      <c r="C153">
        <v>28.840000152587891</v>
      </c>
      <c r="D153">
        <v>28.270000457763668</v>
      </c>
      <c r="E153">
        <v>28.489999771118161</v>
      </c>
      <c r="F153">
        <v>25431600</v>
      </c>
      <c r="G153">
        <v>48725307400</v>
      </c>
      <c r="H153">
        <v>1710260014</v>
      </c>
    </row>
    <row r="154" spans="1:8" x14ac:dyDescent="0.25">
      <c r="A154" s="2">
        <v>43815</v>
      </c>
      <c r="B154">
        <v>29.110000610351559</v>
      </c>
      <c r="C154">
        <v>30.129999160766602</v>
      </c>
      <c r="D154">
        <v>29.10000038146973</v>
      </c>
      <c r="E154">
        <v>30.04999923706055</v>
      </c>
      <c r="F154">
        <v>57382500</v>
      </c>
      <c r="G154">
        <v>51393313000</v>
      </c>
      <c r="H154">
        <v>1710260043</v>
      </c>
    </row>
    <row r="155" spans="1:8" x14ac:dyDescent="0.25">
      <c r="A155" s="2">
        <v>43816</v>
      </c>
      <c r="B155">
        <v>30.370000839233398</v>
      </c>
      <c r="C155">
        <v>30.420000076293949</v>
      </c>
      <c r="D155">
        <v>29.530000686645511</v>
      </c>
      <c r="E155">
        <v>29.75</v>
      </c>
      <c r="F155">
        <v>38250700</v>
      </c>
      <c r="G155">
        <v>50880235000</v>
      </c>
      <c r="H155">
        <v>1710260000</v>
      </c>
    </row>
    <row r="156" spans="1:8" x14ac:dyDescent="0.25">
      <c r="A156" s="2">
        <v>43817</v>
      </c>
      <c r="B156">
        <v>29.620000839233398</v>
      </c>
      <c r="C156">
        <v>30.139999389648441</v>
      </c>
      <c r="D156">
        <v>29.340000152587891</v>
      </c>
      <c r="E156">
        <v>30.129999160766602</v>
      </c>
      <c r="F156">
        <v>35375100</v>
      </c>
      <c r="G156">
        <v>51530133800</v>
      </c>
      <c r="H156">
        <v>1710260048</v>
      </c>
    </row>
    <row r="157" spans="1:8" x14ac:dyDescent="0.25">
      <c r="A157" s="2">
        <v>43818</v>
      </c>
      <c r="B157">
        <v>29.840000152587891</v>
      </c>
      <c r="C157">
        <v>30.170000076293949</v>
      </c>
      <c r="D157">
        <v>29.530000686645511</v>
      </c>
      <c r="E157">
        <v>29.989999771118161</v>
      </c>
      <c r="F157">
        <v>33799700</v>
      </c>
      <c r="G157">
        <v>51290697400</v>
      </c>
      <c r="H157">
        <v>1710260013</v>
      </c>
    </row>
    <row r="158" spans="1:8" x14ac:dyDescent="0.25">
      <c r="A158" s="2">
        <v>43819</v>
      </c>
      <c r="B158">
        <v>30.10000038146973</v>
      </c>
      <c r="C158">
        <v>31.030000686645511</v>
      </c>
      <c r="D158">
        <v>29.85000038146973</v>
      </c>
      <c r="E158">
        <v>30.45000076293945</v>
      </c>
      <c r="F158">
        <v>95455100</v>
      </c>
      <c r="G158">
        <v>52077417000</v>
      </c>
      <c r="H158">
        <v>1710259957</v>
      </c>
    </row>
    <row r="159" spans="1:8" x14ac:dyDescent="0.25">
      <c r="A159" s="2">
        <v>43822</v>
      </c>
      <c r="B159">
        <v>30.489999771118161</v>
      </c>
      <c r="C159">
        <v>30.940000534057621</v>
      </c>
      <c r="D159">
        <v>29.829999923706051</v>
      </c>
      <c r="E159">
        <v>30.329999923706051</v>
      </c>
      <c r="F159">
        <v>31209100</v>
      </c>
      <c r="G159">
        <v>51872185800</v>
      </c>
      <c r="H159">
        <v>1710260004</v>
      </c>
    </row>
    <row r="160" spans="1:8" x14ac:dyDescent="0.25">
      <c r="A160" s="2">
        <v>43823</v>
      </c>
      <c r="B160">
        <v>30.329999923706051</v>
      </c>
      <c r="C160">
        <v>30.840000152587891</v>
      </c>
      <c r="D160">
        <v>30.110000610351559</v>
      </c>
      <c r="E160">
        <v>30.440000534057621</v>
      </c>
      <c r="F160">
        <v>12938600</v>
      </c>
      <c r="G160">
        <v>52060314400</v>
      </c>
      <c r="H160">
        <v>1710259970</v>
      </c>
    </row>
    <row r="161" spans="1:8" x14ac:dyDescent="0.25">
      <c r="A161" s="2">
        <v>43825</v>
      </c>
      <c r="B161">
        <v>30.469999313354489</v>
      </c>
      <c r="C161">
        <v>30.79000091552734</v>
      </c>
      <c r="D161">
        <v>30.030000686645511</v>
      </c>
      <c r="E161">
        <v>30.670000076293949</v>
      </c>
      <c r="F161">
        <v>22200800</v>
      </c>
      <c r="G161">
        <v>52453674200</v>
      </c>
      <c r="H161">
        <v>1710259996</v>
      </c>
    </row>
    <row r="162" spans="1:8" x14ac:dyDescent="0.25">
      <c r="A162" s="2">
        <v>43826</v>
      </c>
      <c r="B162">
        <v>30.79999923706055</v>
      </c>
      <c r="C162">
        <v>31.059999465942379</v>
      </c>
      <c r="D162">
        <v>30.170000076293949</v>
      </c>
      <c r="E162">
        <v>30.170000076293949</v>
      </c>
      <c r="F162">
        <v>18462200</v>
      </c>
      <c r="G162">
        <v>51598544200</v>
      </c>
      <c r="H162">
        <v>1710259996</v>
      </c>
    </row>
    <row r="163" spans="1:8" x14ac:dyDescent="0.25">
      <c r="A163" s="2">
        <v>43829</v>
      </c>
      <c r="B163">
        <v>30.129999160766602</v>
      </c>
      <c r="C163">
        <v>30.20000076293945</v>
      </c>
      <c r="D163">
        <v>29.35000038146973</v>
      </c>
      <c r="E163">
        <v>29.739999771118161</v>
      </c>
      <c r="F163">
        <v>18805900</v>
      </c>
      <c r="G163">
        <v>50863132400</v>
      </c>
      <c r="H163">
        <v>1710260013</v>
      </c>
    </row>
    <row r="164" spans="1:8" x14ac:dyDescent="0.25">
      <c r="A164" s="2">
        <v>43830</v>
      </c>
      <c r="B164">
        <v>29.110000610351559</v>
      </c>
      <c r="C164">
        <v>29.95000076293945</v>
      </c>
      <c r="D164">
        <v>28.89999961853027</v>
      </c>
      <c r="E164">
        <v>29.739999771118161</v>
      </c>
      <c r="F164">
        <v>16228400</v>
      </c>
      <c r="G164">
        <v>51282674580</v>
      </c>
      <c r="H164">
        <v>1724367013</v>
      </c>
    </row>
    <row r="165" spans="1:8" x14ac:dyDescent="0.25">
      <c r="A165" s="2">
        <v>43832</v>
      </c>
      <c r="B165">
        <v>29.940000534057621</v>
      </c>
      <c r="C165">
        <v>31</v>
      </c>
      <c r="D165">
        <v>29.79000091552734</v>
      </c>
      <c r="E165">
        <v>30.989999771118161</v>
      </c>
      <c r="F165">
        <v>20578900</v>
      </c>
      <c r="G165">
        <v>53438133330</v>
      </c>
      <c r="H165">
        <v>1724367013</v>
      </c>
    </row>
    <row r="166" spans="1:8" x14ac:dyDescent="0.25">
      <c r="A166" s="2">
        <v>43833</v>
      </c>
      <c r="B166">
        <v>30.620000839233398</v>
      </c>
      <c r="C166">
        <v>31.430000305175781</v>
      </c>
      <c r="D166">
        <v>30.479999542236332</v>
      </c>
      <c r="E166">
        <v>31.370000839233398</v>
      </c>
      <c r="F166">
        <v>18822700</v>
      </c>
      <c r="G166">
        <v>54093392790</v>
      </c>
      <c r="H166">
        <v>1724366954</v>
      </c>
    </row>
    <row r="167" spans="1:8" x14ac:dyDescent="0.25">
      <c r="A167" s="2">
        <v>43836</v>
      </c>
      <c r="B167">
        <v>31.010000228881839</v>
      </c>
      <c r="C167">
        <v>32.060001373291023</v>
      </c>
      <c r="D167">
        <v>31</v>
      </c>
      <c r="E167">
        <v>31.579999923706051</v>
      </c>
      <c r="F167">
        <v>21204700</v>
      </c>
      <c r="G167">
        <v>54455509860</v>
      </c>
      <c r="H167">
        <v>1724367004</v>
      </c>
    </row>
    <row r="168" spans="1:8" x14ac:dyDescent="0.25">
      <c r="A168" s="2">
        <v>43837</v>
      </c>
      <c r="B168">
        <v>31.79000091552734</v>
      </c>
      <c r="C168">
        <v>32.840000152587891</v>
      </c>
      <c r="D168">
        <v>31.360000610351559</v>
      </c>
      <c r="E168">
        <v>32.810001373291023</v>
      </c>
      <c r="F168">
        <v>30119600</v>
      </c>
      <c r="G168">
        <v>56576481270</v>
      </c>
      <c r="H168">
        <v>1724366928</v>
      </c>
    </row>
    <row r="169" spans="1:8" x14ac:dyDescent="0.25">
      <c r="A169" s="2">
        <v>43838</v>
      </c>
      <c r="B169">
        <v>32.729999542236328</v>
      </c>
      <c r="C169">
        <v>34.520000457763672</v>
      </c>
      <c r="D169">
        <v>32.459999084472663</v>
      </c>
      <c r="E169">
        <v>33.930000305175781</v>
      </c>
      <c r="F169">
        <v>43944400</v>
      </c>
      <c r="G169">
        <v>58507772310</v>
      </c>
      <c r="H169">
        <v>1724366984</v>
      </c>
    </row>
    <row r="170" spans="1:8" x14ac:dyDescent="0.25">
      <c r="A170" s="2">
        <v>43839</v>
      </c>
      <c r="B170">
        <v>34.450000762939453</v>
      </c>
      <c r="C170">
        <v>34.470001220703118</v>
      </c>
      <c r="D170">
        <v>33.220001220703118</v>
      </c>
      <c r="E170">
        <v>33.970001220703118</v>
      </c>
      <c r="F170">
        <v>29385500</v>
      </c>
      <c r="G170">
        <v>58576746990</v>
      </c>
      <c r="H170">
        <v>1724366938</v>
      </c>
    </row>
    <row r="171" spans="1:8" x14ac:dyDescent="0.25">
      <c r="A171" s="2">
        <v>43840</v>
      </c>
      <c r="B171">
        <v>34.080001831054688</v>
      </c>
      <c r="C171">
        <v>34.990001678466797</v>
      </c>
      <c r="D171">
        <v>33.834999084472663</v>
      </c>
      <c r="E171">
        <v>34.009998321533203</v>
      </c>
      <c r="F171">
        <v>34266400</v>
      </c>
      <c r="G171">
        <v>58645721670</v>
      </c>
      <c r="H171">
        <v>1724367085</v>
      </c>
    </row>
    <row r="172" spans="1:8" x14ac:dyDescent="0.25">
      <c r="A172" s="2">
        <v>43843</v>
      </c>
      <c r="B172">
        <v>34.290000915527337</v>
      </c>
      <c r="C172">
        <v>34.340000152587891</v>
      </c>
      <c r="D172">
        <v>33.549999237060547</v>
      </c>
      <c r="E172">
        <v>34.139999389648438</v>
      </c>
      <c r="F172">
        <v>16915800</v>
      </c>
      <c r="G172">
        <v>58869889380</v>
      </c>
      <c r="H172">
        <v>1724367031</v>
      </c>
    </row>
    <row r="173" spans="1:8" x14ac:dyDescent="0.25">
      <c r="A173" s="2">
        <v>43844</v>
      </c>
      <c r="B173">
        <v>34.200000762939453</v>
      </c>
      <c r="C173">
        <v>35.020000457763672</v>
      </c>
      <c r="D173">
        <v>33.919998168945313</v>
      </c>
      <c r="E173">
        <v>34.840000152587891</v>
      </c>
      <c r="F173">
        <v>26019000</v>
      </c>
      <c r="G173">
        <v>60076946280</v>
      </c>
      <c r="H173">
        <v>1724366992</v>
      </c>
    </row>
    <row r="174" spans="1:8" x14ac:dyDescent="0.25">
      <c r="A174" s="2">
        <v>43845</v>
      </c>
      <c r="B174">
        <v>34.900001525878913</v>
      </c>
      <c r="C174">
        <v>35.148998260498047</v>
      </c>
      <c r="D174">
        <v>34.509998321533203</v>
      </c>
      <c r="E174">
        <v>35.009998321533203</v>
      </c>
      <c r="F174">
        <v>20762200</v>
      </c>
      <c r="G174">
        <v>60370088670</v>
      </c>
      <c r="H174">
        <v>1724367083</v>
      </c>
    </row>
    <row r="175" spans="1:8" x14ac:dyDescent="0.25">
      <c r="A175" s="2">
        <v>43846</v>
      </c>
      <c r="B175">
        <v>35.029998779296882</v>
      </c>
      <c r="C175">
        <v>35.060001373291023</v>
      </c>
      <c r="D175">
        <v>34.180000305175781</v>
      </c>
      <c r="E175">
        <v>34.680000305175781</v>
      </c>
      <c r="F175">
        <v>21947800</v>
      </c>
      <c r="G175">
        <v>59801047560</v>
      </c>
      <c r="H175">
        <v>1724366985</v>
      </c>
    </row>
    <row r="176" spans="1:8" x14ac:dyDescent="0.25">
      <c r="A176" s="2">
        <v>43847</v>
      </c>
      <c r="B176">
        <v>34.970001220703118</v>
      </c>
      <c r="C176">
        <v>35.25</v>
      </c>
      <c r="D176">
        <v>34.650001525878913</v>
      </c>
      <c r="E176">
        <v>35.130001068115227</v>
      </c>
      <c r="F176">
        <v>17251200</v>
      </c>
      <c r="G176">
        <v>60577012710</v>
      </c>
      <c r="H176">
        <v>1724366948</v>
      </c>
    </row>
    <row r="177" spans="1:8" x14ac:dyDescent="0.25">
      <c r="A177" s="2">
        <v>43851</v>
      </c>
      <c r="B177">
        <v>35.5</v>
      </c>
      <c r="C177">
        <v>37.799999237060547</v>
      </c>
      <c r="D177">
        <v>35.409999847412109</v>
      </c>
      <c r="E177">
        <v>37.599998474121087</v>
      </c>
      <c r="F177">
        <v>48746700</v>
      </c>
      <c r="G177">
        <v>64836199200</v>
      </c>
      <c r="H177">
        <v>1724367070</v>
      </c>
    </row>
    <row r="178" spans="1:8" x14ac:dyDescent="0.25">
      <c r="A178" s="2">
        <v>43852</v>
      </c>
      <c r="B178">
        <v>37.939998626708977</v>
      </c>
      <c r="C178">
        <v>37.939998626708977</v>
      </c>
      <c r="D178">
        <v>36.919998168945313</v>
      </c>
      <c r="E178">
        <v>37.040000915527337</v>
      </c>
      <c r="F178">
        <v>29765200</v>
      </c>
      <c r="G178">
        <v>63870553680</v>
      </c>
      <c r="H178">
        <v>1724366957</v>
      </c>
    </row>
    <row r="179" spans="1:8" x14ac:dyDescent="0.25">
      <c r="A179" s="2">
        <v>43853</v>
      </c>
      <c r="B179">
        <v>36.970001220703118</v>
      </c>
      <c r="C179">
        <v>37.950000762939453</v>
      </c>
      <c r="D179">
        <v>36.724998474121087</v>
      </c>
      <c r="E179">
        <v>37.400001525878913</v>
      </c>
      <c r="F179">
        <v>21366000</v>
      </c>
      <c r="G179">
        <v>64491325800</v>
      </c>
      <c r="H179">
        <v>1724366930</v>
      </c>
    </row>
    <row r="180" spans="1:8" x14ac:dyDescent="0.25">
      <c r="A180" s="2">
        <v>43854</v>
      </c>
      <c r="B180">
        <v>37.5</v>
      </c>
      <c r="C180">
        <v>37.665000915527337</v>
      </c>
      <c r="D180">
        <v>36.25</v>
      </c>
      <c r="E180">
        <v>36.799999237060547</v>
      </c>
      <c r="F180">
        <v>21598000</v>
      </c>
      <c r="G180">
        <v>63456705599</v>
      </c>
      <c r="H180">
        <v>1724367036</v>
      </c>
    </row>
    <row r="181" spans="1:8" x14ac:dyDescent="0.25">
      <c r="A181" s="2">
        <v>43857</v>
      </c>
      <c r="B181">
        <v>35.229999542236328</v>
      </c>
      <c r="C181">
        <v>36.650001525878913</v>
      </c>
      <c r="D181">
        <v>34.189998626708977</v>
      </c>
      <c r="E181">
        <v>36.299999237060547</v>
      </c>
      <c r="F181">
        <v>18818000</v>
      </c>
      <c r="G181">
        <v>62594522099</v>
      </c>
      <c r="H181">
        <v>1724367036</v>
      </c>
    </row>
    <row r="182" spans="1:8" x14ac:dyDescent="0.25">
      <c r="A182" s="2">
        <v>43858</v>
      </c>
      <c r="B182">
        <v>37.139999389648438</v>
      </c>
      <c r="C182">
        <v>37.330001831054688</v>
      </c>
      <c r="D182">
        <v>36.040000915527337</v>
      </c>
      <c r="E182">
        <v>37.009998321533203</v>
      </c>
      <c r="F182">
        <v>28974000</v>
      </c>
      <c r="G182">
        <v>63818822670</v>
      </c>
      <c r="H182">
        <v>1724367078</v>
      </c>
    </row>
    <row r="183" spans="1:8" x14ac:dyDescent="0.25">
      <c r="A183" s="2">
        <v>43859</v>
      </c>
      <c r="B183">
        <v>36.979999542236328</v>
      </c>
      <c r="C183">
        <v>37.564998626708977</v>
      </c>
      <c r="D183">
        <v>36.799999237060547</v>
      </c>
      <c r="E183">
        <v>36.990001678466797</v>
      </c>
      <c r="F183">
        <v>16863000</v>
      </c>
      <c r="G183">
        <v>63784335330</v>
      </c>
      <c r="H183">
        <v>1724366922</v>
      </c>
    </row>
    <row r="184" spans="1:8" x14ac:dyDescent="0.25">
      <c r="A184" s="2">
        <v>43860</v>
      </c>
      <c r="B184">
        <v>36.819999694824219</v>
      </c>
      <c r="C184">
        <v>37.131999969482422</v>
      </c>
      <c r="D184">
        <v>35.950000762939453</v>
      </c>
      <c r="E184">
        <v>36.680000305175781</v>
      </c>
      <c r="F184">
        <v>22847000</v>
      </c>
      <c r="G184">
        <v>63249781560</v>
      </c>
      <c r="H184">
        <v>1724366986</v>
      </c>
    </row>
    <row r="185" spans="1:8" x14ac:dyDescent="0.25">
      <c r="A185" s="2">
        <v>43861</v>
      </c>
      <c r="B185">
        <v>37</v>
      </c>
      <c r="C185">
        <v>37.040000915527337</v>
      </c>
      <c r="D185">
        <v>35.689998626708977</v>
      </c>
      <c r="E185">
        <v>36.290000915527337</v>
      </c>
      <c r="F185">
        <v>21553700</v>
      </c>
      <c r="G185">
        <v>62577278430</v>
      </c>
      <c r="H185">
        <v>1724366956</v>
      </c>
    </row>
    <row r="186" spans="1:8" x14ac:dyDescent="0.25">
      <c r="A186" s="2">
        <v>43864</v>
      </c>
      <c r="B186">
        <v>36.75</v>
      </c>
      <c r="C186">
        <v>37.639999389648438</v>
      </c>
      <c r="D186">
        <v>36.529998779296882</v>
      </c>
      <c r="E186">
        <v>37.590000152587891</v>
      </c>
      <c r="F186">
        <v>23494600</v>
      </c>
      <c r="G186">
        <v>64818955530</v>
      </c>
      <c r="H186">
        <v>1724366993</v>
      </c>
    </row>
    <row r="187" spans="1:8" x14ac:dyDescent="0.25">
      <c r="A187" s="2">
        <v>43865</v>
      </c>
      <c r="B187">
        <v>37.869998931884773</v>
      </c>
      <c r="C187">
        <v>38.990001678466797</v>
      </c>
      <c r="D187">
        <v>37.259998321533203</v>
      </c>
      <c r="E187">
        <v>38.529998779296882</v>
      </c>
      <c r="F187">
        <v>32425900</v>
      </c>
      <c r="G187">
        <v>66439860510</v>
      </c>
      <c r="H187">
        <v>1724367055</v>
      </c>
    </row>
    <row r="188" spans="1:8" x14ac:dyDescent="0.25">
      <c r="A188" s="2">
        <v>43866</v>
      </c>
      <c r="B188">
        <v>38.889999389648438</v>
      </c>
      <c r="C188">
        <v>38.970001220703118</v>
      </c>
      <c r="D188">
        <v>36.735000610351563</v>
      </c>
      <c r="E188">
        <v>36.810001373291023</v>
      </c>
      <c r="F188">
        <v>38413300</v>
      </c>
      <c r="G188">
        <v>63473949270</v>
      </c>
      <c r="H188">
        <v>1724366936</v>
      </c>
    </row>
    <row r="189" spans="1:8" x14ac:dyDescent="0.25">
      <c r="A189" s="2">
        <v>43867</v>
      </c>
      <c r="B189">
        <v>37.299999237060547</v>
      </c>
      <c r="C189">
        <v>37.389999389648438</v>
      </c>
      <c r="D189">
        <v>36.729999542236328</v>
      </c>
      <c r="E189">
        <v>37.090000152587891</v>
      </c>
      <c r="F189">
        <v>52699300</v>
      </c>
      <c r="G189">
        <v>63956772030</v>
      </c>
      <c r="H189">
        <v>1724366993</v>
      </c>
    </row>
    <row r="190" spans="1:8" x14ac:dyDescent="0.25">
      <c r="A190" s="2">
        <v>43868</v>
      </c>
      <c r="B190">
        <v>39.979999542236328</v>
      </c>
      <c r="C190">
        <v>41</v>
      </c>
      <c r="D190">
        <v>38.860000610351563</v>
      </c>
      <c r="E190">
        <v>40.630001068115227</v>
      </c>
      <c r="F190">
        <v>112325800</v>
      </c>
      <c r="G190">
        <v>70061031210</v>
      </c>
      <c r="H190">
        <v>1724366955</v>
      </c>
    </row>
    <row r="191" spans="1:8" x14ac:dyDescent="0.25">
      <c r="A191" s="2">
        <v>43871</v>
      </c>
      <c r="B191">
        <v>40.650001525878913</v>
      </c>
      <c r="C191">
        <v>41.340000152587891</v>
      </c>
      <c r="D191">
        <v>39.959999084472663</v>
      </c>
      <c r="E191">
        <v>40.009998321533203</v>
      </c>
      <c r="F191">
        <v>60840800</v>
      </c>
      <c r="G191">
        <v>68991923670</v>
      </c>
      <c r="H191">
        <v>1724367072</v>
      </c>
    </row>
    <row r="192" spans="1:8" x14ac:dyDescent="0.25">
      <c r="A192" s="2">
        <v>43872</v>
      </c>
      <c r="B192">
        <v>40.25</v>
      </c>
      <c r="C192">
        <v>41.465000152587891</v>
      </c>
      <c r="D192">
        <v>40.049999237060547</v>
      </c>
      <c r="E192">
        <v>41.270000457763672</v>
      </c>
      <c r="F192">
        <v>33896000</v>
      </c>
      <c r="G192">
        <v>71164626090</v>
      </c>
      <c r="H192">
        <v>1724366981</v>
      </c>
    </row>
    <row r="193" spans="1:8" x14ac:dyDescent="0.25">
      <c r="A193" s="2">
        <v>43873</v>
      </c>
      <c r="B193">
        <v>41.5</v>
      </c>
      <c r="C193">
        <v>41.860000610351563</v>
      </c>
      <c r="D193">
        <v>41.064998626708977</v>
      </c>
      <c r="E193">
        <v>41.25</v>
      </c>
      <c r="F193">
        <v>26444900</v>
      </c>
      <c r="G193">
        <v>71130138750</v>
      </c>
      <c r="H193">
        <v>1724367000</v>
      </c>
    </row>
    <row r="194" spans="1:8" x14ac:dyDescent="0.25">
      <c r="A194" s="2">
        <v>43874</v>
      </c>
      <c r="B194">
        <v>40.930000305175781</v>
      </c>
      <c r="C194">
        <v>41.549999237060547</v>
      </c>
      <c r="D194">
        <v>40</v>
      </c>
      <c r="E194">
        <v>40.090000152587891</v>
      </c>
      <c r="F194">
        <v>23850900</v>
      </c>
      <c r="G194">
        <v>69129873030</v>
      </c>
      <c r="H194">
        <v>1724366993</v>
      </c>
    </row>
    <row r="195" spans="1:8" x14ac:dyDescent="0.25">
      <c r="A195" s="2">
        <v>43875</v>
      </c>
      <c r="B195">
        <v>40.020000457763672</v>
      </c>
      <c r="C195">
        <v>40.310001373291023</v>
      </c>
      <c r="D195">
        <v>38.700000762939453</v>
      </c>
      <c r="E195">
        <v>39.659999847412109</v>
      </c>
      <c r="F195">
        <v>32014200</v>
      </c>
      <c r="G195">
        <v>68388395219</v>
      </c>
      <c r="H195">
        <v>1724367007</v>
      </c>
    </row>
    <row r="196" spans="1:8" x14ac:dyDescent="0.25">
      <c r="A196" s="2">
        <v>43879</v>
      </c>
      <c r="B196">
        <v>39.490001678466797</v>
      </c>
      <c r="C196">
        <v>40.270000457763672</v>
      </c>
      <c r="D196">
        <v>39.450000762939453</v>
      </c>
      <c r="E196">
        <v>40.180000305175781</v>
      </c>
      <c r="F196">
        <v>22149300</v>
      </c>
      <c r="G196">
        <v>69285066060</v>
      </c>
      <c r="H196">
        <v>1724366987</v>
      </c>
    </row>
    <row r="197" spans="1:8" x14ac:dyDescent="0.25">
      <c r="A197" s="2">
        <v>43880</v>
      </c>
      <c r="B197">
        <v>40.419998168945313</v>
      </c>
      <c r="C197">
        <v>41.229999542236328</v>
      </c>
      <c r="D197">
        <v>40.115001678466797</v>
      </c>
      <c r="E197">
        <v>41.049999237060547</v>
      </c>
      <c r="F197">
        <v>23287300</v>
      </c>
      <c r="G197">
        <v>70785265350</v>
      </c>
      <c r="H197">
        <v>1724367032</v>
      </c>
    </row>
    <row r="198" spans="1:8" x14ac:dyDescent="0.25">
      <c r="A198" s="2">
        <v>43881</v>
      </c>
      <c r="B198">
        <v>41</v>
      </c>
      <c r="C198">
        <v>41.189998626708977</v>
      </c>
      <c r="D198">
        <v>39.849998474121087</v>
      </c>
      <c r="E198">
        <v>40.919998168945313</v>
      </c>
      <c r="F198">
        <v>25446400</v>
      </c>
      <c r="G198">
        <v>70561097640</v>
      </c>
      <c r="H198">
        <v>1724367077</v>
      </c>
    </row>
    <row r="199" spans="1:8" x14ac:dyDescent="0.25">
      <c r="A199" s="2">
        <v>43882</v>
      </c>
      <c r="B199">
        <v>40.889999389648438</v>
      </c>
      <c r="C199">
        <v>40.889999389648438</v>
      </c>
      <c r="D199">
        <v>40.049999237060547</v>
      </c>
      <c r="E199">
        <v>40.720001220703118</v>
      </c>
      <c r="F199">
        <v>20595500</v>
      </c>
      <c r="G199">
        <v>70216224240</v>
      </c>
      <c r="H199">
        <v>1724366948</v>
      </c>
    </row>
    <row r="200" spans="1:8" x14ac:dyDescent="0.25">
      <c r="A200" s="2">
        <v>43885</v>
      </c>
      <c r="B200">
        <v>38.209999084472663</v>
      </c>
      <c r="C200">
        <v>39.139999389648438</v>
      </c>
      <c r="D200">
        <v>37.75</v>
      </c>
      <c r="E200">
        <v>38.310001373291023</v>
      </c>
      <c r="F200">
        <v>37123200</v>
      </c>
      <c r="G200">
        <v>66060499770</v>
      </c>
      <c r="H200">
        <v>1724366938</v>
      </c>
    </row>
    <row r="201" spans="1:8" x14ac:dyDescent="0.25">
      <c r="A201" s="2">
        <v>43886</v>
      </c>
      <c r="B201">
        <v>38.900001525878913</v>
      </c>
      <c r="C201">
        <v>39.150001525878913</v>
      </c>
      <c r="D201">
        <v>35.5</v>
      </c>
      <c r="E201">
        <v>35.889999389648438</v>
      </c>
      <c r="F201">
        <v>49281600</v>
      </c>
      <c r="G201">
        <v>61887531630</v>
      </c>
      <c r="H201">
        <v>1724367029</v>
      </c>
    </row>
    <row r="202" spans="1:8" x14ac:dyDescent="0.25">
      <c r="A202" s="2">
        <v>43887</v>
      </c>
      <c r="B202">
        <v>35.529998779296882</v>
      </c>
      <c r="C202">
        <v>36.165000915527337</v>
      </c>
      <c r="D202">
        <v>33.889999389648438</v>
      </c>
      <c r="E202">
        <v>34.450000762939453</v>
      </c>
      <c r="F202">
        <v>44051400</v>
      </c>
      <c r="G202">
        <v>59404443150</v>
      </c>
      <c r="H202">
        <v>1724366962</v>
      </c>
    </row>
    <row r="203" spans="1:8" x14ac:dyDescent="0.25">
      <c r="A203" s="2">
        <v>43888</v>
      </c>
      <c r="B203">
        <v>32.029998779296882</v>
      </c>
      <c r="C203">
        <v>34.159999847412109</v>
      </c>
      <c r="D203">
        <v>30.670000076293949</v>
      </c>
      <c r="E203">
        <v>32.450000762939453</v>
      </c>
      <c r="F203">
        <v>66557200</v>
      </c>
      <c r="G203">
        <v>55955709150</v>
      </c>
      <c r="H203">
        <v>1724366959</v>
      </c>
    </row>
    <row r="204" spans="1:8" x14ac:dyDescent="0.25">
      <c r="A204" s="2">
        <v>43889</v>
      </c>
      <c r="B204">
        <v>31.809999465942379</v>
      </c>
      <c r="C204">
        <v>34.290000915527337</v>
      </c>
      <c r="D204">
        <v>31</v>
      </c>
      <c r="E204">
        <v>33.869998931884773</v>
      </c>
      <c r="F204">
        <v>52049300</v>
      </c>
      <c r="G204">
        <v>58404310289</v>
      </c>
      <c r="H204">
        <v>1724367054</v>
      </c>
    </row>
    <row r="205" spans="1:8" x14ac:dyDescent="0.25">
      <c r="A205" s="2">
        <v>43892</v>
      </c>
      <c r="B205">
        <v>34.049999237060547</v>
      </c>
      <c r="C205">
        <v>34.080001831054688</v>
      </c>
      <c r="D205">
        <v>31.739999771118161</v>
      </c>
      <c r="E205">
        <v>32.849998474121087</v>
      </c>
      <c r="F205">
        <v>46662000</v>
      </c>
      <c r="G205">
        <v>56645455950</v>
      </c>
      <c r="H205">
        <v>1724367080</v>
      </c>
    </row>
    <row r="206" spans="1:8" x14ac:dyDescent="0.25">
      <c r="A206" s="2">
        <v>43893</v>
      </c>
      <c r="B206">
        <v>34.020000457763672</v>
      </c>
      <c r="C206">
        <v>34.180000305175781</v>
      </c>
      <c r="D206">
        <v>31.89999961853027</v>
      </c>
      <c r="E206">
        <v>33.040000915527337</v>
      </c>
      <c r="F206">
        <v>35182400</v>
      </c>
      <c r="G206">
        <v>56973085680</v>
      </c>
      <c r="H206">
        <v>1724366952</v>
      </c>
    </row>
    <row r="207" spans="1:8" x14ac:dyDescent="0.25">
      <c r="A207" s="2">
        <v>43894</v>
      </c>
      <c r="B207">
        <v>33.930000305175781</v>
      </c>
      <c r="C207">
        <v>35.340000152587891</v>
      </c>
      <c r="D207">
        <v>32.279998779296882</v>
      </c>
      <c r="E207">
        <v>34.529998779296882</v>
      </c>
      <c r="F207">
        <v>44738600</v>
      </c>
      <c r="G207">
        <v>59542392510</v>
      </c>
      <c r="H207">
        <v>1724367061</v>
      </c>
    </row>
    <row r="208" spans="1:8" x14ac:dyDescent="0.25">
      <c r="A208" s="2">
        <v>43895</v>
      </c>
      <c r="B208">
        <v>33.470001220703118</v>
      </c>
      <c r="C208">
        <v>33.569999694824219</v>
      </c>
      <c r="D208">
        <v>31.969999313354489</v>
      </c>
      <c r="E208">
        <v>32.209999084472663</v>
      </c>
      <c r="F208">
        <v>32764500</v>
      </c>
      <c r="G208">
        <v>55541861070</v>
      </c>
      <c r="H208">
        <v>1724367049</v>
      </c>
    </row>
    <row r="209" spans="1:8" x14ac:dyDescent="0.25">
      <c r="A209" s="2">
        <v>43896</v>
      </c>
      <c r="B209">
        <v>31.229999542236332</v>
      </c>
      <c r="C209">
        <v>32.409999847412109</v>
      </c>
      <c r="D209">
        <v>30.45000076293945</v>
      </c>
      <c r="E209">
        <v>31.680000305175781</v>
      </c>
      <c r="F209">
        <v>34808700</v>
      </c>
      <c r="G209">
        <v>54627946560</v>
      </c>
      <c r="H209">
        <v>1724366983</v>
      </c>
    </row>
    <row r="210" spans="1:8" x14ac:dyDescent="0.25">
      <c r="A210" s="2">
        <v>43899</v>
      </c>
      <c r="B210">
        <v>28.5</v>
      </c>
      <c r="C210">
        <v>30.319999694824219</v>
      </c>
      <c r="D210">
        <v>28.14999961853027</v>
      </c>
      <c r="E210">
        <v>28.170000076293949</v>
      </c>
      <c r="F210">
        <v>37439200</v>
      </c>
      <c r="G210">
        <v>48575418390</v>
      </c>
      <c r="H210">
        <v>1724366995</v>
      </c>
    </row>
    <row r="211" spans="1:8" x14ac:dyDescent="0.25">
      <c r="A211" s="2">
        <v>43900</v>
      </c>
      <c r="B211">
        <v>29.469999313354489</v>
      </c>
      <c r="C211">
        <v>29.860000610351559</v>
      </c>
      <c r="D211">
        <v>27</v>
      </c>
      <c r="E211">
        <v>28.969999313354489</v>
      </c>
      <c r="F211">
        <v>36308300</v>
      </c>
      <c r="G211">
        <v>49954911990</v>
      </c>
      <c r="H211">
        <v>1724367041</v>
      </c>
    </row>
    <row r="212" spans="1:8" x14ac:dyDescent="0.25">
      <c r="A212" s="2">
        <v>43901</v>
      </c>
      <c r="B212">
        <v>27.909999847412109</v>
      </c>
      <c r="C212">
        <v>28.139999389648441</v>
      </c>
      <c r="D212">
        <v>25.610000610351559</v>
      </c>
      <c r="E212">
        <v>26.239999771118161</v>
      </c>
      <c r="F212">
        <v>43067800</v>
      </c>
      <c r="G212">
        <v>45247390080</v>
      </c>
      <c r="H212">
        <v>1724367015</v>
      </c>
    </row>
    <row r="213" spans="1:8" x14ac:dyDescent="0.25">
      <c r="A213" s="2">
        <v>43902</v>
      </c>
      <c r="B213">
        <v>23.260000228881839</v>
      </c>
      <c r="C213">
        <v>24.690000534057621</v>
      </c>
      <c r="D213">
        <v>22.110000610351559</v>
      </c>
      <c r="E213">
        <v>22.610000610351559</v>
      </c>
      <c r="F213">
        <v>54042000</v>
      </c>
      <c r="G213">
        <v>38987937870</v>
      </c>
      <c r="H213">
        <v>1724366953</v>
      </c>
    </row>
    <row r="214" spans="1:8" x14ac:dyDescent="0.25">
      <c r="A214" s="2">
        <v>43903</v>
      </c>
      <c r="B214">
        <v>24.010000228881839</v>
      </c>
      <c r="C214">
        <v>24.809999465942379</v>
      </c>
      <c r="D214">
        <v>21.129999160766602</v>
      </c>
      <c r="E214">
        <v>22.60000038146973</v>
      </c>
      <c r="F214">
        <v>53844400</v>
      </c>
      <c r="G214">
        <v>38970694200</v>
      </c>
      <c r="H214">
        <v>1724366971</v>
      </c>
    </row>
    <row r="215" spans="1:8" x14ac:dyDescent="0.25">
      <c r="A215" s="2">
        <v>43906</v>
      </c>
      <c r="B215">
        <v>20.14999961853027</v>
      </c>
      <c r="C215">
        <v>21.489999771118161</v>
      </c>
      <c r="D215">
        <v>19.10000038146973</v>
      </c>
      <c r="E215">
        <v>20.29000091552734</v>
      </c>
      <c r="F215">
        <v>56914000</v>
      </c>
      <c r="G215">
        <v>34987406430</v>
      </c>
      <c r="H215">
        <v>1724366922</v>
      </c>
    </row>
    <row r="216" spans="1:8" x14ac:dyDescent="0.25">
      <c r="A216" s="2">
        <v>43907</v>
      </c>
      <c r="B216">
        <v>20.180000305175781</v>
      </c>
      <c r="C216">
        <v>20.309999465942379</v>
      </c>
      <c r="D216">
        <v>18.010000228881839</v>
      </c>
      <c r="E216">
        <v>18.909999847412109</v>
      </c>
      <c r="F216">
        <v>60003900</v>
      </c>
      <c r="G216">
        <v>32607779970</v>
      </c>
      <c r="H216">
        <v>1724367014</v>
      </c>
    </row>
    <row r="217" spans="1:8" x14ac:dyDescent="0.25">
      <c r="A217" s="2">
        <v>43908</v>
      </c>
      <c r="B217">
        <v>17.760000228881839</v>
      </c>
      <c r="C217">
        <v>17.79999923706055</v>
      </c>
      <c r="D217">
        <v>13.710000038146971</v>
      </c>
      <c r="E217">
        <v>14.819999694824221</v>
      </c>
      <c r="F217">
        <v>78286200</v>
      </c>
      <c r="G217">
        <v>25555118940</v>
      </c>
      <c r="H217">
        <v>1724367036</v>
      </c>
    </row>
    <row r="218" spans="1:8" x14ac:dyDescent="0.25">
      <c r="A218" s="2">
        <v>43909</v>
      </c>
      <c r="B218">
        <v>15.960000038146971</v>
      </c>
      <c r="C218">
        <v>21.260000228881839</v>
      </c>
      <c r="D218">
        <v>15.69999980926514</v>
      </c>
      <c r="E218">
        <v>20.489999771118161</v>
      </c>
      <c r="F218">
        <v>83988700</v>
      </c>
      <c r="G218">
        <v>35332279830</v>
      </c>
      <c r="H218">
        <v>1724367019</v>
      </c>
    </row>
    <row r="219" spans="1:8" x14ac:dyDescent="0.25">
      <c r="A219" s="2">
        <v>43910</v>
      </c>
      <c r="B219">
        <v>22.530000686645511</v>
      </c>
      <c r="C219">
        <v>23.889999389648441</v>
      </c>
      <c r="D219">
        <v>20.610000610351559</v>
      </c>
      <c r="E219">
        <v>21.329999923706051</v>
      </c>
      <c r="F219">
        <v>76529700</v>
      </c>
      <c r="G219">
        <v>36780748110</v>
      </c>
      <c r="H219">
        <v>1724367006</v>
      </c>
    </row>
    <row r="220" spans="1:8" x14ac:dyDescent="0.25">
      <c r="A220" s="2">
        <v>43913</v>
      </c>
      <c r="B220">
        <v>21.069999694824219</v>
      </c>
      <c r="C220">
        <v>22.729999542236332</v>
      </c>
      <c r="D220">
        <v>19.729999542236332</v>
      </c>
      <c r="E220">
        <v>22.39999961853027</v>
      </c>
      <c r="F220">
        <v>47787100</v>
      </c>
      <c r="G220">
        <v>38625820800</v>
      </c>
      <c r="H220">
        <v>1724367029</v>
      </c>
    </row>
    <row r="221" spans="1:8" x14ac:dyDescent="0.25">
      <c r="A221" s="2">
        <v>43914</v>
      </c>
      <c r="B221">
        <v>24.409999847412109</v>
      </c>
      <c r="C221">
        <v>26.840000152587891</v>
      </c>
      <c r="D221">
        <v>23.590000152587891</v>
      </c>
      <c r="E221">
        <v>26.389999389648441</v>
      </c>
      <c r="F221">
        <v>58505000</v>
      </c>
      <c r="G221">
        <v>45506045130</v>
      </c>
      <c r="H221">
        <v>1724367040</v>
      </c>
    </row>
    <row r="222" spans="1:8" x14ac:dyDescent="0.25">
      <c r="A222" s="2">
        <v>43915</v>
      </c>
      <c r="B222">
        <v>26.180000305175781</v>
      </c>
      <c r="C222">
        <v>28.45000076293945</v>
      </c>
      <c r="D222">
        <v>25.309999465942379</v>
      </c>
      <c r="E222">
        <v>26.190000534057621</v>
      </c>
      <c r="F222">
        <v>52473900</v>
      </c>
      <c r="G222">
        <v>45161171730</v>
      </c>
      <c r="H222">
        <v>1724366965</v>
      </c>
    </row>
    <row r="223" spans="1:8" x14ac:dyDescent="0.25">
      <c r="A223" s="2">
        <v>43916</v>
      </c>
      <c r="B223">
        <v>26.60000038146973</v>
      </c>
      <c r="C223">
        <v>28.440000534057621</v>
      </c>
      <c r="D223">
        <v>25.780000686645511</v>
      </c>
      <c r="E223">
        <v>28.120000839233398</v>
      </c>
      <c r="F223">
        <v>41336400</v>
      </c>
      <c r="G223">
        <v>48489200040</v>
      </c>
      <c r="H223">
        <v>1724366949</v>
      </c>
    </row>
    <row r="224" spans="1:8" x14ac:dyDescent="0.25">
      <c r="A224" s="2">
        <v>43917</v>
      </c>
      <c r="B224">
        <v>25.819999694824219</v>
      </c>
      <c r="C224">
        <v>28.030000686645511</v>
      </c>
      <c r="D224">
        <v>25.069999694824219</v>
      </c>
      <c r="E224">
        <v>27.280000686645511</v>
      </c>
      <c r="F224">
        <v>40292200</v>
      </c>
      <c r="G224">
        <v>47040731760</v>
      </c>
      <c r="H224">
        <v>1724366957</v>
      </c>
    </row>
    <row r="225" spans="1:8" x14ac:dyDescent="0.25">
      <c r="A225" s="2">
        <v>43920</v>
      </c>
      <c r="B225">
        <v>26.329999923706051</v>
      </c>
      <c r="C225">
        <v>28.389999389648441</v>
      </c>
      <c r="D225">
        <v>25.309999465942379</v>
      </c>
      <c r="E225">
        <v>27.829999923706051</v>
      </c>
      <c r="F225">
        <v>37725700</v>
      </c>
      <c r="G225">
        <v>47989133610</v>
      </c>
      <c r="H225">
        <v>1724367005</v>
      </c>
    </row>
    <row r="226" spans="1:8" x14ac:dyDescent="0.25">
      <c r="A226" s="2">
        <v>43921</v>
      </c>
      <c r="B226">
        <v>27.75</v>
      </c>
      <c r="C226">
        <v>28.25</v>
      </c>
      <c r="D226">
        <v>26.920000076293949</v>
      </c>
      <c r="E226">
        <v>27.920000076293949</v>
      </c>
      <c r="F226">
        <v>43126400</v>
      </c>
      <c r="G226">
        <v>48550004240</v>
      </c>
      <c r="H226">
        <v>1738896995</v>
      </c>
    </row>
    <row r="227" spans="1:8" x14ac:dyDescent="0.25">
      <c r="A227" s="2">
        <v>43922</v>
      </c>
      <c r="B227">
        <v>26.5</v>
      </c>
      <c r="C227">
        <v>26.767000198364261</v>
      </c>
      <c r="D227">
        <v>24.809999465942379</v>
      </c>
      <c r="E227">
        <v>25.420000076293949</v>
      </c>
      <c r="F227">
        <v>38538400</v>
      </c>
      <c r="G227">
        <v>44202761740</v>
      </c>
      <c r="H227">
        <v>1738896995</v>
      </c>
    </row>
    <row r="228" spans="1:8" x14ac:dyDescent="0.25">
      <c r="A228" s="2">
        <v>43923</v>
      </c>
      <c r="B228">
        <v>25.010000228881839</v>
      </c>
      <c r="C228">
        <v>25.20000076293945</v>
      </c>
      <c r="D228">
        <v>23</v>
      </c>
      <c r="E228">
        <v>23.680000305175781</v>
      </c>
      <c r="F228">
        <v>35838200</v>
      </c>
      <c r="G228">
        <v>41177080960</v>
      </c>
      <c r="H228">
        <v>1738896978</v>
      </c>
    </row>
    <row r="229" spans="1:8" x14ac:dyDescent="0.25">
      <c r="A229" s="2">
        <v>43924</v>
      </c>
      <c r="B229">
        <v>23.729999542236332</v>
      </c>
      <c r="C229">
        <v>23.79000091552734</v>
      </c>
      <c r="D229">
        <v>21.670000076293949</v>
      </c>
      <c r="E229">
        <v>22.819999694824219</v>
      </c>
      <c r="F229">
        <v>40572000</v>
      </c>
      <c r="G229">
        <v>39681629540</v>
      </c>
      <c r="H229">
        <v>1738897023</v>
      </c>
    </row>
    <row r="230" spans="1:8" x14ac:dyDescent="0.25">
      <c r="A230" s="2">
        <v>43927</v>
      </c>
      <c r="B230">
        <v>24.129999160766602</v>
      </c>
      <c r="C230">
        <v>26.090000152587891</v>
      </c>
      <c r="D230">
        <v>23.930000305175781</v>
      </c>
      <c r="E230">
        <v>25.989999771118161</v>
      </c>
      <c r="F230">
        <v>34692600</v>
      </c>
      <c r="G230">
        <v>45193933030</v>
      </c>
      <c r="H230">
        <v>1738897015</v>
      </c>
    </row>
    <row r="231" spans="1:8" x14ac:dyDescent="0.25">
      <c r="A231" s="2">
        <v>43928</v>
      </c>
      <c r="B231">
        <v>27.95000076293945</v>
      </c>
      <c r="C231">
        <v>28.110000610351559</v>
      </c>
      <c r="D231">
        <v>25.5</v>
      </c>
      <c r="E231">
        <v>25.739999771118161</v>
      </c>
      <c r="F231">
        <v>36433800</v>
      </c>
      <c r="G231">
        <v>44759208780</v>
      </c>
      <c r="H231">
        <v>1738897015</v>
      </c>
    </row>
    <row r="232" spans="1:8" x14ac:dyDescent="0.25">
      <c r="A232" s="2">
        <v>43929</v>
      </c>
      <c r="B232">
        <v>26</v>
      </c>
      <c r="C232">
        <v>27.878000259399411</v>
      </c>
      <c r="D232">
        <v>25.79000091552734</v>
      </c>
      <c r="E232">
        <v>26.940000534057621</v>
      </c>
      <c r="F232">
        <v>36166900</v>
      </c>
      <c r="G232">
        <v>46845885180</v>
      </c>
      <c r="H232">
        <v>1738896966</v>
      </c>
    </row>
    <row r="233" spans="1:8" x14ac:dyDescent="0.25">
      <c r="A233" s="2">
        <v>43930</v>
      </c>
      <c r="B233">
        <v>27.879999160766602</v>
      </c>
      <c r="C233">
        <v>28.889999389648441</v>
      </c>
      <c r="D233">
        <v>26.45999908447266</v>
      </c>
      <c r="E233">
        <v>27.110000610351559</v>
      </c>
      <c r="F233">
        <v>36190200</v>
      </c>
      <c r="G233">
        <v>47141497670</v>
      </c>
      <c r="H233">
        <v>1738896961</v>
      </c>
    </row>
    <row r="234" spans="1:8" x14ac:dyDescent="0.25">
      <c r="A234" s="2">
        <v>43934</v>
      </c>
      <c r="B234">
        <v>27.04000091552734</v>
      </c>
      <c r="C234">
        <v>28.079999923706051</v>
      </c>
      <c r="D234">
        <v>26.469999313354489</v>
      </c>
      <c r="E234">
        <v>27.989999771118161</v>
      </c>
      <c r="F234">
        <v>24671600</v>
      </c>
      <c r="G234">
        <v>48671727030</v>
      </c>
      <c r="H234">
        <v>1738897014</v>
      </c>
    </row>
    <row r="235" spans="1:8" x14ac:dyDescent="0.25">
      <c r="A235" s="2">
        <v>43935</v>
      </c>
      <c r="B235">
        <v>28</v>
      </c>
      <c r="C235">
        <v>28.770000457763668</v>
      </c>
      <c r="D235">
        <v>27.01300048828125</v>
      </c>
      <c r="E235">
        <v>27.75</v>
      </c>
      <c r="F235">
        <v>32625300</v>
      </c>
      <c r="G235">
        <v>48254391750</v>
      </c>
      <c r="H235">
        <v>1738897000</v>
      </c>
    </row>
    <row r="236" spans="1:8" x14ac:dyDescent="0.25">
      <c r="A236" s="2">
        <v>43936</v>
      </c>
      <c r="B236">
        <v>26.819999694824219</v>
      </c>
      <c r="C236">
        <v>27.79000091552734</v>
      </c>
      <c r="D236">
        <v>26.440000534057621</v>
      </c>
      <c r="E236">
        <v>27.409999847412109</v>
      </c>
      <c r="F236">
        <v>18720900</v>
      </c>
      <c r="G236">
        <v>47663166770</v>
      </c>
      <c r="H236">
        <v>1738897010</v>
      </c>
    </row>
    <row r="237" spans="1:8" x14ac:dyDescent="0.25">
      <c r="A237" s="2">
        <v>43937</v>
      </c>
      <c r="B237">
        <v>27.20999908447266</v>
      </c>
      <c r="C237">
        <v>28.04999923706055</v>
      </c>
      <c r="D237">
        <v>26.45999908447266</v>
      </c>
      <c r="E237">
        <v>27.030000686645511</v>
      </c>
      <c r="F237">
        <v>24088700</v>
      </c>
      <c r="G237">
        <v>47002385910</v>
      </c>
      <c r="H237">
        <v>1738896956</v>
      </c>
    </row>
    <row r="238" spans="1:8" x14ac:dyDescent="0.25">
      <c r="A238" s="2">
        <v>43938</v>
      </c>
      <c r="B238">
        <v>28.690000534057621</v>
      </c>
      <c r="C238">
        <v>28.79000091552734</v>
      </c>
      <c r="D238">
        <v>27.260000228881839</v>
      </c>
      <c r="E238">
        <v>28</v>
      </c>
      <c r="F238">
        <v>34129800</v>
      </c>
      <c r="G238">
        <v>48689116000</v>
      </c>
      <c r="H238">
        <v>1738897000</v>
      </c>
    </row>
    <row r="239" spans="1:8" x14ac:dyDescent="0.25">
      <c r="A239" s="2">
        <v>43941</v>
      </c>
      <c r="B239">
        <v>27.069999694824219</v>
      </c>
      <c r="C239">
        <v>28.760000228881839</v>
      </c>
      <c r="D239">
        <v>26.89999961853027</v>
      </c>
      <c r="E239">
        <v>28.190000534057621</v>
      </c>
      <c r="F239">
        <v>32224000</v>
      </c>
      <c r="G239">
        <v>49019506430</v>
      </c>
      <c r="H239">
        <v>1738896967</v>
      </c>
    </row>
    <row r="240" spans="1:8" x14ac:dyDescent="0.25">
      <c r="A240" s="2">
        <v>43942</v>
      </c>
      <c r="B240">
        <v>27.5</v>
      </c>
      <c r="C240">
        <v>28.14999961853027</v>
      </c>
      <c r="D240">
        <v>26.60000038146973</v>
      </c>
      <c r="E240">
        <v>27.190000534057621</v>
      </c>
      <c r="F240">
        <v>20969100</v>
      </c>
      <c r="G240">
        <v>47280609430</v>
      </c>
      <c r="H240">
        <v>1738896966</v>
      </c>
    </row>
    <row r="241" spans="1:8" x14ac:dyDescent="0.25">
      <c r="A241" s="2">
        <v>43943</v>
      </c>
      <c r="B241">
        <v>27.969999313354489</v>
      </c>
      <c r="C241">
        <v>28.559999465942379</v>
      </c>
      <c r="D241">
        <v>27.510000228881839</v>
      </c>
      <c r="E241">
        <v>28.239999771118161</v>
      </c>
      <c r="F241">
        <v>21199400</v>
      </c>
      <c r="G241">
        <v>49106451280</v>
      </c>
      <c r="H241">
        <v>1738897014</v>
      </c>
    </row>
    <row r="242" spans="1:8" x14ac:dyDescent="0.25">
      <c r="A242" s="2">
        <v>43944</v>
      </c>
      <c r="B242">
        <v>28.75</v>
      </c>
      <c r="C242">
        <v>29.25</v>
      </c>
      <c r="D242">
        <v>28.240999221801761</v>
      </c>
      <c r="E242">
        <v>28.329999923706051</v>
      </c>
      <c r="F242">
        <v>26992400</v>
      </c>
      <c r="G242">
        <v>49262952010</v>
      </c>
      <c r="H242">
        <v>1738897005</v>
      </c>
    </row>
    <row r="243" spans="1:8" x14ac:dyDescent="0.25">
      <c r="A243" s="2">
        <v>43945</v>
      </c>
      <c r="B243">
        <v>28.510000228881839</v>
      </c>
      <c r="C243">
        <v>29.590000152587891</v>
      </c>
      <c r="D243">
        <v>28.139999389648441</v>
      </c>
      <c r="E243">
        <v>29.489999771118161</v>
      </c>
      <c r="F243">
        <v>20634900</v>
      </c>
      <c r="G243">
        <v>51280072530</v>
      </c>
      <c r="H243">
        <v>1738897013</v>
      </c>
    </row>
    <row r="244" spans="1:8" x14ac:dyDescent="0.25">
      <c r="A244" s="2">
        <v>43948</v>
      </c>
      <c r="B244">
        <v>29.739999771118161</v>
      </c>
      <c r="C244">
        <v>30.489999771118161</v>
      </c>
      <c r="D244">
        <v>29.4109992980957</v>
      </c>
      <c r="E244">
        <v>30.079999923706051</v>
      </c>
      <c r="F244">
        <v>31705800</v>
      </c>
      <c r="G244">
        <v>52306021760</v>
      </c>
      <c r="H244">
        <v>1738897004</v>
      </c>
    </row>
    <row r="245" spans="1:8" x14ac:dyDescent="0.25">
      <c r="A245" s="2">
        <v>43949</v>
      </c>
      <c r="B245">
        <v>31</v>
      </c>
      <c r="C245">
        <v>31.829999923706051</v>
      </c>
      <c r="D245">
        <v>29.360000610351559</v>
      </c>
      <c r="E245">
        <v>30.120000839233398</v>
      </c>
      <c r="F245">
        <v>27383200</v>
      </c>
      <c r="G245">
        <v>52375577640</v>
      </c>
      <c r="H245">
        <v>1738896952</v>
      </c>
    </row>
    <row r="246" spans="1:8" x14ac:dyDescent="0.25">
      <c r="A246" s="2">
        <v>43950</v>
      </c>
      <c r="B246">
        <v>31</v>
      </c>
      <c r="C246">
        <v>32</v>
      </c>
      <c r="D246">
        <v>30.329999923706051</v>
      </c>
      <c r="E246">
        <v>31.370000839233398</v>
      </c>
      <c r="F246">
        <v>28288100</v>
      </c>
      <c r="G246">
        <v>54549198890</v>
      </c>
      <c r="H246">
        <v>1738896953</v>
      </c>
    </row>
    <row r="247" spans="1:8" x14ac:dyDescent="0.25">
      <c r="A247" s="2">
        <v>43951</v>
      </c>
      <c r="B247">
        <v>30.5</v>
      </c>
      <c r="C247">
        <v>31.04999923706055</v>
      </c>
      <c r="D247">
        <v>29.75</v>
      </c>
      <c r="E247">
        <v>30.270000457763668</v>
      </c>
      <c r="F247">
        <v>20095400</v>
      </c>
      <c r="G247">
        <v>52636412190</v>
      </c>
      <c r="H247">
        <v>1738896974</v>
      </c>
    </row>
    <row r="248" spans="1:8" x14ac:dyDescent="0.25">
      <c r="A248" s="2">
        <v>43952</v>
      </c>
      <c r="B248">
        <v>29.129999160766602</v>
      </c>
      <c r="C248">
        <v>29.719999313354489</v>
      </c>
      <c r="D248">
        <v>28.32500076293945</v>
      </c>
      <c r="E248">
        <v>28.389999389648441</v>
      </c>
      <c r="F248">
        <v>19290200</v>
      </c>
      <c r="G248">
        <v>49367285830</v>
      </c>
      <c r="H248">
        <v>1738897037</v>
      </c>
    </row>
    <row r="249" spans="1:8" x14ac:dyDescent="0.25">
      <c r="A249" s="2">
        <v>43955</v>
      </c>
      <c r="B249">
        <v>27.559999465942379</v>
      </c>
      <c r="C249">
        <v>28.069999694824219</v>
      </c>
      <c r="D249">
        <v>26.579999923706051</v>
      </c>
      <c r="E249">
        <v>27.420000076293949</v>
      </c>
      <c r="F249">
        <v>23428300</v>
      </c>
      <c r="G249">
        <v>47680555740</v>
      </c>
      <c r="H249">
        <v>1738896995</v>
      </c>
    </row>
    <row r="250" spans="1:8" x14ac:dyDescent="0.25">
      <c r="A250" s="2">
        <v>43956</v>
      </c>
      <c r="B250">
        <v>28.25</v>
      </c>
      <c r="C250">
        <v>28.909000396728519</v>
      </c>
      <c r="D250">
        <v>27.440000534057621</v>
      </c>
      <c r="E250">
        <v>28.069999694824219</v>
      </c>
      <c r="F250">
        <v>30725400</v>
      </c>
      <c r="G250">
        <v>48810838790</v>
      </c>
      <c r="H250">
        <v>1738897019</v>
      </c>
    </row>
    <row r="251" spans="1:8" x14ac:dyDescent="0.25">
      <c r="A251" s="2">
        <v>43957</v>
      </c>
      <c r="B251">
        <v>27.5</v>
      </c>
      <c r="C251">
        <v>28.059999465942379</v>
      </c>
      <c r="D251">
        <v>26.809999465942379</v>
      </c>
      <c r="E251">
        <v>27.819999694824219</v>
      </c>
      <c r="F251">
        <v>31076500</v>
      </c>
      <c r="G251">
        <v>48376114540</v>
      </c>
      <c r="H251">
        <v>1738897019</v>
      </c>
    </row>
    <row r="252" spans="1:8" x14ac:dyDescent="0.25">
      <c r="A252" s="2">
        <v>43958</v>
      </c>
      <c r="B252">
        <v>29.60000038146973</v>
      </c>
      <c r="C252">
        <v>31.64999961853027</v>
      </c>
      <c r="D252">
        <v>29.579999923706051</v>
      </c>
      <c r="E252">
        <v>30.930000305175781</v>
      </c>
      <c r="F252">
        <v>62229500</v>
      </c>
      <c r="G252">
        <v>53784084210</v>
      </c>
      <c r="H252">
        <v>1738896983</v>
      </c>
    </row>
    <row r="253" spans="1:8" x14ac:dyDescent="0.25">
      <c r="A253" s="2">
        <v>43959</v>
      </c>
      <c r="B253">
        <v>32.590000152587891</v>
      </c>
      <c r="C253">
        <v>33.299999237060547</v>
      </c>
      <c r="D253">
        <v>31.639999389648441</v>
      </c>
      <c r="E253">
        <v>32.790000915527337</v>
      </c>
      <c r="F253">
        <v>69458100</v>
      </c>
      <c r="G253">
        <v>57018432630</v>
      </c>
      <c r="H253">
        <v>1738896951</v>
      </c>
    </row>
    <row r="254" spans="1:8" x14ac:dyDescent="0.25">
      <c r="A254" s="2">
        <v>43962</v>
      </c>
      <c r="B254">
        <v>31.979999542236332</v>
      </c>
      <c r="C254">
        <v>32.384998321533203</v>
      </c>
      <c r="D254">
        <v>31.409999847412109</v>
      </c>
      <c r="E254">
        <v>31.639999389648441</v>
      </c>
      <c r="F254">
        <v>26439200</v>
      </c>
      <c r="G254">
        <v>55018701080</v>
      </c>
      <c r="H254">
        <v>1738897034</v>
      </c>
    </row>
    <row r="255" spans="1:8" x14ac:dyDescent="0.25">
      <c r="A255" s="2">
        <v>43963</v>
      </c>
      <c r="B255">
        <v>31.420000076293949</v>
      </c>
      <c r="C255">
        <v>34.450000762939453</v>
      </c>
      <c r="D255">
        <v>30.409999847412109</v>
      </c>
      <c r="E255">
        <v>32.400001525878913</v>
      </c>
      <c r="F255">
        <v>89586000</v>
      </c>
      <c r="G255">
        <v>56340262800</v>
      </c>
      <c r="H255">
        <v>1738896918</v>
      </c>
    </row>
    <row r="256" spans="1:8" x14ac:dyDescent="0.25">
      <c r="A256" s="2">
        <v>43964</v>
      </c>
      <c r="B256">
        <v>32.299999237060547</v>
      </c>
      <c r="C256">
        <v>33.060001373291023</v>
      </c>
      <c r="D256">
        <v>30.829999923706051</v>
      </c>
      <c r="E256">
        <v>33.020000457763672</v>
      </c>
      <c r="F256">
        <v>47279500</v>
      </c>
      <c r="G256">
        <v>57418378940</v>
      </c>
      <c r="H256">
        <v>1738896976</v>
      </c>
    </row>
    <row r="257" spans="1:8" x14ac:dyDescent="0.25">
      <c r="A257" s="2">
        <v>43965</v>
      </c>
      <c r="B257">
        <v>32.529998779296882</v>
      </c>
      <c r="C257">
        <v>33.040000915527337</v>
      </c>
      <c r="D257">
        <v>31.239999771118161</v>
      </c>
      <c r="E257">
        <v>32.790000915527337</v>
      </c>
      <c r="F257">
        <v>32912600</v>
      </c>
      <c r="G257">
        <v>57018432630</v>
      </c>
      <c r="H257">
        <v>1738896951</v>
      </c>
    </row>
    <row r="258" spans="1:8" x14ac:dyDescent="0.25">
      <c r="A258" s="2">
        <v>43966</v>
      </c>
      <c r="B258">
        <v>32.259998321533203</v>
      </c>
      <c r="C258">
        <v>32.889999389648438</v>
      </c>
      <c r="D258">
        <v>31.590000152587891</v>
      </c>
      <c r="E258">
        <v>32.470001220703118</v>
      </c>
      <c r="F258">
        <v>25950000</v>
      </c>
      <c r="G258">
        <v>56461985590</v>
      </c>
      <c r="H258">
        <v>1738896935</v>
      </c>
    </row>
    <row r="259" spans="1:8" x14ac:dyDescent="0.25">
      <c r="A259" s="2">
        <v>43969</v>
      </c>
      <c r="B259">
        <v>33.700000762939453</v>
      </c>
      <c r="C259">
        <v>36</v>
      </c>
      <c r="D259">
        <v>32.990001678466797</v>
      </c>
      <c r="E259">
        <v>33.619998931884773</v>
      </c>
      <c r="F259">
        <v>47534600</v>
      </c>
      <c r="G259">
        <v>58461717139</v>
      </c>
      <c r="H259">
        <v>1738897055</v>
      </c>
    </row>
    <row r="260" spans="1:8" x14ac:dyDescent="0.25">
      <c r="A260" s="2">
        <v>43970</v>
      </c>
      <c r="B260">
        <v>33.680000305175781</v>
      </c>
      <c r="C260">
        <v>34</v>
      </c>
      <c r="D260">
        <v>32.860000610351563</v>
      </c>
      <c r="E260">
        <v>33.400001525878913</v>
      </c>
      <c r="F260">
        <v>20223600</v>
      </c>
      <c r="G260">
        <v>58079159800</v>
      </c>
      <c r="H260">
        <v>1738896921</v>
      </c>
    </row>
    <row r="261" spans="1:8" x14ac:dyDescent="0.25">
      <c r="A261" s="2">
        <v>43971</v>
      </c>
      <c r="B261">
        <v>34.119998931884773</v>
      </c>
      <c r="C261">
        <v>34.770000457763672</v>
      </c>
      <c r="D261">
        <v>33.819999694824219</v>
      </c>
      <c r="E261">
        <v>34.479999542236328</v>
      </c>
      <c r="F261">
        <v>21386700</v>
      </c>
      <c r="G261">
        <v>59957168559</v>
      </c>
      <c r="H261">
        <v>1738897023</v>
      </c>
    </row>
    <row r="262" spans="1:8" x14ac:dyDescent="0.25">
      <c r="A262" s="2">
        <v>43972</v>
      </c>
      <c r="B262">
        <v>34.450000762939453</v>
      </c>
      <c r="C262">
        <v>35.009998321533203</v>
      </c>
      <c r="D262">
        <v>33.470001220703118</v>
      </c>
      <c r="E262">
        <v>34.259998321533203</v>
      </c>
      <c r="F262">
        <v>24075300</v>
      </c>
      <c r="G262">
        <v>59574611220</v>
      </c>
      <c r="H262">
        <v>1738897085</v>
      </c>
    </row>
    <row r="263" spans="1:8" x14ac:dyDescent="0.25">
      <c r="A263" s="2">
        <v>43973</v>
      </c>
      <c r="B263">
        <v>34.150001525878913</v>
      </c>
      <c r="C263">
        <v>34.930000305175781</v>
      </c>
      <c r="D263">
        <v>33.569999694824219</v>
      </c>
      <c r="E263">
        <v>34.830001831054688</v>
      </c>
      <c r="F263">
        <v>18675700</v>
      </c>
      <c r="G263">
        <v>60565782510</v>
      </c>
      <c r="H263">
        <v>1738896909</v>
      </c>
    </row>
    <row r="264" spans="1:8" x14ac:dyDescent="0.25">
      <c r="A264" s="2">
        <v>43977</v>
      </c>
      <c r="B264">
        <v>35.970001220703118</v>
      </c>
      <c r="C264">
        <v>36</v>
      </c>
      <c r="D264">
        <v>34.5</v>
      </c>
      <c r="E264">
        <v>34.560001373291023</v>
      </c>
      <c r="F264">
        <v>23483200</v>
      </c>
      <c r="G264">
        <v>60096280320</v>
      </c>
      <c r="H264">
        <v>1738896931</v>
      </c>
    </row>
    <row r="265" spans="1:8" x14ac:dyDescent="0.25">
      <c r="A265" s="2">
        <v>43978</v>
      </c>
      <c r="B265">
        <v>34.419998168945313</v>
      </c>
      <c r="C265">
        <v>35</v>
      </c>
      <c r="D265">
        <v>33.099998474121087</v>
      </c>
      <c r="E265">
        <v>34.880001068115227</v>
      </c>
      <c r="F265">
        <v>27514600</v>
      </c>
      <c r="G265">
        <v>60652727360</v>
      </c>
      <c r="H265">
        <v>1738896947</v>
      </c>
    </row>
    <row r="266" spans="1:8" x14ac:dyDescent="0.25">
      <c r="A266" s="2">
        <v>43979</v>
      </c>
      <c r="B266">
        <v>34.900001525878913</v>
      </c>
      <c r="C266">
        <v>35.099998474121087</v>
      </c>
      <c r="D266">
        <v>33.819999694824219</v>
      </c>
      <c r="E266">
        <v>34.150001525878913</v>
      </c>
      <c r="F266">
        <v>21951900</v>
      </c>
      <c r="G266">
        <v>59383332550</v>
      </c>
      <c r="H266">
        <v>1738896922</v>
      </c>
    </row>
    <row r="267" spans="1:8" x14ac:dyDescent="0.25">
      <c r="A267" s="2">
        <v>43980</v>
      </c>
      <c r="B267">
        <v>34.180000305175781</v>
      </c>
      <c r="C267">
        <v>36.450000762939453</v>
      </c>
      <c r="D267">
        <v>34</v>
      </c>
      <c r="E267">
        <v>36.319999694824219</v>
      </c>
      <c r="F267">
        <v>72393800</v>
      </c>
      <c r="G267">
        <v>63156739040</v>
      </c>
      <c r="H267">
        <v>1738897015</v>
      </c>
    </row>
    <row r="268" spans="1:8" x14ac:dyDescent="0.25">
      <c r="A268" s="2">
        <v>43983</v>
      </c>
      <c r="B268">
        <v>35.639999389648438</v>
      </c>
      <c r="C268">
        <v>36.389999389648438</v>
      </c>
      <c r="D268">
        <v>35.159999847412109</v>
      </c>
      <c r="E268">
        <v>35.819999694824219</v>
      </c>
      <c r="F268">
        <v>21893800</v>
      </c>
      <c r="G268">
        <v>62287290540</v>
      </c>
      <c r="H268">
        <v>1738897015</v>
      </c>
    </row>
    <row r="269" spans="1:8" x14ac:dyDescent="0.25">
      <c r="A269" s="2">
        <v>43984</v>
      </c>
      <c r="B269">
        <v>36.159999847412109</v>
      </c>
      <c r="C269">
        <v>36.419998168945313</v>
      </c>
      <c r="D269">
        <v>35.259998321533203</v>
      </c>
      <c r="E269">
        <v>35.810001373291023</v>
      </c>
      <c r="F269">
        <v>19328400</v>
      </c>
      <c r="G269">
        <v>62269901570</v>
      </c>
      <c r="H269">
        <v>1738896933</v>
      </c>
    </row>
    <row r="270" spans="1:8" x14ac:dyDescent="0.25">
      <c r="A270" s="2">
        <v>43985</v>
      </c>
      <c r="B270">
        <v>36.200000762939453</v>
      </c>
      <c r="C270">
        <v>37.368000030517578</v>
      </c>
      <c r="D270">
        <v>36.139999389648438</v>
      </c>
      <c r="E270">
        <v>36.75</v>
      </c>
      <c r="F270">
        <v>23051800</v>
      </c>
      <c r="G270">
        <v>63904464750</v>
      </c>
      <c r="H270">
        <v>1738897000</v>
      </c>
    </row>
    <row r="271" spans="1:8" x14ac:dyDescent="0.25">
      <c r="A271" s="2">
        <v>43986</v>
      </c>
      <c r="B271">
        <v>36.419998168945313</v>
      </c>
      <c r="C271">
        <v>37.299999237060547</v>
      </c>
      <c r="D271">
        <v>36.279998779296882</v>
      </c>
      <c r="E271">
        <v>36.430000305175781</v>
      </c>
      <c r="F271">
        <v>17423600</v>
      </c>
      <c r="G271">
        <v>63348017710</v>
      </c>
      <c r="H271">
        <v>1738896985</v>
      </c>
    </row>
    <row r="272" spans="1:8" x14ac:dyDescent="0.25">
      <c r="A272" s="2">
        <v>43987</v>
      </c>
      <c r="B272">
        <v>37.529998779296882</v>
      </c>
      <c r="C272">
        <v>38.783000946044922</v>
      </c>
      <c r="D272">
        <v>36.919998168945313</v>
      </c>
      <c r="E272">
        <v>37.209999084472663</v>
      </c>
      <c r="F272">
        <v>30393400</v>
      </c>
      <c r="G272">
        <v>64704357370</v>
      </c>
      <c r="H272">
        <v>1738897043</v>
      </c>
    </row>
    <row r="273" spans="1:8" x14ac:dyDescent="0.25">
      <c r="A273" s="2">
        <v>43990</v>
      </c>
      <c r="B273">
        <v>37.869998931884773</v>
      </c>
      <c r="C273">
        <v>37.900001525878913</v>
      </c>
      <c r="D273">
        <v>36.090000152587891</v>
      </c>
      <c r="E273">
        <v>37.080001831054688</v>
      </c>
      <c r="F273">
        <v>30099500</v>
      </c>
      <c r="G273">
        <v>64478300760</v>
      </c>
      <c r="H273">
        <v>1738896914</v>
      </c>
    </row>
    <row r="274" spans="1:8" x14ac:dyDescent="0.25">
      <c r="A274" s="2">
        <v>43991</v>
      </c>
      <c r="B274">
        <v>36.700000762939453</v>
      </c>
      <c r="C274">
        <v>37.330001831054688</v>
      </c>
      <c r="D274">
        <v>36.25</v>
      </c>
      <c r="E274">
        <v>36.590000152587891</v>
      </c>
      <c r="F274">
        <v>15127300</v>
      </c>
      <c r="G274">
        <v>63626241230</v>
      </c>
      <c r="H274">
        <v>1738896993</v>
      </c>
    </row>
    <row r="275" spans="1:8" x14ac:dyDescent="0.25">
      <c r="A275" s="2">
        <v>43992</v>
      </c>
      <c r="B275">
        <v>36.689998626708977</v>
      </c>
      <c r="C275">
        <v>36.799999237060547</v>
      </c>
      <c r="D275">
        <v>34.264999389648438</v>
      </c>
      <c r="E275">
        <v>34.830001831054688</v>
      </c>
      <c r="F275">
        <v>43473700</v>
      </c>
      <c r="G275">
        <v>60565782510</v>
      </c>
      <c r="H275">
        <v>1738896909</v>
      </c>
    </row>
    <row r="276" spans="1:8" x14ac:dyDescent="0.25">
      <c r="A276" s="2">
        <v>43993</v>
      </c>
      <c r="B276">
        <v>32.630001068115227</v>
      </c>
      <c r="C276">
        <v>33.244998931884773</v>
      </c>
      <c r="D276">
        <v>30.889999389648441</v>
      </c>
      <c r="E276">
        <v>31.10000038146973</v>
      </c>
      <c r="F276">
        <v>45298700</v>
      </c>
      <c r="G276">
        <v>54079696700</v>
      </c>
      <c r="H276">
        <v>1738896979</v>
      </c>
    </row>
    <row r="277" spans="1:8" x14ac:dyDescent="0.25">
      <c r="A277" s="2">
        <v>43994</v>
      </c>
      <c r="B277">
        <v>32.729999542236328</v>
      </c>
      <c r="C277">
        <v>32.740001678466797</v>
      </c>
      <c r="D277">
        <v>31.04000091552734</v>
      </c>
      <c r="E277">
        <v>32.240001678466797</v>
      </c>
      <c r="F277">
        <v>27685200</v>
      </c>
      <c r="G277">
        <v>56062039280</v>
      </c>
      <c r="H277">
        <v>1738896909</v>
      </c>
    </row>
    <row r="278" spans="1:8" x14ac:dyDescent="0.25">
      <c r="A278" s="2">
        <v>43997</v>
      </c>
      <c r="B278">
        <v>31.159999847412109</v>
      </c>
      <c r="C278">
        <v>32.680000305175781</v>
      </c>
      <c r="D278">
        <v>31.020000457763668</v>
      </c>
      <c r="E278">
        <v>32.669998168945313</v>
      </c>
      <c r="F278">
        <v>21350300</v>
      </c>
      <c r="G278">
        <v>56809764990</v>
      </c>
      <c r="H278">
        <v>1738897097</v>
      </c>
    </row>
    <row r="279" spans="1:8" x14ac:dyDescent="0.25">
      <c r="A279" s="2">
        <v>43998</v>
      </c>
      <c r="B279">
        <v>34</v>
      </c>
      <c r="C279">
        <v>34.169998168945313</v>
      </c>
      <c r="D279">
        <v>32.430000305175781</v>
      </c>
      <c r="E279">
        <v>33.490001678466797</v>
      </c>
      <c r="F279">
        <v>21377100</v>
      </c>
      <c r="G279">
        <v>58235660530</v>
      </c>
      <c r="H279">
        <v>1738896913</v>
      </c>
    </row>
    <row r="280" spans="1:8" x14ac:dyDescent="0.25">
      <c r="A280" s="2">
        <v>43999</v>
      </c>
      <c r="B280">
        <v>33.5</v>
      </c>
      <c r="C280">
        <v>33.595001220703118</v>
      </c>
      <c r="D280">
        <v>33.011001586914063</v>
      </c>
      <c r="E280">
        <v>33.290000915527337</v>
      </c>
      <c r="F280">
        <v>14827700</v>
      </c>
      <c r="G280">
        <v>57887881130</v>
      </c>
      <c r="H280">
        <v>1738896952</v>
      </c>
    </row>
    <row r="281" spans="1:8" x14ac:dyDescent="0.25">
      <c r="A281" s="2">
        <v>44000</v>
      </c>
      <c r="B281">
        <v>33</v>
      </c>
      <c r="C281">
        <v>33.439998626708977</v>
      </c>
      <c r="D281">
        <v>32.799999237060547</v>
      </c>
      <c r="E281">
        <v>33.400001525878913</v>
      </c>
      <c r="F281">
        <v>15495800</v>
      </c>
      <c r="G281">
        <v>58079159800</v>
      </c>
      <c r="H281">
        <v>1738896921</v>
      </c>
    </row>
    <row r="282" spans="1:8" x14ac:dyDescent="0.25">
      <c r="A282" s="2">
        <v>44001</v>
      </c>
      <c r="B282">
        <v>33.979999542236328</v>
      </c>
      <c r="C282">
        <v>34.020000457763672</v>
      </c>
      <c r="D282">
        <v>32.270000457763672</v>
      </c>
      <c r="E282">
        <v>32.299999237060547</v>
      </c>
      <c r="F282">
        <v>29426300</v>
      </c>
      <c r="G282">
        <v>56166373099</v>
      </c>
      <c r="H282">
        <v>1738897041</v>
      </c>
    </row>
    <row r="283" spans="1:8" x14ac:dyDescent="0.25">
      <c r="A283" s="2">
        <v>44004</v>
      </c>
      <c r="B283">
        <v>32.430000305175781</v>
      </c>
      <c r="C283">
        <v>32.849998474121087</v>
      </c>
      <c r="D283">
        <v>31.430000305175781</v>
      </c>
      <c r="E283">
        <v>32.680000305175781</v>
      </c>
      <c r="F283">
        <v>17790300</v>
      </c>
      <c r="G283">
        <v>56827153960</v>
      </c>
      <c r="H283">
        <v>1738896984</v>
      </c>
    </row>
    <row r="284" spans="1:8" x14ac:dyDescent="0.25">
      <c r="A284" s="2">
        <v>44005</v>
      </c>
      <c r="B284">
        <v>32.880001068115227</v>
      </c>
      <c r="C284">
        <v>33.209999084472663</v>
      </c>
      <c r="D284">
        <v>32.590000152587891</v>
      </c>
      <c r="E284">
        <v>33.049999237060547</v>
      </c>
      <c r="F284">
        <v>13622100</v>
      </c>
      <c r="G284">
        <v>57470545849</v>
      </c>
      <c r="H284">
        <v>1738897040</v>
      </c>
    </row>
    <row r="285" spans="1:8" x14ac:dyDescent="0.25">
      <c r="A285" s="2">
        <v>44006</v>
      </c>
      <c r="B285">
        <v>32.75</v>
      </c>
      <c r="C285">
        <v>32.930000305175781</v>
      </c>
      <c r="D285">
        <v>30.454999923706051</v>
      </c>
      <c r="E285">
        <v>30.45999908447266</v>
      </c>
      <c r="F285">
        <v>29477200</v>
      </c>
      <c r="G285">
        <v>52966802620</v>
      </c>
      <c r="H285">
        <v>1738897052</v>
      </c>
    </row>
    <row r="286" spans="1:8" x14ac:dyDescent="0.25">
      <c r="A286" s="2">
        <v>44007</v>
      </c>
      <c r="B286">
        <v>30</v>
      </c>
      <c r="C286">
        <v>30.854999542236332</v>
      </c>
      <c r="D286">
        <v>29.559999465942379</v>
      </c>
      <c r="E286">
        <v>30.579999923706051</v>
      </c>
      <c r="F286">
        <v>19142800</v>
      </c>
      <c r="G286">
        <v>53175470260</v>
      </c>
      <c r="H286">
        <v>1738897004</v>
      </c>
    </row>
    <row r="287" spans="1:8" x14ac:dyDescent="0.25">
      <c r="A287" s="2">
        <v>44008</v>
      </c>
      <c r="B287">
        <v>30.440000534057621</v>
      </c>
      <c r="C287">
        <v>30.440000534057621</v>
      </c>
      <c r="D287">
        <v>29.20999908447266</v>
      </c>
      <c r="E287">
        <v>29.610000610351559</v>
      </c>
      <c r="F287">
        <v>46482300</v>
      </c>
      <c r="G287">
        <v>51488740170</v>
      </c>
      <c r="H287">
        <v>1738896964</v>
      </c>
    </row>
    <row r="288" spans="1:8" x14ac:dyDescent="0.25">
      <c r="A288" s="2">
        <v>44011</v>
      </c>
      <c r="B288">
        <v>29.510000228881839</v>
      </c>
      <c r="C288">
        <v>29.75</v>
      </c>
      <c r="D288">
        <v>28.389999389648441</v>
      </c>
      <c r="E288">
        <v>29.629999160766602</v>
      </c>
      <c r="F288">
        <v>20795400</v>
      </c>
      <c r="G288">
        <v>51523518110</v>
      </c>
      <c r="H288">
        <v>1738897049</v>
      </c>
    </row>
    <row r="289" spans="1:8" x14ac:dyDescent="0.25">
      <c r="A289" s="2">
        <v>44012</v>
      </c>
      <c r="B289">
        <v>30.829999923706051</v>
      </c>
      <c r="C289">
        <v>31.25</v>
      </c>
      <c r="D289">
        <v>30.129999160766602</v>
      </c>
      <c r="E289">
        <v>31.079999923706051</v>
      </c>
      <c r="F289">
        <v>21282800</v>
      </c>
      <c r="G289">
        <v>54546301320</v>
      </c>
      <c r="H289">
        <v>1755029004</v>
      </c>
    </row>
    <row r="290" spans="1:8" x14ac:dyDescent="0.25">
      <c r="A290" s="2">
        <v>44013</v>
      </c>
      <c r="B290">
        <v>30.95999908447266</v>
      </c>
      <c r="C290">
        <v>31.264999389648441</v>
      </c>
      <c r="D290">
        <v>30.16200065612793</v>
      </c>
      <c r="E290">
        <v>30.430000305175781</v>
      </c>
      <c r="F290">
        <v>13611500</v>
      </c>
      <c r="G290">
        <v>53405532470</v>
      </c>
      <c r="H290">
        <v>1755028982</v>
      </c>
    </row>
    <row r="291" spans="1:8" x14ac:dyDescent="0.25">
      <c r="A291" s="2">
        <v>44014</v>
      </c>
      <c r="B291">
        <v>31.020000457763668</v>
      </c>
      <c r="C291">
        <v>31.569999694824219</v>
      </c>
      <c r="D291">
        <v>30.510000228881839</v>
      </c>
      <c r="E291">
        <v>30.680000305175781</v>
      </c>
      <c r="F291">
        <v>14981100</v>
      </c>
      <c r="G291">
        <v>53844289720</v>
      </c>
      <c r="H291">
        <v>1755028983</v>
      </c>
    </row>
    <row r="292" spans="1:8" x14ac:dyDescent="0.25">
      <c r="A292" s="2">
        <v>44018</v>
      </c>
      <c r="B292">
        <v>33.099998474121087</v>
      </c>
      <c r="C292">
        <v>33.200000762939453</v>
      </c>
      <c r="D292">
        <v>31.760000228881839</v>
      </c>
      <c r="E292">
        <v>32.520000457763672</v>
      </c>
      <c r="F292">
        <v>42392200</v>
      </c>
      <c r="G292">
        <v>57073543080</v>
      </c>
      <c r="H292">
        <v>1755028975</v>
      </c>
    </row>
    <row r="293" spans="1:8" x14ac:dyDescent="0.25">
      <c r="A293" s="2">
        <v>44019</v>
      </c>
      <c r="B293">
        <v>32.459999084472663</v>
      </c>
      <c r="C293">
        <v>33.560001373291023</v>
      </c>
      <c r="D293">
        <v>32.389999389648438</v>
      </c>
      <c r="E293">
        <v>32.819999694824219</v>
      </c>
      <c r="F293">
        <v>34874700</v>
      </c>
      <c r="G293">
        <v>57600051780</v>
      </c>
      <c r="H293">
        <v>1755029016</v>
      </c>
    </row>
    <row r="294" spans="1:8" x14ac:dyDescent="0.25">
      <c r="A294" s="2">
        <v>44020</v>
      </c>
      <c r="B294">
        <v>33.209999084472663</v>
      </c>
      <c r="C294">
        <v>33.970001220703118</v>
      </c>
      <c r="D294">
        <v>32.680000305175781</v>
      </c>
      <c r="E294">
        <v>33.930000305175781</v>
      </c>
      <c r="F294">
        <v>24602400</v>
      </c>
      <c r="G294">
        <v>59548133970</v>
      </c>
      <c r="H294">
        <v>1755028984</v>
      </c>
    </row>
    <row r="295" spans="1:8" x14ac:dyDescent="0.25">
      <c r="A295" s="2">
        <v>44021</v>
      </c>
      <c r="B295">
        <v>34.240001678466797</v>
      </c>
      <c r="C295">
        <v>34.459999084472663</v>
      </c>
      <c r="D295">
        <v>32.259998321533203</v>
      </c>
      <c r="E295">
        <v>33.150001525878913</v>
      </c>
      <c r="F295">
        <v>25061800</v>
      </c>
      <c r="G295">
        <v>58179211350</v>
      </c>
      <c r="H295">
        <v>1755028919</v>
      </c>
    </row>
    <row r="296" spans="1:8" x14ac:dyDescent="0.25">
      <c r="A296" s="2">
        <v>44022</v>
      </c>
      <c r="B296">
        <v>33.139999389648438</v>
      </c>
      <c r="C296">
        <v>33.549999237060547</v>
      </c>
      <c r="D296">
        <v>32.650001525878913</v>
      </c>
      <c r="E296">
        <v>33.139999389648438</v>
      </c>
      <c r="F296">
        <v>13586300</v>
      </c>
      <c r="G296">
        <v>58161661060</v>
      </c>
      <c r="H296">
        <v>1755029032</v>
      </c>
    </row>
    <row r="297" spans="1:8" x14ac:dyDescent="0.25">
      <c r="A297" s="2">
        <v>44025</v>
      </c>
      <c r="B297">
        <v>33.209999084472663</v>
      </c>
      <c r="C297">
        <v>33.599998474121087</v>
      </c>
      <c r="D297">
        <v>31.659999847412109</v>
      </c>
      <c r="E297">
        <v>31.719999313354489</v>
      </c>
      <c r="F297">
        <v>19604800</v>
      </c>
      <c r="G297">
        <v>55669519880</v>
      </c>
      <c r="H297">
        <v>1755029038</v>
      </c>
    </row>
    <row r="298" spans="1:8" x14ac:dyDescent="0.25">
      <c r="A298" s="2">
        <v>44026</v>
      </c>
      <c r="B298">
        <v>31.35000038146973</v>
      </c>
      <c r="C298">
        <v>31.379999160766602</v>
      </c>
      <c r="D298">
        <v>30.479999542236332</v>
      </c>
      <c r="E298">
        <v>30.930000305175781</v>
      </c>
      <c r="F298">
        <v>21781800</v>
      </c>
      <c r="G298">
        <v>54283046970</v>
      </c>
      <c r="H298">
        <v>1755028983</v>
      </c>
    </row>
    <row r="299" spans="1:8" x14ac:dyDescent="0.25">
      <c r="A299" s="2">
        <v>44027</v>
      </c>
      <c r="B299">
        <v>32.099998474121087</v>
      </c>
      <c r="C299">
        <v>32.970001220703118</v>
      </c>
      <c r="D299">
        <v>31.680000305175781</v>
      </c>
      <c r="E299">
        <v>32.810001373291023</v>
      </c>
      <c r="F299">
        <v>20976500</v>
      </c>
      <c r="G299">
        <v>57582501490</v>
      </c>
      <c r="H299">
        <v>1755028927</v>
      </c>
    </row>
    <row r="300" spans="1:8" x14ac:dyDescent="0.25">
      <c r="A300" s="2">
        <v>44028</v>
      </c>
      <c r="B300">
        <v>32.049999237060547</v>
      </c>
      <c r="C300">
        <v>32.590000152587891</v>
      </c>
      <c r="D300">
        <v>31.54999923706055</v>
      </c>
      <c r="E300">
        <v>32.349998474121087</v>
      </c>
      <c r="F300">
        <v>11090800</v>
      </c>
      <c r="G300">
        <v>56775188150</v>
      </c>
      <c r="H300">
        <v>1755029083</v>
      </c>
    </row>
    <row r="301" spans="1:8" x14ac:dyDescent="0.25">
      <c r="A301" s="2">
        <v>44029</v>
      </c>
      <c r="B301">
        <v>32.580001831054688</v>
      </c>
      <c r="C301">
        <v>32.816001892089837</v>
      </c>
      <c r="D301">
        <v>31.85000038146973</v>
      </c>
      <c r="E301">
        <v>32.549999237060547</v>
      </c>
      <c r="F301">
        <v>13658700</v>
      </c>
      <c r="G301">
        <v>57126193949</v>
      </c>
      <c r="H301">
        <v>1755029041</v>
      </c>
    </row>
    <row r="302" spans="1:8" x14ac:dyDescent="0.25">
      <c r="A302" s="2">
        <v>44032</v>
      </c>
      <c r="B302">
        <v>32.479999542236328</v>
      </c>
      <c r="C302">
        <v>33.924999237060547</v>
      </c>
      <c r="D302">
        <v>32.349998474121087</v>
      </c>
      <c r="E302">
        <v>33.659999847412109</v>
      </c>
      <c r="F302">
        <v>16213600</v>
      </c>
      <c r="G302">
        <v>59074276139</v>
      </c>
      <c r="H302">
        <v>1755029008</v>
      </c>
    </row>
    <row r="303" spans="1:8" x14ac:dyDescent="0.25">
      <c r="A303" s="2">
        <v>44033</v>
      </c>
      <c r="B303">
        <v>34.159999847412109</v>
      </c>
      <c r="C303">
        <v>34.229999542236328</v>
      </c>
      <c r="D303">
        <v>32.529998779296882</v>
      </c>
      <c r="E303">
        <v>32.549999237060547</v>
      </c>
      <c r="F303">
        <v>16725100</v>
      </c>
      <c r="G303">
        <v>57126193949</v>
      </c>
      <c r="H303">
        <v>1755029041</v>
      </c>
    </row>
    <row r="304" spans="1:8" x14ac:dyDescent="0.25">
      <c r="A304" s="2">
        <v>44034</v>
      </c>
      <c r="B304">
        <v>32.439998626708977</v>
      </c>
      <c r="C304">
        <v>32.880001068115227</v>
      </c>
      <c r="D304">
        <v>32.330001831054688</v>
      </c>
      <c r="E304">
        <v>32.659999847412109</v>
      </c>
      <c r="F304">
        <v>12128400</v>
      </c>
      <c r="G304">
        <v>57319247139</v>
      </c>
      <c r="H304">
        <v>1755029008</v>
      </c>
    </row>
    <row r="305" spans="1:8" x14ac:dyDescent="0.25">
      <c r="A305" s="2">
        <v>44035</v>
      </c>
      <c r="B305">
        <v>32.330001831054688</v>
      </c>
      <c r="C305">
        <v>33.020000457763672</v>
      </c>
      <c r="D305">
        <v>31.982999801635739</v>
      </c>
      <c r="E305">
        <v>32.169998168945313</v>
      </c>
      <c r="F305">
        <v>12749800</v>
      </c>
      <c r="G305">
        <v>56459282930</v>
      </c>
      <c r="H305">
        <v>1755029100</v>
      </c>
    </row>
    <row r="306" spans="1:8" x14ac:dyDescent="0.25">
      <c r="A306" s="2">
        <v>44036</v>
      </c>
      <c r="B306">
        <v>31.739999771118161</v>
      </c>
      <c r="C306">
        <v>31.79999923706055</v>
      </c>
      <c r="D306">
        <v>30.469999313354489</v>
      </c>
      <c r="E306">
        <v>31.180000305175781</v>
      </c>
      <c r="F306">
        <v>16896100</v>
      </c>
      <c r="G306">
        <v>54721804220</v>
      </c>
      <c r="H306">
        <v>1755028983</v>
      </c>
    </row>
    <row r="307" spans="1:8" x14ac:dyDescent="0.25">
      <c r="A307" s="2">
        <v>44039</v>
      </c>
      <c r="B307">
        <v>31.20999908447266</v>
      </c>
      <c r="C307">
        <v>31.60000038146973</v>
      </c>
      <c r="D307">
        <v>30.75</v>
      </c>
      <c r="E307">
        <v>30.989999771118161</v>
      </c>
      <c r="F307">
        <v>10182300</v>
      </c>
      <c r="G307">
        <v>54388348710</v>
      </c>
      <c r="H307">
        <v>1755029013</v>
      </c>
    </row>
    <row r="308" spans="1:8" x14ac:dyDescent="0.25">
      <c r="A308" s="2">
        <v>44040</v>
      </c>
      <c r="B308">
        <v>30.79000091552734</v>
      </c>
      <c r="C308">
        <v>31.239999771118161</v>
      </c>
      <c r="D308">
        <v>30.35000038146973</v>
      </c>
      <c r="E308">
        <v>30.809999465942379</v>
      </c>
      <c r="F308">
        <v>12977100</v>
      </c>
      <c r="G308">
        <v>54072443490</v>
      </c>
      <c r="H308">
        <v>1755029030</v>
      </c>
    </row>
    <row r="309" spans="1:8" x14ac:dyDescent="0.25">
      <c r="A309" s="2">
        <v>44041</v>
      </c>
      <c r="B309">
        <v>30.920000076293949</v>
      </c>
      <c r="C309">
        <v>31.260000228881839</v>
      </c>
      <c r="D309">
        <v>30.770000457763668</v>
      </c>
      <c r="E309">
        <v>31.020000457763668</v>
      </c>
      <c r="F309">
        <v>8215900</v>
      </c>
      <c r="G309">
        <v>54440999580</v>
      </c>
      <c r="H309">
        <v>1755028974</v>
      </c>
    </row>
    <row r="310" spans="1:8" x14ac:dyDescent="0.25">
      <c r="A310" s="2">
        <v>44042</v>
      </c>
      <c r="B310">
        <v>30.64999961853027</v>
      </c>
      <c r="C310">
        <v>30.680000305175781</v>
      </c>
      <c r="D310">
        <v>29.969999313354489</v>
      </c>
      <c r="E310">
        <v>30.239999771118161</v>
      </c>
      <c r="F310">
        <v>13062900</v>
      </c>
      <c r="G310">
        <v>53072076960</v>
      </c>
      <c r="H310">
        <v>1755029013</v>
      </c>
    </row>
    <row r="311" spans="1:8" x14ac:dyDescent="0.25">
      <c r="A311" s="2">
        <v>44043</v>
      </c>
      <c r="B311">
        <v>30.39999961853027</v>
      </c>
      <c r="C311">
        <v>30.420000076293949</v>
      </c>
      <c r="D311">
        <v>29.784999847412109</v>
      </c>
      <c r="E311">
        <v>30.260000228881839</v>
      </c>
      <c r="F311">
        <v>16346800</v>
      </c>
      <c r="G311">
        <v>53107177540</v>
      </c>
      <c r="H311">
        <v>1755028987</v>
      </c>
    </row>
    <row r="312" spans="1:8" x14ac:dyDescent="0.25">
      <c r="A312" s="2">
        <v>44046</v>
      </c>
      <c r="B312">
        <v>30.239999771118161</v>
      </c>
      <c r="C312">
        <v>31.295000076293949</v>
      </c>
      <c r="D312">
        <v>30.059999465942379</v>
      </c>
      <c r="E312">
        <v>31.190000534057621</v>
      </c>
      <c r="F312">
        <v>17078900</v>
      </c>
      <c r="G312">
        <v>54739354510</v>
      </c>
      <c r="H312">
        <v>1755028970</v>
      </c>
    </row>
    <row r="313" spans="1:8" x14ac:dyDescent="0.25">
      <c r="A313" s="2">
        <v>44047</v>
      </c>
      <c r="B313">
        <v>31.170000076293949</v>
      </c>
      <c r="C313">
        <v>32.845001220703118</v>
      </c>
      <c r="D313">
        <v>31.170000076293949</v>
      </c>
      <c r="E313">
        <v>32.680000305175781</v>
      </c>
      <c r="F313">
        <v>21958100</v>
      </c>
      <c r="G313">
        <v>57354347720</v>
      </c>
      <c r="H313">
        <v>1755028984</v>
      </c>
    </row>
    <row r="314" spans="1:8" x14ac:dyDescent="0.25">
      <c r="A314" s="2">
        <v>44048</v>
      </c>
      <c r="B314">
        <v>33.099998474121087</v>
      </c>
      <c r="C314">
        <v>33.319999694824219</v>
      </c>
      <c r="D314">
        <v>32.5</v>
      </c>
      <c r="E314">
        <v>33.200000762939453</v>
      </c>
      <c r="F314">
        <v>16987800</v>
      </c>
      <c r="G314">
        <v>58266962800</v>
      </c>
      <c r="H314">
        <v>1755028960</v>
      </c>
    </row>
    <row r="315" spans="1:8" x14ac:dyDescent="0.25">
      <c r="A315" s="2">
        <v>44049</v>
      </c>
      <c r="B315">
        <v>33.270000457763672</v>
      </c>
      <c r="C315">
        <v>34.794998168945313</v>
      </c>
      <c r="D315">
        <v>33.209999084472663</v>
      </c>
      <c r="E315">
        <v>34.709999084472663</v>
      </c>
      <c r="F315">
        <v>38601500</v>
      </c>
      <c r="G315">
        <v>60917056590</v>
      </c>
      <c r="H315">
        <v>1755029046</v>
      </c>
    </row>
    <row r="316" spans="1:8" x14ac:dyDescent="0.25">
      <c r="A316" s="2">
        <v>44050</v>
      </c>
      <c r="B316">
        <v>33.090000152587891</v>
      </c>
      <c r="C316">
        <v>33.700000762939453</v>
      </c>
      <c r="D316">
        <v>32.450000762939453</v>
      </c>
      <c r="E316">
        <v>32.900001525878913</v>
      </c>
      <c r="F316">
        <v>39071200</v>
      </c>
      <c r="G316">
        <v>57740454100</v>
      </c>
      <c r="H316">
        <v>1755028919</v>
      </c>
    </row>
    <row r="317" spans="1:8" x14ac:dyDescent="0.25">
      <c r="A317" s="2">
        <v>44053</v>
      </c>
      <c r="B317">
        <v>33.040000915527337</v>
      </c>
      <c r="C317">
        <v>33.180000305175781</v>
      </c>
      <c r="D317">
        <v>31.510000228881839</v>
      </c>
      <c r="E317">
        <v>32.270000457763672</v>
      </c>
      <c r="F317">
        <v>21347600</v>
      </c>
      <c r="G317">
        <v>56634785830</v>
      </c>
      <c r="H317">
        <v>1755028975</v>
      </c>
    </row>
    <row r="318" spans="1:8" x14ac:dyDescent="0.25">
      <c r="A318" s="2">
        <v>44054</v>
      </c>
      <c r="B318">
        <v>31.659999847412109</v>
      </c>
      <c r="C318">
        <v>32.209999084472663</v>
      </c>
      <c r="D318">
        <v>30.64999961853027</v>
      </c>
      <c r="E318">
        <v>31.20999908447266</v>
      </c>
      <c r="F318">
        <v>31569900</v>
      </c>
      <c r="G318">
        <v>54774455090</v>
      </c>
      <c r="H318">
        <v>1755029051</v>
      </c>
    </row>
    <row r="319" spans="1:8" x14ac:dyDescent="0.25">
      <c r="A319" s="2">
        <v>44055</v>
      </c>
      <c r="B319">
        <v>31.45999908447266</v>
      </c>
      <c r="C319">
        <v>32.220001220703118</v>
      </c>
      <c r="D319">
        <v>30.690000534057621</v>
      </c>
      <c r="E319">
        <v>30.840000152587891</v>
      </c>
      <c r="F319">
        <v>23375900</v>
      </c>
      <c r="G319">
        <v>54125094360</v>
      </c>
      <c r="H319">
        <v>1755028991</v>
      </c>
    </row>
    <row r="320" spans="1:8" x14ac:dyDescent="0.25">
      <c r="A320" s="2">
        <v>44056</v>
      </c>
      <c r="B320">
        <v>30.520000457763668</v>
      </c>
      <c r="C320">
        <v>31.329999923706051</v>
      </c>
      <c r="D320">
        <v>30.319999694824219</v>
      </c>
      <c r="E320">
        <v>30.45999908447266</v>
      </c>
      <c r="F320">
        <v>21976800</v>
      </c>
      <c r="G320">
        <v>53458183340</v>
      </c>
      <c r="H320">
        <v>1755029053</v>
      </c>
    </row>
    <row r="321" spans="1:8" x14ac:dyDescent="0.25">
      <c r="A321" s="2">
        <v>44057</v>
      </c>
      <c r="B321">
        <v>30.39999961853027</v>
      </c>
      <c r="C321">
        <v>30.489999771118161</v>
      </c>
      <c r="D321">
        <v>29.815000534057621</v>
      </c>
      <c r="E321">
        <v>29.989999771118161</v>
      </c>
      <c r="F321">
        <v>17631600</v>
      </c>
      <c r="G321">
        <v>52633319710</v>
      </c>
      <c r="H321">
        <v>1755029013</v>
      </c>
    </row>
    <row r="322" spans="1:8" x14ac:dyDescent="0.25">
      <c r="A322" s="2">
        <v>44060</v>
      </c>
      <c r="B322">
        <v>30.04999923706055</v>
      </c>
      <c r="C322">
        <v>30.120000839233398</v>
      </c>
      <c r="D322">
        <v>29.139999389648441</v>
      </c>
      <c r="E322">
        <v>29.479999542236332</v>
      </c>
      <c r="F322">
        <v>18544700</v>
      </c>
      <c r="G322">
        <v>51738254920</v>
      </c>
      <c r="H322">
        <v>1755029027</v>
      </c>
    </row>
    <row r="323" spans="1:8" x14ac:dyDescent="0.25">
      <c r="A323" s="2">
        <v>44061</v>
      </c>
      <c r="B323">
        <v>29.5</v>
      </c>
      <c r="C323">
        <v>30.45999908447266</v>
      </c>
      <c r="D323">
        <v>29.409999847412109</v>
      </c>
      <c r="E323">
        <v>30.079999923706051</v>
      </c>
      <c r="F323">
        <v>29398200</v>
      </c>
      <c r="G323">
        <v>52791272320</v>
      </c>
      <c r="H323">
        <v>1755029004</v>
      </c>
    </row>
    <row r="324" spans="1:8" x14ac:dyDescent="0.25">
      <c r="A324" s="2">
        <v>44062</v>
      </c>
      <c r="B324">
        <v>30.14999961853027</v>
      </c>
      <c r="C324">
        <v>30.349000930786129</v>
      </c>
      <c r="D324">
        <v>29.389999389648441</v>
      </c>
      <c r="E324">
        <v>29.420000076293949</v>
      </c>
      <c r="F324">
        <v>14050300</v>
      </c>
      <c r="G324">
        <v>51632953180</v>
      </c>
      <c r="H324">
        <v>1755028995</v>
      </c>
    </row>
    <row r="325" spans="1:8" x14ac:dyDescent="0.25">
      <c r="A325" s="2">
        <v>44063</v>
      </c>
      <c r="B325">
        <v>29.129999160766602</v>
      </c>
      <c r="C325">
        <v>31.70000076293945</v>
      </c>
      <c r="D325">
        <v>28.479999542236332</v>
      </c>
      <c r="E325">
        <v>31.409999847412109</v>
      </c>
      <c r="F325">
        <v>56663300</v>
      </c>
      <c r="G325">
        <v>55125460890</v>
      </c>
      <c r="H325">
        <v>1755029009</v>
      </c>
    </row>
    <row r="326" spans="1:8" x14ac:dyDescent="0.25">
      <c r="A326" s="2">
        <v>44064</v>
      </c>
      <c r="B326">
        <v>31.389999389648441</v>
      </c>
      <c r="C326">
        <v>31.819999694824219</v>
      </c>
      <c r="D326">
        <v>30.7140007019043</v>
      </c>
      <c r="E326">
        <v>30.829999923706051</v>
      </c>
      <c r="F326">
        <v>20217000</v>
      </c>
      <c r="G326">
        <v>54107544070</v>
      </c>
      <c r="H326">
        <v>1755029004</v>
      </c>
    </row>
    <row r="327" spans="1:8" x14ac:dyDescent="0.25">
      <c r="A327" s="2">
        <v>44067</v>
      </c>
      <c r="B327">
        <v>30.969999313354489</v>
      </c>
      <c r="C327">
        <v>31.29999923706055</v>
      </c>
      <c r="D327">
        <v>30.370000839233398</v>
      </c>
      <c r="E327">
        <v>31.04000091552734</v>
      </c>
      <c r="F327">
        <v>17406200</v>
      </c>
      <c r="G327">
        <v>54476100160</v>
      </c>
      <c r="H327">
        <v>1755028948</v>
      </c>
    </row>
    <row r="328" spans="1:8" x14ac:dyDescent="0.25">
      <c r="A328" s="2">
        <v>44068</v>
      </c>
      <c r="B328">
        <v>31.04000091552734</v>
      </c>
      <c r="C328">
        <v>31.190000534057621</v>
      </c>
      <c r="D328">
        <v>30.60000038146973</v>
      </c>
      <c r="E328">
        <v>31.190000534057621</v>
      </c>
      <c r="F328">
        <v>10056800</v>
      </c>
      <c r="G328">
        <v>54739354510</v>
      </c>
      <c r="H328">
        <v>1755028970</v>
      </c>
    </row>
    <row r="329" spans="1:8" x14ac:dyDescent="0.25">
      <c r="A329" s="2">
        <v>44069</v>
      </c>
      <c r="B329">
        <v>31.010000228881839</v>
      </c>
      <c r="C329">
        <v>32.709999084472663</v>
      </c>
      <c r="D329">
        <v>30.95000076293945</v>
      </c>
      <c r="E329">
        <v>32.299999237060547</v>
      </c>
      <c r="F329">
        <v>20599800</v>
      </c>
      <c r="G329">
        <v>56687436699</v>
      </c>
      <c r="H329">
        <v>1755029041</v>
      </c>
    </row>
    <row r="330" spans="1:8" x14ac:dyDescent="0.25">
      <c r="A330" s="2">
        <v>44070</v>
      </c>
      <c r="B330">
        <v>32.400001525878913</v>
      </c>
      <c r="C330">
        <v>33.069999694824219</v>
      </c>
      <c r="D330">
        <v>32.270000457763672</v>
      </c>
      <c r="E330">
        <v>32.799999237060547</v>
      </c>
      <c r="F330">
        <v>21306500</v>
      </c>
      <c r="G330">
        <v>57564951199</v>
      </c>
      <c r="H330">
        <v>1755029041</v>
      </c>
    </row>
    <row r="331" spans="1:8" x14ac:dyDescent="0.25">
      <c r="A331" s="2">
        <v>44071</v>
      </c>
      <c r="B331">
        <v>33</v>
      </c>
      <c r="C331">
        <v>33.939998626708977</v>
      </c>
      <c r="D331">
        <v>32.819999694824219</v>
      </c>
      <c r="E331">
        <v>33.799999237060547</v>
      </c>
      <c r="F331">
        <v>17825600</v>
      </c>
      <c r="G331">
        <v>59319980199</v>
      </c>
      <c r="H331">
        <v>1755029040</v>
      </c>
    </row>
    <row r="332" spans="1:8" x14ac:dyDescent="0.25">
      <c r="A332" s="2">
        <v>44074</v>
      </c>
      <c r="B332">
        <v>33.619998931884773</v>
      </c>
      <c r="C332">
        <v>33.919998168945313</v>
      </c>
      <c r="D332">
        <v>33.139999389648438</v>
      </c>
      <c r="E332">
        <v>33.630001068115227</v>
      </c>
      <c r="F332">
        <v>14980600</v>
      </c>
      <c r="G332">
        <v>59021625270</v>
      </c>
      <c r="H332">
        <v>1755028944</v>
      </c>
    </row>
    <row r="333" spans="1:8" x14ac:dyDescent="0.25">
      <c r="A333" s="2">
        <v>44075</v>
      </c>
      <c r="B333">
        <v>33.450000762939453</v>
      </c>
      <c r="C333">
        <v>34.509998321533203</v>
      </c>
      <c r="D333">
        <v>33.145000457763672</v>
      </c>
      <c r="E333">
        <v>34.299999237060547</v>
      </c>
      <c r="F333">
        <v>16013900</v>
      </c>
      <c r="G333">
        <v>60197494699</v>
      </c>
      <c r="H333">
        <v>1755029039</v>
      </c>
    </row>
    <row r="334" spans="1:8" x14ac:dyDescent="0.25">
      <c r="A334" s="2">
        <v>44076</v>
      </c>
      <c r="B334">
        <v>34.209999084472663</v>
      </c>
      <c r="C334">
        <v>34.505001068115227</v>
      </c>
      <c r="D334">
        <v>33.290000915527337</v>
      </c>
      <c r="E334">
        <v>34.369998931884773</v>
      </c>
      <c r="F334">
        <v>16552700</v>
      </c>
      <c r="G334">
        <v>60320346729</v>
      </c>
      <c r="H334">
        <v>1755029055</v>
      </c>
    </row>
    <row r="335" spans="1:8" x14ac:dyDescent="0.25">
      <c r="A335" s="2">
        <v>44077</v>
      </c>
      <c r="B335">
        <v>34.080001831054688</v>
      </c>
      <c r="C335">
        <v>34.740001678466797</v>
      </c>
      <c r="D335">
        <v>32.950000762939453</v>
      </c>
      <c r="E335">
        <v>33.409999847412109</v>
      </c>
      <c r="F335">
        <v>17288800</v>
      </c>
      <c r="G335">
        <v>58635518889</v>
      </c>
      <c r="H335">
        <v>1755029008</v>
      </c>
    </row>
    <row r="336" spans="1:8" x14ac:dyDescent="0.25">
      <c r="A336" s="2">
        <v>44078</v>
      </c>
      <c r="B336">
        <v>33.330001831054688</v>
      </c>
      <c r="C336">
        <v>33.650001525878913</v>
      </c>
      <c r="D336">
        <v>31.54999923706055</v>
      </c>
      <c r="E336">
        <v>33.240001678466797</v>
      </c>
      <c r="F336">
        <v>17480600</v>
      </c>
      <c r="G336">
        <v>58337163960</v>
      </c>
      <c r="H336">
        <v>1755028911</v>
      </c>
    </row>
    <row r="337" spans="1:8" x14ac:dyDescent="0.25">
      <c r="A337" s="2">
        <v>44082</v>
      </c>
      <c r="B337">
        <v>32.360000610351563</v>
      </c>
      <c r="C337">
        <v>35.099998474121087</v>
      </c>
      <c r="D337">
        <v>32.159999847412109</v>
      </c>
      <c r="E337">
        <v>34.319999694824219</v>
      </c>
      <c r="F337">
        <v>33683500</v>
      </c>
      <c r="G337">
        <v>60232595280</v>
      </c>
      <c r="H337">
        <v>1755029016</v>
      </c>
    </row>
    <row r="338" spans="1:8" x14ac:dyDescent="0.25">
      <c r="A338" s="2">
        <v>44083</v>
      </c>
      <c r="B338">
        <v>34.110000610351563</v>
      </c>
      <c r="C338">
        <v>35.5</v>
      </c>
      <c r="D338">
        <v>34.110000610351563</v>
      </c>
      <c r="E338">
        <v>35.009998321533203</v>
      </c>
      <c r="F338">
        <v>22803500</v>
      </c>
      <c r="G338">
        <v>61443565290</v>
      </c>
      <c r="H338">
        <v>1755029084</v>
      </c>
    </row>
    <row r="339" spans="1:8" x14ac:dyDescent="0.25">
      <c r="A339" s="2">
        <v>44084</v>
      </c>
      <c r="B339">
        <v>35.200000762939453</v>
      </c>
      <c r="C339">
        <v>36.779998779296882</v>
      </c>
      <c r="D339">
        <v>35.189998626708977</v>
      </c>
      <c r="E339">
        <v>35.979999542236328</v>
      </c>
      <c r="F339">
        <v>35468300</v>
      </c>
      <c r="G339">
        <v>63145943419</v>
      </c>
      <c r="H339">
        <v>1755029022</v>
      </c>
    </row>
    <row r="340" spans="1:8" x14ac:dyDescent="0.25">
      <c r="A340" s="2">
        <v>44085</v>
      </c>
      <c r="B340">
        <v>36.299999237060547</v>
      </c>
      <c r="C340">
        <v>37.145000457763672</v>
      </c>
      <c r="D340">
        <v>36.254001617431641</v>
      </c>
      <c r="E340">
        <v>36.979999542236328</v>
      </c>
      <c r="F340">
        <v>27130900</v>
      </c>
      <c r="G340">
        <v>64900972419</v>
      </c>
      <c r="H340">
        <v>1755029022</v>
      </c>
    </row>
    <row r="341" spans="1:8" x14ac:dyDescent="0.25">
      <c r="A341" s="2">
        <v>44088</v>
      </c>
      <c r="B341">
        <v>37.099998474121087</v>
      </c>
      <c r="C341">
        <v>38</v>
      </c>
      <c r="D341">
        <v>37.080001831054688</v>
      </c>
      <c r="E341">
        <v>37.950000762939453</v>
      </c>
      <c r="F341">
        <v>28016000</v>
      </c>
      <c r="G341">
        <v>66603350550</v>
      </c>
      <c r="H341">
        <v>1755028965</v>
      </c>
    </row>
    <row r="342" spans="1:8" x14ac:dyDescent="0.25">
      <c r="A342" s="2">
        <v>44089</v>
      </c>
      <c r="B342">
        <v>37.950000762939453</v>
      </c>
      <c r="C342">
        <v>38.479999542236328</v>
      </c>
      <c r="D342">
        <v>37.270000457763672</v>
      </c>
      <c r="E342">
        <v>37.470001220703118</v>
      </c>
      <c r="F342">
        <v>23532600</v>
      </c>
      <c r="G342">
        <v>65760936630</v>
      </c>
      <c r="H342">
        <v>1755028943</v>
      </c>
    </row>
    <row r="343" spans="1:8" x14ac:dyDescent="0.25">
      <c r="A343" s="2">
        <v>44090</v>
      </c>
      <c r="B343">
        <v>37.389999389648438</v>
      </c>
      <c r="C343">
        <v>38.520000457763672</v>
      </c>
      <c r="D343">
        <v>37.389999389648438</v>
      </c>
      <c r="E343">
        <v>37.659999847412109</v>
      </c>
      <c r="F343">
        <v>21787100</v>
      </c>
      <c r="G343">
        <v>66094392139</v>
      </c>
      <c r="H343">
        <v>1755029007</v>
      </c>
    </row>
    <row r="344" spans="1:8" x14ac:dyDescent="0.25">
      <c r="A344" s="2">
        <v>44091</v>
      </c>
      <c r="B344">
        <v>36.680000305175781</v>
      </c>
      <c r="C344">
        <v>37.444999694824219</v>
      </c>
      <c r="D344">
        <v>36.139999389648438</v>
      </c>
      <c r="E344">
        <v>37.060001373291023</v>
      </c>
      <c r="F344">
        <v>23534800</v>
      </c>
      <c r="G344">
        <v>65041374740</v>
      </c>
      <c r="H344">
        <v>1755028935</v>
      </c>
    </row>
    <row r="345" spans="1:8" x14ac:dyDescent="0.25">
      <c r="A345" s="2">
        <v>44092</v>
      </c>
      <c r="B345">
        <v>37.150001525878913</v>
      </c>
      <c r="C345">
        <v>37.564998626708977</v>
      </c>
      <c r="D345">
        <v>36.389999389648438</v>
      </c>
      <c r="E345">
        <v>37.119998931884773</v>
      </c>
      <c r="F345">
        <v>68428600</v>
      </c>
      <c r="G345">
        <v>65146676479</v>
      </c>
      <c r="H345">
        <v>1755029050</v>
      </c>
    </row>
    <row r="346" spans="1:8" x14ac:dyDescent="0.25">
      <c r="A346" s="2">
        <v>44095</v>
      </c>
      <c r="B346">
        <v>35.860000610351563</v>
      </c>
      <c r="C346">
        <v>36.580001831054688</v>
      </c>
      <c r="D346">
        <v>35.119998931884773</v>
      </c>
      <c r="E346">
        <v>36.490001678466797</v>
      </c>
      <c r="F346">
        <v>19100800</v>
      </c>
      <c r="G346">
        <v>64041008210</v>
      </c>
      <c r="H346">
        <v>1755028919</v>
      </c>
    </row>
    <row r="347" spans="1:8" x14ac:dyDescent="0.25">
      <c r="A347" s="2">
        <v>44096</v>
      </c>
      <c r="B347">
        <v>36.529998779296882</v>
      </c>
      <c r="C347">
        <v>36.549999237060547</v>
      </c>
      <c r="D347">
        <v>34.099998474121087</v>
      </c>
      <c r="E347">
        <v>34.400001525878913</v>
      </c>
      <c r="F347">
        <v>28242800</v>
      </c>
      <c r="G347">
        <v>60372997600</v>
      </c>
      <c r="H347">
        <v>1755028922</v>
      </c>
    </row>
    <row r="348" spans="1:8" x14ac:dyDescent="0.25">
      <c r="A348" s="2">
        <v>44097</v>
      </c>
      <c r="B348">
        <v>34.450000762939453</v>
      </c>
      <c r="C348">
        <v>34.805000305175781</v>
      </c>
      <c r="D348">
        <v>33.400001525878913</v>
      </c>
      <c r="E348">
        <v>33.549999237060547</v>
      </c>
      <c r="F348">
        <v>15796900</v>
      </c>
      <c r="G348">
        <v>58881222949</v>
      </c>
      <c r="H348">
        <v>1755029040</v>
      </c>
    </row>
    <row r="349" spans="1:8" x14ac:dyDescent="0.25">
      <c r="A349" s="2">
        <v>44098</v>
      </c>
      <c r="B349">
        <v>33.659999847412109</v>
      </c>
      <c r="C349">
        <v>34</v>
      </c>
      <c r="D349">
        <v>32.889999389648438</v>
      </c>
      <c r="E349">
        <v>33.349998474121087</v>
      </c>
      <c r="F349">
        <v>16404100</v>
      </c>
      <c r="G349">
        <v>58530217150</v>
      </c>
      <c r="H349">
        <v>1755029080</v>
      </c>
    </row>
    <row r="350" spans="1:8" x14ac:dyDescent="0.25">
      <c r="A350" s="2">
        <v>44099</v>
      </c>
      <c r="B350">
        <v>33.200000762939453</v>
      </c>
      <c r="C350">
        <v>34.5</v>
      </c>
      <c r="D350">
        <v>33.200000762939453</v>
      </c>
      <c r="E350">
        <v>34.459999084472663</v>
      </c>
      <c r="F350">
        <v>10736300</v>
      </c>
      <c r="G350">
        <v>60478299340</v>
      </c>
      <c r="H350">
        <v>1755029047</v>
      </c>
    </row>
    <row r="351" spans="1:8" x14ac:dyDescent="0.25">
      <c r="A351" s="2">
        <v>44102</v>
      </c>
      <c r="B351">
        <v>35.799999237060547</v>
      </c>
      <c r="C351">
        <v>36.625</v>
      </c>
      <c r="D351">
        <v>35.259998321533203</v>
      </c>
      <c r="E351">
        <v>35.560001373291023</v>
      </c>
      <c r="F351">
        <v>22878400</v>
      </c>
      <c r="G351">
        <v>62408831240</v>
      </c>
      <c r="H351">
        <v>1755028932</v>
      </c>
    </row>
    <row r="352" spans="1:8" x14ac:dyDescent="0.25">
      <c r="A352" s="2">
        <v>44103</v>
      </c>
      <c r="B352">
        <v>35.560001373291023</v>
      </c>
      <c r="C352">
        <v>35.650001525878913</v>
      </c>
      <c r="D352">
        <v>34.595001220703118</v>
      </c>
      <c r="E352">
        <v>35.430000305175781</v>
      </c>
      <c r="F352">
        <v>16488700</v>
      </c>
      <c r="G352">
        <v>62180677470</v>
      </c>
      <c r="H352">
        <v>1755028985</v>
      </c>
    </row>
    <row r="353" spans="1:8" x14ac:dyDescent="0.25">
      <c r="A353" s="2">
        <v>44104</v>
      </c>
      <c r="B353">
        <v>35.279998779296882</v>
      </c>
      <c r="C353">
        <v>36.5</v>
      </c>
      <c r="D353">
        <v>35.279998779296882</v>
      </c>
      <c r="E353">
        <v>36.479999542236328</v>
      </c>
      <c r="F353">
        <v>21386300</v>
      </c>
      <c r="G353">
        <v>65080611730</v>
      </c>
      <c r="H353">
        <v>1784008019</v>
      </c>
    </row>
    <row r="354" spans="1:8" x14ac:dyDescent="0.25">
      <c r="A354" s="2">
        <v>44105</v>
      </c>
      <c r="B354">
        <v>36.860000610351563</v>
      </c>
      <c r="C354">
        <v>37.827999114990227</v>
      </c>
      <c r="D354">
        <v>36.580001831054688</v>
      </c>
      <c r="E354">
        <v>37.139999389648438</v>
      </c>
      <c r="F354">
        <v>19187500</v>
      </c>
      <c r="G354">
        <v>66258057008</v>
      </c>
      <c r="H354">
        <v>1784008026</v>
      </c>
    </row>
    <row r="355" spans="1:8" x14ac:dyDescent="0.25">
      <c r="A355" s="2">
        <v>44106</v>
      </c>
      <c r="B355">
        <v>36</v>
      </c>
      <c r="C355">
        <v>37.990001678466797</v>
      </c>
      <c r="D355">
        <v>35.939998626708977</v>
      </c>
      <c r="E355">
        <v>37.720001220703118</v>
      </c>
      <c r="F355">
        <v>20123400</v>
      </c>
      <c r="G355">
        <v>67292781646</v>
      </c>
      <c r="H355">
        <v>1784007939</v>
      </c>
    </row>
    <row r="356" spans="1:8" x14ac:dyDescent="0.25">
      <c r="A356" s="2">
        <v>44109</v>
      </c>
      <c r="B356">
        <v>37.700000762939453</v>
      </c>
      <c r="C356">
        <v>38</v>
      </c>
      <c r="D356">
        <v>36.880001068115227</v>
      </c>
      <c r="E356">
        <v>37.139999389648438</v>
      </c>
      <c r="F356">
        <v>13093100</v>
      </c>
      <c r="G356">
        <v>66258057008</v>
      </c>
      <c r="H356">
        <v>1784008026</v>
      </c>
    </row>
    <row r="357" spans="1:8" x14ac:dyDescent="0.25">
      <c r="A357" s="2">
        <v>44110</v>
      </c>
      <c r="B357">
        <v>37.169998168945313</v>
      </c>
      <c r="C357">
        <v>37.369998931884773</v>
      </c>
      <c r="D357">
        <v>36.040000915527337</v>
      </c>
      <c r="E357">
        <v>36.259998321533203</v>
      </c>
      <c r="F357">
        <v>13074700</v>
      </c>
      <c r="G357">
        <v>64688129971</v>
      </c>
      <c r="H357">
        <v>1784008080</v>
      </c>
    </row>
    <row r="358" spans="1:8" x14ac:dyDescent="0.25">
      <c r="A358" s="2">
        <v>44111</v>
      </c>
      <c r="B358">
        <v>36.590000152587891</v>
      </c>
      <c r="C358">
        <v>37.110000610351563</v>
      </c>
      <c r="D358">
        <v>36.365001678466797</v>
      </c>
      <c r="E358">
        <v>36.779998779296882</v>
      </c>
      <c r="F358">
        <v>13782100</v>
      </c>
      <c r="G358">
        <v>65615814129</v>
      </c>
      <c r="H358">
        <v>1784008056</v>
      </c>
    </row>
    <row r="359" spans="1:8" x14ac:dyDescent="0.25">
      <c r="A359" s="2">
        <v>44112</v>
      </c>
      <c r="B359">
        <v>37</v>
      </c>
      <c r="C359">
        <v>37.830001831054688</v>
      </c>
      <c r="D359">
        <v>36.959999084472663</v>
      </c>
      <c r="E359">
        <v>37.340000152587891</v>
      </c>
      <c r="F359">
        <v>12212400</v>
      </c>
      <c r="G359">
        <v>66614858607</v>
      </c>
      <c r="H359">
        <v>1784007990</v>
      </c>
    </row>
    <row r="360" spans="1:8" x14ac:dyDescent="0.25">
      <c r="A360" s="2">
        <v>44113</v>
      </c>
      <c r="B360">
        <v>37.909999847412109</v>
      </c>
      <c r="C360">
        <v>38.349998474121087</v>
      </c>
      <c r="D360">
        <v>37.189998626708977</v>
      </c>
      <c r="E360">
        <v>37.270000457763672</v>
      </c>
      <c r="F360">
        <v>13172000</v>
      </c>
      <c r="G360">
        <v>66489978048</v>
      </c>
      <c r="H360">
        <v>1784007975</v>
      </c>
    </row>
    <row r="361" spans="1:8" x14ac:dyDescent="0.25">
      <c r="A361" s="2">
        <v>44116</v>
      </c>
      <c r="B361">
        <v>37.560001373291023</v>
      </c>
      <c r="C361">
        <v>37.560001373291023</v>
      </c>
      <c r="D361">
        <v>36.174999237060547</v>
      </c>
      <c r="E361">
        <v>36.259998321533203</v>
      </c>
      <c r="F361">
        <v>16569400</v>
      </c>
      <c r="G361">
        <v>64688129971</v>
      </c>
      <c r="H361">
        <v>1784008080</v>
      </c>
    </row>
    <row r="362" spans="1:8" x14ac:dyDescent="0.25">
      <c r="A362" s="2">
        <v>44117</v>
      </c>
      <c r="B362">
        <v>36.220001220703118</v>
      </c>
      <c r="C362">
        <v>36.229999542236328</v>
      </c>
      <c r="D362">
        <v>35.020000457763672</v>
      </c>
      <c r="E362">
        <v>35.560001373291023</v>
      </c>
      <c r="F362">
        <v>15463100</v>
      </c>
      <c r="G362">
        <v>63439324373</v>
      </c>
      <c r="H362">
        <v>1784007928</v>
      </c>
    </row>
    <row r="363" spans="1:8" x14ac:dyDescent="0.25">
      <c r="A363" s="2">
        <v>44118</v>
      </c>
      <c r="B363">
        <v>35.689998626708977</v>
      </c>
      <c r="C363">
        <v>36.090000152587891</v>
      </c>
      <c r="D363">
        <v>35.075000762939453</v>
      </c>
      <c r="E363">
        <v>35.110000610351563</v>
      </c>
      <c r="F363">
        <v>15397200</v>
      </c>
      <c r="G363">
        <v>62636520774</v>
      </c>
      <c r="H363">
        <v>1784007966</v>
      </c>
    </row>
    <row r="364" spans="1:8" x14ac:dyDescent="0.25">
      <c r="A364" s="2">
        <v>44119</v>
      </c>
      <c r="B364">
        <v>34.680000305175781</v>
      </c>
      <c r="C364">
        <v>34.810001373291023</v>
      </c>
      <c r="D364">
        <v>34.020000457763672</v>
      </c>
      <c r="E364">
        <v>34.259998321533203</v>
      </c>
      <c r="F364">
        <v>15443800</v>
      </c>
      <c r="G364">
        <v>61120113977</v>
      </c>
      <c r="H364">
        <v>1784008084</v>
      </c>
    </row>
    <row r="365" spans="1:8" x14ac:dyDescent="0.25">
      <c r="A365" s="2">
        <v>44120</v>
      </c>
      <c r="B365">
        <v>34.779998779296882</v>
      </c>
      <c r="C365">
        <v>34.799999237060547</v>
      </c>
      <c r="D365">
        <v>33.610000610351563</v>
      </c>
      <c r="E365">
        <v>33.720001220703118</v>
      </c>
      <c r="F365">
        <v>14899700</v>
      </c>
      <c r="G365">
        <v>60156749658</v>
      </c>
      <c r="H365">
        <v>1784007932</v>
      </c>
    </row>
    <row r="366" spans="1:8" x14ac:dyDescent="0.25">
      <c r="A366" s="2">
        <v>44123</v>
      </c>
      <c r="B366">
        <v>34.159999847412109</v>
      </c>
      <c r="C366">
        <v>34.590000152587891</v>
      </c>
      <c r="D366">
        <v>34</v>
      </c>
      <c r="E366">
        <v>34.220001220703118</v>
      </c>
      <c r="F366">
        <v>19278600</v>
      </c>
      <c r="G366">
        <v>61048753657</v>
      </c>
      <c r="H366">
        <v>1784007933</v>
      </c>
    </row>
    <row r="367" spans="1:8" x14ac:dyDescent="0.25">
      <c r="A367" s="2">
        <v>44124</v>
      </c>
      <c r="B367">
        <v>34.529998779296882</v>
      </c>
      <c r="C367">
        <v>36.759998321533203</v>
      </c>
      <c r="D367">
        <v>34.529998779296882</v>
      </c>
      <c r="E367">
        <v>36.310001373291023</v>
      </c>
      <c r="F367">
        <v>29820700</v>
      </c>
      <c r="G367">
        <v>64777330371</v>
      </c>
      <c r="H367">
        <v>1784007930</v>
      </c>
    </row>
    <row r="368" spans="1:8" x14ac:dyDescent="0.25">
      <c r="A368" s="2">
        <v>44125</v>
      </c>
      <c r="B368">
        <v>36.25</v>
      </c>
      <c r="C368">
        <v>36.25</v>
      </c>
      <c r="D368">
        <v>34.875</v>
      </c>
      <c r="E368">
        <v>35.200000762939453</v>
      </c>
      <c r="F368">
        <v>19058700</v>
      </c>
      <c r="G368">
        <v>62797081494</v>
      </c>
      <c r="H368">
        <v>1784007958</v>
      </c>
    </row>
    <row r="369" spans="1:8" x14ac:dyDescent="0.25">
      <c r="A369" s="2">
        <v>44126</v>
      </c>
      <c r="B369">
        <v>35.419998168945313</v>
      </c>
      <c r="C369">
        <v>36.889999389648438</v>
      </c>
      <c r="D369">
        <v>34.915000915527337</v>
      </c>
      <c r="E369">
        <v>36.700000762939453</v>
      </c>
      <c r="F369">
        <v>14243600</v>
      </c>
      <c r="G369">
        <v>65473093489</v>
      </c>
      <c r="H369">
        <v>1784007960</v>
      </c>
    </row>
    <row r="370" spans="1:8" x14ac:dyDescent="0.25">
      <c r="A370" s="2">
        <v>44127</v>
      </c>
      <c r="B370">
        <v>36.5</v>
      </c>
      <c r="C370">
        <v>36.990001678466797</v>
      </c>
      <c r="D370">
        <v>35.923999786376953</v>
      </c>
      <c r="E370">
        <v>36.75</v>
      </c>
      <c r="F370">
        <v>15960600</v>
      </c>
      <c r="G370">
        <v>65562293889</v>
      </c>
      <c r="H370">
        <v>1784007997</v>
      </c>
    </row>
    <row r="371" spans="1:8" x14ac:dyDescent="0.25">
      <c r="A371" s="2">
        <v>44130</v>
      </c>
      <c r="B371">
        <v>36.5</v>
      </c>
      <c r="C371">
        <v>36.740001678466797</v>
      </c>
      <c r="D371">
        <v>35.119998931884773</v>
      </c>
      <c r="E371">
        <v>35.490001678466797</v>
      </c>
      <c r="F371">
        <v>12511700</v>
      </c>
      <c r="G371">
        <v>63314443813</v>
      </c>
      <c r="H371">
        <v>1784007913</v>
      </c>
    </row>
    <row r="372" spans="1:8" x14ac:dyDescent="0.25">
      <c r="A372" s="2">
        <v>44131</v>
      </c>
      <c r="B372">
        <v>35.509998321533203</v>
      </c>
      <c r="C372">
        <v>35.700000762939453</v>
      </c>
      <c r="D372">
        <v>34.020000457763672</v>
      </c>
      <c r="E372">
        <v>34.159999847412109</v>
      </c>
      <c r="F372">
        <v>13692100</v>
      </c>
      <c r="G372">
        <v>60941713177</v>
      </c>
      <c r="H372">
        <v>1784008005</v>
      </c>
    </row>
    <row r="373" spans="1:8" x14ac:dyDescent="0.25">
      <c r="A373" s="2">
        <v>44132</v>
      </c>
      <c r="B373">
        <v>33.619998931884773</v>
      </c>
      <c r="C373">
        <v>33.659999847412109</v>
      </c>
      <c r="D373">
        <v>32.900001525878913</v>
      </c>
      <c r="E373">
        <v>33.650001525878913</v>
      </c>
      <c r="F373">
        <v>15787900</v>
      </c>
      <c r="G373">
        <v>60031869099</v>
      </c>
      <c r="H373">
        <v>1784007916</v>
      </c>
    </row>
    <row r="374" spans="1:8" x14ac:dyDescent="0.25">
      <c r="A374" s="2">
        <v>44133</v>
      </c>
      <c r="B374">
        <v>33.709999084472663</v>
      </c>
      <c r="C374">
        <v>34.935001373291023</v>
      </c>
      <c r="D374">
        <v>33.330001831054688</v>
      </c>
      <c r="E374">
        <v>34.060001373291023</v>
      </c>
      <c r="F374">
        <v>13735300</v>
      </c>
      <c r="G374">
        <v>60763312377</v>
      </c>
      <c r="H374">
        <v>1784007925</v>
      </c>
    </row>
    <row r="375" spans="1:8" x14ac:dyDescent="0.25">
      <c r="A375" s="2">
        <v>44134</v>
      </c>
      <c r="B375">
        <v>33.909999847412109</v>
      </c>
      <c r="C375">
        <v>34.389999389648438</v>
      </c>
      <c r="D375">
        <v>33.154998779296882</v>
      </c>
      <c r="E375">
        <v>33.409999847412109</v>
      </c>
      <c r="F375">
        <v>13506200</v>
      </c>
      <c r="G375">
        <v>59603707179</v>
      </c>
      <c r="H375">
        <v>1784008005</v>
      </c>
    </row>
    <row r="376" spans="1:8" x14ac:dyDescent="0.25">
      <c r="A376" s="2">
        <v>44137</v>
      </c>
      <c r="B376">
        <v>34.150001525878913</v>
      </c>
      <c r="C376">
        <v>35.049999237060547</v>
      </c>
      <c r="D376">
        <v>34.060001373291023</v>
      </c>
      <c r="E376">
        <v>34.810001373291023</v>
      </c>
      <c r="F376">
        <v>18350500</v>
      </c>
      <c r="G376">
        <v>62101318375</v>
      </c>
      <c r="H376">
        <v>1784007927</v>
      </c>
    </row>
    <row r="377" spans="1:8" x14ac:dyDescent="0.25">
      <c r="A377" s="2">
        <v>44138</v>
      </c>
      <c r="B377">
        <v>35.270000457763672</v>
      </c>
      <c r="C377">
        <v>36.150001525878913</v>
      </c>
      <c r="D377">
        <v>35.150001525878913</v>
      </c>
      <c r="E377">
        <v>35.770000457763672</v>
      </c>
      <c r="F377">
        <v>16208800</v>
      </c>
      <c r="G377">
        <v>63813966052</v>
      </c>
      <c r="H377">
        <v>1784007974</v>
      </c>
    </row>
    <row r="378" spans="1:8" x14ac:dyDescent="0.25">
      <c r="A378" s="2">
        <v>44139</v>
      </c>
      <c r="B378">
        <v>40.659999847412109</v>
      </c>
      <c r="C378">
        <v>42.150001525878913</v>
      </c>
      <c r="D378">
        <v>39</v>
      </c>
      <c r="E378">
        <v>40.990001678466797</v>
      </c>
      <c r="F378">
        <v>101818200</v>
      </c>
      <c r="G378">
        <v>73126487797</v>
      </c>
      <c r="H378">
        <v>1784007924</v>
      </c>
    </row>
    <row r="379" spans="1:8" x14ac:dyDescent="0.25">
      <c r="A379" s="2">
        <v>44140</v>
      </c>
      <c r="B379">
        <v>40.330001831054688</v>
      </c>
      <c r="C379">
        <v>42.049999237060547</v>
      </c>
      <c r="D379">
        <v>40.009998321533203</v>
      </c>
      <c r="E379">
        <v>41.959999084472663</v>
      </c>
      <c r="F379">
        <v>34177600</v>
      </c>
      <c r="G379">
        <v>74856975554</v>
      </c>
      <c r="H379">
        <v>1784008036</v>
      </c>
    </row>
    <row r="380" spans="1:8" x14ac:dyDescent="0.25">
      <c r="A380" s="2">
        <v>44141</v>
      </c>
      <c r="B380">
        <v>42.090000152587891</v>
      </c>
      <c r="C380">
        <v>45.380001068115227</v>
      </c>
      <c r="D380">
        <v>41.619998931884773</v>
      </c>
      <c r="E380">
        <v>44.869998931884773</v>
      </c>
      <c r="F380">
        <v>57670700</v>
      </c>
      <c r="G380">
        <v>80048438825</v>
      </c>
      <c r="H380">
        <v>1784008039</v>
      </c>
    </row>
    <row r="381" spans="1:8" x14ac:dyDescent="0.25">
      <c r="A381" s="2">
        <v>44144</v>
      </c>
      <c r="B381">
        <v>48.009998321533203</v>
      </c>
      <c r="C381">
        <v>49.619998931884773</v>
      </c>
      <c r="D381">
        <v>47.299999237060547</v>
      </c>
      <c r="E381">
        <v>48.180000305175781</v>
      </c>
      <c r="F381">
        <v>61632300</v>
      </c>
      <c r="G381">
        <v>85953505295</v>
      </c>
      <c r="H381">
        <v>1784007986</v>
      </c>
    </row>
    <row r="382" spans="1:8" x14ac:dyDescent="0.25">
      <c r="A382" s="2">
        <v>44145</v>
      </c>
      <c r="B382">
        <v>46.740001678466797</v>
      </c>
      <c r="C382">
        <v>49.360000610351563</v>
      </c>
      <c r="D382">
        <v>46.044998168945313</v>
      </c>
      <c r="E382">
        <v>47</v>
      </c>
      <c r="F382">
        <v>33079800</v>
      </c>
      <c r="G382">
        <v>83848375859</v>
      </c>
      <c r="H382">
        <v>1784007997</v>
      </c>
    </row>
    <row r="383" spans="1:8" x14ac:dyDescent="0.25">
      <c r="A383" s="2">
        <v>44146</v>
      </c>
      <c r="B383">
        <v>46.720001220703118</v>
      </c>
      <c r="C383">
        <v>47.520000457763672</v>
      </c>
      <c r="D383">
        <v>45.909999847412109</v>
      </c>
      <c r="E383">
        <v>46.229999542236328</v>
      </c>
      <c r="F383">
        <v>19213700</v>
      </c>
      <c r="G383">
        <v>82474689701</v>
      </c>
      <c r="H383">
        <v>1784008015</v>
      </c>
    </row>
    <row r="384" spans="1:8" x14ac:dyDescent="0.25">
      <c r="A384" s="2">
        <v>44147</v>
      </c>
      <c r="B384">
        <v>45.389999389648438</v>
      </c>
      <c r="C384">
        <v>47.470001220703118</v>
      </c>
      <c r="D384">
        <v>45.049999237060547</v>
      </c>
      <c r="E384">
        <v>46.400001525878913</v>
      </c>
      <c r="F384">
        <v>16251600</v>
      </c>
      <c r="G384">
        <v>82777971060</v>
      </c>
      <c r="H384">
        <v>1784007938</v>
      </c>
    </row>
    <row r="385" spans="1:8" x14ac:dyDescent="0.25">
      <c r="A385" s="2">
        <v>44148</v>
      </c>
      <c r="B385">
        <v>47.110000610351563</v>
      </c>
      <c r="C385">
        <v>47.790000915527337</v>
      </c>
      <c r="D385">
        <v>45.930000305175781</v>
      </c>
      <c r="E385">
        <v>47.610000610351563</v>
      </c>
      <c r="F385">
        <v>15552400</v>
      </c>
      <c r="G385">
        <v>84936620737</v>
      </c>
      <c r="H385">
        <v>1784007974</v>
      </c>
    </row>
    <row r="386" spans="1:8" x14ac:dyDescent="0.25">
      <c r="A386" s="2">
        <v>44151</v>
      </c>
      <c r="B386">
        <v>48.740001678466797</v>
      </c>
      <c r="C386">
        <v>50.090000152587891</v>
      </c>
      <c r="D386">
        <v>48.479999542236328</v>
      </c>
      <c r="E386">
        <v>49.209999084472663</v>
      </c>
      <c r="F386">
        <v>29301700</v>
      </c>
      <c r="G386">
        <v>87791033532</v>
      </c>
      <c r="H386">
        <v>1784008030</v>
      </c>
    </row>
    <row r="387" spans="1:8" x14ac:dyDescent="0.25">
      <c r="A387" s="2">
        <v>44152</v>
      </c>
      <c r="B387">
        <v>48.720001220703118</v>
      </c>
      <c r="C387">
        <v>49.619998931884773</v>
      </c>
      <c r="D387">
        <v>48.5</v>
      </c>
      <c r="E387">
        <v>48.889999389648438</v>
      </c>
      <c r="F387">
        <v>16638300</v>
      </c>
      <c r="G387">
        <v>87220150973</v>
      </c>
      <c r="H387">
        <v>1784008019</v>
      </c>
    </row>
    <row r="388" spans="1:8" x14ac:dyDescent="0.25">
      <c r="A388" s="2">
        <v>44153</v>
      </c>
      <c r="B388">
        <v>48.770000457763672</v>
      </c>
      <c r="C388">
        <v>49.950000762939453</v>
      </c>
      <c r="D388">
        <v>48.330001831054688</v>
      </c>
      <c r="E388">
        <v>49.110000610351563</v>
      </c>
      <c r="F388">
        <v>17783500</v>
      </c>
      <c r="G388">
        <v>87612632732</v>
      </c>
      <c r="H388">
        <v>1784007975</v>
      </c>
    </row>
    <row r="389" spans="1:8" x14ac:dyDescent="0.25">
      <c r="A389" s="2">
        <v>44154</v>
      </c>
      <c r="B389">
        <v>49.099998474121087</v>
      </c>
      <c r="C389">
        <v>49.909999847412109</v>
      </c>
      <c r="D389">
        <v>48.650001525878913</v>
      </c>
      <c r="E389">
        <v>49.259998321533203</v>
      </c>
      <c r="F389">
        <v>13480300</v>
      </c>
      <c r="G389">
        <v>87880233932</v>
      </c>
      <c r="H389">
        <v>1784008058</v>
      </c>
    </row>
    <row r="390" spans="1:8" x14ac:dyDescent="0.25">
      <c r="A390" s="2">
        <v>44155</v>
      </c>
      <c r="B390">
        <v>49.979999542236328</v>
      </c>
      <c r="C390">
        <v>50.75</v>
      </c>
      <c r="D390">
        <v>48.270000457763672</v>
      </c>
      <c r="E390">
        <v>48.430000305175781</v>
      </c>
      <c r="F390">
        <v>17330400</v>
      </c>
      <c r="G390">
        <v>86399507294</v>
      </c>
      <c r="H390">
        <v>1784007986</v>
      </c>
    </row>
    <row r="391" spans="1:8" x14ac:dyDescent="0.25">
      <c r="A391" s="2">
        <v>44158</v>
      </c>
      <c r="B391">
        <v>48.659999847412109</v>
      </c>
      <c r="C391">
        <v>50.880001068115227</v>
      </c>
      <c r="D391">
        <v>48.509998321533203</v>
      </c>
      <c r="E391">
        <v>50.040000915527337</v>
      </c>
      <c r="F391">
        <v>17147100</v>
      </c>
      <c r="G391">
        <v>89271760169</v>
      </c>
      <c r="H391">
        <v>1784007964</v>
      </c>
    </row>
    <row r="392" spans="1:8" x14ac:dyDescent="0.25">
      <c r="A392" s="2">
        <v>44159</v>
      </c>
      <c r="B392">
        <v>50.619998931884773</v>
      </c>
      <c r="C392">
        <v>52.150001525878913</v>
      </c>
      <c r="D392">
        <v>50.484001159667969</v>
      </c>
      <c r="E392">
        <v>51.259998321533203</v>
      </c>
      <c r="F392">
        <v>16216200</v>
      </c>
      <c r="G392">
        <v>91448249926</v>
      </c>
      <c r="H392">
        <v>1784008055</v>
      </c>
    </row>
    <row r="393" spans="1:8" x14ac:dyDescent="0.25">
      <c r="A393" s="2">
        <v>44160</v>
      </c>
      <c r="B393">
        <v>51.270000457763672</v>
      </c>
      <c r="C393">
        <v>51.450000762939453</v>
      </c>
      <c r="D393">
        <v>49.919998168945313</v>
      </c>
      <c r="E393">
        <v>50.799999237060547</v>
      </c>
      <c r="F393">
        <v>11641600</v>
      </c>
      <c r="G393">
        <v>90627606247</v>
      </c>
      <c r="H393">
        <v>1784008024</v>
      </c>
    </row>
    <row r="394" spans="1:8" x14ac:dyDescent="0.25">
      <c r="A394" s="2">
        <v>44162</v>
      </c>
      <c r="B394">
        <v>50.930000305175781</v>
      </c>
      <c r="C394">
        <v>51.189998626708977</v>
      </c>
      <c r="D394">
        <v>50.200000762939453</v>
      </c>
      <c r="E394">
        <v>50.720001220703118</v>
      </c>
      <c r="F394">
        <v>8339200</v>
      </c>
      <c r="G394">
        <v>90484885607</v>
      </c>
      <c r="H394">
        <v>1784007954</v>
      </c>
    </row>
    <row r="395" spans="1:8" x14ac:dyDescent="0.25">
      <c r="A395" s="2">
        <v>44165</v>
      </c>
      <c r="B395">
        <v>50.220001220703118</v>
      </c>
      <c r="C395">
        <v>51.005001068115227</v>
      </c>
      <c r="D395">
        <v>48.529998779296882</v>
      </c>
      <c r="E395">
        <v>49.659999847412109</v>
      </c>
      <c r="F395">
        <v>17221500</v>
      </c>
      <c r="G395">
        <v>88593837131</v>
      </c>
      <c r="H395">
        <v>1784008002</v>
      </c>
    </row>
    <row r="396" spans="1:8" x14ac:dyDescent="0.25">
      <c r="A396" s="2">
        <v>44166</v>
      </c>
      <c r="B396">
        <v>50</v>
      </c>
      <c r="C396">
        <v>51.409999847412109</v>
      </c>
      <c r="D396">
        <v>49.069999694824219</v>
      </c>
      <c r="E396">
        <v>49.630001068115227</v>
      </c>
      <c r="F396">
        <v>20605500</v>
      </c>
      <c r="G396">
        <v>88540316891</v>
      </c>
      <c r="H396">
        <v>1784007959</v>
      </c>
    </row>
    <row r="397" spans="1:8" x14ac:dyDescent="0.25">
      <c r="A397" s="2">
        <v>44167</v>
      </c>
      <c r="B397">
        <v>49.259998321533203</v>
      </c>
      <c r="C397">
        <v>53.450000762939453</v>
      </c>
      <c r="D397">
        <v>48.529998779296882</v>
      </c>
      <c r="E397">
        <v>53.090000152587891</v>
      </c>
      <c r="F397">
        <v>30381500</v>
      </c>
      <c r="G397">
        <v>94712984560</v>
      </c>
      <c r="H397">
        <v>1784007992</v>
      </c>
    </row>
    <row r="398" spans="1:8" x14ac:dyDescent="0.25">
      <c r="A398" s="2">
        <v>44168</v>
      </c>
      <c r="B398">
        <v>53.299999237060547</v>
      </c>
      <c r="C398">
        <v>53.490001678466797</v>
      </c>
      <c r="D398">
        <v>52.119998931884773</v>
      </c>
      <c r="E398">
        <v>52.520000457763672</v>
      </c>
      <c r="F398">
        <v>13122400</v>
      </c>
      <c r="G398">
        <v>93696100002</v>
      </c>
      <c r="H398">
        <v>1784007981</v>
      </c>
    </row>
    <row r="399" spans="1:8" x14ac:dyDescent="0.25">
      <c r="A399" s="2">
        <v>44169</v>
      </c>
      <c r="B399">
        <v>52.709999084472663</v>
      </c>
      <c r="C399">
        <v>54.860000610351563</v>
      </c>
      <c r="D399">
        <v>52.709999084472663</v>
      </c>
      <c r="E399">
        <v>54.860000610351563</v>
      </c>
      <c r="F399">
        <v>22207900</v>
      </c>
      <c r="G399">
        <v>97870678715</v>
      </c>
      <c r="H399">
        <v>1784007977</v>
      </c>
    </row>
    <row r="400" spans="1:8" x14ac:dyDescent="0.25">
      <c r="A400" s="2">
        <v>44172</v>
      </c>
      <c r="B400">
        <v>54.590000152587891</v>
      </c>
      <c r="C400">
        <v>54.869998931884773</v>
      </c>
      <c r="D400">
        <v>53.650001525878913</v>
      </c>
      <c r="E400">
        <v>53.799999237060547</v>
      </c>
      <c r="F400">
        <v>13764400</v>
      </c>
      <c r="G400">
        <v>95979630238</v>
      </c>
      <c r="H400">
        <v>1784008022</v>
      </c>
    </row>
    <row r="401" spans="1:8" x14ac:dyDescent="0.25">
      <c r="A401" s="2">
        <v>44173</v>
      </c>
      <c r="B401">
        <v>52.400001525878913</v>
      </c>
      <c r="C401">
        <v>54.220001220703118</v>
      </c>
      <c r="D401">
        <v>52.349998474121087</v>
      </c>
      <c r="E401">
        <v>53.009998321533203</v>
      </c>
      <c r="F401">
        <v>26167300</v>
      </c>
      <c r="G401">
        <v>94570263920</v>
      </c>
      <c r="H401">
        <v>1784008053</v>
      </c>
    </row>
    <row r="402" spans="1:8" x14ac:dyDescent="0.25">
      <c r="A402" s="2">
        <v>44174</v>
      </c>
      <c r="B402">
        <v>53.979999542236328</v>
      </c>
      <c r="C402">
        <v>56.020000457763672</v>
      </c>
      <c r="D402">
        <v>53.060001373291023</v>
      </c>
      <c r="E402">
        <v>53.790000915527337</v>
      </c>
      <c r="F402">
        <v>46777900</v>
      </c>
      <c r="G402">
        <v>95961790158</v>
      </c>
      <c r="H402">
        <v>1784007967</v>
      </c>
    </row>
    <row r="403" spans="1:8" x14ac:dyDescent="0.25">
      <c r="A403" s="2">
        <v>44175</v>
      </c>
      <c r="B403">
        <v>52.330001831054688</v>
      </c>
      <c r="C403">
        <v>54.619998931884773</v>
      </c>
      <c r="D403">
        <v>51.299999237060547</v>
      </c>
      <c r="E403">
        <v>54.349998474121087</v>
      </c>
      <c r="F403">
        <v>20207700</v>
      </c>
      <c r="G403">
        <v>96960834636</v>
      </c>
      <c r="H403">
        <v>1784008047</v>
      </c>
    </row>
    <row r="404" spans="1:8" x14ac:dyDescent="0.25">
      <c r="A404" s="2">
        <v>44176</v>
      </c>
      <c r="B404">
        <v>54.470001220703118</v>
      </c>
      <c r="C404">
        <v>55.025001525878913</v>
      </c>
      <c r="D404">
        <v>52.330001831054688</v>
      </c>
      <c r="E404">
        <v>52.630001068115227</v>
      </c>
      <c r="F404">
        <v>16817900</v>
      </c>
      <c r="G404">
        <v>93892340882</v>
      </c>
      <c r="H404">
        <v>1784007961</v>
      </c>
    </row>
    <row r="405" spans="1:8" x14ac:dyDescent="0.25">
      <c r="A405" s="2">
        <v>44179</v>
      </c>
      <c r="B405">
        <v>53.270000457763672</v>
      </c>
      <c r="C405">
        <v>53.439998626708977</v>
      </c>
      <c r="D405">
        <v>51.240001678466797</v>
      </c>
      <c r="E405">
        <v>51.459999084472663</v>
      </c>
      <c r="F405">
        <v>19048500</v>
      </c>
      <c r="G405">
        <v>91805051525</v>
      </c>
      <c r="H405">
        <v>1784008029</v>
      </c>
    </row>
    <row r="406" spans="1:8" x14ac:dyDescent="0.25">
      <c r="A406" s="2">
        <v>44180</v>
      </c>
      <c r="B406">
        <v>52.119998931884773</v>
      </c>
      <c r="C406">
        <v>52.825000762939453</v>
      </c>
      <c r="D406">
        <v>50.869998931884773</v>
      </c>
      <c r="E406">
        <v>51</v>
      </c>
      <c r="F406">
        <v>17504700</v>
      </c>
      <c r="G406">
        <v>90984407847</v>
      </c>
      <c r="H406">
        <v>1784007997</v>
      </c>
    </row>
    <row r="407" spans="1:8" x14ac:dyDescent="0.25">
      <c r="A407" s="2">
        <v>44181</v>
      </c>
      <c r="B407">
        <v>51.180000305175781</v>
      </c>
      <c r="C407">
        <v>51.680000305175781</v>
      </c>
      <c r="D407">
        <v>50.290000915527337</v>
      </c>
      <c r="E407">
        <v>50.490001678466797</v>
      </c>
      <c r="F407">
        <v>19577800</v>
      </c>
      <c r="G407">
        <v>90074563768</v>
      </c>
      <c r="H407">
        <v>1784007938</v>
      </c>
    </row>
    <row r="408" spans="1:8" x14ac:dyDescent="0.25">
      <c r="A408" s="2">
        <v>44182</v>
      </c>
      <c r="B408">
        <v>50.590000152587891</v>
      </c>
      <c r="C408">
        <v>51.299999237060547</v>
      </c>
      <c r="D408">
        <v>50.169998168945313</v>
      </c>
      <c r="E408">
        <v>50.630001068115227</v>
      </c>
      <c r="F408">
        <v>19688300</v>
      </c>
      <c r="G408">
        <v>90324324888</v>
      </c>
      <c r="H408">
        <v>1784007959</v>
      </c>
    </row>
    <row r="409" spans="1:8" x14ac:dyDescent="0.25">
      <c r="A409" s="2">
        <v>44183</v>
      </c>
      <c r="B409">
        <v>50.810001373291023</v>
      </c>
      <c r="C409">
        <v>50.950000762939453</v>
      </c>
      <c r="D409">
        <v>49.520000457763672</v>
      </c>
      <c r="E409">
        <v>50.619998931884773</v>
      </c>
      <c r="F409">
        <v>24355200</v>
      </c>
      <c r="G409">
        <v>90306484808</v>
      </c>
      <c r="H409">
        <v>1784008035</v>
      </c>
    </row>
    <row r="410" spans="1:8" x14ac:dyDescent="0.25">
      <c r="A410" s="2">
        <v>44186</v>
      </c>
      <c r="B410">
        <v>49</v>
      </c>
      <c r="C410">
        <v>52.349998474121087</v>
      </c>
      <c r="D410">
        <v>48.790000915527337</v>
      </c>
      <c r="E410">
        <v>51.799999237060547</v>
      </c>
      <c r="F410">
        <v>23562900</v>
      </c>
      <c r="G410">
        <v>92411614244</v>
      </c>
      <c r="H410">
        <v>1784008023</v>
      </c>
    </row>
    <row r="411" spans="1:8" x14ac:dyDescent="0.25">
      <c r="A411" s="2">
        <v>44187</v>
      </c>
      <c r="B411">
        <v>52.110000610351563</v>
      </c>
      <c r="C411">
        <v>54.360000610351563</v>
      </c>
      <c r="D411">
        <v>51.919998168945313</v>
      </c>
      <c r="E411">
        <v>53.779998779296882</v>
      </c>
      <c r="F411">
        <v>23871800</v>
      </c>
      <c r="G411">
        <v>95943950078</v>
      </c>
      <c r="H411">
        <v>1784008037</v>
      </c>
    </row>
    <row r="412" spans="1:8" x14ac:dyDescent="0.25">
      <c r="A412" s="2">
        <v>44188</v>
      </c>
      <c r="B412">
        <v>53.799999237060547</v>
      </c>
      <c r="C412">
        <v>54.090000152587891</v>
      </c>
      <c r="D412">
        <v>52.990001678466797</v>
      </c>
      <c r="E412">
        <v>53.709999084472663</v>
      </c>
      <c r="F412">
        <v>12671100</v>
      </c>
      <c r="G412">
        <v>95819069518</v>
      </c>
      <c r="H412">
        <v>1784008027</v>
      </c>
    </row>
    <row r="413" spans="1:8" x14ac:dyDescent="0.25">
      <c r="A413" s="2">
        <v>44189</v>
      </c>
      <c r="B413">
        <v>53.599998474121087</v>
      </c>
      <c r="C413">
        <v>53.625</v>
      </c>
      <c r="D413">
        <v>52.290000915527337</v>
      </c>
      <c r="E413">
        <v>52.880001068115227</v>
      </c>
      <c r="F413">
        <v>6316800</v>
      </c>
      <c r="G413">
        <v>94338342881</v>
      </c>
      <c r="H413">
        <v>1784007961</v>
      </c>
    </row>
    <row r="414" spans="1:8" x14ac:dyDescent="0.25">
      <c r="A414" s="2">
        <v>44193</v>
      </c>
      <c r="B414">
        <v>53.020000457763672</v>
      </c>
      <c r="C414">
        <v>53.130001068115227</v>
      </c>
      <c r="D414">
        <v>51.560001373291023</v>
      </c>
      <c r="E414">
        <v>51.970001220703118</v>
      </c>
      <c r="F414">
        <v>12059000</v>
      </c>
      <c r="G414">
        <v>92714895604</v>
      </c>
      <c r="H414">
        <v>1784007955</v>
      </c>
    </row>
    <row r="415" spans="1:8" x14ac:dyDescent="0.25">
      <c r="A415" s="2">
        <v>44194</v>
      </c>
      <c r="B415">
        <v>52.330001831054688</v>
      </c>
      <c r="C415">
        <v>52.990001678466797</v>
      </c>
      <c r="D415">
        <v>51.470001220703118</v>
      </c>
      <c r="E415">
        <v>52.270000457763672</v>
      </c>
      <c r="F415">
        <v>10140600</v>
      </c>
      <c r="G415">
        <v>93250098003</v>
      </c>
      <c r="H415">
        <v>1784007981</v>
      </c>
    </row>
    <row r="416" spans="1:8" x14ac:dyDescent="0.25">
      <c r="A416" s="2">
        <v>44195</v>
      </c>
      <c r="B416">
        <v>52.720001220703118</v>
      </c>
      <c r="C416">
        <v>53.849998474121087</v>
      </c>
      <c r="D416">
        <v>52.220001220703118</v>
      </c>
      <c r="E416">
        <v>53.150001525878913</v>
      </c>
      <c r="F416">
        <v>9518600</v>
      </c>
      <c r="G416">
        <v>94820025040</v>
      </c>
      <c r="H416">
        <v>1784007946</v>
      </c>
    </row>
    <row r="417" spans="1:8" x14ac:dyDescent="0.25">
      <c r="A417" s="2">
        <v>44196</v>
      </c>
      <c r="B417">
        <v>53.279998779296882</v>
      </c>
      <c r="C417">
        <v>53.279998779296882</v>
      </c>
      <c r="D417">
        <v>51</v>
      </c>
      <c r="E417">
        <v>51</v>
      </c>
      <c r="F417">
        <v>13282800</v>
      </c>
      <c r="G417">
        <v>91800000000</v>
      </c>
      <c r="H417">
        <v>1800000000</v>
      </c>
    </row>
    <row r="418" spans="1:8" x14ac:dyDescent="0.25">
      <c r="A418" s="2">
        <v>44200</v>
      </c>
      <c r="B418">
        <v>52.220001220703118</v>
      </c>
      <c r="C418">
        <v>52.319999694824219</v>
      </c>
      <c r="D418">
        <v>49.634998321533203</v>
      </c>
      <c r="E418">
        <v>51.139999389648438</v>
      </c>
      <c r="F418">
        <v>17291800</v>
      </c>
      <c r="G418">
        <v>92052000000</v>
      </c>
      <c r="H418">
        <v>1800000021</v>
      </c>
    </row>
    <row r="419" spans="1:8" x14ac:dyDescent="0.25">
      <c r="A419" s="2">
        <v>44201</v>
      </c>
      <c r="B419">
        <v>51</v>
      </c>
      <c r="C419">
        <v>54.189998626708977</v>
      </c>
      <c r="D419">
        <v>50.759998321533203</v>
      </c>
      <c r="E419">
        <v>54.009998321533203</v>
      </c>
      <c r="F419">
        <v>21403200</v>
      </c>
      <c r="G419">
        <v>97218000000</v>
      </c>
      <c r="H419">
        <v>1800000056</v>
      </c>
    </row>
    <row r="420" spans="1:8" x14ac:dyDescent="0.25">
      <c r="A420" s="2">
        <v>44202</v>
      </c>
      <c r="B420">
        <v>53.310001373291023</v>
      </c>
      <c r="C420">
        <v>54.069999694824219</v>
      </c>
      <c r="D420">
        <v>52</v>
      </c>
      <c r="E420">
        <v>52.479999542236328</v>
      </c>
      <c r="F420">
        <v>17738100</v>
      </c>
      <c r="G420">
        <v>94464000000</v>
      </c>
      <c r="H420">
        <v>1800000016</v>
      </c>
    </row>
    <row r="421" spans="1:8" x14ac:dyDescent="0.25">
      <c r="A421" s="2">
        <v>44203</v>
      </c>
      <c r="B421">
        <v>53.369998931884773</v>
      </c>
      <c r="C421">
        <v>56.25</v>
      </c>
      <c r="D421">
        <v>53.200000762939453</v>
      </c>
      <c r="E421">
        <v>56.130001068115227</v>
      </c>
      <c r="F421">
        <v>23737500</v>
      </c>
      <c r="G421">
        <v>101034000000</v>
      </c>
      <c r="H421">
        <v>1799999966</v>
      </c>
    </row>
    <row r="422" spans="1:8" x14ac:dyDescent="0.25">
      <c r="A422" s="2">
        <v>44204</v>
      </c>
      <c r="B422">
        <v>54.395000457763672</v>
      </c>
      <c r="C422">
        <v>54.790000915527337</v>
      </c>
      <c r="D422">
        <v>52.580001831054688</v>
      </c>
      <c r="E422">
        <v>53.279998779296882</v>
      </c>
      <c r="F422">
        <v>37999400</v>
      </c>
      <c r="G422">
        <v>95904000000</v>
      </c>
      <c r="H422">
        <v>1800000041</v>
      </c>
    </row>
    <row r="423" spans="1:8" x14ac:dyDescent="0.25">
      <c r="A423" s="2">
        <v>44207</v>
      </c>
      <c r="B423">
        <v>53.110000610351563</v>
      </c>
      <c r="C423">
        <v>55</v>
      </c>
      <c r="D423">
        <v>52.990001678466797</v>
      </c>
      <c r="E423">
        <v>54.590000152587891</v>
      </c>
      <c r="F423">
        <v>23213800</v>
      </c>
      <c r="G423">
        <v>98262000000</v>
      </c>
      <c r="H423">
        <v>1799999995</v>
      </c>
    </row>
    <row r="424" spans="1:8" x14ac:dyDescent="0.25">
      <c r="A424" s="2">
        <v>44208</v>
      </c>
      <c r="B424">
        <v>55.5</v>
      </c>
      <c r="C424">
        <v>59.389999389648438</v>
      </c>
      <c r="D424">
        <v>55</v>
      </c>
      <c r="E424">
        <v>58.540000915527337</v>
      </c>
      <c r="F424">
        <v>52128200</v>
      </c>
      <c r="G424">
        <v>105372000000</v>
      </c>
      <c r="H424">
        <v>1799999972</v>
      </c>
    </row>
    <row r="425" spans="1:8" x14ac:dyDescent="0.25">
      <c r="A425" s="2">
        <v>44209</v>
      </c>
      <c r="B425">
        <v>58.540000915527337</v>
      </c>
      <c r="C425">
        <v>59.880001068115227</v>
      </c>
      <c r="D425">
        <v>57.529998779296882</v>
      </c>
      <c r="E425">
        <v>59.400001525878913</v>
      </c>
      <c r="F425">
        <v>24178500</v>
      </c>
      <c r="G425">
        <v>106920000000</v>
      </c>
      <c r="H425">
        <v>1799999954</v>
      </c>
    </row>
    <row r="426" spans="1:8" x14ac:dyDescent="0.25">
      <c r="A426" s="2">
        <v>44210</v>
      </c>
      <c r="B426">
        <v>60</v>
      </c>
      <c r="C426">
        <v>60.029998779296882</v>
      </c>
      <c r="D426">
        <v>56.700000762939453</v>
      </c>
      <c r="E426">
        <v>56.909999847412109</v>
      </c>
      <c r="F426">
        <v>26561000</v>
      </c>
      <c r="G426">
        <v>102438000000</v>
      </c>
      <c r="H426">
        <v>1800000005</v>
      </c>
    </row>
    <row r="427" spans="1:8" x14ac:dyDescent="0.25">
      <c r="A427" s="2">
        <v>44211</v>
      </c>
      <c r="B427">
        <v>57.490001678466797</v>
      </c>
      <c r="C427">
        <v>57.900001525878913</v>
      </c>
      <c r="D427">
        <v>55</v>
      </c>
      <c r="E427">
        <v>55.520000457763672</v>
      </c>
      <c r="F427">
        <v>23708800</v>
      </c>
      <c r="G427">
        <v>99936000000</v>
      </c>
      <c r="H427">
        <v>1799999985</v>
      </c>
    </row>
    <row r="428" spans="1:8" x14ac:dyDescent="0.25">
      <c r="A428" s="2">
        <v>44215</v>
      </c>
      <c r="B428">
        <v>56.389999389648438</v>
      </c>
      <c r="C428">
        <v>56.841999053955078</v>
      </c>
      <c r="D428">
        <v>55</v>
      </c>
      <c r="E428">
        <v>56.299999237060547</v>
      </c>
      <c r="F428">
        <v>16953700</v>
      </c>
      <c r="G428">
        <v>101340000000</v>
      </c>
      <c r="H428">
        <v>1800000024</v>
      </c>
    </row>
    <row r="429" spans="1:8" x14ac:dyDescent="0.25">
      <c r="A429" s="2">
        <v>44216</v>
      </c>
      <c r="B429">
        <v>57</v>
      </c>
      <c r="C429">
        <v>57.979999542236328</v>
      </c>
      <c r="D429">
        <v>55.470001220703118</v>
      </c>
      <c r="E429">
        <v>56.380001068115227</v>
      </c>
      <c r="F429">
        <v>16904300</v>
      </c>
      <c r="G429">
        <v>101484000000</v>
      </c>
      <c r="H429">
        <v>1799999966</v>
      </c>
    </row>
    <row r="430" spans="1:8" x14ac:dyDescent="0.25">
      <c r="A430" s="2">
        <v>44217</v>
      </c>
      <c r="B430">
        <v>56.569999694824219</v>
      </c>
      <c r="C430">
        <v>57</v>
      </c>
      <c r="D430">
        <v>55.313999176025391</v>
      </c>
      <c r="E430">
        <v>55.790000915527337</v>
      </c>
      <c r="F430">
        <v>13432000</v>
      </c>
      <c r="G430">
        <v>100422000000</v>
      </c>
      <c r="H430">
        <v>1799999970</v>
      </c>
    </row>
    <row r="431" spans="1:8" x14ac:dyDescent="0.25">
      <c r="A431" s="2">
        <v>44218</v>
      </c>
      <c r="B431">
        <v>55.25</v>
      </c>
      <c r="C431">
        <v>55.470001220703118</v>
      </c>
      <c r="D431">
        <v>54.009998321533203</v>
      </c>
      <c r="E431">
        <v>54.310001373291023</v>
      </c>
      <c r="F431">
        <v>19570500</v>
      </c>
      <c r="G431">
        <v>97758000000</v>
      </c>
      <c r="H431">
        <v>1799999954</v>
      </c>
    </row>
    <row r="432" spans="1:8" x14ac:dyDescent="0.25">
      <c r="A432" s="2">
        <v>44221</v>
      </c>
      <c r="B432">
        <v>54.5</v>
      </c>
      <c r="C432">
        <v>54.520000457763672</v>
      </c>
      <c r="D432">
        <v>49.650001525878913</v>
      </c>
      <c r="E432">
        <v>54.290000915527337</v>
      </c>
      <c r="F432">
        <v>40890100</v>
      </c>
      <c r="G432">
        <v>97722000000</v>
      </c>
      <c r="H432">
        <v>1799999970</v>
      </c>
    </row>
    <row r="433" spans="1:8" x14ac:dyDescent="0.25">
      <c r="A433" s="2">
        <v>44222</v>
      </c>
      <c r="B433">
        <v>54.619998931884773</v>
      </c>
      <c r="C433">
        <v>55.520000457763672</v>
      </c>
      <c r="D433">
        <v>51.529998779296882</v>
      </c>
      <c r="E433">
        <v>51.919998168945313</v>
      </c>
      <c r="F433">
        <v>25677000</v>
      </c>
      <c r="G433">
        <v>93456000000</v>
      </c>
      <c r="H433">
        <v>1800000063</v>
      </c>
    </row>
    <row r="434" spans="1:8" x14ac:dyDescent="0.25">
      <c r="A434" s="2">
        <v>44223</v>
      </c>
      <c r="B434">
        <v>49.970001220703118</v>
      </c>
      <c r="C434">
        <v>50.860000610351563</v>
      </c>
      <c r="D434">
        <v>47.150001525878913</v>
      </c>
      <c r="E434">
        <v>48.110000610351563</v>
      </c>
      <c r="F434">
        <v>33283400</v>
      </c>
      <c r="G434">
        <v>86598000000</v>
      </c>
      <c r="H434">
        <v>1799999977</v>
      </c>
    </row>
    <row r="435" spans="1:8" x14ac:dyDescent="0.25">
      <c r="A435" s="2">
        <v>44224</v>
      </c>
      <c r="B435">
        <v>50.119998931884773</v>
      </c>
      <c r="C435">
        <v>52.520000457763672</v>
      </c>
      <c r="D435">
        <v>49.880001068115227</v>
      </c>
      <c r="E435">
        <v>51.580001831054688</v>
      </c>
      <c r="F435">
        <v>28114700</v>
      </c>
      <c r="G435">
        <v>92844000000</v>
      </c>
      <c r="H435">
        <v>1799999936</v>
      </c>
    </row>
    <row r="436" spans="1:8" x14ac:dyDescent="0.25">
      <c r="A436" s="2">
        <v>44225</v>
      </c>
      <c r="B436">
        <v>50.630001068115227</v>
      </c>
      <c r="C436">
        <v>51.490001678466797</v>
      </c>
      <c r="D436">
        <v>49.634998321533203</v>
      </c>
      <c r="E436">
        <v>50.930000305175781</v>
      </c>
      <c r="F436">
        <v>18743200</v>
      </c>
      <c r="G436">
        <v>91674000000</v>
      </c>
      <c r="H436">
        <v>1799999989</v>
      </c>
    </row>
    <row r="437" spans="1:8" x14ac:dyDescent="0.25">
      <c r="A437" s="2">
        <v>44228</v>
      </c>
      <c r="B437">
        <v>52.119998931884773</v>
      </c>
      <c r="C437">
        <v>52.900001525878913</v>
      </c>
      <c r="D437">
        <v>51.349998474121087</v>
      </c>
      <c r="E437">
        <v>52.759998321533203</v>
      </c>
      <c r="F437">
        <v>15570900</v>
      </c>
      <c r="G437">
        <v>94968000000</v>
      </c>
      <c r="H437">
        <v>1800000057</v>
      </c>
    </row>
    <row r="438" spans="1:8" x14ac:dyDescent="0.25">
      <c r="A438" s="2">
        <v>44229</v>
      </c>
      <c r="B438">
        <v>55.110000610351563</v>
      </c>
      <c r="C438">
        <v>58.029998779296882</v>
      </c>
      <c r="D438">
        <v>54.889999389648438</v>
      </c>
      <c r="E438">
        <v>56.459999084472663</v>
      </c>
      <c r="F438">
        <v>30286800</v>
      </c>
      <c r="G438">
        <v>101628000000</v>
      </c>
      <c r="H438">
        <v>1800000029</v>
      </c>
    </row>
    <row r="439" spans="1:8" x14ac:dyDescent="0.25">
      <c r="A439" s="2">
        <v>44230</v>
      </c>
      <c r="B439">
        <v>57.869998931884773</v>
      </c>
      <c r="C439">
        <v>58.130001068115227</v>
      </c>
      <c r="D439">
        <v>56.740001678466797</v>
      </c>
      <c r="E439">
        <v>57.119998931884773</v>
      </c>
      <c r="F439">
        <v>13519000</v>
      </c>
      <c r="G439">
        <v>102816000000</v>
      </c>
      <c r="H439">
        <v>1800000034</v>
      </c>
    </row>
    <row r="440" spans="1:8" x14ac:dyDescent="0.25">
      <c r="A440" s="2">
        <v>44231</v>
      </c>
      <c r="B440">
        <v>56.450000762939453</v>
      </c>
      <c r="C440">
        <v>57.849998474121087</v>
      </c>
      <c r="D440">
        <v>56.110000610351563</v>
      </c>
      <c r="E440">
        <v>57.849998474121087</v>
      </c>
      <c r="F440">
        <v>13841600</v>
      </c>
      <c r="G440">
        <v>104130000000</v>
      </c>
      <c r="H440">
        <v>1800000047</v>
      </c>
    </row>
    <row r="441" spans="1:8" x14ac:dyDescent="0.25">
      <c r="A441" s="2">
        <v>44232</v>
      </c>
      <c r="B441">
        <v>58.159999847412109</v>
      </c>
      <c r="C441">
        <v>58.708000183105469</v>
      </c>
      <c r="D441">
        <v>57.369998931884773</v>
      </c>
      <c r="E441">
        <v>58.580001831054688</v>
      </c>
      <c r="F441">
        <v>15729200</v>
      </c>
      <c r="G441">
        <v>105444000000</v>
      </c>
      <c r="H441">
        <v>1799999944</v>
      </c>
    </row>
    <row r="442" spans="1:8" x14ac:dyDescent="0.25">
      <c r="A442" s="2">
        <v>44235</v>
      </c>
      <c r="B442">
        <v>59.700000762939453</v>
      </c>
      <c r="C442">
        <v>60.110000610351563</v>
      </c>
      <c r="D442">
        <v>58.689998626708977</v>
      </c>
      <c r="E442">
        <v>59.290000915527337</v>
      </c>
      <c r="F442">
        <v>18403700</v>
      </c>
      <c r="G442">
        <v>106722000000</v>
      </c>
      <c r="H442">
        <v>1799999972</v>
      </c>
    </row>
    <row r="443" spans="1:8" x14ac:dyDescent="0.25">
      <c r="A443" s="2">
        <v>44236</v>
      </c>
      <c r="B443">
        <v>58.909999847412109</v>
      </c>
      <c r="C443">
        <v>61.060001373291023</v>
      </c>
      <c r="D443">
        <v>58.619998931884773</v>
      </c>
      <c r="E443">
        <v>59.610000610351563</v>
      </c>
      <c r="F443">
        <v>23510700</v>
      </c>
      <c r="G443">
        <v>107298000000</v>
      </c>
      <c r="H443">
        <v>1799999982</v>
      </c>
    </row>
    <row r="444" spans="1:8" x14ac:dyDescent="0.25">
      <c r="A444" s="2">
        <v>44237</v>
      </c>
      <c r="B444">
        <v>62</v>
      </c>
      <c r="C444">
        <v>63.5</v>
      </c>
      <c r="D444">
        <v>60.799999237060547</v>
      </c>
      <c r="E444">
        <v>63.180000305175781</v>
      </c>
      <c r="F444">
        <v>36972900</v>
      </c>
      <c r="G444">
        <v>113724000000</v>
      </c>
      <c r="H444">
        <v>1799999991</v>
      </c>
    </row>
    <row r="445" spans="1:8" x14ac:dyDescent="0.25">
      <c r="A445" s="2">
        <v>44238</v>
      </c>
      <c r="B445">
        <v>63.25</v>
      </c>
      <c r="C445">
        <v>64.050003051757813</v>
      </c>
      <c r="D445">
        <v>60.395000457763672</v>
      </c>
      <c r="E445">
        <v>60.709999084472663</v>
      </c>
      <c r="F445">
        <v>41363400</v>
      </c>
      <c r="G445">
        <v>109278000000</v>
      </c>
      <c r="H445">
        <v>1800000027</v>
      </c>
    </row>
    <row r="446" spans="1:8" x14ac:dyDescent="0.25">
      <c r="A446" s="2">
        <v>44239</v>
      </c>
      <c r="B446">
        <v>60.119998931884773</v>
      </c>
      <c r="C446">
        <v>60.930000305175781</v>
      </c>
      <c r="D446">
        <v>59.314998626708977</v>
      </c>
      <c r="E446">
        <v>60.630001068115227</v>
      </c>
      <c r="F446">
        <v>14607800</v>
      </c>
      <c r="G446">
        <v>109134000000</v>
      </c>
      <c r="H446">
        <v>1799999968</v>
      </c>
    </row>
    <row r="447" spans="1:8" x14ac:dyDescent="0.25">
      <c r="A447" s="2">
        <v>44243</v>
      </c>
      <c r="B447">
        <v>61.020000457763672</v>
      </c>
      <c r="C447">
        <v>61.310001373291023</v>
      </c>
      <c r="D447">
        <v>59.840000152587891</v>
      </c>
      <c r="E447">
        <v>60.520000457763672</v>
      </c>
      <c r="F447">
        <v>15413100</v>
      </c>
      <c r="G447">
        <v>108936000000</v>
      </c>
      <c r="H447">
        <v>1799999986</v>
      </c>
    </row>
    <row r="448" spans="1:8" x14ac:dyDescent="0.25">
      <c r="A448" s="2">
        <v>44244</v>
      </c>
      <c r="B448">
        <v>60.330001831054688</v>
      </c>
      <c r="C448">
        <v>60.950000762939453</v>
      </c>
      <c r="D448">
        <v>58.950000762939453</v>
      </c>
      <c r="E448">
        <v>60.810001373291023</v>
      </c>
      <c r="F448">
        <v>12670000</v>
      </c>
      <c r="G448">
        <v>109458000000</v>
      </c>
      <c r="H448">
        <v>1799999959</v>
      </c>
    </row>
    <row r="449" spans="1:8" x14ac:dyDescent="0.25">
      <c r="A449" s="2">
        <v>44245</v>
      </c>
      <c r="B449">
        <v>60</v>
      </c>
      <c r="C449">
        <v>60.290000915527337</v>
      </c>
      <c r="D449">
        <v>58.229999542236328</v>
      </c>
      <c r="E449">
        <v>59</v>
      </c>
      <c r="F449">
        <v>15135600</v>
      </c>
      <c r="G449">
        <v>106200000000</v>
      </c>
      <c r="H449">
        <v>1800000000</v>
      </c>
    </row>
    <row r="450" spans="1:8" x14ac:dyDescent="0.25">
      <c r="A450" s="2">
        <v>44246</v>
      </c>
      <c r="B450">
        <v>58.360000610351563</v>
      </c>
      <c r="C450">
        <v>60.457000732421882</v>
      </c>
      <c r="D450">
        <v>58.112998962402337</v>
      </c>
      <c r="E450">
        <v>58.389999389648438</v>
      </c>
      <c r="F450">
        <v>28097000</v>
      </c>
      <c r="G450">
        <v>105102000000</v>
      </c>
      <c r="H450">
        <v>1800000019</v>
      </c>
    </row>
    <row r="451" spans="1:8" x14ac:dyDescent="0.25">
      <c r="A451" s="2">
        <v>44249</v>
      </c>
      <c r="B451">
        <v>57.759998321533203</v>
      </c>
      <c r="C451">
        <v>58.099998474121087</v>
      </c>
      <c r="D451">
        <v>54.816001892089837</v>
      </c>
      <c r="E451">
        <v>55.310001373291023</v>
      </c>
      <c r="F451">
        <v>25565400</v>
      </c>
      <c r="G451">
        <v>99558000000</v>
      </c>
      <c r="H451">
        <v>1799999955</v>
      </c>
    </row>
    <row r="452" spans="1:8" x14ac:dyDescent="0.25">
      <c r="A452" s="2">
        <v>44250</v>
      </c>
      <c r="B452">
        <v>53.5</v>
      </c>
      <c r="C452">
        <v>56.369998931884773</v>
      </c>
      <c r="D452">
        <v>51.889999389648438</v>
      </c>
      <c r="E452">
        <v>56</v>
      </c>
      <c r="F452">
        <v>23947500</v>
      </c>
      <c r="G452">
        <v>100800000000</v>
      </c>
      <c r="H452">
        <v>1800000000</v>
      </c>
    </row>
    <row r="453" spans="1:8" x14ac:dyDescent="0.25">
      <c r="A453" s="2">
        <v>44251</v>
      </c>
      <c r="B453">
        <v>54.950000762939453</v>
      </c>
      <c r="C453">
        <v>55.150001525878913</v>
      </c>
      <c r="D453">
        <v>53.659999847412109</v>
      </c>
      <c r="E453">
        <v>53.909999847412109</v>
      </c>
      <c r="F453">
        <v>24627000</v>
      </c>
      <c r="G453">
        <v>97038000000</v>
      </c>
      <c r="H453">
        <v>1800000005</v>
      </c>
    </row>
    <row r="454" spans="1:8" x14ac:dyDescent="0.25">
      <c r="A454" s="2">
        <v>44252</v>
      </c>
      <c r="B454">
        <v>54.580001831054688</v>
      </c>
      <c r="C454">
        <v>54.599998474121087</v>
      </c>
      <c r="D454">
        <v>50.860000610351563</v>
      </c>
      <c r="E454">
        <v>51.450000762939453</v>
      </c>
      <c r="F454">
        <v>27049100</v>
      </c>
      <c r="G454">
        <v>92610000000</v>
      </c>
      <c r="H454">
        <v>1799999973</v>
      </c>
    </row>
    <row r="455" spans="1:8" x14ac:dyDescent="0.25">
      <c r="A455" s="2">
        <v>44253</v>
      </c>
      <c r="B455">
        <v>52.069999694824219</v>
      </c>
      <c r="C455">
        <v>52.75</v>
      </c>
      <c r="D455">
        <v>50.610000610351563</v>
      </c>
      <c r="E455">
        <v>51.75</v>
      </c>
      <c r="F455">
        <v>16349800</v>
      </c>
      <c r="G455">
        <v>93150000000</v>
      </c>
      <c r="H455">
        <v>1800000000</v>
      </c>
    </row>
    <row r="456" spans="1:8" x14ac:dyDescent="0.25">
      <c r="A456" s="2">
        <v>44256</v>
      </c>
      <c r="B456">
        <v>53.669998168945313</v>
      </c>
      <c r="C456">
        <v>54.759998321533203</v>
      </c>
      <c r="D456">
        <v>53.299999237060547</v>
      </c>
      <c r="E456">
        <v>54.400001525878913</v>
      </c>
      <c r="F456">
        <v>18481100</v>
      </c>
      <c r="G456">
        <v>97920000000</v>
      </c>
      <c r="H456">
        <v>1799999950</v>
      </c>
    </row>
    <row r="457" spans="1:8" x14ac:dyDescent="0.25">
      <c r="A457" s="2">
        <v>44257</v>
      </c>
      <c r="B457">
        <v>55.540000915527337</v>
      </c>
      <c r="C457">
        <v>55.619998931884773</v>
      </c>
      <c r="D457">
        <v>54.188999176025391</v>
      </c>
      <c r="E457">
        <v>54.650001525878913</v>
      </c>
      <c r="F457">
        <v>15199500</v>
      </c>
      <c r="G457">
        <v>98370000000</v>
      </c>
      <c r="H457">
        <v>1799999950</v>
      </c>
    </row>
    <row r="458" spans="1:8" x14ac:dyDescent="0.25">
      <c r="A458" s="2">
        <v>44258</v>
      </c>
      <c r="B458">
        <v>55.930000305175781</v>
      </c>
      <c r="C458">
        <v>57.799999237060547</v>
      </c>
      <c r="D458">
        <v>54.650001525878913</v>
      </c>
      <c r="E458">
        <v>56.110000610351563</v>
      </c>
      <c r="F458">
        <v>28485400</v>
      </c>
      <c r="G458">
        <v>100998000000</v>
      </c>
      <c r="H458">
        <v>1799999980</v>
      </c>
    </row>
    <row r="459" spans="1:8" x14ac:dyDescent="0.25">
      <c r="A459" s="2">
        <v>44259</v>
      </c>
      <c r="B459">
        <v>55.75</v>
      </c>
      <c r="C459">
        <v>57.159999847412109</v>
      </c>
      <c r="D459">
        <v>51.610000610351563</v>
      </c>
      <c r="E459">
        <v>53.069999694824219</v>
      </c>
      <c r="F459">
        <v>27409600</v>
      </c>
      <c r="G459">
        <v>95526000000</v>
      </c>
      <c r="H459">
        <v>1800000010</v>
      </c>
    </row>
    <row r="460" spans="1:8" x14ac:dyDescent="0.25">
      <c r="A460" s="2">
        <v>44260</v>
      </c>
      <c r="B460">
        <v>54.279998779296882</v>
      </c>
      <c r="C460">
        <v>55.830001831054688</v>
      </c>
      <c r="D460">
        <v>50.810001373291023</v>
      </c>
      <c r="E460">
        <v>55.540000915527337</v>
      </c>
      <c r="F460">
        <v>31576200</v>
      </c>
      <c r="G460">
        <v>99972000000</v>
      </c>
      <c r="H460">
        <v>1799999970</v>
      </c>
    </row>
    <row r="461" spans="1:8" x14ac:dyDescent="0.25">
      <c r="A461" s="2">
        <v>44263</v>
      </c>
      <c r="B461">
        <v>55.5</v>
      </c>
      <c r="C461">
        <v>56.450000762939453</v>
      </c>
      <c r="D461">
        <v>52.889999389648438</v>
      </c>
      <c r="E461">
        <v>53.200000762939453</v>
      </c>
      <c r="F461">
        <v>19912100</v>
      </c>
      <c r="G461">
        <v>95760000000</v>
      </c>
      <c r="H461">
        <v>1799999974</v>
      </c>
    </row>
    <row r="462" spans="1:8" x14ac:dyDescent="0.25">
      <c r="A462" s="2">
        <v>44264</v>
      </c>
      <c r="B462">
        <v>56</v>
      </c>
      <c r="C462">
        <v>56.150001525878913</v>
      </c>
      <c r="D462">
        <v>54.720001220703118</v>
      </c>
      <c r="E462">
        <v>55.25</v>
      </c>
      <c r="F462">
        <v>17192900</v>
      </c>
      <c r="G462">
        <v>99450000000</v>
      </c>
      <c r="H462">
        <v>1800000000</v>
      </c>
    </row>
    <row r="463" spans="1:8" x14ac:dyDescent="0.25">
      <c r="A463" s="2">
        <v>44265</v>
      </c>
      <c r="B463">
        <v>57.209999084472663</v>
      </c>
      <c r="C463">
        <v>58.900001525878913</v>
      </c>
      <c r="D463">
        <v>56.270000457763672</v>
      </c>
      <c r="E463">
        <v>57.680000305175781</v>
      </c>
      <c r="F463">
        <v>27997000</v>
      </c>
      <c r="G463">
        <v>103824000000</v>
      </c>
      <c r="H463">
        <v>1799999990</v>
      </c>
    </row>
    <row r="464" spans="1:8" x14ac:dyDescent="0.25">
      <c r="A464" s="2">
        <v>44266</v>
      </c>
      <c r="B464">
        <v>58.799999237060547</v>
      </c>
      <c r="C464">
        <v>59.479999542236328</v>
      </c>
      <c r="D464">
        <v>58.220001220703118</v>
      </c>
      <c r="E464">
        <v>58.950000762939453</v>
      </c>
      <c r="F464">
        <v>17293800</v>
      </c>
      <c r="G464">
        <v>106110000000</v>
      </c>
      <c r="H464">
        <v>1799999977</v>
      </c>
    </row>
    <row r="465" spans="1:8" x14ac:dyDescent="0.25">
      <c r="A465" s="2">
        <v>44267</v>
      </c>
      <c r="B465">
        <v>58.970001220703118</v>
      </c>
      <c r="C465">
        <v>60.590000152587891</v>
      </c>
      <c r="D465">
        <v>57.619998931884773</v>
      </c>
      <c r="E465">
        <v>60.349998474121087</v>
      </c>
      <c r="F465">
        <v>14839300</v>
      </c>
      <c r="G465">
        <v>108630000000</v>
      </c>
      <c r="H465">
        <v>1800000046</v>
      </c>
    </row>
    <row r="466" spans="1:8" x14ac:dyDescent="0.25">
      <c r="A466" s="2">
        <v>44270</v>
      </c>
      <c r="B466">
        <v>60.349998474121087</v>
      </c>
      <c r="C466">
        <v>60.529998779296882</v>
      </c>
      <c r="D466">
        <v>59.119998931884773</v>
      </c>
      <c r="E466">
        <v>60.189998626708977</v>
      </c>
      <c r="F466">
        <v>14985000</v>
      </c>
      <c r="G466">
        <v>108342000000</v>
      </c>
      <c r="H466">
        <v>1800000041</v>
      </c>
    </row>
    <row r="467" spans="1:8" x14ac:dyDescent="0.25">
      <c r="A467" s="2">
        <v>44271</v>
      </c>
      <c r="B467">
        <v>59.990001678466797</v>
      </c>
      <c r="C467">
        <v>61.020000457763672</v>
      </c>
      <c r="D467">
        <v>58.380001068115227</v>
      </c>
      <c r="E467">
        <v>58.849998474121087</v>
      </c>
      <c r="F467">
        <v>12885700</v>
      </c>
      <c r="G467">
        <v>105930000000</v>
      </c>
      <c r="H467">
        <v>1800000047</v>
      </c>
    </row>
    <row r="468" spans="1:8" x14ac:dyDescent="0.25">
      <c r="A468" s="2">
        <v>44272</v>
      </c>
      <c r="B468">
        <v>57.069999694824219</v>
      </c>
      <c r="C468">
        <v>57.569999694824219</v>
      </c>
      <c r="D468">
        <v>55.540000915527337</v>
      </c>
      <c r="E468">
        <v>56.360000610351563</v>
      </c>
      <c r="F468">
        <v>25509900</v>
      </c>
      <c r="G468">
        <v>101448000000</v>
      </c>
      <c r="H468">
        <v>1799999981</v>
      </c>
    </row>
    <row r="469" spans="1:8" x14ac:dyDescent="0.25">
      <c r="A469" s="2">
        <v>44273</v>
      </c>
      <c r="B469">
        <v>56.630001068115227</v>
      </c>
      <c r="C469">
        <v>57.479999542236328</v>
      </c>
      <c r="D469">
        <v>55.209999084472663</v>
      </c>
      <c r="E469">
        <v>55.689998626708977</v>
      </c>
      <c r="F469">
        <v>15737000</v>
      </c>
      <c r="G469">
        <v>100242000000</v>
      </c>
      <c r="H469">
        <v>1800000044</v>
      </c>
    </row>
    <row r="470" spans="1:8" x14ac:dyDescent="0.25">
      <c r="A470" s="2">
        <v>44274</v>
      </c>
      <c r="B470">
        <v>55.479999542236328</v>
      </c>
      <c r="C470">
        <v>57.180000305175781</v>
      </c>
      <c r="D470">
        <v>54.340000152587891</v>
      </c>
      <c r="E470">
        <v>57.080001831054688</v>
      </c>
      <c r="F470">
        <v>17396300</v>
      </c>
      <c r="G470">
        <v>102744000000</v>
      </c>
      <c r="H470">
        <v>1799999942</v>
      </c>
    </row>
    <row r="471" spans="1:8" x14ac:dyDescent="0.25">
      <c r="A471" s="2">
        <v>44277</v>
      </c>
      <c r="B471">
        <v>57.25</v>
      </c>
      <c r="C471">
        <v>57.610000610351563</v>
      </c>
      <c r="D471">
        <v>55.470001220703118</v>
      </c>
      <c r="E471">
        <v>55.689998626708977</v>
      </c>
      <c r="F471">
        <v>14149400</v>
      </c>
      <c r="G471">
        <v>100242000000</v>
      </c>
      <c r="H471">
        <v>1800000044</v>
      </c>
    </row>
    <row r="472" spans="1:8" x14ac:dyDescent="0.25">
      <c r="A472" s="2">
        <v>44278</v>
      </c>
      <c r="B472">
        <v>55.630001068115227</v>
      </c>
      <c r="C472">
        <v>55.630001068115227</v>
      </c>
      <c r="D472">
        <v>53.110000610351563</v>
      </c>
      <c r="E472">
        <v>53.490001678466797</v>
      </c>
      <c r="F472">
        <v>14513500</v>
      </c>
      <c r="G472">
        <v>96282000000</v>
      </c>
      <c r="H472">
        <v>1799999944</v>
      </c>
    </row>
    <row r="473" spans="1:8" x14ac:dyDescent="0.25">
      <c r="A473" s="2">
        <v>44279</v>
      </c>
      <c r="B473">
        <v>54.459999084472663</v>
      </c>
      <c r="C473">
        <v>54.959999084472663</v>
      </c>
      <c r="D473">
        <v>52.540000915527337</v>
      </c>
      <c r="E473">
        <v>52.569999694824219</v>
      </c>
      <c r="F473">
        <v>13700800</v>
      </c>
      <c r="G473">
        <v>94626000000</v>
      </c>
      <c r="H473">
        <v>1800000010</v>
      </c>
    </row>
    <row r="474" spans="1:8" x14ac:dyDescent="0.25">
      <c r="A474" s="2">
        <v>44280</v>
      </c>
      <c r="B474">
        <v>52</v>
      </c>
      <c r="C474">
        <v>54.279998779296882</v>
      </c>
      <c r="D474">
        <v>51.799999237060547</v>
      </c>
      <c r="E474">
        <v>53.889999389648438</v>
      </c>
      <c r="F474">
        <v>13210700</v>
      </c>
      <c r="G474">
        <v>97002000000</v>
      </c>
      <c r="H474">
        <v>1800000020</v>
      </c>
    </row>
    <row r="475" spans="1:8" x14ac:dyDescent="0.25">
      <c r="A475" s="2">
        <v>44281</v>
      </c>
      <c r="B475">
        <v>54.409999847412109</v>
      </c>
      <c r="C475">
        <v>55.25</v>
      </c>
      <c r="D475">
        <v>53.520000457763672</v>
      </c>
      <c r="E475">
        <v>54.709999084472663</v>
      </c>
      <c r="F475">
        <v>13528200</v>
      </c>
      <c r="G475">
        <v>98478000000</v>
      </c>
      <c r="H475">
        <v>1800000030</v>
      </c>
    </row>
    <row r="476" spans="1:8" x14ac:dyDescent="0.25">
      <c r="A476" s="2">
        <v>44284</v>
      </c>
      <c r="B476">
        <v>54.799999237060547</v>
      </c>
      <c r="C476">
        <v>54.799999237060547</v>
      </c>
      <c r="D476">
        <v>52.849998474121087</v>
      </c>
      <c r="E476">
        <v>53.349998474121087</v>
      </c>
      <c r="F476">
        <v>9724800</v>
      </c>
      <c r="G476">
        <v>96030000000</v>
      </c>
      <c r="H476">
        <v>1800000051</v>
      </c>
    </row>
    <row r="477" spans="1:8" x14ac:dyDescent="0.25">
      <c r="A477" s="2">
        <v>44285</v>
      </c>
      <c r="B477">
        <v>52.990001678466797</v>
      </c>
      <c r="C477">
        <v>54.119998931884773</v>
      </c>
      <c r="D477">
        <v>52.639999389648438</v>
      </c>
      <c r="E477">
        <v>53.459999084472663</v>
      </c>
      <c r="F477">
        <v>9497200</v>
      </c>
      <c r="G477">
        <v>96228000000</v>
      </c>
      <c r="H477">
        <v>1800000031</v>
      </c>
    </row>
    <row r="478" spans="1:8" x14ac:dyDescent="0.25">
      <c r="A478" s="2">
        <v>44286</v>
      </c>
      <c r="B478">
        <v>53.959999084472663</v>
      </c>
      <c r="C478">
        <v>55.180000305175781</v>
      </c>
      <c r="D478">
        <v>53.580001831054688</v>
      </c>
      <c r="E478">
        <v>54.509998321533203</v>
      </c>
      <c r="F478">
        <v>14760500</v>
      </c>
      <c r="G478">
        <v>102214753560</v>
      </c>
      <c r="H478">
        <v>1875156058</v>
      </c>
    </row>
    <row r="479" spans="1:8" x14ac:dyDescent="0.25">
      <c r="A479" s="2">
        <v>44287</v>
      </c>
      <c r="B479">
        <v>55.610000610351563</v>
      </c>
      <c r="C479">
        <v>57.630001068115227</v>
      </c>
      <c r="D479">
        <v>54.810001373291023</v>
      </c>
      <c r="E479">
        <v>57.599998474121087</v>
      </c>
      <c r="F479">
        <v>18703400</v>
      </c>
      <c r="G479">
        <v>108008985600</v>
      </c>
      <c r="H479">
        <v>1875156050</v>
      </c>
    </row>
    <row r="480" spans="1:8" x14ac:dyDescent="0.25">
      <c r="A480" s="2">
        <v>44291</v>
      </c>
      <c r="B480">
        <v>58.099998474121087</v>
      </c>
      <c r="C480">
        <v>58.419998168945313</v>
      </c>
      <c r="D480">
        <v>56.639999389648438</v>
      </c>
      <c r="E480">
        <v>57.400001525878913</v>
      </c>
      <c r="F480">
        <v>13490200</v>
      </c>
      <c r="G480">
        <v>107633954400</v>
      </c>
      <c r="H480">
        <v>1875155950</v>
      </c>
    </row>
    <row r="481" spans="1:8" x14ac:dyDescent="0.25">
      <c r="A481" s="2">
        <v>44292</v>
      </c>
      <c r="B481">
        <v>57.340000152587891</v>
      </c>
      <c r="C481">
        <v>58.990001678466797</v>
      </c>
      <c r="D481">
        <v>57.159999847412109</v>
      </c>
      <c r="E481">
        <v>58.049999237060547</v>
      </c>
      <c r="F481">
        <v>13579200</v>
      </c>
      <c r="G481">
        <v>108852805800</v>
      </c>
      <c r="H481">
        <v>1875156025</v>
      </c>
    </row>
    <row r="482" spans="1:8" x14ac:dyDescent="0.25">
      <c r="A482" s="2">
        <v>44293</v>
      </c>
      <c r="B482">
        <v>58.020000457763672</v>
      </c>
      <c r="C482">
        <v>58.130001068115227</v>
      </c>
      <c r="D482">
        <v>55.950000762939453</v>
      </c>
      <c r="E482">
        <v>56.889999389648438</v>
      </c>
      <c r="F482">
        <v>12921900</v>
      </c>
      <c r="G482">
        <v>106677624840</v>
      </c>
      <c r="H482">
        <v>1875156020</v>
      </c>
    </row>
    <row r="483" spans="1:8" x14ac:dyDescent="0.25">
      <c r="A483" s="2">
        <v>44294</v>
      </c>
      <c r="B483">
        <v>56.650001525878913</v>
      </c>
      <c r="C483">
        <v>57.939998626708977</v>
      </c>
      <c r="D483">
        <v>56.540000915527337</v>
      </c>
      <c r="E483">
        <v>57.830001831054688</v>
      </c>
      <c r="F483">
        <v>9498500</v>
      </c>
      <c r="G483">
        <v>108440271480</v>
      </c>
      <c r="H483">
        <v>1875155941</v>
      </c>
    </row>
    <row r="484" spans="1:8" x14ac:dyDescent="0.25">
      <c r="A484" s="2">
        <v>44295</v>
      </c>
      <c r="B484">
        <v>57.319999694824219</v>
      </c>
      <c r="C484">
        <v>57.880001068115227</v>
      </c>
      <c r="D484">
        <v>56.400001525878913</v>
      </c>
      <c r="E484">
        <v>57.680000305175781</v>
      </c>
      <c r="F484">
        <v>10228500</v>
      </c>
      <c r="G484">
        <v>108158998080</v>
      </c>
      <c r="H484">
        <v>1875155990</v>
      </c>
    </row>
    <row r="485" spans="1:8" x14ac:dyDescent="0.25">
      <c r="A485" s="2">
        <v>44298</v>
      </c>
      <c r="B485">
        <v>59.049999237060547</v>
      </c>
      <c r="C485">
        <v>60.770000457763672</v>
      </c>
      <c r="D485">
        <v>58.75</v>
      </c>
      <c r="E485">
        <v>59.439998626708977</v>
      </c>
      <c r="F485">
        <v>36041300</v>
      </c>
      <c r="G485">
        <v>111459272640</v>
      </c>
      <c r="H485">
        <v>1875156043</v>
      </c>
    </row>
    <row r="486" spans="1:8" x14ac:dyDescent="0.25">
      <c r="A486" s="2">
        <v>44299</v>
      </c>
      <c r="B486">
        <v>59.650001525878913</v>
      </c>
      <c r="C486">
        <v>61.009998321533203</v>
      </c>
      <c r="D486">
        <v>58.529998779296882</v>
      </c>
      <c r="E486">
        <v>60.639999389648438</v>
      </c>
      <c r="F486">
        <v>21006100</v>
      </c>
      <c r="G486">
        <v>113709459840</v>
      </c>
      <c r="H486">
        <v>1875156019</v>
      </c>
    </row>
    <row r="487" spans="1:8" x14ac:dyDescent="0.25">
      <c r="A487" s="2">
        <v>44300</v>
      </c>
      <c r="B487">
        <v>60.110000610351563</v>
      </c>
      <c r="C487">
        <v>61.5</v>
      </c>
      <c r="D487">
        <v>59.180000305175781</v>
      </c>
      <c r="E487">
        <v>59.229999542236328</v>
      </c>
      <c r="F487">
        <v>18959800</v>
      </c>
      <c r="G487">
        <v>111065489880</v>
      </c>
      <c r="H487">
        <v>1875156014</v>
      </c>
    </row>
    <row r="488" spans="1:8" x14ac:dyDescent="0.25">
      <c r="A488" s="2">
        <v>44301</v>
      </c>
      <c r="B488">
        <v>59.880001068115227</v>
      </c>
      <c r="C488">
        <v>61.090000152587891</v>
      </c>
      <c r="D488">
        <v>59.549999237060547</v>
      </c>
      <c r="E488">
        <v>60.740001678466797</v>
      </c>
      <c r="F488">
        <v>17500200</v>
      </c>
      <c r="G488">
        <v>113896975440</v>
      </c>
      <c r="H488">
        <v>1875155948</v>
      </c>
    </row>
    <row r="489" spans="1:8" x14ac:dyDescent="0.25">
      <c r="A489" s="2">
        <v>44302</v>
      </c>
      <c r="B489">
        <v>60.740001678466797</v>
      </c>
      <c r="C489">
        <v>60.849998474121087</v>
      </c>
      <c r="D489">
        <v>59.540000915527337</v>
      </c>
      <c r="E489">
        <v>60.349998474121087</v>
      </c>
      <c r="F489">
        <v>11856100</v>
      </c>
      <c r="G489">
        <v>113165664600</v>
      </c>
      <c r="H489">
        <v>1875156047</v>
      </c>
    </row>
    <row r="490" spans="1:8" x14ac:dyDescent="0.25">
      <c r="A490" s="2">
        <v>44305</v>
      </c>
      <c r="B490">
        <v>60</v>
      </c>
      <c r="C490">
        <v>60.220001220703118</v>
      </c>
      <c r="D490">
        <v>57.520000457763672</v>
      </c>
      <c r="E490">
        <v>57.849998474121087</v>
      </c>
      <c r="F490">
        <v>16956900</v>
      </c>
      <c r="G490">
        <v>108477774600</v>
      </c>
      <c r="H490">
        <v>1875156049</v>
      </c>
    </row>
    <row r="491" spans="1:8" x14ac:dyDescent="0.25">
      <c r="A491" s="2">
        <v>44306</v>
      </c>
      <c r="B491">
        <v>58</v>
      </c>
      <c r="C491">
        <v>58.119998931884773</v>
      </c>
      <c r="D491">
        <v>55.243999481201172</v>
      </c>
      <c r="E491">
        <v>55.479999542236328</v>
      </c>
      <c r="F491">
        <v>19081100</v>
      </c>
      <c r="G491">
        <v>104033654880</v>
      </c>
      <c r="H491">
        <v>1875156015</v>
      </c>
    </row>
    <row r="492" spans="1:8" x14ac:dyDescent="0.25">
      <c r="A492" s="2">
        <v>44307</v>
      </c>
      <c r="B492">
        <v>55</v>
      </c>
      <c r="C492">
        <v>56.200000762939453</v>
      </c>
      <c r="D492">
        <v>54.610000610351563</v>
      </c>
      <c r="E492">
        <v>55.770000457763672</v>
      </c>
      <c r="F492">
        <v>11523900</v>
      </c>
      <c r="G492">
        <v>104577450120</v>
      </c>
      <c r="H492">
        <v>1875155985</v>
      </c>
    </row>
    <row r="493" spans="1:8" x14ac:dyDescent="0.25">
      <c r="A493" s="2">
        <v>44308</v>
      </c>
      <c r="B493">
        <v>55.849998474121087</v>
      </c>
      <c r="C493">
        <v>57.219001770019531</v>
      </c>
      <c r="D493">
        <v>55.189998626708977</v>
      </c>
      <c r="E493">
        <v>56.279998779296882</v>
      </c>
      <c r="F493">
        <v>16936200</v>
      </c>
      <c r="G493">
        <v>105533779680</v>
      </c>
      <c r="H493">
        <v>1875156041</v>
      </c>
    </row>
    <row r="494" spans="1:8" x14ac:dyDescent="0.25">
      <c r="A494" s="2">
        <v>44309</v>
      </c>
      <c r="B494">
        <v>56.560001373291023</v>
      </c>
      <c r="C494">
        <v>57.950000762939453</v>
      </c>
      <c r="D494">
        <v>56.389999389648438</v>
      </c>
      <c r="E494">
        <v>57.930000305175781</v>
      </c>
      <c r="F494">
        <v>8758800</v>
      </c>
      <c r="G494">
        <v>108627787080</v>
      </c>
      <c r="H494">
        <v>1875155990</v>
      </c>
    </row>
    <row r="495" spans="1:8" x14ac:dyDescent="0.25">
      <c r="A495" s="2">
        <v>44312</v>
      </c>
      <c r="B495">
        <v>58.049999237060547</v>
      </c>
      <c r="C495">
        <v>58.360000610351563</v>
      </c>
      <c r="D495">
        <v>57.330001831054688</v>
      </c>
      <c r="E495">
        <v>57.610000610351563</v>
      </c>
      <c r="F495">
        <v>8361600</v>
      </c>
      <c r="G495">
        <v>108027737160</v>
      </c>
      <c r="H495">
        <v>1875155980</v>
      </c>
    </row>
    <row r="496" spans="1:8" x14ac:dyDescent="0.25">
      <c r="A496" s="2">
        <v>44313</v>
      </c>
      <c r="B496">
        <v>58.319999694824219</v>
      </c>
      <c r="C496">
        <v>58.400001525878913</v>
      </c>
      <c r="D496">
        <v>57.049999237060547</v>
      </c>
      <c r="E496">
        <v>57.159999847412109</v>
      </c>
      <c r="F496">
        <v>12926800</v>
      </c>
      <c r="G496">
        <v>107183916960</v>
      </c>
      <c r="H496">
        <v>1875156005</v>
      </c>
    </row>
    <row r="497" spans="1:8" x14ac:dyDescent="0.25">
      <c r="A497" s="2">
        <v>44314</v>
      </c>
      <c r="B497">
        <v>56.880001068115227</v>
      </c>
      <c r="C497">
        <v>58.479999542236328</v>
      </c>
      <c r="D497">
        <v>56.659999847412109</v>
      </c>
      <c r="E497">
        <v>58.439998626708977</v>
      </c>
      <c r="F497">
        <v>9269700</v>
      </c>
      <c r="G497">
        <v>109584116640</v>
      </c>
      <c r="H497">
        <v>1875156044</v>
      </c>
    </row>
    <row r="498" spans="1:8" x14ac:dyDescent="0.25">
      <c r="A498" s="2">
        <v>44315</v>
      </c>
      <c r="B498">
        <v>59</v>
      </c>
      <c r="C498">
        <v>59.220001220703118</v>
      </c>
      <c r="D498">
        <v>53.110000610351563</v>
      </c>
      <c r="E498">
        <v>54.930000305175781</v>
      </c>
      <c r="F498">
        <v>43408000</v>
      </c>
      <c r="G498">
        <v>103002319080</v>
      </c>
      <c r="H498">
        <v>1875155990</v>
      </c>
    </row>
    <row r="499" spans="1:8" x14ac:dyDescent="0.25">
      <c r="A499" s="2">
        <v>44316</v>
      </c>
      <c r="B499">
        <v>54.299999237060547</v>
      </c>
      <c r="C499">
        <v>55.650001525878913</v>
      </c>
      <c r="D499">
        <v>54.110000610351563</v>
      </c>
      <c r="E499">
        <v>54.770000457763672</v>
      </c>
      <c r="F499">
        <v>16736600</v>
      </c>
      <c r="G499">
        <v>102702294120</v>
      </c>
      <c r="H499">
        <v>1875155984</v>
      </c>
    </row>
    <row r="500" spans="1:8" x14ac:dyDescent="0.25">
      <c r="A500" s="2">
        <v>44319</v>
      </c>
      <c r="B500">
        <v>55.119998931884773</v>
      </c>
      <c r="C500">
        <v>56.130001068115227</v>
      </c>
      <c r="D500">
        <v>54.840000152587891</v>
      </c>
      <c r="E500">
        <v>54.849998474121087</v>
      </c>
      <c r="F500">
        <v>13903300</v>
      </c>
      <c r="G500">
        <v>102852306600</v>
      </c>
      <c r="H500">
        <v>1875156052</v>
      </c>
    </row>
    <row r="501" spans="1:8" x14ac:dyDescent="0.25">
      <c r="A501" s="2">
        <v>44320</v>
      </c>
      <c r="B501">
        <v>54.520000457763672</v>
      </c>
      <c r="C501">
        <v>54.720001220703118</v>
      </c>
      <c r="D501">
        <v>52.009998321533203</v>
      </c>
      <c r="E501">
        <v>52.990001678466797</v>
      </c>
      <c r="F501">
        <v>19336600</v>
      </c>
      <c r="G501">
        <v>99364516440</v>
      </c>
      <c r="H501">
        <v>1875155941</v>
      </c>
    </row>
    <row r="502" spans="1:8" x14ac:dyDescent="0.25">
      <c r="A502" s="2">
        <v>44321</v>
      </c>
      <c r="B502">
        <v>53.869998931884773</v>
      </c>
      <c r="C502">
        <v>54.069999694824219</v>
      </c>
      <c r="D502">
        <v>50.630001068115227</v>
      </c>
      <c r="E502">
        <v>51.180000305175781</v>
      </c>
      <c r="F502">
        <v>43970500</v>
      </c>
      <c r="G502">
        <v>95970484080</v>
      </c>
      <c r="H502">
        <v>1875155989</v>
      </c>
    </row>
    <row r="503" spans="1:8" x14ac:dyDescent="0.25">
      <c r="A503" s="2">
        <v>44322</v>
      </c>
      <c r="B503">
        <v>48.389999389648438</v>
      </c>
      <c r="C503">
        <v>49.810001373291023</v>
      </c>
      <c r="D503">
        <v>45.720001220703118</v>
      </c>
      <c r="E503">
        <v>46.650001525878913</v>
      </c>
      <c r="F503">
        <v>79242400</v>
      </c>
      <c r="G503">
        <v>87476027400</v>
      </c>
      <c r="H503">
        <v>1875155939</v>
      </c>
    </row>
    <row r="504" spans="1:8" x14ac:dyDescent="0.25">
      <c r="A504" s="2">
        <v>44323</v>
      </c>
      <c r="B504">
        <v>47.220001220703118</v>
      </c>
      <c r="C504">
        <v>48.599998474121087</v>
      </c>
      <c r="D504">
        <v>46.534999847412109</v>
      </c>
      <c r="E504">
        <v>47.029998779296882</v>
      </c>
      <c r="F504">
        <v>27933900</v>
      </c>
      <c r="G504">
        <v>88188586680</v>
      </c>
      <c r="H504">
        <v>1875156049</v>
      </c>
    </row>
    <row r="505" spans="1:8" x14ac:dyDescent="0.25">
      <c r="A505" s="2">
        <v>44326</v>
      </c>
      <c r="B505">
        <v>47.709999084472663</v>
      </c>
      <c r="C505">
        <v>47.849998474121087</v>
      </c>
      <c r="D505">
        <v>45.599998474121087</v>
      </c>
      <c r="E505">
        <v>45.790000915527337</v>
      </c>
      <c r="F505">
        <v>28309800</v>
      </c>
      <c r="G505">
        <v>85863393240</v>
      </c>
      <c r="H505">
        <v>1875155963</v>
      </c>
    </row>
    <row r="506" spans="1:8" x14ac:dyDescent="0.25">
      <c r="A506" s="2">
        <v>44327</v>
      </c>
      <c r="B506">
        <v>44.5</v>
      </c>
      <c r="C506">
        <v>46.790000915527337</v>
      </c>
      <c r="D506">
        <v>44.181999206542969</v>
      </c>
      <c r="E506">
        <v>46.209999084472663</v>
      </c>
      <c r="F506">
        <v>29106900</v>
      </c>
      <c r="G506">
        <v>86650958760</v>
      </c>
      <c r="H506">
        <v>1875156037</v>
      </c>
    </row>
    <row r="507" spans="1:8" x14ac:dyDescent="0.25">
      <c r="A507" s="2">
        <v>44328</v>
      </c>
      <c r="B507">
        <v>45.900001525878913</v>
      </c>
      <c r="C507">
        <v>46.104999542236328</v>
      </c>
      <c r="D507">
        <v>43.169998168945313</v>
      </c>
      <c r="E507">
        <v>43.810001373291023</v>
      </c>
      <c r="F507">
        <v>32117400</v>
      </c>
      <c r="G507">
        <v>82150584360</v>
      </c>
      <c r="H507">
        <v>1875155941</v>
      </c>
    </row>
    <row r="508" spans="1:8" x14ac:dyDescent="0.25">
      <c r="A508" s="2">
        <v>44329</v>
      </c>
      <c r="B508">
        <v>44.990001678466797</v>
      </c>
      <c r="C508">
        <v>46.099998474121087</v>
      </c>
      <c r="D508">
        <v>43.560001373291023</v>
      </c>
      <c r="E508">
        <v>44.479999542236328</v>
      </c>
      <c r="F508">
        <v>36205100</v>
      </c>
      <c r="G508">
        <v>83406938880</v>
      </c>
      <c r="H508">
        <v>1875156019</v>
      </c>
    </row>
    <row r="509" spans="1:8" x14ac:dyDescent="0.25">
      <c r="A509" s="2">
        <v>44330</v>
      </c>
      <c r="B509">
        <v>45.029998779296882</v>
      </c>
      <c r="C509">
        <v>47.709999084472663</v>
      </c>
      <c r="D509">
        <v>44.849998474121087</v>
      </c>
      <c r="E509">
        <v>47.419998168945313</v>
      </c>
      <c r="F509">
        <v>25323300</v>
      </c>
      <c r="G509">
        <v>88919897520</v>
      </c>
      <c r="H509">
        <v>1875156072</v>
      </c>
    </row>
    <row r="510" spans="1:8" x14ac:dyDescent="0.25">
      <c r="A510" s="2">
        <v>44333</v>
      </c>
      <c r="B510">
        <v>47.240001678466797</v>
      </c>
      <c r="C510">
        <v>47.939998626708977</v>
      </c>
      <c r="D510">
        <v>46.509998321533203</v>
      </c>
      <c r="E510">
        <v>47.509998321533203</v>
      </c>
      <c r="F510">
        <v>17475300</v>
      </c>
      <c r="G510">
        <v>89088661560</v>
      </c>
      <c r="H510">
        <v>1875156066</v>
      </c>
    </row>
    <row r="511" spans="1:8" x14ac:dyDescent="0.25">
      <c r="A511" s="2">
        <v>44334</v>
      </c>
      <c r="B511">
        <v>49.669998168945313</v>
      </c>
      <c r="C511">
        <v>50.290000915527337</v>
      </c>
      <c r="D511">
        <v>48.525001525878913</v>
      </c>
      <c r="E511">
        <v>49.169998168945313</v>
      </c>
      <c r="F511">
        <v>28244400</v>
      </c>
      <c r="G511">
        <v>92201420520</v>
      </c>
      <c r="H511">
        <v>1875156070</v>
      </c>
    </row>
    <row r="512" spans="1:8" x14ac:dyDescent="0.25">
      <c r="A512" s="2">
        <v>44335</v>
      </c>
      <c r="B512">
        <v>47.529998779296882</v>
      </c>
      <c r="C512">
        <v>49.830001831054688</v>
      </c>
      <c r="D512">
        <v>47.369998931884773</v>
      </c>
      <c r="E512">
        <v>49.470001220703118</v>
      </c>
      <c r="F512">
        <v>16517500</v>
      </c>
      <c r="G512">
        <v>92763967320</v>
      </c>
      <c r="H512">
        <v>1875155954</v>
      </c>
    </row>
    <row r="513" spans="1:8" x14ac:dyDescent="0.25">
      <c r="A513" s="2">
        <v>44336</v>
      </c>
      <c r="B513">
        <v>49.569999694824219</v>
      </c>
      <c r="C513">
        <v>49.950000762939453</v>
      </c>
      <c r="D513">
        <v>48.759998321533203</v>
      </c>
      <c r="E513">
        <v>49.330001831054688</v>
      </c>
      <c r="F513">
        <v>18822300</v>
      </c>
      <c r="G513">
        <v>92501445480</v>
      </c>
      <c r="H513">
        <v>1875155930</v>
      </c>
    </row>
    <row r="514" spans="1:8" x14ac:dyDescent="0.25">
      <c r="A514" s="2">
        <v>44337</v>
      </c>
      <c r="B514">
        <v>49.569999694824219</v>
      </c>
      <c r="C514">
        <v>49.950000762939453</v>
      </c>
      <c r="D514">
        <v>48.759998321533203</v>
      </c>
      <c r="E514">
        <v>48.819999694824219</v>
      </c>
      <c r="F514">
        <v>20013200</v>
      </c>
      <c r="G514">
        <v>91545115920</v>
      </c>
      <c r="H514">
        <v>1875156012</v>
      </c>
    </row>
    <row r="515" spans="1:8" x14ac:dyDescent="0.25">
      <c r="A515" s="2">
        <v>44340</v>
      </c>
      <c r="B515">
        <v>49.330001831054688</v>
      </c>
      <c r="C515">
        <v>50.400001525878913</v>
      </c>
      <c r="D515">
        <v>48.849998474121087</v>
      </c>
      <c r="E515">
        <v>50.029998779296882</v>
      </c>
      <c r="F515">
        <v>16768400</v>
      </c>
      <c r="G515">
        <v>93814054680</v>
      </c>
      <c r="H515">
        <v>1875156046</v>
      </c>
    </row>
    <row r="516" spans="1:8" x14ac:dyDescent="0.25">
      <c r="A516" s="2">
        <v>44341</v>
      </c>
      <c r="B516">
        <v>50.740001678466797</v>
      </c>
      <c r="C516">
        <v>51.590000152587891</v>
      </c>
      <c r="D516">
        <v>50.439998626708977</v>
      </c>
      <c r="E516">
        <v>50.459999084472663</v>
      </c>
      <c r="F516">
        <v>16930900</v>
      </c>
      <c r="G516">
        <v>94620371760</v>
      </c>
      <c r="H516">
        <v>1875156034</v>
      </c>
    </row>
    <row r="517" spans="1:8" x14ac:dyDescent="0.25">
      <c r="A517" s="2">
        <v>44342</v>
      </c>
      <c r="B517">
        <v>50.319999694824219</v>
      </c>
      <c r="C517">
        <v>51.360000610351563</v>
      </c>
      <c r="D517">
        <v>49.759998321533203</v>
      </c>
      <c r="E517">
        <v>51.119998931884773</v>
      </c>
      <c r="F517">
        <v>16393700</v>
      </c>
      <c r="G517">
        <v>95857974720</v>
      </c>
      <c r="H517">
        <v>1875156039</v>
      </c>
    </row>
    <row r="518" spans="1:8" x14ac:dyDescent="0.25">
      <c r="A518" s="2">
        <v>44343</v>
      </c>
      <c r="B518">
        <v>51.439998626708977</v>
      </c>
      <c r="C518">
        <v>51.689998626708977</v>
      </c>
      <c r="D518">
        <v>48.720001220703118</v>
      </c>
      <c r="E518">
        <v>50.709999084472663</v>
      </c>
      <c r="F518">
        <v>51346000</v>
      </c>
      <c r="G518">
        <v>95089160760</v>
      </c>
      <c r="H518">
        <v>1875156034</v>
      </c>
    </row>
    <row r="519" spans="1:8" x14ac:dyDescent="0.25">
      <c r="A519" s="2">
        <v>44344</v>
      </c>
      <c r="B519">
        <v>50.674999237060547</v>
      </c>
      <c r="C519">
        <v>51.740001678466797</v>
      </c>
      <c r="D519">
        <v>50.470001220703118</v>
      </c>
      <c r="E519">
        <v>50.830001831054688</v>
      </c>
      <c r="F519">
        <v>14226800</v>
      </c>
      <c r="G519">
        <v>95314179480</v>
      </c>
      <c r="H519">
        <v>1875155932</v>
      </c>
    </row>
    <row r="520" spans="1:8" x14ac:dyDescent="0.25">
      <c r="A520" s="2">
        <v>44348</v>
      </c>
      <c r="B520">
        <v>51.619998931884773</v>
      </c>
      <c r="C520">
        <v>51.659999847412109</v>
      </c>
      <c r="D520">
        <v>49.840000152587891</v>
      </c>
      <c r="E520">
        <v>50.979999542236328</v>
      </c>
      <c r="F520">
        <v>16583800</v>
      </c>
      <c r="G520">
        <v>95595452880</v>
      </c>
      <c r="H520">
        <v>1875156017</v>
      </c>
    </row>
    <row r="521" spans="1:8" x14ac:dyDescent="0.25">
      <c r="A521" s="2">
        <v>44349</v>
      </c>
      <c r="B521">
        <v>51.189998626708977</v>
      </c>
      <c r="C521">
        <v>51.409999847412109</v>
      </c>
      <c r="D521">
        <v>50.549999237060547</v>
      </c>
      <c r="E521">
        <v>50.790000915527337</v>
      </c>
      <c r="F521">
        <v>13484200</v>
      </c>
      <c r="G521">
        <v>95239173240</v>
      </c>
      <c r="H521">
        <v>1875155966</v>
      </c>
    </row>
    <row r="522" spans="1:8" x14ac:dyDescent="0.25">
      <c r="A522" s="2">
        <v>44350</v>
      </c>
      <c r="B522">
        <v>50.430000305175781</v>
      </c>
      <c r="C522">
        <v>50.5</v>
      </c>
      <c r="D522">
        <v>48.529998779296882</v>
      </c>
      <c r="E522">
        <v>48.700000762939453</v>
      </c>
      <c r="F522">
        <v>14712900</v>
      </c>
      <c r="G522">
        <v>91320097200</v>
      </c>
      <c r="H522">
        <v>1875155971</v>
      </c>
    </row>
    <row r="523" spans="1:8" x14ac:dyDescent="0.25">
      <c r="A523" s="2">
        <v>44351</v>
      </c>
      <c r="B523">
        <v>49.560001373291023</v>
      </c>
      <c r="C523">
        <v>50.220001220703118</v>
      </c>
      <c r="D523">
        <v>49.069999694824219</v>
      </c>
      <c r="E523">
        <v>50.180000305175781</v>
      </c>
      <c r="F523">
        <v>10409800</v>
      </c>
      <c r="G523">
        <v>94095328080</v>
      </c>
      <c r="H523">
        <v>1875155989</v>
      </c>
    </row>
    <row r="524" spans="1:8" x14ac:dyDescent="0.25">
      <c r="A524" s="2">
        <v>44354</v>
      </c>
      <c r="B524">
        <v>50.490001678466797</v>
      </c>
      <c r="C524">
        <v>51.220001220703118</v>
      </c>
      <c r="D524">
        <v>49.75</v>
      </c>
      <c r="E524">
        <v>50.759998321533203</v>
      </c>
      <c r="F524">
        <v>16466200</v>
      </c>
      <c r="G524">
        <v>95182918560</v>
      </c>
      <c r="H524">
        <v>1875156062</v>
      </c>
    </row>
    <row r="525" spans="1:8" x14ac:dyDescent="0.25">
      <c r="A525" s="2">
        <v>44355</v>
      </c>
      <c r="B525">
        <v>50.700000762939453</v>
      </c>
      <c r="C525">
        <v>51.400001525878913</v>
      </c>
      <c r="D525">
        <v>48.659999847412109</v>
      </c>
      <c r="E525">
        <v>49.880001068115227</v>
      </c>
      <c r="F525">
        <v>19672700</v>
      </c>
      <c r="G525">
        <v>93532781280</v>
      </c>
      <c r="H525">
        <v>1875155960</v>
      </c>
    </row>
    <row r="526" spans="1:8" x14ac:dyDescent="0.25">
      <c r="A526" s="2">
        <v>44356</v>
      </c>
      <c r="B526">
        <v>50</v>
      </c>
      <c r="C526">
        <v>50.169998168945313</v>
      </c>
      <c r="D526">
        <v>49.110000610351563</v>
      </c>
      <c r="E526">
        <v>49.139999389648438</v>
      </c>
      <c r="F526">
        <v>12615200</v>
      </c>
      <c r="G526">
        <v>92145165840</v>
      </c>
      <c r="H526">
        <v>1875156023</v>
      </c>
    </row>
    <row r="527" spans="1:8" x14ac:dyDescent="0.25">
      <c r="A527" s="2">
        <v>44357</v>
      </c>
      <c r="B527">
        <v>49.689998626708977</v>
      </c>
      <c r="C527">
        <v>49.895000457763672</v>
      </c>
      <c r="D527">
        <v>48.424999237060547</v>
      </c>
      <c r="E527">
        <v>49.549999237060547</v>
      </c>
      <c r="F527">
        <v>14926500</v>
      </c>
      <c r="G527">
        <v>92913979800</v>
      </c>
      <c r="H527">
        <v>1875156029</v>
      </c>
    </row>
    <row r="528" spans="1:8" x14ac:dyDescent="0.25">
      <c r="A528" s="2">
        <v>44358</v>
      </c>
      <c r="B528">
        <v>50.029998779296882</v>
      </c>
      <c r="C528">
        <v>50.360000610351563</v>
      </c>
      <c r="D528">
        <v>49.534999847412109</v>
      </c>
      <c r="E528">
        <v>50.009998321533203</v>
      </c>
      <c r="F528">
        <v>12127100</v>
      </c>
      <c r="G528">
        <v>93776551560</v>
      </c>
      <c r="H528">
        <v>1875156063</v>
      </c>
    </row>
    <row r="529" spans="1:8" x14ac:dyDescent="0.25">
      <c r="A529" s="2">
        <v>44361</v>
      </c>
      <c r="B529">
        <v>50.060001373291023</v>
      </c>
      <c r="C529">
        <v>51.490001678466797</v>
      </c>
      <c r="D529">
        <v>49.560001373291023</v>
      </c>
      <c r="E529">
        <v>50.770000457763672</v>
      </c>
      <c r="F529">
        <v>15437300</v>
      </c>
      <c r="G529">
        <v>95201670120</v>
      </c>
      <c r="H529">
        <v>1875155983</v>
      </c>
    </row>
    <row r="530" spans="1:8" x14ac:dyDescent="0.25">
      <c r="A530" s="2">
        <v>44362</v>
      </c>
      <c r="B530">
        <v>49.549999237060547</v>
      </c>
      <c r="C530">
        <v>49.955001831054688</v>
      </c>
      <c r="D530">
        <v>49.090000152587891</v>
      </c>
      <c r="E530">
        <v>49.299999237060547</v>
      </c>
      <c r="F530">
        <v>20358600</v>
      </c>
      <c r="G530">
        <v>92445190800</v>
      </c>
      <c r="H530">
        <v>1875156029</v>
      </c>
    </row>
    <row r="531" spans="1:8" x14ac:dyDescent="0.25">
      <c r="A531" s="2">
        <v>44363</v>
      </c>
      <c r="B531">
        <v>49.349998474121087</v>
      </c>
      <c r="C531">
        <v>49.659999847412109</v>
      </c>
      <c r="D531">
        <v>48.290000915527337</v>
      </c>
      <c r="E531">
        <v>48.889999389648438</v>
      </c>
      <c r="F531">
        <v>18975800</v>
      </c>
      <c r="G531">
        <v>91676376840</v>
      </c>
      <c r="H531">
        <v>1875156023</v>
      </c>
    </row>
    <row r="532" spans="1:8" x14ac:dyDescent="0.25">
      <c r="A532" s="2">
        <v>44364</v>
      </c>
      <c r="B532">
        <v>48.959999084472663</v>
      </c>
      <c r="C532">
        <v>49.834999084472663</v>
      </c>
      <c r="D532">
        <v>48.310001373291023</v>
      </c>
      <c r="E532">
        <v>49.700000762939453</v>
      </c>
      <c r="F532">
        <v>18911400</v>
      </c>
      <c r="G532">
        <v>93195253200</v>
      </c>
      <c r="H532">
        <v>1875155971</v>
      </c>
    </row>
    <row r="533" spans="1:8" x14ac:dyDescent="0.25">
      <c r="A533" s="2">
        <v>44365</v>
      </c>
      <c r="B533">
        <v>49.310001373291023</v>
      </c>
      <c r="C533">
        <v>50.389999389648438</v>
      </c>
      <c r="D533">
        <v>48.775001525878913</v>
      </c>
      <c r="E533">
        <v>49.700000762939453</v>
      </c>
      <c r="F533">
        <v>20633500</v>
      </c>
      <c r="G533">
        <v>93195253200</v>
      </c>
      <c r="H533">
        <v>1875155971</v>
      </c>
    </row>
    <row r="534" spans="1:8" x14ac:dyDescent="0.25">
      <c r="A534" s="2">
        <v>44368</v>
      </c>
      <c r="B534">
        <v>49.720001220703118</v>
      </c>
      <c r="C534">
        <v>49.860000610351563</v>
      </c>
      <c r="D534">
        <v>47.900001525878913</v>
      </c>
      <c r="E534">
        <v>48.119998931884773</v>
      </c>
      <c r="F534">
        <v>30752200</v>
      </c>
      <c r="G534">
        <v>90232506720</v>
      </c>
      <c r="H534">
        <v>1875156042</v>
      </c>
    </row>
    <row r="535" spans="1:8" x14ac:dyDescent="0.25">
      <c r="A535" s="2">
        <v>44369</v>
      </c>
      <c r="B535">
        <v>48.299999237060547</v>
      </c>
      <c r="C535">
        <v>49.340000152587891</v>
      </c>
      <c r="D535">
        <v>47.75</v>
      </c>
      <c r="E535">
        <v>49.049999237060547</v>
      </c>
      <c r="F535">
        <v>19472500</v>
      </c>
      <c r="G535">
        <v>91976401800</v>
      </c>
      <c r="H535">
        <v>1875156029</v>
      </c>
    </row>
    <row r="536" spans="1:8" x14ac:dyDescent="0.25">
      <c r="A536" s="2">
        <v>44370</v>
      </c>
      <c r="B536">
        <v>49.060001373291023</v>
      </c>
      <c r="C536">
        <v>50.770000457763672</v>
      </c>
      <c r="D536">
        <v>49.009998321533203</v>
      </c>
      <c r="E536">
        <v>50.509998321533203</v>
      </c>
      <c r="F536">
        <v>19843300</v>
      </c>
      <c r="G536">
        <v>94714129560</v>
      </c>
      <c r="H536">
        <v>1875156062</v>
      </c>
    </row>
    <row r="537" spans="1:8" x14ac:dyDescent="0.25">
      <c r="A537" s="2">
        <v>44371</v>
      </c>
      <c r="B537">
        <v>51.299999237060547</v>
      </c>
      <c r="C537">
        <v>51.549999237060547</v>
      </c>
      <c r="D537">
        <v>50.220001220703118</v>
      </c>
      <c r="E537">
        <v>50.819999694824219</v>
      </c>
      <c r="F537">
        <v>12403300</v>
      </c>
      <c r="G537">
        <v>95295427920</v>
      </c>
      <c r="H537">
        <v>1875156011</v>
      </c>
    </row>
    <row r="538" spans="1:8" x14ac:dyDescent="0.25">
      <c r="A538" s="2">
        <v>44372</v>
      </c>
      <c r="B538">
        <v>51.180000305175781</v>
      </c>
      <c r="C538">
        <v>51.830001831054688</v>
      </c>
      <c r="D538">
        <v>50.529998779296882</v>
      </c>
      <c r="E538">
        <v>51.729999542236328</v>
      </c>
      <c r="F538">
        <v>25727800</v>
      </c>
      <c r="G538">
        <v>97001819880</v>
      </c>
      <c r="H538">
        <v>1875156017</v>
      </c>
    </row>
    <row r="539" spans="1:8" x14ac:dyDescent="0.25">
      <c r="A539" s="2">
        <v>44375</v>
      </c>
      <c r="B539">
        <v>51.75</v>
      </c>
      <c r="C539">
        <v>52.360000610351563</v>
      </c>
      <c r="D539">
        <v>50.365001678466797</v>
      </c>
      <c r="E539">
        <v>51.110000610351563</v>
      </c>
      <c r="F539">
        <v>22518000</v>
      </c>
      <c r="G539">
        <v>95839223160</v>
      </c>
      <c r="H539">
        <v>1875155978</v>
      </c>
    </row>
    <row r="540" spans="1:8" x14ac:dyDescent="0.25">
      <c r="A540" s="2">
        <v>44376</v>
      </c>
      <c r="B540">
        <v>51</v>
      </c>
      <c r="C540">
        <v>51.299999237060547</v>
      </c>
      <c r="D540">
        <v>50.240001678466797</v>
      </c>
      <c r="E540">
        <v>50.759998321533203</v>
      </c>
      <c r="F540">
        <v>14104200</v>
      </c>
      <c r="G540">
        <v>95182918560</v>
      </c>
      <c r="H540">
        <v>1875156062</v>
      </c>
    </row>
    <row r="541" spans="1:8" x14ac:dyDescent="0.25">
      <c r="A541" s="2">
        <v>44377</v>
      </c>
      <c r="B541">
        <v>51.020000457763672</v>
      </c>
      <c r="C541">
        <v>51.130001068115227</v>
      </c>
      <c r="D541">
        <v>49.709999084472663</v>
      </c>
      <c r="E541">
        <v>50.119998931884773</v>
      </c>
      <c r="F541">
        <v>18069400</v>
      </c>
      <c r="G541">
        <v>94914750000</v>
      </c>
      <c r="H541">
        <v>1893750040</v>
      </c>
    </row>
    <row r="542" spans="1:8" x14ac:dyDescent="0.25">
      <c r="A542" s="2">
        <v>44378</v>
      </c>
      <c r="B542">
        <v>50.880001068115227</v>
      </c>
      <c r="C542">
        <v>51.599998474121087</v>
      </c>
      <c r="D542">
        <v>50.020000457763672</v>
      </c>
      <c r="E542">
        <v>50.590000152587891</v>
      </c>
      <c r="F542">
        <v>17727600</v>
      </c>
      <c r="G542">
        <v>95804812500</v>
      </c>
      <c r="H542">
        <v>1893749994</v>
      </c>
    </row>
    <row r="543" spans="1:8" x14ac:dyDescent="0.25">
      <c r="A543" s="2">
        <v>44379</v>
      </c>
      <c r="B543">
        <v>50.569999694824219</v>
      </c>
      <c r="C543">
        <v>51.825000762939453</v>
      </c>
      <c r="D543">
        <v>50.389999389648438</v>
      </c>
      <c r="E543">
        <v>51.709999084472663</v>
      </c>
      <c r="F543">
        <v>13690400</v>
      </c>
      <c r="G543">
        <v>97925812500</v>
      </c>
      <c r="H543">
        <v>1893750034</v>
      </c>
    </row>
    <row r="544" spans="1:8" x14ac:dyDescent="0.25">
      <c r="A544" s="2">
        <v>44383</v>
      </c>
      <c r="B544">
        <v>50.599998474121087</v>
      </c>
      <c r="C544">
        <v>52.029998779296882</v>
      </c>
      <c r="D544">
        <v>50.400001525878913</v>
      </c>
      <c r="E544">
        <v>50.799999237060547</v>
      </c>
      <c r="F544">
        <v>21357800</v>
      </c>
      <c r="G544">
        <v>96202500000</v>
      </c>
      <c r="H544">
        <v>1893750028</v>
      </c>
    </row>
    <row r="545" spans="1:8" x14ac:dyDescent="0.25">
      <c r="A545" s="2">
        <v>44384</v>
      </c>
      <c r="B545">
        <v>50.799999237060547</v>
      </c>
      <c r="C545">
        <v>51.029998779296882</v>
      </c>
      <c r="D545">
        <v>48.540000915527337</v>
      </c>
      <c r="E545">
        <v>48.680000305175781</v>
      </c>
      <c r="F545">
        <v>24559500</v>
      </c>
      <c r="G545">
        <v>92187750000</v>
      </c>
      <c r="H545">
        <v>1893749988</v>
      </c>
    </row>
    <row r="546" spans="1:8" x14ac:dyDescent="0.25">
      <c r="A546" s="2">
        <v>44385</v>
      </c>
      <c r="B546">
        <v>47.159999847412109</v>
      </c>
      <c r="C546">
        <v>48.209999084472663</v>
      </c>
      <c r="D546">
        <v>46.569999694824219</v>
      </c>
      <c r="E546">
        <v>47.549999237060547</v>
      </c>
      <c r="F546">
        <v>24930200</v>
      </c>
      <c r="G546">
        <v>90047812500</v>
      </c>
      <c r="H546">
        <v>1893750030</v>
      </c>
    </row>
    <row r="547" spans="1:8" x14ac:dyDescent="0.25">
      <c r="A547" s="2">
        <v>44386</v>
      </c>
      <c r="B547">
        <v>47.840000152587891</v>
      </c>
      <c r="C547">
        <v>49.25</v>
      </c>
      <c r="D547">
        <v>47.709999084472663</v>
      </c>
      <c r="E547">
        <v>49.069999694824219</v>
      </c>
      <c r="F547">
        <v>15401000</v>
      </c>
      <c r="G547">
        <v>92926312500</v>
      </c>
      <c r="H547">
        <v>1893750012</v>
      </c>
    </row>
    <row r="548" spans="1:8" x14ac:dyDescent="0.25">
      <c r="A548" s="2">
        <v>44389</v>
      </c>
      <c r="B548">
        <v>48.869998931884773</v>
      </c>
      <c r="C548">
        <v>49.290000915527337</v>
      </c>
      <c r="D548">
        <v>48.090000152587891</v>
      </c>
      <c r="E548">
        <v>48.409999847412109</v>
      </c>
      <c r="F548">
        <v>14142300</v>
      </c>
      <c r="G548">
        <v>91676437500</v>
      </c>
      <c r="H548">
        <v>1893750006</v>
      </c>
    </row>
    <row r="549" spans="1:8" x14ac:dyDescent="0.25">
      <c r="A549" s="2">
        <v>44390</v>
      </c>
      <c r="B549">
        <v>48.490001678466797</v>
      </c>
      <c r="C549">
        <v>48.590000152587891</v>
      </c>
      <c r="D549">
        <v>47.75</v>
      </c>
      <c r="E549">
        <v>48.080001831054688</v>
      </c>
      <c r="F549">
        <v>11283600</v>
      </c>
      <c r="G549">
        <v>91051500000</v>
      </c>
      <c r="H549">
        <v>1893749928</v>
      </c>
    </row>
    <row r="550" spans="1:8" x14ac:dyDescent="0.25">
      <c r="A550" s="2">
        <v>44391</v>
      </c>
      <c r="B550">
        <v>48.279998779296882</v>
      </c>
      <c r="C550">
        <v>48.590000152587891</v>
      </c>
      <c r="D550">
        <v>47.110000610351563</v>
      </c>
      <c r="E550">
        <v>47.150001525878913</v>
      </c>
      <c r="F550">
        <v>15837000</v>
      </c>
      <c r="G550">
        <v>89290312500</v>
      </c>
      <c r="H550">
        <v>1893749939</v>
      </c>
    </row>
    <row r="551" spans="1:8" x14ac:dyDescent="0.25">
      <c r="A551" s="2">
        <v>44392</v>
      </c>
      <c r="B551">
        <v>46.860000610351563</v>
      </c>
      <c r="C551">
        <v>47.459999084472663</v>
      </c>
      <c r="D551">
        <v>46.150001525878913</v>
      </c>
      <c r="E551">
        <v>46.419998168945313</v>
      </c>
      <c r="F551">
        <v>17225300</v>
      </c>
      <c r="G551">
        <v>87907875000</v>
      </c>
      <c r="H551">
        <v>1893750075</v>
      </c>
    </row>
    <row r="552" spans="1:8" x14ac:dyDescent="0.25">
      <c r="A552" s="2">
        <v>44393</v>
      </c>
      <c r="B552">
        <v>46.400001525878913</v>
      </c>
      <c r="C552">
        <v>47.090000152587891</v>
      </c>
      <c r="D552">
        <v>46.009998321533203</v>
      </c>
      <c r="E552">
        <v>46.189998626708977</v>
      </c>
      <c r="F552">
        <v>18224500</v>
      </c>
      <c r="G552">
        <v>87472312500</v>
      </c>
      <c r="H552">
        <v>1893750056</v>
      </c>
    </row>
    <row r="553" spans="1:8" x14ac:dyDescent="0.25">
      <c r="A553" s="2">
        <v>44396</v>
      </c>
      <c r="B553">
        <v>45</v>
      </c>
      <c r="C553">
        <v>45.747001647949219</v>
      </c>
      <c r="D553">
        <v>44.435001373291023</v>
      </c>
      <c r="E553">
        <v>45.560001373291023</v>
      </c>
      <c r="F553">
        <v>20890600</v>
      </c>
      <c r="G553">
        <v>86279250000</v>
      </c>
      <c r="H553">
        <v>1893749943</v>
      </c>
    </row>
    <row r="554" spans="1:8" x14ac:dyDescent="0.25">
      <c r="A554" s="2">
        <v>44397</v>
      </c>
      <c r="B554">
        <v>45.459999084472663</v>
      </c>
      <c r="C554">
        <v>46.659999847412109</v>
      </c>
      <c r="D554">
        <v>45.069999694824219</v>
      </c>
      <c r="E554">
        <v>46.319999694824219</v>
      </c>
      <c r="F554">
        <v>13851400</v>
      </c>
      <c r="G554">
        <v>87718500000</v>
      </c>
      <c r="H554">
        <v>1893750012</v>
      </c>
    </row>
    <row r="555" spans="1:8" x14ac:dyDescent="0.25">
      <c r="A555" s="2">
        <v>44398</v>
      </c>
      <c r="B555">
        <v>46.529998779296882</v>
      </c>
      <c r="C555">
        <v>47.939998626708977</v>
      </c>
      <c r="D555">
        <v>46.349998474121087</v>
      </c>
      <c r="E555">
        <v>47.520000457763672</v>
      </c>
      <c r="F555">
        <v>14953700</v>
      </c>
      <c r="G555">
        <v>89991000000</v>
      </c>
      <c r="H555">
        <v>1893749982</v>
      </c>
    </row>
    <row r="556" spans="1:8" x14ac:dyDescent="0.25">
      <c r="A556" s="2">
        <v>44399</v>
      </c>
      <c r="B556">
        <v>47.700000762939453</v>
      </c>
      <c r="C556">
        <v>48.169998168945313</v>
      </c>
      <c r="D556">
        <v>47.240001678466797</v>
      </c>
      <c r="E556">
        <v>47.569999694824219</v>
      </c>
      <c r="F556">
        <v>11560800</v>
      </c>
      <c r="G556">
        <v>90085687500</v>
      </c>
      <c r="H556">
        <v>1893750012</v>
      </c>
    </row>
    <row r="557" spans="1:8" x14ac:dyDescent="0.25">
      <c r="A557" s="2">
        <v>44400</v>
      </c>
      <c r="B557">
        <v>47.610000610351563</v>
      </c>
      <c r="C557">
        <v>47.689998626708977</v>
      </c>
      <c r="D557">
        <v>46.779998779296882</v>
      </c>
      <c r="E557">
        <v>47.459999084472663</v>
      </c>
      <c r="F557">
        <v>9540700</v>
      </c>
      <c r="G557">
        <v>89877375000</v>
      </c>
      <c r="H557">
        <v>1893750037</v>
      </c>
    </row>
    <row r="558" spans="1:8" x14ac:dyDescent="0.25">
      <c r="A558" s="2">
        <v>44403</v>
      </c>
      <c r="B558">
        <v>47.040000915527337</v>
      </c>
      <c r="C558">
        <v>47.599998474121087</v>
      </c>
      <c r="D558">
        <v>46.369998931884773</v>
      </c>
      <c r="E558">
        <v>46.810001373291023</v>
      </c>
      <c r="F558">
        <v>12498000</v>
      </c>
      <c r="G558">
        <v>88646437500</v>
      </c>
      <c r="H558">
        <v>1893749944</v>
      </c>
    </row>
    <row r="559" spans="1:8" x14ac:dyDescent="0.25">
      <c r="A559" s="2">
        <v>44404</v>
      </c>
      <c r="B559">
        <v>46.540000915527337</v>
      </c>
      <c r="C559">
        <v>46.659999847412109</v>
      </c>
      <c r="D559">
        <v>44.764999389648438</v>
      </c>
      <c r="E559">
        <v>45.819999694824219</v>
      </c>
      <c r="F559">
        <v>16874200</v>
      </c>
      <c r="G559">
        <v>86771625000</v>
      </c>
      <c r="H559">
        <v>1893750013</v>
      </c>
    </row>
    <row r="560" spans="1:8" x14ac:dyDescent="0.25">
      <c r="A560" s="2">
        <v>44405</v>
      </c>
      <c r="B560">
        <v>45.880001068115227</v>
      </c>
      <c r="C560">
        <v>46.963001251220703</v>
      </c>
      <c r="D560">
        <v>45.810001373291023</v>
      </c>
      <c r="E560">
        <v>46.139999389648438</v>
      </c>
      <c r="F560">
        <v>19510300</v>
      </c>
      <c r="G560">
        <v>87377625000</v>
      </c>
      <c r="H560">
        <v>1893750025</v>
      </c>
    </row>
    <row r="561" spans="1:8" x14ac:dyDescent="0.25">
      <c r="A561" s="2">
        <v>44406</v>
      </c>
      <c r="B561">
        <v>44.119998931884773</v>
      </c>
      <c r="C561">
        <v>45.209999084472663</v>
      </c>
      <c r="D561">
        <v>44</v>
      </c>
      <c r="E561">
        <v>44.689998626708977</v>
      </c>
      <c r="F561">
        <v>51033700</v>
      </c>
      <c r="G561">
        <v>84631687500</v>
      </c>
      <c r="H561">
        <v>1893750058</v>
      </c>
    </row>
    <row r="562" spans="1:8" x14ac:dyDescent="0.25">
      <c r="A562" s="2">
        <v>44407</v>
      </c>
      <c r="B562">
        <v>44.380001068115227</v>
      </c>
      <c r="C562">
        <v>44.729999542236328</v>
      </c>
      <c r="D562">
        <v>43.340000152587891</v>
      </c>
      <c r="E562">
        <v>43.459999084472663</v>
      </c>
      <c r="F562">
        <v>22194900</v>
      </c>
      <c r="G562">
        <v>82302375000</v>
      </c>
      <c r="H562">
        <v>1893750040</v>
      </c>
    </row>
    <row r="563" spans="1:8" x14ac:dyDescent="0.25">
      <c r="A563" s="2">
        <v>44410</v>
      </c>
      <c r="B563">
        <v>44.099998474121087</v>
      </c>
      <c r="C563">
        <v>44.290000915527337</v>
      </c>
      <c r="D563">
        <v>43.444999694824219</v>
      </c>
      <c r="E563">
        <v>43.490001678466797</v>
      </c>
      <c r="F563">
        <v>26579900</v>
      </c>
      <c r="G563">
        <v>82359187500</v>
      </c>
      <c r="H563">
        <v>1893749927</v>
      </c>
    </row>
    <row r="564" spans="1:8" x14ac:dyDescent="0.25">
      <c r="A564" s="2">
        <v>44411</v>
      </c>
      <c r="B564">
        <v>43.560001373291023</v>
      </c>
      <c r="C564">
        <v>43.680000305175781</v>
      </c>
      <c r="D564">
        <v>41.619998931884773</v>
      </c>
      <c r="E564">
        <v>42.790000915527337</v>
      </c>
      <c r="F564">
        <v>37622200</v>
      </c>
      <c r="G564">
        <v>81033562500</v>
      </c>
      <c r="H564">
        <v>1893749959</v>
      </c>
    </row>
    <row r="565" spans="1:8" x14ac:dyDescent="0.25">
      <c r="A565" s="2">
        <v>44412</v>
      </c>
      <c r="B565">
        <v>42.700000762939453</v>
      </c>
      <c r="C565">
        <v>42.819999694824219</v>
      </c>
      <c r="D565">
        <v>41.369998931884773</v>
      </c>
      <c r="E565">
        <v>41.810001373291023</v>
      </c>
      <c r="F565">
        <v>42969100</v>
      </c>
      <c r="G565">
        <v>79177687500</v>
      </c>
      <c r="H565">
        <v>1893749938</v>
      </c>
    </row>
    <row r="566" spans="1:8" x14ac:dyDescent="0.25">
      <c r="A566" s="2">
        <v>44413</v>
      </c>
      <c r="B566">
        <v>40.5</v>
      </c>
      <c r="C566">
        <v>44.650001525878913</v>
      </c>
      <c r="D566">
        <v>40.150001525878913</v>
      </c>
      <c r="E566">
        <v>43.069999694824219</v>
      </c>
      <c r="F566">
        <v>60871500</v>
      </c>
      <c r="G566">
        <v>81563812500</v>
      </c>
      <c r="H566">
        <v>1893750013</v>
      </c>
    </row>
    <row r="567" spans="1:8" x14ac:dyDescent="0.25">
      <c r="A567" s="2">
        <v>44414</v>
      </c>
      <c r="B567">
        <v>43.740001678466797</v>
      </c>
      <c r="C567">
        <v>44.935001373291023</v>
      </c>
      <c r="D567">
        <v>43.650001525878913</v>
      </c>
      <c r="E567">
        <v>44.279998779296882</v>
      </c>
      <c r="F567">
        <v>25514900</v>
      </c>
      <c r="G567">
        <v>83855250000</v>
      </c>
      <c r="H567">
        <v>1893750052</v>
      </c>
    </row>
    <row r="568" spans="1:8" x14ac:dyDescent="0.25">
      <c r="A568" s="2">
        <v>44417</v>
      </c>
      <c r="B568">
        <v>44.189998626708977</v>
      </c>
      <c r="C568">
        <v>44.270000457763672</v>
      </c>
      <c r="D568">
        <v>43.209999084472663</v>
      </c>
      <c r="E568">
        <v>43.25</v>
      </c>
      <c r="F568">
        <v>19238400</v>
      </c>
      <c r="G568">
        <v>81904687500</v>
      </c>
      <c r="H568">
        <v>1893750000</v>
      </c>
    </row>
    <row r="569" spans="1:8" x14ac:dyDescent="0.25">
      <c r="A569" s="2">
        <v>44418</v>
      </c>
      <c r="B569">
        <v>43.700000762939453</v>
      </c>
      <c r="C569">
        <v>44.240001678466797</v>
      </c>
      <c r="D569">
        <v>43.25</v>
      </c>
      <c r="E569">
        <v>43.5</v>
      </c>
      <c r="F569">
        <v>26675200</v>
      </c>
      <c r="G569">
        <v>82378125000</v>
      </c>
      <c r="H569">
        <v>1893750000</v>
      </c>
    </row>
    <row r="570" spans="1:8" x14ac:dyDescent="0.25">
      <c r="A570" s="2">
        <v>44419</v>
      </c>
      <c r="B570">
        <v>43.409999847412109</v>
      </c>
      <c r="C570">
        <v>43.5</v>
      </c>
      <c r="D570">
        <v>42</v>
      </c>
      <c r="E570">
        <v>43.080001831054688</v>
      </c>
      <c r="F570">
        <v>21766100</v>
      </c>
      <c r="G570">
        <v>81582750000</v>
      </c>
      <c r="H570">
        <v>1893749920</v>
      </c>
    </row>
    <row r="571" spans="1:8" x14ac:dyDescent="0.25">
      <c r="A571" s="2">
        <v>44420</v>
      </c>
      <c r="B571">
        <v>42.860000610351563</v>
      </c>
      <c r="C571">
        <v>42.965000152587891</v>
      </c>
      <c r="D571">
        <v>42.180000305175781</v>
      </c>
      <c r="E571">
        <v>42.729999542236328</v>
      </c>
      <c r="F571">
        <v>16549100</v>
      </c>
      <c r="G571">
        <v>80919937500</v>
      </c>
      <c r="H571">
        <v>1893750020</v>
      </c>
    </row>
    <row r="572" spans="1:8" x14ac:dyDescent="0.25">
      <c r="A572" s="2">
        <v>44421</v>
      </c>
      <c r="B572">
        <v>42.799999237060547</v>
      </c>
      <c r="C572">
        <v>43.029998779296882</v>
      </c>
      <c r="D572">
        <v>42.200000762939453</v>
      </c>
      <c r="E572">
        <v>42.220001220703118</v>
      </c>
      <c r="F572">
        <v>8598800</v>
      </c>
      <c r="G572">
        <v>79954125000</v>
      </c>
      <c r="H572">
        <v>1893749945</v>
      </c>
    </row>
    <row r="573" spans="1:8" x14ac:dyDescent="0.25">
      <c r="A573" s="2">
        <v>44424</v>
      </c>
      <c r="B573">
        <v>41.759998321533203</v>
      </c>
      <c r="C573">
        <v>41.790000915527337</v>
      </c>
      <c r="D573">
        <v>40.860000610351563</v>
      </c>
      <c r="E573">
        <v>41.5</v>
      </c>
      <c r="F573">
        <v>19223500</v>
      </c>
      <c r="G573">
        <v>78590625000</v>
      </c>
      <c r="H573">
        <v>1893750000</v>
      </c>
    </row>
    <row r="574" spans="1:8" x14ac:dyDescent="0.25">
      <c r="A574" s="2">
        <v>44425</v>
      </c>
      <c r="B574">
        <v>41</v>
      </c>
      <c r="C574">
        <v>41.479999542236328</v>
      </c>
      <c r="D574">
        <v>40.580001831054688</v>
      </c>
      <c r="E574">
        <v>41</v>
      </c>
      <c r="F574">
        <v>20364400</v>
      </c>
      <c r="G574">
        <v>77643750000</v>
      </c>
      <c r="H574">
        <v>1893750000</v>
      </c>
    </row>
    <row r="575" spans="1:8" x14ac:dyDescent="0.25">
      <c r="A575" s="2">
        <v>44426</v>
      </c>
      <c r="B575">
        <v>40.970001220703118</v>
      </c>
      <c r="C575">
        <v>41.529998779296882</v>
      </c>
      <c r="D575">
        <v>40.799999237060547</v>
      </c>
      <c r="E575">
        <v>40.880001068115227</v>
      </c>
      <c r="F575">
        <v>13682300</v>
      </c>
      <c r="G575">
        <v>77416500000</v>
      </c>
      <c r="H575">
        <v>1893749951</v>
      </c>
    </row>
    <row r="576" spans="1:8" x14ac:dyDescent="0.25">
      <c r="A576" s="2">
        <v>44427</v>
      </c>
      <c r="B576">
        <v>40.279998779296882</v>
      </c>
      <c r="C576">
        <v>40.599998474121087</v>
      </c>
      <c r="D576">
        <v>39.509998321533203</v>
      </c>
      <c r="E576">
        <v>39.860000610351563</v>
      </c>
      <c r="F576">
        <v>22471400</v>
      </c>
      <c r="G576">
        <v>75484875000</v>
      </c>
      <c r="H576">
        <v>1893749971</v>
      </c>
    </row>
    <row r="577" spans="1:8" x14ac:dyDescent="0.25">
      <c r="A577" s="2">
        <v>44428</v>
      </c>
      <c r="B577">
        <v>39.689998626708977</v>
      </c>
      <c r="C577">
        <v>40.080001831054688</v>
      </c>
      <c r="D577">
        <v>39.240001678466797</v>
      </c>
      <c r="E577">
        <v>39.950000762939453</v>
      </c>
      <c r="F577">
        <v>18080700</v>
      </c>
      <c r="G577">
        <v>75655312500</v>
      </c>
      <c r="H577">
        <v>1893749964</v>
      </c>
    </row>
    <row r="578" spans="1:8" x14ac:dyDescent="0.25">
      <c r="A578" s="2">
        <v>44431</v>
      </c>
      <c r="B578">
        <v>39</v>
      </c>
      <c r="C578">
        <v>41.080001831054688</v>
      </c>
      <c r="D578">
        <v>38.840000152587891</v>
      </c>
      <c r="E578">
        <v>41</v>
      </c>
      <c r="F578">
        <v>33901300</v>
      </c>
      <c r="G578">
        <v>77643750000</v>
      </c>
      <c r="H578">
        <v>1893750000</v>
      </c>
    </row>
    <row r="579" spans="1:8" x14ac:dyDescent="0.25">
      <c r="A579" s="2">
        <v>44432</v>
      </c>
      <c r="B579">
        <v>41.099998474121087</v>
      </c>
      <c r="C579">
        <v>41.209999084472663</v>
      </c>
      <c r="D579">
        <v>39.970001220703118</v>
      </c>
      <c r="E579">
        <v>40.169998168945313</v>
      </c>
      <c r="F579">
        <v>44872800</v>
      </c>
      <c r="G579">
        <v>76071937500</v>
      </c>
      <c r="H579">
        <v>1893750086</v>
      </c>
    </row>
    <row r="580" spans="1:8" x14ac:dyDescent="0.25">
      <c r="A580" s="2">
        <v>44433</v>
      </c>
      <c r="B580">
        <v>40.439998626708977</v>
      </c>
      <c r="C580">
        <v>42.110000610351563</v>
      </c>
      <c r="D580">
        <v>40.040000915527337</v>
      </c>
      <c r="E580">
        <v>41.549999237060547</v>
      </c>
      <c r="F580">
        <v>26498400</v>
      </c>
      <c r="G580">
        <v>78685312500</v>
      </c>
      <c r="H580">
        <v>1893750035</v>
      </c>
    </row>
    <row r="581" spans="1:8" x14ac:dyDescent="0.25">
      <c r="A581" s="2">
        <v>44434</v>
      </c>
      <c r="B581">
        <v>41.490001678466797</v>
      </c>
      <c r="C581">
        <v>41.939998626708977</v>
      </c>
      <c r="D581">
        <v>40.540000915527337</v>
      </c>
      <c r="E581">
        <v>40.619998931884773</v>
      </c>
      <c r="F581">
        <v>17473400</v>
      </c>
      <c r="G581">
        <v>76924125000</v>
      </c>
      <c r="H581">
        <v>1893750050</v>
      </c>
    </row>
    <row r="582" spans="1:8" x14ac:dyDescent="0.25">
      <c r="A582" s="2">
        <v>44435</v>
      </c>
      <c r="B582">
        <v>40.529998779296882</v>
      </c>
      <c r="C582">
        <v>41.310001373291023</v>
      </c>
      <c r="D582">
        <v>40.5</v>
      </c>
      <c r="E582">
        <v>40.689998626708977</v>
      </c>
      <c r="F582">
        <v>13612500</v>
      </c>
      <c r="G582">
        <v>77056687500</v>
      </c>
      <c r="H582">
        <v>1893750064</v>
      </c>
    </row>
    <row r="583" spans="1:8" x14ac:dyDescent="0.25">
      <c r="A583" s="2">
        <v>44438</v>
      </c>
      <c r="B583">
        <v>40.580001831054688</v>
      </c>
      <c r="C583">
        <v>40.740001678466797</v>
      </c>
      <c r="D583">
        <v>39.110000610351563</v>
      </c>
      <c r="E583">
        <v>39.590000152587891</v>
      </c>
      <c r="F583">
        <v>29516300</v>
      </c>
      <c r="G583">
        <v>74973562500</v>
      </c>
      <c r="H583">
        <v>1893749993</v>
      </c>
    </row>
    <row r="584" spans="1:8" x14ac:dyDescent="0.25">
      <c r="A584" s="2">
        <v>44439</v>
      </c>
      <c r="B584">
        <v>39.810001373291023</v>
      </c>
      <c r="C584">
        <v>40.275001525878913</v>
      </c>
      <c r="D584">
        <v>39.125</v>
      </c>
      <c r="E584">
        <v>39.139999389648438</v>
      </c>
      <c r="F584">
        <v>26396000</v>
      </c>
      <c r="G584">
        <v>74121375000</v>
      </c>
      <c r="H584">
        <v>1893750030</v>
      </c>
    </row>
    <row r="585" spans="1:8" x14ac:dyDescent="0.25">
      <c r="A585" s="2">
        <v>44440</v>
      </c>
      <c r="B585">
        <v>39.979999542236328</v>
      </c>
      <c r="C585">
        <v>41.665000915527337</v>
      </c>
      <c r="D585">
        <v>39.869998931884773</v>
      </c>
      <c r="E585">
        <v>40.619998931884773</v>
      </c>
      <c r="F585">
        <v>27788600</v>
      </c>
      <c r="G585">
        <v>76924125000</v>
      </c>
      <c r="H585">
        <v>1893750050</v>
      </c>
    </row>
    <row r="586" spans="1:8" x14ac:dyDescent="0.25">
      <c r="A586" s="2">
        <v>44441</v>
      </c>
      <c r="B586">
        <v>40.75</v>
      </c>
      <c r="C586">
        <v>41.860000610351563</v>
      </c>
      <c r="D586">
        <v>40.536998748779297</v>
      </c>
      <c r="E586">
        <v>41.400001525878913</v>
      </c>
      <c r="F586">
        <v>20645400</v>
      </c>
      <c r="G586">
        <v>78401250000</v>
      </c>
      <c r="H586">
        <v>1893749930</v>
      </c>
    </row>
    <row r="587" spans="1:8" x14ac:dyDescent="0.25">
      <c r="A587" s="2">
        <v>44442</v>
      </c>
      <c r="B587">
        <v>41.220001220703118</v>
      </c>
      <c r="C587">
        <v>41.575000762939453</v>
      </c>
      <c r="D587">
        <v>40.229999542236328</v>
      </c>
      <c r="E587">
        <v>40.319999694824219</v>
      </c>
      <c r="F587">
        <v>15444900</v>
      </c>
      <c r="G587">
        <v>76356000000</v>
      </c>
      <c r="H587">
        <v>1893750014</v>
      </c>
    </row>
    <row r="588" spans="1:8" x14ac:dyDescent="0.25">
      <c r="A588" s="2">
        <v>44446</v>
      </c>
      <c r="B588">
        <v>40.490001678466797</v>
      </c>
      <c r="C588">
        <v>41.080001831054688</v>
      </c>
      <c r="D588">
        <v>40.310001373291023</v>
      </c>
      <c r="E588">
        <v>40.950000762939453</v>
      </c>
      <c r="F588">
        <v>15708600</v>
      </c>
      <c r="G588">
        <v>77549062500</v>
      </c>
      <c r="H588">
        <v>1893749965</v>
      </c>
    </row>
    <row r="589" spans="1:8" x14ac:dyDescent="0.25">
      <c r="A589" s="2">
        <v>44447</v>
      </c>
      <c r="B589">
        <v>40.849998474121087</v>
      </c>
      <c r="C589">
        <v>41.340000152587891</v>
      </c>
      <c r="D589">
        <v>39.830001831054688</v>
      </c>
      <c r="E589">
        <v>40.069999694824219</v>
      </c>
      <c r="F589">
        <v>16219900</v>
      </c>
      <c r="G589">
        <v>75882562500</v>
      </c>
      <c r="H589">
        <v>1893750014</v>
      </c>
    </row>
    <row r="590" spans="1:8" x14ac:dyDescent="0.25">
      <c r="A590" s="2">
        <v>44448</v>
      </c>
      <c r="B590">
        <v>40.099998474121087</v>
      </c>
      <c r="C590">
        <v>40.950000762939453</v>
      </c>
      <c r="D590">
        <v>39.840000152587891</v>
      </c>
      <c r="E590">
        <v>40.349998474121087</v>
      </c>
      <c r="F590">
        <v>14260300</v>
      </c>
      <c r="G590">
        <v>76412812500</v>
      </c>
      <c r="H590">
        <v>1893750072</v>
      </c>
    </row>
    <row r="591" spans="1:8" x14ac:dyDescent="0.25">
      <c r="A591" s="2">
        <v>44449</v>
      </c>
      <c r="B591">
        <v>40.619998931884773</v>
      </c>
      <c r="C591">
        <v>40.830001831054688</v>
      </c>
      <c r="D591">
        <v>39.865001678466797</v>
      </c>
      <c r="E591">
        <v>39.889999389648438</v>
      </c>
      <c r="F591">
        <v>14230600</v>
      </c>
      <c r="G591">
        <v>75541687500</v>
      </c>
      <c r="H591">
        <v>1893750029</v>
      </c>
    </row>
    <row r="592" spans="1:8" x14ac:dyDescent="0.25">
      <c r="A592" s="2">
        <v>44452</v>
      </c>
      <c r="B592">
        <v>40.259998321533203</v>
      </c>
      <c r="C592">
        <v>41.189998626708977</v>
      </c>
      <c r="D592">
        <v>39.259998321533203</v>
      </c>
      <c r="E592">
        <v>40.069999694824219</v>
      </c>
      <c r="F592">
        <v>28868800</v>
      </c>
      <c r="G592">
        <v>75882562500</v>
      </c>
      <c r="H592">
        <v>1893750014</v>
      </c>
    </row>
    <row r="593" spans="1:8" x14ac:dyDescent="0.25">
      <c r="A593" s="2">
        <v>44453</v>
      </c>
      <c r="B593">
        <v>39.900001525878913</v>
      </c>
      <c r="C593">
        <v>40.099998474121087</v>
      </c>
      <c r="D593">
        <v>38.549999237060547</v>
      </c>
      <c r="E593">
        <v>39.009998321533203</v>
      </c>
      <c r="F593">
        <v>36717300</v>
      </c>
      <c r="G593">
        <v>73875187500</v>
      </c>
      <c r="H593">
        <v>1893750081</v>
      </c>
    </row>
    <row r="594" spans="1:8" x14ac:dyDescent="0.25">
      <c r="A594" s="2">
        <v>44454</v>
      </c>
      <c r="B594">
        <v>39</v>
      </c>
      <c r="C594">
        <v>39</v>
      </c>
      <c r="D594">
        <v>38.080001831054688</v>
      </c>
      <c r="E594">
        <v>38.479999542236328</v>
      </c>
      <c r="F594">
        <v>30368800</v>
      </c>
      <c r="G594">
        <v>72871500000</v>
      </c>
      <c r="H594">
        <v>1893750023</v>
      </c>
    </row>
    <row r="595" spans="1:8" x14ac:dyDescent="0.25">
      <c r="A595" s="2">
        <v>44455</v>
      </c>
      <c r="B595">
        <v>38.299999237060547</v>
      </c>
      <c r="C595">
        <v>39.669998168945313</v>
      </c>
      <c r="D595">
        <v>38.090000152587891</v>
      </c>
      <c r="E595">
        <v>39.520000457763672</v>
      </c>
      <c r="F595">
        <v>25374000</v>
      </c>
      <c r="G595">
        <v>74841000000</v>
      </c>
      <c r="H595">
        <v>1893749978</v>
      </c>
    </row>
    <row r="596" spans="1:8" x14ac:dyDescent="0.25">
      <c r="A596" s="2">
        <v>44456</v>
      </c>
      <c r="B596">
        <v>39.900001525878913</v>
      </c>
      <c r="C596">
        <v>40.224998474121087</v>
      </c>
      <c r="D596">
        <v>39.290000915527337</v>
      </c>
      <c r="E596">
        <v>39.75</v>
      </c>
      <c r="F596">
        <v>32165000</v>
      </c>
      <c r="G596">
        <v>75276562500</v>
      </c>
      <c r="H596">
        <v>1893750000</v>
      </c>
    </row>
    <row r="597" spans="1:8" x14ac:dyDescent="0.25">
      <c r="A597" s="2">
        <v>44459</v>
      </c>
      <c r="B597">
        <v>38.880001068115227</v>
      </c>
      <c r="C597">
        <v>40.220001220703118</v>
      </c>
      <c r="D597">
        <v>38.729999542236328</v>
      </c>
      <c r="E597">
        <v>39.790000915527337</v>
      </c>
      <c r="F597">
        <v>35417600</v>
      </c>
      <c r="G597">
        <v>75352312500</v>
      </c>
      <c r="H597">
        <v>1893749956</v>
      </c>
    </row>
    <row r="598" spans="1:8" x14ac:dyDescent="0.25">
      <c r="A598" s="2">
        <v>44460</v>
      </c>
      <c r="B598">
        <v>42.340000152587891</v>
      </c>
      <c r="C598">
        <v>45</v>
      </c>
      <c r="D598">
        <v>42.180000305175781</v>
      </c>
      <c r="E598">
        <v>44.360000610351563</v>
      </c>
      <c r="F598">
        <v>106631700</v>
      </c>
      <c r="G598">
        <v>84006750000</v>
      </c>
      <c r="H598">
        <v>1893749974</v>
      </c>
    </row>
    <row r="599" spans="1:8" x14ac:dyDescent="0.25">
      <c r="A599" s="2">
        <v>44461</v>
      </c>
      <c r="B599">
        <v>44.900001525878913</v>
      </c>
      <c r="C599">
        <v>46.619998931884773</v>
      </c>
      <c r="D599">
        <v>44.610000610351563</v>
      </c>
      <c r="E599">
        <v>44.869998931884773</v>
      </c>
      <c r="F599">
        <v>56455100</v>
      </c>
      <c r="G599">
        <v>84972562500</v>
      </c>
      <c r="H599">
        <v>1893750045</v>
      </c>
    </row>
    <row r="600" spans="1:8" x14ac:dyDescent="0.25">
      <c r="A600" s="2">
        <v>44462</v>
      </c>
      <c r="B600">
        <v>45.349998474121087</v>
      </c>
      <c r="C600">
        <v>45.840000152587891</v>
      </c>
      <c r="D600">
        <v>44.709999084472663</v>
      </c>
      <c r="E600">
        <v>45.479999542236328</v>
      </c>
      <c r="F600">
        <v>26232800</v>
      </c>
      <c r="G600">
        <v>86127750000</v>
      </c>
      <c r="H600">
        <v>1893750019</v>
      </c>
    </row>
    <row r="601" spans="1:8" x14ac:dyDescent="0.25">
      <c r="A601" s="2">
        <v>44463</v>
      </c>
      <c r="B601">
        <v>45.459999084472663</v>
      </c>
      <c r="C601">
        <v>47.044998168945313</v>
      </c>
      <c r="D601">
        <v>45.291000366210938</v>
      </c>
      <c r="E601">
        <v>46.630001068115227</v>
      </c>
      <c r="F601">
        <v>29458300</v>
      </c>
      <c r="G601">
        <v>88305562500</v>
      </c>
      <c r="H601">
        <v>1893749957</v>
      </c>
    </row>
    <row r="602" spans="1:8" x14ac:dyDescent="0.25">
      <c r="A602" s="2">
        <v>44466</v>
      </c>
      <c r="B602">
        <v>46.770000457763672</v>
      </c>
      <c r="C602">
        <v>47.430000305175781</v>
      </c>
      <c r="D602">
        <v>46.189998626708977</v>
      </c>
      <c r="E602">
        <v>47.25</v>
      </c>
      <c r="F602">
        <v>23034800</v>
      </c>
      <c r="G602">
        <v>89479687500</v>
      </c>
      <c r="H602">
        <v>1893750000</v>
      </c>
    </row>
    <row r="603" spans="1:8" x14ac:dyDescent="0.25">
      <c r="A603" s="2">
        <v>44467</v>
      </c>
      <c r="B603">
        <v>46.700000762939453</v>
      </c>
      <c r="C603">
        <v>47</v>
      </c>
      <c r="D603">
        <v>45.759998321533203</v>
      </c>
      <c r="E603">
        <v>45.979999542236328</v>
      </c>
      <c r="F603">
        <v>23707900</v>
      </c>
      <c r="G603">
        <v>87074625000</v>
      </c>
      <c r="H603">
        <v>1893750019</v>
      </c>
    </row>
    <row r="604" spans="1:8" x14ac:dyDescent="0.25">
      <c r="A604" s="2">
        <v>44468</v>
      </c>
      <c r="B604">
        <v>46</v>
      </c>
      <c r="C604">
        <v>46.529998779296882</v>
      </c>
      <c r="D604">
        <v>44.299999237060547</v>
      </c>
      <c r="E604">
        <v>44.520000457763672</v>
      </c>
      <c r="F604">
        <v>24599500</v>
      </c>
      <c r="G604">
        <v>84309750000</v>
      </c>
      <c r="H604">
        <v>1893749981</v>
      </c>
    </row>
    <row r="605" spans="1:8" x14ac:dyDescent="0.25">
      <c r="A605" s="2">
        <v>44469</v>
      </c>
      <c r="B605">
        <v>44.709999084472663</v>
      </c>
      <c r="C605">
        <v>45.365001678466797</v>
      </c>
      <c r="D605">
        <v>43.860000610351563</v>
      </c>
      <c r="E605">
        <v>44.799999237060547</v>
      </c>
      <c r="F605">
        <v>16650600</v>
      </c>
      <c r="G605">
        <v>86765772800</v>
      </c>
      <c r="H605">
        <v>1936736033</v>
      </c>
    </row>
    <row r="606" spans="1:8" x14ac:dyDescent="0.25">
      <c r="A606" s="2">
        <v>44470</v>
      </c>
      <c r="B606">
        <v>45.915000915527337</v>
      </c>
      <c r="C606">
        <v>47.25</v>
      </c>
      <c r="D606">
        <v>45.790000915527337</v>
      </c>
      <c r="E606">
        <v>47.049999237060547</v>
      </c>
      <c r="F606">
        <v>25428300</v>
      </c>
      <c r="G606">
        <v>91123428800</v>
      </c>
      <c r="H606">
        <v>1936736031</v>
      </c>
    </row>
    <row r="607" spans="1:8" x14ac:dyDescent="0.25">
      <c r="A607" s="2">
        <v>44473</v>
      </c>
      <c r="B607">
        <v>46.470001220703118</v>
      </c>
      <c r="C607">
        <v>46.830001831054688</v>
      </c>
      <c r="D607">
        <v>45.200000762939453</v>
      </c>
      <c r="E607">
        <v>45.720001220703118</v>
      </c>
      <c r="F607">
        <v>21588200</v>
      </c>
      <c r="G607">
        <v>88547569920</v>
      </c>
      <c r="H607">
        <v>1936735948</v>
      </c>
    </row>
    <row r="608" spans="1:8" x14ac:dyDescent="0.25">
      <c r="A608" s="2">
        <v>44474</v>
      </c>
      <c r="B608">
        <v>45.909999847412109</v>
      </c>
      <c r="C608">
        <v>46.080001831054688</v>
      </c>
      <c r="D608">
        <v>45.345001220703118</v>
      </c>
      <c r="E608">
        <v>45.610000610351563</v>
      </c>
      <c r="F608">
        <v>12433900</v>
      </c>
      <c r="G608">
        <v>88334528960</v>
      </c>
      <c r="H608">
        <v>1936735974</v>
      </c>
    </row>
    <row r="609" spans="1:8" x14ac:dyDescent="0.25">
      <c r="A609" s="2">
        <v>44475</v>
      </c>
      <c r="B609">
        <v>45.330001831054688</v>
      </c>
      <c r="C609">
        <v>47.180000305175781</v>
      </c>
      <c r="D609">
        <v>45</v>
      </c>
      <c r="E609">
        <v>47.009998321533203</v>
      </c>
      <c r="F609">
        <v>24868700</v>
      </c>
      <c r="G609">
        <v>91045959360</v>
      </c>
      <c r="H609">
        <v>1936736069</v>
      </c>
    </row>
    <row r="610" spans="1:8" x14ac:dyDescent="0.25">
      <c r="A610" s="2">
        <v>44476</v>
      </c>
      <c r="B610">
        <v>47.639999389648438</v>
      </c>
      <c r="C610">
        <v>48.237998962402337</v>
      </c>
      <c r="D610">
        <v>46.889999389648438</v>
      </c>
      <c r="E610">
        <v>47.909999847412109</v>
      </c>
      <c r="F610">
        <v>25961600</v>
      </c>
      <c r="G610">
        <v>92789021760</v>
      </c>
      <c r="H610">
        <v>1936736006</v>
      </c>
    </row>
    <row r="611" spans="1:8" x14ac:dyDescent="0.25">
      <c r="A611" s="2">
        <v>44477</v>
      </c>
      <c r="B611">
        <v>48.080001831054688</v>
      </c>
      <c r="C611">
        <v>48.880001068115227</v>
      </c>
      <c r="D611">
        <v>47.604999542236328</v>
      </c>
      <c r="E611">
        <v>47.770000457763672</v>
      </c>
      <c r="F611">
        <v>17980400</v>
      </c>
      <c r="G611">
        <v>92517878720</v>
      </c>
      <c r="H611">
        <v>1936735981</v>
      </c>
    </row>
    <row r="612" spans="1:8" x14ac:dyDescent="0.25">
      <c r="A612" s="2">
        <v>44480</v>
      </c>
      <c r="B612">
        <v>47.700000762939453</v>
      </c>
      <c r="C612">
        <v>47.869998931884773</v>
      </c>
      <c r="D612">
        <v>46.279998779296882</v>
      </c>
      <c r="E612">
        <v>46.290000915527337</v>
      </c>
      <c r="F612">
        <v>16336800</v>
      </c>
      <c r="G612">
        <v>89651509440</v>
      </c>
      <c r="H612">
        <v>1936735962</v>
      </c>
    </row>
    <row r="613" spans="1:8" x14ac:dyDescent="0.25">
      <c r="A613" s="2">
        <v>44481</v>
      </c>
      <c r="B613">
        <v>46.330001831054688</v>
      </c>
      <c r="C613">
        <v>47.049999237060547</v>
      </c>
      <c r="D613">
        <v>46.154998779296882</v>
      </c>
      <c r="E613">
        <v>46.720001220703118</v>
      </c>
      <c r="F613">
        <v>12404200</v>
      </c>
      <c r="G613">
        <v>90484305920</v>
      </c>
      <c r="H613">
        <v>1936735949</v>
      </c>
    </row>
    <row r="614" spans="1:8" x14ac:dyDescent="0.25">
      <c r="A614" s="2">
        <v>44482</v>
      </c>
      <c r="B614">
        <v>46.259998321533203</v>
      </c>
      <c r="C614">
        <v>47</v>
      </c>
      <c r="D614">
        <v>45.939998626708977</v>
      </c>
      <c r="E614">
        <v>46.409999847412109</v>
      </c>
      <c r="F614">
        <v>13754400</v>
      </c>
      <c r="G614">
        <v>89883917760</v>
      </c>
      <c r="H614">
        <v>1936736006</v>
      </c>
    </row>
    <row r="615" spans="1:8" x14ac:dyDescent="0.25">
      <c r="A615" s="2">
        <v>44483</v>
      </c>
      <c r="B615">
        <v>46.979999542236328</v>
      </c>
      <c r="C615">
        <v>47.939998626708977</v>
      </c>
      <c r="D615">
        <v>46.840000152587891</v>
      </c>
      <c r="E615">
        <v>47.279998779296882</v>
      </c>
      <c r="F615">
        <v>18514000</v>
      </c>
      <c r="G615">
        <v>91568878080</v>
      </c>
      <c r="H615">
        <v>1936736050</v>
      </c>
    </row>
    <row r="616" spans="1:8" x14ac:dyDescent="0.25">
      <c r="A616" s="2">
        <v>44484</v>
      </c>
      <c r="B616">
        <v>47.909999847412109</v>
      </c>
      <c r="C616">
        <v>48.840000152587891</v>
      </c>
      <c r="D616">
        <v>47.340000152587891</v>
      </c>
      <c r="E616">
        <v>48.360000610351563</v>
      </c>
      <c r="F616">
        <v>20581700</v>
      </c>
      <c r="G616">
        <v>93660552960</v>
      </c>
      <c r="H616">
        <v>1936735976</v>
      </c>
    </row>
    <row r="617" spans="1:8" x14ac:dyDescent="0.25">
      <c r="A617" s="2">
        <v>44487</v>
      </c>
      <c r="B617">
        <v>47.680000305175781</v>
      </c>
      <c r="C617">
        <v>47.950000762939453</v>
      </c>
      <c r="D617">
        <v>46.75</v>
      </c>
      <c r="E617">
        <v>47.069999694824219</v>
      </c>
      <c r="F617">
        <v>19806700</v>
      </c>
      <c r="G617">
        <v>91162163520</v>
      </c>
      <c r="H617">
        <v>1936736013</v>
      </c>
    </row>
    <row r="618" spans="1:8" x14ac:dyDescent="0.25">
      <c r="A618" s="2">
        <v>44488</v>
      </c>
      <c r="B618">
        <v>47.200000762939453</v>
      </c>
      <c r="C618">
        <v>47.689998626708977</v>
      </c>
      <c r="D618">
        <v>46.740001678466797</v>
      </c>
      <c r="E618">
        <v>47.049999237060547</v>
      </c>
      <c r="F618">
        <v>16500200</v>
      </c>
      <c r="G618">
        <v>91123428800</v>
      </c>
      <c r="H618">
        <v>1936736031</v>
      </c>
    </row>
    <row r="619" spans="1:8" x14ac:dyDescent="0.25">
      <c r="A619" s="2">
        <v>44489</v>
      </c>
      <c r="B619">
        <v>47.150001525878913</v>
      </c>
      <c r="C619">
        <v>47.540000915527337</v>
      </c>
      <c r="D619">
        <v>45.930000305175781</v>
      </c>
      <c r="E619">
        <v>46</v>
      </c>
      <c r="F619">
        <v>15570900</v>
      </c>
      <c r="G619">
        <v>89089856000</v>
      </c>
      <c r="H619">
        <v>1936736000</v>
      </c>
    </row>
    <row r="620" spans="1:8" x14ac:dyDescent="0.25">
      <c r="A620" s="2">
        <v>44490</v>
      </c>
      <c r="B620">
        <v>45.970001220703118</v>
      </c>
      <c r="C620">
        <v>47.540000915527337</v>
      </c>
      <c r="D620">
        <v>45.520000457763672</v>
      </c>
      <c r="E620">
        <v>46.470001220703118</v>
      </c>
      <c r="F620">
        <v>15741000</v>
      </c>
      <c r="G620">
        <v>90000121920</v>
      </c>
      <c r="H620">
        <v>1936735949</v>
      </c>
    </row>
    <row r="621" spans="1:8" x14ac:dyDescent="0.25">
      <c r="A621" s="2">
        <v>44491</v>
      </c>
      <c r="B621">
        <v>46</v>
      </c>
      <c r="C621">
        <v>46.5</v>
      </c>
      <c r="D621">
        <v>45.229999542236328</v>
      </c>
      <c r="E621">
        <v>45.509998321533203</v>
      </c>
      <c r="F621">
        <v>19259200</v>
      </c>
      <c r="G621">
        <v>88140855360</v>
      </c>
      <c r="H621">
        <v>1936736071</v>
      </c>
    </row>
    <row r="622" spans="1:8" x14ac:dyDescent="0.25">
      <c r="A622" s="2">
        <v>44494</v>
      </c>
      <c r="B622">
        <v>45.669998168945313</v>
      </c>
      <c r="C622">
        <v>46.069999694824219</v>
      </c>
      <c r="D622">
        <v>45.016998291015618</v>
      </c>
      <c r="E622">
        <v>45.720001220703118</v>
      </c>
      <c r="F622">
        <v>12955500</v>
      </c>
      <c r="G622">
        <v>88547569920</v>
      </c>
      <c r="H622">
        <v>1936735948</v>
      </c>
    </row>
    <row r="623" spans="1:8" x14ac:dyDescent="0.25">
      <c r="A623" s="2">
        <v>44495</v>
      </c>
      <c r="B623">
        <v>46.279998779296882</v>
      </c>
      <c r="C623">
        <v>47.689998626708977</v>
      </c>
      <c r="D623">
        <v>45.860000610351563</v>
      </c>
      <c r="E623">
        <v>46.020000457763672</v>
      </c>
      <c r="F623">
        <v>19491800</v>
      </c>
      <c r="G623">
        <v>89128590720</v>
      </c>
      <c r="H623">
        <v>1936735981</v>
      </c>
    </row>
    <row r="624" spans="1:8" x14ac:dyDescent="0.25">
      <c r="A624" s="2">
        <v>44496</v>
      </c>
      <c r="B624">
        <v>46.470001220703118</v>
      </c>
      <c r="C624">
        <v>46.549999237060547</v>
      </c>
      <c r="D624">
        <v>44.165000915527337</v>
      </c>
      <c r="E624">
        <v>44.729999542236328</v>
      </c>
      <c r="F624">
        <v>26999800</v>
      </c>
      <c r="G624">
        <v>86630201280</v>
      </c>
      <c r="H624">
        <v>1936736020</v>
      </c>
    </row>
    <row r="625" spans="1:8" x14ac:dyDescent="0.25">
      <c r="A625" s="2">
        <v>44497</v>
      </c>
      <c r="B625">
        <v>45</v>
      </c>
      <c r="C625">
        <v>45.411998748779297</v>
      </c>
      <c r="D625">
        <v>44.382999420166023</v>
      </c>
      <c r="E625">
        <v>44.619998931884773</v>
      </c>
      <c r="F625">
        <v>14768800</v>
      </c>
      <c r="G625">
        <v>86417160320</v>
      </c>
      <c r="H625">
        <v>1936736046</v>
      </c>
    </row>
    <row r="626" spans="1:8" x14ac:dyDescent="0.25">
      <c r="A626" s="2">
        <v>44498</v>
      </c>
      <c r="B626">
        <v>44.490001678466797</v>
      </c>
      <c r="C626">
        <v>44.799999237060547</v>
      </c>
      <c r="D626">
        <v>43.569999694824219</v>
      </c>
      <c r="E626">
        <v>43.819999694824219</v>
      </c>
      <c r="F626">
        <v>18283200</v>
      </c>
      <c r="G626">
        <v>84867771520</v>
      </c>
      <c r="H626">
        <v>1936736013</v>
      </c>
    </row>
    <row r="627" spans="1:8" x14ac:dyDescent="0.25">
      <c r="A627" s="2">
        <v>44501</v>
      </c>
      <c r="B627">
        <v>44.069999694824219</v>
      </c>
      <c r="C627">
        <v>45.025001525878913</v>
      </c>
      <c r="D627">
        <v>43.650001525878913</v>
      </c>
      <c r="E627">
        <v>44.360000610351563</v>
      </c>
      <c r="F627">
        <v>20983900</v>
      </c>
      <c r="G627">
        <v>85913608960</v>
      </c>
      <c r="H627">
        <v>1936735973</v>
      </c>
    </row>
    <row r="628" spans="1:8" x14ac:dyDescent="0.25">
      <c r="A628" s="2">
        <v>44502</v>
      </c>
      <c r="B628">
        <v>44.340000152587891</v>
      </c>
      <c r="C628">
        <v>44.349998474121087</v>
      </c>
      <c r="D628">
        <v>42.331001281738281</v>
      </c>
      <c r="E628">
        <v>42.889999389648438</v>
      </c>
      <c r="F628">
        <v>28002600</v>
      </c>
      <c r="G628">
        <v>83066607040</v>
      </c>
      <c r="H628">
        <v>1936736028</v>
      </c>
    </row>
    <row r="629" spans="1:8" x14ac:dyDescent="0.25">
      <c r="A629" s="2">
        <v>44503</v>
      </c>
      <c r="B629">
        <v>45.330001831054688</v>
      </c>
      <c r="C629">
        <v>46.259998321533203</v>
      </c>
      <c r="D629">
        <v>44.709999084472663</v>
      </c>
      <c r="E629">
        <v>45.720001220703118</v>
      </c>
      <c r="F629">
        <v>38499600</v>
      </c>
      <c r="G629">
        <v>88547569920</v>
      </c>
      <c r="H629">
        <v>1936735948</v>
      </c>
    </row>
    <row r="630" spans="1:8" x14ac:dyDescent="0.25">
      <c r="A630" s="2">
        <v>44504</v>
      </c>
      <c r="B630">
        <v>45.540000915527337</v>
      </c>
      <c r="C630">
        <v>46.529998779296882</v>
      </c>
      <c r="D630">
        <v>44.990001678466797</v>
      </c>
      <c r="E630">
        <v>45.270000457763672</v>
      </c>
      <c r="F630">
        <v>31903000</v>
      </c>
      <c r="G630">
        <v>87676038720</v>
      </c>
      <c r="H630">
        <v>1936735980</v>
      </c>
    </row>
    <row r="631" spans="1:8" x14ac:dyDescent="0.25">
      <c r="A631" s="2">
        <v>44505</v>
      </c>
      <c r="B631">
        <v>47.5</v>
      </c>
      <c r="C631">
        <v>48.740001678466797</v>
      </c>
      <c r="D631">
        <v>46.610000610351563</v>
      </c>
      <c r="E631">
        <v>47.189998626708977</v>
      </c>
      <c r="F631">
        <v>45641500</v>
      </c>
      <c r="G631">
        <v>91394571840</v>
      </c>
      <c r="H631">
        <v>1936736056</v>
      </c>
    </row>
    <row r="632" spans="1:8" x14ac:dyDescent="0.25">
      <c r="A632" s="2">
        <v>44508</v>
      </c>
      <c r="B632">
        <v>47.080001831054688</v>
      </c>
      <c r="C632">
        <v>47.645000457763672</v>
      </c>
      <c r="D632">
        <v>45.819999694824219</v>
      </c>
      <c r="E632">
        <v>45.889999389648438</v>
      </c>
      <c r="F632">
        <v>25257900</v>
      </c>
      <c r="G632">
        <v>88876815040</v>
      </c>
      <c r="H632">
        <v>1936736026</v>
      </c>
    </row>
    <row r="633" spans="1:8" x14ac:dyDescent="0.25">
      <c r="A633" s="2">
        <v>44509</v>
      </c>
      <c r="B633">
        <v>45.909999847412109</v>
      </c>
      <c r="C633">
        <v>45.979999542236328</v>
      </c>
      <c r="D633">
        <v>43.680000305175781</v>
      </c>
      <c r="E633">
        <v>45.509998321533203</v>
      </c>
      <c r="F633">
        <v>33588900</v>
      </c>
      <c r="G633">
        <v>88140855360</v>
      </c>
      <c r="H633">
        <v>1936736071</v>
      </c>
    </row>
    <row r="634" spans="1:8" x14ac:dyDescent="0.25">
      <c r="A634" s="2">
        <v>44510</v>
      </c>
      <c r="B634">
        <v>44.900001525878913</v>
      </c>
      <c r="C634">
        <v>45.25</v>
      </c>
      <c r="D634">
        <v>42.599998474121087</v>
      </c>
      <c r="E634">
        <v>43.380001068115227</v>
      </c>
      <c r="F634">
        <v>33712200</v>
      </c>
      <c r="G634">
        <v>84015607680</v>
      </c>
      <c r="H634">
        <v>1936735952</v>
      </c>
    </row>
    <row r="635" spans="1:8" x14ac:dyDescent="0.25">
      <c r="A635" s="2">
        <v>44511</v>
      </c>
      <c r="B635">
        <v>43.319999694824219</v>
      </c>
      <c r="C635">
        <v>43.720001220703118</v>
      </c>
      <c r="D635">
        <v>42.439998626708977</v>
      </c>
      <c r="E635">
        <v>43.279998779296882</v>
      </c>
      <c r="F635">
        <v>27307800</v>
      </c>
      <c r="G635">
        <v>83821934080</v>
      </c>
      <c r="H635">
        <v>1936736055</v>
      </c>
    </row>
    <row r="636" spans="1:8" x14ac:dyDescent="0.25">
      <c r="A636" s="2">
        <v>44512</v>
      </c>
      <c r="B636">
        <v>43.569999694824219</v>
      </c>
      <c r="C636">
        <v>45.130001068115227</v>
      </c>
      <c r="D636">
        <v>43.569999694824219</v>
      </c>
      <c r="E636">
        <v>45.119998931884773</v>
      </c>
      <c r="F636">
        <v>29804600</v>
      </c>
      <c r="G636">
        <v>87385528320</v>
      </c>
      <c r="H636">
        <v>1936736046</v>
      </c>
    </row>
    <row r="637" spans="1:8" x14ac:dyDescent="0.25">
      <c r="A637" s="2">
        <v>44515</v>
      </c>
      <c r="B637">
        <v>45.110000610351563</v>
      </c>
      <c r="C637">
        <v>45.259998321533203</v>
      </c>
      <c r="D637">
        <v>43.560001373291023</v>
      </c>
      <c r="E637">
        <v>43.610000610351563</v>
      </c>
      <c r="F637">
        <v>19690000</v>
      </c>
      <c r="G637">
        <v>84461056960</v>
      </c>
      <c r="H637">
        <v>1936735973</v>
      </c>
    </row>
    <row r="638" spans="1:8" x14ac:dyDescent="0.25">
      <c r="A638" s="2">
        <v>44516</v>
      </c>
      <c r="B638">
        <v>45.540000915527337</v>
      </c>
      <c r="C638">
        <v>46.659999847412109</v>
      </c>
      <c r="D638">
        <v>44.861000061035163</v>
      </c>
      <c r="E638">
        <v>45.759998321533203</v>
      </c>
      <c r="F638">
        <v>46219700</v>
      </c>
      <c r="G638">
        <v>88625039360</v>
      </c>
      <c r="H638">
        <v>1936736071</v>
      </c>
    </row>
    <row r="639" spans="1:8" x14ac:dyDescent="0.25">
      <c r="A639" s="2">
        <v>44517</v>
      </c>
      <c r="B639">
        <v>45.360000610351563</v>
      </c>
      <c r="C639">
        <v>45.639999389648438</v>
      </c>
      <c r="D639">
        <v>43.900001525878913</v>
      </c>
      <c r="E639">
        <v>44.110000610351563</v>
      </c>
      <c r="F639">
        <v>25036400</v>
      </c>
      <c r="G639">
        <v>85429424960</v>
      </c>
      <c r="H639">
        <v>1936735973</v>
      </c>
    </row>
    <row r="640" spans="1:8" x14ac:dyDescent="0.25">
      <c r="A640" s="2">
        <v>44518</v>
      </c>
      <c r="B640">
        <v>44.529998779296882</v>
      </c>
      <c r="C640">
        <v>45.325000762939453</v>
      </c>
      <c r="D640">
        <v>43.575000762939453</v>
      </c>
      <c r="E640">
        <v>45</v>
      </c>
      <c r="F640">
        <v>27839900</v>
      </c>
      <c r="G640">
        <v>87153120000</v>
      </c>
      <c r="H640">
        <v>1936736000</v>
      </c>
    </row>
    <row r="641" spans="1:8" x14ac:dyDescent="0.25">
      <c r="A641" s="2">
        <v>44519</v>
      </c>
      <c r="B641">
        <v>43.930000305175781</v>
      </c>
      <c r="C641">
        <v>44.720001220703118</v>
      </c>
      <c r="D641">
        <v>43.5</v>
      </c>
      <c r="E641">
        <v>44.229999542236328</v>
      </c>
      <c r="F641">
        <v>21465500</v>
      </c>
      <c r="G641">
        <v>85661833280</v>
      </c>
      <c r="H641">
        <v>1936736020</v>
      </c>
    </row>
    <row r="642" spans="1:8" x14ac:dyDescent="0.25">
      <c r="A642" s="2">
        <v>44522</v>
      </c>
      <c r="B642">
        <v>43.959999084472663</v>
      </c>
      <c r="C642">
        <v>44.400001525878913</v>
      </c>
      <c r="D642">
        <v>41.805000305175781</v>
      </c>
      <c r="E642">
        <v>42.599998474121087</v>
      </c>
      <c r="F642">
        <v>31355200</v>
      </c>
      <c r="G642">
        <v>82504953600</v>
      </c>
      <c r="H642">
        <v>1936736069</v>
      </c>
    </row>
    <row r="643" spans="1:8" x14ac:dyDescent="0.25">
      <c r="A643" s="2">
        <v>44523</v>
      </c>
      <c r="B643">
        <v>42.380001068115227</v>
      </c>
      <c r="C643">
        <v>43.139999389648438</v>
      </c>
      <c r="D643">
        <v>41.599998474121087</v>
      </c>
      <c r="E643">
        <v>42.680000305175781</v>
      </c>
      <c r="F643">
        <v>18099400</v>
      </c>
      <c r="G643">
        <v>82659892480</v>
      </c>
      <c r="H643">
        <v>1936735986</v>
      </c>
    </row>
    <row r="644" spans="1:8" x14ac:dyDescent="0.25">
      <c r="A644" s="2">
        <v>44524</v>
      </c>
      <c r="B644">
        <v>42</v>
      </c>
      <c r="C644">
        <v>42.369998931884773</v>
      </c>
      <c r="D644">
        <v>41.240001678466797</v>
      </c>
      <c r="E644">
        <v>42.080001831054688</v>
      </c>
      <c r="F644">
        <v>17118200</v>
      </c>
      <c r="G644">
        <v>81497850880</v>
      </c>
      <c r="H644">
        <v>1936735916</v>
      </c>
    </row>
    <row r="645" spans="1:8" x14ac:dyDescent="0.25">
      <c r="A645" s="2">
        <v>44526</v>
      </c>
      <c r="B645">
        <v>39.610000610351563</v>
      </c>
      <c r="C645">
        <v>40.619998931884773</v>
      </c>
      <c r="D645">
        <v>38.770000457763672</v>
      </c>
      <c r="E645">
        <v>40.520000457763672</v>
      </c>
      <c r="F645">
        <v>35453600</v>
      </c>
      <c r="G645">
        <v>78476542720</v>
      </c>
      <c r="H645">
        <v>1936735978</v>
      </c>
    </row>
    <row r="646" spans="1:8" x14ac:dyDescent="0.25">
      <c r="A646" s="2">
        <v>44529</v>
      </c>
      <c r="B646">
        <v>41.060001373291023</v>
      </c>
      <c r="C646">
        <v>41.25</v>
      </c>
      <c r="D646">
        <v>38.779998779296882</v>
      </c>
      <c r="E646">
        <v>39.700000762939453</v>
      </c>
      <c r="F646">
        <v>27724400</v>
      </c>
      <c r="G646">
        <v>76888419200</v>
      </c>
      <c r="H646">
        <v>1936735963</v>
      </c>
    </row>
    <row r="647" spans="1:8" x14ac:dyDescent="0.25">
      <c r="A647" s="2">
        <v>44530</v>
      </c>
      <c r="B647">
        <v>39.25</v>
      </c>
      <c r="C647">
        <v>39.950000762939453</v>
      </c>
      <c r="D647">
        <v>37.034999847412109</v>
      </c>
      <c r="E647">
        <v>38</v>
      </c>
      <c r="F647">
        <v>55268500</v>
      </c>
      <c r="G647">
        <v>73595968000</v>
      </c>
      <c r="H647">
        <v>1936736000</v>
      </c>
    </row>
    <row r="648" spans="1:8" x14ac:dyDescent="0.25">
      <c r="A648" s="2">
        <v>44531</v>
      </c>
      <c r="B648">
        <v>39.450000762939453</v>
      </c>
      <c r="C648">
        <v>39.5</v>
      </c>
      <c r="D648">
        <v>35.799999237060547</v>
      </c>
      <c r="E648">
        <v>36.020000457763672</v>
      </c>
      <c r="F648">
        <v>47316400</v>
      </c>
      <c r="G648">
        <v>69761230720</v>
      </c>
      <c r="H648">
        <v>1936735975</v>
      </c>
    </row>
    <row r="649" spans="1:8" x14ac:dyDescent="0.25">
      <c r="A649" s="2">
        <v>44532</v>
      </c>
      <c r="B649">
        <v>36.549999237060547</v>
      </c>
      <c r="C649">
        <v>38.395000457763672</v>
      </c>
      <c r="D649">
        <v>36.450000762939453</v>
      </c>
      <c r="E649">
        <v>38.119998931884773</v>
      </c>
      <c r="F649">
        <v>32267000</v>
      </c>
      <c r="G649">
        <v>73828376320</v>
      </c>
      <c r="H649">
        <v>1936736054</v>
      </c>
    </row>
    <row r="650" spans="1:8" x14ac:dyDescent="0.25">
      <c r="A650" s="2">
        <v>44533</v>
      </c>
      <c r="B650">
        <v>37.419998168945313</v>
      </c>
      <c r="C650">
        <v>37.840000152587891</v>
      </c>
      <c r="D650">
        <v>35.259998321533203</v>
      </c>
      <c r="E650">
        <v>35.849998474121087</v>
      </c>
      <c r="F650">
        <v>47392700</v>
      </c>
      <c r="G650">
        <v>69431985600</v>
      </c>
      <c r="H650">
        <v>1936736082</v>
      </c>
    </row>
    <row r="651" spans="1:8" x14ac:dyDescent="0.25">
      <c r="A651" s="2">
        <v>44536</v>
      </c>
      <c r="B651">
        <v>35.950000762939453</v>
      </c>
      <c r="C651">
        <v>38.689998626708977</v>
      </c>
      <c r="D651">
        <v>35.439998626708977</v>
      </c>
      <c r="E651">
        <v>38.490001678466797</v>
      </c>
      <c r="F651">
        <v>36689200</v>
      </c>
      <c r="G651">
        <v>74544968640</v>
      </c>
      <c r="H651">
        <v>1936735916</v>
      </c>
    </row>
    <row r="652" spans="1:8" x14ac:dyDescent="0.25">
      <c r="A652" s="2">
        <v>44537</v>
      </c>
      <c r="B652">
        <v>39.400001525878913</v>
      </c>
      <c r="C652">
        <v>40.220001220703118</v>
      </c>
      <c r="D652">
        <v>37.759998321533203</v>
      </c>
      <c r="E652">
        <v>38.080001831054688</v>
      </c>
      <c r="F652">
        <v>40443300</v>
      </c>
      <c r="G652">
        <v>73750906880</v>
      </c>
      <c r="H652">
        <v>1936735907</v>
      </c>
    </row>
    <row r="653" spans="1:8" x14ac:dyDescent="0.25">
      <c r="A653" s="2">
        <v>44538</v>
      </c>
      <c r="B653">
        <v>38.299999237060547</v>
      </c>
      <c r="C653">
        <v>39.409999847412109</v>
      </c>
      <c r="D653">
        <v>38.009998321533203</v>
      </c>
      <c r="E653">
        <v>38.810001373291023</v>
      </c>
      <c r="F653">
        <v>29688600</v>
      </c>
      <c r="G653">
        <v>75164724160</v>
      </c>
      <c r="H653">
        <v>1936735931</v>
      </c>
    </row>
    <row r="654" spans="1:8" x14ac:dyDescent="0.25">
      <c r="A654" s="2">
        <v>44539</v>
      </c>
      <c r="B654">
        <v>38.439998626708977</v>
      </c>
      <c r="C654">
        <v>38.700000762939453</v>
      </c>
      <c r="D654">
        <v>37.474998474121087</v>
      </c>
      <c r="E654">
        <v>37.540000915527337</v>
      </c>
      <c r="F654">
        <v>22994800</v>
      </c>
      <c r="G654">
        <v>72705069440</v>
      </c>
      <c r="H654">
        <v>1936735953</v>
      </c>
    </row>
    <row r="655" spans="1:8" x14ac:dyDescent="0.25">
      <c r="A655" s="2">
        <v>44540</v>
      </c>
      <c r="B655">
        <v>37.409999847412109</v>
      </c>
      <c r="C655">
        <v>37.869998931884773</v>
      </c>
      <c r="D655">
        <v>36.610000610351563</v>
      </c>
      <c r="E655">
        <v>36.669998168945313</v>
      </c>
      <c r="F655">
        <v>25760600</v>
      </c>
      <c r="G655">
        <v>71020109120</v>
      </c>
      <c r="H655">
        <v>1936736097</v>
      </c>
    </row>
    <row r="656" spans="1:8" x14ac:dyDescent="0.25">
      <c r="A656" s="2">
        <v>44543</v>
      </c>
      <c r="B656">
        <v>36.180000305175781</v>
      </c>
      <c r="C656">
        <v>36.307998657226563</v>
      </c>
      <c r="D656">
        <v>34.880001068115227</v>
      </c>
      <c r="E656">
        <v>35.729999542236328</v>
      </c>
      <c r="F656">
        <v>38394700</v>
      </c>
      <c r="G656">
        <v>69199577280</v>
      </c>
      <c r="H656">
        <v>1936736025</v>
      </c>
    </row>
    <row r="657" spans="1:8" x14ac:dyDescent="0.25">
      <c r="A657" s="2">
        <v>44544</v>
      </c>
      <c r="B657">
        <v>35.25</v>
      </c>
      <c r="C657">
        <v>38.450000762939453</v>
      </c>
      <c r="D657">
        <v>35.209999084472663</v>
      </c>
      <c r="E657">
        <v>37.259998321533203</v>
      </c>
      <c r="F657">
        <v>45491700</v>
      </c>
      <c r="G657">
        <v>72162783360</v>
      </c>
      <c r="H657">
        <v>1936736087</v>
      </c>
    </row>
    <row r="658" spans="1:8" x14ac:dyDescent="0.25">
      <c r="A658" s="2">
        <v>44545</v>
      </c>
      <c r="B658">
        <v>36.909999847412109</v>
      </c>
      <c r="C658">
        <v>38.375</v>
      </c>
      <c r="D658">
        <v>36.240001678466797</v>
      </c>
      <c r="E658">
        <v>37.830001831054688</v>
      </c>
      <c r="F658">
        <v>37612600</v>
      </c>
      <c r="G658">
        <v>73266722880</v>
      </c>
      <c r="H658">
        <v>1936735906</v>
      </c>
    </row>
    <row r="659" spans="1:8" x14ac:dyDescent="0.25">
      <c r="A659" s="2">
        <v>44546</v>
      </c>
      <c r="B659">
        <v>38.25</v>
      </c>
      <c r="C659">
        <v>38.576999664306641</v>
      </c>
      <c r="D659">
        <v>37.125</v>
      </c>
      <c r="E659">
        <v>37.700000762939453</v>
      </c>
      <c r="F659">
        <v>31478400</v>
      </c>
      <c r="G659">
        <v>73014947200</v>
      </c>
      <c r="H659">
        <v>1936735961</v>
      </c>
    </row>
    <row r="660" spans="1:8" x14ac:dyDescent="0.25">
      <c r="A660" s="2">
        <v>44547</v>
      </c>
      <c r="B660">
        <v>37.200000762939453</v>
      </c>
      <c r="C660">
        <v>40</v>
      </c>
      <c r="D660">
        <v>36.740001678466797</v>
      </c>
      <c r="E660">
        <v>39.680000305175781</v>
      </c>
      <c r="F660">
        <v>51048100</v>
      </c>
      <c r="G660">
        <v>76849684480</v>
      </c>
      <c r="H660">
        <v>1936735985</v>
      </c>
    </row>
    <row r="661" spans="1:8" x14ac:dyDescent="0.25">
      <c r="A661" s="2">
        <v>44550</v>
      </c>
      <c r="B661">
        <v>38.450000762939453</v>
      </c>
      <c r="C661">
        <v>40.148998260498047</v>
      </c>
      <c r="D661">
        <v>38.080001831054688</v>
      </c>
      <c r="E661">
        <v>39.700000762939453</v>
      </c>
      <c r="F661">
        <v>28153700</v>
      </c>
      <c r="G661">
        <v>76888419200</v>
      </c>
      <c r="H661">
        <v>1936735963</v>
      </c>
    </row>
    <row r="662" spans="1:8" x14ac:dyDescent="0.25">
      <c r="A662" s="2">
        <v>44551</v>
      </c>
      <c r="B662">
        <v>39.819999694824219</v>
      </c>
      <c r="C662">
        <v>42.080001831054688</v>
      </c>
      <c r="D662">
        <v>39.819999694824219</v>
      </c>
      <c r="E662">
        <v>41.970001220703118</v>
      </c>
      <c r="F662">
        <v>28385200</v>
      </c>
      <c r="G662">
        <v>81284809920</v>
      </c>
      <c r="H662">
        <v>1936735944</v>
      </c>
    </row>
    <row r="663" spans="1:8" x14ac:dyDescent="0.25">
      <c r="A663" s="2">
        <v>44552</v>
      </c>
      <c r="B663">
        <v>41.950000762939453</v>
      </c>
      <c r="C663">
        <v>43.229999542236328</v>
      </c>
      <c r="D663">
        <v>41.450000762939453</v>
      </c>
      <c r="E663">
        <v>43.020000457763672</v>
      </c>
      <c r="F663">
        <v>27675700</v>
      </c>
      <c r="G663">
        <v>83318382720</v>
      </c>
      <c r="H663">
        <v>1936735979</v>
      </c>
    </row>
    <row r="664" spans="1:8" x14ac:dyDescent="0.25">
      <c r="A664" s="2">
        <v>44553</v>
      </c>
      <c r="B664">
        <v>43.029998779296882</v>
      </c>
      <c r="C664">
        <v>44.349998474121087</v>
      </c>
      <c r="D664">
        <v>42.759998321533203</v>
      </c>
      <c r="E664">
        <v>43.909999847412109</v>
      </c>
      <c r="F664">
        <v>21763400</v>
      </c>
      <c r="G664">
        <v>85042077760</v>
      </c>
      <c r="H664">
        <v>1936736007</v>
      </c>
    </row>
    <row r="665" spans="1:8" x14ac:dyDescent="0.25">
      <c r="A665" s="2">
        <v>44557</v>
      </c>
      <c r="B665">
        <v>43.439998626708977</v>
      </c>
      <c r="C665">
        <v>44.240001678466797</v>
      </c>
      <c r="D665">
        <v>42.819999694824219</v>
      </c>
      <c r="E665">
        <v>42.959999084472663</v>
      </c>
      <c r="F665">
        <v>28285000</v>
      </c>
      <c r="G665">
        <v>83202178560</v>
      </c>
      <c r="H665">
        <v>1936736041</v>
      </c>
    </row>
    <row r="666" spans="1:8" x14ac:dyDescent="0.25">
      <c r="A666" s="2">
        <v>44558</v>
      </c>
      <c r="B666">
        <v>42.599998474121087</v>
      </c>
      <c r="C666">
        <v>43.740001678466797</v>
      </c>
      <c r="D666">
        <v>42.299999237060547</v>
      </c>
      <c r="E666">
        <v>42.540000915527337</v>
      </c>
      <c r="F666">
        <v>21481000</v>
      </c>
      <c r="G666">
        <v>82388749440</v>
      </c>
      <c r="H666">
        <v>1936735958</v>
      </c>
    </row>
    <row r="667" spans="1:8" x14ac:dyDescent="0.25">
      <c r="A667" s="2">
        <v>44559</v>
      </c>
      <c r="B667">
        <v>42.720001220703118</v>
      </c>
      <c r="C667">
        <v>42.930000305175781</v>
      </c>
      <c r="D667">
        <v>41.814998626708977</v>
      </c>
      <c r="E667">
        <v>42.459999084472663</v>
      </c>
      <c r="F667">
        <v>15908600</v>
      </c>
      <c r="G667">
        <v>82233810560</v>
      </c>
      <c r="H667">
        <v>1936736042</v>
      </c>
    </row>
    <row r="668" spans="1:8" x14ac:dyDescent="0.25">
      <c r="A668" s="2">
        <v>44560</v>
      </c>
      <c r="B668">
        <v>42.290000915527337</v>
      </c>
      <c r="C668">
        <v>43.340000152587891</v>
      </c>
      <c r="D668">
        <v>42.200000762939453</v>
      </c>
      <c r="E668">
        <v>42.659999847412109</v>
      </c>
      <c r="F668">
        <v>13516300</v>
      </c>
      <c r="G668">
        <v>82621157760</v>
      </c>
      <c r="H668">
        <v>1936736007</v>
      </c>
    </row>
    <row r="669" spans="1:8" x14ac:dyDescent="0.25">
      <c r="A669" s="2">
        <v>44561</v>
      </c>
      <c r="B669">
        <v>42.529998779296882</v>
      </c>
      <c r="C669">
        <v>43.119998931884773</v>
      </c>
      <c r="D669">
        <v>41.930000305175781</v>
      </c>
      <c r="E669">
        <v>41.930000305175781</v>
      </c>
      <c r="F669">
        <v>13746900</v>
      </c>
      <c r="G669">
        <v>81930758770</v>
      </c>
      <c r="H669">
        <v>1953988986</v>
      </c>
    </row>
    <row r="670" spans="1:8" x14ac:dyDescent="0.25">
      <c r="A670" s="2">
        <v>44564</v>
      </c>
      <c r="B670">
        <v>42.479999542236328</v>
      </c>
      <c r="C670">
        <v>44.404998779296882</v>
      </c>
      <c r="D670">
        <v>41.889999389648438</v>
      </c>
      <c r="E670">
        <v>43.950000762939453</v>
      </c>
      <c r="F670">
        <v>26089000</v>
      </c>
      <c r="G670">
        <v>85877816550</v>
      </c>
      <c r="H670">
        <v>1953988966</v>
      </c>
    </row>
    <row r="671" spans="1:8" x14ac:dyDescent="0.25">
      <c r="A671" s="2">
        <v>44565</v>
      </c>
      <c r="B671">
        <v>44.229999542236328</v>
      </c>
      <c r="C671">
        <v>44.799999237060547</v>
      </c>
      <c r="D671">
        <v>42.580001831054688</v>
      </c>
      <c r="E671">
        <v>44.419998168945313</v>
      </c>
      <c r="F671">
        <v>30845300</v>
      </c>
      <c r="G671">
        <v>86796191380</v>
      </c>
      <c r="H671">
        <v>1953989081</v>
      </c>
    </row>
    <row r="672" spans="1:8" x14ac:dyDescent="0.25">
      <c r="A672" s="2">
        <v>44566</v>
      </c>
      <c r="B672">
        <v>44.290000915527337</v>
      </c>
      <c r="C672">
        <v>45.900001525878913</v>
      </c>
      <c r="D672">
        <v>42.860000610351563</v>
      </c>
      <c r="E672">
        <v>43.240001678466797</v>
      </c>
      <c r="F672">
        <v>28498700</v>
      </c>
      <c r="G672">
        <v>84490484360</v>
      </c>
      <c r="H672">
        <v>1953988924</v>
      </c>
    </row>
    <row r="673" spans="1:8" x14ac:dyDescent="0.25">
      <c r="A673" s="2">
        <v>44567</v>
      </c>
      <c r="B673">
        <v>43.110000610351563</v>
      </c>
      <c r="C673">
        <v>44.080001831054688</v>
      </c>
      <c r="D673">
        <v>40.970001220703118</v>
      </c>
      <c r="E673">
        <v>42.029998779296882</v>
      </c>
      <c r="F673">
        <v>32434300</v>
      </c>
      <c r="G673">
        <v>82126157670</v>
      </c>
      <c r="H673">
        <v>1953989057</v>
      </c>
    </row>
    <row r="674" spans="1:8" x14ac:dyDescent="0.25">
      <c r="A674" s="2">
        <v>44568</v>
      </c>
      <c r="B674">
        <v>42</v>
      </c>
      <c r="C674">
        <v>42.650001525878913</v>
      </c>
      <c r="D674">
        <v>41.200000762939453</v>
      </c>
      <c r="E674">
        <v>41.509998321533203</v>
      </c>
      <c r="F674">
        <v>24875800</v>
      </c>
      <c r="G674">
        <v>81110083390</v>
      </c>
      <c r="H674">
        <v>1953989079</v>
      </c>
    </row>
    <row r="675" spans="1:8" x14ac:dyDescent="0.25">
      <c r="A675" s="2">
        <v>44571</v>
      </c>
      <c r="B675">
        <v>41.479999542236328</v>
      </c>
      <c r="C675">
        <v>42.810001373291023</v>
      </c>
      <c r="D675">
        <v>40.159999847412109</v>
      </c>
      <c r="E675">
        <v>42.599998474121087</v>
      </c>
      <c r="F675">
        <v>29783800</v>
      </c>
      <c r="G675">
        <v>83239931400</v>
      </c>
      <c r="H675">
        <v>1953989070</v>
      </c>
    </row>
    <row r="676" spans="1:8" x14ac:dyDescent="0.25">
      <c r="A676" s="2">
        <v>44572</v>
      </c>
      <c r="B676">
        <v>42.360000610351563</v>
      </c>
      <c r="C676">
        <v>44.169998168945313</v>
      </c>
      <c r="D676">
        <v>42.189998626708977</v>
      </c>
      <c r="E676">
        <v>43.619998931884773</v>
      </c>
      <c r="F676">
        <v>22161000</v>
      </c>
      <c r="G676">
        <v>85233000180</v>
      </c>
      <c r="H676">
        <v>1953989048</v>
      </c>
    </row>
    <row r="677" spans="1:8" x14ac:dyDescent="0.25">
      <c r="A677" s="2">
        <v>44573</v>
      </c>
      <c r="B677">
        <v>43.990001678466797</v>
      </c>
      <c r="C677">
        <v>44.099998474121087</v>
      </c>
      <c r="D677">
        <v>42.534999847412109</v>
      </c>
      <c r="E677">
        <v>43.040000915527337</v>
      </c>
      <c r="F677">
        <v>18993900</v>
      </c>
      <c r="G677">
        <v>84099686560</v>
      </c>
      <c r="H677">
        <v>1953988958</v>
      </c>
    </row>
    <row r="678" spans="1:8" x14ac:dyDescent="0.25">
      <c r="A678" s="2">
        <v>44574</v>
      </c>
      <c r="B678">
        <v>43.340000152587891</v>
      </c>
      <c r="C678">
        <v>43.919998168945313</v>
      </c>
      <c r="D678">
        <v>42.724998474121087</v>
      </c>
      <c r="E678">
        <v>42.869998931884773</v>
      </c>
      <c r="F678">
        <v>17190100</v>
      </c>
      <c r="G678">
        <v>83767508430</v>
      </c>
      <c r="H678">
        <v>1953989049</v>
      </c>
    </row>
    <row r="679" spans="1:8" x14ac:dyDescent="0.25">
      <c r="A679" s="2">
        <v>44575</v>
      </c>
      <c r="B679">
        <v>42.400001525878913</v>
      </c>
      <c r="C679">
        <v>42.720001220703118</v>
      </c>
      <c r="D679">
        <v>40.354999542236328</v>
      </c>
      <c r="E679">
        <v>41.509998321533203</v>
      </c>
      <c r="F679">
        <v>25817800</v>
      </c>
      <c r="G679">
        <v>81110083390</v>
      </c>
      <c r="H679">
        <v>1953989079</v>
      </c>
    </row>
    <row r="680" spans="1:8" x14ac:dyDescent="0.25">
      <c r="A680" s="2">
        <v>44579</v>
      </c>
      <c r="B680">
        <v>40.959999084472663</v>
      </c>
      <c r="C680">
        <v>40.959999084472663</v>
      </c>
      <c r="D680">
        <v>38.369998931884773</v>
      </c>
      <c r="E680">
        <v>38.409999847412109</v>
      </c>
      <c r="F680">
        <v>36873700</v>
      </c>
      <c r="G680">
        <v>75052717490</v>
      </c>
      <c r="H680">
        <v>1953989008</v>
      </c>
    </row>
    <row r="681" spans="1:8" x14ac:dyDescent="0.25">
      <c r="A681" s="2">
        <v>44580</v>
      </c>
      <c r="B681">
        <v>38.209999084472663</v>
      </c>
      <c r="C681">
        <v>38.889999389648438</v>
      </c>
      <c r="D681">
        <v>37.115001678466797</v>
      </c>
      <c r="E681">
        <v>37.860000610351563</v>
      </c>
      <c r="F681">
        <v>35552500</v>
      </c>
      <c r="G681">
        <v>73978023540</v>
      </c>
      <c r="H681">
        <v>1953988968</v>
      </c>
    </row>
    <row r="682" spans="1:8" x14ac:dyDescent="0.25">
      <c r="A682" s="2">
        <v>44581</v>
      </c>
      <c r="B682">
        <v>38.290000915527337</v>
      </c>
      <c r="C682">
        <v>39.639999389648438</v>
      </c>
      <c r="D682">
        <v>37.75</v>
      </c>
      <c r="E682">
        <v>37.819999694824219</v>
      </c>
      <c r="F682">
        <v>21720100</v>
      </c>
      <c r="G682">
        <v>73899863980</v>
      </c>
      <c r="H682">
        <v>1953989016</v>
      </c>
    </row>
    <row r="683" spans="1:8" x14ac:dyDescent="0.25">
      <c r="A683" s="2">
        <v>44582</v>
      </c>
      <c r="B683">
        <v>37.409999847412109</v>
      </c>
      <c r="C683">
        <v>37.599998474121087</v>
      </c>
      <c r="D683">
        <v>35.845001220703118</v>
      </c>
      <c r="E683">
        <v>35.939998626708977</v>
      </c>
      <c r="F683">
        <v>41836800</v>
      </c>
      <c r="G683">
        <v>70226364660</v>
      </c>
      <c r="H683">
        <v>1953989075</v>
      </c>
    </row>
    <row r="684" spans="1:8" x14ac:dyDescent="0.25">
      <c r="A684" s="2">
        <v>44585</v>
      </c>
      <c r="B684">
        <v>34.909999847412109</v>
      </c>
      <c r="C684">
        <v>36.419998168945313</v>
      </c>
      <c r="D684">
        <v>33.509998321533203</v>
      </c>
      <c r="E684">
        <v>36.279998779296882</v>
      </c>
      <c r="F684">
        <v>49261600</v>
      </c>
      <c r="G684">
        <v>70890720920</v>
      </c>
      <c r="H684">
        <v>1953989066</v>
      </c>
    </row>
    <row r="685" spans="1:8" x14ac:dyDescent="0.25">
      <c r="A685" s="2">
        <v>44586</v>
      </c>
      <c r="B685">
        <v>35.470001220703118</v>
      </c>
      <c r="C685">
        <v>36.090000152587891</v>
      </c>
      <c r="D685">
        <v>34.514999389648438</v>
      </c>
      <c r="E685">
        <v>34.819999694824219</v>
      </c>
      <c r="F685">
        <v>29577000</v>
      </c>
      <c r="G685">
        <v>68037896980</v>
      </c>
      <c r="H685">
        <v>1953989017</v>
      </c>
    </row>
    <row r="686" spans="1:8" x14ac:dyDescent="0.25">
      <c r="A686" s="2">
        <v>44587</v>
      </c>
      <c r="B686">
        <v>36.069999694824219</v>
      </c>
      <c r="C686">
        <v>36.680000305175781</v>
      </c>
      <c r="D686">
        <v>34.450000762939453</v>
      </c>
      <c r="E686">
        <v>34.799999237060547</v>
      </c>
      <c r="F686">
        <v>29495900</v>
      </c>
      <c r="G686">
        <v>67998817199</v>
      </c>
      <c r="H686">
        <v>1953989043</v>
      </c>
    </row>
    <row r="687" spans="1:8" x14ac:dyDescent="0.25">
      <c r="A687" s="2">
        <v>44588</v>
      </c>
      <c r="B687">
        <v>35.369998931884773</v>
      </c>
      <c r="C687">
        <v>35.790000915527337</v>
      </c>
      <c r="D687">
        <v>33.939998626708977</v>
      </c>
      <c r="E687">
        <v>34.090000152587891</v>
      </c>
      <c r="F687">
        <v>26086700</v>
      </c>
      <c r="G687">
        <v>66611485010</v>
      </c>
      <c r="H687">
        <v>1953988991</v>
      </c>
    </row>
    <row r="688" spans="1:8" x14ac:dyDescent="0.25">
      <c r="A688" s="2">
        <v>44589</v>
      </c>
      <c r="B688">
        <v>34.169998168945313</v>
      </c>
      <c r="C688">
        <v>35.220001220703118</v>
      </c>
      <c r="D688">
        <v>32.810001373291023</v>
      </c>
      <c r="E688">
        <v>35.209999084472663</v>
      </c>
      <c r="F688">
        <v>28007100</v>
      </c>
      <c r="G688">
        <v>68799952690</v>
      </c>
      <c r="H688">
        <v>1953989051</v>
      </c>
    </row>
    <row r="689" spans="1:8" x14ac:dyDescent="0.25">
      <c r="A689" s="2">
        <v>44592</v>
      </c>
      <c r="B689">
        <v>35.340000152587891</v>
      </c>
      <c r="C689">
        <v>37.540000915527337</v>
      </c>
      <c r="D689">
        <v>35.299999237060547</v>
      </c>
      <c r="E689">
        <v>37.400001525878913</v>
      </c>
      <c r="F689">
        <v>22899300</v>
      </c>
      <c r="G689">
        <v>73079188600</v>
      </c>
      <c r="H689">
        <v>1953988920</v>
      </c>
    </row>
    <row r="690" spans="1:8" x14ac:dyDescent="0.25">
      <c r="A690" s="2">
        <v>44593</v>
      </c>
      <c r="B690">
        <v>37.630001068115227</v>
      </c>
      <c r="C690">
        <v>38.705001831054688</v>
      </c>
      <c r="D690">
        <v>37.200000762939453</v>
      </c>
      <c r="E690">
        <v>38.610000610351563</v>
      </c>
      <c r="F690">
        <v>19669900</v>
      </c>
      <c r="G690">
        <v>75443515290</v>
      </c>
      <c r="H690">
        <v>1953988969</v>
      </c>
    </row>
    <row r="691" spans="1:8" x14ac:dyDescent="0.25">
      <c r="A691" s="2">
        <v>44594</v>
      </c>
      <c r="B691">
        <v>38.529998779296882</v>
      </c>
      <c r="C691">
        <v>38.619998931884773</v>
      </c>
      <c r="D691">
        <v>37.029998779296882</v>
      </c>
      <c r="E691">
        <v>37.169998168945313</v>
      </c>
      <c r="F691">
        <v>19591100</v>
      </c>
      <c r="G691">
        <v>72629771130</v>
      </c>
      <c r="H691">
        <v>1953989096</v>
      </c>
    </row>
    <row r="692" spans="1:8" x14ac:dyDescent="0.25">
      <c r="A692" s="2">
        <v>44595</v>
      </c>
      <c r="B692">
        <v>36.080001831054688</v>
      </c>
      <c r="C692">
        <v>36.740001678466797</v>
      </c>
      <c r="D692">
        <v>34.299999237060547</v>
      </c>
      <c r="E692">
        <v>34.540000915527337</v>
      </c>
      <c r="F692">
        <v>32192100</v>
      </c>
      <c r="G692">
        <v>67490780060</v>
      </c>
      <c r="H692">
        <v>1953988948</v>
      </c>
    </row>
    <row r="693" spans="1:8" x14ac:dyDescent="0.25">
      <c r="A693" s="2">
        <v>44596</v>
      </c>
      <c r="B693">
        <v>35</v>
      </c>
      <c r="C693">
        <v>37.354999542236328</v>
      </c>
      <c r="D693">
        <v>34.360000610351563</v>
      </c>
      <c r="E693">
        <v>37.049999237060547</v>
      </c>
      <c r="F693">
        <v>33082100</v>
      </c>
      <c r="G693">
        <v>72395292450</v>
      </c>
      <c r="H693">
        <v>1953989040</v>
      </c>
    </row>
    <row r="694" spans="1:8" x14ac:dyDescent="0.25">
      <c r="A694" s="2">
        <v>44599</v>
      </c>
      <c r="B694">
        <v>36.985000610351563</v>
      </c>
      <c r="C694">
        <v>39.049999237060547</v>
      </c>
      <c r="D694">
        <v>36.985000610351563</v>
      </c>
      <c r="E694">
        <v>37.540000915527337</v>
      </c>
      <c r="F694">
        <v>30303200</v>
      </c>
      <c r="G694">
        <v>73352747060</v>
      </c>
      <c r="H694">
        <v>1953988952</v>
      </c>
    </row>
    <row r="695" spans="1:8" x14ac:dyDescent="0.25">
      <c r="A695" s="2">
        <v>44600</v>
      </c>
      <c r="B695">
        <v>37.25</v>
      </c>
      <c r="C695">
        <v>38.569999694824219</v>
      </c>
      <c r="D695">
        <v>36.950000762939453</v>
      </c>
      <c r="E695">
        <v>38.340000152587891</v>
      </c>
      <c r="F695">
        <v>25857600</v>
      </c>
      <c r="G695">
        <v>74915938260</v>
      </c>
      <c r="H695">
        <v>1953988992</v>
      </c>
    </row>
    <row r="696" spans="1:8" x14ac:dyDescent="0.25">
      <c r="A696" s="2">
        <v>44601</v>
      </c>
      <c r="B696">
        <v>38.810001373291023</v>
      </c>
      <c r="C696">
        <v>40.400001525878913</v>
      </c>
      <c r="D696">
        <v>38.159999847412109</v>
      </c>
      <c r="E696">
        <v>40.189998626708977</v>
      </c>
      <c r="F696">
        <v>52614100</v>
      </c>
      <c r="G696">
        <v>78530817910</v>
      </c>
      <c r="H696">
        <v>1953989067</v>
      </c>
    </row>
    <row r="697" spans="1:8" x14ac:dyDescent="0.25">
      <c r="A697" s="2">
        <v>44602</v>
      </c>
      <c r="B697">
        <v>41</v>
      </c>
      <c r="C697">
        <v>42.560001373291023</v>
      </c>
      <c r="D697">
        <v>37.349998474121087</v>
      </c>
      <c r="E697">
        <v>37.75</v>
      </c>
      <c r="F697">
        <v>113915000</v>
      </c>
      <c r="G697">
        <v>73763084750</v>
      </c>
      <c r="H697">
        <v>1953989000</v>
      </c>
    </row>
    <row r="698" spans="1:8" x14ac:dyDescent="0.25">
      <c r="A698" s="2">
        <v>44603</v>
      </c>
      <c r="B698">
        <v>37.959999084472663</v>
      </c>
      <c r="C698">
        <v>38.650001525878913</v>
      </c>
      <c r="D698">
        <v>34.479999542236328</v>
      </c>
      <c r="E698">
        <v>35.290000915527337</v>
      </c>
      <c r="F698">
        <v>72568400</v>
      </c>
      <c r="G698">
        <v>68956271810</v>
      </c>
      <c r="H698">
        <v>1953988949</v>
      </c>
    </row>
    <row r="699" spans="1:8" x14ac:dyDescent="0.25">
      <c r="A699" s="2">
        <v>44606</v>
      </c>
      <c r="B699">
        <v>35.200000762939453</v>
      </c>
      <c r="C699">
        <v>35.990001678466797</v>
      </c>
      <c r="D699">
        <v>34.319999694824219</v>
      </c>
      <c r="E699">
        <v>34.590000152587891</v>
      </c>
      <c r="F699">
        <v>44556700</v>
      </c>
      <c r="G699">
        <v>67588479510</v>
      </c>
      <c r="H699">
        <v>1953988991</v>
      </c>
    </row>
    <row r="700" spans="1:8" x14ac:dyDescent="0.25">
      <c r="A700" s="2">
        <v>44607</v>
      </c>
      <c r="B700">
        <v>35.439998626708977</v>
      </c>
      <c r="C700">
        <v>37.209999084472663</v>
      </c>
      <c r="D700">
        <v>35.110000610351563</v>
      </c>
      <c r="E700">
        <v>37.090000152587891</v>
      </c>
      <c r="F700">
        <v>38183500</v>
      </c>
      <c r="G700">
        <v>72473452010</v>
      </c>
      <c r="H700">
        <v>1953988992</v>
      </c>
    </row>
    <row r="701" spans="1:8" x14ac:dyDescent="0.25">
      <c r="A701" s="2">
        <v>44608</v>
      </c>
      <c r="B701">
        <v>36.630001068115227</v>
      </c>
      <c r="C701">
        <v>37.389999389648438</v>
      </c>
      <c r="D701">
        <v>36.270000457763672</v>
      </c>
      <c r="E701">
        <v>36.580001831054688</v>
      </c>
      <c r="F701">
        <v>33165900</v>
      </c>
      <c r="G701">
        <v>71476917620</v>
      </c>
      <c r="H701">
        <v>1953988902</v>
      </c>
    </row>
    <row r="702" spans="1:8" x14ac:dyDescent="0.25">
      <c r="A702" s="2">
        <v>44609</v>
      </c>
      <c r="B702">
        <v>36.130001068115227</v>
      </c>
      <c r="C702">
        <v>37.430000305175781</v>
      </c>
      <c r="D702">
        <v>35.409999847412109</v>
      </c>
      <c r="E702">
        <v>35.709999084472663</v>
      </c>
      <c r="F702">
        <v>28432100</v>
      </c>
      <c r="G702">
        <v>69776947190</v>
      </c>
      <c r="H702">
        <v>1953989050</v>
      </c>
    </row>
    <row r="703" spans="1:8" x14ac:dyDescent="0.25">
      <c r="A703" s="2">
        <v>44610</v>
      </c>
      <c r="B703">
        <v>35.520000457763672</v>
      </c>
      <c r="C703">
        <v>36.325000762939453</v>
      </c>
      <c r="D703">
        <v>34.669998168945313</v>
      </c>
      <c r="E703">
        <v>34.680000305175781</v>
      </c>
      <c r="F703">
        <v>28199900</v>
      </c>
      <c r="G703">
        <v>67764338520</v>
      </c>
      <c r="H703">
        <v>1953988983</v>
      </c>
    </row>
    <row r="704" spans="1:8" x14ac:dyDescent="0.25">
      <c r="A704" s="2">
        <v>44614</v>
      </c>
      <c r="B704">
        <v>34.209999084472663</v>
      </c>
      <c r="C704">
        <v>35.099998474121087</v>
      </c>
      <c r="D704">
        <v>33.279998779296882</v>
      </c>
      <c r="E704">
        <v>33.680000305175781</v>
      </c>
      <c r="F704">
        <v>28731300</v>
      </c>
      <c r="G704">
        <v>65810349520</v>
      </c>
      <c r="H704">
        <v>1953988982</v>
      </c>
    </row>
    <row r="705" spans="1:8" x14ac:dyDescent="0.25">
      <c r="A705" s="2">
        <v>44615</v>
      </c>
      <c r="B705">
        <v>33.889999389648438</v>
      </c>
      <c r="C705">
        <v>34.209999084472663</v>
      </c>
      <c r="D705">
        <v>32.299999237060547</v>
      </c>
      <c r="E705">
        <v>32.389999389648438</v>
      </c>
      <c r="F705">
        <v>27254800</v>
      </c>
      <c r="G705">
        <v>63289703710</v>
      </c>
      <c r="H705">
        <v>1953989037</v>
      </c>
    </row>
    <row r="706" spans="1:8" x14ac:dyDescent="0.25">
      <c r="A706" s="2">
        <v>44616</v>
      </c>
      <c r="B706">
        <v>29.969999313354489</v>
      </c>
      <c r="C706">
        <v>34.950000762939453</v>
      </c>
      <c r="D706">
        <v>29.70999908447266</v>
      </c>
      <c r="E706">
        <v>34.869998931884773</v>
      </c>
      <c r="F706">
        <v>42978100</v>
      </c>
      <c r="G706">
        <v>68135596429</v>
      </c>
      <c r="H706">
        <v>1953989060</v>
      </c>
    </row>
    <row r="707" spans="1:8" x14ac:dyDescent="0.25">
      <c r="A707" s="2">
        <v>44617</v>
      </c>
      <c r="B707">
        <v>34.840000152587891</v>
      </c>
      <c r="C707">
        <v>35.271999359130859</v>
      </c>
      <c r="D707">
        <v>34.009998321533203</v>
      </c>
      <c r="E707">
        <v>34.979999542236328</v>
      </c>
      <c r="F707">
        <v>23691500</v>
      </c>
      <c r="G707">
        <v>68350535219</v>
      </c>
      <c r="H707">
        <v>1953989026</v>
      </c>
    </row>
    <row r="708" spans="1:8" x14ac:dyDescent="0.25">
      <c r="A708" s="2">
        <v>44620</v>
      </c>
      <c r="B708">
        <v>35.259998321533203</v>
      </c>
      <c r="C708">
        <v>36.310001373291023</v>
      </c>
      <c r="D708">
        <v>34.985000610351563</v>
      </c>
      <c r="E708">
        <v>36.029998779296882</v>
      </c>
      <c r="F708">
        <v>44865200</v>
      </c>
      <c r="G708">
        <v>70402223670</v>
      </c>
      <c r="H708">
        <v>1953989066</v>
      </c>
    </row>
    <row r="709" spans="1:8" x14ac:dyDescent="0.25">
      <c r="A709" s="2">
        <v>44621</v>
      </c>
      <c r="B709">
        <v>35.450000762939453</v>
      </c>
      <c r="C709">
        <v>35.599998474121087</v>
      </c>
      <c r="D709">
        <v>33.650001525878913</v>
      </c>
      <c r="E709">
        <v>33.889999389648438</v>
      </c>
      <c r="F709">
        <v>31436200</v>
      </c>
      <c r="G709">
        <v>66220687210</v>
      </c>
      <c r="H709">
        <v>1953989035</v>
      </c>
    </row>
    <row r="710" spans="1:8" x14ac:dyDescent="0.25">
      <c r="A710" s="2">
        <v>44622</v>
      </c>
      <c r="B710">
        <v>34</v>
      </c>
      <c r="C710">
        <v>34.220001220703118</v>
      </c>
      <c r="D710">
        <v>32.970001220703118</v>
      </c>
      <c r="E710">
        <v>34.040000915527337</v>
      </c>
      <c r="F710">
        <v>26112500</v>
      </c>
      <c r="G710">
        <v>66513785560</v>
      </c>
      <c r="H710">
        <v>1953988947</v>
      </c>
    </row>
    <row r="711" spans="1:8" x14ac:dyDescent="0.25">
      <c r="A711" s="2">
        <v>44623</v>
      </c>
      <c r="B711">
        <v>34.220001220703118</v>
      </c>
      <c r="C711">
        <v>34.291000366210938</v>
      </c>
      <c r="D711">
        <v>31.41500091552734</v>
      </c>
      <c r="E711">
        <v>31.719999313354489</v>
      </c>
      <c r="F711">
        <v>38337600</v>
      </c>
      <c r="G711">
        <v>61980531080</v>
      </c>
      <c r="H711">
        <v>1953989042</v>
      </c>
    </row>
    <row r="712" spans="1:8" x14ac:dyDescent="0.25">
      <c r="A712" s="2">
        <v>44624</v>
      </c>
      <c r="B712">
        <v>31.5</v>
      </c>
      <c r="C712">
        <v>31.729999542236332</v>
      </c>
      <c r="D712">
        <v>29.270000457763668</v>
      </c>
      <c r="E712">
        <v>29.829999923706051</v>
      </c>
      <c r="F712">
        <v>52098700</v>
      </c>
      <c r="G712">
        <v>58287491870</v>
      </c>
      <c r="H712">
        <v>1953989005</v>
      </c>
    </row>
    <row r="713" spans="1:8" x14ac:dyDescent="0.25">
      <c r="A713" s="2">
        <v>44627</v>
      </c>
      <c r="B713">
        <v>31.479999542236332</v>
      </c>
      <c r="C713">
        <v>31.9379997253418</v>
      </c>
      <c r="D713">
        <v>28.54999923706055</v>
      </c>
      <c r="E713">
        <v>28.569999694824219</v>
      </c>
      <c r="F713">
        <v>60265800</v>
      </c>
      <c r="G713">
        <v>55825465730</v>
      </c>
      <c r="H713">
        <v>1953989021</v>
      </c>
    </row>
    <row r="714" spans="1:8" x14ac:dyDescent="0.25">
      <c r="A714" s="2">
        <v>44628</v>
      </c>
      <c r="B714">
        <v>28.510000228881839</v>
      </c>
      <c r="C714">
        <v>31.569999694824219</v>
      </c>
      <c r="D714">
        <v>28.277999877929691</v>
      </c>
      <c r="E714">
        <v>30.739999771118161</v>
      </c>
      <c r="F714">
        <v>55014700</v>
      </c>
      <c r="G714">
        <v>60065621860</v>
      </c>
      <c r="H714">
        <v>1953989015</v>
      </c>
    </row>
    <row r="715" spans="1:8" x14ac:dyDescent="0.25">
      <c r="A715" s="2">
        <v>44629</v>
      </c>
      <c r="B715">
        <v>31.75</v>
      </c>
      <c r="C715">
        <v>32.729999542236328</v>
      </c>
      <c r="D715">
        <v>31.20000076293945</v>
      </c>
      <c r="E715">
        <v>31.5</v>
      </c>
      <c r="F715">
        <v>33734500</v>
      </c>
      <c r="G715">
        <v>61550653500</v>
      </c>
      <c r="H715">
        <v>1953989000</v>
      </c>
    </row>
    <row r="716" spans="1:8" x14ac:dyDescent="0.25">
      <c r="A716" s="2">
        <v>44630</v>
      </c>
      <c r="B716">
        <v>30.860000610351559</v>
      </c>
      <c r="C716">
        <v>31.145000457763668</v>
      </c>
      <c r="D716">
        <v>29.840000152587891</v>
      </c>
      <c r="E716">
        <v>30.409999847412109</v>
      </c>
      <c r="F716">
        <v>30785900</v>
      </c>
      <c r="G716">
        <v>59420805490</v>
      </c>
      <c r="H716">
        <v>1953989010</v>
      </c>
    </row>
    <row r="717" spans="1:8" x14ac:dyDescent="0.25">
      <c r="A717" s="2">
        <v>44631</v>
      </c>
      <c r="B717">
        <v>31.29999923706055</v>
      </c>
      <c r="C717">
        <v>31.389999389648441</v>
      </c>
      <c r="D717">
        <v>30.420000076293949</v>
      </c>
      <c r="E717">
        <v>30.760000228881839</v>
      </c>
      <c r="F717">
        <v>29454700</v>
      </c>
      <c r="G717">
        <v>60104701640</v>
      </c>
      <c r="H717">
        <v>1953988985</v>
      </c>
    </row>
    <row r="718" spans="1:8" x14ac:dyDescent="0.25">
      <c r="A718" s="2">
        <v>44634</v>
      </c>
      <c r="B718">
        <v>30.510000228881839</v>
      </c>
      <c r="C718">
        <v>30.54999923706055</v>
      </c>
      <c r="D718">
        <v>28.79999923706055</v>
      </c>
      <c r="E718">
        <v>29.270000457763668</v>
      </c>
      <c r="F718">
        <v>41897400</v>
      </c>
      <c r="G718">
        <v>57193258030</v>
      </c>
      <c r="H718">
        <v>1953988969</v>
      </c>
    </row>
    <row r="719" spans="1:8" x14ac:dyDescent="0.25">
      <c r="A719" s="2">
        <v>44635</v>
      </c>
      <c r="B719">
        <v>29.520000457763668</v>
      </c>
      <c r="C719">
        <v>30.409999847412109</v>
      </c>
      <c r="D719">
        <v>29.059999465942379</v>
      </c>
      <c r="E719">
        <v>29.79999923706055</v>
      </c>
      <c r="F719">
        <v>33060500</v>
      </c>
      <c r="G719">
        <v>58228872200</v>
      </c>
      <c r="H719">
        <v>1953989050</v>
      </c>
    </row>
    <row r="720" spans="1:8" x14ac:dyDescent="0.25">
      <c r="A720" s="2">
        <v>44636</v>
      </c>
      <c r="B720">
        <v>30.530000686645511</v>
      </c>
      <c r="C720">
        <v>32.634998321533203</v>
      </c>
      <c r="D720">
        <v>30.270000457763668</v>
      </c>
      <c r="E720">
        <v>32.610000610351563</v>
      </c>
      <c r="F720">
        <v>34688800</v>
      </c>
      <c r="G720">
        <v>63719581290</v>
      </c>
      <c r="H720">
        <v>1953988963</v>
      </c>
    </row>
    <row r="721" spans="1:8" x14ac:dyDescent="0.25">
      <c r="A721" s="2">
        <v>44637</v>
      </c>
      <c r="B721">
        <v>32.340000152587891</v>
      </c>
      <c r="C721">
        <v>32.919998168945313</v>
      </c>
      <c r="D721">
        <v>31.569999694824219</v>
      </c>
      <c r="E721">
        <v>32.849998474121087</v>
      </c>
      <c r="F721">
        <v>27278600</v>
      </c>
      <c r="G721">
        <v>64188538650</v>
      </c>
      <c r="H721">
        <v>1953989091</v>
      </c>
    </row>
    <row r="722" spans="1:8" x14ac:dyDescent="0.25">
      <c r="A722" s="2">
        <v>44638</v>
      </c>
      <c r="B722">
        <v>32.520000457763672</v>
      </c>
      <c r="C722">
        <v>33.419998168945313</v>
      </c>
      <c r="D722">
        <v>32.330001831054688</v>
      </c>
      <c r="E722">
        <v>33.360000610351563</v>
      </c>
      <c r="F722">
        <v>35827800</v>
      </c>
      <c r="G722">
        <v>65185073040</v>
      </c>
      <c r="H722">
        <v>1953988964</v>
      </c>
    </row>
    <row r="723" spans="1:8" x14ac:dyDescent="0.25">
      <c r="A723" s="2">
        <v>44641</v>
      </c>
      <c r="B723">
        <v>32.819999694824219</v>
      </c>
      <c r="C723">
        <v>32.819999694824219</v>
      </c>
      <c r="D723">
        <v>31.25</v>
      </c>
      <c r="E723">
        <v>31.979999542236332</v>
      </c>
      <c r="F723">
        <v>35200600</v>
      </c>
      <c r="G723">
        <v>62488568220</v>
      </c>
      <c r="H723">
        <v>1953989028</v>
      </c>
    </row>
    <row r="724" spans="1:8" x14ac:dyDescent="0.25">
      <c r="A724" s="2">
        <v>44642</v>
      </c>
      <c r="B724">
        <v>31.930000305175781</v>
      </c>
      <c r="C724">
        <v>33.599998474121087</v>
      </c>
      <c r="D724">
        <v>31.840000152587891</v>
      </c>
      <c r="E724">
        <v>33.349998474121087</v>
      </c>
      <c r="F724">
        <v>21852800</v>
      </c>
      <c r="G724">
        <v>65165533150</v>
      </c>
      <c r="H724">
        <v>1953989089</v>
      </c>
    </row>
    <row r="725" spans="1:8" x14ac:dyDescent="0.25">
      <c r="A725" s="2">
        <v>44643</v>
      </c>
      <c r="B725">
        <v>32.709999084472663</v>
      </c>
      <c r="C725">
        <v>33.680000305175781</v>
      </c>
      <c r="D725">
        <v>32.569999694824219</v>
      </c>
      <c r="E725">
        <v>33.060001373291023</v>
      </c>
      <c r="F725">
        <v>19024700</v>
      </c>
      <c r="G725">
        <v>64598876340</v>
      </c>
      <c r="H725">
        <v>1953988919</v>
      </c>
    </row>
    <row r="726" spans="1:8" x14ac:dyDescent="0.25">
      <c r="A726" s="2">
        <v>44644</v>
      </c>
      <c r="B726">
        <v>34.740001678466797</v>
      </c>
      <c r="C726">
        <v>34.950000762939453</v>
      </c>
      <c r="D726">
        <v>33.439998626708977</v>
      </c>
      <c r="E726">
        <v>34.700000762939453</v>
      </c>
      <c r="F726">
        <v>52533600</v>
      </c>
      <c r="G726">
        <v>67803418300</v>
      </c>
      <c r="H726">
        <v>1953988957</v>
      </c>
    </row>
    <row r="727" spans="1:8" x14ac:dyDescent="0.25">
      <c r="A727" s="2">
        <v>44645</v>
      </c>
      <c r="B727">
        <v>34.549999237060547</v>
      </c>
      <c r="C727">
        <v>34.919998168945313</v>
      </c>
      <c r="D727">
        <v>33.549999237060547</v>
      </c>
      <c r="E727">
        <v>34.060001373291023</v>
      </c>
      <c r="F727">
        <v>28078800</v>
      </c>
      <c r="G727">
        <v>66552865340</v>
      </c>
      <c r="H727">
        <v>1953988921</v>
      </c>
    </row>
    <row r="728" spans="1:8" x14ac:dyDescent="0.25">
      <c r="A728" s="2">
        <v>44648</v>
      </c>
      <c r="B728">
        <v>34.139999389648438</v>
      </c>
      <c r="C728">
        <v>34.909999847412109</v>
      </c>
      <c r="D728">
        <v>33.729999542236328</v>
      </c>
      <c r="E728">
        <v>34.770000457763672</v>
      </c>
      <c r="F728">
        <v>22175200</v>
      </c>
      <c r="G728">
        <v>67940197530</v>
      </c>
      <c r="H728">
        <v>1953988974</v>
      </c>
    </row>
    <row r="729" spans="1:8" x14ac:dyDescent="0.25">
      <c r="A729" s="2">
        <v>44649</v>
      </c>
      <c r="B729">
        <v>35.569999694824219</v>
      </c>
      <c r="C729">
        <v>37.450000762939453</v>
      </c>
      <c r="D729">
        <v>35.569999694824219</v>
      </c>
      <c r="E729">
        <v>37.189998626708977</v>
      </c>
      <c r="F729">
        <v>37969000</v>
      </c>
      <c r="G729">
        <v>72668850910</v>
      </c>
      <c r="H729">
        <v>1953989072</v>
      </c>
    </row>
    <row r="730" spans="1:8" x14ac:dyDescent="0.25">
      <c r="A730" s="2">
        <v>44650</v>
      </c>
      <c r="B730">
        <v>36.659999847412109</v>
      </c>
      <c r="C730">
        <v>37.089000701904297</v>
      </c>
      <c r="D730">
        <v>36.205001831054688</v>
      </c>
      <c r="E730">
        <v>36.580001831054688</v>
      </c>
      <c r="F730">
        <v>22306500</v>
      </c>
      <c r="G730">
        <v>71476917620</v>
      </c>
      <c r="H730">
        <v>1953988902</v>
      </c>
    </row>
    <row r="731" spans="1:8" x14ac:dyDescent="0.25">
      <c r="A731" s="2">
        <v>44651</v>
      </c>
      <c r="B731">
        <v>36.5</v>
      </c>
      <c r="C731">
        <v>36.729999542236328</v>
      </c>
      <c r="D731">
        <v>35.369998931884773</v>
      </c>
      <c r="E731">
        <v>35.680000305175781</v>
      </c>
      <c r="F731">
        <v>20608700</v>
      </c>
      <c r="G731">
        <v>70086366720</v>
      </c>
      <c r="H731">
        <v>1964303983</v>
      </c>
    </row>
    <row r="732" spans="1:8" x14ac:dyDescent="0.25">
      <c r="A732" s="2">
        <v>44652</v>
      </c>
      <c r="B732">
        <v>35.680000305175781</v>
      </c>
      <c r="C732">
        <v>36.479999542236328</v>
      </c>
      <c r="D732">
        <v>35.400001525878913</v>
      </c>
      <c r="E732">
        <v>35.979999542236328</v>
      </c>
      <c r="F732">
        <v>16793300</v>
      </c>
      <c r="G732">
        <v>70675657920</v>
      </c>
      <c r="H732">
        <v>1964304025</v>
      </c>
    </row>
    <row r="733" spans="1:8" x14ac:dyDescent="0.25">
      <c r="A733" s="2">
        <v>44655</v>
      </c>
      <c r="B733">
        <v>36.400001525878913</v>
      </c>
      <c r="C733">
        <v>36.930000305175781</v>
      </c>
      <c r="D733">
        <v>36.215000152587891</v>
      </c>
      <c r="E733">
        <v>36.509998321533203</v>
      </c>
      <c r="F733">
        <v>20217800</v>
      </c>
      <c r="G733">
        <v>71716739040</v>
      </c>
      <c r="H733">
        <v>1964304090</v>
      </c>
    </row>
    <row r="734" spans="1:8" x14ac:dyDescent="0.25">
      <c r="A734" s="2">
        <v>44656</v>
      </c>
      <c r="B734">
        <v>36.349998474121087</v>
      </c>
      <c r="C734">
        <v>36.610000610351563</v>
      </c>
      <c r="D734">
        <v>34.720001220703118</v>
      </c>
      <c r="E734">
        <v>34.959999084472663</v>
      </c>
      <c r="F734">
        <v>20984200</v>
      </c>
      <c r="G734">
        <v>68672067840</v>
      </c>
      <c r="H734">
        <v>1964304051</v>
      </c>
    </row>
    <row r="735" spans="1:8" x14ac:dyDescent="0.25">
      <c r="A735" s="2">
        <v>44657</v>
      </c>
      <c r="B735">
        <v>33.854999542236328</v>
      </c>
      <c r="C735">
        <v>34</v>
      </c>
      <c r="D735">
        <v>32.549999237060547</v>
      </c>
      <c r="E735">
        <v>33.409999847412109</v>
      </c>
      <c r="F735">
        <v>28854800</v>
      </c>
      <c r="G735">
        <v>65627396639</v>
      </c>
      <c r="H735">
        <v>1964304009</v>
      </c>
    </row>
    <row r="736" spans="1:8" x14ac:dyDescent="0.25">
      <c r="A736" s="2">
        <v>44658</v>
      </c>
      <c r="B736">
        <v>33.340000152587891</v>
      </c>
      <c r="C736">
        <v>33.340000152587891</v>
      </c>
      <c r="D736">
        <v>31.020000457763668</v>
      </c>
      <c r="E736">
        <v>32.270000457763672</v>
      </c>
      <c r="F736">
        <v>34581000</v>
      </c>
      <c r="G736">
        <v>63388090080</v>
      </c>
      <c r="H736">
        <v>1964303972</v>
      </c>
    </row>
    <row r="737" spans="1:8" x14ac:dyDescent="0.25">
      <c r="A737" s="2">
        <v>44659</v>
      </c>
      <c r="B737">
        <v>31.920000076293949</v>
      </c>
      <c r="C737">
        <v>32.550998687744141</v>
      </c>
      <c r="D737">
        <v>31.579999923706051</v>
      </c>
      <c r="E737">
        <v>32.049999237060547</v>
      </c>
      <c r="F737">
        <v>17991000</v>
      </c>
      <c r="G737">
        <v>62955943199</v>
      </c>
      <c r="H737">
        <v>1964304047</v>
      </c>
    </row>
    <row r="738" spans="1:8" x14ac:dyDescent="0.25">
      <c r="A738" s="2">
        <v>44662</v>
      </c>
      <c r="B738">
        <v>31.360000610351559</v>
      </c>
      <c r="C738">
        <v>32.689998626708977</v>
      </c>
      <c r="D738">
        <v>31.110000610351559</v>
      </c>
      <c r="E738">
        <v>32.040000915527337</v>
      </c>
      <c r="F738">
        <v>19680300</v>
      </c>
      <c r="G738">
        <v>62936300160</v>
      </c>
      <c r="H738">
        <v>1964303944</v>
      </c>
    </row>
    <row r="739" spans="1:8" x14ac:dyDescent="0.25">
      <c r="A739" s="2">
        <v>44663</v>
      </c>
      <c r="B739">
        <v>32.400001525878913</v>
      </c>
      <c r="C739">
        <v>33.095001220703118</v>
      </c>
      <c r="D739">
        <v>31.70999908447266</v>
      </c>
      <c r="E739">
        <v>31.989999771118161</v>
      </c>
      <c r="F739">
        <v>32619800</v>
      </c>
      <c r="G739">
        <v>62838084960</v>
      </c>
      <c r="H739">
        <v>1964304014</v>
      </c>
    </row>
    <row r="740" spans="1:8" x14ac:dyDescent="0.25">
      <c r="A740" s="2">
        <v>44664</v>
      </c>
      <c r="B740">
        <v>32</v>
      </c>
      <c r="C740">
        <v>33.110000610351563</v>
      </c>
      <c r="D740">
        <v>31.930000305175781</v>
      </c>
      <c r="E740">
        <v>32.630001068115227</v>
      </c>
      <c r="F740">
        <v>20186400</v>
      </c>
      <c r="G740">
        <v>64095239520</v>
      </c>
      <c r="H740">
        <v>1964303936</v>
      </c>
    </row>
    <row r="741" spans="1:8" x14ac:dyDescent="0.25">
      <c r="A741" s="2">
        <v>44665</v>
      </c>
      <c r="B741">
        <v>32.860000610351563</v>
      </c>
      <c r="C741">
        <v>33.465000152587891</v>
      </c>
      <c r="D741">
        <v>32.639999389648438</v>
      </c>
      <c r="E741">
        <v>32.680000305175781</v>
      </c>
      <c r="F741">
        <v>18763000</v>
      </c>
      <c r="G741">
        <v>64193454720</v>
      </c>
      <c r="H741">
        <v>1964303982</v>
      </c>
    </row>
    <row r="742" spans="1:8" x14ac:dyDescent="0.25">
      <c r="A742" s="2">
        <v>44669</v>
      </c>
      <c r="B742">
        <v>32.549999237060547</v>
      </c>
      <c r="C742">
        <v>32.604999542236328</v>
      </c>
      <c r="D742">
        <v>31.420000076293949</v>
      </c>
      <c r="E742">
        <v>31.79000091552734</v>
      </c>
      <c r="F742">
        <v>24413800</v>
      </c>
      <c r="G742">
        <v>62445224160</v>
      </c>
      <c r="H742">
        <v>1964303943</v>
      </c>
    </row>
    <row r="743" spans="1:8" x14ac:dyDescent="0.25">
      <c r="A743" s="2">
        <v>44670</v>
      </c>
      <c r="B743">
        <v>32.159999847412109</v>
      </c>
      <c r="C743">
        <v>33.990001678466797</v>
      </c>
      <c r="D743">
        <v>31.969999313354489</v>
      </c>
      <c r="E743">
        <v>33.799999237060547</v>
      </c>
      <c r="F743">
        <v>23319600</v>
      </c>
      <c r="G743">
        <v>66393475199</v>
      </c>
      <c r="H743">
        <v>1964304044</v>
      </c>
    </row>
    <row r="744" spans="1:8" x14ac:dyDescent="0.25">
      <c r="A744" s="2">
        <v>44671</v>
      </c>
      <c r="B744">
        <v>33.990001678466797</v>
      </c>
      <c r="C744">
        <v>34.319999694824219</v>
      </c>
      <c r="D744">
        <v>33.180000305175781</v>
      </c>
      <c r="E744">
        <v>33.209999084472663</v>
      </c>
      <c r="F744">
        <v>21330500</v>
      </c>
      <c r="G744">
        <v>65234535840</v>
      </c>
      <c r="H744">
        <v>1964304054</v>
      </c>
    </row>
    <row r="745" spans="1:8" x14ac:dyDescent="0.25">
      <c r="A745" s="2">
        <v>44672</v>
      </c>
      <c r="B745">
        <v>34.25</v>
      </c>
      <c r="C745">
        <v>34.409999847412109</v>
      </c>
      <c r="D745">
        <v>31.370000839233398</v>
      </c>
      <c r="E745">
        <v>31.680000305175781</v>
      </c>
      <c r="F745">
        <v>32937100</v>
      </c>
      <c r="G745">
        <v>62229150720</v>
      </c>
      <c r="H745">
        <v>1964303981</v>
      </c>
    </row>
    <row r="746" spans="1:8" x14ac:dyDescent="0.25">
      <c r="A746" s="2">
        <v>44673</v>
      </c>
      <c r="B746">
        <v>31.620000839233398</v>
      </c>
      <c r="C746">
        <v>32.224998474121087</v>
      </c>
      <c r="D746">
        <v>30.79999923706055</v>
      </c>
      <c r="E746">
        <v>30.829999923706051</v>
      </c>
      <c r="F746">
        <v>22748900</v>
      </c>
      <c r="G746">
        <v>60559492320</v>
      </c>
      <c r="H746">
        <v>1964304005</v>
      </c>
    </row>
    <row r="747" spans="1:8" x14ac:dyDescent="0.25">
      <c r="A747" s="2">
        <v>44676</v>
      </c>
      <c r="B747">
        <v>30.590000152587891</v>
      </c>
      <c r="C747">
        <v>32.5</v>
      </c>
      <c r="D747">
        <v>30.45999908447266</v>
      </c>
      <c r="E747">
        <v>32.439998626708977</v>
      </c>
      <c r="F747">
        <v>29416300</v>
      </c>
      <c r="G747">
        <v>63722021759</v>
      </c>
      <c r="H747">
        <v>1964304083</v>
      </c>
    </row>
    <row r="748" spans="1:8" x14ac:dyDescent="0.25">
      <c r="A748" s="2">
        <v>44677</v>
      </c>
      <c r="B748">
        <v>32.040000915527337</v>
      </c>
      <c r="C748">
        <v>32.200000762939453</v>
      </c>
      <c r="D748">
        <v>31</v>
      </c>
      <c r="E748">
        <v>31.329999923706051</v>
      </c>
      <c r="F748">
        <v>26981900</v>
      </c>
      <c r="G748">
        <v>61541644320</v>
      </c>
      <c r="H748">
        <v>1964304005</v>
      </c>
    </row>
    <row r="749" spans="1:8" x14ac:dyDescent="0.25">
      <c r="A749" s="2">
        <v>44678</v>
      </c>
      <c r="B749">
        <v>31.10000038146973</v>
      </c>
      <c r="C749">
        <v>31.979999542236332</v>
      </c>
      <c r="D749">
        <v>30.159999847412109</v>
      </c>
      <c r="E749">
        <v>30.680000305175781</v>
      </c>
      <c r="F749">
        <v>30762600</v>
      </c>
      <c r="G749">
        <v>60264846720</v>
      </c>
      <c r="H749">
        <v>1964303980</v>
      </c>
    </row>
    <row r="750" spans="1:8" x14ac:dyDescent="0.25">
      <c r="A750" s="2">
        <v>44679</v>
      </c>
      <c r="B750">
        <v>31</v>
      </c>
      <c r="C750">
        <v>32.869998931884773</v>
      </c>
      <c r="D750">
        <v>30.979999542236332</v>
      </c>
      <c r="E750">
        <v>32.819999694824219</v>
      </c>
      <c r="F750">
        <v>30251600</v>
      </c>
      <c r="G750">
        <v>64468457280</v>
      </c>
      <c r="H750">
        <v>1964304018</v>
      </c>
    </row>
    <row r="751" spans="1:8" x14ac:dyDescent="0.25">
      <c r="A751" s="2">
        <v>44680</v>
      </c>
      <c r="B751">
        <v>32.520000457763672</v>
      </c>
      <c r="C751">
        <v>33.150001525878913</v>
      </c>
      <c r="D751">
        <v>31.409999847412109</v>
      </c>
      <c r="E751">
        <v>31.479999542236332</v>
      </c>
      <c r="F751">
        <v>24948600</v>
      </c>
      <c r="G751">
        <v>61836289920</v>
      </c>
      <c r="H751">
        <v>1964304029</v>
      </c>
    </row>
    <row r="752" spans="1:8" x14ac:dyDescent="0.25">
      <c r="A752" s="2">
        <v>44683</v>
      </c>
      <c r="B752">
        <v>31.239999771118161</v>
      </c>
      <c r="C752">
        <v>31.35000038146973</v>
      </c>
      <c r="D752">
        <v>29.510000228881839</v>
      </c>
      <c r="E752">
        <v>30.389999389648441</v>
      </c>
      <c r="F752">
        <v>45651000</v>
      </c>
      <c r="G752">
        <v>59695198560</v>
      </c>
      <c r="H752">
        <v>1964304039</v>
      </c>
    </row>
    <row r="753" spans="1:8" x14ac:dyDescent="0.25">
      <c r="A753" s="2">
        <v>44684</v>
      </c>
      <c r="B753">
        <v>30.14999961853027</v>
      </c>
      <c r="C753">
        <v>30.590000152587891</v>
      </c>
      <c r="D753">
        <v>28.85000038146973</v>
      </c>
      <c r="E753">
        <v>29.469999313354489</v>
      </c>
      <c r="F753">
        <v>58340700</v>
      </c>
      <c r="G753">
        <v>57888038880</v>
      </c>
      <c r="H753">
        <v>1964304046</v>
      </c>
    </row>
    <row r="754" spans="1:8" x14ac:dyDescent="0.25">
      <c r="A754" s="2">
        <v>44685</v>
      </c>
      <c r="B754">
        <v>27.409999847412109</v>
      </c>
      <c r="C754">
        <v>28.39999961853027</v>
      </c>
      <c r="D754">
        <v>25.89999961853027</v>
      </c>
      <c r="E754">
        <v>28.10000038146973</v>
      </c>
      <c r="F754">
        <v>115601800</v>
      </c>
      <c r="G754">
        <v>55196942400</v>
      </c>
      <c r="H754">
        <v>1964303973</v>
      </c>
    </row>
    <row r="755" spans="1:8" x14ac:dyDescent="0.25">
      <c r="A755" s="2">
        <v>44686</v>
      </c>
      <c r="B755">
        <v>27.870000839233398</v>
      </c>
      <c r="C755">
        <v>28.829999923706051</v>
      </c>
      <c r="D755">
        <v>26.20000076293945</v>
      </c>
      <c r="E755">
        <v>26.829999923706051</v>
      </c>
      <c r="F755">
        <v>52804200</v>
      </c>
      <c r="G755">
        <v>52702276320</v>
      </c>
      <c r="H755">
        <v>1964304006</v>
      </c>
    </row>
    <row r="756" spans="1:8" x14ac:dyDescent="0.25">
      <c r="A756" s="2">
        <v>44687</v>
      </c>
      <c r="B756">
        <v>26.840000152587891</v>
      </c>
      <c r="C756">
        <v>26.840000152587891</v>
      </c>
      <c r="D756">
        <v>24.75</v>
      </c>
      <c r="E756">
        <v>26.069999694824219</v>
      </c>
      <c r="F756">
        <v>56575100</v>
      </c>
      <c r="G756">
        <v>51209405280</v>
      </c>
      <c r="H756">
        <v>1964304023</v>
      </c>
    </row>
    <row r="757" spans="1:8" x14ac:dyDescent="0.25">
      <c r="A757" s="2">
        <v>44690</v>
      </c>
      <c r="B757">
        <v>25.409999847412109</v>
      </c>
      <c r="C757">
        <v>26.065000534057621</v>
      </c>
      <c r="D757">
        <v>22.79999923706055</v>
      </c>
      <c r="E757">
        <v>23.04999923706055</v>
      </c>
      <c r="F757">
        <v>58095900</v>
      </c>
      <c r="G757">
        <v>45277207200</v>
      </c>
      <c r="H757">
        <v>1964304065</v>
      </c>
    </row>
    <row r="758" spans="1:8" x14ac:dyDescent="0.25">
      <c r="A758" s="2">
        <v>44691</v>
      </c>
      <c r="B758">
        <v>23.85000038146973</v>
      </c>
      <c r="C758">
        <v>24.54999923706055</v>
      </c>
      <c r="D758">
        <v>22.79999923706055</v>
      </c>
      <c r="E758">
        <v>23.670000076293949</v>
      </c>
      <c r="F758">
        <v>47982500</v>
      </c>
      <c r="G758">
        <v>46495075680</v>
      </c>
      <c r="H758">
        <v>1964303994</v>
      </c>
    </row>
    <row r="759" spans="1:8" x14ac:dyDescent="0.25">
      <c r="A759" s="2">
        <v>44692</v>
      </c>
      <c r="B759">
        <v>23.280000686645511</v>
      </c>
      <c r="C759">
        <v>24.14999961853027</v>
      </c>
      <c r="D759">
        <v>22.5</v>
      </c>
      <c r="E759">
        <v>22.569999694824219</v>
      </c>
      <c r="F759">
        <v>51137700</v>
      </c>
      <c r="G759">
        <v>44334341280</v>
      </c>
      <c r="H759">
        <v>1964304027</v>
      </c>
    </row>
    <row r="760" spans="1:8" x14ac:dyDescent="0.25">
      <c r="A760" s="2">
        <v>44693</v>
      </c>
      <c r="B760">
        <v>22.14999961853027</v>
      </c>
      <c r="C760">
        <v>24.059999465942379</v>
      </c>
      <c r="D760">
        <v>21.690000534057621</v>
      </c>
      <c r="E760">
        <v>23.29000091552734</v>
      </c>
      <c r="F760">
        <v>63999300</v>
      </c>
      <c r="G760">
        <v>45748640160</v>
      </c>
      <c r="H760">
        <v>1964303923</v>
      </c>
    </row>
    <row r="761" spans="1:8" x14ac:dyDescent="0.25">
      <c r="A761" s="2">
        <v>44694</v>
      </c>
      <c r="B761">
        <v>23.879999160766602</v>
      </c>
      <c r="C761">
        <v>24.871000289916989</v>
      </c>
      <c r="D761">
        <v>23.680000305175781</v>
      </c>
      <c r="E761">
        <v>24.389999389648441</v>
      </c>
      <c r="F761">
        <v>53577600</v>
      </c>
      <c r="G761">
        <v>47909374560</v>
      </c>
      <c r="H761">
        <v>1964304049</v>
      </c>
    </row>
    <row r="762" spans="1:8" x14ac:dyDescent="0.25">
      <c r="A762" s="2">
        <v>44697</v>
      </c>
      <c r="B762">
        <v>24.309999465942379</v>
      </c>
      <c r="C762">
        <v>24.45999908447266</v>
      </c>
      <c r="D762">
        <v>23.39999961853027</v>
      </c>
      <c r="E762">
        <v>23.590000152587891</v>
      </c>
      <c r="F762">
        <v>27285200</v>
      </c>
      <c r="G762">
        <v>46337931360</v>
      </c>
      <c r="H762">
        <v>1964303987</v>
      </c>
    </row>
    <row r="763" spans="1:8" x14ac:dyDescent="0.25">
      <c r="A763" s="2">
        <v>44698</v>
      </c>
      <c r="B763">
        <v>24.319999694824219</v>
      </c>
      <c r="C763">
        <v>24.89999961853027</v>
      </c>
      <c r="D763">
        <v>23.590000152587891</v>
      </c>
      <c r="E763">
        <v>24.20000076293945</v>
      </c>
      <c r="F763">
        <v>33859400</v>
      </c>
      <c r="G763">
        <v>47536156800</v>
      </c>
      <c r="H763">
        <v>1964303938</v>
      </c>
    </row>
    <row r="764" spans="1:8" x14ac:dyDescent="0.25">
      <c r="A764" s="2">
        <v>44699</v>
      </c>
      <c r="B764">
        <v>23.979999542236332</v>
      </c>
      <c r="C764">
        <v>24.1879997253418</v>
      </c>
      <c r="D764">
        <v>22.340000152587891</v>
      </c>
      <c r="E764">
        <v>22.45999908447266</v>
      </c>
      <c r="F764">
        <v>35747300</v>
      </c>
      <c r="G764">
        <v>44118267840</v>
      </c>
      <c r="H764">
        <v>1964304080</v>
      </c>
    </row>
    <row r="765" spans="1:8" x14ac:dyDescent="0.25">
      <c r="A765" s="2">
        <v>44700</v>
      </c>
      <c r="B765">
        <v>22.29000091552734</v>
      </c>
      <c r="C765">
        <v>23.809999465942379</v>
      </c>
      <c r="D765">
        <v>22.20000076293945</v>
      </c>
      <c r="E765">
        <v>23.239999771118161</v>
      </c>
      <c r="F765">
        <v>36461200</v>
      </c>
      <c r="G765">
        <v>45650424960</v>
      </c>
      <c r="H765">
        <v>1964304019</v>
      </c>
    </row>
    <row r="766" spans="1:8" x14ac:dyDescent="0.25">
      <c r="A766" s="2">
        <v>44701</v>
      </c>
      <c r="B766">
        <v>23.809999465942379</v>
      </c>
      <c r="C766">
        <v>24.10000038146973</v>
      </c>
      <c r="D766">
        <v>22.409999847412109</v>
      </c>
      <c r="E766">
        <v>23.35000038146973</v>
      </c>
      <c r="F766">
        <v>32104700</v>
      </c>
      <c r="G766">
        <v>45866498400</v>
      </c>
      <c r="H766">
        <v>1964303968</v>
      </c>
    </row>
    <row r="767" spans="1:8" x14ac:dyDescent="0.25">
      <c r="A767" s="2">
        <v>44704</v>
      </c>
      <c r="B767">
        <v>23.319999694824219</v>
      </c>
      <c r="C767">
        <v>23.829999923706051</v>
      </c>
      <c r="D767">
        <v>22.70999908447266</v>
      </c>
      <c r="E767">
        <v>23.780000686645511</v>
      </c>
      <c r="F767">
        <v>35204800</v>
      </c>
      <c r="G767">
        <v>46711149120</v>
      </c>
      <c r="H767">
        <v>1964303943</v>
      </c>
    </row>
    <row r="768" spans="1:8" x14ac:dyDescent="0.25">
      <c r="A768" s="2">
        <v>44705</v>
      </c>
      <c r="B768">
        <v>23.690000534057621</v>
      </c>
      <c r="C768">
        <v>23.739999771118161</v>
      </c>
      <c r="D768">
        <v>21.409999847412109</v>
      </c>
      <c r="E768">
        <v>21.54999923706055</v>
      </c>
      <c r="F768">
        <v>40726100</v>
      </c>
      <c r="G768">
        <v>42330751200</v>
      </c>
      <c r="H768">
        <v>1964304070</v>
      </c>
    </row>
    <row r="769" spans="1:8" x14ac:dyDescent="0.25">
      <c r="A769" s="2">
        <v>44706</v>
      </c>
      <c r="B769">
        <v>21.70999908447266</v>
      </c>
      <c r="C769">
        <v>22.354999542236332</v>
      </c>
      <c r="D769">
        <v>21.27499961853027</v>
      </c>
      <c r="E769">
        <v>22.04000091552734</v>
      </c>
      <c r="F769">
        <v>31270800</v>
      </c>
      <c r="G769">
        <v>43293260160</v>
      </c>
      <c r="H769">
        <v>1964303918</v>
      </c>
    </row>
    <row r="770" spans="1:8" x14ac:dyDescent="0.25">
      <c r="A770" s="2">
        <v>44707</v>
      </c>
      <c r="B770">
        <v>22.14999961853027</v>
      </c>
      <c r="C770">
        <v>23.280000686645511</v>
      </c>
      <c r="D770">
        <v>21.92499923706055</v>
      </c>
      <c r="E770">
        <v>23.10000038146973</v>
      </c>
      <c r="F770">
        <v>30199400</v>
      </c>
      <c r="G770">
        <v>45375422400</v>
      </c>
      <c r="H770">
        <v>1964303968</v>
      </c>
    </row>
    <row r="771" spans="1:8" x14ac:dyDescent="0.25">
      <c r="A771" s="2">
        <v>44708</v>
      </c>
      <c r="B771">
        <v>23.489999771118161</v>
      </c>
      <c r="C771">
        <v>24.129999160766602</v>
      </c>
      <c r="D771">
        <v>23.329999923706051</v>
      </c>
      <c r="E771">
        <v>23.670000076293949</v>
      </c>
      <c r="F771">
        <v>29710200</v>
      </c>
      <c r="G771">
        <v>46495075680</v>
      </c>
      <c r="H771">
        <v>1964303994</v>
      </c>
    </row>
    <row r="772" spans="1:8" x14ac:dyDescent="0.25">
      <c r="A772" s="2">
        <v>44712</v>
      </c>
      <c r="B772">
        <v>23.5</v>
      </c>
      <c r="C772">
        <v>23.89999961853027</v>
      </c>
      <c r="D772">
        <v>23.034000396728519</v>
      </c>
      <c r="E772">
        <v>23.20000076293945</v>
      </c>
      <c r="F772">
        <v>33194800</v>
      </c>
      <c r="G772">
        <v>45571852800</v>
      </c>
      <c r="H772">
        <v>1964303935</v>
      </c>
    </row>
    <row r="773" spans="1:8" x14ac:dyDescent="0.25">
      <c r="A773" s="2">
        <v>44713</v>
      </c>
      <c r="B773">
        <v>23.530000686645511</v>
      </c>
      <c r="C773">
        <v>23.870000839233398</v>
      </c>
      <c r="D773">
        <v>22.565000534057621</v>
      </c>
      <c r="E773">
        <v>22.940000534057621</v>
      </c>
      <c r="F773">
        <v>26383600</v>
      </c>
      <c r="G773">
        <v>45061133760</v>
      </c>
      <c r="H773">
        <v>1964303954</v>
      </c>
    </row>
    <row r="774" spans="1:8" x14ac:dyDescent="0.25">
      <c r="A774" s="2">
        <v>44714</v>
      </c>
      <c r="B774">
        <v>23.069999694824219</v>
      </c>
      <c r="C774">
        <v>24.829999923706051</v>
      </c>
      <c r="D774">
        <v>22.940000534057621</v>
      </c>
      <c r="E774">
        <v>24.739999771118161</v>
      </c>
      <c r="F774">
        <v>30691100</v>
      </c>
      <c r="G774">
        <v>48596880960</v>
      </c>
      <c r="H774">
        <v>1964304018</v>
      </c>
    </row>
    <row r="775" spans="1:8" x14ac:dyDescent="0.25">
      <c r="A775" s="2">
        <v>44715</v>
      </c>
      <c r="B775">
        <v>24.170000076293949</v>
      </c>
      <c r="C775">
        <v>24.495000839233398</v>
      </c>
      <c r="D775">
        <v>23.72500038146973</v>
      </c>
      <c r="E775">
        <v>24.14999961853027</v>
      </c>
      <c r="F775">
        <v>24283600</v>
      </c>
      <c r="G775">
        <v>47437941600</v>
      </c>
      <c r="H775">
        <v>1964304031</v>
      </c>
    </row>
    <row r="776" spans="1:8" x14ac:dyDescent="0.25">
      <c r="A776" s="2">
        <v>44718</v>
      </c>
      <c r="B776">
        <v>24.860000610351559</v>
      </c>
      <c r="C776">
        <v>25.434999465942379</v>
      </c>
      <c r="D776">
        <v>24.280000686645511</v>
      </c>
      <c r="E776">
        <v>24.729999542236332</v>
      </c>
      <c r="F776">
        <v>29834700</v>
      </c>
      <c r="G776">
        <v>48577237920</v>
      </c>
      <c r="H776">
        <v>1964304036</v>
      </c>
    </row>
    <row r="777" spans="1:8" x14ac:dyDescent="0.25">
      <c r="A777" s="2">
        <v>44719</v>
      </c>
      <c r="B777">
        <v>24.20000076293945</v>
      </c>
      <c r="C777">
        <v>25.70000076293945</v>
      </c>
      <c r="D777">
        <v>24.069999694824219</v>
      </c>
      <c r="E777">
        <v>25.29999923706055</v>
      </c>
      <c r="F777">
        <v>27453700</v>
      </c>
      <c r="G777">
        <v>49696891200</v>
      </c>
      <c r="H777">
        <v>1964304059</v>
      </c>
    </row>
    <row r="778" spans="1:8" x14ac:dyDescent="0.25">
      <c r="A778" s="2">
        <v>44720</v>
      </c>
      <c r="B778">
        <v>25.70000076293945</v>
      </c>
      <c r="C778">
        <v>26.54999923706055</v>
      </c>
      <c r="D778">
        <v>25.29999923706055</v>
      </c>
      <c r="E778">
        <v>25.829999923706051</v>
      </c>
      <c r="F778">
        <v>31225300</v>
      </c>
      <c r="G778">
        <v>50737972320</v>
      </c>
      <c r="H778">
        <v>1964304006</v>
      </c>
    </row>
    <row r="779" spans="1:8" x14ac:dyDescent="0.25">
      <c r="A779" s="2">
        <v>44721</v>
      </c>
      <c r="B779">
        <v>25.940000534057621</v>
      </c>
      <c r="C779">
        <v>26.690000534057621</v>
      </c>
      <c r="D779">
        <v>25.354999542236332</v>
      </c>
      <c r="E779">
        <v>25.440000534057621</v>
      </c>
      <c r="F779">
        <v>42063600</v>
      </c>
      <c r="G779">
        <v>49971893760</v>
      </c>
      <c r="H779">
        <v>1964303959</v>
      </c>
    </row>
    <row r="780" spans="1:8" x14ac:dyDescent="0.25">
      <c r="A780" s="2">
        <v>44722</v>
      </c>
      <c r="B780">
        <v>24.79999923706055</v>
      </c>
      <c r="C780">
        <v>24.971000671386719</v>
      </c>
      <c r="D780">
        <v>23.64999961853027</v>
      </c>
      <c r="E780">
        <v>23.719999313354489</v>
      </c>
      <c r="F780">
        <v>29868000</v>
      </c>
      <c r="G780">
        <v>46593290880</v>
      </c>
      <c r="H780">
        <v>1964304057</v>
      </c>
    </row>
    <row r="781" spans="1:8" x14ac:dyDescent="0.25">
      <c r="A781" s="2">
        <v>44725</v>
      </c>
      <c r="B781">
        <v>22.219999313354489</v>
      </c>
      <c r="C781">
        <v>22.58499908447266</v>
      </c>
      <c r="D781">
        <v>21.343000411987301</v>
      </c>
      <c r="E781">
        <v>21.569999694824219</v>
      </c>
      <c r="F781">
        <v>33130300</v>
      </c>
      <c r="G781">
        <v>42370037280</v>
      </c>
      <c r="H781">
        <v>1964304028</v>
      </c>
    </row>
    <row r="782" spans="1:8" x14ac:dyDescent="0.25">
      <c r="A782" s="2">
        <v>44726</v>
      </c>
      <c r="B782">
        <v>21.719999313354489</v>
      </c>
      <c r="C782">
        <v>21.951999664306641</v>
      </c>
      <c r="D782">
        <v>20.893999099731449</v>
      </c>
      <c r="E782">
        <v>21.090000152587891</v>
      </c>
      <c r="F782">
        <v>43006300</v>
      </c>
      <c r="G782">
        <v>41427171360</v>
      </c>
      <c r="H782">
        <v>1964303986</v>
      </c>
    </row>
    <row r="783" spans="1:8" x14ac:dyDescent="0.25">
      <c r="A783" s="2">
        <v>44727</v>
      </c>
      <c r="B783">
        <v>21.340000152587891</v>
      </c>
      <c r="C783">
        <v>22.389999389648441</v>
      </c>
      <c r="D783">
        <v>21.239999771118161</v>
      </c>
      <c r="E783">
        <v>22.030000686645511</v>
      </c>
      <c r="F783">
        <v>36073700</v>
      </c>
      <c r="G783">
        <v>43273617120</v>
      </c>
      <c r="H783">
        <v>1964303939</v>
      </c>
    </row>
    <row r="784" spans="1:8" x14ac:dyDescent="0.25">
      <c r="A784" s="2">
        <v>44728</v>
      </c>
      <c r="B784">
        <v>21.04000091552734</v>
      </c>
      <c r="C784">
        <v>21.39999961853027</v>
      </c>
      <c r="D784">
        <v>20.155000686645511</v>
      </c>
      <c r="E784">
        <v>20.469999313354489</v>
      </c>
      <c r="F784">
        <v>55312400</v>
      </c>
      <c r="G784">
        <v>40209302880</v>
      </c>
      <c r="H784">
        <v>1964304066</v>
      </c>
    </row>
    <row r="785" spans="1:8" x14ac:dyDescent="0.25">
      <c r="A785" s="2">
        <v>44729</v>
      </c>
      <c r="B785">
        <v>20.370000839233398</v>
      </c>
      <c r="C785">
        <v>21.95999908447266</v>
      </c>
      <c r="D785">
        <v>20.370000839233398</v>
      </c>
      <c r="E785">
        <v>21.809999465942379</v>
      </c>
      <c r="F785">
        <v>46728400</v>
      </c>
      <c r="G785">
        <v>42841470240</v>
      </c>
      <c r="H785">
        <v>1964304048</v>
      </c>
    </row>
    <row r="786" spans="1:8" x14ac:dyDescent="0.25">
      <c r="A786" s="2">
        <v>44733</v>
      </c>
      <c r="B786">
        <v>22</v>
      </c>
      <c r="C786">
        <v>22.45999908447266</v>
      </c>
      <c r="D786">
        <v>21.690000534057621</v>
      </c>
      <c r="E786">
        <v>21.760000228881839</v>
      </c>
      <c r="F786">
        <v>35257700</v>
      </c>
      <c r="G786">
        <v>42743255040</v>
      </c>
      <c r="H786">
        <v>1964303979</v>
      </c>
    </row>
    <row r="787" spans="1:8" x14ac:dyDescent="0.25">
      <c r="A787" s="2">
        <v>44734</v>
      </c>
      <c r="B787">
        <v>21.409999847412109</v>
      </c>
      <c r="C787">
        <v>22.20999908447266</v>
      </c>
      <c r="D787">
        <v>21.29999923706055</v>
      </c>
      <c r="E787">
        <v>21.5</v>
      </c>
      <c r="F787">
        <v>32314400</v>
      </c>
      <c r="G787">
        <v>42232536000</v>
      </c>
      <c r="H787">
        <v>1964304000</v>
      </c>
    </row>
    <row r="788" spans="1:8" x14ac:dyDescent="0.25">
      <c r="A788" s="2">
        <v>44735</v>
      </c>
      <c r="B788">
        <v>21.629999160766602</v>
      </c>
      <c r="C788">
        <v>22.440000534057621</v>
      </c>
      <c r="D788">
        <v>21.389999389648441</v>
      </c>
      <c r="E788">
        <v>22.370000839233398</v>
      </c>
      <c r="F788">
        <v>27010500</v>
      </c>
      <c r="G788">
        <v>43941480480</v>
      </c>
      <c r="H788">
        <v>1964303926</v>
      </c>
    </row>
    <row r="789" spans="1:8" x14ac:dyDescent="0.25">
      <c r="A789" s="2">
        <v>44736</v>
      </c>
      <c r="B789">
        <v>22.479999542236332</v>
      </c>
      <c r="C789">
        <v>23.190000534057621</v>
      </c>
      <c r="D789">
        <v>22.29999923706055</v>
      </c>
      <c r="E789">
        <v>23.030000686645511</v>
      </c>
      <c r="F789">
        <v>38140100</v>
      </c>
      <c r="G789">
        <v>45237921120</v>
      </c>
      <c r="H789">
        <v>1964303941</v>
      </c>
    </row>
    <row r="790" spans="1:8" x14ac:dyDescent="0.25">
      <c r="A790" s="2">
        <v>44739</v>
      </c>
      <c r="B790">
        <v>23.45000076293945</v>
      </c>
      <c r="C790">
        <v>23.639999389648441</v>
      </c>
      <c r="D790">
        <v>22.344999313354489</v>
      </c>
      <c r="E790">
        <v>22.860000610351559</v>
      </c>
      <c r="F790">
        <v>27153400</v>
      </c>
      <c r="G790">
        <v>44903989440</v>
      </c>
      <c r="H790">
        <v>1964303948</v>
      </c>
    </row>
    <row r="791" spans="1:8" x14ac:dyDescent="0.25">
      <c r="A791" s="2">
        <v>44740</v>
      </c>
      <c r="B791">
        <v>22.969999313354489</v>
      </c>
      <c r="C791">
        <v>23.45999908447266</v>
      </c>
      <c r="D791">
        <v>22.04000091552734</v>
      </c>
      <c r="E791">
        <v>22.079999923706051</v>
      </c>
      <c r="F791">
        <v>24350100</v>
      </c>
      <c r="G791">
        <v>43371832320</v>
      </c>
      <c r="H791">
        <v>1964304007</v>
      </c>
    </row>
    <row r="792" spans="1:8" x14ac:dyDescent="0.25">
      <c r="A792" s="2">
        <v>44741</v>
      </c>
      <c r="B792">
        <v>22.110000610351559</v>
      </c>
      <c r="C792">
        <v>22.14999961853027</v>
      </c>
      <c r="D792">
        <v>21.079999923706051</v>
      </c>
      <c r="E792">
        <v>21.469999313354489</v>
      </c>
      <c r="F792">
        <v>30704800</v>
      </c>
      <c r="G792">
        <v>42173606880</v>
      </c>
      <c r="H792">
        <v>1964304063</v>
      </c>
    </row>
    <row r="793" spans="1:8" x14ac:dyDescent="0.25">
      <c r="A793" s="2">
        <v>44742</v>
      </c>
      <c r="B793">
        <v>21.110000610351559</v>
      </c>
      <c r="C793">
        <v>21.12599945068359</v>
      </c>
      <c r="D793">
        <v>19.895000457763668</v>
      </c>
      <c r="E793">
        <v>20.45999908447266</v>
      </c>
      <c r="F793">
        <v>30882500</v>
      </c>
      <c r="G793">
        <v>40450426222</v>
      </c>
      <c r="H793">
        <v>1977049268</v>
      </c>
    </row>
    <row r="794" spans="1:8" x14ac:dyDescent="0.25">
      <c r="A794" s="2">
        <v>44743</v>
      </c>
      <c r="B794">
        <v>20.70000076293945</v>
      </c>
      <c r="C794">
        <v>21.370000839233398</v>
      </c>
      <c r="D794">
        <v>20.430000305175781</v>
      </c>
      <c r="E794">
        <v>21.340000152587891</v>
      </c>
      <c r="F794">
        <v>20693300</v>
      </c>
      <c r="G794">
        <v>42190229501</v>
      </c>
      <c r="H794">
        <v>1977049166</v>
      </c>
    </row>
    <row r="795" spans="1:8" x14ac:dyDescent="0.25">
      <c r="A795" s="2">
        <v>44747</v>
      </c>
      <c r="B795">
        <v>21.170000076293949</v>
      </c>
      <c r="C795">
        <v>22.54999923706055</v>
      </c>
      <c r="D795">
        <v>20.829999923706051</v>
      </c>
      <c r="E795">
        <v>22.520000457763668</v>
      </c>
      <c r="F795">
        <v>24500300</v>
      </c>
      <c r="G795">
        <v>44523147533</v>
      </c>
      <c r="H795">
        <v>1977049140</v>
      </c>
    </row>
    <row r="796" spans="1:8" x14ac:dyDescent="0.25">
      <c r="A796" s="2">
        <v>44748</v>
      </c>
      <c r="B796">
        <v>21.5</v>
      </c>
      <c r="C796">
        <v>22.079999923706051</v>
      </c>
      <c r="D796">
        <v>21.319999694824219</v>
      </c>
      <c r="E796">
        <v>21.5</v>
      </c>
      <c r="F796">
        <v>32689400</v>
      </c>
      <c r="G796">
        <v>42506557370</v>
      </c>
      <c r="H796">
        <v>1977049180</v>
      </c>
    </row>
    <row r="797" spans="1:8" x14ac:dyDescent="0.25">
      <c r="A797" s="2">
        <v>44749</v>
      </c>
      <c r="B797">
        <v>21.639999389648441</v>
      </c>
      <c r="C797">
        <v>22.759000778198239</v>
      </c>
      <c r="D797">
        <v>21.610000610351559</v>
      </c>
      <c r="E797">
        <v>22.739999771118161</v>
      </c>
      <c r="F797">
        <v>23121900</v>
      </c>
      <c r="G797">
        <v>44958098353</v>
      </c>
      <c r="H797">
        <v>1977049200</v>
      </c>
    </row>
    <row r="798" spans="1:8" x14ac:dyDescent="0.25">
      <c r="A798" s="2">
        <v>44750</v>
      </c>
      <c r="B798">
        <v>22.430000305175781</v>
      </c>
      <c r="C798">
        <v>22.95999908447266</v>
      </c>
      <c r="D798">
        <v>21.832000732421879</v>
      </c>
      <c r="E798">
        <v>22.340000152587891</v>
      </c>
      <c r="F798">
        <v>20231300</v>
      </c>
      <c r="G798">
        <v>44167278681</v>
      </c>
      <c r="H798">
        <v>1977049166</v>
      </c>
    </row>
    <row r="799" spans="1:8" x14ac:dyDescent="0.25">
      <c r="A799" s="2">
        <v>44753</v>
      </c>
      <c r="B799">
        <v>21.95000076293945</v>
      </c>
      <c r="C799">
        <v>22.25</v>
      </c>
      <c r="D799">
        <v>21.139999389648441</v>
      </c>
      <c r="E799">
        <v>21.190000534057621</v>
      </c>
      <c r="F799">
        <v>17546900</v>
      </c>
      <c r="G799">
        <v>41893672124</v>
      </c>
      <c r="H799">
        <v>1977049130</v>
      </c>
    </row>
    <row r="800" spans="1:8" x14ac:dyDescent="0.25">
      <c r="A800" s="2">
        <v>44754</v>
      </c>
      <c r="B800">
        <v>21.280000686645511</v>
      </c>
      <c r="C800">
        <v>21.780000686645511</v>
      </c>
      <c r="D800">
        <v>20.97500038146973</v>
      </c>
      <c r="E800">
        <v>21.569999694824219</v>
      </c>
      <c r="F800">
        <v>17373500</v>
      </c>
      <c r="G800">
        <v>42644950812</v>
      </c>
      <c r="H800">
        <v>1977049208</v>
      </c>
    </row>
    <row r="801" spans="1:8" x14ac:dyDescent="0.25">
      <c r="A801" s="2">
        <v>44755</v>
      </c>
      <c r="B801">
        <v>20.930000305175781</v>
      </c>
      <c r="C801">
        <v>21.610000610351559</v>
      </c>
      <c r="D801">
        <v>20.719999313354489</v>
      </c>
      <c r="E801">
        <v>21.5</v>
      </c>
      <c r="F801">
        <v>18994900</v>
      </c>
      <c r="G801">
        <v>42506557370</v>
      </c>
      <c r="H801">
        <v>1977049180</v>
      </c>
    </row>
    <row r="802" spans="1:8" x14ac:dyDescent="0.25">
      <c r="A802" s="2">
        <v>44756</v>
      </c>
      <c r="B802">
        <v>21.25</v>
      </c>
      <c r="C802">
        <v>21.465000152587891</v>
      </c>
      <c r="D802">
        <v>20.590999603271481</v>
      </c>
      <c r="E802">
        <v>20.64999961853027</v>
      </c>
      <c r="F802">
        <v>31561700</v>
      </c>
      <c r="G802">
        <v>40826065567</v>
      </c>
      <c r="H802">
        <v>1977049217</v>
      </c>
    </row>
    <row r="803" spans="1:8" x14ac:dyDescent="0.25">
      <c r="A803" s="2">
        <v>44757</v>
      </c>
      <c r="B803">
        <v>21</v>
      </c>
      <c r="C803">
        <v>21.780000686645511</v>
      </c>
      <c r="D803">
        <v>20.764999389648441</v>
      </c>
      <c r="E803">
        <v>21.670000076293949</v>
      </c>
      <c r="F803">
        <v>24503600</v>
      </c>
      <c r="G803">
        <v>42842655730</v>
      </c>
      <c r="H803">
        <v>1977049173</v>
      </c>
    </row>
    <row r="804" spans="1:8" x14ac:dyDescent="0.25">
      <c r="A804" s="2">
        <v>44760</v>
      </c>
      <c r="B804">
        <v>22.170000076293949</v>
      </c>
      <c r="C804">
        <v>23.20000076293945</v>
      </c>
      <c r="D804">
        <v>22.110000610351559</v>
      </c>
      <c r="E804">
        <v>22.579999923706051</v>
      </c>
      <c r="F804">
        <v>30935900</v>
      </c>
      <c r="G804">
        <v>44641770484</v>
      </c>
      <c r="H804">
        <v>1977049187</v>
      </c>
    </row>
    <row r="805" spans="1:8" x14ac:dyDescent="0.25">
      <c r="A805" s="2">
        <v>44761</v>
      </c>
      <c r="B805">
        <v>22.75</v>
      </c>
      <c r="C805">
        <v>23.079999923706051</v>
      </c>
      <c r="D805">
        <v>22.190000534057621</v>
      </c>
      <c r="E805">
        <v>22.670000076293949</v>
      </c>
      <c r="F805">
        <v>23148900</v>
      </c>
      <c r="G805">
        <v>44819704910</v>
      </c>
      <c r="H805">
        <v>1977049173</v>
      </c>
    </row>
    <row r="806" spans="1:8" x14ac:dyDescent="0.25">
      <c r="A806" s="2">
        <v>44762</v>
      </c>
      <c r="B806">
        <v>22.889999389648441</v>
      </c>
      <c r="C806">
        <v>24.219999313354489</v>
      </c>
      <c r="D806">
        <v>22.805000305175781</v>
      </c>
      <c r="E806">
        <v>24.120000839233398</v>
      </c>
      <c r="F806">
        <v>27844600</v>
      </c>
      <c r="G806">
        <v>47686426221</v>
      </c>
      <c r="H806">
        <v>1977049111</v>
      </c>
    </row>
    <row r="807" spans="1:8" x14ac:dyDescent="0.25">
      <c r="A807" s="2">
        <v>44763</v>
      </c>
      <c r="B807">
        <v>24.020000457763668</v>
      </c>
      <c r="C807">
        <v>24.25</v>
      </c>
      <c r="D807">
        <v>23.60000038146973</v>
      </c>
      <c r="E807">
        <v>24.229999542236332</v>
      </c>
      <c r="F807">
        <v>18425400</v>
      </c>
      <c r="G807">
        <v>47903901631</v>
      </c>
      <c r="H807">
        <v>1977049217</v>
      </c>
    </row>
    <row r="808" spans="1:8" x14ac:dyDescent="0.25">
      <c r="A808" s="2">
        <v>44764</v>
      </c>
      <c r="B808">
        <v>24.329999923706051</v>
      </c>
      <c r="C808">
        <v>24.809999465942379</v>
      </c>
      <c r="D808">
        <v>23.08499908447266</v>
      </c>
      <c r="E808">
        <v>23.29999923706055</v>
      </c>
      <c r="F808">
        <v>20209400</v>
      </c>
      <c r="G808">
        <v>46065245894</v>
      </c>
      <c r="H808">
        <v>1977049245</v>
      </c>
    </row>
    <row r="809" spans="1:8" x14ac:dyDescent="0.25">
      <c r="A809" s="2">
        <v>44767</v>
      </c>
      <c r="B809">
        <v>23.270000457763668</v>
      </c>
      <c r="C809">
        <v>23.54000091552734</v>
      </c>
      <c r="D809">
        <v>22.629999160766602</v>
      </c>
      <c r="E809">
        <v>23.35000038146973</v>
      </c>
      <c r="F809">
        <v>12923000</v>
      </c>
      <c r="G809">
        <v>46164098353</v>
      </c>
      <c r="H809">
        <v>1977049148</v>
      </c>
    </row>
    <row r="810" spans="1:8" x14ac:dyDescent="0.25">
      <c r="A810" s="2">
        <v>44768</v>
      </c>
      <c r="B810">
        <v>23.14999961853027</v>
      </c>
      <c r="C810">
        <v>23.14999961853027</v>
      </c>
      <c r="D810">
        <v>22.45000076293945</v>
      </c>
      <c r="E810">
        <v>22.54999923706055</v>
      </c>
      <c r="F810">
        <v>24402800</v>
      </c>
      <c r="G810">
        <v>44582459009</v>
      </c>
      <c r="H810">
        <v>1977049247</v>
      </c>
    </row>
    <row r="811" spans="1:8" x14ac:dyDescent="0.25">
      <c r="A811" s="2">
        <v>44769</v>
      </c>
      <c r="B811">
        <v>23</v>
      </c>
      <c r="C811">
        <v>23.319999694824219</v>
      </c>
      <c r="D811">
        <v>22.489999771118161</v>
      </c>
      <c r="E811">
        <v>23.090000152587891</v>
      </c>
      <c r="F811">
        <v>28384300</v>
      </c>
      <c r="G811">
        <v>45650065566</v>
      </c>
      <c r="H811">
        <v>1977049167</v>
      </c>
    </row>
    <row r="812" spans="1:8" x14ac:dyDescent="0.25">
      <c r="A812" s="2">
        <v>44770</v>
      </c>
      <c r="B812">
        <v>22.889999389648441</v>
      </c>
      <c r="C812">
        <v>23.420000076293949</v>
      </c>
      <c r="D812">
        <v>22.139999389648441</v>
      </c>
      <c r="E812">
        <v>23.309999465942379</v>
      </c>
      <c r="F812">
        <v>22886100</v>
      </c>
      <c r="G812">
        <v>46085016385</v>
      </c>
      <c r="H812">
        <v>1977049225</v>
      </c>
    </row>
    <row r="813" spans="1:8" x14ac:dyDescent="0.25">
      <c r="A813" s="2">
        <v>44771</v>
      </c>
      <c r="B813">
        <v>23.180000305175781</v>
      </c>
      <c r="C813">
        <v>23.485000610351559</v>
      </c>
      <c r="D813">
        <v>22.389999389648441</v>
      </c>
      <c r="E813">
        <v>23.45000076293945</v>
      </c>
      <c r="F813">
        <v>29406600</v>
      </c>
      <c r="G813">
        <v>46361803271</v>
      </c>
      <c r="H813">
        <v>1977049116</v>
      </c>
    </row>
    <row r="814" spans="1:8" x14ac:dyDescent="0.25">
      <c r="A814" s="2">
        <v>44774</v>
      </c>
      <c r="B814">
        <v>23.430000305175781</v>
      </c>
      <c r="C814">
        <v>24.620000839233398</v>
      </c>
      <c r="D814">
        <v>22.885000228881839</v>
      </c>
      <c r="E814">
        <v>24.60000038146973</v>
      </c>
      <c r="F814">
        <v>46960700</v>
      </c>
      <c r="G814">
        <v>48635409828</v>
      </c>
      <c r="H814">
        <v>1977049149</v>
      </c>
    </row>
    <row r="815" spans="1:8" x14ac:dyDescent="0.25">
      <c r="A815" s="2">
        <v>44775</v>
      </c>
      <c r="B815">
        <v>28.489999771118161</v>
      </c>
      <c r="C815">
        <v>29.430000305175781</v>
      </c>
      <c r="D815">
        <v>27.10000038146973</v>
      </c>
      <c r="E815">
        <v>29.25</v>
      </c>
      <c r="F815">
        <v>107926300</v>
      </c>
      <c r="G815">
        <v>57828688515</v>
      </c>
      <c r="H815">
        <v>1977049180</v>
      </c>
    </row>
    <row r="816" spans="1:8" x14ac:dyDescent="0.25">
      <c r="A816" s="2">
        <v>44776</v>
      </c>
      <c r="B816">
        <v>29.719999313354489</v>
      </c>
      <c r="C816">
        <v>31.430000305175781</v>
      </c>
      <c r="D816">
        <v>29.360000610351559</v>
      </c>
      <c r="E816">
        <v>30.190000534057621</v>
      </c>
      <c r="F816">
        <v>62061200</v>
      </c>
      <c r="G816">
        <v>59687114744</v>
      </c>
      <c r="H816">
        <v>1977049145</v>
      </c>
    </row>
    <row r="817" spans="1:8" x14ac:dyDescent="0.25">
      <c r="A817" s="2">
        <v>44777</v>
      </c>
      <c r="B817">
        <v>29.780000686645511</v>
      </c>
      <c r="C817">
        <v>32.229999542236328</v>
      </c>
      <c r="D817">
        <v>29.60000038146973</v>
      </c>
      <c r="E817">
        <v>31.85000038146973</v>
      </c>
      <c r="F817">
        <v>55573600</v>
      </c>
      <c r="G817">
        <v>62969016383</v>
      </c>
      <c r="H817">
        <v>1977049156</v>
      </c>
    </row>
    <row r="818" spans="1:8" x14ac:dyDescent="0.25">
      <c r="A818" s="2">
        <v>44778</v>
      </c>
      <c r="B818">
        <v>31.20000076293945</v>
      </c>
      <c r="C818">
        <v>32.630001068115227</v>
      </c>
      <c r="D818">
        <v>31.04000091552734</v>
      </c>
      <c r="E818">
        <v>32.009998321533203</v>
      </c>
      <c r="F818">
        <v>39963600</v>
      </c>
      <c r="G818">
        <v>63285344251</v>
      </c>
      <c r="H818">
        <v>1977049284</v>
      </c>
    </row>
    <row r="819" spans="1:8" x14ac:dyDescent="0.25">
      <c r="A819" s="2">
        <v>44781</v>
      </c>
      <c r="B819">
        <v>32.330001831054688</v>
      </c>
      <c r="C819">
        <v>32.955001831054688</v>
      </c>
      <c r="D819">
        <v>31.659999847412109</v>
      </c>
      <c r="E819">
        <v>31.85000038146973</v>
      </c>
      <c r="F819">
        <v>28064900</v>
      </c>
      <c r="G819">
        <v>62969016383</v>
      </c>
      <c r="H819">
        <v>1977049156</v>
      </c>
    </row>
    <row r="820" spans="1:8" x14ac:dyDescent="0.25">
      <c r="A820" s="2">
        <v>44782</v>
      </c>
      <c r="B820">
        <v>31.370000839233398</v>
      </c>
      <c r="C820">
        <v>31.54999923706055</v>
      </c>
      <c r="D820">
        <v>30.719999313354489</v>
      </c>
      <c r="E820">
        <v>31.059999465942379</v>
      </c>
      <c r="F820">
        <v>27042900</v>
      </c>
      <c r="G820">
        <v>61407147530</v>
      </c>
      <c r="H820">
        <v>1977049214</v>
      </c>
    </row>
    <row r="821" spans="1:8" x14ac:dyDescent="0.25">
      <c r="A821" s="2">
        <v>44783</v>
      </c>
      <c r="B821">
        <v>32.439998626708977</v>
      </c>
      <c r="C821">
        <v>33.189998626708977</v>
      </c>
      <c r="D821">
        <v>32.229999542236328</v>
      </c>
      <c r="E821">
        <v>32.799999237060547</v>
      </c>
      <c r="F821">
        <v>31318100</v>
      </c>
      <c r="G821">
        <v>64847213103</v>
      </c>
      <c r="H821">
        <v>1977049226</v>
      </c>
    </row>
    <row r="822" spans="1:8" x14ac:dyDescent="0.25">
      <c r="A822" s="2">
        <v>44784</v>
      </c>
      <c r="B822">
        <v>33.159999847412109</v>
      </c>
      <c r="C822">
        <v>33.360000610351563</v>
      </c>
      <c r="D822">
        <v>32.041999816894531</v>
      </c>
      <c r="E822">
        <v>32.240001678466797</v>
      </c>
      <c r="F822">
        <v>24624600</v>
      </c>
      <c r="G822">
        <v>63740065563</v>
      </c>
      <c r="H822">
        <v>1977049077</v>
      </c>
    </row>
    <row r="823" spans="1:8" x14ac:dyDescent="0.25">
      <c r="A823" s="2">
        <v>44785</v>
      </c>
      <c r="B823">
        <v>32.590000152587891</v>
      </c>
      <c r="C823">
        <v>32.759998321533203</v>
      </c>
      <c r="D823">
        <v>31.70000076293945</v>
      </c>
      <c r="E823">
        <v>32.470001220703118</v>
      </c>
      <c r="F823">
        <v>21950700</v>
      </c>
      <c r="G823">
        <v>64194786874</v>
      </c>
      <c r="H823">
        <v>1977049106</v>
      </c>
    </row>
    <row r="824" spans="1:8" x14ac:dyDescent="0.25">
      <c r="A824" s="2">
        <v>44788</v>
      </c>
      <c r="B824">
        <v>32.099998474121087</v>
      </c>
      <c r="C824">
        <v>32.909999847412109</v>
      </c>
      <c r="D824">
        <v>31.930000305175781</v>
      </c>
      <c r="E824">
        <v>32.490001678466797</v>
      </c>
      <c r="F824">
        <v>14149200</v>
      </c>
      <c r="G824">
        <v>64234327858</v>
      </c>
      <c r="H824">
        <v>1977049078</v>
      </c>
    </row>
    <row r="825" spans="1:8" x14ac:dyDescent="0.25">
      <c r="A825" s="2">
        <v>44789</v>
      </c>
      <c r="B825">
        <v>32.080001831054688</v>
      </c>
      <c r="C825">
        <v>32.724998474121087</v>
      </c>
      <c r="D825">
        <v>31.329999923706051</v>
      </c>
      <c r="E825">
        <v>32.380001068115227</v>
      </c>
      <c r="F825">
        <v>28072300</v>
      </c>
      <c r="G825">
        <v>64016852448</v>
      </c>
      <c r="H825">
        <v>1977049115</v>
      </c>
    </row>
    <row r="826" spans="1:8" x14ac:dyDescent="0.25">
      <c r="A826" s="2">
        <v>44790</v>
      </c>
      <c r="B826">
        <v>31.64999961853027</v>
      </c>
      <c r="C826">
        <v>31.70999908447266</v>
      </c>
      <c r="D826">
        <v>30.440000534057621</v>
      </c>
      <c r="E826">
        <v>30.719999313354489</v>
      </c>
      <c r="F826">
        <v>24239400</v>
      </c>
      <c r="G826">
        <v>60734950809</v>
      </c>
      <c r="H826">
        <v>1977049224</v>
      </c>
    </row>
    <row r="827" spans="1:8" x14ac:dyDescent="0.25">
      <c r="A827" s="2">
        <v>44791</v>
      </c>
      <c r="B827">
        <v>30.559999465942379</v>
      </c>
      <c r="C827">
        <v>30.620000839233398</v>
      </c>
      <c r="D827">
        <v>29.860000610351559</v>
      </c>
      <c r="E827">
        <v>30.14999961853027</v>
      </c>
      <c r="F827">
        <v>20831600</v>
      </c>
      <c r="G827">
        <v>59608032777</v>
      </c>
      <c r="H827">
        <v>1977049205</v>
      </c>
    </row>
    <row r="828" spans="1:8" x14ac:dyDescent="0.25">
      <c r="A828" s="2">
        <v>44792</v>
      </c>
      <c r="B828">
        <v>29.5</v>
      </c>
      <c r="C828">
        <v>29.569999694824219</v>
      </c>
      <c r="D828">
        <v>28.629999160766602</v>
      </c>
      <c r="E828">
        <v>29.010000228881839</v>
      </c>
      <c r="F828">
        <v>24180900</v>
      </c>
      <c r="G828">
        <v>57354196711</v>
      </c>
      <c r="H828">
        <v>1977049164</v>
      </c>
    </row>
    <row r="829" spans="1:8" x14ac:dyDescent="0.25">
      <c r="A829" s="2">
        <v>44795</v>
      </c>
      <c r="B829">
        <v>28.340000152587891</v>
      </c>
      <c r="C829">
        <v>28.805000305175781</v>
      </c>
      <c r="D829">
        <v>27.870000839233398</v>
      </c>
      <c r="E829">
        <v>28</v>
      </c>
      <c r="F829">
        <v>20233100</v>
      </c>
      <c r="G829">
        <v>55357377040</v>
      </c>
      <c r="H829">
        <v>1977049180</v>
      </c>
    </row>
    <row r="830" spans="1:8" x14ac:dyDescent="0.25">
      <c r="A830" s="2">
        <v>44796</v>
      </c>
      <c r="B830">
        <v>28.059999465942379</v>
      </c>
      <c r="C830">
        <v>28.67499923706055</v>
      </c>
      <c r="D830">
        <v>27.75</v>
      </c>
      <c r="E830">
        <v>27.809999465942379</v>
      </c>
      <c r="F830">
        <v>24298300</v>
      </c>
      <c r="G830">
        <v>54981737695</v>
      </c>
      <c r="H830">
        <v>1977049218</v>
      </c>
    </row>
    <row r="831" spans="1:8" x14ac:dyDescent="0.25">
      <c r="A831" s="2">
        <v>44797</v>
      </c>
      <c r="B831">
        <v>27.930000305175781</v>
      </c>
      <c r="C831">
        <v>29.219999313354489</v>
      </c>
      <c r="D831">
        <v>27.85000038146973</v>
      </c>
      <c r="E831">
        <v>28.70999908447266</v>
      </c>
      <c r="F831">
        <v>20022500</v>
      </c>
      <c r="G831">
        <v>56761081957</v>
      </c>
      <c r="H831">
        <v>1977049243</v>
      </c>
    </row>
    <row r="832" spans="1:8" x14ac:dyDescent="0.25">
      <c r="A832" s="2">
        <v>44798</v>
      </c>
      <c r="B832">
        <v>28.889999389648441</v>
      </c>
      <c r="C832">
        <v>29.639999389648441</v>
      </c>
      <c r="D832">
        <v>28.809999465942379</v>
      </c>
      <c r="E832">
        <v>29.620000839233398</v>
      </c>
      <c r="F832">
        <v>15470900</v>
      </c>
      <c r="G832">
        <v>58560196711</v>
      </c>
      <c r="H832">
        <v>1977049124</v>
      </c>
    </row>
    <row r="833" spans="1:8" x14ac:dyDescent="0.25">
      <c r="A833" s="2">
        <v>44799</v>
      </c>
      <c r="B833">
        <v>29.510000228881839</v>
      </c>
      <c r="C833">
        <v>29.70999908447266</v>
      </c>
      <c r="D833">
        <v>28.360000610351559</v>
      </c>
      <c r="E833">
        <v>28.579999923706051</v>
      </c>
      <c r="F833">
        <v>16490800</v>
      </c>
      <c r="G833">
        <v>56504065564</v>
      </c>
      <c r="H833">
        <v>1977049185</v>
      </c>
    </row>
    <row r="834" spans="1:8" x14ac:dyDescent="0.25">
      <c r="A834" s="2">
        <v>44802</v>
      </c>
      <c r="B834">
        <v>28.10000038146973</v>
      </c>
      <c r="C834">
        <v>29.190000534057621</v>
      </c>
      <c r="D834">
        <v>28.059999465942379</v>
      </c>
      <c r="E834">
        <v>28.739999771118161</v>
      </c>
      <c r="F834">
        <v>17245100</v>
      </c>
      <c r="G834">
        <v>56820393433</v>
      </c>
      <c r="H834">
        <v>1977049196</v>
      </c>
    </row>
    <row r="835" spans="1:8" x14ac:dyDescent="0.25">
      <c r="A835" s="2">
        <v>44803</v>
      </c>
      <c r="B835">
        <v>29.180000305175781</v>
      </c>
      <c r="C835">
        <v>29.29000091552734</v>
      </c>
      <c r="D835">
        <v>28.120000839233398</v>
      </c>
      <c r="E835">
        <v>28.70999908447266</v>
      </c>
      <c r="F835">
        <v>24409300</v>
      </c>
      <c r="G835">
        <v>56761081957</v>
      </c>
      <c r="H835">
        <v>1977049243</v>
      </c>
    </row>
    <row r="836" spans="1:8" x14ac:dyDescent="0.25">
      <c r="A836" s="2">
        <v>44804</v>
      </c>
      <c r="B836">
        <v>29.110000610351559</v>
      </c>
      <c r="C836">
        <v>29.879999160766602</v>
      </c>
      <c r="D836">
        <v>28.75</v>
      </c>
      <c r="E836">
        <v>28.760000228881839</v>
      </c>
      <c r="F836">
        <v>20740700</v>
      </c>
      <c r="G836">
        <v>56859934416</v>
      </c>
      <c r="H836">
        <v>1977049164</v>
      </c>
    </row>
    <row r="837" spans="1:8" x14ac:dyDescent="0.25">
      <c r="A837" s="2">
        <v>44805</v>
      </c>
      <c r="B837">
        <v>28.170000076293949</v>
      </c>
      <c r="C837">
        <v>28.95000076293945</v>
      </c>
      <c r="D837">
        <v>27.690000534057621</v>
      </c>
      <c r="E837">
        <v>28.920000076293949</v>
      </c>
      <c r="F837">
        <v>17828100</v>
      </c>
      <c r="G837">
        <v>57176262285</v>
      </c>
      <c r="H837">
        <v>1977049175</v>
      </c>
    </row>
    <row r="838" spans="1:8" x14ac:dyDescent="0.25">
      <c r="A838" s="2">
        <v>44806</v>
      </c>
      <c r="B838">
        <v>29.5</v>
      </c>
      <c r="C838">
        <v>29.635000228881839</v>
      </c>
      <c r="D838">
        <v>28.64999961853027</v>
      </c>
      <c r="E838">
        <v>29.04999923706055</v>
      </c>
      <c r="F838">
        <v>14604400</v>
      </c>
      <c r="G838">
        <v>57433278679</v>
      </c>
      <c r="H838">
        <v>1977049232</v>
      </c>
    </row>
    <row r="839" spans="1:8" x14ac:dyDescent="0.25">
      <c r="A839" s="2">
        <v>44810</v>
      </c>
      <c r="B839">
        <v>29.340000152587891</v>
      </c>
      <c r="C839">
        <v>29.370000839233398</v>
      </c>
      <c r="D839">
        <v>28.280000686645511</v>
      </c>
      <c r="E839">
        <v>28.889999389648441</v>
      </c>
      <c r="F839">
        <v>20422800</v>
      </c>
      <c r="G839">
        <v>57116950810</v>
      </c>
      <c r="H839">
        <v>1977049222</v>
      </c>
    </row>
    <row r="840" spans="1:8" x14ac:dyDescent="0.25">
      <c r="A840" s="2">
        <v>44811</v>
      </c>
      <c r="B840">
        <v>28.909999847412109</v>
      </c>
      <c r="C840">
        <v>30.14999961853027</v>
      </c>
      <c r="D840">
        <v>28.819999694824219</v>
      </c>
      <c r="E840">
        <v>30.030000686645511</v>
      </c>
      <c r="F840">
        <v>20632200</v>
      </c>
      <c r="G840">
        <v>59370786875</v>
      </c>
      <c r="H840">
        <v>1977049135</v>
      </c>
    </row>
    <row r="841" spans="1:8" x14ac:dyDescent="0.25">
      <c r="A841" s="2">
        <v>44812</v>
      </c>
      <c r="B841">
        <v>29.420000076293949</v>
      </c>
      <c r="C841">
        <v>30.89999961853027</v>
      </c>
      <c r="D841">
        <v>29.29000091552734</v>
      </c>
      <c r="E841">
        <v>30.680000305175781</v>
      </c>
      <c r="F841">
        <v>29393500</v>
      </c>
      <c r="G841">
        <v>60655868842</v>
      </c>
      <c r="H841">
        <v>1977049160</v>
      </c>
    </row>
    <row r="842" spans="1:8" x14ac:dyDescent="0.25">
      <c r="A842" s="2">
        <v>44813</v>
      </c>
      <c r="B842">
        <v>31</v>
      </c>
      <c r="C842">
        <v>32.049999237060547</v>
      </c>
      <c r="D842">
        <v>30.889999389648441</v>
      </c>
      <c r="E842">
        <v>31.780000686645511</v>
      </c>
      <c r="F842">
        <v>28055900</v>
      </c>
      <c r="G842">
        <v>62830622940</v>
      </c>
      <c r="H842">
        <v>1977049137</v>
      </c>
    </row>
    <row r="843" spans="1:8" x14ac:dyDescent="0.25">
      <c r="A843" s="2">
        <v>44816</v>
      </c>
      <c r="B843">
        <v>31.95000076293945</v>
      </c>
      <c r="C843">
        <v>32.619998931884773</v>
      </c>
      <c r="D843">
        <v>31.85000038146973</v>
      </c>
      <c r="E843">
        <v>32.5</v>
      </c>
      <c r="F843">
        <v>29349900</v>
      </c>
      <c r="G843">
        <v>64254098350</v>
      </c>
      <c r="H843">
        <v>1977049180</v>
      </c>
    </row>
    <row r="844" spans="1:8" x14ac:dyDescent="0.25">
      <c r="A844" s="2">
        <v>44817</v>
      </c>
      <c r="B844">
        <v>30.690000534057621</v>
      </c>
      <c r="C844">
        <v>31.780000686645511</v>
      </c>
      <c r="D844">
        <v>30.219999313354489</v>
      </c>
      <c r="E844">
        <v>31.319999694824219</v>
      </c>
      <c r="F844">
        <v>29364700</v>
      </c>
      <c r="G844">
        <v>61921180317</v>
      </c>
      <c r="H844">
        <v>1977049199</v>
      </c>
    </row>
    <row r="845" spans="1:8" x14ac:dyDescent="0.25">
      <c r="A845" s="2">
        <v>44818</v>
      </c>
      <c r="B845">
        <v>31.25</v>
      </c>
      <c r="C845">
        <v>33.139999389648438</v>
      </c>
      <c r="D845">
        <v>31.10000038146973</v>
      </c>
      <c r="E845">
        <v>33.049999237060547</v>
      </c>
      <c r="F845">
        <v>34493400</v>
      </c>
      <c r="G845">
        <v>65341475398</v>
      </c>
      <c r="H845">
        <v>1977049226</v>
      </c>
    </row>
    <row r="846" spans="1:8" x14ac:dyDescent="0.25">
      <c r="A846" s="2">
        <v>44819</v>
      </c>
      <c r="B846">
        <v>32.950000762939453</v>
      </c>
      <c r="C846">
        <v>34.325000762939453</v>
      </c>
      <c r="D846">
        <v>32.740001678466797</v>
      </c>
      <c r="E846">
        <v>33.130001068115227</v>
      </c>
      <c r="F846">
        <v>41849100</v>
      </c>
      <c r="G846">
        <v>65499639333</v>
      </c>
      <c r="H846">
        <v>1977049116</v>
      </c>
    </row>
    <row r="847" spans="1:8" x14ac:dyDescent="0.25">
      <c r="A847" s="2">
        <v>44820</v>
      </c>
      <c r="B847">
        <v>30.95999908447266</v>
      </c>
      <c r="C847">
        <v>32.145000457763672</v>
      </c>
      <c r="D847">
        <v>30.879999160766602</v>
      </c>
      <c r="E847">
        <v>31.930000305175781</v>
      </c>
      <c r="F847">
        <v>50970700</v>
      </c>
      <c r="G847">
        <v>63127180317</v>
      </c>
      <c r="H847">
        <v>1977049161</v>
      </c>
    </row>
    <row r="848" spans="1:8" x14ac:dyDescent="0.25">
      <c r="A848" s="2">
        <v>44823</v>
      </c>
      <c r="B848">
        <v>31.440000534057621</v>
      </c>
      <c r="C848">
        <v>31.979999542236332</v>
      </c>
      <c r="D848">
        <v>31.059999465942379</v>
      </c>
      <c r="E848">
        <v>31.489999771118161</v>
      </c>
      <c r="F848">
        <v>22867600</v>
      </c>
      <c r="G848">
        <v>62257278678</v>
      </c>
      <c r="H848">
        <v>1977049194</v>
      </c>
    </row>
    <row r="849" spans="1:8" x14ac:dyDescent="0.25">
      <c r="A849" s="2">
        <v>44824</v>
      </c>
      <c r="B849">
        <v>31.489999771118161</v>
      </c>
      <c r="C849">
        <v>32.560001373291023</v>
      </c>
      <c r="D849">
        <v>31.190000534057621</v>
      </c>
      <c r="E849">
        <v>31.489999771118161</v>
      </c>
      <c r="F849">
        <v>23652400</v>
      </c>
      <c r="G849">
        <v>62257278678</v>
      </c>
      <c r="H849">
        <v>1977049194</v>
      </c>
    </row>
    <row r="850" spans="1:8" x14ac:dyDescent="0.25">
      <c r="A850" s="2">
        <v>44825</v>
      </c>
      <c r="B850">
        <v>31.45000076293945</v>
      </c>
      <c r="C850">
        <v>31.67499923706055</v>
      </c>
      <c r="D850">
        <v>30.35000038146973</v>
      </c>
      <c r="E850">
        <v>30.469999313354489</v>
      </c>
      <c r="F850">
        <v>22328400</v>
      </c>
      <c r="G850">
        <v>60240688514</v>
      </c>
      <c r="H850">
        <v>1977049225</v>
      </c>
    </row>
    <row r="851" spans="1:8" x14ac:dyDescent="0.25">
      <c r="A851" s="2">
        <v>44826</v>
      </c>
      <c r="B851">
        <v>30.190000534057621</v>
      </c>
      <c r="C851">
        <v>30.190000534057621</v>
      </c>
      <c r="D851">
        <v>28.530000686645511</v>
      </c>
      <c r="E851">
        <v>28.579999923706051</v>
      </c>
      <c r="F851">
        <v>29038100</v>
      </c>
      <c r="G851">
        <v>56504065564</v>
      </c>
      <c r="H851">
        <v>1977049185</v>
      </c>
    </row>
    <row r="852" spans="1:8" x14ac:dyDescent="0.25">
      <c r="A852" s="2">
        <v>44827</v>
      </c>
      <c r="B852">
        <v>28.010000228881839</v>
      </c>
      <c r="C852">
        <v>28.340000152587891</v>
      </c>
      <c r="D852">
        <v>27.360000610351559</v>
      </c>
      <c r="E852">
        <v>27.819999694824219</v>
      </c>
      <c r="F852">
        <v>26472600</v>
      </c>
      <c r="G852">
        <v>55001508187</v>
      </c>
      <c r="H852">
        <v>1977049202</v>
      </c>
    </row>
    <row r="853" spans="1:8" x14ac:dyDescent="0.25">
      <c r="A853" s="2">
        <v>44830</v>
      </c>
      <c r="B853">
        <v>27.70999908447266</v>
      </c>
      <c r="C853">
        <v>28.159999847412109</v>
      </c>
      <c r="D853">
        <v>26.819999694824219</v>
      </c>
      <c r="E853">
        <v>26.889999389648441</v>
      </c>
      <c r="F853">
        <v>24953800</v>
      </c>
      <c r="G853">
        <v>53162852450</v>
      </c>
      <c r="H853">
        <v>1977049225</v>
      </c>
    </row>
    <row r="854" spans="1:8" x14ac:dyDescent="0.25">
      <c r="A854" s="2">
        <v>44831</v>
      </c>
      <c r="B854">
        <v>27.670000076293949</v>
      </c>
      <c r="C854">
        <v>28.489999771118161</v>
      </c>
      <c r="D854">
        <v>27.159999847412109</v>
      </c>
      <c r="E854">
        <v>27.569999694824219</v>
      </c>
      <c r="F854">
        <v>22392800</v>
      </c>
      <c r="G854">
        <v>54507245892</v>
      </c>
      <c r="H854">
        <v>1977049202</v>
      </c>
    </row>
    <row r="855" spans="1:8" x14ac:dyDescent="0.25">
      <c r="A855" s="2">
        <v>44832</v>
      </c>
      <c r="B855">
        <v>27.430000305175781</v>
      </c>
      <c r="C855">
        <v>28.159999847412109</v>
      </c>
      <c r="D855">
        <v>27.190000534057621</v>
      </c>
      <c r="E855">
        <v>28.04000091552734</v>
      </c>
      <c r="F855">
        <v>21290400</v>
      </c>
      <c r="G855">
        <v>55436459007</v>
      </c>
      <c r="H855">
        <v>1977049115</v>
      </c>
    </row>
    <row r="856" spans="1:8" x14ac:dyDescent="0.25">
      <c r="A856" s="2">
        <v>44833</v>
      </c>
      <c r="B856">
        <v>27.659999847412109</v>
      </c>
      <c r="C856">
        <v>27.719999313354489</v>
      </c>
      <c r="D856">
        <v>26</v>
      </c>
      <c r="E856">
        <v>26.420000076293949</v>
      </c>
      <c r="F856">
        <v>26160700</v>
      </c>
      <c r="G856">
        <v>52233639335</v>
      </c>
      <c r="H856">
        <v>1977049174</v>
      </c>
    </row>
    <row r="857" spans="1:8" x14ac:dyDescent="0.25">
      <c r="A857" s="2">
        <v>44834</v>
      </c>
      <c r="B857">
        <v>26.159999847412109</v>
      </c>
      <c r="C857">
        <v>27.309999465942379</v>
      </c>
      <c r="D857">
        <v>26.159999847412109</v>
      </c>
      <c r="E857">
        <v>26.5</v>
      </c>
      <c r="F857">
        <v>23894900</v>
      </c>
      <c r="G857">
        <v>52862200000</v>
      </c>
      <c r="H857">
        <v>1994800000</v>
      </c>
    </row>
    <row r="858" spans="1:8" x14ac:dyDescent="0.25">
      <c r="A858" s="2">
        <v>44837</v>
      </c>
      <c r="B858">
        <v>26.760000228881839</v>
      </c>
      <c r="C858">
        <v>26.89999961853027</v>
      </c>
      <c r="D858">
        <v>25.95999908447266</v>
      </c>
      <c r="E858">
        <v>26.719999313354489</v>
      </c>
      <c r="F858">
        <v>19940800</v>
      </c>
      <c r="G858">
        <v>53301056000</v>
      </c>
      <c r="H858">
        <v>1994800051</v>
      </c>
    </row>
    <row r="859" spans="1:8" x14ac:dyDescent="0.25">
      <c r="A859" s="2">
        <v>44838</v>
      </c>
      <c r="B859">
        <v>27.625</v>
      </c>
      <c r="C859">
        <v>29.25</v>
      </c>
      <c r="D859">
        <v>27.60000038146973</v>
      </c>
      <c r="E859">
        <v>29.190000534057621</v>
      </c>
      <c r="F859">
        <v>25462200</v>
      </c>
      <c r="G859">
        <v>58228212000</v>
      </c>
      <c r="H859">
        <v>1994799964</v>
      </c>
    </row>
    <row r="860" spans="1:8" x14ac:dyDescent="0.25">
      <c r="A860" s="2">
        <v>44839</v>
      </c>
      <c r="B860">
        <v>28.479999542236332</v>
      </c>
      <c r="C860">
        <v>29.64999961853027</v>
      </c>
      <c r="D860">
        <v>28.309999465942379</v>
      </c>
      <c r="E860">
        <v>29.180000305175781</v>
      </c>
      <c r="F860">
        <v>21458500</v>
      </c>
      <c r="G860">
        <v>58208264000</v>
      </c>
      <c r="H860">
        <v>1994799979</v>
      </c>
    </row>
    <row r="861" spans="1:8" x14ac:dyDescent="0.25">
      <c r="A861" s="2">
        <v>44840</v>
      </c>
      <c r="B861">
        <v>29.20000076293945</v>
      </c>
      <c r="C861">
        <v>30.239999771118161</v>
      </c>
      <c r="D861">
        <v>28.95999908447266</v>
      </c>
      <c r="E861">
        <v>29.729999542236332</v>
      </c>
      <c r="F861">
        <v>25399500</v>
      </c>
      <c r="G861">
        <v>59305404000</v>
      </c>
      <c r="H861">
        <v>1994800031</v>
      </c>
    </row>
    <row r="862" spans="1:8" x14ac:dyDescent="0.25">
      <c r="A862" s="2">
        <v>44841</v>
      </c>
      <c r="B862">
        <v>28.829999923706051</v>
      </c>
      <c r="C862">
        <v>28.860000610351559</v>
      </c>
      <c r="D862">
        <v>27.920000076293949</v>
      </c>
      <c r="E862">
        <v>28.069999694824219</v>
      </c>
      <c r="F862">
        <v>19690200</v>
      </c>
      <c r="G862">
        <v>55994036000</v>
      </c>
      <c r="H862">
        <v>1994800022</v>
      </c>
    </row>
    <row r="863" spans="1:8" x14ac:dyDescent="0.25">
      <c r="A863" s="2">
        <v>44844</v>
      </c>
      <c r="B863">
        <v>28.239999771118161</v>
      </c>
      <c r="C863">
        <v>28.45000076293945</v>
      </c>
      <c r="D863">
        <v>27.229999542236332</v>
      </c>
      <c r="E863">
        <v>27.530000686645511</v>
      </c>
      <c r="F863">
        <v>13413500</v>
      </c>
      <c r="G863">
        <v>54916844000</v>
      </c>
      <c r="H863">
        <v>1994799950</v>
      </c>
    </row>
    <row r="864" spans="1:8" x14ac:dyDescent="0.25">
      <c r="A864" s="2">
        <v>44845</v>
      </c>
      <c r="B864">
        <v>25.545000076293949</v>
      </c>
      <c r="C864">
        <v>26.04999923706055</v>
      </c>
      <c r="D864">
        <v>22.940000534057621</v>
      </c>
      <c r="E864">
        <v>24.659999847412109</v>
      </c>
      <c r="F864">
        <v>92468800</v>
      </c>
      <c r="G864">
        <v>49191768000</v>
      </c>
      <c r="H864">
        <v>1994800012</v>
      </c>
    </row>
    <row r="865" spans="1:8" x14ac:dyDescent="0.25">
      <c r="A865" s="2">
        <v>44846</v>
      </c>
      <c r="B865">
        <v>25.04999923706055</v>
      </c>
      <c r="C865">
        <v>26.114999771118161</v>
      </c>
      <c r="D865">
        <v>24.559999465942379</v>
      </c>
      <c r="E865">
        <v>25.979999542236332</v>
      </c>
      <c r="F865">
        <v>30945900</v>
      </c>
      <c r="G865">
        <v>51824904000</v>
      </c>
      <c r="H865">
        <v>1994800035</v>
      </c>
    </row>
    <row r="866" spans="1:8" x14ac:dyDescent="0.25">
      <c r="A866" s="2">
        <v>44847</v>
      </c>
      <c r="B866">
        <v>24.469999313354489</v>
      </c>
      <c r="C866">
        <v>26.02499961853027</v>
      </c>
      <c r="D866">
        <v>24.190000534057621</v>
      </c>
      <c r="E866">
        <v>25</v>
      </c>
      <c r="F866">
        <v>32838500</v>
      </c>
      <c r="G866">
        <v>49870000000</v>
      </c>
      <c r="H866">
        <v>1994800000</v>
      </c>
    </row>
    <row r="867" spans="1:8" x14ac:dyDescent="0.25">
      <c r="A867" s="2">
        <v>44848</v>
      </c>
      <c r="B867">
        <v>25.64999961853027</v>
      </c>
      <c r="C867">
        <v>26.069999694824219</v>
      </c>
      <c r="D867">
        <v>24.659999847412109</v>
      </c>
      <c r="E867">
        <v>24.70999908447266</v>
      </c>
      <c r="F867">
        <v>22540000</v>
      </c>
      <c r="G867">
        <v>49291508000</v>
      </c>
      <c r="H867">
        <v>1994800074</v>
      </c>
    </row>
    <row r="868" spans="1:8" x14ac:dyDescent="0.25">
      <c r="A868" s="2">
        <v>44851</v>
      </c>
      <c r="B868">
        <v>25.260000228881839</v>
      </c>
      <c r="C868">
        <v>26.264999389648441</v>
      </c>
      <c r="D868">
        <v>25.079999923706051</v>
      </c>
      <c r="E868">
        <v>25.940000534057621</v>
      </c>
      <c r="F868">
        <v>25074900</v>
      </c>
      <c r="G868">
        <v>51745112000</v>
      </c>
      <c r="H868">
        <v>1994799959</v>
      </c>
    </row>
    <row r="869" spans="1:8" x14ac:dyDescent="0.25">
      <c r="A869" s="2">
        <v>44852</v>
      </c>
      <c r="B869">
        <v>27.069999694824219</v>
      </c>
      <c r="C869">
        <v>27.70999908447266</v>
      </c>
      <c r="D869">
        <v>26.495000839233398</v>
      </c>
      <c r="E869">
        <v>27.610000610351559</v>
      </c>
      <c r="F869">
        <v>25643300</v>
      </c>
      <c r="G869">
        <v>55076428000</v>
      </c>
      <c r="H869">
        <v>1994799956</v>
      </c>
    </row>
    <row r="870" spans="1:8" x14ac:dyDescent="0.25">
      <c r="A870" s="2">
        <v>44853</v>
      </c>
      <c r="B870">
        <v>27.059999465942379</v>
      </c>
      <c r="C870">
        <v>27.729999542236332</v>
      </c>
      <c r="D870">
        <v>26.85000038146973</v>
      </c>
      <c r="E870">
        <v>27.530000686645511</v>
      </c>
      <c r="F870">
        <v>15428500</v>
      </c>
      <c r="G870">
        <v>54916844000</v>
      </c>
      <c r="H870">
        <v>1994799950</v>
      </c>
    </row>
    <row r="871" spans="1:8" x14ac:dyDescent="0.25">
      <c r="A871" s="2">
        <v>44854</v>
      </c>
      <c r="B871">
        <v>27.319999694824219</v>
      </c>
      <c r="C871">
        <v>28.680000305175781</v>
      </c>
      <c r="D871">
        <v>27.239999771118161</v>
      </c>
      <c r="E871">
        <v>27.870000839233398</v>
      </c>
      <c r="F871">
        <v>20835300</v>
      </c>
      <c r="G871">
        <v>55595076000</v>
      </c>
      <c r="H871">
        <v>1994799940</v>
      </c>
    </row>
    <row r="872" spans="1:8" x14ac:dyDescent="0.25">
      <c r="A872" s="2">
        <v>44855</v>
      </c>
      <c r="B872">
        <v>27.5</v>
      </c>
      <c r="C872">
        <v>28.434999465942379</v>
      </c>
      <c r="D872">
        <v>27.159999847412109</v>
      </c>
      <c r="E872">
        <v>28.020000457763668</v>
      </c>
      <c r="F872">
        <v>20651600</v>
      </c>
      <c r="G872">
        <v>55894296000</v>
      </c>
      <c r="H872">
        <v>1994799967</v>
      </c>
    </row>
    <row r="873" spans="1:8" x14ac:dyDescent="0.25">
      <c r="A873" s="2">
        <v>44858</v>
      </c>
      <c r="B873">
        <v>27.70999908447266</v>
      </c>
      <c r="C873">
        <v>27.979999542236332</v>
      </c>
      <c r="D873">
        <v>26.510000228881839</v>
      </c>
      <c r="E873">
        <v>27.64999961853027</v>
      </c>
      <c r="F873">
        <v>19194200</v>
      </c>
      <c r="G873">
        <v>55156220000</v>
      </c>
      <c r="H873">
        <v>1994800028</v>
      </c>
    </row>
    <row r="874" spans="1:8" x14ac:dyDescent="0.25">
      <c r="A874" s="2">
        <v>44859</v>
      </c>
      <c r="B874">
        <v>28</v>
      </c>
      <c r="C874">
        <v>28.545000076293949</v>
      </c>
      <c r="D874">
        <v>27.329999923706051</v>
      </c>
      <c r="E874">
        <v>28.360000610351559</v>
      </c>
      <c r="F874">
        <v>17366400</v>
      </c>
      <c r="G874">
        <v>56572528000</v>
      </c>
      <c r="H874">
        <v>1994799957</v>
      </c>
    </row>
    <row r="875" spans="1:8" x14ac:dyDescent="0.25">
      <c r="A875" s="2">
        <v>44860</v>
      </c>
      <c r="B875">
        <v>28.170000076293949</v>
      </c>
      <c r="C875">
        <v>28.979999542236332</v>
      </c>
      <c r="D875">
        <v>27.864999771118161</v>
      </c>
      <c r="E875">
        <v>28.20000076293945</v>
      </c>
      <c r="F875">
        <v>17315900</v>
      </c>
      <c r="G875">
        <v>56253360000</v>
      </c>
      <c r="H875">
        <v>1994799946</v>
      </c>
    </row>
    <row r="876" spans="1:8" x14ac:dyDescent="0.25">
      <c r="A876" s="2">
        <v>44861</v>
      </c>
      <c r="B876">
        <v>28.39999961853027</v>
      </c>
      <c r="C876">
        <v>28.760000228881839</v>
      </c>
      <c r="D876">
        <v>27.659999847412109</v>
      </c>
      <c r="E876">
        <v>27.819999694824219</v>
      </c>
      <c r="F876">
        <v>16768600</v>
      </c>
      <c r="G876">
        <v>55495336000</v>
      </c>
      <c r="H876">
        <v>1994800022</v>
      </c>
    </row>
    <row r="877" spans="1:8" x14ac:dyDescent="0.25">
      <c r="A877" s="2">
        <v>44862</v>
      </c>
      <c r="B877">
        <v>27.809999465942379</v>
      </c>
      <c r="C877">
        <v>27.879999160766602</v>
      </c>
      <c r="D877">
        <v>26.489999771118161</v>
      </c>
      <c r="E877">
        <v>27.5</v>
      </c>
      <c r="F877">
        <v>27116700</v>
      </c>
      <c r="G877">
        <v>54857000000</v>
      </c>
      <c r="H877">
        <v>1994800000</v>
      </c>
    </row>
    <row r="878" spans="1:8" x14ac:dyDescent="0.25">
      <c r="A878" s="2">
        <v>44865</v>
      </c>
      <c r="B878">
        <v>27.610000610351559</v>
      </c>
      <c r="C878">
        <v>27.729999542236332</v>
      </c>
      <c r="D878">
        <v>26.29999923706055</v>
      </c>
      <c r="E878">
        <v>26.569999694824219</v>
      </c>
      <c r="F878">
        <v>37327000</v>
      </c>
      <c r="G878">
        <v>53001836000</v>
      </c>
      <c r="H878">
        <v>1994800023</v>
      </c>
    </row>
    <row r="879" spans="1:8" x14ac:dyDescent="0.25">
      <c r="A879" s="2">
        <v>44866</v>
      </c>
      <c r="B879">
        <v>30.069999694824219</v>
      </c>
      <c r="C879">
        <v>31</v>
      </c>
      <c r="D879">
        <v>29.120000839233398</v>
      </c>
      <c r="E879">
        <v>29.75</v>
      </c>
      <c r="F879">
        <v>87994000</v>
      </c>
      <c r="G879">
        <v>59345300000</v>
      </c>
      <c r="H879">
        <v>1994800000</v>
      </c>
    </row>
    <row r="880" spans="1:8" x14ac:dyDescent="0.25">
      <c r="A880" s="2">
        <v>44867</v>
      </c>
      <c r="B880">
        <v>29.569999694824219</v>
      </c>
      <c r="C880">
        <v>30.159999847412109</v>
      </c>
      <c r="D880">
        <v>28.629999160766602</v>
      </c>
      <c r="E880">
        <v>28.809999465942379</v>
      </c>
      <c r="F880">
        <v>37083500</v>
      </c>
      <c r="G880">
        <v>57470188000</v>
      </c>
      <c r="H880">
        <v>1994800037</v>
      </c>
    </row>
    <row r="881" spans="1:8" x14ac:dyDescent="0.25">
      <c r="A881" s="2">
        <v>44868</v>
      </c>
      <c r="B881">
        <v>28.030000686645511</v>
      </c>
      <c r="C881">
        <v>29.520000457763668</v>
      </c>
      <c r="D881">
        <v>27.70999908447266</v>
      </c>
      <c r="E881">
        <v>28.729999542236332</v>
      </c>
      <c r="F881">
        <v>28033200</v>
      </c>
      <c r="G881">
        <v>57310604000</v>
      </c>
      <c r="H881">
        <v>1994800032</v>
      </c>
    </row>
    <row r="882" spans="1:8" x14ac:dyDescent="0.25">
      <c r="A882" s="2">
        <v>44869</v>
      </c>
      <c r="B882">
        <v>29.440000534057621</v>
      </c>
      <c r="C882">
        <v>29.72500038146973</v>
      </c>
      <c r="D882">
        <v>28.04000091552734</v>
      </c>
      <c r="E882">
        <v>28.389999389648441</v>
      </c>
      <c r="F882">
        <v>22304200</v>
      </c>
      <c r="G882">
        <v>56632372000</v>
      </c>
      <c r="H882">
        <v>1994800043</v>
      </c>
    </row>
    <row r="883" spans="1:8" x14ac:dyDescent="0.25">
      <c r="A883" s="2">
        <v>44872</v>
      </c>
      <c r="B883">
        <v>28.704999923706051</v>
      </c>
      <c r="C883">
        <v>28.82500076293945</v>
      </c>
      <c r="D883">
        <v>27.614999771118161</v>
      </c>
      <c r="E883">
        <v>27.690000534057621</v>
      </c>
      <c r="F883">
        <v>19204100</v>
      </c>
      <c r="G883">
        <v>55236012000</v>
      </c>
      <c r="H883">
        <v>1994799962</v>
      </c>
    </row>
    <row r="884" spans="1:8" x14ac:dyDescent="0.25">
      <c r="A884" s="2">
        <v>44873</v>
      </c>
      <c r="B884">
        <v>27.569999694824219</v>
      </c>
      <c r="C884">
        <v>28.329999923706051</v>
      </c>
      <c r="D884">
        <v>26.819999694824219</v>
      </c>
      <c r="E884">
        <v>27.440000534057621</v>
      </c>
      <c r="F884">
        <v>27033900</v>
      </c>
      <c r="G884">
        <v>54737312000</v>
      </c>
      <c r="H884">
        <v>1994799961</v>
      </c>
    </row>
    <row r="885" spans="1:8" x14ac:dyDescent="0.25">
      <c r="A885" s="2">
        <v>44874</v>
      </c>
      <c r="B885">
        <v>27.309999465942379</v>
      </c>
      <c r="C885">
        <v>28.004999160766602</v>
      </c>
      <c r="D885">
        <v>26.440000534057621</v>
      </c>
      <c r="E885">
        <v>26.54999923706055</v>
      </c>
      <c r="F885">
        <v>21186300</v>
      </c>
      <c r="G885">
        <v>52961940000</v>
      </c>
      <c r="H885">
        <v>1994800057</v>
      </c>
    </row>
    <row r="886" spans="1:8" x14ac:dyDescent="0.25">
      <c r="A886" s="2">
        <v>44875</v>
      </c>
      <c r="B886">
        <v>28.379999160766602</v>
      </c>
      <c r="C886">
        <v>29.319999694824219</v>
      </c>
      <c r="D886">
        <v>28.10000038146973</v>
      </c>
      <c r="E886">
        <v>28.85000038146973</v>
      </c>
      <c r="F886">
        <v>35196900</v>
      </c>
      <c r="G886">
        <v>57549980000</v>
      </c>
      <c r="H886">
        <v>1994799974</v>
      </c>
    </row>
    <row r="887" spans="1:8" x14ac:dyDescent="0.25">
      <c r="A887" s="2">
        <v>44876</v>
      </c>
      <c r="B887">
        <v>28.95000076293945</v>
      </c>
      <c r="C887">
        <v>30.434999465942379</v>
      </c>
      <c r="D887">
        <v>28.70000076293945</v>
      </c>
      <c r="E887">
        <v>29.14999961853027</v>
      </c>
      <c r="F887">
        <v>35861100</v>
      </c>
      <c r="G887">
        <v>58148420000</v>
      </c>
      <c r="H887">
        <v>1994800026</v>
      </c>
    </row>
    <row r="888" spans="1:8" x14ac:dyDescent="0.25">
      <c r="A888" s="2">
        <v>44879</v>
      </c>
      <c r="B888">
        <v>28.85000038146973</v>
      </c>
      <c r="C888">
        <v>29.70000076293945</v>
      </c>
      <c r="D888">
        <v>28.79000091552734</v>
      </c>
      <c r="E888">
        <v>29.069999694824219</v>
      </c>
      <c r="F888">
        <v>24426200</v>
      </c>
      <c r="G888">
        <v>57988836000</v>
      </c>
      <c r="H888">
        <v>1994800021</v>
      </c>
    </row>
    <row r="889" spans="1:8" x14ac:dyDescent="0.25">
      <c r="A889" s="2">
        <v>44880</v>
      </c>
      <c r="B889">
        <v>30.25</v>
      </c>
      <c r="C889">
        <v>31.815000534057621</v>
      </c>
      <c r="D889">
        <v>30</v>
      </c>
      <c r="E889">
        <v>31.569999694824219</v>
      </c>
      <c r="F889">
        <v>43066500</v>
      </c>
      <c r="G889">
        <v>62975836000</v>
      </c>
      <c r="H889">
        <v>1994800019</v>
      </c>
    </row>
    <row r="890" spans="1:8" x14ac:dyDescent="0.25">
      <c r="A890" s="2">
        <v>44881</v>
      </c>
      <c r="B890">
        <v>30.95000076293945</v>
      </c>
      <c r="C890">
        <v>31.159999847412109</v>
      </c>
      <c r="D890">
        <v>29.829999923706051</v>
      </c>
      <c r="E890">
        <v>30.04000091552734</v>
      </c>
      <c r="F890">
        <v>26540200</v>
      </c>
      <c r="G890">
        <v>59923792000</v>
      </c>
      <c r="H890">
        <v>1994799939</v>
      </c>
    </row>
    <row r="891" spans="1:8" x14ac:dyDescent="0.25">
      <c r="A891" s="2">
        <v>44882</v>
      </c>
      <c r="B891">
        <v>29.10000038146973</v>
      </c>
      <c r="C891">
        <v>29.5</v>
      </c>
      <c r="D891">
        <v>28.39999961853027</v>
      </c>
      <c r="E891">
        <v>28.879999160766602</v>
      </c>
      <c r="F891">
        <v>22684100</v>
      </c>
      <c r="G891">
        <v>57609824000</v>
      </c>
      <c r="H891">
        <v>1994800058</v>
      </c>
    </row>
    <row r="892" spans="1:8" x14ac:dyDescent="0.25">
      <c r="A892" s="2">
        <v>44883</v>
      </c>
      <c r="B892">
        <v>29.20999908447266</v>
      </c>
      <c r="C892">
        <v>29.405000686645511</v>
      </c>
      <c r="D892">
        <v>28.70000076293945</v>
      </c>
      <c r="E892">
        <v>28.95999908447266</v>
      </c>
      <c r="F892">
        <v>15676300</v>
      </c>
      <c r="G892">
        <v>57769408000</v>
      </c>
      <c r="H892">
        <v>1994800063</v>
      </c>
    </row>
    <row r="893" spans="1:8" x14ac:dyDescent="0.25">
      <c r="A893" s="2">
        <v>44886</v>
      </c>
      <c r="B893">
        <v>28.520000457763668</v>
      </c>
      <c r="C893">
        <v>28.70999908447266</v>
      </c>
      <c r="D893">
        <v>28.010000228881839</v>
      </c>
      <c r="E893">
        <v>28.25</v>
      </c>
      <c r="F893">
        <v>16159400</v>
      </c>
      <c r="G893">
        <v>56353100000</v>
      </c>
      <c r="H893">
        <v>1994800000</v>
      </c>
    </row>
    <row r="894" spans="1:8" x14ac:dyDescent="0.25">
      <c r="A894" s="2">
        <v>44887</v>
      </c>
      <c r="B894">
        <v>28.270000457763668</v>
      </c>
      <c r="C894">
        <v>28.329999923706051</v>
      </c>
      <c r="D894">
        <v>27.3120002746582</v>
      </c>
      <c r="E894">
        <v>28.079999923706051</v>
      </c>
      <c r="F894">
        <v>20368600</v>
      </c>
      <c r="G894">
        <v>56013984000</v>
      </c>
      <c r="H894">
        <v>1994800005</v>
      </c>
    </row>
    <row r="895" spans="1:8" x14ac:dyDescent="0.25">
      <c r="A895" s="2">
        <v>44888</v>
      </c>
      <c r="B895">
        <v>28.360000610351559</v>
      </c>
      <c r="C895">
        <v>28.940000534057621</v>
      </c>
      <c r="D895">
        <v>28.139999389648441</v>
      </c>
      <c r="E895">
        <v>28.79000091552734</v>
      </c>
      <c r="F895">
        <v>12964900</v>
      </c>
      <c r="G895">
        <v>57430292000</v>
      </c>
      <c r="H895">
        <v>1994799937</v>
      </c>
    </row>
    <row r="896" spans="1:8" x14ac:dyDescent="0.25">
      <c r="A896" s="2">
        <v>44890</v>
      </c>
      <c r="B896">
        <v>28.70999908447266</v>
      </c>
      <c r="C896">
        <v>28.879999160766602</v>
      </c>
      <c r="D896">
        <v>28.239999771118161</v>
      </c>
      <c r="E896">
        <v>28.5</v>
      </c>
      <c r="F896">
        <v>5200400</v>
      </c>
      <c r="G896">
        <v>56851800000</v>
      </c>
      <c r="H896">
        <v>1994800000</v>
      </c>
    </row>
    <row r="897" spans="1:8" x14ac:dyDescent="0.25">
      <c r="A897" s="2">
        <v>44893</v>
      </c>
      <c r="B897">
        <v>28.110000610351559</v>
      </c>
      <c r="C897">
        <v>28.655000686645511</v>
      </c>
      <c r="D897">
        <v>27.729999542236332</v>
      </c>
      <c r="E897">
        <v>27.760000228881839</v>
      </c>
      <c r="F897">
        <v>11120000</v>
      </c>
      <c r="G897">
        <v>55375648000</v>
      </c>
      <c r="H897">
        <v>1994799984</v>
      </c>
    </row>
    <row r="898" spans="1:8" x14ac:dyDescent="0.25">
      <c r="A898" s="2">
        <v>44894</v>
      </c>
      <c r="B898">
        <v>28.04999923706055</v>
      </c>
      <c r="C898">
        <v>28.229999542236332</v>
      </c>
      <c r="D898">
        <v>27.579999923706051</v>
      </c>
      <c r="E898">
        <v>27.760000228881839</v>
      </c>
      <c r="F898">
        <v>15007800</v>
      </c>
      <c r="G898">
        <v>55375648000</v>
      </c>
      <c r="H898">
        <v>1994799984</v>
      </c>
    </row>
    <row r="899" spans="1:8" x14ac:dyDescent="0.25">
      <c r="A899" s="2">
        <v>44895</v>
      </c>
      <c r="B899">
        <v>27.79999923706055</v>
      </c>
      <c r="C899">
        <v>29.139999389648441</v>
      </c>
      <c r="D899">
        <v>27.639999389648441</v>
      </c>
      <c r="E899">
        <v>29.139999389648441</v>
      </c>
      <c r="F899">
        <v>18177000</v>
      </c>
      <c r="G899">
        <v>58128472000</v>
      </c>
      <c r="H899">
        <v>1994800042</v>
      </c>
    </row>
    <row r="900" spans="1:8" x14ac:dyDescent="0.25">
      <c r="A900" s="2">
        <v>44896</v>
      </c>
      <c r="B900">
        <v>29.219999313354489</v>
      </c>
      <c r="C900">
        <v>29.60000038146973</v>
      </c>
      <c r="D900">
        <v>28.29999923706055</v>
      </c>
      <c r="E900">
        <v>28.340000152587891</v>
      </c>
      <c r="F900">
        <v>18066600</v>
      </c>
      <c r="G900">
        <v>56532632000</v>
      </c>
      <c r="H900">
        <v>1994799989</v>
      </c>
    </row>
    <row r="901" spans="1:8" x14ac:dyDescent="0.25">
      <c r="A901" s="2">
        <v>44897</v>
      </c>
      <c r="B901">
        <v>27.379999160766602</v>
      </c>
      <c r="C901">
        <v>28.780000686645511</v>
      </c>
      <c r="D901">
        <v>27.190000534057621</v>
      </c>
      <c r="E901">
        <v>28.75</v>
      </c>
      <c r="F901">
        <v>15980500</v>
      </c>
      <c r="G901">
        <v>57350500000</v>
      </c>
      <c r="H901">
        <v>1994800000</v>
      </c>
    </row>
    <row r="902" spans="1:8" x14ac:dyDescent="0.25">
      <c r="A902" s="2">
        <v>44900</v>
      </c>
      <c r="B902">
        <v>28.409999847412109</v>
      </c>
      <c r="C902">
        <v>28.860000610351559</v>
      </c>
      <c r="D902">
        <v>27.64999961853027</v>
      </c>
      <c r="E902">
        <v>27.70000076293945</v>
      </c>
      <c r="F902">
        <v>17486300</v>
      </c>
      <c r="G902">
        <v>55255960000</v>
      </c>
      <c r="H902">
        <v>1994799945</v>
      </c>
    </row>
    <row r="903" spans="1:8" x14ac:dyDescent="0.25">
      <c r="A903" s="2">
        <v>44901</v>
      </c>
      <c r="B903">
        <v>27.70000076293945</v>
      </c>
      <c r="C903">
        <v>27.860000610351559</v>
      </c>
      <c r="D903">
        <v>26.70000076293945</v>
      </c>
      <c r="E903">
        <v>26.920000076293949</v>
      </c>
      <c r="F903">
        <v>19772900</v>
      </c>
      <c r="G903">
        <v>53700016000</v>
      </c>
      <c r="H903">
        <v>1994799994</v>
      </c>
    </row>
    <row r="904" spans="1:8" x14ac:dyDescent="0.25">
      <c r="A904" s="2">
        <v>44902</v>
      </c>
      <c r="B904">
        <v>26.610000610351559</v>
      </c>
      <c r="C904">
        <v>26.870000839233398</v>
      </c>
      <c r="D904">
        <v>26.020000457763668</v>
      </c>
      <c r="E904">
        <v>26.39999961853027</v>
      </c>
      <c r="F904">
        <v>21193900</v>
      </c>
      <c r="G904">
        <v>52662720000</v>
      </c>
      <c r="H904">
        <v>1994800029</v>
      </c>
    </row>
    <row r="905" spans="1:8" x14ac:dyDescent="0.25">
      <c r="A905" s="2">
        <v>44903</v>
      </c>
      <c r="B905">
        <v>26.520000457763668</v>
      </c>
      <c r="C905">
        <v>27.030000686645511</v>
      </c>
      <c r="D905">
        <v>26.275999069213871</v>
      </c>
      <c r="E905">
        <v>26.45000076293945</v>
      </c>
      <c r="F905">
        <v>14909600</v>
      </c>
      <c r="G905">
        <v>52762460000</v>
      </c>
      <c r="H905">
        <v>1994799942</v>
      </c>
    </row>
    <row r="906" spans="1:8" x14ac:dyDescent="0.25">
      <c r="A906" s="2">
        <v>44904</v>
      </c>
      <c r="B906">
        <v>26.39999961853027</v>
      </c>
      <c r="C906">
        <v>26.95999908447266</v>
      </c>
      <c r="D906">
        <v>26.239999771118161</v>
      </c>
      <c r="E906">
        <v>26.54999923706055</v>
      </c>
      <c r="F906">
        <v>14253500</v>
      </c>
      <c r="G906">
        <v>52961940000</v>
      </c>
      <c r="H906">
        <v>1994800057</v>
      </c>
    </row>
    <row r="907" spans="1:8" x14ac:dyDescent="0.25">
      <c r="A907" s="2">
        <v>44907</v>
      </c>
      <c r="B907">
        <v>26.420000076293949</v>
      </c>
      <c r="C907">
        <v>27.229999542236332</v>
      </c>
      <c r="D907">
        <v>26.110000610351559</v>
      </c>
      <c r="E907">
        <v>27.030000686645511</v>
      </c>
      <c r="F907">
        <v>16483600</v>
      </c>
      <c r="G907">
        <v>53919444000</v>
      </c>
      <c r="H907">
        <v>1994799949</v>
      </c>
    </row>
    <row r="908" spans="1:8" x14ac:dyDescent="0.25">
      <c r="A908" s="2">
        <v>44908</v>
      </c>
      <c r="B908">
        <v>28.030000686645511</v>
      </c>
      <c r="C908">
        <v>28.454999923706051</v>
      </c>
      <c r="D908">
        <v>26.909999847412109</v>
      </c>
      <c r="E908">
        <v>26.979999542236332</v>
      </c>
      <c r="F908">
        <v>27635400</v>
      </c>
      <c r="G908">
        <v>53819704000</v>
      </c>
      <c r="H908">
        <v>1994800034</v>
      </c>
    </row>
    <row r="909" spans="1:8" x14ac:dyDescent="0.25">
      <c r="A909" s="2">
        <v>44909</v>
      </c>
      <c r="B909">
        <v>27.069999694824219</v>
      </c>
      <c r="C909">
        <v>27.819999694824219</v>
      </c>
      <c r="D909">
        <v>26.770000457763668</v>
      </c>
      <c r="E909">
        <v>27.469999313354489</v>
      </c>
      <c r="F909">
        <v>19427300</v>
      </c>
      <c r="G909">
        <v>54797156000</v>
      </c>
      <c r="H909">
        <v>1994800050</v>
      </c>
    </row>
    <row r="910" spans="1:8" x14ac:dyDescent="0.25">
      <c r="A910" s="2">
        <v>44910</v>
      </c>
      <c r="B910">
        <v>26.979999542236332</v>
      </c>
      <c r="C910">
        <v>27.110000610351559</v>
      </c>
      <c r="D910">
        <v>25.879999160766602</v>
      </c>
      <c r="E910">
        <v>26.239999771118161</v>
      </c>
      <c r="F910">
        <v>19377800</v>
      </c>
      <c r="G910">
        <v>52343552000</v>
      </c>
      <c r="H910">
        <v>1994800017</v>
      </c>
    </row>
    <row r="911" spans="1:8" x14ac:dyDescent="0.25">
      <c r="A911" s="2">
        <v>44911</v>
      </c>
      <c r="B911">
        <v>26.059999465942379</v>
      </c>
      <c r="C911">
        <v>26.45000076293945</v>
      </c>
      <c r="D911">
        <v>25.659999847412109</v>
      </c>
      <c r="E911">
        <v>25.969999313354489</v>
      </c>
      <c r="F911">
        <v>22684200</v>
      </c>
      <c r="G911">
        <v>51804956000</v>
      </c>
      <c r="H911">
        <v>1994800053</v>
      </c>
    </row>
    <row r="912" spans="1:8" x14ac:dyDescent="0.25">
      <c r="A912" s="2">
        <v>44914</v>
      </c>
      <c r="B912">
        <v>26.020000457763668</v>
      </c>
      <c r="C912">
        <v>26.020000457763668</v>
      </c>
      <c r="D912">
        <v>24.690000534057621</v>
      </c>
      <c r="E912">
        <v>24.95000076293945</v>
      </c>
      <c r="F912">
        <v>35616100</v>
      </c>
      <c r="G912">
        <v>49770260000</v>
      </c>
      <c r="H912">
        <v>1994799939</v>
      </c>
    </row>
    <row r="913" spans="1:8" x14ac:dyDescent="0.25">
      <c r="A913" s="2">
        <v>44915</v>
      </c>
      <c r="B913">
        <v>24.719999313354489</v>
      </c>
      <c r="C913">
        <v>25.280000686645511</v>
      </c>
      <c r="D913">
        <v>24.610000610351559</v>
      </c>
      <c r="E913">
        <v>24.95999908447266</v>
      </c>
      <c r="F913">
        <v>28536500</v>
      </c>
      <c r="G913">
        <v>49790208000</v>
      </c>
      <c r="H913">
        <v>1994800073</v>
      </c>
    </row>
    <row r="914" spans="1:8" x14ac:dyDescent="0.25">
      <c r="A914" s="2">
        <v>44916</v>
      </c>
      <c r="B914">
        <v>25.14999961853027</v>
      </c>
      <c r="C914">
        <v>25.670000076293949</v>
      </c>
      <c r="D914">
        <v>24.871000289916989</v>
      </c>
      <c r="E914">
        <v>25.360000610351559</v>
      </c>
      <c r="F914">
        <v>20444500</v>
      </c>
      <c r="G914">
        <v>50588128000</v>
      </c>
      <c r="H914">
        <v>1994799952</v>
      </c>
    </row>
    <row r="915" spans="1:8" x14ac:dyDescent="0.25">
      <c r="A915" s="2">
        <v>44917</v>
      </c>
      <c r="B915">
        <v>24.930000305175781</v>
      </c>
      <c r="C915">
        <v>25.10000038146973</v>
      </c>
      <c r="D915">
        <v>24.041999816894531</v>
      </c>
      <c r="E915">
        <v>24.639999389648441</v>
      </c>
      <c r="F915">
        <v>23752700</v>
      </c>
      <c r="G915">
        <v>49151872000</v>
      </c>
      <c r="H915">
        <v>1994800049</v>
      </c>
    </row>
    <row r="916" spans="1:8" x14ac:dyDescent="0.25">
      <c r="A916" s="2">
        <v>44918</v>
      </c>
      <c r="B916">
        <v>24.45999908447266</v>
      </c>
      <c r="C916">
        <v>24.72500038146973</v>
      </c>
      <c r="D916">
        <v>24.16200065612793</v>
      </c>
      <c r="E916">
        <v>24.639999389648441</v>
      </c>
      <c r="F916">
        <v>11610000</v>
      </c>
      <c r="G916">
        <v>49151872000</v>
      </c>
      <c r="H916">
        <v>1994800049</v>
      </c>
    </row>
    <row r="917" spans="1:8" x14ac:dyDescent="0.25">
      <c r="A917" s="2">
        <v>44922</v>
      </c>
      <c r="B917">
        <v>24.29000091552734</v>
      </c>
      <c r="C917">
        <v>24.70000076293945</v>
      </c>
      <c r="D917">
        <v>23.89999961853027</v>
      </c>
      <c r="E917">
        <v>24.39999961853027</v>
      </c>
      <c r="F917">
        <v>15258600</v>
      </c>
      <c r="G917">
        <v>48673120000</v>
      </c>
      <c r="H917">
        <v>1994800031</v>
      </c>
    </row>
    <row r="918" spans="1:8" x14ac:dyDescent="0.25">
      <c r="A918" s="2">
        <v>44923</v>
      </c>
      <c r="B918">
        <v>24.20999908447266</v>
      </c>
      <c r="C918">
        <v>24.719999313354489</v>
      </c>
      <c r="D918">
        <v>24.020000457763668</v>
      </c>
      <c r="E918">
        <v>24.590000152587891</v>
      </c>
      <c r="F918">
        <v>15669200</v>
      </c>
      <c r="G918">
        <v>49052132000</v>
      </c>
      <c r="H918">
        <v>1994799988</v>
      </c>
    </row>
    <row r="919" spans="1:8" x14ac:dyDescent="0.25">
      <c r="A919" s="2">
        <v>44924</v>
      </c>
      <c r="B919">
        <v>24.75</v>
      </c>
      <c r="C919">
        <v>25.375</v>
      </c>
      <c r="D919">
        <v>24.29000091552734</v>
      </c>
      <c r="E919">
        <v>24.909999847412109</v>
      </c>
      <c r="F919">
        <v>17828300</v>
      </c>
      <c r="G919">
        <v>49690468000</v>
      </c>
      <c r="H919">
        <v>1994800012</v>
      </c>
    </row>
    <row r="920" spans="1:8" x14ac:dyDescent="0.25">
      <c r="A920" s="2">
        <v>44925</v>
      </c>
      <c r="B920">
        <v>24.420000076293949</v>
      </c>
      <c r="C920">
        <v>24.85000038146973</v>
      </c>
      <c r="D920">
        <v>24.239999771118161</v>
      </c>
      <c r="E920">
        <v>24.729999542236332</v>
      </c>
      <c r="F920">
        <v>20474100</v>
      </c>
      <c r="G920">
        <v>49331404000</v>
      </c>
      <c r="H920">
        <v>1994800037</v>
      </c>
    </row>
    <row r="921" spans="1:8" x14ac:dyDescent="0.25">
      <c r="A921" s="2">
        <v>44929</v>
      </c>
      <c r="B921">
        <v>25.370000839233398</v>
      </c>
      <c r="C921">
        <v>25.75</v>
      </c>
      <c r="D921">
        <v>25.020000457763668</v>
      </c>
      <c r="E921">
        <v>25.360000610351559</v>
      </c>
      <c r="F921">
        <v>22155300</v>
      </c>
      <c r="G921">
        <v>50962365520</v>
      </c>
      <c r="H921">
        <v>2009556952</v>
      </c>
    </row>
    <row r="922" spans="1:8" x14ac:dyDescent="0.25">
      <c r="A922" s="2">
        <v>44930</v>
      </c>
      <c r="B922">
        <v>25.729999542236332</v>
      </c>
      <c r="C922">
        <v>25.969999313354489</v>
      </c>
      <c r="D922">
        <v>25.319999694824219</v>
      </c>
      <c r="E922">
        <v>25.909999847412109</v>
      </c>
      <c r="F922">
        <v>14816000</v>
      </c>
      <c r="G922">
        <v>52067621870</v>
      </c>
      <c r="H922">
        <v>2009557012</v>
      </c>
    </row>
    <row r="923" spans="1:8" x14ac:dyDescent="0.25">
      <c r="A923" s="2">
        <v>44931</v>
      </c>
      <c r="B923">
        <v>25.729999542236332</v>
      </c>
      <c r="C923">
        <v>26.010000228881839</v>
      </c>
      <c r="D923">
        <v>25.54999923706055</v>
      </c>
      <c r="E923">
        <v>25.54999923706055</v>
      </c>
      <c r="F923">
        <v>9942000</v>
      </c>
      <c r="G923">
        <v>51344181350</v>
      </c>
      <c r="H923">
        <v>2009557060</v>
      </c>
    </row>
    <row r="924" spans="1:8" x14ac:dyDescent="0.25">
      <c r="A924" s="2">
        <v>44932</v>
      </c>
      <c r="B924">
        <v>25.860000610351559</v>
      </c>
      <c r="C924">
        <v>26.54000091552734</v>
      </c>
      <c r="D924">
        <v>25.39999961853027</v>
      </c>
      <c r="E924">
        <v>26.39999961853027</v>
      </c>
      <c r="F924">
        <v>19443800</v>
      </c>
      <c r="G924">
        <v>53052304800</v>
      </c>
      <c r="H924">
        <v>2009557029</v>
      </c>
    </row>
    <row r="925" spans="1:8" x14ac:dyDescent="0.25">
      <c r="A925" s="2">
        <v>44935</v>
      </c>
      <c r="B925">
        <v>27.29999923706055</v>
      </c>
      <c r="C925">
        <v>28.04999923706055</v>
      </c>
      <c r="D925">
        <v>27.14999961853027</v>
      </c>
      <c r="E925">
        <v>27.39999961853027</v>
      </c>
      <c r="F925">
        <v>24962100</v>
      </c>
      <c r="G925">
        <v>55061861800</v>
      </c>
      <c r="H925">
        <v>2009557028</v>
      </c>
    </row>
    <row r="926" spans="1:8" x14ac:dyDescent="0.25">
      <c r="A926" s="2">
        <v>44936</v>
      </c>
      <c r="B926">
        <v>27.39999961853027</v>
      </c>
      <c r="C926">
        <v>28.25</v>
      </c>
      <c r="D926">
        <v>27.14999961853027</v>
      </c>
      <c r="E926">
        <v>28.04000091552734</v>
      </c>
      <c r="F926">
        <v>15413700</v>
      </c>
      <c r="G926">
        <v>56347978280</v>
      </c>
      <c r="H926">
        <v>2009556934</v>
      </c>
    </row>
    <row r="927" spans="1:8" x14ac:dyDescent="0.25">
      <c r="A927" s="2">
        <v>44937</v>
      </c>
      <c r="B927">
        <v>28.239999771118161</v>
      </c>
      <c r="C927">
        <v>28.520000457763668</v>
      </c>
      <c r="D927">
        <v>27.920000076293949</v>
      </c>
      <c r="E927">
        <v>28.35000038146973</v>
      </c>
      <c r="F927">
        <v>15421700</v>
      </c>
      <c r="G927">
        <v>56970940950</v>
      </c>
      <c r="H927">
        <v>2009556973</v>
      </c>
    </row>
    <row r="928" spans="1:8" x14ac:dyDescent="0.25">
      <c r="A928" s="2">
        <v>44938</v>
      </c>
      <c r="B928">
        <v>28.85000038146973</v>
      </c>
      <c r="C928">
        <v>29.184999465942379</v>
      </c>
      <c r="D928">
        <v>28.20000076293945</v>
      </c>
      <c r="E928">
        <v>29.030000686645511</v>
      </c>
      <c r="F928">
        <v>17513400</v>
      </c>
      <c r="G928">
        <v>58337439710</v>
      </c>
      <c r="H928">
        <v>2009556952</v>
      </c>
    </row>
    <row r="929" spans="1:8" x14ac:dyDescent="0.25">
      <c r="A929" s="2">
        <v>44939</v>
      </c>
      <c r="B929">
        <v>28.680000305175781</v>
      </c>
      <c r="C929">
        <v>29.5</v>
      </c>
      <c r="D929">
        <v>28.659999847412109</v>
      </c>
      <c r="E929">
        <v>29.440000534057621</v>
      </c>
      <c r="F929">
        <v>16940700</v>
      </c>
      <c r="G929">
        <v>59161358080</v>
      </c>
      <c r="H929">
        <v>2009556964</v>
      </c>
    </row>
    <row r="930" spans="1:8" x14ac:dyDescent="0.25">
      <c r="A930" s="2">
        <v>44943</v>
      </c>
      <c r="B930">
        <v>29.440000534057621</v>
      </c>
      <c r="C930">
        <v>29.780000686645511</v>
      </c>
      <c r="D930">
        <v>28.954999923706051</v>
      </c>
      <c r="E930">
        <v>29.20000076293945</v>
      </c>
      <c r="F930">
        <v>20816500</v>
      </c>
      <c r="G930">
        <v>58679064400</v>
      </c>
      <c r="H930">
        <v>2009556947</v>
      </c>
    </row>
    <row r="931" spans="1:8" x14ac:dyDescent="0.25">
      <c r="A931" s="2">
        <v>44944</v>
      </c>
      <c r="B931">
        <v>29.95000076293945</v>
      </c>
      <c r="C931">
        <v>30.090000152587891</v>
      </c>
      <c r="D931">
        <v>28.885000228881839</v>
      </c>
      <c r="E931">
        <v>28.95999908447266</v>
      </c>
      <c r="F931">
        <v>25257200</v>
      </c>
      <c r="G931">
        <v>58196770720</v>
      </c>
      <c r="H931">
        <v>2009557064</v>
      </c>
    </row>
    <row r="932" spans="1:8" x14ac:dyDescent="0.25">
      <c r="A932" s="2">
        <v>44945</v>
      </c>
      <c r="B932">
        <v>28.469999313354489</v>
      </c>
      <c r="C932">
        <v>29.284999847412109</v>
      </c>
      <c r="D932">
        <v>28.340000152587891</v>
      </c>
      <c r="E932">
        <v>29.030000686645511</v>
      </c>
      <c r="F932">
        <v>15651500</v>
      </c>
      <c r="G932">
        <v>58337439710</v>
      </c>
      <c r="H932">
        <v>2009556952</v>
      </c>
    </row>
    <row r="933" spans="1:8" x14ac:dyDescent="0.25">
      <c r="A933" s="2">
        <v>44946</v>
      </c>
      <c r="B933">
        <v>29.29999923706055</v>
      </c>
      <c r="C933">
        <v>30.389999389648441</v>
      </c>
      <c r="D933">
        <v>29.120000839233398</v>
      </c>
      <c r="E933">
        <v>30.360000610351559</v>
      </c>
      <c r="F933">
        <v>23008700</v>
      </c>
      <c r="G933">
        <v>61010150520</v>
      </c>
      <c r="H933">
        <v>2009556960</v>
      </c>
    </row>
    <row r="934" spans="1:8" x14ac:dyDescent="0.25">
      <c r="A934" s="2">
        <v>44949</v>
      </c>
      <c r="B934">
        <v>30.629999160766602</v>
      </c>
      <c r="C934">
        <v>31.110000610351559</v>
      </c>
      <c r="D934">
        <v>30.264999389648441</v>
      </c>
      <c r="E934">
        <v>30.530000686645511</v>
      </c>
      <c r="F934">
        <v>22041100</v>
      </c>
      <c r="G934">
        <v>61351775210</v>
      </c>
      <c r="H934">
        <v>2009556955</v>
      </c>
    </row>
    <row r="935" spans="1:8" x14ac:dyDescent="0.25">
      <c r="A935" s="2">
        <v>44950</v>
      </c>
      <c r="B935">
        <v>28.510000228881839</v>
      </c>
      <c r="C935">
        <v>31.20000076293945</v>
      </c>
      <c r="D935">
        <v>28.510000228881839</v>
      </c>
      <c r="E935">
        <v>29.930000305175781</v>
      </c>
      <c r="F935">
        <v>14464400</v>
      </c>
      <c r="G935">
        <v>60146041010</v>
      </c>
      <c r="H935">
        <v>2009556980</v>
      </c>
    </row>
    <row r="936" spans="1:8" x14ac:dyDescent="0.25">
      <c r="A936" s="2">
        <v>44951</v>
      </c>
      <c r="B936">
        <v>29.219999313354489</v>
      </c>
      <c r="C936">
        <v>30.39999961853027</v>
      </c>
      <c r="D936">
        <v>28.79999923706055</v>
      </c>
      <c r="E936">
        <v>30.29000091552734</v>
      </c>
      <c r="F936">
        <v>14488100</v>
      </c>
      <c r="G936">
        <v>60869481530</v>
      </c>
      <c r="H936">
        <v>2009556939</v>
      </c>
    </row>
    <row r="937" spans="1:8" x14ac:dyDescent="0.25">
      <c r="A937" s="2">
        <v>44952</v>
      </c>
      <c r="B937">
        <v>30.530000686645511</v>
      </c>
      <c r="C937">
        <v>30.646999359130859</v>
      </c>
      <c r="D937">
        <v>29.309999465942379</v>
      </c>
      <c r="E937">
        <v>30.020000457763668</v>
      </c>
      <c r="F937">
        <v>25383600</v>
      </c>
      <c r="G937">
        <v>60326901140</v>
      </c>
      <c r="H937">
        <v>2009556969</v>
      </c>
    </row>
    <row r="938" spans="1:8" x14ac:dyDescent="0.25">
      <c r="A938" s="2">
        <v>44953</v>
      </c>
      <c r="B938">
        <v>29.70000076293945</v>
      </c>
      <c r="C938">
        <v>30.597000122070309</v>
      </c>
      <c r="D938">
        <v>29.5</v>
      </c>
      <c r="E938">
        <v>30.360000610351559</v>
      </c>
      <c r="F938">
        <v>18224000</v>
      </c>
      <c r="G938">
        <v>61010150520</v>
      </c>
      <c r="H938">
        <v>2009556960</v>
      </c>
    </row>
    <row r="939" spans="1:8" x14ac:dyDescent="0.25">
      <c r="A939" s="2">
        <v>44956</v>
      </c>
      <c r="B939">
        <v>30.20000076293945</v>
      </c>
      <c r="C939">
        <v>30.54000091552734</v>
      </c>
      <c r="D939">
        <v>29.590000152587891</v>
      </c>
      <c r="E939">
        <v>29.629999160766602</v>
      </c>
      <c r="F939">
        <v>17969700</v>
      </c>
      <c r="G939">
        <v>59543173910</v>
      </c>
      <c r="H939">
        <v>2009557057</v>
      </c>
    </row>
    <row r="940" spans="1:8" x14ac:dyDescent="0.25">
      <c r="A940" s="2">
        <v>44957</v>
      </c>
      <c r="B940">
        <v>29.75</v>
      </c>
      <c r="C940">
        <v>30.95999908447266</v>
      </c>
      <c r="D940">
        <v>29.739999771118161</v>
      </c>
      <c r="E940">
        <v>30.930000305175781</v>
      </c>
      <c r="F940">
        <v>15611500</v>
      </c>
      <c r="G940">
        <v>62155598010</v>
      </c>
      <c r="H940">
        <v>2009556980</v>
      </c>
    </row>
    <row r="941" spans="1:8" x14ac:dyDescent="0.25">
      <c r="A941" s="2">
        <v>44958</v>
      </c>
      <c r="B941">
        <v>30.879999160766602</v>
      </c>
      <c r="C941">
        <v>31.85000038146973</v>
      </c>
      <c r="D941">
        <v>30.639999389648441</v>
      </c>
      <c r="E941">
        <v>31.489999771118161</v>
      </c>
      <c r="F941">
        <v>21206400</v>
      </c>
      <c r="G941">
        <v>63280949930</v>
      </c>
      <c r="H941">
        <v>2009557015</v>
      </c>
    </row>
    <row r="942" spans="1:8" x14ac:dyDescent="0.25">
      <c r="A942" s="2">
        <v>44959</v>
      </c>
      <c r="B942">
        <v>32.419998168945313</v>
      </c>
      <c r="C942">
        <v>33.470001220703118</v>
      </c>
      <c r="D942">
        <v>32.419998168945313</v>
      </c>
      <c r="E942">
        <v>33.049999237060547</v>
      </c>
      <c r="F942">
        <v>32045500</v>
      </c>
      <c r="G942">
        <v>66415858849</v>
      </c>
      <c r="H942">
        <v>2009557046</v>
      </c>
    </row>
    <row r="943" spans="1:8" x14ac:dyDescent="0.25">
      <c r="A943" s="2">
        <v>44960</v>
      </c>
      <c r="B943">
        <v>32.169998168945313</v>
      </c>
      <c r="C943">
        <v>33.950000762939453</v>
      </c>
      <c r="D943">
        <v>32.150001525878913</v>
      </c>
      <c r="E943">
        <v>33.090000152587891</v>
      </c>
      <c r="F943">
        <v>25804900</v>
      </c>
      <c r="G943">
        <v>66496241130</v>
      </c>
      <c r="H943">
        <v>2009556991</v>
      </c>
    </row>
    <row r="944" spans="1:8" x14ac:dyDescent="0.25">
      <c r="A944" s="2">
        <v>44963</v>
      </c>
      <c r="B944">
        <v>33.529998779296882</v>
      </c>
      <c r="C944">
        <v>34.209999084472663</v>
      </c>
      <c r="D944">
        <v>32.900001525878913</v>
      </c>
      <c r="E944">
        <v>33.900001525878913</v>
      </c>
      <c r="F944">
        <v>33594900</v>
      </c>
      <c r="G944">
        <v>68123982300</v>
      </c>
      <c r="H944">
        <v>2009556910</v>
      </c>
    </row>
    <row r="945" spans="1:8" x14ac:dyDescent="0.25">
      <c r="A945" s="2">
        <v>44964</v>
      </c>
      <c r="B945">
        <v>33.659999847412109</v>
      </c>
      <c r="C945">
        <v>35.060001373291023</v>
      </c>
      <c r="D945">
        <v>33.409999847412109</v>
      </c>
      <c r="E945">
        <v>34.900001525878913</v>
      </c>
      <c r="F945">
        <v>59374000</v>
      </c>
      <c r="G945">
        <v>70133539300</v>
      </c>
      <c r="H945">
        <v>2009556912</v>
      </c>
    </row>
    <row r="946" spans="1:8" x14ac:dyDescent="0.25">
      <c r="A946" s="2">
        <v>44965</v>
      </c>
      <c r="B946">
        <v>37.430000305175781</v>
      </c>
      <c r="C946">
        <v>37.580001831054688</v>
      </c>
      <c r="D946">
        <v>34.5</v>
      </c>
      <c r="E946">
        <v>36.830001831054688</v>
      </c>
      <c r="F946">
        <v>109597800</v>
      </c>
      <c r="G946">
        <v>74011984310</v>
      </c>
      <c r="H946">
        <v>2009556900</v>
      </c>
    </row>
    <row r="947" spans="1:8" x14ac:dyDescent="0.25">
      <c r="A947" s="2">
        <v>44966</v>
      </c>
      <c r="B947">
        <v>36.889999389648438</v>
      </c>
      <c r="C947">
        <v>37.360000610351563</v>
      </c>
      <c r="D947">
        <v>35.650001525878913</v>
      </c>
      <c r="E947">
        <v>35.889999389648438</v>
      </c>
      <c r="F947">
        <v>44068500</v>
      </c>
      <c r="G947">
        <v>72123000730</v>
      </c>
      <c r="H947">
        <v>2009557034</v>
      </c>
    </row>
    <row r="948" spans="1:8" x14ac:dyDescent="0.25">
      <c r="A948" s="2">
        <v>44967</v>
      </c>
      <c r="B948">
        <v>34.400001525878913</v>
      </c>
      <c r="C948">
        <v>35.398998260498047</v>
      </c>
      <c r="D948">
        <v>34.049999237060547</v>
      </c>
      <c r="E948">
        <v>34.299999237060547</v>
      </c>
      <c r="F948">
        <v>41936400</v>
      </c>
      <c r="G948">
        <v>68927805100</v>
      </c>
      <c r="H948">
        <v>2009557045</v>
      </c>
    </row>
    <row r="949" spans="1:8" x14ac:dyDescent="0.25">
      <c r="A949" s="2">
        <v>44970</v>
      </c>
      <c r="B949">
        <v>34.5</v>
      </c>
      <c r="C949">
        <v>34.520000457763672</v>
      </c>
      <c r="D949">
        <v>33.349998474121087</v>
      </c>
      <c r="E949">
        <v>33.439998626708977</v>
      </c>
      <c r="F949">
        <v>35043700</v>
      </c>
      <c r="G949">
        <v>67199586079</v>
      </c>
      <c r="H949">
        <v>2009557082</v>
      </c>
    </row>
    <row r="950" spans="1:8" x14ac:dyDescent="0.25">
      <c r="A950" s="2">
        <v>44971</v>
      </c>
      <c r="B950">
        <v>33.110000610351563</v>
      </c>
      <c r="C950">
        <v>35.360000610351563</v>
      </c>
      <c r="D950">
        <v>32.7239990234375</v>
      </c>
      <c r="E950">
        <v>35.229999542236328</v>
      </c>
      <c r="F950">
        <v>38856500</v>
      </c>
      <c r="G950">
        <v>70796693110</v>
      </c>
      <c r="H950">
        <v>2009557026</v>
      </c>
    </row>
    <row r="951" spans="1:8" x14ac:dyDescent="0.25">
      <c r="A951" s="2">
        <v>44972</v>
      </c>
      <c r="B951">
        <v>35.009998321533203</v>
      </c>
      <c r="C951">
        <v>36.240001678466797</v>
      </c>
      <c r="D951">
        <v>34.715000152587891</v>
      </c>
      <c r="E951">
        <v>36.229999542236328</v>
      </c>
      <c r="F951">
        <v>31443800</v>
      </c>
      <c r="G951">
        <v>72806250110</v>
      </c>
      <c r="H951">
        <v>2009557025</v>
      </c>
    </row>
    <row r="952" spans="1:8" x14ac:dyDescent="0.25">
      <c r="A952" s="2">
        <v>44973</v>
      </c>
      <c r="B952">
        <v>35.599998474121087</v>
      </c>
      <c r="C952">
        <v>36.729999542236328</v>
      </c>
      <c r="D952">
        <v>35.451999664306641</v>
      </c>
      <c r="E952">
        <v>36.220001220703118</v>
      </c>
      <c r="F952">
        <v>28202700</v>
      </c>
      <c r="G952">
        <v>72786154540</v>
      </c>
      <c r="H952">
        <v>2009556932</v>
      </c>
    </row>
    <row r="953" spans="1:8" x14ac:dyDescent="0.25">
      <c r="A953" s="2">
        <v>44974</v>
      </c>
      <c r="B953">
        <v>35.959999084472663</v>
      </c>
      <c r="C953">
        <v>36.229999542236328</v>
      </c>
      <c r="D953">
        <v>34.569999694824219</v>
      </c>
      <c r="E953">
        <v>34.770000457763672</v>
      </c>
      <c r="F953">
        <v>27946700</v>
      </c>
      <c r="G953">
        <v>69872296890</v>
      </c>
      <c r="H953">
        <v>2009556974</v>
      </c>
    </row>
    <row r="954" spans="1:8" x14ac:dyDescent="0.25">
      <c r="A954" s="2">
        <v>44978</v>
      </c>
      <c r="B954">
        <v>33.779998779296882</v>
      </c>
      <c r="C954">
        <v>34.389999389648438</v>
      </c>
      <c r="D954">
        <v>33.490001678466797</v>
      </c>
      <c r="E954">
        <v>34.200000762939453</v>
      </c>
      <c r="F954">
        <v>24696800</v>
      </c>
      <c r="G954">
        <v>68726849400</v>
      </c>
      <c r="H954">
        <v>2009556955</v>
      </c>
    </row>
    <row r="955" spans="1:8" x14ac:dyDescent="0.25">
      <c r="A955" s="2">
        <v>44979</v>
      </c>
      <c r="B955">
        <v>34.349998474121087</v>
      </c>
      <c r="C955">
        <v>35.169998168945313</v>
      </c>
      <c r="D955">
        <v>34.220001220703118</v>
      </c>
      <c r="E955">
        <v>34.540000915527337</v>
      </c>
      <c r="F955">
        <v>23294000</v>
      </c>
      <c r="G955">
        <v>69410098780</v>
      </c>
      <c r="H955">
        <v>2009556947</v>
      </c>
    </row>
    <row r="956" spans="1:8" x14ac:dyDescent="0.25">
      <c r="A956" s="2">
        <v>44980</v>
      </c>
      <c r="B956">
        <v>34.790000915527337</v>
      </c>
      <c r="C956">
        <v>34.799999237060547</v>
      </c>
      <c r="D956">
        <v>33.700000762939453</v>
      </c>
      <c r="E956">
        <v>34.470001220703118</v>
      </c>
      <c r="F956">
        <v>23661700</v>
      </c>
      <c r="G956">
        <v>69269429790</v>
      </c>
      <c r="H956">
        <v>2009556929</v>
      </c>
    </row>
    <row r="957" spans="1:8" x14ac:dyDescent="0.25">
      <c r="A957" s="2">
        <v>44981</v>
      </c>
      <c r="B957">
        <v>33.700000762939453</v>
      </c>
      <c r="C957">
        <v>33.919998168945313</v>
      </c>
      <c r="D957">
        <v>33.020000457763672</v>
      </c>
      <c r="E957">
        <v>33.400001525878913</v>
      </c>
      <c r="F957">
        <v>19101000</v>
      </c>
      <c r="G957">
        <v>67119203800</v>
      </c>
      <c r="H957">
        <v>2009556908</v>
      </c>
    </row>
    <row r="958" spans="1:8" x14ac:dyDescent="0.25">
      <c r="A958" s="2">
        <v>44984</v>
      </c>
      <c r="B958">
        <v>33.674999237060547</v>
      </c>
      <c r="C958">
        <v>33.849998474121087</v>
      </c>
      <c r="D958">
        <v>33.060001373291023</v>
      </c>
      <c r="E958">
        <v>33.549999237060547</v>
      </c>
      <c r="F958">
        <v>19079100</v>
      </c>
      <c r="G958">
        <v>67420637349</v>
      </c>
      <c r="H958">
        <v>2009557046</v>
      </c>
    </row>
    <row r="959" spans="1:8" x14ac:dyDescent="0.25">
      <c r="A959" s="2">
        <v>44985</v>
      </c>
      <c r="B959">
        <v>33.75</v>
      </c>
      <c r="C959">
        <v>34</v>
      </c>
      <c r="D959">
        <v>33.165000915527337</v>
      </c>
      <c r="E959">
        <v>33.259998321533203</v>
      </c>
      <c r="F959">
        <v>17144000</v>
      </c>
      <c r="G959">
        <v>66837865819</v>
      </c>
      <c r="H959">
        <v>2009557101</v>
      </c>
    </row>
    <row r="960" spans="1:8" x14ac:dyDescent="0.25">
      <c r="A960" s="2">
        <v>44986</v>
      </c>
      <c r="B960">
        <v>33.430000305175781</v>
      </c>
      <c r="C960">
        <v>33.580001831054688</v>
      </c>
      <c r="D960">
        <v>32.889999389648438</v>
      </c>
      <c r="E960">
        <v>32.990001678466797</v>
      </c>
      <c r="F960">
        <v>14404700</v>
      </c>
      <c r="G960">
        <v>66295285430</v>
      </c>
      <c r="H960">
        <v>2009556898</v>
      </c>
    </row>
    <row r="961" spans="1:8" x14ac:dyDescent="0.25">
      <c r="A961" s="2">
        <v>44987</v>
      </c>
      <c r="B961">
        <v>32.540000915527337</v>
      </c>
      <c r="C961">
        <v>33.799999237060547</v>
      </c>
      <c r="D961">
        <v>32.229999542236328</v>
      </c>
      <c r="E961">
        <v>33.689998626708977</v>
      </c>
      <c r="F961">
        <v>17967400</v>
      </c>
      <c r="G961">
        <v>67701975329</v>
      </c>
      <c r="H961">
        <v>2009557082</v>
      </c>
    </row>
    <row r="962" spans="1:8" x14ac:dyDescent="0.25">
      <c r="A962" s="2">
        <v>44988</v>
      </c>
      <c r="B962">
        <v>34</v>
      </c>
      <c r="C962">
        <v>34.590000152587891</v>
      </c>
      <c r="D962">
        <v>33.799999237060547</v>
      </c>
      <c r="E962">
        <v>34.569999694824219</v>
      </c>
      <c r="F962">
        <v>14990400</v>
      </c>
      <c r="G962">
        <v>69470385490</v>
      </c>
      <c r="H962">
        <v>2009557018</v>
      </c>
    </row>
    <row r="963" spans="1:8" x14ac:dyDescent="0.25">
      <c r="A963" s="2">
        <v>44991</v>
      </c>
      <c r="B963">
        <v>34.584999084472663</v>
      </c>
      <c r="C963">
        <v>35.110000610351563</v>
      </c>
      <c r="D963">
        <v>33.849998474121087</v>
      </c>
      <c r="E963">
        <v>33.880001068115227</v>
      </c>
      <c r="F963">
        <v>18903000</v>
      </c>
      <c r="G963">
        <v>68083791160</v>
      </c>
      <c r="H963">
        <v>2009556937</v>
      </c>
    </row>
    <row r="964" spans="1:8" x14ac:dyDescent="0.25">
      <c r="A964" s="2">
        <v>44992</v>
      </c>
      <c r="B964">
        <v>33.849998474121087</v>
      </c>
      <c r="C964">
        <v>35</v>
      </c>
      <c r="D964">
        <v>33.599998474121087</v>
      </c>
      <c r="E964">
        <v>34.139999389648438</v>
      </c>
      <c r="F964">
        <v>25538400</v>
      </c>
      <c r="G964">
        <v>68606275980</v>
      </c>
      <c r="H964">
        <v>2009557036</v>
      </c>
    </row>
    <row r="965" spans="1:8" x14ac:dyDescent="0.25">
      <c r="A965" s="2">
        <v>44993</v>
      </c>
      <c r="B965">
        <v>34.009998321533203</v>
      </c>
      <c r="C965">
        <v>34.630001068115227</v>
      </c>
      <c r="D965">
        <v>33.520000457763672</v>
      </c>
      <c r="E965">
        <v>34.009998321533203</v>
      </c>
      <c r="F965">
        <v>16174300</v>
      </c>
      <c r="G965">
        <v>68345033569</v>
      </c>
      <c r="H965">
        <v>2009557099</v>
      </c>
    </row>
    <row r="966" spans="1:8" x14ac:dyDescent="0.25">
      <c r="A966" s="2">
        <v>44994</v>
      </c>
      <c r="B966">
        <v>34.409999847412109</v>
      </c>
      <c r="C966">
        <v>34.520000457763672</v>
      </c>
      <c r="D966">
        <v>32.279998779296882</v>
      </c>
      <c r="E966">
        <v>32.319999694824219</v>
      </c>
      <c r="F966">
        <v>27629700</v>
      </c>
      <c r="G966">
        <v>64948882240</v>
      </c>
      <c r="H966">
        <v>2009557019</v>
      </c>
    </row>
    <row r="967" spans="1:8" x14ac:dyDescent="0.25">
      <c r="A967" s="2">
        <v>44995</v>
      </c>
      <c r="B967">
        <v>32</v>
      </c>
      <c r="C967">
        <v>32.034999847412109</v>
      </c>
      <c r="D967">
        <v>30.770000457763668</v>
      </c>
      <c r="E967">
        <v>31.110000610351559</v>
      </c>
      <c r="F967">
        <v>32553600</v>
      </c>
      <c r="G967">
        <v>62517318270</v>
      </c>
      <c r="H967">
        <v>2009556961</v>
      </c>
    </row>
    <row r="968" spans="1:8" x14ac:dyDescent="0.25">
      <c r="A968" s="2">
        <v>44998</v>
      </c>
      <c r="B968">
        <v>30.58499908447266</v>
      </c>
      <c r="C968">
        <v>31.08499908447266</v>
      </c>
      <c r="D968">
        <v>29.969999313354489</v>
      </c>
      <c r="E968">
        <v>30.819999694824219</v>
      </c>
      <c r="F968">
        <v>24302600</v>
      </c>
      <c r="G968">
        <v>61934546740</v>
      </c>
      <c r="H968">
        <v>2009557020</v>
      </c>
    </row>
    <row r="969" spans="1:8" x14ac:dyDescent="0.25">
      <c r="A969" s="2">
        <v>44999</v>
      </c>
      <c r="B969">
        <v>32.939998626708977</v>
      </c>
      <c r="C969">
        <v>33.419998168945313</v>
      </c>
      <c r="D969">
        <v>32.159999847412109</v>
      </c>
      <c r="E969">
        <v>32.360000610351563</v>
      </c>
      <c r="F969">
        <v>34241800</v>
      </c>
      <c r="G969">
        <v>65029264520</v>
      </c>
      <c r="H969">
        <v>2009556962</v>
      </c>
    </row>
    <row r="970" spans="1:8" x14ac:dyDescent="0.25">
      <c r="A970" s="2">
        <v>45000</v>
      </c>
      <c r="B970">
        <v>31.829999923706051</v>
      </c>
      <c r="C970">
        <v>32.235000610351563</v>
      </c>
      <c r="D970">
        <v>31.385000228881839</v>
      </c>
      <c r="E970">
        <v>31.969999313354489</v>
      </c>
      <c r="F970">
        <v>28434900</v>
      </c>
      <c r="G970">
        <v>64245537290</v>
      </c>
      <c r="H970">
        <v>2009557043</v>
      </c>
    </row>
    <row r="971" spans="1:8" x14ac:dyDescent="0.25">
      <c r="A971" s="2">
        <v>45001</v>
      </c>
      <c r="B971">
        <v>31.590000152587891</v>
      </c>
      <c r="C971">
        <v>32.900001525878913</v>
      </c>
      <c r="D971">
        <v>31.54999923706055</v>
      </c>
      <c r="E971">
        <v>32.729999542236328</v>
      </c>
      <c r="F971">
        <v>20044700</v>
      </c>
      <c r="G971">
        <v>65772800609</v>
      </c>
      <c r="H971">
        <v>2009557028</v>
      </c>
    </row>
    <row r="972" spans="1:8" x14ac:dyDescent="0.25">
      <c r="A972" s="2">
        <v>45002</v>
      </c>
      <c r="B972">
        <v>32.380001068115227</v>
      </c>
      <c r="C972">
        <v>32.470001220703118</v>
      </c>
      <c r="D972">
        <v>31.510000228881839</v>
      </c>
      <c r="E972">
        <v>31.780000686645511</v>
      </c>
      <c r="F972">
        <v>27102500</v>
      </c>
      <c r="G972">
        <v>63863721460</v>
      </c>
      <c r="H972">
        <v>2009556957</v>
      </c>
    </row>
    <row r="973" spans="1:8" x14ac:dyDescent="0.25">
      <c r="A973" s="2">
        <v>45005</v>
      </c>
      <c r="B973">
        <v>31.60000038146973</v>
      </c>
      <c r="C973">
        <v>32.360000610351563</v>
      </c>
      <c r="D973">
        <v>31.45999908447266</v>
      </c>
      <c r="E973">
        <v>31.930000305175781</v>
      </c>
      <c r="F973">
        <v>14157800</v>
      </c>
      <c r="G973">
        <v>64165155010</v>
      </c>
      <c r="H973">
        <v>2009556981</v>
      </c>
    </row>
    <row r="974" spans="1:8" x14ac:dyDescent="0.25">
      <c r="A974" s="2">
        <v>45006</v>
      </c>
      <c r="B974">
        <v>32.330001831054688</v>
      </c>
      <c r="C974">
        <v>33.139999389648438</v>
      </c>
      <c r="D974">
        <v>32.229999542236328</v>
      </c>
      <c r="E974">
        <v>32.860000610351563</v>
      </c>
      <c r="F974">
        <v>19780200</v>
      </c>
      <c r="G974">
        <v>66034043020</v>
      </c>
      <c r="H974">
        <v>2009556963</v>
      </c>
    </row>
    <row r="975" spans="1:8" x14ac:dyDescent="0.25">
      <c r="A975" s="2">
        <v>45007</v>
      </c>
      <c r="B975">
        <v>32.580001831054688</v>
      </c>
      <c r="C975">
        <v>32.720001220703118</v>
      </c>
      <c r="D975">
        <v>31.5</v>
      </c>
      <c r="E975">
        <v>31.520000457763668</v>
      </c>
      <c r="F975">
        <v>24636400</v>
      </c>
      <c r="G975">
        <v>63341236640</v>
      </c>
      <c r="H975">
        <v>2009556971</v>
      </c>
    </row>
    <row r="976" spans="1:8" x14ac:dyDescent="0.25">
      <c r="A976" s="2">
        <v>45008</v>
      </c>
      <c r="B976">
        <v>31.879999160766602</v>
      </c>
      <c r="C976">
        <v>32.200000762939453</v>
      </c>
      <c r="D976">
        <v>30.75</v>
      </c>
      <c r="E976">
        <v>31.180000305175781</v>
      </c>
      <c r="F976">
        <v>16806900</v>
      </c>
      <c r="G976">
        <v>62657987260</v>
      </c>
      <c r="H976">
        <v>2009556980</v>
      </c>
    </row>
    <row r="977" spans="1:8" x14ac:dyDescent="0.25">
      <c r="A977" s="2">
        <v>45009</v>
      </c>
      <c r="B977">
        <v>30.940000534057621</v>
      </c>
      <c r="C977">
        <v>31.14999961853027</v>
      </c>
      <c r="D977">
        <v>30.29000091552734</v>
      </c>
      <c r="E977">
        <v>30.75</v>
      </c>
      <c r="F977">
        <v>14775300</v>
      </c>
      <c r="G977">
        <v>61793877750</v>
      </c>
      <c r="H977">
        <v>2009557000</v>
      </c>
    </row>
    <row r="978" spans="1:8" x14ac:dyDescent="0.25">
      <c r="A978" s="2">
        <v>45012</v>
      </c>
      <c r="B978">
        <v>31.030000686645511</v>
      </c>
      <c r="C978">
        <v>31.04000091552734</v>
      </c>
      <c r="D978">
        <v>30.139999389648441</v>
      </c>
      <c r="E978">
        <v>30.620000839233398</v>
      </c>
      <c r="F978">
        <v>17918000</v>
      </c>
      <c r="G978">
        <v>61532635340</v>
      </c>
      <c r="H978">
        <v>2009556945</v>
      </c>
    </row>
    <row r="979" spans="1:8" x14ac:dyDescent="0.25">
      <c r="A979" s="2">
        <v>45013</v>
      </c>
      <c r="B979">
        <v>30.530000686645511</v>
      </c>
      <c r="C979">
        <v>30.860000610351559</v>
      </c>
      <c r="D979">
        <v>29.979999542236332</v>
      </c>
      <c r="E979">
        <v>30.069999694824219</v>
      </c>
      <c r="F979">
        <v>23087300</v>
      </c>
      <c r="G979">
        <v>60427378990</v>
      </c>
      <c r="H979">
        <v>2009557020</v>
      </c>
    </row>
    <row r="980" spans="1:8" x14ac:dyDescent="0.25">
      <c r="A980" s="2">
        <v>45014</v>
      </c>
      <c r="B980">
        <v>30.620000839233398</v>
      </c>
      <c r="C980">
        <v>30.89999961853027</v>
      </c>
      <c r="D980">
        <v>30.20000076293945</v>
      </c>
      <c r="E980">
        <v>30.870000839233398</v>
      </c>
      <c r="F980">
        <v>18917500</v>
      </c>
      <c r="G980">
        <v>62035024590</v>
      </c>
      <c r="H980">
        <v>2009556945</v>
      </c>
    </row>
    <row r="981" spans="1:8" x14ac:dyDescent="0.25">
      <c r="A981" s="2">
        <v>45015</v>
      </c>
      <c r="B981">
        <v>31.5</v>
      </c>
      <c r="C981">
        <v>31.85000038146973</v>
      </c>
      <c r="D981">
        <v>30.879999160766602</v>
      </c>
      <c r="E981">
        <v>31.190000534057621</v>
      </c>
      <c r="F981">
        <v>16261300</v>
      </c>
      <c r="G981">
        <v>62678082830</v>
      </c>
      <c r="H981">
        <v>2009556966</v>
      </c>
    </row>
    <row r="982" spans="1:8" x14ac:dyDescent="0.25">
      <c r="A982" s="2">
        <v>45016</v>
      </c>
      <c r="B982">
        <v>31.420000076293949</v>
      </c>
      <c r="C982">
        <v>31.844999313354489</v>
      </c>
      <c r="D982">
        <v>31.20999908447266</v>
      </c>
      <c r="E982">
        <v>31.70000076293945</v>
      </c>
      <c r="F982">
        <v>14824600</v>
      </c>
      <c r="G982">
        <v>64249972100</v>
      </c>
      <c r="H982">
        <v>2026812951</v>
      </c>
    </row>
    <row r="983" spans="1:8" x14ac:dyDescent="0.25">
      <c r="A983" s="2">
        <v>45019</v>
      </c>
      <c r="B983">
        <v>31.5</v>
      </c>
      <c r="C983">
        <v>31.754999160766602</v>
      </c>
      <c r="D983">
        <v>31.166999816894531</v>
      </c>
      <c r="E983">
        <v>31.45999908447266</v>
      </c>
      <c r="F983">
        <v>23529100</v>
      </c>
      <c r="G983">
        <v>63763536980</v>
      </c>
      <c r="H983">
        <v>2026813059</v>
      </c>
    </row>
    <row r="984" spans="1:8" x14ac:dyDescent="0.25">
      <c r="A984" s="2">
        <v>45020</v>
      </c>
      <c r="B984">
        <v>31.940000534057621</v>
      </c>
      <c r="C984">
        <v>32.130001068115227</v>
      </c>
      <c r="D984">
        <v>31.284999847412109</v>
      </c>
      <c r="E984">
        <v>31.389999389648441</v>
      </c>
      <c r="F984">
        <v>15146900</v>
      </c>
      <c r="G984">
        <v>63621660070</v>
      </c>
      <c r="H984">
        <v>2026813039</v>
      </c>
    </row>
    <row r="985" spans="1:8" x14ac:dyDescent="0.25">
      <c r="A985" s="2">
        <v>45021</v>
      </c>
      <c r="B985">
        <v>30.95000076293945</v>
      </c>
      <c r="C985">
        <v>31.235000610351559</v>
      </c>
      <c r="D985">
        <v>30.469999313354489</v>
      </c>
      <c r="E985">
        <v>31.120000839233398</v>
      </c>
      <c r="F985">
        <v>17243300</v>
      </c>
      <c r="G985">
        <v>63074420560</v>
      </c>
      <c r="H985">
        <v>2026812945</v>
      </c>
    </row>
    <row r="986" spans="1:8" x14ac:dyDescent="0.25">
      <c r="A986" s="2">
        <v>45022</v>
      </c>
      <c r="B986">
        <v>30.930000305175781</v>
      </c>
      <c r="C986">
        <v>31.489999771118161</v>
      </c>
      <c r="D986">
        <v>30.5</v>
      </c>
      <c r="E986">
        <v>31.180000305175781</v>
      </c>
      <c r="F986">
        <v>14486900</v>
      </c>
      <c r="G986">
        <v>63196029340</v>
      </c>
      <c r="H986">
        <v>2026812980</v>
      </c>
    </row>
    <row r="987" spans="1:8" x14ac:dyDescent="0.25">
      <c r="A987" s="2">
        <v>45026</v>
      </c>
      <c r="B987">
        <v>30.95999908447266</v>
      </c>
      <c r="C987">
        <v>31.784999847412109</v>
      </c>
      <c r="D987">
        <v>30.610000610351559</v>
      </c>
      <c r="E987">
        <v>31.739999771118161</v>
      </c>
      <c r="F987">
        <v>16463100</v>
      </c>
      <c r="G987">
        <v>64331044620</v>
      </c>
      <c r="H987">
        <v>2026813015</v>
      </c>
    </row>
    <row r="988" spans="1:8" x14ac:dyDescent="0.25">
      <c r="A988" s="2">
        <v>45027</v>
      </c>
      <c r="B988">
        <v>31.75</v>
      </c>
      <c r="C988">
        <v>31.79999923706055</v>
      </c>
      <c r="D988">
        <v>30.879999160766602</v>
      </c>
      <c r="E988">
        <v>31.120000839233398</v>
      </c>
      <c r="F988">
        <v>16906500</v>
      </c>
      <c r="G988">
        <v>63074420560</v>
      </c>
      <c r="H988">
        <v>2026812945</v>
      </c>
    </row>
    <row r="989" spans="1:8" x14ac:dyDescent="0.25">
      <c r="A989" s="2">
        <v>45028</v>
      </c>
      <c r="B989">
        <v>31.190000534057621</v>
      </c>
      <c r="C989">
        <v>31.45000076293945</v>
      </c>
      <c r="D989">
        <v>30.39999961853027</v>
      </c>
      <c r="E989">
        <v>30.590000152587891</v>
      </c>
      <c r="F989">
        <v>15964900</v>
      </c>
      <c r="G989">
        <v>62000209670</v>
      </c>
      <c r="H989">
        <v>2026812990</v>
      </c>
    </row>
    <row r="990" spans="1:8" x14ac:dyDescent="0.25">
      <c r="A990" s="2">
        <v>45029</v>
      </c>
      <c r="B990">
        <v>30.83499908447266</v>
      </c>
      <c r="C990">
        <v>31.590000152587891</v>
      </c>
      <c r="D990">
        <v>30.690000534057621</v>
      </c>
      <c r="E990">
        <v>31.440000534057621</v>
      </c>
      <c r="F990">
        <v>15079600</v>
      </c>
      <c r="G990">
        <v>63723000720</v>
      </c>
      <c r="H990">
        <v>2026812966</v>
      </c>
    </row>
    <row r="991" spans="1:8" x14ac:dyDescent="0.25">
      <c r="A991" s="2">
        <v>45030</v>
      </c>
      <c r="B991">
        <v>31.309999465942379</v>
      </c>
      <c r="C991">
        <v>31.620000839233398</v>
      </c>
      <c r="D991">
        <v>30.930000305175781</v>
      </c>
      <c r="E991">
        <v>31.479999542236332</v>
      </c>
      <c r="F991">
        <v>11851900</v>
      </c>
      <c r="G991">
        <v>63804073240</v>
      </c>
      <c r="H991">
        <v>2026813029</v>
      </c>
    </row>
    <row r="992" spans="1:8" x14ac:dyDescent="0.25">
      <c r="A992" s="2">
        <v>45033</v>
      </c>
      <c r="B992">
        <v>32.189998626708977</v>
      </c>
      <c r="C992">
        <v>32.189998626708977</v>
      </c>
      <c r="D992">
        <v>31.629999160766602</v>
      </c>
      <c r="E992">
        <v>32.080001831054688</v>
      </c>
      <c r="F992">
        <v>25206200</v>
      </c>
      <c r="G992">
        <v>65020161040</v>
      </c>
      <c r="H992">
        <v>2026812884</v>
      </c>
    </row>
    <row r="993" spans="1:8" x14ac:dyDescent="0.25">
      <c r="A993" s="2">
        <v>45034</v>
      </c>
      <c r="B993">
        <v>32.369998931884773</v>
      </c>
      <c r="C993">
        <v>32.930000305175781</v>
      </c>
      <c r="D993">
        <v>31.610000610351559</v>
      </c>
      <c r="E993">
        <v>31.729999542236332</v>
      </c>
      <c r="F993">
        <v>18698600</v>
      </c>
      <c r="G993">
        <v>64310776490</v>
      </c>
      <c r="H993">
        <v>2026813029</v>
      </c>
    </row>
    <row r="994" spans="1:8" x14ac:dyDescent="0.25">
      <c r="A994" s="2">
        <v>45035</v>
      </c>
      <c r="B994">
        <v>31.35000038146973</v>
      </c>
      <c r="C994">
        <v>32.369998931884773</v>
      </c>
      <c r="D994">
        <v>31.159999847412109</v>
      </c>
      <c r="E994">
        <v>32.040000915527337</v>
      </c>
      <c r="F994">
        <v>13822000</v>
      </c>
      <c r="G994">
        <v>64939088520</v>
      </c>
      <c r="H994">
        <v>2026812942</v>
      </c>
    </row>
    <row r="995" spans="1:8" x14ac:dyDescent="0.25">
      <c r="A995" s="2">
        <v>45036</v>
      </c>
      <c r="B995">
        <v>31.520000457763668</v>
      </c>
      <c r="C995">
        <v>32.040000915527337</v>
      </c>
      <c r="D995">
        <v>31.39999961853027</v>
      </c>
      <c r="E995">
        <v>31.5</v>
      </c>
      <c r="F995">
        <v>12747100</v>
      </c>
      <c r="G995">
        <v>63844609500</v>
      </c>
      <c r="H995">
        <v>2026813000</v>
      </c>
    </row>
    <row r="996" spans="1:8" x14ac:dyDescent="0.25">
      <c r="A996" s="2">
        <v>45037</v>
      </c>
      <c r="B996">
        <v>31.360000610351559</v>
      </c>
      <c r="C996">
        <v>31.45999908447266</v>
      </c>
      <c r="D996">
        <v>29.70999908447266</v>
      </c>
      <c r="E996">
        <v>30.829999923706051</v>
      </c>
      <c r="F996">
        <v>40543100</v>
      </c>
      <c r="G996">
        <v>62486644790</v>
      </c>
      <c r="H996">
        <v>2026813005</v>
      </c>
    </row>
    <row r="997" spans="1:8" x14ac:dyDescent="0.25">
      <c r="A997" s="2">
        <v>45040</v>
      </c>
      <c r="B997">
        <v>30.680000305175781</v>
      </c>
      <c r="C997">
        <v>31.059999465942379</v>
      </c>
      <c r="D997">
        <v>30.229999542236332</v>
      </c>
      <c r="E997">
        <v>30.680000305175781</v>
      </c>
      <c r="F997">
        <v>14596200</v>
      </c>
      <c r="G997">
        <v>62182622840</v>
      </c>
      <c r="H997">
        <v>2026812980</v>
      </c>
    </row>
    <row r="998" spans="1:8" x14ac:dyDescent="0.25">
      <c r="A998" s="2">
        <v>45041</v>
      </c>
      <c r="B998">
        <v>30.340000152587891</v>
      </c>
      <c r="C998">
        <v>30.469999313354489</v>
      </c>
      <c r="D998">
        <v>29.554000854492191</v>
      </c>
      <c r="E998">
        <v>29.590000152587891</v>
      </c>
      <c r="F998">
        <v>20399200</v>
      </c>
      <c r="G998">
        <v>59973396670</v>
      </c>
      <c r="H998">
        <v>2026812990</v>
      </c>
    </row>
    <row r="999" spans="1:8" x14ac:dyDescent="0.25">
      <c r="A999" s="2">
        <v>45042</v>
      </c>
      <c r="B999">
        <v>29.70000076293945</v>
      </c>
      <c r="C999">
        <v>30.120000839233398</v>
      </c>
      <c r="D999">
        <v>29.465000152587891</v>
      </c>
      <c r="E999">
        <v>29.680000305175781</v>
      </c>
      <c r="F999">
        <v>14277100</v>
      </c>
      <c r="G999">
        <v>60155809840</v>
      </c>
      <c r="H999">
        <v>2026812979</v>
      </c>
    </row>
    <row r="1000" spans="1:8" x14ac:dyDescent="0.25">
      <c r="A1000" s="2">
        <v>45043</v>
      </c>
      <c r="B1000">
        <v>30.069999694824219</v>
      </c>
      <c r="C1000">
        <v>30.170000076293949</v>
      </c>
      <c r="D1000">
        <v>29.219999313354489</v>
      </c>
      <c r="E1000">
        <v>29.70000076293945</v>
      </c>
      <c r="F1000">
        <v>27293700</v>
      </c>
      <c r="G1000">
        <v>60196346100</v>
      </c>
      <c r="H1000">
        <v>2026812948</v>
      </c>
    </row>
    <row r="1001" spans="1:8" x14ac:dyDescent="0.25">
      <c r="A1001" s="2">
        <v>45044</v>
      </c>
      <c r="B1001">
        <v>29.620000839233398</v>
      </c>
      <c r="C1001">
        <v>31.270000457763668</v>
      </c>
      <c r="D1001">
        <v>29.41500091552734</v>
      </c>
      <c r="E1001">
        <v>31.04999923706055</v>
      </c>
      <c r="F1001">
        <v>28516100</v>
      </c>
      <c r="G1001">
        <v>62932543650</v>
      </c>
      <c r="H1001">
        <v>2026813050</v>
      </c>
    </row>
    <row r="1002" spans="1:8" x14ac:dyDescent="0.25">
      <c r="A1002" s="2">
        <v>45047</v>
      </c>
      <c r="B1002">
        <v>32</v>
      </c>
      <c r="C1002">
        <v>33</v>
      </c>
      <c r="D1002">
        <v>31.760000228881839</v>
      </c>
      <c r="E1002">
        <v>32.740001678466797</v>
      </c>
      <c r="F1002">
        <v>49867100</v>
      </c>
      <c r="G1002">
        <v>66357857620</v>
      </c>
      <c r="H1002">
        <v>2026812896</v>
      </c>
    </row>
    <row r="1003" spans="1:8" x14ac:dyDescent="0.25">
      <c r="A1003" s="2">
        <v>45048</v>
      </c>
      <c r="B1003">
        <v>35.020000457763672</v>
      </c>
      <c r="C1003">
        <v>36.625</v>
      </c>
      <c r="D1003">
        <v>34.229999542236328</v>
      </c>
      <c r="E1003">
        <v>36.520000457763672</v>
      </c>
      <c r="F1003">
        <v>102993500</v>
      </c>
      <c r="G1003">
        <v>74019210760</v>
      </c>
      <c r="H1003">
        <v>2026812975</v>
      </c>
    </row>
    <row r="1004" spans="1:8" x14ac:dyDescent="0.25">
      <c r="A1004" s="2">
        <v>45049</v>
      </c>
      <c r="B1004">
        <v>36.75</v>
      </c>
      <c r="C1004">
        <v>38.349998474121087</v>
      </c>
      <c r="D1004">
        <v>36.349998474121087</v>
      </c>
      <c r="E1004">
        <v>37.840000152587891</v>
      </c>
      <c r="F1004">
        <v>68580800</v>
      </c>
      <c r="G1004">
        <v>76694603920</v>
      </c>
      <c r="H1004">
        <v>2026812992</v>
      </c>
    </row>
    <row r="1005" spans="1:8" x14ac:dyDescent="0.25">
      <c r="A1005" s="2">
        <v>45050</v>
      </c>
      <c r="B1005">
        <v>37.479999542236328</v>
      </c>
      <c r="C1005">
        <v>37.799999237060547</v>
      </c>
      <c r="D1005">
        <v>36.685001373291023</v>
      </c>
      <c r="E1005">
        <v>37.490001678466797</v>
      </c>
      <c r="F1005">
        <v>44819400</v>
      </c>
      <c r="G1005">
        <v>75985219370</v>
      </c>
      <c r="H1005">
        <v>2026812909</v>
      </c>
    </row>
    <row r="1006" spans="1:8" x14ac:dyDescent="0.25">
      <c r="A1006" s="2">
        <v>45051</v>
      </c>
      <c r="B1006">
        <v>37.479999542236328</v>
      </c>
      <c r="C1006">
        <v>37.950000762939453</v>
      </c>
      <c r="D1006">
        <v>36.869998931884773</v>
      </c>
      <c r="E1006">
        <v>37.75</v>
      </c>
      <c r="F1006">
        <v>24676200</v>
      </c>
      <c r="G1006">
        <v>76512190750</v>
      </c>
      <c r="H1006">
        <v>2026813000</v>
      </c>
    </row>
    <row r="1007" spans="1:8" x14ac:dyDescent="0.25">
      <c r="A1007" s="2">
        <v>45054</v>
      </c>
      <c r="B1007">
        <v>37.819999694824219</v>
      </c>
      <c r="C1007">
        <v>38.930000305175781</v>
      </c>
      <c r="D1007">
        <v>37.479999542236328</v>
      </c>
      <c r="E1007">
        <v>38.830001831054688</v>
      </c>
      <c r="F1007">
        <v>30992100</v>
      </c>
      <c r="G1007">
        <v>78701148790</v>
      </c>
      <c r="H1007">
        <v>2026812904</v>
      </c>
    </row>
    <row r="1008" spans="1:8" x14ac:dyDescent="0.25">
      <c r="A1008" s="2">
        <v>45055</v>
      </c>
      <c r="B1008">
        <v>38.490001678466797</v>
      </c>
      <c r="C1008">
        <v>38.580001831054688</v>
      </c>
      <c r="D1008">
        <v>37.904998779296882</v>
      </c>
      <c r="E1008">
        <v>38.189998626708977</v>
      </c>
      <c r="F1008">
        <v>19387000</v>
      </c>
      <c r="G1008">
        <v>77403988470</v>
      </c>
      <c r="H1008">
        <v>2026813073</v>
      </c>
    </row>
    <row r="1009" spans="1:8" x14ac:dyDescent="0.25">
      <c r="A1009" s="2">
        <v>45056</v>
      </c>
      <c r="B1009">
        <v>38.599998474121087</v>
      </c>
      <c r="C1009">
        <v>38.950000762939453</v>
      </c>
      <c r="D1009">
        <v>38.169998168945313</v>
      </c>
      <c r="E1009">
        <v>38.790000915527337</v>
      </c>
      <c r="F1009">
        <v>19531500</v>
      </c>
      <c r="G1009">
        <v>78620076270</v>
      </c>
      <c r="H1009">
        <v>2026812952</v>
      </c>
    </row>
    <row r="1010" spans="1:8" x14ac:dyDescent="0.25">
      <c r="A1010" s="2">
        <v>45057</v>
      </c>
      <c r="B1010">
        <v>38.639999389648438</v>
      </c>
      <c r="C1010">
        <v>39.180000305175781</v>
      </c>
      <c r="D1010">
        <v>38.340000152587891</v>
      </c>
      <c r="E1010">
        <v>38.419998168945313</v>
      </c>
      <c r="F1010">
        <v>16515600</v>
      </c>
      <c r="G1010">
        <v>77870155460</v>
      </c>
      <c r="H1010">
        <v>2026813097</v>
      </c>
    </row>
    <row r="1011" spans="1:8" x14ac:dyDescent="0.25">
      <c r="A1011" s="2">
        <v>45058</v>
      </c>
      <c r="B1011">
        <v>38.639999389648438</v>
      </c>
      <c r="C1011">
        <v>39.229999542236328</v>
      </c>
      <c r="D1011">
        <v>38.200000762939453</v>
      </c>
      <c r="E1011">
        <v>38.450000762939453</v>
      </c>
      <c r="F1011">
        <v>21614700</v>
      </c>
      <c r="G1011">
        <v>77930959850</v>
      </c>
      <c r="H1011">
        <v>2026812960</v>
      </c>
    </row>
    <row r="1012" spans="1:8" x14ac:dyDescent="0.25">
      <c r="A1012" s="2">
        <v>45061</v>
      </c>
      <c r="B1012">
        <v>38.340000152587891</v>
      </c>
      <c r="C1012">
        <v>38.479999542236328</v>
      </c>
      <c r="D1012">
        <v>37.990001678466797</v>
      </c>
      <c r="E1012">
        <v>38.139999389648438</v>
      </c>
      <c r="F1012">
        <v>17826600</v>
      </c>
      <c r="G1012">
        <v>77302647820</v>
      </c>
      <c r="H1012">
        <v>2026813032</v>
      </c>
    </row>
    <row r="1013" spans="1:8" x14ac:dyDescent="0.25">
      <c r="A1013" s="2">
        <v>45062</v>
      </c>
      <c r="B1013">
        <v>37.930000305175781</v>
      </c>
      <c r="C1013">
        <v>38.150001525878913</v>
      </c>
      <c r="D1013">
        <v>37.439998626708977</v>
      </c>
      <c r="E1013">
        <v>37.439998626708977</v>
      </c>
      <c r="F1013">
        <v>21829100</v>
      </c>
      <c r="G1013">
        <v>75883878720</v>
      </c>
      <c r="H1013">
        <v>2026813074</v>
      </c>
    </row>
    <row r="1014" spans="1:8" x14ac:dyDescent="0.25">
      <c r="A1014" s="2">
        <v>45063</v>
      </c>
      <c r="B1014">
        <v>37.729999542236328</v>
      </c>
      <c r="C1014">
        <v>37.955001831054688</v>
      </c>
      <c r="D1014">
        <v>37.360000610351563</v>
      </c>
      <c r="E1014">
        <v>37.840000152587891</v>
      </c>
      <c r="F1014">
        <v>19534400</v>
      </c>
      <c r="G1014">
        <v>76694603920</v>
      </c>
      <c r="H1014">
        <v>2026812992</v>
      </c>
    </row>
    <row r="1015" spans="1:8" x14ac:dyDescent="0.25">
      <c r="A1015" s="2">
        <v>45064</v>
      </c>
      <c r="B1015">
        <v>37.979999542236328</v>
      </c>
      <c r="C1015">
        <v>39.490001678466797</v>
      </c>
      <c r="D1015">
        <v>37.759998321533203</v>
      </c>
      <c r="E1015">
        <v>39.25</v>
      </c>
      <c r="F1015">
        <v>27828100</v>
      </c>
      <c r="G1015">
        <v>79552410250</v>
      </c>
      <c r="H1015">
        <v>2026813000</v>
      </c>
    </row>
    <row r="1016" spans="1:8" x14ac:dyDescent="0.25">
      <c r="A1016" s="2">
        <v>45065</v>
      </c>
      <c r="B1016">
        <v>39.25</v>
      </c>
      <c r="C1016">
        <v>39.490001678466797</v>
      </c>
      <c r="D1016">
        <v>38.915000915527337</v>
      </c>
      <c r="E1016">
        <v>39.180000305175781</v>
      </c>
      <c r="F1016">
        <v>19750800</v>
      </c>
      <c r="G1016">
        <v>79410533340</v>
      </c>
      <c r="H1016">
        <v>2026812984</v>
      </c>
    </row>
    <row r="1017" spans="1:8" x14ac:dyDescent="0.25">
      <c r="A1017" s="2">
        <v>45068</v>
      </c>
      <c r="B1017">
        <v>39.130001068115227</v>
      </c>
      <c r="C1017">
        <v>40.5</v>
      </c>
      <c r="D1017">
        <v>39.076000213623047</v>
      </c>
      <c r="E1017">
        <v>39.169998168945313</v>
      </c>
      <c r="F1017">
        <v>27581600</v>
      </c>
      <c r="G1017">
        <v>79390265210</v>
      </c>
      <c r="H1017">
        <v>2026813095</v>
      </c>
    </row>
    <row r="1018" spans="1:8" x14ac:dyDescent="0.25">
      <c r="A1018" s="2">
        <v>45069</v>
      </c>
      <c r="B1018">
        <v>38.990001678466797</v>
      </c>
      <c r="C1018">
        <v>39.650001525878913</v>
      </c>
      <c r="D1018">
        <v>38.509998321533203</v>
      </c>
      <c r="E1018">
        <v>38.659999847412109</v>
      </c>
      <c r="F1018">
        <v>18679400</v>
      </c>
      <c r="G1018">
        <v>78356590580</v>
      </c>
      <c r="H1018">
        <v>2026813008</v>
      </c>
    </row>
    <row r="1019" spans="1:8" x14ac:dyDescent="0.25">
      <c r="A1019" s="2">
        <v>45070</v>
      </c>
      <c r="B1019">
        <v>38.049999237060547</v>
      </c>
      <c r="C1019">
        <v>38.659999847412109</v>
      </c>
      <c r="D1019">
        <v>37.770000457763672</v>
      </c>
      <c r="E1019">
        <v>37.959999084472663</v>
      </c>
      <c r="F1019">
        <v>22074700</v>
      </c>
      <c r="G1019">
        <v>76937821480</v>
      </c>
      <c r="H1019">
        <v>2026813049</v>
      </c>
    </row>
    <row r="1020" spans="1:8" x14ac:dyDescent="0.25">
      <c r="A1020" s="2">
        <v>45071</v>
      </c>
      <c r="B1020">
        <v>38.479999542236328</v>
      </c>
      <c r="C1020">
        <v>38.584999084472663</v>
      </c>
      <c r="D1020">
        <v>37.525001525878913</v>
      </c>
      <c r="E1020">
        <v>37.950000762939453</v>
      </c>
      <c r="F1020">
        <v>18634200</v>
      </c>
      <c r="G1020">
        <v>76917553350</v>
      </c>
      <c r="H1020">
        <v>2026812959</v>
      </c>
    </row>
    <row r="1021" spans="1:8" x14ac:dyDescent="0.25">
      <c r="A1021" s="2">
        <v>45072</v>
      </c>
      <c r="B1021">
        <v>38.240001678466797</v>
      </c>
      <c r="C1021">
        <v>38.759998321533203</v>
      </c>
      <c r="D1021">
        <v>38.220001220703118</v>
      </c>
      <c r="E1021">
        <v>38.450000762939453</v>
      </c>
      <c r="F1021">
        <v>14427900</v>
      </c>
      <c r="G1021">
        <v>77930959850</v>
      </c>
      <c r="H1021">
        <v>2026812960</v>
      </c>
    </row>
    <row r="1022" spans="1:8" x14ac:dyDescent="0.25">
      <c r="A1022" s="2">
        <v>45076</v>
      </c>
      <c r="B1022">
        <v>38.729999542236328</v>
      </c>
      <c r="C1022">
        <v>39.060001373291023</v>
      </c>
      <c r="D1022">
        <v>37.560001373291023</v>
      </c>
      <c r="E1022">
        <v>37.560001373291023</v>
      </c>
      <c r="F1022">
        <v>18143200</v>
      </c>
      <c r="G1022">
        <v>76127096280</v>
      </c>
      <c r="H1022">
        <v>2026812926</v>
      </c>
    </row>
    <row r="1023" spans="1:8" x14ac:dyDescent="0.25">
      <c r="A1023" s="2">
        <v>45077</v>
      </c>
      <c r="B1023">
        <v>37.25</v>
      </c>
      <c r="C1023">
        <v>38.049999237060547</v>
      </c>
      <c r="D1023">
        <v>37.069999694824219</v>
      </c>
      <c r="E1023">
        <v>37.930000305175781</v>
      </c>
      <c r="F1023">
        <v>34506300</v>
      </c>
      <c r="G1023">
        <v>76877017090</v>
      </c>
      <c r="H1023">
        <v>2026812984</v>
      </c>
    </row>
    <row r="1024" spans="1:8" x14ac:dyDescent="0.25">
      <c r="A1024" s="2">
        <v>45078</v>
      </c>
      <c r="B1024">
        <v>37.5</v>
      </c>
      <c r="C1024">
        <v>38.5</v>
      </c>
      <c r="D1024">
        <v>37.264999389648438</v>
      </c>
      <c r="E1024">
        <v>38.479999542236328</v>
      </c>
      <c r="F1024">
        <v>17115300</v>
      </c>
      <c r="G1024">
        <v>77991764240</v>
      </c>
      <c r="H1024">
        <v>2026813024</v>
      </c>
    </row>
    <row r="1025" spans="1:8" x14ac:dyDescent="0.25">
      <c r="A1025" s="2">
        <v>45079</v>
      </c>
      <c r="B1025">
        <v>39</v>
      </c>
      <c r="C1025">
        <v>39.889999389648438</v>
      </c>
      <c r="D1025">
        <v>39</v>
      </c>
      <c r="E1025">
        <v>39.729999542236328</v>
      </c>
      <c r="F1025">
        <v>21212000</v>
      </c>
      <c r="G1025">
        <v>80525280490</v>
      </c>
      <c r="H1025">
        <v>2026813023</v>
      </c>
    </row>
    <row r="1026" spans="1:8" x14ac:dyDescent="0.25">
      <c r="A1026" s="2">
        <v>45082</v>
      </c>
      <c r="B1026">
        <v>39.5</v>
      </c>
      <c r="C1026">
        <v>40.790000915527337</v>
      </c>
      <c r="D1026">
        <v>39.5</v>
      </c>
      <c r="E1026">
        <v>40.419998168945313</v>
      </c>
      <c r="F1026">
        <v>24218600</v>
      </c>
      <c r="G1026">
        <v>81923781460</v>
      </c>
      <c r="H1026">
        <v>2026813092</v>
      </c>
    </row>
    <row r="1027" spans="1:8" x14ac:dyDescent="0.25">
      <c r="A1027" s="2">
        <v>45083</v>
      </c>
      <c r="B1027">
        <v>40.249000549316413</v>
      </c>
      <c r="C1027">
        <v>40.729999542236328</v>
      </c>
      <c r="D1027">
        <v>39.930000305175781</v>
      </c>
      <c r="E1027">
        <v>40.25</v>
      </c>
      <c r="F1027">
        <v>14570100</v>
      </c>
      <c r="G1027">
        <v>81579223250</v>
      </c>
      <c r="H1027">
        <v>2026813000</v>
      </c>
    </row>
    <row r="1028" spans="1:8" x14ac:dyDescent="0.25">
      <c r="A1028" s="2">
        <v>45084</v>
      </c>
      <c r="B1028">
        <v>40.240001678466797</v>
      </c>
      <c r="C1028">
        <v>40.25</v>
      </c>
      <c r="D1028">
        <v>38.610000610351563</v>
      </c>
      <c r="E1028">
        <v>38.990001678466797</v>
      </c>
      <c r="F1028">
        <v>23653900</v>
      </c>
      <c r="G1028">
        <v>79025438870</v>
      </c>
      <c r="H1028">
        <v>2026812913</v>
      </c>
    </row>
    <row r="1029" spans="1:8" x14ac:dyDescent="0.25">
      <c r="A1029" s="2">
        <v>45085</v>
      </c>
      <c r="B1029">
        <v>39.180000305175781</v>
      </c>
      <c r="C1029">
        <v>40.630001068115227</v>
      </c>
      <c r="D1029">
        <v>39.040000915527337</v>
      </c>
      <c r="E1029">
        <v>40.259998321533203</v>
      </c>
      <c r="F1029">
        <v>20301800</v>
      </c>
      <c r="G1029">
        <v>81599491380</v>
      </c>
      <c r="H1029">
        <v>2026813084</v>
      </c>
    </row>
    <row r="1030" spans="1:8" x14ac:dyDescent="0.25">
      <c r="A1030" s="2">
        <v>45086</v>
      </c>
      <c r="B1030">
        <v>40.049999237060547</v>
      </c>
      <c r="C1030">
        <v>41</v>
      </c>
      <c r="D1030">
        <v>40.020000457763672</v>
      </c>
      <c r="E1030">
        <v>40.990001678466797</v>
      </c>
      <c r="F1030">
        <v>21932700</v>
      </c>
      <c r="G1030">
        <v>83079064870</v>
      </c>
      <c r="H1030">
        <v>2026812917</v>
      </c>
    </row>
    <row r="1031" spans="1:8" x14ac:dyDescent="0.25">
      <c r="A1031" s="2">
        <v>45089</v>
      </c>
      <c r="B1031">
        <v>41.259998321533203</v>
      </c>
      <c r="C1031">
        <v>41.744998931884773</v>
      </c>
      <c r="D1031">
        <v>41.060001373291023</v>
      </c>
      <c r="E1031">
        <v>41.740001678466797</v>
      </c>
      <c r="F1031">
        <v>15987700</v>
      </c>
      <c r="G1031">
        <v>84599174620</v>
      </c>
      <c r="H1031">
        <v>2026812918</v>
      </c>
    </row>
    <row r="1032" spans="1:8" x14ac:dyDescent="0.25">
      <c r="A1032" s="2">
        <v>45090</v>
      </c>
      <c r="B1032">
        <v>41.75</v>
      </c>
      <c r="C1032">
        <v>41.830001831054688</v>
      </c>
      <c r="D1032">
        <v>40.889999389648438</v>
      </c>
      <c r="E1032">
        <v>41.409999847412109</v>
      </c>
      <c r="F1032">
        <v>16659600</v>
      </c>
      <c r="G1032">
        <v>83930326330</v>
      </c>
      <c r="H1032">
        <v>2026813007</v>
      </c>
    </row>
    <row r="1033" spans="1:8" x14ac:dyDescent="0.25">
      <c r="A1033" s="2">
        <v>45091</v>
      </c>
      <c r="B1033">
        <v>41.299999237060547</v>
      </c>
      <c r="C1033">
        <v>41.590000152587891</v>
      </c>
      <c r="D1033">
        <v>40.569999694824219</v>
      </c>
      <c r="E1033">
        <v>41.270000457763672</v>
      </c>
      <c r="F1033">
        <v>15077600</v>
      </c>
      <c r="G1033">
        <v>83646572510</v>
      </c>
      <c r="H1033">
        <v>2026812978</v>
      </c>
    </row>
    <row r="1034" spans="1:8" x14ac:dyDescent="0.25">
      <c r="A1034" s="2">
        <v>45092</v>
      </c>
      <c r="B1034">
        <v>41.020000457763672</v>
      </c>
      <c r="C1034">
        <v>43.75</v>
      </c>
      <c r="D1034">
        <v>40.939998626708977</v>
      </c>
      <c r="E1034">
        <v>43.360000610351563</v>
      </c>
      <c r="F1034">
        <v>41477800</v>
      </c>
      <c r="G1034">
        <v>87882611680</v>
      </c>
      <c r="H1034">
        <v>2026812971</v>
      </c>
    </row>
    <row r="1035" spans="1:8" x14ac:dyDescent="0.25">
      <c r="A1035" s="2">
        <v>45093</v>
      </c>
      <c r="B1035">
        <v>43.069999694824219</v>
      </c>
      <c r="C1035">
        <v>43.665000915527337</v>
      </c>
      <c r="D1035">
        <v>42.529998779296882</v>
      </c>
      <c r="E1035">
        <v>43.520000457763672</v>
      </c>
      <c r="F1035">
        <v>27981000</v>
      </c>
      <c r="G1035">
        <v>88206901760</v>
      </c>
      <c r="H1035">
        <v>2026812979</v>
      </c>
    </row>
    <row r="1036" spans="1:8" x14ac:dyDescent="0.25">
      <c r="A1036" s="2">
        <v>45097</v>
      </c>
      <c r="B1036">
        <v>42.770000457763672</v>
      </c>
      <c r="C1036">
        <v>43.470001220703118</v>
      </c>
      <c r="D1036">
        <v>42.020000457763672</v>
      </c>
      <c r="E1036">
        <v>42.169998168945313</v>
      </c>
      <c r="F1036">
        <v>19931300</v>
      </c>
      <c r="G1036">
        <v>85470704210</v>
      </c>
      <c r="H1036">
        <v>2026813088</v>
      </c>
    </row>
    <row r="1037" spans="1:8" x14ac:dyDescent="0.25">
      <c r="A1037" s="2">
        <v>45098</v>
      </c>
      <c r="B1037">
        <v>42.5</v>
      </c>
      <c r="C1037">
        <v>43.217998504638672</v>
      </c>
      <c r="D1037">
        <v>41.770000457763672</v>
      </c>
      <c r="E1037">
        <v>42.659999847412109</v>
      </c>
      <c r="F1037">
        <v>21916500</v>
      </c>
      <c r="G1037">
        <v>86463842580</v>
      </c>
      <c r="H1037">
        <v>2026813007</v>
      </c>
    </row>
    <row r="1038" spans="1:8" x14ac:dyDescent="0.25">
      <c r="A1038" s="2">
        <v>45099</v>
      </c>
      <c r="B1038">
        <v>42.299999237060547</v>
      </c>
      <c r="C1038">
        <v>43.869998931884773</v>
      </c>
      <c r="D1038">
        <v>42.209999084472663</v>
      </c>
      <c r="E1038">
        <v>42.810001373291023</v>
      </c>
      <c r="F1038">
        <v>19542100</v>
      </c>
      <c r="G1038">
        <v>86767864530</v>
      </c>
      <c r="H1038">
        <v>2026812935</v>
      </c>
    </row>
    <row r="1039" spans="1:8" x14ac:dyDescent="0.25">
      <c r="A1039" s="2">
        <v>45100</v>
      </c>
      <c r="B1039">
        <v>42.590000152587891</v>
      </c>
      <c r="C1039">
        <v>43.755001068115227</v>
      </c>
      <c r="D1039">
        <v>42.330001831054688</v>
      </c>
      <c r="E1039">
        <v>43.340000152587891</v>
      </c>
      <c r="F1039">
        <v>23153100</v>
      </c>
      <c r="G1039">
        <v>87842075420</v>
      </c>
      <c r="H1039">
        <v>2026812993</v>
      </c>
    </row>
    <row r="1040" spans="1:8" x14ac:dyDescent="0.25">
      <c r="A1040" s="2">
        <v>45103</v>
      </c>
      <c r="B1040">
        <v>43.75</v>
      </c>
      <c r="C1040">
        <v>45.040000915527337</v>
      </c>
      <c r="D1040">
        <v>43.680000305175781</v>
      </c>
      <c r="E1040">
        <v>44.419998168945313</v>
      </c>
      <c r="F1040">
        <v>33693000</v>
      </c>
      <c r="G1040">
        <v>90031033460</v>
      </c>
      <c r="H1040">
        <v>2026813084</v>
      </c>
    </row>
    <row r="1041" spans="1:8" x14ac:dyDescent="0.25">
      <c r="A1041" s="2">
        <v>45104</v>
      </c>
      <c r="B1041">
        <v>44.689998626708977</v>
      </c>
      <c r="C1041">
        <v>44.830001831054688</v>
      </c>
      <c r="D1041">
        <v>43.75</v>
      </c>
      <c r="E1041">
        <v>43.830001831054688</v>
      </c>
      <c r="F1041">
        <v>29652100</v>
      </c>
      <c r="G1041">
        <v>88835213790</v>
      </c>
      <c r="H1041">
        <v>2026812915</v>
      </c>
    </row>
    <row r="1042" spans="1:8" x14ac:dyDescent="0.25">
      <c r="A1042" s="2">
        <v>45105</v>
      </c>
      <c r="B1042">
        <v>43.5</v>
      </c>
      <c r="C1042">
        <v>45.240001678466797</v>
      </c>
      <c r="D1042">
        <v>43.319999694824219</v>
      </c>
      <c r="E1042">
        <v>44.240001678466797</v>
      </c>
      <c r="F1042">
        <v>28187400</v>
      </c>
      <c r="G1042">
        <v>89666207120</v>
      </c>
      <c r="H1042">
        <v>2026812923</v>
      </c>
    </row>
    <row r="1043" spans="1:8" x14ac:dyDescent="0.25">
      <c r="A1043" s="2">
        <v>45106</v>
      </c>
      <c r="B1043">
        <v>44.090000152587891</v>
      </c>
      <c r="C1043">
        <v>44.279998779296882</v>
      </c>
      <c r="D1043">
        <v>42.110000610351563</v>
      </c>
      <c r="E1043">
        <v>42.580001831054688</v>
      </c>
      <c r="F1043">
        <v>28595300</v>
      </c>
      <c r="G1043">
        <v>86301697540</v>
      </c>
      <c r="H1043">
        <v>2026812913</v>
      </c>
    </row>
    <row r="1044" spans="1:8" x14ac:dyDescent="0.25">
      <c r="A1044" s="2">
        <v>45107</v>
      </c>
      <c r="B1044">
        <v>43.110000610351563</v>
      </c>
      <c r="C1044">
        <v>43.430000305175781</v>
      </c>
      <c r="D1044">
        <v>42.919998168945313</v>
      </c>
      <c r="E1044">
        <v>43.169998168945313</v>
      </c>
      <c r="F1044">
        <v>17412300</v>
      </c>
      <c r="G1044">
        <v>88269180960</v>
      </c>
      <c r="H1044">
        <v>2044688087</v>
      </c>
    </row>
    <row r="1045" spans="1:8" x14ac:dyDescent="0.25">
      <c r="A1045" s="2">
        <v>45110</v>
      </c>
      <c r="B1045">
        <v>43.169998168945313</v>
      </c>
      <c r="C1045">
        <v>43.400001525878913</v>
      </c>
      <c r="D1045">
        <v>42.580001831054688</v>
      </c>
      <c r="E1045">
        <v>43.090000152587891</v>
      </c>
      <c r="F1045">
        <v>7578100</v>
      </c>
      <c r="G1045">
        <v>88105605920</v>
      </c>
      <c r="H1045">
        <v>2044687993</v>
      </c>
    </row>
    <row r="1046" spans="1:8" x14ac:dyDescent="0.25">
      <c r="A1046" s="2">
        <v>45112</v>
      </c>
      <c r="B1046">
        <v>42.889999389648438</v>
      </c>
      <c r="C1046">
        <v>43.880001068115227</v>
      </c>
      <c r="D1046">
        <v>42.889999389648438</v>
      </c>
      <c r="E1046">
        <v>43.659999847412109</v>
      </c>
      <c r="F1046">
        <v>15730400</v>
      </c>
      <c r="G1046">
        <v>89271078080</v>
      </c>
      <c r="H1046">
        <v>2044688007</v>
      </c>
    </row>
    <row r="1047" spans="1:8" x14ac:dyDescent="0.25">
      <c r="A1047" s="2">
        <v>45113</v>
      </c>
      <c r="B1047">
        <v>42.990001678466797</v>
      </c>
      <c r="C1047">
        <v>43</v>
      </c>
      <c r="D1047">
        <v>41.869998931884773</v>
      </c>
      <c r="E1047">
        <v>42.110000610351563</v>
      </c>
      <c r="F1047">
        <v>17983600</v>
      </c>
      <c r="G1047">
        <v>86101811680</v>
      </c>
      <c r="H1047">
        <v>2044687970</v>
      </c>
    </row>
    <row r="1048" spans="1:8" x14ac:dyDescent="0.25">
      <c r="A1048" s="2">
        <v>45114</v>
      </c>
      <c r="B1048">
        <v>42.069999694824219</v>
      </c>
      <c r="C1048">
        <v>43.119998931884773</v>
      </c>
      <c r="D1048">
        <v>41.941001892089837</v>
      </c>
      <c r="E1048">
        <v>42.909999847412109</v>
      </c>
      <c r="F1048">
        <v>14931300</v>
      </c>
      <c r="G1048">
        <v>87737562080</v>
      </c>
      <c r="H1048">
        <v>2044688007</v>
      </c>
    </row>
    <row r="1049" spans="1:8" x14ac:dyDescent="0.25">
      <c r="A1049" s="2">
        <v>45117</v>
      </c>
      <c r="B1049">
        <v>42.580001831054688</v>
      </c>
      <c r="C1049">
        <v>43.200000762939453</v>
      </c>
      <c r="D1049">
        <v>42.439998626708977</v>
      </c>
      <c r="E1049">
        <v>42.779998779296882</v>
      </c>
      <c r="F1049">
        <v>15821800</v>
      </c>
      <c r="G1049">
        <v>87471752640</v>
      </c>
      <c r="H1049">
        <v>2044688058</v>
      </c>
    </row>
    <row r="1050" spans="1:8" x14ac:dyDescent="0.25">
      <c r="A1050" s="2">
        <v>45118</v>
      </c>
      <c r="B1050">
        <v>42.099998474121087</v>
      </c>
      <c r="C1050">
        <v>44.669998168945313</v>
      </c>
      <c r="D1050">
        <v>41.745998382568359</v>
      </c>
      <c r="E1050">
        <v>44.360000610351563</v>
      </c>
      <c r="F1050">
        <v>32165000</v>
      </c>
      <c r="G1050">
        <v>90702359680</v>
      </c>
      <c r="H1050">
        <v>2044687972</v>
      </c>
    </row>
    <row r="1051" spans="1:8" x14ac:dyDescent="0.25">
      <c r="A1051" s="2">
        <v>45119</v>
      </c>
      <c r="B1051">
        <v>45</v>
      </c>
      <c r="C1051">
        <v>45.220001220703118</v>
      </c>
      <c r="D1051">
        <v>43.970001220703118</v>
      </c>
      <c r="E1051">
        <v>44.520000457763672</v>
      </c>
      <c r="F1051">
        <v>21830100</v>
      </c>
      <c r="G1051">
        <v>91029509760</v>
      </c>
      <c r="H1051">
        <v>2044687979</v>
      </c>
    </row>
    <row r="1052" spans="1:8" x14ac:dyDescent="0.25">
      <c r="A1052" s="2">
        <v>45120</v>
      </c>
      <c r="B1052">
        <v>45.209999084472663</v>
      </c>
      <c r="C1052">
        <v>45.935001373291023</v>
      </c>
      <c r="D1052">
        <v>44.622001647949219</v>
      </c>
      <c r="E1052">
        <v>45.639999389648438</v>
      </c>
      <c r="F1052">
        <v>21193200</v>
      </c>
      <c r="G1052">
        <v>93319560320</v>
      </c>
      <c r="H1052">
        <v>2044688027</v>
      </c>
    </row>
    <row r="1053" spans="1:8" x14ac:dyDescent="0.25">
      <c r="A1053" s="2">
        <v>45121</v>
      </c>
      <c r="B1053">
        <v>45.904998779296882</v>
      </c>
      <c r="C1053">
        <v>46.400001525878913</v>
      </c>
      <c r="D1053">
        <v>44.560001373291023</v>
      </c>
      <c r="E1053">
        <v>44.75</v>
      </c>
      <c r="F1053">
        <v>22024000</v>
      </c>
      <c r="G1053">
        <v>91499788000</v>
      </c>
      <c r="H1053">
        <v>2044688000</v>
      </c>
    </row>
    <row r="1054" spans="1:8" x14ac:dyDescent="0.25">
      <c r="A1054" s="2">
        <v>45124</v>
      </c>
      <c r="B1054">
        <v>44.680000305175781</v>
      </c>
      <c r="C1054">
        <v>45.650001525878913</v>
      </c>
      <c r="D1054">
        <v>44.5</v>
      </c>
      <c r="E1054">
        <v>45.509998321533203</v>
      </c>
      <c r="F1054">
        <v>21937900</v>
      </c>
      <c r="G1054">
        <v>93053750880</v>
      </c>
      <c r="H1054">
        <v>2044688075</v>
      </c>
    </row>
    <row r="1055" spans="1:8" x14ac:dyDescent="0.25">
      <c r="A1055" s="2">
        <v>45125</v>
      </c>
      <c r="B1055">
        <v>45.340000152587891</v>
      </c>
      <c r="C1055">
        <v>47.75</v>
      </c>
      <c r="D1055">
        <v>45.340000152587891</v>
      </c>
      <c r="E1055">
        <v>47.409999847412109</v>
      </c>
      <c r="F1055">
        <v>42620200</v>
      </c>
      <c r="G1055">
        <v>96938658080</v>
      </c>
      <c r="H1055">
        <v>2044688007</v>
      </c>
    </row>
    <row r="1056" spans="1:8" x14ac:dyDescent="0.25">
      <c r="A1056" s="2">
        <v>45126</v>
      </c>
      <c r="B1056">
        <v>47.099998474121087</v>
      </c>
      <c r="C1056">
        <v>47.900001525878913</v>
      </c>
      <c r="D1056">
        <v>46.549999237060547</v>
      </c>
      <c r="E1056">
        <v>47.119998931884773</v>
      </c>
      <c r="F1056">
        <v>21990900</v>
      </c>
      <c r="G1056">
        <v>96345698560</v>
      </c>
      <c r="H1056">
        <v>2044688046</v>
      </c>
    </row>
    <row r="1057" spans="1:8" x14ac:dyDescent="0.25">
      <c r="A1057" s="2">
        <v>45127</v>
      </c>
      <c r="B1057">
        <v>46.069999694824219</v>
      </c>
      <c r="C1057">
        <v>47.5</v>
      </c>
      <c r="D1057">
        <v>45.860000610351563</v>
      </c>
      <c r="E1057">
        <v>46.569999694824219</v>
      </c>
      <c r="F1057">
        <v>23085300</v>
      </c>
      <c r="G1057">
        <v>95221120160</v>
      </c>
      <c r="H1057">
        <v>2044688013</v>
      </c>
    </row>
    <row r="1058" spans="1:8" x14ac:dyDescent="0.25">
      <c r="A1058" s="2">
        <v>45128</v>
      </c>
      <c r="B1058">
        <v>46.549999237060547</v>
      </c>
      <c r="C1058">
        <v>47.340000152587891</v>
      </c>
      <c r="D1058">
        <v>46.279998779296882</v>
      </c>
      <c r="E1058">
        <v>47.229999542236328</v>
      </c>
      <c r="F1058">
        <v>20176900</v>
      </c>
      <c r="G1058">
        <v>96570614240</v>
      </c>
      <c r="H1058">
        <v>2044688020</v>
      </c>
    </row>
    <row r="1059" spans="1:8" x14ac:dyDescent="0.25">
      <c r="A1059" s="2">
        <v>45131</v>
      </c>
      <c r="B1059">
        <v>47.060001373291023</v>
      </c>
      <c r="C1059">
        <v>47.549999237060547</v>
      </c>
      <c r="D1059">
        <v>46.840000152587891</v>
      </c>
      <c r="E1059">
        <v>47.319999694824219</v>
      </c>
      <c r="F1059">
        <v>16669800</v>
      </c>
      <c r="G1059">
        <v>96754636160</v>
      </c>
      <c r="H1059">
        <v>2044688013</v>
      </c>
    </row>
    <row r="1060" spans="1:8" x14ac:dyDescent="0.25">
      <c r="A1060" s="2">
        <v>45132</v>
      </c>
      <c r="B1060">
        <v>47.200000762939453</v>
      </c>
      <c r="C1060">
        <v>47.729999542236328</v>
      </c>
      <c r="D1060">
        <v>46.930000305175781</v>
      </c>
      <c r="E1060">
        <v>47.169998168945313</v>
      </c>
      <c r="F1060">
        <v>14188200</v>
      </c>
      <c r="G1060">
        <v>96447932960</v>
      </c>
      <c r="H1060">
        <v>2044688079</v>
      </c>
    </row>
    <row r="1061" spans="1:8" x14ac:dyDescent="0.25">
      <c r="A1061" s="2">
        <v>45133</v>
      </c>
      <c r="B1061">
        <v>47.049999237060547</v>
      </c>
      <c r="C1061">
        <v>47.555000305175781</v>
      </c>
      <c r="D1061">
        <v>46.619998931884773</v>
      </c>
      <c r="E1061">
        <v>47.310001373291023</v>
      </c>
      <c r="F1061">
        <v>16666200</v>
      </c>
      <c r="G1061">
        <v>96734189280</v>
      </c>
      <c r="H1061">
        <v>2044687941</v>
      </c>
    </row>
    <row r="1062" spans="1:8" x14ac:dyDescent="0.25">
      <c r="A1062" s="2">
        <v>45134</v>
      </c>
      <c r="B1062">
        <v>48</v>
      </c>
      <c r="C1062">
        <v>48.090000152587891</v>
      </c>
      <c r="D1062">
        <v>46.354999542236328</v>
      </c>
      <c r="E1062">
        <v>46.610000610351563</v>
      </c>
      <c r="F1062">
        <v>17992000</v>
      </c>
      <c r="G1062">
        <v>95302907680</v>
      </c>
      <c r="H1062">
        <v>2044687973</v>
      </c>
    </row>
    <row r="1063" spans="1:8" x14ac:dyDescent="0.25">
      <c r="A1063" s="2">
        <v>45135</v>
      </c>
      <c r="B1063">
        <v>47.139999389648438</v>
      </c>
      <c r="C1063">
        <v>48.430000305175781</v>
      </c>
      <c r="D1063">
        <v>46.709999084472663</v>
      </c>
      <c r="E1063">
        <v>48.139999389648438</v>
      </c>
      <c r="F1063">
        <v>17154600</v>
      </c>
      <c r="G1063">
        <v>98431280320</v>
      </c>
      <c r="H1063">
        <v>2044688026</v>
      </c>
    </row>
    <row r="1064" spans="1:8" x14ac:dyDescent="0.25">
      <c r="A1064" s="2">
        <v>45138</v>
      </c>
      <c r="B1064">
        <v>48.849998474121087</v>
      </c>
      <c r="C1064">
        <v>49.490001678466797</v>
      </c>
      <c r="D1064">
        <v>48.150001525878913</v>
      </c>
      <c r="E1064">
        <v>49.459999084472663</v>
      </c>
      <c r="F1064">
        <v>38736800</v>
      </c>
      <c r="G1064">
        <v>101130268480</v>
      </c>
      <c r="H1064">
        <v>2044688038</v>
      </c>
    </row>
    <row r="1065" spans="1:8" x14ac:dyDescent="0.25">
      <c r="A1065" s="2">
        <v>45139</v>
      </c>
      <c r="B1065">
        <v>48.669998168945313</v>
      </c>
      <c r="C1065">
        <v>49.029998779296882</v>
      </c>
      <c r="D1065">
        <v>46.009998321533203</v>
      </c>
      <c r="E1065">
        <v>46.650001525878913</v>
      </c>
      <c r="F1065">
        <v>82097500</v>
      </c>
      <c r="G1065">
        <v>95384695200</v>
      </c>
      <c r="H1065">
        <v>2044687933</v>
      </c>
    </row>
    <row r="1066" spans="1:8" x14ac:dyDescent="0.25">
      <c r="A1066" s="2">
        <v>45140</v>
      </c>
      <c r="B1066">
        <v>46.055000305175781</v>
      </c>
      <c r="C1066">
        <v>47.705001831054688</v>
      </c>
      <c r="D1066">
        <v>45.669998168945313</v>
      </c>
      <c r="E1066">
        <v>46.959999084472663</v>
      </c>
      <c r="F1066">
        <v>36303800</v>
      </c>
      <c r="G1066">
        <v>96018548480</v>
      </c>
      <c r="H1066">
        <v>2044688040</v>
      </c>
    </row>
    <row r="1067" spans="1:8" x14ac:dyDescent="0.25">
      <c r="A1067" s="2">
        <v>45141</v>
      </c>
      <c r="B1067">
        <v>46.220001220703118</v>
      </c>
      <c r="C1067">
        <v>47.849998474121087</v>
      </c>
      <c r="D1067">
        <v>45.790000915527337</v>
      </c>
      <c r="E1067">
        <v>45.909999847412109</v>
      </c>
      <c r="F1067">
        <v>25248800</v>
      </c>
      <c r="G1067">
        <v>93871626080</v>
      </c>
      <c r="H1067">
        <v>2044688007</v>
      </c>
    </row>
    <row r="1068" spans="1:8" x14ac:dyDescent="0.25">
      <c r="A1068" s="2">
        <v>45142</v>
      </c>
      <c r="B1068">
        <v>46</v>
      </c>
      <c r="C1068">
        <v>46.380001068115227</v>
      </c>
      <c r="D1068">
        <v>45.020000457763672</v>
      </c>
      <c r="E1068">
        <v>45.200000762939453</v>
      </c>
      <c r="F1068">
        <v>25639600</v>
      </c>
      <c r="G1068">
        <v>92419897600</v>
      </c>
      <c r="H1068">
        <v>2044687965</v>
      </c>
    </row>
    <row r="1069" spans="1:8" x14ac:dyDescent="0.25">
      <c r="A1069" s="2">
        <v>45145</v>
      </c>
      <c r="B1069">
        <v>45.009998321533203</v>
      </c>
      <c r="C1069">
        <v>45.529998779296882</v>
      </c>
      <c r="D1069">
        <v>44.380001068115227</v>
      </c>
      <c r="E1069">
        <v>44.950000762939453</v>
      </c>
      <c r="F1069">
        <v>22122500</v>
      </c>
      <c r="G1069">
        <v>91908725600</v>
      </c>
      <c r="H1069">
        <v>2044687965</v>
      </c>
    </row>
    <row r="1070" spans="1:8" x14ac:dyDescent="0.25">
      <c r="A1070" s="2">
        <v>45146</v>
      </c>
      <c r="B1070">
        <v>44.5</v>
      </c>
      <c r="C1070">
        <v>45.240001678466797</v>
      </c>
      <c r="D1070">
        <v>44.084999084472663</v>
      </c>
      <c r="E1070">
        <v>45.159999847412109</v>
      </c>
      <c r="F1070">
        <v>14742200</v>
      </c>
      <c r="G1070">
        <v>92338110080</v>
      </c>
      <c r="H1070">
        <v>2044688007</v>
      </c>
    </row>
    <row r="1071" spans="1:8" x14ac:dyDescent="0.25">
      <c r="A1071" s="2">
        <v>45147</v>
      </c>
      <c r="B1071">
        <v>45.25</v>
      </c>
      <c r="C1071">
        <v>45.459999084472663</v>
      </c>
      <c r="D1071">
        <v>43.840000152587891</v>
      </c>
      <c r="E1071">
        <v>44.110000610351563</v>
      </c>
      <c r="F1071">
        <v>20113000</v>
      </c>
      <c r="G1071">
        <v>90191187680</v>
      </c>
      <c r="H1071">
        <v>2044687972</v>
      </c>
    </row>
    <row r="1072" spans="1:8" x14ac:dyDescent="0.25">
      <c r="A1072" s="2">
        <v>45148</v>
      </c>
      <c r="B1072">
        <v>44.130001068115227</v>
      </c>
      <c r="C1072">
        <v>45.180000305175781</v>
      </c>
      <c r="D1072">
        <v>44.090000152587891</v>
      </c>
      <c r="E1072">
        <v>44.599998474121087</v>
      </c>
      <c r="F1072">
        <v>16908200</v>
      </c>
      <c r="G1072">
        <v>91193084800</v>
      </c>
      <c r="H1072">
        <v>2044688070</v>
      </c>
    </row>
    <row r="1073" spans="1:8" x14ac:dyDescent="0.25">
      <c r="A1073" s="2">
        <v>45149</v>
      </c>
      <c r="B1073">
        <v>44</v>
      </c>
      <c r="C1073">
        <v>44.299999237060547</v>
      </c>
      <c r="D1073">
        <v>43.310001373291023</v>
      </c>
      <c r="E1073">
        <v>43.709999084472663</v>
      </c>
      <c r="F1073">
        <v>16172800</v>
      </c>
      <c r="G1073">
        <v>89373312480</v>
      </c>
      <c r="H1073">
        <v>2044688043</v>
      </c>
    </row>
    <row r="1074" spans="1:8" x14ac:dyDescent="0.25">
      <c r="A1074" s="2">
        <v>45152</v>
      </c>
      <c r="B1074">
        <v>43.5</v>
      </c>
      <c r="C1074">
        <v>44.884998321533203</v>
      </c>
      <c r="D1074">
        <v>42.950000762939453</v>
      </c>
      <c r="E1074">
        <v>44.849998474121087</v>
      </c>
      <c r="F1074">
        <v>15828800</v>
      </c>
      <c r="G1074">
        <v>91704256800</v>
      </c>
      <c r="H1074">
        <v>2044688070</v>
      </c>
    </row>
    <row r="1075" spans="1:8" x14ac:dyDescent="0.25">
      <c r="A1075" s="2">
        <v>45153</v>
      </c>
      <c r="B1075">
        <v>44.700000762939453</v>
      </c>
      <c r="C1075">
        <v>44.880001068115227</v>
      </c>
      <c r="D1075">
        <v>44.009998321533203</v>
      </c>
      <c r="E1075">
        <v>44.080001831054688</v>
      </c>
      <c r="F1075">
        <v>13404700</v>
      </c>
      <c r="G1075">
        <v>90129847040</v>
      </c>
      <c r="H1075">
        <v>2044687915</v>
      </c>
    </row>
    <row r="1076" spans="1:8" x14ac:dyDescent="0.25">
      <c r="A1076" s="2">
        <v>45154</v>
      </c>
      <c r="B1076">
        <v>43.979999542236328</v>
      </c>
      <c r="C1076">
        <v>44.330001831054688</v>
      </c>
      <c r="D1076">
        <v>43.400001525878913</v>
      </c>
      <c r="E1076">
        <v>43.650001525878913</v>
      </c>
      <c r="F1076">
        <v>14980800</v>
      </c>
      <c r="G1076">
        <v>89250631200</v>
      </c>
      <c r="H1076">
        <v>2044687929</v>
      </c>
    </row>
    <row r="1077" spans="1:8" x14ac:dyDescent="0.25">
      <c r="A1077" s="2">
        <v>45155</v>
      </c>
      <c r="B1077">
        <v>44.180000305175781</v>
      </c>
      <c r="C1077">
        <v>44.860000610351563</v>
      </c>
      <c r="D1077">
        <v>43.909999847412109</v>
      </c>
      <c r="E1077">
        <v>43.970001220703118</v>
      </c>
      <c r="F1077">
        <v>21326600</v>
      </c>
      <c r="G1077">
        <v>89904931360</v>
      </c>
      <c r="H1077">
        <v>2044687943</v>
      </c>
    </row>
    <row r="1078" spans="1:8" x14ac:dyDescent="0.25">
      <c r="A1078" s="2">
        <v>45156</v>
      </c>
      <c r="B1078">
        <v>43.270000457763672</v>
      </c>
      <c r="C1078">
        <v>44.840000152587891</v>
      </c>
      <c r="D1078">
        <v>43.189998626708977</v>
      </c>
      <c r="E1078">
        <v>44.689998626708977</v>
      </c>
      <c r="F1078">
        <v>17132100</v>
      </c>
      <c r="G1078">
        <v>91377106720</v>
      </c>
      <c r="H1078">
        <v>2044688063</v>
      </c>
    </row>
    <row r="1079" spans="1:8" x14ac:dyDescent="0.25">
      <c r="A1079" s="2">
        <v>45159</v>
      </c>
      <c r="B1079">
        <v>44.979999542236328</v>
      </c>
      <c r="C1079">
        <v>45.299999237060547</v>
      </c>
      <c r="D1079">
        <v>44.009998321533203</v>
      </c>
      <c r="E1079">
        <v>44.630001068115227</v>
      </c>
      <c r="F1079">
        <v>15362100</v>
      </c>
      <c r="G1079">
        <v>91254425440</v>
      </c>
      <c r="H1079">
        <v>2044687951</v>
      </c>
    </row>
    <row r="1080" spans="1:8" x14ac:dyDescent="0.25">
      <c r="A1080" s="2">
        <v>45160</v>
      </c>
      <c r="B1080">
        <v>44.939998626708977</v>
      </c>
      <c r="C1080">
        <v>45.180000305175781</v>
      </c>
      <c r="D1080">
        <v>44.020000457763672</v>
      </c>
      <c r="E1080">
        <v>44.349998474121087</v>
      </c>
      <c r="F1080">
        <v>13599800</v>
      </c>
      <c r="G1080">
        <v>90681912800</v>
      </c>
      <c r="H1080">
        <v>2044688070</v>
      </c>
    </row>
    <row r="1081" spans="1:8" x14ac:dyDescent="0.25">
      <c r="A1081" s="2">
        <v>45161</v>
      </c>
      <c r="B1081">
        <v>44</v>
      </c>
      <c r="C1081">
        <v>45.615001678466797</v>
      </c>
      <c r="D1081">
        <v>44</v>
      </c>
      <c r="E1081">
        <v>45.139999389648438</v>
      </c>
      <c r="F1081">
        <v>14625800</v>
      </c>
      <c r="G1081">
        <v>92297216320</v>
      </c>
      <c r="H1081">
        <v>2044688028</v>
      </c>
    </row>
    <row r="1082" spans="1:8" x14ac:dyDescent="0.25">
      <c r="A1082" s="2">
        <v>45162</v>
      </c>
      <c r="B1082">
        <v>45.240001678466797</v>
      </c>
      <c r="C1082">
        <v>45.720001220703118</v>
      </c>
      <c r="D1082">
        <v>44.639999389648438</v>
      </c>
      <c r="E1082">
        <v>44.680000305175781</v>
      </c>
      <c r="F1082">
        <v>18129600</v>
      </c>
      <c r="G1082">
        <v>91356659840</v>
      </c>
      <c r="H1082">
        <v>2044687986</v>
      </c>
    </row>
    <row r="1083" spans="1:8" x14ac:dyDescent="0.25">
      <c r="A1083" s="2">
        <v>45163</v>
      </c>
      <c r="B1083">
        <v>44.709999084472663</v>
      </c>
      <c r="C1083">
        <v>44.840000152587891</v>
      </c>
      <c r="D1083">
        <v>43.080001831054688</v>
      </c>
      <c r="E1083">
        <v>43.959999084472663</v>
      </c>
      <c r="F1083">
        <v>19132500</v>
      </c>
      <c r="G1083">
        <v>89884484480</v>
      </c>
      <c r="H1083">
        <v>2044688043</v>
      </c>
    </row>
    <row r="1084" spans="1:8" x14ac:dyDescent="0.25">
      <c r="A1084" s="2">
        <v>45166</v>
      </c>
      <c r="B1084">
        <v>44.110000610351563</v>
      </c>
      <c r="C1084">
        <v>44.520000457763672</v>
      </c>
      <c r="D1084">
        <v>43.709999084472663</v>
      </c>
      <c r="E1084">
        <v>44.150001525878913</v>
      </c>
      <c r="F1084">
        <v>10424100</v>
      </c>
      <c r="G1084">
        <v>90272975200</v>
      </c>
      <c r="H1084">
        <v>2044687929</v>
      </c>
    </row>
    <row r="1085" spans="1:8" x14ac:dyDescent="0.25">
      <c r="A1085" s="2">
        <v>45167</v>
      </c>
      <c r="B1085">
        <v>44.209999084472663</v>
      </c>
      <c r="C1085">
        <v>45.584999084472663</v>
      </c>
      <c r="D1085">
        <v>44.119998931884773</v>
      </c>
      <c r="E1085">
        <v>45.349998474121087</v>
      </c>
      <c r="F1085">
        <v>11335400</v>
      </c>
      <c r="G1085">
        <v>92726600800</v>
      </c>
      <c r="H1085">
        <v>2044688069</v>
      </c>
    </row>
    <row r="1086" spans="1:8" x14ac:dyDescent="0.25">
      <c r="A1086" s="2">
        <v>45168</v>
      </c>
      <c r="B1086">
        <v>45.349998474121087</v>
      </c>
      <c r="C1086">
        <v>46.75</v>
      </c>
      <c r="D1086">
        <v>45.299999237060547</v>
      </c>
      <c r="E1086">
        <v>46.509998321533203</v>
      </c>
      <c r="F1086">
        <v>19869400</v>
      </c>
      <c r="G1086">
        <v>95098438880</v>
      </c>
      <c r="H1086">
        <v>2044688074</v>
      </c>
    </row>
    <row r="1087" spans="1:8" x14ac:dyDescent="0.25">
      <c r="A1087" s="2">
        <v>45169</v>
      </c>
      <c r="B1087">
        <v>46.689998626708977</v>
      </c>
      <c r="C1087">
        <v>47.569999694824219</v>
      </c>
      <c r="D1087">
        <v>46.520000457763672</v>
      </c>
      <c r="E1087">
        <v>47.229999542236328</v>
      </c>
      <c r="F1087">
        <v>19263800</v>
      </c>
      <c r="G1087">
        <v>96570614240</v>
      </c>
      <c r="H1087">
        <v>2044688020</v>
      </c>
    </row>
    <row r="1088" spans="1:8" x14ac:dyDescent="0.25">
      <c r="A1088" s="2">
        <v>45170</v>
      </c>
      <c r="B1088">
        <v>47.509998321533203</v>
      </c>
      <c r="C1088">
        <v>47.700000762939453</v>
      </c>
      <c r="D1088">
        <v>46.830001831054688</v>
      </c>
      <c r="E1088">
        <v>47.040000915527337</v>
      </c>
      <c r="F1088">
        <v>14607000</v>
      </c>
      <c r="G1088">
        <v>96182123520</v>
      </c>
      <c r="H1088">
        <v>2044687960</v>
      </c>
    </row>
    <row r="1089" spans="1:8" x14ac:dyDescent="0.25">
      <c r="A1089" s="2">
        <v>45174</v>
      </c>
      <c r="B1089">
        <v>46.869998931884773</v>
      </c>
      <c r="C1089">
        <v>47.139999389648438</v>
      </c>
      <c r="D1089">
        <v>46.299999237060547</v>
      </c>
      <c r="E1089">
        <v>46.549999237060547</v>
      </c>
      <c r="F1089">
        <v>16461700</v>
      </c>
      <c r="G1089">
        <v>95180226400</v>
      </c>
      <c r="H1089">
        <v>2044688034</v>
      </c>
    </row>
    <row r="1090" spans="1:8" x14ac:dyDescent="0.25">
      <c r="A1090" s="2">
        <v>45175</v>
      </c>
      <c r="B1090">
        <v>46.340000152587891</v>
      </c>
      <c r="C1090">
        <v>46.849998474121087</v>
      </c>
      <c r="D1090">
        <v>45.610000610351563</v>
      </c>
      <c r="E1090">
        <v>45.900001525878913</v>
      </c>
      <c r="F1090">
        <v>14262700</v>
      </c>
      <c r="G1090">
        <v>93851179200</v>
      </c>
      <c r="H1090">
        <v>2044687932</v>
      </c>
    </row>
    <row r="1091" spans="1:8" x14ac:dyDescent="0.25">
      <c r="A1091" s="2">
        <v>45176</v>
      </c>
      <c r="B1091">
        <v>45.5</v>
      </c>
      <c r="C1091">
        <v>46.680000305175781</v>
      </c>
      <c r="D1091">
        <v>45.25</v>
      </c>
      <c r="E1091">
        <v>46.270000457763672</v>
      </c>
      <c r="F1091">
        <v>14972200</v>
      </c>
      <c r="G1091">
        <v>94607713760</v>
      </c>
      <c r="H1091">
        <v>2044687980</v>
      </c>
    </row>
    <row r="1092" spans="1:8" x14ac:dyDescent="0.25">
      <c r="A1092" s="2">
        <v>45177</v>
      </c>
      <c r="B1092">
        <v>46.340000152587891</v>
      </c>
      <c r="C1092">
        <v>47.25</v>
      </c>
      <c r="D1092">
        <v>46.270000457763672</v>
      </c>
      <c r="E1092">
        <v>47.240001678466797</v>
      </c>
      <c r="F1092">
        <v>15956900</v>
      </c>
      <c r="G1092">
        <v>96591061120</v>
      </c>
      <c r="H1092">
        <v>2044687927</v>
      </c>
    </row>
    <row r="1093" spans="1:8" x14ac:dyDescent="0.25">
      <c r="A1093" s="2">
        <v>45180</v>
      </c>
      <c r="B1093">
        <v>47.740001678466797</v>
      </c>
      <c r="C1093">
        <v>48.970001220703118</v>
      </c>
      <c r="D1093">
        <v>47.650001525878913</v>
      </c>
      <c r="E1093">
        <v>48.939998626708977</v>
      </c>
      <c r="F1093">
        <v>19007300</v>
      </c>
      <c r="G1093">
        <v>100067030720</v>
      </c>
      <c r="H1093">
        <v>2044688057</v>
      </c>
    </row>
    <row r="1094" spans="1:8" x14ac:dyDescent="0.25">
      <c r="A1094" s="2">
        <v>45181</v>
      </c>
      <c r="B1094">
        <v>48.340000152587891</v>
      </c>
      <c r="C1094">
        <v>49.187999725341797</v>
      </c>
      <c r="D1094">
        <v>47.900001525878913</v>
      </c>
      <c r="E1094">
        <v>47.919998168945313</v>
      </c>
      <c r="F1094">
        <v>18809000</v>
      </c>
      <c r="G1094">
        <v>97981448960</v>
      </c>
      <c r="H1094">
        <v>2044688078</v>
      </c>
    </row>
    <row r="1095" spans="1:8" x14ac:dyDescent="0.25">
      <c r="A1095" s="2">
        <v>45182</v>
      </c>
      <c r="B1095">
        <v>47.509998321533203</v>
      </c>
      <c r="C1095">
        <v>48.360000610351563</v>
      </c>
      <c r="D1095">
        <v>47.279998779296882</v>
      </c>
      <c r="E1095">
        <v>48.159999847412109</v>
      </c>
      <c r="F1095">
        <v>12691800</v>
      </c>
      <c r="G1095">
        <v>98472174080</v>
      </c>
      <c r="H1095">
        <v>2044688006</v>
      </c>
    </row>
    <row r="1096" spans="1:8" x14ac:dyDescent="0.25">
      <c r="A1096" s="2">
        <v>45183</v>
      </c>
      <c r="B1096">
        <v>48.630001068115227</v>
      </c>
      <c r="C1096">
        <v>48.694999694824219</v>
      </c>
      <c r="D1096">
        <v>47.805000305175781</v>
      </c>
      <c r="E1096">
        <v>48.319999694824219</v>
      </c>
      <c r="F1096">
        <v>13068200</v>
      </c>
      <c r="G1096">
        <v>98799324160</v>
      </c>
      <c r="H1096">
        <v>2044688013</v>
      </c>
    </row>
    <row r="1097" spans="1:8" x14ac:dyDescent="0.25">
      <c r="A1097" s="2">
        <v>45184</v>
      </c>
      <c r="B1097">
        <v>48.189998626708977</v>
      </c>
      <c r="C1097">
        <v>48.490001678466797</v>
      </c>
      <c r="D1097">
        <v>47.270000457763672</v>
      </c>
      <c r="E1097">
        <v>47.520000457763672</v>
      </c>
      <c r="F1097">
        <v>16125700</v>
      </c>
      <c r="G1097">
        <v>97163573760</v>
      </c>
      <c r="H1097">
        <v>2044687980</v>
      </c>
    </row>
    <row r="1098" spans="1:8" x14ac:dyDescent="0.25">
      <c r="A1098" s="2">
        <v>45187</v>
      </c>
      <c r="B1098">
        <v>47.299999237060547</v>
      </c>
      <c r="C1098">
        <v>47.347999572753913</v>
      </c>
      <c r="D1098">
        <v>46.479999542236328</v>
      </c>
      <c r="E1098">
        <v>46.509998321533203</v>
      </c>
      <c r="F1098">
        <v>15025500</v>
      </c>
      <c r="G1098">
        <v>95098438880</v>
      </c>
      <c r="H1098">
        <v>2044688074</v>
      </c>
    </row>
    <row r="1099" spans="1:8" x14ac:dyDescent="0.25">
      <c r="A1099" s="2">
        <v>45188</v>
      </c>
      <c r="B1099">
        <v>46.400001525878913</v>
      </c>
      <c r="C1099">
        <v>47.755001068115227</v>
      </c>
      <c r="D1099">
        <v>46.209999084472663</v>
      </c>
      <c r="E1099">
        <v>47.590000152587891</v>
      </c>
      <c r="F1099">
        <v>19180200</v>
      </c>
      <c r="G1099">
        <v>97306701920</v>
      </c>
      <c r="H1099">
        <v>2044687993</v>
      </c>
    </row>
    <row r="1100" spans="1:8" x14ac:dyDescent="0.25">
      <c r="A1100" s="2">
        <v>45189</v>
      </c>
      <c r="B1100">
        <v>46.865001678466797</v>
      </c>
      <c r="C1100">
        <v>47.540000915527337</v>
      </c>
      <c r="D1100">
        <v>46.400001525878913</v>
      </c>
      <c r="E1100">
        <v>46.549999237060547</v>
      </c>
      <c r="F1100">
        <v>22582000</v>
      </c>
      <c r="G1100">
        <v>95180226400</v>
      </c>
      <c r="H1100">
        <v>2044688034</v>
      </c>
    </row>
    <row r="1101" spans="1:8" x14ac:dyDescent="0.25">
      <c r="A1101" s="2">
        <v>45190</v>
      </c>
      <c r="B1101">
        <v>45.790000915527337</v>
      </c>
      <c r="C1101">
        <v>45.790000915527337</v>
      </c>
      <c r="D1101">
        <v>43.930000305175781</v>
      </c>
      <c r="E1101">
        <v>44.599998474121087</v>
      </c>
      <c r="F1101">
        <v>27865700</v>
      </c>
      <c r="G1101">
        <v>91193084800</v>
      </c>
      <c r="H1101">
        <v>2044688070</v>
      </c>
    </row>
    <row r="1102" spans="1:8" x14ac:dyDescent="0.25">
      <c r="A1102" s="2">
        <v>45191</v>
      </c>
      <c r="B1102">
        <v>45.159999847412109</v>
      </c>
      <c r="C1102">
        <v>45.345001220703118</v>
      </c>
      <c r="D1102">
        <v>44.029998779296882</v>
      </c>
      <c r="E1102">
        <v>44.409999847412109</v>
      </c>
      <c r="F1102">
        <v>16158700</v>
      </c>
      <c r="G1102">
        <v>90804594080</v>
      </c>
      <c r="H1102">
        <v>2044688007</v>
      </c>
    </row>
    <row r="1103" spans="1:8" x14ac:dyDescent="0.25">
      <c r="A1103" s="2">
        <v>45194</v>
      </c>
      <c r="B1103">
        <v>44.139999389648438</v>
      </c>
      <c r="C1103">
        <v>45.110000610351563</v>
      </c>
      <c r="D1103">
        <v>44.110000610351563</v>
      </c>
      <c r="E1103">
        <v>44.909999847412109</v>
      </c>
      <c r="F1103">
        <v>9175400</v>
      </c>
      <c r="G1103">
        <v>91826938080</v>
      </c>
      <c r="H1103">
        <v>2044688007</v>
      </c>
    </row>
    <row r="1104" spans="1:8" x14ac:dyDescent="0.25">
      <c r="A1104" s="2">
        <v>45195</v>
      </c>
      <c r="B1104">
        <v>44.5</v>
      </c>
      <c r="C1104">
        <v>45.388999938964837</v>
      </c>
      <c r="D1104">
        <v>44.044998168945313</v>
      </c>
      <c r="E1104">
        <v>44.270000457763672</v>
      </c>
      <c r="F1104">
        <v>11283600</v>
      </c>
      <c r="G1104">
        <v>90518337760</v>
      </c>
      <c r="H1104">
        <v>2044687979</v>
      </c>
    </row>
    <row r="1105" spans="1:8" x14ac:dyDescent="0.25">
      <c r="A1105" s="2">
        <v>45196</v>
      </c>
      <c r="B1105">
        <v>44.509998321533203</v>
      </c>
      <c r="C1105">
        <v>45.472999572753913</v>
      </c>
      <c r="D1105">
        <v>44.439998626708977</v>
      </c>
      <c r="E1105">
        <v>45.139999389648438</v>
      </c>
      <c r="F1105">
        <v>16835100</v>
      </c>
      <c r="G1105">
        <v>92297216320</v>
      </c>
      <c r="H1105">
        <v>2044688028</v>
      </c>
    </row>
    <row r="1106" spans="1:8" x14ac:dyDescent="0.25">
      <c r="A1106" s="2">
        <v>45197</v>
      </c>
      <c r="B1106">
        <v>44.919998168945313</v>
      </c>
      <c r="C1106">
        <v>46.580001831054688</v>
      </c>
      <c r="D1106">
        <v>44.919998168945313</v>
      </c>
      <c r="E1106">
        <v>46.139999389648438</v>
      </c>
      <c r="F1106">
        <v>22199200</v>
      </c>
      <c r="G1106">
        <v>94341904320</v>
      </c>
      <c r="H1106">
        <v>2044688027</v>
      </c>
    </row>
    <row r="1107" spans="1:8" x14ac:dyDescent="0.25">
      <c r="A1107" s="2">
        <v>45198</v>
      </c>
      <c r="B1107">
        <v>46.75</v>
      </c>
      <c r="C1107">
        <v>46.919998168945313</v>
      </c>
      <c r="D1107">
        <v>45.849998474121087</v>
      </c>
      <c r="E1107">
        <v>45.990001678466797</v>
      </c>
      <c r="F1107">
        <v>14237200</v>
      </c>
      <c r="G1107">
        <v>94035201120</v>
      </c>
      <c r="H1107">
        <v>2044687925</v>
      </c>
    </row>
    <row r="1108" spans="1:8" x14ac:dyDescent="0.25">
      <c r="A1108" s="2">
        <v>45201</v>
      </c>
      <c r="B1108">
        <v>45.569999694824219</v>
      </c>
      <c r="C1108">
        <v>46.290000915527337</v>
      </c>
      <c r="D1108">
        <v>45.102001190185547</v>
      </c>
      <c r="E1108">
        <v>45.680000305175781</v>
      </c>
      <c r="F1108">
        <v>14976700</v>
      </c>
      <c r="G1108">
        <v>94141226800</v>
      </c>
      <c r="H1108">
        <v>2060884986</v>
      </c>
    </row>
    <row r="1109" spans="1:8" x14ac:dyDescent="0.25">
      <c r="A1109" s="2">
        <v>45202</v>
      </c>
      <c r="B1109">
        <v>45.360000610351563</v>
      </c>
      <c r="C1109">
        <v>45.604999542236328</v>
      </c>
      <c r="D1109">
        <v>44.325000762939453</v>
      </c>
      <c r="E1109">
        <v>44.509998321533203</v>
      </c>
      <c r="F1109">
        <v>11033400</v>
      </c>
      <c r="G1109">
        <v>91729991350</v>
      </c>
      <c r="H1109">
        <v>2060885078</v>
      </c>
    </row>
    <row r="1110" spans="1:8" x14ac:dyDescent="0.25">
      <c r="A1110" s="2">
        <v>45203</v>
      </c>
      <c r="B1110">
        <v>44.790000915527337</v>
      </c>
      <c r="C1110">
        <v>45.485000610351563</v>
      </c>
      <c r="D1110">
        <v>44.180000305175781</v>
      </c>
      <c r="E1110">
        <v>44.939998626708977</v>
      </c>
      <c r="F1110">
        <v>12476100</v>
      </c>
      <c r="G1110">
        <v>92616171900</v>
      </c>
      <c r="H1110">
        <v>2060885063</v>
      </c>
    </row>
    <row r="1111" spans="1:8" x14ac:dyDescent="0.25">
      <c r="A1111" s="2">
        <v>45204</v>
      </c>
      <c r="B1111">
        <v>44.840000152587891</v>
      </c>
      <c r="C1111">
        <v>44.930000305175781</v>
      </c>
      <c r="D1111">
        <v>43.650001525878913</v>
      </c>
      <c r="E1111">
        <v>44.610000610351563</v>
      </c>
      <c r="F1111">
        <v>14518800</v>
      </c>
      <c r="G1111">
        <v>91936079850</v>
      </c>
      <c r="H1111">
        <v>2060884972</v>
      </c>
    </row>
    <row r="1112" spans="1:8" x14ac:dyDescent="0.25">
      <c r="A1112" s="2">
        <v>45205</v>
      </c>
      <c r="B1112">
        <v>44.060001373291023</v>
      </c>
      <c r="C1112">
        <v>45.944999694824219</v>
      </c>
      <c r="D1112">
        <v>44.060001373291023</v>
      </c>
      <c r="E1112">
        <v>45.779998779296882</v>
      </c>
      <c r="F1112">
        <v>14754800</v>
      </c>
      <c r="G1112">
        <v>94347315300</v>
      </c>
      <c r="H1112">
        <v>2060885055</v>
      </c>
    </row>
    <row r="1113" spans="1:8" x14ac:dyDescent="0.25">
      <c r="A1113" s="2">
        <v>45208</v>
      </c>
      <c r="B1113">
        <v>45.150001525878913</v>
      </c>
      <c r="C1113">
        <v>45.599998474121087</v>
      </c>
      <c r="D1113">
        <v>44.580001831054688</v>
      </c>
      <c r="E1113">
        <v>45.450000762939453</v>
      </c>
      <c r="F1113">
        <v>11422300</v>
      </c>
      <c r="G1113">
        <v>93667223250</v>
      </c>
      <c r="H1113">
        <v>2060884965</v>
      </c>
    </row>
    <row r="1114" spans="1:8" x14ac:dyDescent="0.25">
      <c r="A1114" s="2">
        <v>45209</v>
      </c>
      <c r="B1114">
        <v>45.75</v>
      </c>
      <c r="C1114">
        <v>47.275001525878913</v>
      </c>
      <c r="D1114">
        <v>45.549999237060547</v>
      </c>
      <c r="E1114">
        <v>46.630001068115227</v>
      </c>
      <c r="F1114">
        <v>14538600</v>
      </c>
      <c r="G1114">
        <v>96099067550</v>
      </c>
      <c r="H1114">
        <v>2060884953</v>
      </c>
    </row>
    <row r="1115" spans="1:8" x14ac:dyDescent="0.25">
      <c r="A1115" s="2">
        <v>45210</v>
      </c>
      <c r="B1115">
        <v>46.900001525878913</v>
      </c>
      <c r="C1115">
        <v>47.209999084472663</v>
      </c>
      <c r="D1115">
        <v>46.264999389648438</v>
      </c>
      <c r="E1115">
        <v>46.639999389648438</v>
      </c>
      <c r="F1115">
        <v>12985500</v>
      </c>
      <c r="G1115">
        <v>96119676400</v>
      </c>
      <c r="H1115">
        <v>2060885027</v>
      </c>
    </row>
    <row r="1116" spans="1:8" x14ac:dyDescent="0.25">
      <c r="A1116" s="2">
        <v>45211</v>
      </c>
      <c r="B1116">
        <v>46.540000915527337</v>
      </c>
      <c r="C1116">
        <v>47.040000915527337</v>
      </c>
      <c r="D1116">
        <v>45.599998474121087</v>
      </c>
      <c r="E1116">
        <v>45.950000762939453</v>
      </c>
      <c r="F1116">
        <v>15983600</v>
      </c>
      <c r="G1116">
        <v>94697665750</v>
      </c>
      <c r="H1116">
        <v>2060884966</v>
      </c>
    </row>
    <row r="1117" spans="1:8" x14ac:dyDescent="0.25">
      <c r="A1117" s="2">
        <v>45212</v>
      </c>
      <c r="B1117">
        <v>45.819999694824219</v>
      </c>
      <c r="C1117">
        <v>46.290000915527337</v>
      </c>
      <c r="D1117">
        <v>42.700000762939453</v>
      </c>
      <c r="E1117">
        <v>43.479999542236328</v>
      </c>
      <c r="F1117">
        <v>28195100</v>
      </c>
      <c r="G1117">
        <v>89607279800</v>
      </c>
      <c r="H1117">
        <v>2060885022</v>
      </c>
    </row>
    <row r="1118" spans="1:8" x14ac:dyDescent="0.25">
      <c r="A1118" s="2">
        <v>45215</v>
      </c>
      <c r="B1118">
        <v>43.764999389648438</v>
      </c>
      <c r="C1118">
        <v>45</v>
      </c>
      <c r="D1118">
        <v>43.465000152587891</v>
      </c>
      <c r="E1118">
        <v>44.709999084472663</v>
      </c>
      <c r="F1118">
        <v>20447100</v>
      </c>
      <c r="G1118">
        <v>92142168350</v>
      </c>
      <c r="H1118">
        <v>2060885042</v>
      </c>
    </row>
    <row r="1119" spans="1:8" x14ac:dyDescent="0.25">
      <c r="A1119" s="2">
        <v>45216</v>
      </c>
      <c r="B1119">
        <v>44.409999847412109</v>
      </c>
      <c r="C1119">
        <v>45.259998321533203</v>
      </c>
      <c r="D1119">
        <v>44.049999237060547</v>
      </c>
      <c r="E1119">
        <v>44.380001068115227</v>
      </c>
      <c r="F1119">
        <v>17337800</v>
      </c>
      <c r="G1119">
        <v>91462076300</v>
      </c>
      <c r="H1119">
        <v>2060884950</v>
      </c>
    </row>
    <row r="1120" spans="1:8" x14ac:dyDescent="0.25">
      <c r="A1120" s="2">
        <v>45217</v>
      </c>
      <c r="B1120">
        <v>43.900001525878913</v>
      </c>
      <c r="C1120">
        <v>44.200000762939453</v>
      </c>
      <c r="D1120">
        <v>42.909999847412109</v>
      </c>
      <c r="E1120">
        <v>43</v>
      </c>
      <c r="F1120">
        <v>15388000</v>
      </c>
      <c r="G1120">
        <v>88618055000</v>
      </c>
      <c r="H1120">
        <v>2060885000</v>
      </c>
    </row>
    <row r="1121" spans="1:8" x14ac:dyDescent="0.25">
      <c r="A1121" s="2">
        <v>45218</v>
      </c>
      <c r="B1121">
        <v>43.020000457763672</v>
      </c>
      <c r="C1121">
        <v>43.270000457763672</v>
      </c>
      <c r="D1121">
        <v>42.185001373291023</v>
      </c>
      <c r="E1121">
        <v>42.720001220703118</v>
      </c>
      <c r="F1121">
        <v>16090000</v>
      </c>
      <c r="G1121">
        <v>88041007200</v>
      </c>
      <c r="H1121">
        <v>2060884941</v>
      </c>
    </row>
    <row r="1122" spans="1:8" x14ac:dyDescent="0.25">
      <c r="A1122" s="2">
        <v>45219</v>
      </c>
      <c r="B1122">
        <v>42.720001220703118</v>
      </c>
      <c r="C1122">
        <v>43.349998474121087</v>
      </c>
      <c r="D1122">
        <v>42.259998321533203</v>
      </c>
      <c r="E1122">
        <v>42.959999084472663</v>
      </c>
      <c r="F1122">
        <v>13941300</v>
      </c>
      <c r="G1122">
        <v>88535619600</v>
      </c>
      <c r="H1122">
        <v>2060885044</v>
      </c>
    </row>
    <row r="1123" spans="1:8" x14ac:dyDescent="0.25">
      <c r="A1123" s="2">
        <v>45222</v>
      </c>
      <c r="B1123">
        <v>42.529998779296882</v>
      </c>
      <c r="C1123">
        <v>43.970001220703118</v>
      </c>
      <c r="D1123">
        <v>42.25</v>
      </c>
      <c r="E1123">
        <v>43.040000915527337</v>
      </c>
      <c r="F1123">
        <v>11277100</v>
      </c>
      <c r="G1123">
        <v>88700490400</v>
      </c>
      <c r="H1123">
        <v>2060884956</v>
      </c>
    </row>
    <row r="1124" spans="1:8" x14ac:dyDescent="0.25">
      <c r="A1124" s="2">
        <v>45223</v>
      </c>
      <c r="B1124">
        <v>43.5</v>
      </c>
      <c r="C1124">
        <v>44.325000762939453</v>
      </c>
      <c r="D1124">
        <v>43.384998321533203</v>
      </c>
      <c r="E1124">
        <v>44.189998626708977</v>
      </c>
      <c r="F1124">
        <v>17566500</v>
      </c>
      <c r="G1124">
        <v>91070508150</v>
      </c>
      <c r="H1124">
        <v>2060885064</v>
      </c>
    </row>
    <row r="1125" spans="1:8" x14ac:dyDescent="0.25">
      <c r="A1125" s="2">
        <v>45224</v>
      </c>
      <c r="B1125">
        <v>43.299999237060547</v>
      </c>
      <c r="C1125">
        <v>43.490001678466797</v>
      </c>
      <c r="D1125">
        <v>42.064998626708977</v>
      </c>
      <c r="E1125">
        <v>42.349998474121087</v>
      </c>
      <c r="F1125">
        <v>16495900</v>
      </c>
      <c r="G1125">
        <v>87278479750</v>
      </c>
      <c r="H1125">
        <v>2060885074</v>
      </c>
    </row>
    <row r="1126" spans="1:8" x14ac:dyDescent="0.25">
      <c r="A1126" s="2">
        <v>45225</v>
      </c>
      <c r="B1126">
        <v>42.139999389648438</v>
      </c>
      <c r="C1126">
        <v>42.299999237060547</v>
      </c>
      <c r="D1126">
        <v>40.090000152587891</v>
      </c>
      <c r="E1126">
        <v>40.619998931884773</v>
      </c>
      <c r="F1126">
        <v>23465500</v>
      </c>
      <c r="G1126">
        <v>83713148700</v>
      </c>
      <c r="H1126">
        <v>2060885054</v>
      </c>
    </row>
    <row r="1127" spans="1:8" x14ac:dyDescent="0.25">
      <c r="A1127" s="2">
        <v>45226</v>
      </c>
      <c r="B1127">
        <v>41.209999084472663</v>
      </c>
      <c r="C1127">
        <v>42.145000457763672</v>
      </c>
      <c r="D1127">
        <v>40.799999237060547</v>
      </c>
      <c r="E1127">
        <v>41.229999542236328</v>
      </c>
      <c r="F1127">
        <v>17098600</v>
      </c>
      <c r="G1127">
        <v>84970288550</v>
      </c>
      <c r="H1127">
        <v>2060885023</v>
      </c>
    </row>
    <row r="1128" spans="1:8" x14ac:dyDescent="0.25">
      <c r="A1128" s="2">
        <v>45229</v>
      </c>
      <c r="B1128">
        <v>42.009998321533203</v>
      </c>
      <c r="C1128">
        <v>43</v>
      </c>
      <c r="D1128">
        <v>42.009998321533203</v>
      </c>
      <c r="E1128">
        <v>42.729999542236328</v>
      </c>
      <c r="F1128">
        <v>21292700</v>
      </c>
      <c r="G1128">
        <v>88061616050</v>
      </c>
      <c r="H1128">
        <v>2060885022</v>
      </c>
    </row>
    <row r="1129" spans="1:8" x14ac:dyDescent="0.25">
      <c r="A1129" s="2">
        <v>45230</v>
      </c>
      <c r="B1129">
        <v>42.819999694824219</v>
      </c>
      <c r="C1129">
        <v>43.529998779296882</v>
      </c>
      <c r="D1129">
        <v>42.200000762939453</v>
      </c>
      <c r="E1129">
        <v>43.279998779296882</v>
      </c>
      <c r="F1129">
        <v>18414000</v>
      </c>
      <c r="G1129">
        <v>89195102800</v>
      </c>
      <c r="H1129">
        <v>2060885058</v>
      </c>
    </row>
    <row r="1130" spans="1:8" x14ac:dyDescent="0.25">
      <c r="A1130" s="2">
        <v>45231</v>
      </c>
      <c r="B1130">
        <v>43.25</v>
      </c>
      <c r="C1130">
        <v>44</v>
      </c>
      <c r="D1130">
        <v>42.909999847412109</v>
      </c>
      <c r="E1130">
        <v>43.830001831054688</v>
      </c>
      <c r="F1130">
        <v>18989300</v>
      </c>
      <c r="G1130">
        <v>90328589550</v>
      </c>
      <c r="H1130">
        <v>2060884914</v>
      </c>
    </row>
    <row r="1131" spans="1:8" x14ac:dyDescent="0.25">
      <c r="A1131" s="2">
        <v>45232</v>
      </c>
      <c r="B1131">
        <v>45.349998474121087</v>
      </c>
      <c r="C1131">
        <v>46.860000610351563</v>
      </c>
      <c r="D1131">
        <v>45.25</v>
      </c>
      <c r="E1131">
        <v>46.479999542236328</v>
      </c>
      <c r="F1131">
        <v>25816900</v>
      </c>
      <c r="G1131">
        <v>95789934800</v>
      </c>
      <c r="H1131">
        <v>2060885020</v>
      </c>
    </row>
    <row r="1132" spans="1:8" x14ac:dyDescent="0.25">
      <c r="A1132" s="2">
        <v>45233</v>
      </c>
      <c r="B1132">
        <v>46.919998168945313</v>
      </c>
      <c r="C1132">
        <v>48.150001525878913</v>
      </c>
      <c r="D1132">
        <v>46.630001068115227</v>
      </c>
      <c r="E1132">
        <v>47.75</v>
      </c>
      <c r="F1132">
        <v>21946800</v>
      </c>
      <c r="G1132">
        <v>98407258750</v>
      </c>
      <c r="H1132">
        <v>2060885000</v>
      </c>
    </row>
    <row r="1133" spans="1:8" x14ac:dyDescent="0.25">
      <c r="A1133" s="2">
        <v>45236</v>
      </c>
      <c r="B1133">
        <v>47.939998626708977</v>
      </c>
      <c r="C1133">
        <v>48.299999237060547</v>
      </c>
      <c r="D1133">
        <v>47.430000305175781</v>
      </c>
      <c r="E1133">
        <v>48.139999389648438</v>
      </c>
      <c r="F1133">
        <v>27843100</v>
      </c>
      <c r="G1133">
        <v>99211003900</v>
      </c>
      <c r="H1133">
        <v>2060885026</v>
      </c>
    </row>
    <row r="1134" spans="1:8" x14ac:dyDescent="0.25">
      <c r="A1134" s="2">
        <v>45237</v>
      </c>
      <c r="B1134">
        <v>47</v>
      </c>
      <c r="C1134">
        <v>50.040000915527337</v>
      </c>
      <c r="D1134">
        <v>46.680000305175781</v>
      </c>
      <c r="E1134">
        <v>49.919998168945313</v>
      </c>
      <c r="F1134">
        <v>81365400</v>
      </c>
      <c r="G1134">
        <v>102879379200</v>
      </c>
      <c r="H1134">
        <v>2060885076</v>
      </c>
    </row>
    <row r="1135" spans="1:8" x14ac:dyDescent="0.25">
      <c r="A1135" s="2">
        <v>45238</v>
      </c>
      <c r="B1135">
        <v>50.040000915527337</v>
      </c>
      <c r="C1135">
        <v>50.299999237060547</v>
      </c>
      <c r="D1135">
        <v>48.900001525878913</v>
      </c>
      <c r="E1135">
        <v>49.5</v>
      </c>
      <c r="F1135">
        <v>37726700</v>
      </c>
      <c r="G1135">
        <v>102013807500</v>
      </c>
      <c r="H1135">
        <v>2060885000</v>
      </c>
    </row>
    <row r="1136" spans="1:8" x14ac:dyDescent="0.25">
      <c r="A1136" s="2">
        <v>45239</v>
      </c>
      <c r="B1136">
        <v>49.299999237060547</v>
      </c>
      <c r="C1136">
        <v>50.680000305175781</v>
      </c>
      <c r="D1136">
        <v>49.020000457763672</v>
      </c>
      <c r="E1136">
        <v>50.049999237060547</v>
      </c>
      <c r="F1136">
        <v>29962300</v>
      </c>
      <c r="G1136">
        <v>103147294250</v>
      </c>
      <c r="H1136">
        <v>2060885031</v>
      </c>
    </row>
    <row r="1137" spans="1:8" x14ac:dyDescent="0.25">
      <c r="A1137" s="2">
        <v>45240</v>
      </c>
      <c r="B1137">
        <v>50.009998321533203</v>
      </c>
      <c r="C1137">
        <v>52.099998474121087</v>
      </c>
      <c r="D1137">
        <v>49.900001525878913</v>
      </c>
      <c r="E1137">
        <v>51.580001831054688</v>
      </c>
      <c r="F1137">
        <v>27228600</v>
      </c>
      <c r="G1137">
        <v>106300448300</v>
      </c>
      <c r="H1137">
        <v>2060884927</v>
      </c>
    </row>
    <row r="1138" spans="1:8" x14ac:dyDescent="0.25">
      <c r="A1138" s="2">
        <v>45243</v>
      </c>
      <c r="B1138">
        <v>51.169998168945313</v>
      </c>
      <c r="C1138">
        <v>52.419998168945313</v>
      </c>
      <c r="D1138">
        <v>50.720001220703118</v>
      </c>
      <c r="E1138">
        <v>52.240001678466797</v>
      </c>
      <c r="F1138">
        <v>21026900</v>
      </c>
      <c r="G1138">
        <v>107660632400</v>
      </c>
      <c r="H1138">
        <v>2060884934</v>
      </c>
    </row>
    <row r="1139" spans="1:8" x14ac:dyDescent="0.25">
      <c r="A1139" s="2">
        <v>45244</v>
      </c>
      <c r="B1139">
        <v>52.900001525878913</v>
      </c>
      <c r="C1139">
        <v>54.310001373291023</v>
      </c>
      <c r="D1139">
        <v>52.389999389648438</v>
      </c>
      <c r="E1139">
        <v>53.880001068115227</v>
      </c>
      <c r="F1139">
        <v>30621900</v>
      </c>
      <c r="G1139">
        <v>111040483800</v>
      </c>
      <c r="H1139">
        <v>2060884959</v>
      </c>
    </row>
    <row r="1140" spans="1:8" x14ac:dyDescent="0.25">
      <c r="A1140" s="2">
        <v>45245</v>
      </c>
      <c r="B1140">
        <v>53.919998168945313</v>
      </c>
      <c r="C1140">
        <v>54.259998321533203</v>
      </c>
      <c r="D1140">
        <v>53.159999847412109</v>
      </c>
      <c r="E1140">
        <v>53.759998321533203</v>
      </c>
      <c r="F1140">
        <v>22419700</v>
      </c>
      <c r="G1140">
        <v>110793177600</v>
      </c>
      <c r="H1140">
        <v>2060885064</v>
      </c>
    </row>
    <row r="1141" spans="1:8" x14ac:dyDescent="0.25">
      <c r="A1141" s="2">
        <v>45246</v>
      </c>
      <c r="B1141">
        <v>53.5</v>
      </c>
      <c r="C1141">
        <v>54.509998321533203</v>
      </c>
      <c r="D1141">
        <v>53.150001525878913</v>
      </c>
      <c r="E1141">
        <v>54.419998168945313</v>
      </c>
      <c r="F1141">
        <v>20810800</v>
      </c>
      <c r="G1141">
        <v>112153361700</v>
      </c>
      <c r="H1141">
        <v>2060885069</v>
      </c>
    </row>
    <row r="1142" spans="1:8" x14ac:dyDescent="0.25">
      <c r="A1142" s="2">
        <v>45247</v>
      </c>
      <c r="B1142">
        <v>54.130001068115227</v>
      </c>
      <c r="C1142">
        <v>54.509998321533203</v>
      </c>
      <c r="D1142">
        <v>54.009998321533203</v>
      </c>
      <c r="E1142">
        <v>54.439998626708977</v>
      </c>
      <c r="F1142">
        <v>16119500</v>
      </c>
      <c r="G1142">
        <v>112194579400</v>
      </c>
      <c r="H1142">
        <v>2060885052</v>
      </c>
    </row>
    <row r="1143" spans="1:8" x14ac:dyDescent="0.25">
      <c r="A1143" s="2">
        <v>45250</v>
      </c>
      <c r="B1143">
        <v>53.830001831054688</v>
      </c>
      <c r="C1143">
        <v>55.354999542236328</v>
      </c>
      <c r="D1143">
        <v>53.759998321533203</v>
      </c>
      <c r="E1143">
        <v>54.75</v>
      </c>
      <c r="F1143">
        <v>28511600</v>
      </c>
      <c r="G1143">
        <v>112833453750</v>
      </c>
      <c r="H1143">
        <v>2060885000</v>
      </c>
    </row>
    <row r="1144" spans="1:8" x14ac:dyDescent="0.25">
      <c r="A1144" s="2">
        <v>45251</v>
      </c>
      <c r="B1144">
        <v>54.229999542236328</v>
      </c>
      <c r="C1144">
        <v>55.080001831054688</v>
      </c>
      <c r="D1144">
        <v>53.889999389648438</v>
      </c>
      <c r="E1144">
        <v>54.849998474121087</v>
      </c>
      <c r="F1144">
        <v>34115500</v>
      </c>
      <c r="G1144">
        <v>113039542250</v>
      </c>
      <c r="H1144">
        <v>2060885057</v>
      </c>
    </row>
    <row r="1145" spans="1:8" x14ac:dyDescent="0.25">
      <c r="A1145" s="2">
        <v>45252</v>
      </c>
      <c r="B1145">
        <v>55.099998474121087</v>
      </c>
      <c r="C1145">
        <v>55.819999694824219</v>
      </c>
      <c r="D1145">
        <v>54.959999084472663</v>
      </c>
      <c r="E1145">
        <v>55.369998931884773</v>
      </c>
      <c r="F1145">
        <v>18459700</v>
      </c>
      <c r="G1145">
        <v>114111202450</v>
      </c>
      <c r="H1145">
        <v>2060885040</v>
      </c>
    </row>
    <row r="1146" spans="1:8" x14ac:dyDescent="0.25">
      <c r="A1146" s="2">
        <v>45254</v>
      </c>
      <c r="B1146">
        <v>55.150001525878913</v>
      </c>
      <c r="C1146">
        <v>55.936000823974609</v>
      </c>
      <c r="D1146">
        <v>55.069999694824219</v>
      </c>
      <c r="E1146">
        <v>55.319999694824219</v>
      </c>
      <c r="F1146">
        <v>10696800</v>
      </c>
      <c r="G1146">
        <v>114008158200</v>
      </c>
      <c r="H1146">
        <v>2060885011</v>
      </c>
    </row>
    <row r="1147" spans="1:8" x14ac:dyDescent="0.25">
      <c r="A1147" s="2">
        <v>45257</v>
      </c>
      <c r="B1147">
        <v>55.470001220703118</v>
      </c>
      <c r="C1147">
        <v>56.455001831054688</v>
      </c>
      <c r="D1147">
        <v>55.290000915527337</v>
      </c>
      <c r="E1147">
        <v>56.060001373291023</v>
      </c>
      <c r="F1147">
        <v>19101900</v>
      </c>
      <c r="G1147">
        <v>115533213100</v>
      </c>
      <c r="H1147">
        <v>2060884950</v>
      </c>
    </row>
    <row r="1148" spans="1:8" x14ac:dyDescent="0.25">
      <c r="A1148" s="2">
        <v>45258</v>
      </c>
      <c r="B1148">
        <v>55.979999542236328</v>
      </c>
      <c r="C1148">
        <v>56.450000762939453</v>
      </c>
      <c r="D1148">
        <v>55.689998626708977</v>
      </c>
      <c r="E1148">
        <v>56.209999084472663</v>
      </c>
      <c r="F1148">
        <v>20457500</v>
      </c>
      <c r="G1148">
        <v>115842345850</v>
      </c>
      <c r="H1148">
        <v>2060885034</v>
      </c>
    </row>
    <row r="1149" spans="1:8" x14ac:dyDescent="0.25">
      <c r="A1149" s="2">
        <v>45259</v>
      </c>
      <c r="B1149">
        <v>56.490001678466797</v>
      </c>
      <c r="C1149">
        <v>57.130001068115227</v>
      </c>
      <c r="D1149">
        <v>56.145000457763672</v>
      </c>
      <c r="E1149">
        <v>56.400001525878913</v>
      </c>
      <c r="F1149">
        <v>23496200</v>
      </c>
      <c r="G1149">
        <v>116233914000</v>
      </c>
      <c r="H1149">
        <v>2060884944</v>
      </c>
    </row>
    <row r="1150" spans="1:8" x14ac:dyDescent="0.25">
      <c r="A1150" s="2">
        <v>45260</v>
      </c>
      <c r="B1150">
        <v>56.610000610351563</v>
      </c>
      <c r="C1150">
        <v>56.770000457763672</v>
      </c>
      <c r="D1150">
        <v>55.529998779296882</v>
      </c>
      <c r="E1150">
        <v>56.380001068115227</v>
      </c>
      <c r="F1150">
        <v>32769800</v>
      </c>
      <c r="G1150">
        <v>116192696300</v>
      </c>
      <c r="H1150">
        <v>2060884961</v>
      </c>
    </row>
    <row r="1151" spans="1:8" x14ac:dyDescent="0.25">
      <c r="A1151" s="2">
        <v>45261</v>
      </c>
      <c r="B1151">
        <v>56.669998168945313</v>
      </c>
      <c r="C1151">
        <v>57.865001678466797</v>
      </c>
      <c r="D1151">
        <v>56.25</v>
      </c>
      <c r="E1151">
        <v>57.349998474121087</v>
      </c>
      <c r="F1151">
        <v>28162400</v>
      </c>
      <c r="G1151">
        <v>118191754750</v>
      </c>
      <c r="H1151">
        <v>2060885055</v>
      </c>
    </row>
    <row r="1152" spans="1:8" x14ac:dyDescent="0.25">
      <c r="A1152" s="2">
        <v>45264</v>
      </c>
      <c r="B1152">
        <v>60.009998321533203</v>
      </c>
      <c r="C1152">
        <v>60.919998168945313</v>
      </c>
      <c r="D1152">
        <v>58.569999694824219</v>
      </c>
      <c r="E1152">
        <v>58.630001068115227</v>
      </c>
      <c r="F1152">
        <v>85417300</v>
      </c>
      <c r="G1152">
        <v>120829687550</v>
      </c>
      <c r="H1152">
        <v>2060884962</v>
      </c>
    </row>
    <row r="1153" spans="1:8" x14ac:dyDescent="0.25">
      <c r="A1153" s="2">
        <v>45265</v>
      </c>
      <c r="B1153">
        <v>58.009998321533203</v>
      </c>
      <c r="C1153">
        <v>58.659999847412109</v>
      </c>
      <c r="D1153">
        <v>57.701000213623047</v>
      </c>
      <c r="E1153">
        <v>57.970001220703118</v>
      </c>
      <c r="F1153">
        <v>39170600</v>
      </c>
      <c r="G1153">
        <v>119469503450</v>
      </c>
      <c r="H1153">
        <v>2060884957</v>
      </c>
    </row>
    <row r="1154" spans="1:8" x14ac:dyDescent="0.25">
      <c r="A1154" s="2">
        <v>45266</v>
      </c>
      <c r="B1154">
        <v>58.369998931884773</v>
      </c>
      <c r="C1154">
        <v>59.979999542236328</v>
      </c>
      <c r="D1154">
        <v>58.360000610351563</v>
      </c>
      <c r="E1154">
        <v>59.75</v>
      </c>
      <c r="F1154">
        <v>33835000</v>
      </c>
      <c r="G1154">
        <v>123137878750</v>
      </c>
      <c r="H1154">
        <v>2060885000</v>
      </c>
    </row>
    <row r="1155" spans="1:8" x14ac:dyDescent="0.25">
      <c r="A1155" s="2">
        <v>45267</v>
      </c>
      <c r="B1155">
        <v>59.669998168945313</v>
      </c>
      <c r="C1155">
        <v>60.994998931884773</v>
      </c>
      <c r="D1155">
        <v>59.525001525878913</v>
      </c>
      <c r="E1155">
        <v>60.979999542236328</v>
      </c>
      <c r="F1155">
        <v>34410200</v>
      </c>
      <c r="G1155">
        <v>125672767300</v>
      </c>
      <c r="H1155">
        <v>2060885015</v>
      </c>
    </row>
    <row r="1156" spans="1:8" x14ac:dyDescent="0.25">
      <c r="A1156" s="2">
        <v>45268</v>
      </c>
      <c r="B1156">
        <v>60.509998321533203</v>
      </c>
      <c r="C1156">
        <v>62.25</v>
      </c>
      <c r="D1156">
        <v>60.509998321533203</v>
      </c>
      <c r="E1156">
        <v>61.700000762939453</v>
      </c>
      <c r="F1156">
        <v>28844800</v>
      </c>
      <c r="G1156">
        <v>127156604500</v>
      </c>
      <c r="H1156">
        <v>2060884975</v>
      </c>
    </row>
    <row r="1157" spans="1:8" x14ac:dyDescent="0.25">
      <c r="A1157" s="2">
        <v>45271</v>
      </c>
      <c r="B1157">
        <v>61.529998779296882</v>
      </c>
      <c r="C1157">
        <v>62.990001678466797</v>
      </c>
      <c r="D1157">
        <v>60.939998626708977</v>
      </c>
      <c r="E1157">
        <v>62.459999084472663</v>
      </c>
      <c r="F1157">
        <v>30389700</v>
      </c>
      <c r="G1157">
        <v>128722877100</v>
      </c>
      <c r="H1157">
        <v>2060885030</v>
      </c>
    </row>
    <row r="1158" spans="1:8" x14ac:dyDescent="0.25">
      <c r="A1158" s="2">
        <v>45272</v>
      </c>
      <c r="B1158">
        <v>62.064998626708977</v>
      </c>
      <c r="C1158">
        <v>63.025001525878913</v>
      </c>
      <c r="D1158">
        <v>61.830001831054688</v>
      </c>
      <c r="E1158">
        <v>62.720001220703118</v>
      </c>
      <c r="F1158">
        <v>27144300</v>
      </c>
      <c r="G1158">
        <v>129258707200</v>
      </c>
      <c r="H1158">
        <v>2060884960</v>
      </c>
    </row>
    <row r="1159" spans="1:8" x14ac:dyDescent="0.25">
      <c r="A1159" s="2">
        <v>45273</v>
      </c>
      <c r="B1159">
        <v>62.709999084472663</v>
      </c>
      <c r="C1159">
        <v>62.880001068115227</v>
      </c>
      <c r="D1159">
        <v>61.450000762939453</v>
      </c>
      <c r="E1159">
        <v>61.970001220703118</v>
      </c>
      <c r="F1159">
        <v>41661700</v>
      </c>
      <c r="G1159">
        <v>127713043450</v>
      </c>
      <c r="H1159">
        <v>2060884959</v>
      </c>
    </row>
    <row r="1160" spans="1:8" x14ac:dyDescent="0.25">
      <c r="A1160" s="2">
        <v>45274</v>
      </c>
      <c r="B1160">
        <v>62.009998321533203</v>
      </c>
      <c r="C1160">
        <v>62.810001373291023</v>
      </c>
      <c r="D1160">
        <v>60.610000610351563</v>
      </c>
      <c r="E1160">
        <v>62.5</v>
      </c>
      <c r="F1160">
        <v>44818100</v>
      </c>
      <c r="G1160">
        <v>128805312500</v>
      </c>
      <c r="H1160">
        <v>2060885000</v>
      </c>
    </row>
    <row r="1161" spans="1:8" x14ac:dyDescent="0.25">
      <c r="A1161" s="2">
        <v>45275</v>
      </c>
      <c r="B1161">
        <v>62.159999847412109</v>
      </c>
      <c r="C1161">
        <v>63.529998779296882</v>
      </c>
      <c r="D1161">
        <v>61.409999847412109</v>
      </c>
      <c r="E1161">
        <v>61.860000610351563</v>
      </c>
      <c r="F1161">
        <v>364231800</v>
      </c>
      <c r="G1161">
        <v>127486346100</v>
      </c>
      <c r="H1161">
        <v>2060884980</v>
      </c>
    </row>
    <row r="1162" spans="1:8" x14ac:dyDescent="0.25">
      <c r="A1162" s="2">
        <v>45278</v>
      </c>
      <c r="B1162">
        <v>62.009998321533203</v>
      </c>
      <c r="C1162">
        <v>62.490001678466797</v>
      </c>
      <c r="D1162">
        <v>61.330001831054688</v>
      </c>
      <c r="E1162">
        <v>61.729999542236328</v>
      </c>
      <c r="F1162">
        <v>28614000</v>
      </c>
      <c r="G1162">
        <v>127218431050</v>
      </c>
      <c r="H1162">
        <v>2060885015</v>
      </c>
    </row>
    <row r="1163" spans="1:8" x14ac:dyDescent="0.25">
      <c r="A1163" s="2">
        <v>45279</v>
      </c>
      <c r="B1163">
        <v>61.880001068115227</v>
      </c>
      <c r="C1163">
        <v>62.700000762939453</v>
      </c>
      <c r="D1163">
        <v>61.689998626708977</v>
      </c>
      <c r="E1163">
        <v>62.119998931884773</v>
      </c>
      <c r="F1163">
        <v>26813800</v>
      </c>
      <c r="G1163">
        <v>128022176200</v>
      </c>
      <c r="H1163">
        <v>2060885035</v>
      </c>
    </row>
    <row r="1164" spans="1:8" x14ac:dyDescent="0.25">
      <c r="A1164" s="2">
        <v>45280</v>
      </c>
      <c r="B1164">
        <v>61.490001678466797</v>
      </c>
      <c r="C1164">
        <v>62.279998779296882</v>
      </c>
      <c r="D1164">
        <v>60.619998931884773</v>
      </c>
      <c r="E1164">
        <v>60.680000305175781</v>
      </c>
      <c r="F1164">
        <v>28286100</v>
      </c>
      <c r="G1164">
        <v>125054501800</v>
      </c>
      <c r="H1164">
        <v>2060884990</v>
      </c>
    </row>
    <row r="1165" spans="1:8" x14ac:dyDescent="0.25">
      <c r="A1165" s="2">
        <v>45281</v>
      </c>
      <c r="B1165">
        <v>61.240001678466797</v>
      </c>
      <c r="C1165">
        <v>61.759998321533203</v>
      </c>
      <c r="D1165">
        <v>60.825000762939453</v>
      </c>
      <c r="E1165">
        <v>61.459999084472663</v>
      </c>
      <c r="F1165">
        <v>19999600</v>
      </c>
      <c r="G1165">
        <v>126661992100</v>
      </c>
      <c r="H1165">
        <v>2060885031</v>
      </c>
    </row>
    <row r="1166" spans="1:8" x14ac:dyDescent="0.25">
      <c r="A1166" s="2">
        <v>45282</v>
      </c>
      <c r="B1166">
        <v>61.700000762939453</v>
      </c>
      <c r="C1166">
        <v>62.235000610351563</v>
      </c>
      <c r="D1166">
        <v>61.279998779296882</v>
      </c>
      <c r="E1166">
        <v>61.709999084472663</v>
      </c>
      <c r="F1166">
        <v>14709400</v>
      </c>
      <c r="G1166">
        <v>127177213350</v>
      </c>
      <c r="H1166">
        <v>2060885031</v>
      </c>
    </row>
    <row r="1167" spans="1:8" x14ac:dyDescent="0.25">
      <c r="A1167" s="2">
        <v>45286</v>
      </c>
      <c r="B1167">
        <v>61.709999084472663</v>
      </c>
      <c r="C1167">
        <v>62.200000762939453</v>
      </c>
      <c r="D1167">
        <v>61.313999176025391</v>
      </c>
      <c r="E1167">
        <v>61.979999542236328</v>
      </c>
      <c r="F1167">
        <v>16077200</v>
      </c>
      <c r="G1167">
        <v>127733652300</v>
      </c>
      <c r="H1167">
        <v>2060885015</v>
      </c>
    </row>
    <row r="1168" spans="1:8" x14ac:dyDescent="0.25">
      <c r="A1168" s="2">
        <v>45287</v>
      </c>
      <c r="B1168">
        <v>62</v>
      </c>
      <c r="C1168">
        <v>63.430000305175781</v>
      </c>
      <c r="D1168">
        <v>62</v>
      </c>
      <c r="E1168">
        <v>63.279998779296882</v>
      </c>
      <c r="F1168">
        <v>20806000</v>
      </c>
      <c r="G1168">
        <v>130412802800</v>
      </c>
      <c r="H1168">
        <v>2060885040</v>
      </c>
    </row>
    <row r="1169" spans="1:8" x14ac:dyDescent="0.25">
      <c r="A1169" s="2">
        <v>45288</v>
      </c>
      <c r="B1169">
        <v>63.450000762939453</v>
      </c>
      <c r="C1169">
        <v>63.529998779296882</v>
      </c>
      <c r="D1169">
        <v>62.834999084472663</v>
      </c>
      <c r="E1169">
        <v>63.139999389648438</v>
      </c>
      <c r="F1169">
        <v>13795600</v>
      </c>
      <c r="G1169">
        <v>130124278900</v>
      </c>
      <c r="H1169">
        <v>2060885020</v>
      </c>
    </row>
    <row r="1170" spans="1:8" x14ac:dyDescent="0.25">
      <c r="A1170" s="2">
        <v>45289</v>
      </c>
      <c r="B1170">
        <v>62.360000610351563</v>
      </c>
      <c r="C1170">
        <v>63.139999389648438</v>
      </c>
      <c r="D1170">
        <v>61.299999237060547</v>
      </c>
      <c r="E1170">
        <v>61.569999694824219</v>
      </c>
      <c r="F1170">
        <v>21602500</v>
      </c>
      <c r="G1170">
        <v>126888689450</v>
      </c>
      <c r="H1170">
        <v>2060885010</v>
      </c>
    </row>
    <row r="1171" spans="1:8" x14ac:dyDescent="0.25">
      <c r="A1171" s="2">
        <v>45293</v>
      </c>
      <c r="B1171">
        <v>60.729999542236328</v>
      </c>
      <c r="C1171">
        <v>60.909999847412109</v>
      </c>
      <c r="D1171">
        <v>57.930000305175781</v>
      </c>
      <c r="E1171">
        <v>58.380001068115227</v>
      </c>
      <c r="F1171">
        <v>41978600</v>
      </c>
      <c r="G1171">
        <v>121340903460</v>
      </c>
      <c r="H1171">
        <v>2078466962</v>
      </c>
    </row>
    <row r="1172" spans="1:8" x14ac:dyDescent="0.25">
      <c r="A1172" s="2">
        <v>45294</v>
      </c>
      <c r="B1172">
        <v>57.479999542236328</v>
      </c>
      <c r="C1172">
        <v>58.895000457763672</v>
      </c>
      <c r="D1172">
        <v>57.330001831054688</v>
      </c>
      <c r="E1172">
        <v>58.25</v>
      </c>
      <c r="F1172">
        <v>31800600</v>
      </c>
      <c r="G1172">
        <v>121070702750</v>
      </c>
      <c r="H1172">
        <v>2078467000</v>
      </c>
    </row>
    <row r="1173" spans="1:8" x14ac:dyDescent="0.25">
      <c r="A1173" s="2">
        <v>45295</v>
      </c>
      <c r="B1173">
        <v>58.25</v>
      </c>
      <c r="C1173">
        <v>58.985000610351563</v>
      </c>
      <c r="D1173">
        <v>57.729999542236328</v>
      </c>
      <c r="E1173">
        <v>57.799999237060547</v>
      </c>
      <c r="F1173">
        <v>20370700</v>
      </c>
      <c r="G1173">
        <v>120135392600</v>
      </c>
      <c r="H1173">
        <v>2078467027</v>
      </c>
    </row>
    <row r="1174" spans="1:8" x14ac:dyDescent="0.25">
      <c r="A1174" s="2">
        <v>45296</v>
      </c>
      <c r="B1174">
        <v>58.110000610351563</v>
      </c>
      <c r="C1174">
        <v>58.509998321533203</v>
      </c>
      <c r="D1174">
        <v>57.220001220703118</v>
      </c>
      <c r="E1174">
        <v>57.580001831054688</v>
      </c>
      <c r="F1174">
        <v>17875200</v>
      </c>
      <c r="G1174">
        <v>119678129860</v>
      </c>
      <c r="H1174">
        <v>2078466934</v>
      </c>
    </row>
    <row r="1175" spans="1:8" x14ac:dyDescent="0.25">
      <c r="A1175" s="2">
        <v>45299</v>
      </c>
      <c r="B1175">
        <v>58.090000152587891</v>
      </c>
      <c r="C1175">
        <v>59.159999847412109</v>
      </c>
      <c r="D1175">
        <v>57.849998474121087</v>
      </c>
      <c r="E1175">
        <v>59.009998321533203</v>
      </c>
      <c r="F1175">
        <v>21213000</v>
      </c>
      <c r="G1175">
        <v>122650337670</v>
      </c>
      <c r="H1175">
        <v>2078467059</v>
      </c>
    </row>
    <row r="1176" spans="1:8" x14ac:dyDescent="0.25">
      <c r="A1176" s="2">
        <v>45300</v>
      </c>
      <c r="B1176">
        <v>58.5</v>
      </c>
      <c r="C1176">
        <v>60.540000915527337</v>
      </c>
      <c r="D1176">
        <v>58.450000762939453</v>
      </c>
      <c r="E1176">
        <v>60.299999237060547</v>
      </c>
      <c r="F1176">
        <v>22319900</v>
      </c>
      <c r="G1176">
        <v>125331560100</v>
      </c>
      <c r="H1176">
        <v>2078467026</v>
      </c>
    </row>
    <row r="1177" spans="1:8" x14ac:dyDescent="0.25">
      <c r="A1177" s="2">
        <v>45301</v>
      </c>
      <c r="B1177">
        <v>60.279998779296882</v>
      </c>
      <c r="C1177">
        <v>62.610000610351563</v>
      </c>
      <c r="D1177">
        <v>60.279998779296882</v>
      </c>
      <c r="E1177">
        <v>62.409999847412109</v>
      </c>
      <c r="F1177">
        <v>30788900</v>
      </c>
      <c r="G1177">
        <v>129717125470</v>
      </c>
      <c r="H1177">
        <v>2078467005</v>
      </c>
    </row>
    <row r="1178" spans="1:8" x14ac:dyDescent="0.25">
      <c r="A1178" s="2">
        <v>45302</v>
      </c>
      <c r="B1178">
        <v>62.990001678466797</v>
      </c>
      <c r="C1178">
        <v>63.610000610351563</v>
      </c>
      <c r="D1178">
        <v>61.860000610351563</v>
      </c>
      <c r="E1178">
        <v>63.470001220703118</v>
      </c>
      <c r="F1178">
        <v>28888900</v>
      </c>
      <c r="G1178">
        <v>131920300490</v>
      </c>
      <c r="H1178">
        <v>2078466960</v>
      </c>
    </row>
    <row r="1179" spans="1:8" x14ac:dyDescent="0.25">
      <c r="A1179" s="2">
        <v>45303</v>
      </c>
      <c r="B1179">
        <v>63.200000762939453</v>
      </c>
      <c r="C1179">
        <v>64.919998168945313</v>
      </c>
      <c r="D1179">
        <v>63</v>
      </c>
      <c r="E1179">
        <v>63.200000762939453</v>
      </c>
      <c r="F1179">
        <v>26367100</v>
      </c>
      <c r="G1179">
        <v>131359114400</v>
      </c>
      <c r="H1179">
        <v>2078466975</v>
      </c>
    </row>
    <row r="1180" spans="1:8" x14ac:dyDescent="0.25">
      <c r="A1180" s="2">
        <v>45307</v>
      </c>
      <c r="B1180">
        <v>63</v>
      </c>
      <c r="C1180">
        <v>64</v>
      </c>
      <c r="D1180">
        <v>62.919998168945313</v>
      </c>
      <c r="E1180">
        <v>63.650001525878913</v>
      </c>
      <c r="F1180">
        <v>19511800</v>
      </c>
      <c r="G1180">
        <v>132294424550</v>
      </c>
      <c r="H1180">
        <v>2078466950</v>
      </c>
    </row>
    <row r="1181" spans="1:8" x14ac:dyDescent="0.25">
      <c r="A1181" s="2">
        <v>45308</v>
      </c>
      <c r="B1181">
        <v>62.950000762939453</v>
      </c>
      <c r="C1181">
        <v>63.419998168945313</v>
      </c>
      <c r="D1181">
        <v>61.680000305175781</v>
      </c>
      <c r="E1181">
        <v>63.119998931884773</v>
      </c>
      <c r="F1181">
        <v>19971600</v>
      </c>
      <c r="G1181">
        <v>131192837040</v>
      </c>
      <c r="H1181">
        <v>2078467035</v>
      </c>
    </row>
    <row r="1182" spans="1:8" x14ac:dyDescent="0.25">
      <c r="A1182" s="2">
        <v>45309</v>
      </c>
      <c r="B1182">
        <v>64</v>
      </c>
      <c r="C1182">
        <v>65</v>
      </c>
      <c r="D1182">
        <v>63.384998321533203</v>
      </c>
      <c r="E1182">
        <v>64.879997253417969</v>
      </c>
      <c r="F1182">
        <v>24149900</v>
      </c>
      <c r="G1182">
        <v>134850938959</v>
      </c>
      <c r="H1182">
        <v>2078467088</v>
      </c>
    </row>
    <row r="1183" spans="1:8" x14ac:dyDescent="0.25">
      <c r="A1183" s="2">
        <v>45310</v>
      </c>
      <c r="B1183">
        <v>64.900001525878906</v>
      </c>
      <c r="C1183">
        <v>65.385002136230469</v>
      </c>
      <c r="D1183">
        <v>64.410003662109375</v>
      </c>
      <c r="E1183">
        <v>65.110000610351563</v>
      </c>
      <c r="F1183">
        <v>20332900</v>
      </c>
      <c r="G1183">
        <v>135328986370</v>
      </c>
      <c r="H1183">
        <v>2078466981</v>
      </c>
    </row>
    <row r="1184" spans="1:8" x14ac:dyDescent="0.25">
      <c r="A1184" s="2">
        <v>45313</v>
      </c>
      <c r="B1184">
        <v>65.44000244140625</v>
      </c>
      <c r="C1184">
        <v>65.610000610351563</v>
      </c>
      <c r="D1184">
        <v>64.150001525878906</v>
      </c>
      <c r="E1184">
        <v>64.550003051757813</v>
      </c>
      <c r="F1184">
        <v>17851700</v>
      </c>
      <c r="G1184">
        <v>134165044850</v>
      </c>
      <c r="H1184">
        <v>2078466902</v>
      </c>
    </row>
    <row r="1185" spans="1:8" x14ac:dyDescent="0.25">
      <c r="A1185" s="2">
        <v>45314</v>
      </c>
      <c r="B1185">
        <v>64.5</v>
      </c>
      <c r="C1185">
        <v>64.80999755859375</v>
      </c>
      <c r="D1185">
        <v>63.689998626708977</v>
      </c>
      <c r="E1185">
        <v>64.319999694824219</v>
      </c>
      <c r="F1185">
        <v>13619600</v>
      </c>
      <c r="G1185">
        <v>133686997439</v>
      </c>
      <c r="H1185">
        <v>2078467010</v>
      </c>
    </row>
    <row r="1186" spans="1:8" x14ac:dyDescent="0.25">
      <c r="A1186" s="2">
        <v>45315</v>
      </c>
      <c r="B1186">
        <v>64</v>
      </c>
      <c r="C1186">
        <v>64.397003173828125</v>
      </c>
      <c r="D1186">
        <v>63.220001220703118</v>
      </c>
      <c r="E1186">
        <v>63.759998321533203</v>
      </c>
      <c r="F1186">
        <v>17238100</v>
      </c>
      <c r="G1186">
        <v>132523055920</v>
      </c>
      <c r="H1186">
        <v>2078467055</v>
      </c>
    </row>
    <row r="1187" spans="1:8" x14ac:dyDescent="0.25">
      <c r="A1187" s="2">
        <v>45316</v>
      </c>
      <c r="B1187">
        <v>64.279998779296875</v>
      </c>
      <c r="C1187">
        <v>66.029998779296875</v>
      </c>
      <c r="D1187">
        <v>63.709999084472663</v>
      </c>
      <c r="E1187">
        <v>66</v>
      </c>
      <c r="F1187">
        <v>21963000</v>
      </c>
      <c r="G1187">
        <v>137178822000</v>
      </c>
      <c r="H1187">
        <v>2078467000</v>
      </c>
    </row>
    <row r="1188" spans="1:8" x14ac:dyDescent="0.25">
      <c r="A1188" s="2">
        <v>45317</v>
      </c>
      <c r="B1188">
        <v>65.650001525878906</v>
      </c>
      <c r="C1188">
        <v>66.044998168945313</v>
      </c>
      <c r="D1188">
        <v>65.290000915527344</v>
      </c>
      <c r="E1188">
        <v>65.519996643066406</v>
      </c>
      <c r="F1188">
        <v>13099600</v>
      </c>
      <c r="G1188">
        <v>136181157839</v>
      </c>
      <c r="H1188">
        <v>2078467106</v>
      </c>
    </row>
    <row r="1189" spans="1:8" x14ac:dyDescent="0.25">
      <c r="A1189" s="2">
        <v>45320</v>
      </c>
      <c r="B1189">
        <v>65.599998474121094</v>
      </c>
      <c r="C1189">
        <v>67.099998474121094</v>
      </c>
      <c r="D1189">
        <v>65.55999755859375</v>
      </c>
      <c r="E1189">
        <v>66.980003356933594</v>
      </c>
      <c r="F1189">
        <v>15902000</v>
      </c>
      <c r="G1189">
        <v>139215719660</v>
      </c>
      <c r="H1189">
        <v>2078466896</v>
      </c>
    </row>
    <row r="1190" spans="1:8" x14ac:dyDescent="0.25">
      <c r="A1190" s="2">
        <v>45321</v>
      </c>
      <c r="B1190">
        <v>66.900001525878906</v>
      </c>
      <c r="C1190">
        <v>67.69000244140625</v>
      </c>
      <c r="D1190">
        <v>66.220001220703125</v>
      </c>
      <c r="E1190">
        <v>66.839996337890625</v>
      </c>
      <c r="F1190">
        <v>17562100</v>
      </c>
      <c r="G1190">
        <v>138924734280</v>
      </c>
      <c r="H1190">
        <v>2078467114</v>
      </c>
    </row>
    <row r="1191" spans="1:8" x14ac:dyDescent="0.25">
      <c r="A1191" s="2">
        <v>45322</v>
      </c>
      <c r="B1191">
        <v>65.699996948242188</v>
      </c>
      <c r="C1191">
        <v>66.25</v>
      </c>
      <c r="D1191">
        <v>64.845001220703125</v>
      </c>
      <c r="E1191">
        <v>65.269996643066406</v>
      </c>
      <c r="F1191">
        <v>17026400</v>
      </c>
      <c r="G1191">
        <v>135661541089</v>
      </c>
      <c r="H1191">
        <v>2078467107</v>
      </c>
    </row>
    <row r="1192" spans="1:8" x14ac:dyDescent="0.25">
      <c r="A1192" s="2">
        <v>45323</v>
      </c>
      <c r="B1192">
        <v>66.120002746582031</v>
      </c>
      <c r="C1192">
        <v>66.849998474121094</v>
      </c>
      <c r="D1192">
        <v>65.589996337890625</v>
      </c>
      <c r="E1192">
        <v>66.730003356933594</v>
      </c>
      <c r="F1192">
        <v>12504200</v>
      </c>
      <c r="G1192">
        <v>138696102910</v>
      </c>
      <c r="H1192">
        <v>2078466895</v>
      </c>
    </row>
    <row r="1193" spans="1:8" x14ac:dyDescent="0.25">
      <c r="A1193" s="2">
        <v>45324</v>
      </c>
      <c r="B1193">
        <v>66.980003356933594</v>
      </c>
      <c r="C1193">
        <v>68.25</v>
      </c>
      <c r="D1193">
        <v>66.510002136230469</v>
      </c>
      <c r="E1193">
        <v>68.069999694824219</v>
      </c>
      <c r="F1193">
        <v>18642700</v>
      </c>
      <c r="G1193">
        <v>141481248690</v>
      </c>
      <c r="H1193">
        <v>2078467009</v>
      </c>
    </row>
    <row r="1194" spans="1:8" x14ac:dyDescent="0.25">
      <c r="A1194" s="2">
        <v>45327</v>
      </c>
      <c r="B1194">
        <v>68.239997863769531</v>
      </c>
      <c r="C1194">
        <v>69.989997863769531</v>
      </c>
      <c r="D1194">
        <v>67.855003356933594</v>
      </c>
      <c r="E1194">
        <v>68.989997863769531</v>
      </c>
      <c r="F1194">
        <v>26079500</v>
      </c>
      <c r="G1194">
        <v>143393438330</v>
      </c>
      <c r="H1194">
        <v>2078467064</v>
      </c>
    </row>
    <row r="1195" spans="1:8" x14ac:dyDescent="0.25">
      <c r="A1195" s="2">
        <v>45328</v>
      </c>
      <c r="B1195">
        <v>69.05999755859375</v>
      </c>
      <c r="C1195">
        <v>70.680000305175781</v>
      </c>
      <c r="D1195">
        <v>68.44000244140625</v>
      </c>
      <c r="E1195">
        <v>70.470001220703125</v>
      </c>
      <c r="F1195">
        <v>34464000</v>
      </c>
      <c r="G1195">
        <v>146469569490</v>
      </c>
      <c r="H1195">
        <v>2078466964</v>
      </c>
    </row>
    <row r="1196" spans="1:8" x14ac:dyDescent="0.25">
      <c r="A1196" s="2">
        <v>45329</v>
      </c>
      <c r="B1196">
        <v>67.595001220703125</v>
      </c>
      <c r="C1196">
        <v>71.900001525878906</v>
      </c>
      <c r="D1196">
        <v>67.239997863769531</v>
      </c>
      <c r="E1196">
        <v>70.650001525878906</v>
      </c>
      <c r="F1196">
        <v>43367000</v>
      </c>
      <c r="G1196">
        <v>146843693550</v>
      </c>
      <c r="H1196">
        <v>2078466955</v>
      </c>
    </row>
    <row r="1197" spans="1:8" x14ac:dyDescent="0.25">
      <c r="A1197" s="2">
        <v>45330</v>
      </c>
      <c r="B1197">
        <v>71.930000305175781</v>
      </c>
      <c r="C1197">
        <v>73.050003051757813</v>
      </c>
      <c r="D1197">
        <v>71.194999694824219</v>
      </c>
      <c r="E1197">
        <v>71.610000610351563</v>
      </c>
      <c r="F1197">
        <v>21618200</v>
      </c>
      <c r="G1197">
        <v>148839021870</v>
      </c>
      <c r="H1197">
        <v>2078466982</v>
      </c>
    </row>
    <row r="1198" spans="1:8" x14ac:dyDescent="0.25">
      <c r="A1198" s="2">
        <v>45331</v>
      </c>
      <c r="B1198">
        <v>71.430000305175781</v>
      </c>
      <c r="C1198">
        <v>72.040000915527344</v>
      </c>
      <c r="D1198">
        <v>69.69000244140625</v>
      </c>
      <c r="E1198">
        <v>70.910003662109375</v>
      </c>
      <c r="F1198">
        <v>20858700</v>
      </c>
      <c r="G1198">
        <v>147384094970</v>
      </c>
      <c r="H1198">
        <v>2078466893</v>
      </c>
    </row>
    <row r="1199" spans="1:8" x14ac:dyDescent="0.25">
      <c r="A1199" s="2">
        <v>45334</v>
      </c>
      <c r="B1199">
        <v>71</v>
      </c>
      <c r="C1199">
        <v>71.379997253417969</v>
      </c>
      <c r="D1199">
        <v>68.735000610351563</v>
      </c>
      <c r="E1199">
        <v>69.120002746582031</v>
      </c>
      <c r="F1199">
        <v>19554900</v>
      </c>
      <c r="G1199">
        <v>143663639040</v>
      </c>
      <c r="H1199">
        <v>2078466917</v>
      </c>
    </row>
    <row r="1200" spans="1:8" x14ac:dyDescent="0.25">
      <c r="A1200" s="2">
        <v>45335</v>
      </c>
      <c r="B1200">
        <v>67.894996643066406</v>
      </c>
      <c r="C1200">
        <v>69.550003051757813</v>
      </c>
      <c r="D1200">
        <v>66.709999084472656</v>
      </c>
      <c r="E1200">
        <v>68.989997863769531</v>
      </c>
      <c r="F1200">
        <v>22857100</v>
      </c>
      <c r="G1200">
        <v>143393438330</v>
      </c>
      <c r="H1200">
        <v>2078467064</v>
      </c>
    </row>
    <row r="1201" spans="1:8" x14ac:dyDescent="0.25">
      <c r="A1201" s="2">
        <v>45336</v>
      </c>
      <c r="B1201">
        <v>74.599998474121094</v>
      </c>
      <c r="C1201">
        <v>79.199996948242188</v>
      </c>
      <c r="D1201">
        <v>74.30999755859375</v>
      </c>
      <c r="E1201">
        <v>79.150001525878906</v>
      </c>
      <c r="F1201">
        <v>69846700</v>
      </c>
      <c r="G1201">
        <v>164510663050</v>
      </c>
      <c r="H1201">
        <v>2078466960</v>
      </c>
    </row>
    <row r="1202" spans="1:8" x14ac:dyDescent="0.25">
      <c r="A1202" s="2">
        <v>45337</v>
      </c>
      <c r="B1202">
        <v>79</v>
      </c>
      <c r="C1202">
        <v>81.864997863769531</v>
      </c>
      <c r="D1202">
        <v>78.279998779296875</v>
      </c>
      <c r="E1202">
        <v>81.389999389648438</v>
      </c>
      <c r="F1202">
        <v>40330200</v>
      </c>
      <c r="G1202">
        <v>169166429130</v>
      </c>
      <c r="H1202">
        <v>2078467016</v>
      </c>
    </row>
    <row r="1203" spans="1:8" x14ac:dyDescent="0.25">
      <c r="A1203" s="2">
        <v>45338</v>
      </c>
      <c r="B1203">
        <v>80.550003051757813</v>
      </c>
      <c r="C1203">
        <v>80.879997253417969</v>
      </c>
      <c r="D1203">
        <v>78.110000610351563</v>
      </c>
      <c r="E1203">
        <v>78.410003662109375</v>
      </c>
      <c r="F1203">
        <v>24442600</v>
      </c>
      <c r="G1203">
        <v>162972597470</v>
      </c>
      <c r="H1203">
        <v>2078466903</v>
      </c>
    </row>
    <row r="1204" spans="1:8" x14ac:dyDescent="0.25">
      <c r="A1204" s="2">
        <v>45342</v>
      </c>
      <c r="B1204">
        <v>78.230003356933594</v>
      </c>
      <c r="C1204">
        <v>78.419998168945313</v>
      </c>
      <c r="D1204">
        <v>75.819999694824219</v>
      </c>
      <c r="E1204">
        <v>76.599998474121094</v>
      </c>
      <c r="F1204">
        <v>24203100</v>
      </c>
      <c r="G1204">
        <v>159210572200</v>
      </c>
      <c r="H1204">
        <v>2078467041</v>
      </c>
    </row>
    <row r="1205" spans="1:8" x14ac:dyDescent="0.25">
      <c r="A1205" s="2">
        <v>45343</v>
      </c>
      <c r="B1205">
        <v>76.319999694824219</v>
      </c>
      <c r="C1205">
        <v>77.489997863769531</v>
      </c>
      <c r="D1205">
        <v>75.875</v>
      </c>
      <c r="E1205">
        <v>76.44000244140625</v>
      </c>
      <c r="F1205">
        <v>15102100</v>
      </c>
      <c r="G1205">
        <v>158878017480</v>
      </c>
      <c r="H1205">
        <v>2078466934</v>
      </c>
    </row>
    <row r="1206" spans="1:8" x14ac:dyDescent="0.25">
      <c r="A1206" s="2">
        <v>45344</v>
      </c>
      <c r="B1206">
        <v>79.589996337890625</v>
      </c>
      <c r="C1206">
        <v>79.720001220703125</v>
      </c>
      <c r="D1206">
        <v>77.510002136230469</v>
      </c>
      <c r="E1206">
        <v>78.029998779296875</v>
      </c>
      <c r="F1206">
        <v>16766400</v>
      </c>
      <c r="G1206">
        <v>162182780010</v>
      </c>
      <c r="H1206">
        <v>2078467033</v>
      </c>
    </row>
    <row r="1207" spans="1:8" x14ac:dyDescent="0.25">
      <c r="A1207" s="2">
        <v>45345</v>
      </c>
      <c r="B1207">
        <v>78.5</v>
      </c>
      <c r="C1207">
        <v>78.970001220703125</v>
      </c>
      <c r="D1207">
        <v>77.720001220703125</v>
      </c>
      <c r="E1207">
        <v>78.199996948242188</v>
      </c>
      <c r="F1207">
        <v>15648800</v>
      </c>
      <c r="G1207">
        <v>162536119400</v>
      </c>
      <c r="H1207">
        <v>2078467081</v>
      </c>
    </row>
    <row r="1208" spans="1:8" x14ac:dyDescent="0.25">
      <c r="A1208" s="2">
        <v>45348</v>
      </c>
      <c r="B1208">
        <v>78.279998779296875</v>
      </c>
      <c r="C1208">
        <v>78.5</v>
      </c>
      <c r="D1208">
        <v>77.300003051757813</v>
      </c>
      <c r="E1208">
        <v>78.360000610351563</v>
      </c>
      <c r="F1208">
        <v>16617300</v>
      </c>
      <c r="G1208">
        <v>162868674120</v>
      </c>
      <c r="H1208">
        <v>2078466984</v>
      </c>
    </row>
    <row r="1209" spans="1:8" x14ac:dyDescent="0.25">
      <c r="A1209" s="2">
        <v>45349</v>
      </c>
      <c r="B1209">
        <v>78.639999389648438</v>
      </c>
      <c r="C1209">
        <v>79.75</v>
      </c>
      <c r="D1209">
        <v>77.813003540039063</v>
      </c>
      <c r="E1209">
        <v>78.75</v>
      </c>
      <c r="F1209">
        <v>13707300</v>
      </c>
      <c r="G1209">
        <v>163679276250</v>
      </c>
      <c r="H1209">
        <v>2078467000</v>
      </c>
    </row>
    <row r="1210" spans="1:8" x14ac:dyDescent="0.25">
      <c r="A1210" s="2">
        <v>45350</v>
      </c>
      <c r="B1210">
        <v>78.599998474121094</v>
      </c>
      <c r="C1210">
        <v>78.660003662109375</v>
      </c>
      <c r="D1210">
        <v>77.419998168945313</v>
      </c>
      <c r="E1210">
        <v>77.730003356933594</v>
      </c>
      <c r="F1210">
        <v>11853100</v>
      </c>
      <c r="G1210">
        <v>161559239910</v>
      </c>
      <c r="H1210">
        <v>2078466910</v>
      </c>
    </row>
    <row r="1211" spans="1:8" x14ac:dyDescent="0.25">
      <c r="A1211" s="2">
        <v>45351</v>
      </c>
      <c r="B1211">
        <v>78.349998474121094</v>
      </c>
      <c r="C1211">
        <v>79.680000305175781</v>
      </c>
      <c r="D1211">
        <v>77.930000305175781</v>
      </c>
      <c r="E1211">
        <v>79.5</v>
      </c>
      <c r="F1211">
        <v>19405500</v>
      </c>
      <c r="G1211">
        <v>165238126500</v>
      </c>
      <c r="H1211">
        <v>2078467000</v>
      </c>
    </row>
    <row r="1212" spans="1:8" x14ac:dyDescent="0.25">
      <c r="A1212" s="2">
        <v>45352</v>
      </c>
      <c r="B1212">
        <v>79.5</v>
      </c>
      <c r="C1212">
        <v>81.470001220703125</v>
      </c>
      <c r="D1212">
        <v>79.319999694824219</v>
      </c>
      <c r="E1212">
        <v>81.029998779296875</v>
      </c>
      <c r="F1212">
        <v>18520800</v>
      </c>
      <c r="G1212">
        <v>168418181010</v>
      </c>
      <c r="H1212">
        <v>2078467031</v>
      </c>
    </row>
    <row r="1213" spans="1:8" x14ac:dyDescent="0.25">
      <c r="A1213" s="2">
        <v>45355</v>
      </c>
      <c r="B1213">
        <v>81.94000244140625</v>
      </c>
      <c r="C1213">
        <v>82.139999389648438</v>
      </c>
      <c r="D1213">
        <v>80.790000915527344</v>
      </c>
      <c r="E1213">
        <v>81.300003051757813</v>
      </c>
      <c r="F1213">
        <v>15989200</v>
      </c>
      <c r="G1213">
        <v>168979367100</v>
      </c>
      <c r="H1213">
        <v>2078466922</v>
      </c>
    </row>
    <row r="1214" spans="1:8" x14ac:dyDescent="0.25">
      <c r="A1214" s="2">
        <v>45356</v>
      </c>
      <c r="B1214">
        <v>80.830001831054688</v>
      </c>
      <c r="C1214">
        <v>80.849998474121094</v>
      </c>
      <c r="D1214">
        <v>77.430000305175781</v>
      </c>
      <c r="E1214">
        <v>79.089996337890625</v>
      </c>
      <c r="F1214">
        <v>19761600</v>
      </c>
      <c r="G1214">
        <v>164385955030</v>
      </c>
      <c r="H1214">
        <v>2078467096</v>
      </c>
    </row>
    <row r="1215" spans="1:8" x14ac:dyDescent="0.25">
      <c r="A1215" s="2">
        <v>45357</v>
      </c>
      <c r="B1215">
        <v>80.169998168945313</v>
      </c>
      <c r="C1215">
        <v>80.989997863769531</v>
      </c>
      <c r="D1215">
        <v>78.529998779296875</v>
      </c>
      <c r="E1215">
        <v>78.639999389648438</v>
      </c>
      <c r="F1215">
        <v>13734700</v>
      </c>
      <c r="G1215">
        <v>163450644880</v>
      </c>
      <c r="H1215">
        <v>2078467016</v>
      </c>
    </row>
    <row r="1216" spans="1:8" x14ac:dyDescent="0.25">
      <c r="A1216" s="2">
        <v>45358</v>
      </c>
      <c r="B1216">
        <v>79.400001525878906</v>
      </c>
      <c r="C1216">
        <v>80.074996948242188</v>
      </c>
      <c r="D1216">
        <v>78.260002136230469</v>
      </c>
      <c r="E1216">
        <v>79.410003662109375</v>
      </c>
      <c r="F1216">
        <v>13873300</v>
      </c>
      <c r="G1216">
        <v>165051064470</v>
      </c>
      <c r="H1216">
        <v>2078466904</v>
      </c>
    </row>
    <row r="1217" spans="1:8" x14ac:dyDescent="0.25">
      <c r="A1217" s="2">
        <v>45359</v>
      </c>
      <c r="B1217">
        <v>79.94000244140625</v>
      </c>
      <c r="C1217">
        <v>81.980003356933594</v>
      </c>
      <c r="D1217">
        <v>78.209999084472656</v>
      </c>
      <c r="E1217">
        <v>78.699996948242188</v>
      </c>
      <c r="F1217">
        <v>16409100</v>
      </c>
      <c r="G1217">
        <v>163575352900</v>
      </c>
      <c r="H1217">
        <v>2078467081</v>
      </c>
    </row>
    <row r="1218" spans="1:8" x14ac:dyDescent="0.25">
      <c r="A1218" s="2">
        <v>45362</v>
      </c>
      <c r="B1218">
        <v>78.699996948242188</v>
      </c>
      <c r="C1218">
        <v>78.889999389648438</v>
      </c>
      <c r="D1218">
        <v>76.529998779296875</v>
      </c>
      <c r="E1218">
        <v>77.470001220703125</v>
      </c>
      <c r="F1218">
        <v>13781400</v>
      </c>
      <c r="G1218">
        <v>161018838490</v>
      </c>
      <c r="H1218">
        <v>2078466967</v>
      </c>
    </row>
    <row r="1219" spans="1:8" x14ac:dyDescent="0.25">
      <c r="A1219" s="2">
        <v>45363</v>
      </c>
      <c r="B1219">
        <v>78.010002136230469</v>
      </c>
      <c r="C1219">
        <v>78.480003356933594</v>
      </c>
      <c r="D1219">
        <v>77.480003356933594</v>
      </c>
      <c r="E1219">
        <v>78.319999694824219</v>
      </c>
      <c r="F1219">
        <v>11303800</v>
      </c>
      <c r="G1219">
        <v>162785535440</v>
      </c>
      <c r="H1219">
        <v>2078467008</v>
      </c>
    </row>
    <row r="1220" spans="1:8" x14ac:dyDescent="0.25">
      <c r="A1220" s="2">
        <v>45364</v>
      </c>
      <c r="B1220">
        <v>78</v>
      </c>
      <c r="C1220">
        <v>79.691001892089844</v>
      </c>
      <c r="D1220">
        <v>77.930000305175781</v>
      </c>
      <c r="E1220">
        <v>78.25</v>
      </c>
      <c r="F1220">
        <v>12065100</v>
      </c>
      <c r="G1220">
        <v>162640042750</v>
      </c>
      <c r="H1220">
        <v>2078467000</v>
      </c>
    </row>
    <row r="1221" spans="1:8" x14ac:dyDescent="0.25">
      <c r="A1221" s="2">
        <v>45365</v>
      </c>
      <c r="B1221">
        <v>78.339996337890625</v>
      </c>
      <c r="C1221">
        <v>78.480003356933594</v>
      </c>
      <c r="D1221">
        <v>76.900001525878906</v>
      </c>
      <c r="E1221">
        <v>77.650001525878906</v>
      </c>
      <c r="F1221">
        <v>12737200</v>
      </c>
      <c r="G1221">
        <v>161392962550</v>
      </c>
      <c r="H1221">
        <v>2078466959</v>
      </c>
    </row>
    <row r="1222" spans="1:8" x14ac:dyDescent="0.25">
      <c r="A1222" s="2">
        <v>45366</v>
      </c>
      <c r="B1222">
        <v>77</v>
      </c>
      <c r="C1222">
        <v>77.839996337890625</v>
      </c>
      <c r="D1222">
        <v>75.769996643066406</v>
      </c>
      <c r="E1222">
        <v>76.069999694824219</v>
      </c>
      <c r="F1222">
        <v>24552000</v>
      </c>
      <c r="G1222">
        <v>158108984690</v>
      </c>
      <c r="H1222">
        <v>2078467008</v>
      </c>
    </row>
    <row r="1223" spans="1:8" x14ac:dyDescent="0.25">
      <c r="A1223" s="2">
        <v>45369</v>
      </c>
      <c r="B1223">
        <v>77</v>
      </c>
      <c r="C1223">
        <v>77</v>
      </c>
      <c r="D1223">
        <v>73.660003662109375</v>
      </c>
      <c r="E1223">
        <v>75.699996948242188</v>
      </c>
      <c r="F1223">
        <v>18936700</v>
      </c>
      <c r="G1223">
        <v>157339951900</v>
      </c>
      <c r="H1223">
        <v>2078467084</v>
      </c>
    </row>
    <row r="1224" spans="1:8" x14ac:dyDescent="0.25">
      <c r="A1224" s="2">
        <v>45370</v>
      </c>
      <c r="B1224">
        <v>75.379997253417969</v>
      </c>
      <c r="C1224">
        <v>77.180000305175781</v>
      </c>
      <c r="D1224">
        <v>74.19000244140625</v>
      </c>
      <c r="E1224">
        <v>77.080001831054688</v>
      </c>
      <c r="F1224">
        <v>13035200</v>
      </c>
      <c r="G1224">
        <v>160208236360</v>
      </c>
      <c r="H1224">
        <v>2078466951</v>
      </c>
    </row>
    <row r="1225" spans="1:8" x14ac:dyDescent="0.25">
      <c r="A1225" s="2">
        <v>45371</v>
      </c>
      <c r="B1225">
        <v>77.089996337890625</v>
      </c>
      <c r="C1225">
        <v>78.949996948242188</v>
      </c>
      <c r="D1225">
        <v>76.75</v>
      </c>
      <c r="E1225">
        <v>78.639999389648438</v>
      </c>
      <c r="F1225">
        <v>11490400</v>
      </c>
      <c r="G1225">
        <v>163450644880</v>
      </c>
      <c r="H1225">
        <v>2078467016</v>
      </c>
    </row>
    <row r="1226" spans="1:8" x14ac:dyDescent="0.25">
      <c r="A1226" s="2">
        <v>45372</v>
      </c>
      <c r="B1226">
        <v>79.599998474121094</v>
      </c>
      <c r="C1226">
        <v>81.230003356933594</v>
      </c>
      <c r="D1226">
        <v>79.089996337890625</v>
      </c>
      <c r="E1226">
        <v>80.25</v>
      </c>
      <c r="F1226">
        <v>16191100</v>
      </c>
      <c r="G1226">
        <v>166796976750</v>
      </c>
      <c r="H1226">
        <v>2078467000</v>
      </c>
    </row>
    <row r="1227" spans="1:8" x14ac:dyDescent="0.25">
      <c r="A1227" s="2">
        <v>45373</v>
      </c>
      <c r="B1227">
        <v>79.800003051757813</v>
      </c>
      <c r="C1227">
        <v>80.449996948242188</v>
      </c>
      <c r="D1227">
        <v>79.199996948242188</v>
      </c>
      <c r="E1227">
        <v>80.230003356933594</v>
      </c>
      <c r="F1227">
        <v>8863500</v>
      </c>
      <c r="G1227">
        <v>166755407410</v>
      </c>
      <c r="H1227">
        <v>2078466913</v>
      </c>
    </row>
    <row r="1228" spans="1:8" x14ac:dyDescent="0.25">
      <c r="A1228" s="2">
        <v>45376</v>
      </c>
      <c r="B1228">
        <v>79.989997863769531</v>
      </c>
      <c r="C1228">
        <v>81.040000915527344</v>
      </c>
      <c r="D1228">
        <v>79.389999389648438</v>
      </c>
      <c r="E1228">
        <v>79.410003662109375</v>
      </c>
      <c r="F1228">
        <v>10254300</v>
      </c>
      <c r="G1228">
        <v>165051064470</v>
      </c>
      <c r="H1228">
        <v>2078466904</v>
      </c>
    </row>
    <row r="1229" spans="1:8" x14ac:dyDescent="0.25">
      <c r="A1229" s="2">
        <v>45377</v>
      </c>
      <c r="B1229">
        <v>79.800003051757813</v>
      </c>
      <c r="C1229">
        <v>80.180000305175781</v>
      </c>
      <c r="D1229">
        <v>77.779998779296875</v>
      </c>
      <c r="E1229">
        <v>77.910003662109375</v>
      </c>
      <c r="F1229">
        <v>12438300</v>
      </c>
      <c r="G1229">
        <v>161933363970</v>
      </c>
      <c r="H1229">
        <v>2078466902</v>
      </c>
    </row>
    <row r="1230" spans="1:8" x14ac:dyDescent="0.25">
      <c r="A1230" s="2">
        <v>45378</v>
      </c>
      <c r="B1230">
        <v>78.959999084472656</v>
      </c>
      <c r="C1230">
        <v>79</v>
      </c>
      <c r="D1230">
        <v>76.849998474121094</v>
      </c>
      <c r="E1230">
        <v>78.110000610351563</v>
      </c>
      <c r="F1230">
        <v>13157000</v>
      </c>
      <c r="G1230">
        <v>162349057370</v>
      </c>
      <c r="H1230">
        <v>2078466984</v>
      </c>
    </row>
    <row r="1231" spans="1:8" x14ac:dyDescent="0.25">
      <c r="A1231" s="2">
        <v>45379</v>
      </c>
      <c r="B1231">
        <v>77.900001525878906</v>
      </c>
      <c r="C1231">
        <v>78.050003051757813</v>
      </c>
      <c r="D1231">
        <v>76.894996643066406</v>
      </c>
      <c r="E1231">
        <v>76.989997863769531</v>
      </c>
      <c r="F1231">
        <v>13421900</v>
      </c>
      <c r="G1231">
        <v>160021174330</v>
      </c>
      <c r="H1231">
        <v>2078467058</v>
      </c>
    </row>
    <row r="1232" spans="1:8" x14ac:dyDescent="0.25">
      <c r="A1232" s="2">
        <v>45383</v>
      </c>
      <c r="B1232">
        <v>77</v>
      </c>
      <c r="C1232">
        <v>77.779998779296875</v>
      </c>
      <c r="D1232">
        <v>76</v>
      </c>
      <c r="E1232">
        <v>76.400001525878906</v>
      </c>
      <c r="F1232">
        <v>12201800</v>
      </c>
      <c r="G1232">
        <v>158794878800</v>
      </c>
      <c r="H1232">
        <v>2078466958</v>
      </c>
    </row>
    <row r="1233" spans="1:8" x14ac:dyDescent="0.25">
      <c r="A1233" s="2">
        <v>45384</v>
      </c>
      <c r="B1233">
        <v>75.660003662109375</v>
      </c>
      <c r="C1233">
        <v>77.330001831054688</v>
      </c>
      <c r="D1233">
        <v>74.970001220703125</v>
      </c>
      <c r="E1233">
        <v>76.980003356933594</v>
      </c>
      <c r="F1233">
        <v>15838800</v>
      </c>
      <c r="G1233">
        <v>160000389660</v>
      </c>
      <c r="H1233">
        <v>2078466909</v>
      </c>
    </row>
    <row r="1234" spans="1:8" x14ac:dyDescent="0.25">
      <c r="A1234" s="2">
        <v>45385</v>
      </c>
      <c r="B1234">
        <v>76.839996337890625</v>
      </c>
      <c r="C1234">
        <v>78.849998474121094</v>
      </c>
      <c r="D1234">
        <v>76.540000915527344</v>
      </c>
      <c r="E1234">
        <v>76.80999755859375</v>
      </c>
      <c r="F1234">
        <v>19883100</v>
      </c>
      <c r="G1234">
        <v>159647050270</v>
      </c>
      <c r="H1234">
        <v>2078467066</v>
      </c>
    </row>
    <row r="1235" spans="1:8" x14ac:dyDescent="0.25">
      <c r="A1235" s="2">
        <v>45386</v>
      </c>
      <c r="B1235">
        <v>77.239997863769531</v>
      </c>
      <c r="C1235">
        <v>77.669998168945313</v>
      </c>
      <c r="D1235">
        <v>74.480003356933594</v>
      </c>
      <c r="E1235">
        <v>74.919998168945313</v>
      </c>
      <c r="F1235">
        <v>17191300</v>
      </c>
      <c r="G1235">
        <v>155718747640</v>
      </c>
      <c r="H1235">
        <v>2078467051</v>
      </c>
    </row>
    <row r="1236" spans="1:8" x14ac:dyDescent="0.25">
      <c r="A1236" s="2">
        <v>45387</v>
      </c>
      <c r="B1236">
        <v>75.339996337890625</v>
      </c>
      <c r="C1236">
        <v>78.394996643066406</v>
      </c>
      <c r="D1236">
        <v>74.919998168945313</v>
      </c>
      <c r="E1236">
        <v>77.160003662109375</v>
      </c>
      <c r="F1236">
        <v>21541300</v>
      </c>
      <c r="G1236">
        <v>160374513720</v>
      </c>
      <c r="H1236">
        <v>2078466901</v>
      </c>
    </row>
    <row r="1237" spans="1:8" x14ac:dyDescent="0.25">
      <c r="A1237" s="2">
        <v>45390</v>
      </c>
      <c r="B1237">
        <v>76.699996948242188</v>
      </c>
      <c r="C1237">
        <v>76.860000610351563</v>
      </c>
      <c r="D1237">
        <v>73.949996948242188</v>
      </c>
      <c r="E1237">
        <v>75.029998779296875</v>
      </c>
      <c r="F1237">
        <v>22867600</v>
      </c>
      <c r="G1237">
        <v>155947379010</v>
      </c>
      <c r="H1237">
        <v>2078467034</v>
      </c>
    </row>
    <row r="1238" spans="1:8" x14ac:dyDescent="0.25">
      <c r="A1238" s="2">
        <v>45391</v>
      </c>
      <c r="B1238">
        <v>74.769996643066406</v>
      </c>
      <c r="C1238">
        <v>75.5</v>
      </c>
      <c r="D1238">
        <v>73.330001831054688</v>
      </c>
      <c r="E1238">
        <v>75.139999389648438</v>
      </c>
      <c r="F1238">
        <v>13766800</v>
      </c>
      <c r="G1238">
        <v>156176010380</v>
      </c>
      <c r="H1238">
        <v>2078467017</v>
      </c>
    </row>
    <row r="1239" spans="1:8" x14ac:dyDescent="0.25">
      <c r="A1239" s="2">
        <v>45392</v>
      </c>
      <c r="B1239">
        <v>74.400001525878906</v>
      </c>
      <c r="C1239">
        <v>75.305000305175781</v>
      </c>
      <c r="D1239">
        <v>73.535003662109375</v>
      </c>
      <c r="E1239">
        <v>74.349998474121094</v>
      </c>
      <c r="F1239">
        <v>12533900</v>
      </c>
      <c r="G1239">
        <v>154534021450</v>
      </c>
      <c r="H1239">
        <v>2078467043</v>
      </c>
    </row>
    <row r="1240" spans="1:8" x14ac:dyDescent="0.25">
      <c r="A1240" s="2">
        <v>45393</v>
      </c>
      <c r="B1240">
        <v>74.800003051757813</v>
      </c>
      <c r="C1240">
        <v>76.55999755859375</v>
      </c>
      <c r="D1240">
        <v>74.705001831054688</v>
      </c>
      <c r="E1240">
        <v>76.180000305175781</v>
      </c>
      <c r="F1240">
        <v>13653600</v>
      </c>
      <c r="G1240">
        <v>158337616060</v>
      </c>
      <c r="H1240">
        <v>2078466992</v>
      </c>
    </row>
    <row r="1241" spans="1:8" x14ac:dyDescent="0.25">
      <c r="A1241" s="2">
        <v>45394</v>
      </c>
      <c r="B1241">
        <v>75.050003051757813</v>
      </c>
      <c r="C1241">
        <v>75.819999694824219</v>
      </c>
      <c r="D1241">
        <v>74.489997863769531</v>
      </c>
      <c r="E1241">
        <v>75.279998779296875</v>
      </c>
      <c r="F1241">
        <v>11582600</v>
      </c>
      <c r="G1241">
        <v>156466995760</v>
      </c>
      <c r="H1241">
        <v>2078467034</v>
      </c>
    </row>
    <row r="1242" spans="1:8" x14ac:dyDescent="0.25">
      <c r="A1242" s="2">
        <v>45397</v>
      </c>
      <c r="B1242">
        <v>76.379997253417969</v>
      </c>
      <c r="C1242">
        <v>76.680000305175781</v>
      </c>
      <c r="D1242">
        <v>72.879997253417969</v>
      </c>
      <c r="E1242">
        <v>73.400001525878906</v>
      </c>
      <c r="F1242">
        <v>16093400</v>
      </c>
      <c r="G1242">
        <v>152559477800</v>
      </c>
      <c r="H1242">
        <v>2078466957</v>
      </c>
    </row>
    <row r="1243" spans="1:8" x14ac:dyDescent="0.25">
      <c r="A1243" s="2">
        <v>45398</v>
      </c>
      <c r="B1243">
        <v>73.389999389648438</v>
      </c>
      <c r="C1243">
        <v>74.699996948242188</v>
      </c>
      <c r="D1243">
        <v>72.699996948242188</v>
      </c>
      <c r="E1243">
        <v>74.129997253417969</v>
      </c>
      <c r="F1243">
        <v>14513100</v>
      </c>
      <c r="G1243">
        <v>154076758710</v>
      </c>
      <c r="H1243">
        <v>2078467077</v>
      </c>
    </row>
    <row r="1244" spans="1:8" x14ac:dyDescent="0.25">
      <c r="A1244" s="2">
        <v>45399</v>
      </c>
      <c r="B1244">
        <v>75</v>
      </c>
      <c r="C1244">
        <v>75.614997863769531</v>
      </c>
      <c r="D1244">
        <v>71.040000915527344</v>
      </c>
      <c r="E1244">
        <v>71.94000244140625</v>
      </c>
      <c r="F1244">
        <v>15363100</v>
      </c>
      <c r="G1244">
        <v>149524915980</v>
      </c>
      <c r="H1244">
        <v>2078466929</v>
      </c>
    </row>
    <row r="1245" spans="1:8" x14ac:dyDescent="0.25">
      <c r="A1245" s="2">
        <v>45400</v>
      </c>
      <c r="B1245">
        <v>72.260002136230469</v>
      </c>
      <c r="C1245">
        <v>72.855003356933594</v>
      </c>
      <c r="D1245">
        <v>70.639999389648438</v>
      </c>
      <c r="E1245">
        <v>71.300003051757813</v>
      </c>
      <c r="F1245">
        <v>20426000</v>
      </c>
      <c r="G1245">
        <v>148194697100</v>
      </c>
      <c r="H1245">
        <v>2078466911</v>
      </c>
    </row>
    <row r="1246" spans="1:8" x14ac:dyDescent="0.25">
      <c r="A1246" s="2">
        <v>45401</v>
      </c>
      <c r="B1246">
        <v>71.150001525878906</v>
      </c>
      <c r="C1246">
        <v>71.150001525878906</v>
      </c>
      <c r="D1246">
        <v>68.379997253417969</v>
      </c>
      <c r="E1246">
        <v>69.199996948242188</v>
      </c>
      <c r="F1246">
        <v>23087600</v>
      </c>
      <c r="G1246">
        <v>143829916400</v>
      </c>
      <c r="H1246">
        <v>2078467092</v>
      </c>
    </row>
    <row r="1247" spans="1:8" x14ac:dyDescent="0.25">
      <c r="A1247" s="2">
        <v>45404</v>
      </c>
      <c r="B1247">
        <v>70.480003356933594</v>
      </c>
      <c r="C1247">
        <v>70.889999389648438</v>
      </c>
      <c r="D1247">
        <v>68.480003356933594</v>
      </c>
      <c r="E1247">
        <v>68.980003356933594</v>
      </c>
      <c r="F1247">
        <v>26804900</v>
      </c>
      <c r="G1247">
        <v>143372653660</v>
      </c>
      <c r="H1247">
        <v>2078466899</v>
      </c>
    </row>
    <row r="1248" spans="1:8" x14ac:dyDescent="0.25">
      <c r="A1248" s="2">
        <v>45405</v>
      </c>
      <c r="B1248">
        <v>70.019996643066406</v>
      </c>
      <c r="C1248">
        <v>71.139999389648438</v>
      </c>
      <c r="D1248">
        <v>69.620002746582031</v>
      </c>
      <c r="E1248">
        <v>70.800003051757813</v>
      </c>
      <c r="F1248">
        <v>16814200</v>
      </c>
      <c r="G1248">
        <v>147155463600</v>
      </c>
      <c r="H1248">
        <v>2078466910</v>
      </c>
    </row>
    <row r="1249" spans="1:8" x14ac:dyDescent="0.25">
      <c r="A1249" s="2">
        <v>45406</v>
      </c>
      <c r="B1249">
        <v>70.150001525878906</v>
      </c>
      <c r="C1249">
        <v>70.220001220703125</v>
      </c>
      <c r="D1249">
        <v>67.364997863769531</v>
      </c>
      <c r="E1249">
        <v>69.360000610351563</v>
      </c>
      <c r="F1249">
        <v>27515600</v>
      </c>
      <c r="G1249">
        <v>144162471120</v>
      </c>
      <c r="H1249">
        <v>2078466982</v>
      </c>
    </row>
    <row r="1250" spans="1:8" x14ac:dyDescent="0.25">
      <c r="A1250" s="2">
        <v>45407</v>
      </c>
      <c r="B1250">
        <v>67.860000610351563</v>
      </c>
      <c r="C1250">
        <v>70.290000915527344</v>
      </c>
      <c r="D1250">
        <v>67.379997253417969</v>
      </c>
      <c r="E1250">
        <v>69.30999755859375</v>
      </c>
      <c r="F1250">
        <v>20545200</v>
      </c>
      <c r="G1250">
        <v>144058547770</v>
      </c>
      <c r="H1250">
        <v>2078467073</v>
      </c>
    </row>
    <row r="1251" spans="1:8" x14ac:dyDescent="0.25">
      <c r="A1251" s="2">
        <v>45408</v>
      </c>
      <c r="B1251">
        <v>69.974998474121094</v>
      </c>
      <c r="C1251">
        <v>70.150001525878906</v>
      </c>
      <c r="D1251">
        <v>68.699996948242188</v>
      </c>
      <c r="E1251">
        <v>69.050003051757813</v>
      </c>
      <c r="F1251">
        <v>16187600</v>
      </c>
      <c r="G1251">
        <v>143518146350</v>
      </c>
      <c r="H1251">
        <v>2078466908</v>
      </c>
    </row>
    <row r="1252" spans="1:8" x14ac:dyDescent="0.25">
      <c r="A1252" s="2">
        <v>45411</v>
      </c>
      <c r="B1252">
        <v>68.5</v>
      </c>
      <c r="C1252">
        <v>68.660003662109375</v>
      </c>
      <c r="D1252">
        <v>67.199996948242188</v>
      </c>
      <c r="E1252">
        <v>67.400001525878906</v>
      </c>
      <c r="F1252">
        <v>20102600</v>
      </c>
      <c r="G1252">
        <v>140088675800</v>
      </c>
      <c r="H1252">
        <v>2078466953</v>
      </c>
    </row>
    <row r="1253" spans="1:8" x14ac:dyDescent="0.25">
      <c r="A1253" s="2">
        <v>45412</v>
      </c>
      <c r="B1253">
        <v>67.224998474121094</v>
      </c>
      <c r="C1253">
        <v>68.5989990234375</v>
      </c>
      <c r="D1253">
        <v>66.069999694824219</v>
      </c>
      <c r="E1253">
        <v>66.269996643066406</v>
      </c>
      <c r="F1253">
        <v>22707300</v>
      </c>
      <c r="G1253">
        <v>137740008090</v>
      </c>
      <c r="H1253">
        <v>2078467105</v>
      </c>
    </row>
    <row r="1254" spans="1:8" x14ac:dyDescent="0.25">
      <c r="A1254" s="2">
        <v>45413</v>
      </c>
      <c r="B1254">
        <v>66.040000915527344</v>
      </c>
      <c r="C1254">
        <v>69.410003662109375</v>
      </c>
      <c r="D1254">
        <v>65.860000610351563</v>
      </c>
      <c r="E1254">
        <v>67.790000915527344</v>
      </c>
      <c r="F1254">
        <v>21266700</v>
      </c>
      <c r="G1254">
        <v>140899277930</v>
      </c>
      <c r="H1254">
        <v>2078466972</v>
      </c>
    </row>
    <row r="1255" spans="1:8" x14ac:dyDescent="0.25">
      <c r="A1255" s="2">
        <v>45414</v>
      </c>
      <c r="B1255">
        <v>68.400001525878906</v>
      </c>
      <c r="C1255">
        <v>69.036003112792969</v>
      </c>
      <c r="D1255">
        <v>67.625</v>
      </c>
      <c r="E1255">
        <v>68.569999694824219</v>
      </c>
      <c r="F1255">
        <v>18229300</v>
      </c>
      <c r="G1255">
        <v>142520482190</v>
      </c>
      <c r="H1255">
        <v>2078467009</v>
      </c>
    </row>
    <row r="1256" spans="1:8" x14ac:dyDescent="0.25">
      <c r="A1256" s="2">
        <v>45415</v>
      </c>
      <c r="B1256">
        <v>69.845001220703125</v>
      </c>
      <c r="C1256">
        <v>70.338996887207031</v>
      </c>
      <c r="D1256">
        <v>69.029998779296875</v>
      </c>
      <c r="E1256">
        <v>69.230003356933594</v>
      </c>
      <c r="F1256">
        <v>15557700</v>
      </c>
      <c r="G1256">
        <v>143892270410</v>
      </c>
      <c r="H1256">
        <v>2078466899</v>
      </c>
    </row>
    <row r="1257" spans="1:8" x14ac:dyDescent="0.25">
      <c r="A1257" s="2">
        <v>45418</v>
      </c>
      <c r="B1257">
        <v>71</v>
      </c>
      <c r="C1257">
        <v>73.819999694824219</v>
      </c>
      <c r="D1257">
        <v>70.832000732421875</v>
      </c>
      <c r="E1257">
        <v>71.510002136230469</v>
      </c>
      <c r="F1257">
        <v>25001900</v>
      </c>
      <c r="G1257">
        <v>148631175170</v>
      </c>
      <c r="H1257">
        <v>2078466938</v>
      </c>
    </row>
    <row r="1258" spans="1:8" x14ac:dyDescent="0.25">
      <c r="A1258" s="2">
        <v>45419</v>
      </c>
      <c r="B1258">
        <v>72.639999389648438</v>
      </c>
      <c r="C1258">
        <v>72.639999389648438</v>
      </c>
      <c r="D1258">
        <v>69.800003051757813</v>
      </c>
      <c r="E1258">
        <v>70.430000305175781</v>
      </c>
      <c r="F1258">
        <v>24427300</v>
      </c>
      <c r="G1258">
        <v>146386430810</v>
      </c>
      <c r="H1258">
        <v>2078466991</v>
      </c>
    </row>
    <row r="1259" spans="1:8" x14ac:dyDescent="0.25">
      <c r="A1259" s="2">
        <v>45420</v>
      </c>
      <c r="B1259">
        <v>64.5</v>
      </c>
      <c r="C1259">
        <v>67.199996948242188</v>
      </c>
      <c r="D1259">
        <v>63.834999084472663</v>
      </c>
      <c r="E1259">
        <v>66.400001525878906</v>
      </c>
      <c r="F1259">
        <v>84220000</v>
      </c>
      <c r="G1259">
        <v>138010208800</v>
      </c>
      <c r="H1259">
        <v>2078466952</v>
      </c>
    </row>
    <row r="1260" spans="1:8" x14ac:dyDescent="0.25">
      <c r="A1260" s="2">
        <v>45421</v>
      </c>
      <c r="B1260">
        <v>66.80999755859375</v>
      </c>
      <c r="C1260">
        <v>68.569999694824219</v>
      </c>
      <c r="D1260">
        <v>66.75</v>
      </c>
      <c r="E1260">
        <v>67.930000305175781</v>
      </c>
      <c r="F1260">
        <v>27965500</v>
      </c>
      <c r="G1260">
        <v>141190263310</v>
      </c>
      <c r="H1260">
        <v>2078466991</v>
      </c>
    </row>
    <row r="1261" spans="1:8" x14ac:dyDescent="0.25">
      <c r="A1261" s="2">
        <v>45422</v>
      </c>
      <c r="B1261">
        <v>67.819999694824219</v>
      </c>
      <c r="C1261">
        <v>67.900001525878906</v>
      </c>
      <c r="D1261">
        <v>66.400001525878906</v>
      </c>
      <c r="E1261">
        <v>66.989997863769531</v>
      </c>
      <c r="F1261">
        <v>18924400</v>
      </c>
      <c r="G1261">
        <v>139236504330</v>
      </c>
      <c r="H1261">
        <v>2078467066</v>
      </c>
    </row>
    <row r="1262" spans="1:8" x14ac:dyDescent="0.25">
      <c r="A1262" s="2">
        <v>45425</v>
      </c>
      <c r="B1262">
        <v>67</v>
      </c>
      <c r="C1262">
        <v>67.064002990722656</v>
      </c>
      <c r="D1262">
        <v>64.720001220703125</v>
      </c>
      <c r="E1262">
        <v>66.019996643066406</v>
      </c>
      <c r="F1262">
        <v>18983100</v>
      </c>
      <c r="G1262">
        <v>137220391339</v>
      </c>
      <c r="H1262">
        <v>2078467106</v>
      </c>
    </row>
    <row r="1263" spans="1:8" x14ac:dyDescent="0.25">
      <c r="A1263" s="2">
        <v>45426</v>
      </c>
      <c r="B1263">
        <v>65.849998474121094</v>
      </c>
      <c r="C1263">
        <v>66.099998474121094</v>
      </c>
      <c r="D1263">
        <v>64.75</v>
      </c>
      <c r="E1263">
        <v>65.319999694824219</v>
      </c>
      <c r="F1263">
        <v>19462300</v>
      </c>
      <c r="G1263">
        <v>135765464439</v>
      </c>
      <c r="H1263">
        <v>2078467010</v>
      </c>
    </row>
    <row r="1264" spans="1:8" x14ac:dyDescent="0.25">
      <c r="A1264" s="2">
        <v>45427</v>
      </c>
      <c r="B1264">
        <v>66</v>
      </c>
      <c r="C1264">
        <v>66.660003662109375</v>
      </c>
      <c r="D1264">
        <v>65.220001220703125</v>
      </c>
      <c r="E1264">
        <v>66.620002746582031</v>
      </c>
      <c r="F1264">
        <v>16308700</v>
      </c>
      <c r="G1264">
        <v>138467471540</v>
      </c>
      <c r="H1264">
        <v>2078466914</v>
      </c>
    </row>
    <row r="1265" spans="1:8" x14ac:dyDescent="0.25">
      <c r="A1265" s="2">
        <v>45428</v>
      </c>
      <c r="B1265">
        <v>66.970001220703125</v>
      </c>
      <c r="C1265">
        <v>67.330001831054688</v>
      </c>
      <c r="D1265">
        <v>66</v>
      </c>
      <c r="E1265">
        <v>66.050003051757813</v>
      </c>
      <c r="F1265">
        <v>19923500</v>
      </c>
      <c r="G1265">
        <v>137282745350</v>
      </c>
      <c r="H1265">
        <v>2078466904</v>
      </c>
    </row>
    <row r="1266" spans="1:8" x14ac:dyDescent="0.25">
      <c r="A1266" s="2">
        <v>45429</v>
      </c>
      <c r="B1266">
        <v>66.5</v>
      </c>
      <c r="C1266">
        <v>66.639999389648438</v>
      </c>
      <c r="D1266">
        <v>65.519996643066406</v>
      </c>
      <c r="E1266">
        <v>65.669998168945313</v>
      </c>
      <c r="F1266">
        <v>15703300</v>
      </c>
      <c r="G1266">
        <v>136492927890</v>
      </c>
      <c r="H1266">
        <v>2078467058</v>
      </c>
    </row>
    <row r="1267" spans="1:8" x14ac:dyDescent="0.25">
      <c r="A1267" s="2">
        <v>45432</v>
      </c>
      <c r="B1267">
        <v>65.639999389648438</v>
      </c>
      <c r="C1267">
        <v>65.870002746582031</v>
      </c>
      <c r="D1267">
        <v>64.305000305175781</v>
      </c>
      <c r="E1267">
        <v>64.650001525878906</v>
      </c>
      <c r="F1267">
        <v>15864400</v>
      </c>
      <c r="G1267">
        <v>134372891550</v>
      </c>
      <c r="H1267">
        <v>2078466951</v>
      </c>
    </row>
    <row r="1268" spans="1:8" x14ac:dyDescent="0.25">
      <c r="A1268" s="2">
        <v>45433</v>
      </c>
      <c r="B1268">
        <v>64.129997253417969</v>
      </c>
      <c r="C1268">
        <v>64.650001525878906</v>
      </c>
      <c r="D1268">
        <v>63.810001373291023</v>
      </c>
      <c r="E1268">
        <v>63.970001220703118</v>
      </c>
      <c r="F1268">
        <v>16592500</v>
      </c>
      <c r="G1268">
        <v>132959533990</v>
      </c>
      <c r="H1268">
        <v>2078466960</v>
      </c>
    </row>
    <row r="1269" spans="1:8" x14ac:dyDescent="0.25">
      <c r="A1269" s="2">
        <v>45434</v>
      </c>
      <c r="B1269">
        <v>64.819999694824219</v>
      </c>
      <c r="C1269">
        <v>66.089996337890625</v>
      </c>
      <c r="D1269">
        <v>64.519996643066406</v>
      </c>
      <c r="E1269">
        <v>65.480003356933594</v>
      </c>
      <c r="F1269">
        <v>22562100</v>
      </c>
      <c r="G1269">
        <v>136098019160</v>
      </c>
      <c r="H1269">
        <v>2078466893</v>
      </c>
    </row>
    <row r="1270" spans="1:8" x14ac:dyDescent="0.25">
      <c r="A1270" s="2">
        <v>45435</v>
      </c>
      <c r="B1270">
        <v>65.55999755859375</v>
      </c>
      <c r="C1270">
        <v>65.800003051757813</v>
      </c>
      <c r="D1270">
        <v>63.25</v>
      </c>
      <c r="E1270">
        <v>63.599998474121087</v>
      </c>
      <c r="F1270">
        <v>20115000</v>
      </c>
      <c r="G1270">
        <v>132190501200</v>
      </c>
      <c r="H1270">
        <v>2078467050</v>
      </c>
    </row>
    <row r="1271" spans="1:8" x14ac:dyDescent="0.25">
      <c r="A1271" s="2">
        <v>45436</v>
      </c>
      <c r="B1271">
        <v>63.779998779296882</v>
      </c>
      <c r="C1271">
        <v>64.760002136230469</v>
      </c>
      <c r="D1271">
        <v>63.619998931884773</v>
      </c>
      <c r="E1271">
        <v>64.260002136230469</v>
      </c>
      <c r="F1271">
        <v>10380500</v>
      </c>
      <c r="G1271">
        <v>133562289420</v>
      </c>
      <c r="H1271">
        <v>2078466931</v>
      </c>
    </row>
    <row r="1272" spans="1:8" x14ac:dyDescent="0.25">
      <c r="A1272" s="2">
        <v>45440</v>
      </c>
      <c r="B1272">
        <v>64.610000610351563</v>
      </c>
      <c r="C1272">
        <v>64.610000610351563</v>
      </c>
      <c r="D1272">
        <v>63.099998474121087</v>
      </c>
      <c r="E1272">
        <v>63.520000457763672</v>
      </c>
      <c r="F1272">
        <v>14213300</v>
      </c>
      <c r="G1272">
        <v>132024223840</v>
      </c>
      <c r="H1272">
        <v>2078466985</v>
      </c>
    </row>
    <row r="1273" spans="1:8" x14ac:dyDescent="0.25">
      <c r="A1273" s="2">
        <v>45441</v>
      </c>
      <c r="B1273">
        <v>63.009998321533203</v>
      </c>
      <c r="C1273">
        <v>65.364997863769531</v>
      </c>
      <c r="D1273">
        <v>62.909999847412109</v>
      </c>
      <c r="E1273">
        <v>64.930000305175781</v>
      </c>
      <c r="F1273">
        <v>16987900</v>
      </c>
      <c r="G1273">
        <v>134954862310</v>
      </c>
      <c r="H1273">
        <v>2078466990</v>
      </c>
    </row>
    <row r="1274" spans="1:8" x14ac:dyDescent="0.25">
      <c r="A1274" s="2">
        <v>45442</v>
      </c>
      <c r="B1274">
        <v>64.790000915527344</v>
      </c>
      <c r="C1274">
        <v>65.410003662109375</v>
      </c>
      <c r="D1274">
        <v>63.720001220703118</v>
      </c>
      <c r="E1274">
        <v>64.120002746582031</v>
      </c>
      <c r="F1274">
        <v>12692500</v>
      </c>
      <c r="G1274">
        <v>133271304040</v>
      </c>
      <c r="H1274">
        <v>2078466911</v>
      </c>
    </row>
    <row r="1275" spans="1:8" x14ac:dyDescent="0.25">
      <c r="A1275" s="2">
        <v>45443</v>
      </c>
      <c r="B1275">
        <v>64.199996948242188</v>
      </c>
      <c r="C1275">
        <v>64.629997253417969</v>
      </c>
      <c r="D1275">
        <v>63.139999389648438</v>
      </c>
      <c r="E1275">
        <v>64.55999755859375</v>
      </c>
      <c r="F1275">
        <v>17322400</v>
      </c>
      <c r="G1275">
        <v>134185829520</v>
      </c>
      <c r="H1275">
        <v>2078467079</v>
      </c>
    </row>
    <row r="1276" spans="1:8" x14ac:dyDescent="0.25">
      <c r="A1276" s="2">
        <v>45446</v>
      </c>
      <c r="B1276">
        <v>64.779998779296875</v>
      </c>
      <c r="C1276">
        <v>64.959999084472656</v>
      </c>
      <c r="D1276">
        <v>62.935001373291023</v>
      </c>
      <c r="E1276">
        <v>63.790000915527337</v>
      </c>
      <c r="F1276">
        <v>14922200</v>
      </c>
      <c r="G1276">
        <v>132585409930</v>
      </c>
      <c r="H1276">
        <v>2078466970</v>
      </c>
    </row>
    <row r="1277" spans="1:8" x14ac:dyDescent="0.25">
      <c r="A1277" s="2">
        <v>45447</v>
      </c>
      <c r="B1277">
        <v>64.05999755859375</v>
      </c>
      <c r="C1277">
        <v>65.19000244140625</v>
      </c>
      <c r="D1277">
        <v>63.700000762939453</v>
      </c>
      <c r="E1277">
        <v>64.550003051757813</v>
      </c>
      <c r="F1277">
        <v>12689200</v>
      </c>
      <c r="G1277">
        <v>134165044850</v>
      </c>
      <c r="H1277">
        <v>2078466902</v>
      </c>
    </row>
    <row r="1278" spans="1:8" x14ac:dyDescent="0.25">
      <c r="A1278" s="2">
        <v>45448</v>
      </c>
      <c r="B1278">
        <v>64.94000244140625</v>
      </c>
      <c r="C1278">
        <v>66.279998779296875</v>
      </c>
      <c r="D1278">
        <v>64.209999084472656</v>
      </c>
      <c r="E1278">
        <v>65.819999694824219</v>
      </c>
      <c r="F1278">
        <v>19513500</v>
      </c>
      <c r="G1278">
        <v>136804697939</v>
      </c>
      <c r="H1278">
        <v>2078467010</v>
      </c>
    </row>
    <row r="1279" spans="1:8" x14ac:dyDescent="0.25">
      <c r="A1279" s="2">
        <v>45449</v>
      </c>
      <c r="B1279">
        <v>67.449996948242188</v>
      </c>
      <c r="C1279">
        <v>69.69000244140625</v>
      </c>
      <c r="D1279">
        <v>67.330001831054688</v>
      </c>
      <c r="E1279">
        <v>68.900001525878906</v>
      </c>
      <c r="F1279">
        <v>25871500</v>
      </c>
      <c r="G1279">
        <v>143206376300</v>
      </c>
      <c r="H1279">
        <v>2078466954</v>
      </c>
    </row>
    <row r="1280" spans="1:8" x14ac:dyDescent="0.25">
      <c r="A1280" s="2">
        <v>45450</v>
      </c>
      <c r="B1280">
        <v>68.900001525878906</v>
      </c>
      <c r="C1280">
        <v>69.709999084472656</v>
      </c>
      <c r="D1280">
        <v>68.110000610351563</v>
      </c>
      <c r="E1280">
        <v>69.30999755859375</v>
      </c>
      <c r="F1280">
        <v>13932600</v>
      </c>
      <c r="G1280">
        <v>144058547770</v>
      </c>
      <c r="H1280">
        <v>2078467073</v>
      </c>
    </row>
    <row r="1281" spans="1:8" x14ac:dyDescent="0.25">
      <c r="A1281" s="2">
        <v>45453</v>
      </c>
      <c r="B1281">
        <v>69.279998779296875</v>
      </c>
      <c r="C1281">
        <v>69.691001892089844</v>
      </c>
      <c r="D1281">
        <v>66.55999755859375</v>
      </c>
      <c r="E1281">
        <v>68.599998474121094</v>
      </c>
      <c r="F1281">
        <v>19168900</v>
      </c>
      <c r="G1281">
        <v>142582836200</v>
      </c>
      <c r="H1281">
        <v>2078467046</v>
      </c>
    </row>
    <row r="1282" spans="1:8" x14ac:dyDescent="0.25">
      <c r="A1282" s="2">
        <v>45454</v>
      </c>
      <c r="B1282">
        <v>68.599998474121094</v>
      </c>
      <c r="C1282">
        <v>69.599998474121094</v>
      </c>
      <c r="D1282">
        <v>67.760002136230469</v>
      </c>
      <c r="E1282">
        <v>69.589996337890625</v>
      </c>
      <c r="F1282">
        <v>12741200</v>
      </c>
      <c r="G1282">
        <v>144640518530</v>
      </c>
      <c r="H1282">
        <v>2078467109</v>
      </c>
    </row>
    <row r="1283" spans="1:8" x14ac:dyDescent="0.25">
      <c r="A1283" s="2">
        <v>45455</v>
      </c>
      <c r="B1283">
        <v>71.30999755859375</v>
      </c>
      <c r="C1283">
        <v>73.599998474121094</v>
      </c>
      <c r="D1283">
        <v>71</v>
      </c>
      <c r="E1283">
        <v>73.150001525878906</v>
      </c>
      <c r="F1283">
        <v>24435500</v>
      </c>
      <c r="G1283">
        <v>152039861050</v>
      </c>
      <c r="H1283">
        <v>2078466957</v>
      </c>
    </row>
    <row r="1284" spans="1:8" x14ac:dyDescent="0.25">
      <c r="A1284" s="2">
        <v>45456</v>
      </c>
      <c r="B1284">
        <v>73.160003662109375</v>
      </c>
      <c r="C1284">
        <v>73.160003662109375</v>
      </c>
      <c r="D1284">
        <v>70.239997863769531</v>
      </c>
      <c r="E1284">
        <v>70.860000610351563</v>
      </c>
      <c r="F1284">
        <v>17109400</v>
      </c>
      <c r="G1284">
        <v>147280171620</v>
      </c>
      <c r="H1284">
        <v>2078466982</v>
      </c>
    </row>
    <row r="1285" spans="1:8" x14ac:dyDescent="0.25">
      <c r="A1285" s="2">
        <v>45457</v>
      </c>
      <c r="B1285">
        <v>70.910003662109375</v>
      </c>
      <c r="C1285">
        <v>71</v>
      </c>
      <c r="D1285">
        <v>69.319999694824219</v>
      </c>
      <c r="E1285">
        <v>70.05999755859375</v>
      </c>
      <c r="F1285">
        <v>11601100</v>
      </c>
      <c r="G1285">
        <v>145617398020</v>
      </c>
      <c r="H1285">
        <v>2078467072</v>
      </c>
    </row>
    <row r="1286" spans="1:8" x14ac:dyDescent="0.25">
      <c r="A1286" s="2">
        <v>45460</v>
      </c>
      <c r="B1286">
        <v>69.910003662109375</v>
      </c>
      <c r="C1286">
        <v>70.830001831054688</v>
      </c>
      <c r="D1286">
        <v>69.830001831054688</v>
      </c>
      <c r="E1286">
        <v>70.489997863769531</v>
      </c>
      <c r="F1286">
        <v>14760500</v>
      </c>
      <c r="G1286">
        <v>146511138830</v>
      </c>
      <c r="H1286">
        <v>2078467063</v>
      </c>
    </row>
    <row r="1287" spans="1:8" x14ac:dyDescent="0.25">
      <c r="A1287" s="2">
        <v>45461</v>
      </c>
      <c r="B1287">
        <v>70.599998474121094</v>
      </c>
      <c r="C1287">
        <v>71.209999084472656</v>
      </c>
      <c r="D1287">
        <v>69.889999389648438</v>
      </c>
      <c r="E1287">
        <v>70.330001831054688</v>
      </c>
      <c r="F1287">
        <v>9511600</v>
      </c>
      <c r="G1287">
        <v>146178584110</v>
      </c>
      <c r="H1287">
        <v>2078466946</v>
      </c>
    </row>
    <row r="1288" spans="1:8" x14ac:dyDescent="0.25">
      <c r="A1288" s="2">
        <v>45463</v>
      </c>
      <c r="B1288">
        <v>70.510002136230469</v>
      </c>
      <c r="C1288">
        <v>71.120002746582031</v>
      </c>
      <c r="D1288">
        <v>69.730003356933594</v>
      </c>
      <c r="E1288">
        <v>70.300003051757813</v>
      </c>
      <c r="F1288">
        <v>10662400</v>
      </c>
      <c r="G1288">
        <v>146116230100</v>
      </c>
      <c r="H1288">
        <v>2078466910</v>
      </c>
    </row>
    <row r="1289" spans="1:8" x14ac:dyDescent="0.25">
      <c r="A1289" s="2">
        <v>45464</v>
      </c>
      <c r="B1289">
        <v>70.040000915527344</v>
      </c>
      <c r="C1289">
        <v>70.25</v>
      </c>
      <c r="D1289">
        <v>69.230003356933594</v>
      </c>
      <c r="E1289">
        <v>70.209999084472656</v>
      </c>
      <c r="F1289">
        <v>20913300</v>
      </c>
      <c r="G1289">
        <v>145929168070</v>
      </c>
      <c r="H1289">
        <v>2078467027</v>
      </c>
    </row>
    <row r="1290" spans="1:8" x14ac:dyDescent="0.25">
      <c r="A1290" s="2">
        <v>45467</v>
      </c>
      <c r="B1290">
        <v>69.830001831054688</v>
      </c>
      <c r="C1290">
        <v>71.230003356933594</v>
      </c>
      <c r="D1290">
        <v>69.75</v>
      </c>
      <c r="E1290">
        <v>70.540000915527344</v>
      </c>
      <c r="F1290">
        <v>12479300</v>
      </c>
      <c r="G1290">
        <v>146615062180</v>
      </c>
      <c r="H1290">
        <v>2078466973</v>
      </c>
    </row>
    <row r="1291" spans="1:8" x14ac:dyDescent="0.25">
      <c r="A1291" s="2">
        <v>45468</v>
      </c>
      <c r="B1291">
        <v>71.860000610351563</v>
      </c>
      <c r="C1291">
        <v>72.94000244140625</v>
      </c>
      <c r="D1291">
        <v>70.220001220703125</v>
      </c>
      <c r="E1291">
        <v>71.379997253417969</v>
      </c>
      <c r="F1291">
        <v>18911600</v>
      </c>
      <c r="G1291">
        <v>148360974460</v>
      </c>
      <c r="H1291">
        <v>2078467080</v>
      </c>
    </row>
    <row r="1292" spans="1:8" x14ac:dyDescent="0.25">
      <c r="A1292" s="2">
        <v>45469</v>
      </c>
      <c r="B1292">
        <v>70.94000244140625</v>
      </c>
      <c r="C1292">
        <v>71.599998474121094</v>
      </c>
      <c r="D1292">
        <v>70.550003051757813</v>
      </c>
      <c r="E1292">
        <v>70.849998474121094</v>
      </c>
      <c r="F1292">
        <v>10232600</v>
      </c>
      <c r="G1292">
        <v>147259386950</v>
      </c>
      <c r="H1292">
        <v>2078467045</v>
      </c>
    </row>
    <row r="1293" spans="1:8" x14ac:dyDescent="0.25">
      <c r="A1293" s="2">
        <v>45470</v>
      </c>
      <c r="B1293">
        <v>70.980003356933594</v>
      </c>
      <c r="C1293">
        <v>71.319999694824219</v>
      </c>
      <c r="D1293">
        <v>70.069999694824219</v>
      </c>
      <c r="E1293">
        <v>70.339996337890625</v>
      </c>
      <c r="F1293">
        <v>9650500</v>
      </c>
      <c r="G1293">
        <v>146199368780</v>
      </c>
      <c r="H1293">
        <v>2078467108</v>
      </c>
    </row>
    <row r="1294" spans="1:8" x14ac:dyDescent="0.25">
      <c r="A1294" s="2">
        <v>45471</v>
      </c>
      <c r="B1294">
        <v>70.80999755859375</v>
      </c>
      <c r="C1294">
        <v>73.260002136230469</v>
      </c>
      <c r="D1294">
        <v>70.769996643066406</v>
      </c>
      <c r="E1294">
        <v>72.680000305175781</v>
      </c>
      <c r="F1294">
        <v>21375900</v>
      </c>
      <c r="G1294">
        <v>151062981560</v>
      </c>
      <c r="H1294">
        <v>2078466991</v>
      </c>
    </row>
    <row r="1295" spans="1:8" x14ac:dyDescent="0.25">
      <c r="A1295" s="2">
        <v>45474</v>
      </c>
      <c r="B1295">
        <v>72.199996948242188</v>
      </c>
      <c r="C1295">
        <v>72.580001831054688</v>
      </c>
      <c r="D1295">
        <v>69.400001525878906</v>
      </c>
      <c r="E1295">
        <v>71.099998474121094</v>
      </c>
      <c r="F1295">
        <v>13438700</v>
      </c>
      <c r="G1295">
        <v>147779003700</v>
      </c>
      <c r="H1295">
        <v>2078467045</v>
      </c>
    </row>
    <row r="1296" spans="1:8" x14ac:dyDescent="0.25">
      <c r="A1296" s="2">
        <v>45475</v>
      </c>
      <c r="B1296">
        <v>71.25</v>
      </c>
      <c r="C1296">
        <v>71.260002136230469</v>
      </c>
      <c r="D1296">
        <v>68.879997253417969</v>
      </c>
      <c r="E1296">
        <v>70.669998168945313</v>
      </c>
      <c r="F1296">
        <v>14319000</v>
      </c>
      <c r="G1296">
        <v>146885262890</v>
      </c>
      <c r="H1296">
        <v>2078467054</v>
      </c>
    </row>
    <row r="1297" spans="1:8" x14ac:dyDescent="0.25">
      <c r="A1297" s="2">
        <v>45476</v>
      </c>
      <c r="B1297">
        <v>70.660003662109375</v>
      </c>
      <c r="C1297">
        <v>72.139999389648438</v>
      </c>
      <c r="D1297">
        <v>70.5</v>
      </c>
      <c r="E1297">
        <v>71.300003051757813</v>
      </c>
      <c r="F1297">
        <v>7869800</v>
      </c>
      <c r="G1297">
        <v>148194697100</v>
      </c>
      <c r="H1297">
        <v>2078466911</v>
      </c>
    </row>
    <row r="1298" spans="1:8" x14ac:dyDescent="0.25">
      <c r="A1298" s="2">
        <v>45478</v>
      </c>
      <c r="B1298">
        <v>70.989997863769531</v>
      </c>
      <c r="C1298">
        <v>71.417999267578125</v>
      </c>
      <c r="D1298">
        <v>70.385002136230469</v>
      </c>
      <c r="E1298">
        <v>71.05999755859375</v>
      </c>
      <c r="F1298">
        <v>6599200</v>
      </c>
      <c r="G1298">
        <v>147695865020</v>
      </c>
      <c r="H1298">
        <v>2078467071</v>
      </c>
    </row>
    <row r="1299" spans="1:8" x14ac:dyDescent="0.25">
      <c r="A1299" s="2">
        <v>45481</v>
      </c>
      <c r="B1299">
        <v>71.30999755859375</v>
      </c>
      <c r="C1299">
        <v>71.779998779296875</v>
      </c>
      <c r="D1299">
        <v>70.75</v>
      </c>
      <c r="E1299">
        <v>71.25</v>
      </c>
      <c r="F1299">
        <v>7231100</v>
      </c>
      <c r="G1299">
        <v>148090773750</v>
      </c>
      <c r="H1299">
        <v>2078467000</v>
      </c>
    </row>
    <row r="1300" spans="1:8" x14ac:dyDescent="0.25">
      <c r="A1300" s="2">
        <v>45482</v>
      </c>
      <c r="B1300">
        <v>71.400001525878906</v>
      </c>
      <c r="C1300">
        <v>72.279998779296875</v>
      </c>
      <c r="D1300">
        <v>71.129997253417969</v>
      </c>
      <c r="E1300">
        <v>71.319999694824219</v>
      </c>
      <c r="F1300">
        <v>8757900</v>
      </c>
      <c r="G1300">
        <v>148236266440</v>
      </c>
      <c r="H1300">
        <v>2078467009</v>
      </c>
    </row>
    <row r="1301" spans="1:8" x14ac:dyDescent="0.25">
      <c r="A1301" s="2">
        <v>45483</v>
      </c>
      <c r="B1301">
        <v>71.5</v>
      </c>
      <c r="C1301">
        <v>71.5</v>
      </c>
      <c r="D1301">
        <v>68.379997253417969</v>
      </c>
      <c r="E1301">
        <v>69.269996643066406</v>
      </c>
      <c r="F1301">
        <v>14638800</v>
      </c>
      <c r="G1301">
        <v>143975409090</v>
      </c>
      <c r="H1301">
        <v>2078467101</v>
      </c>
    </row>
    <row r="1302" spans="1:8" x14ac:dyDescent="0.25">
      <c r="A1302" s="2">
        <v>45484</v>
      </c>
      <c r="B1302">
        <v>69.510002136230469</v>
      </c>
      <c r="C1302">
        <v>73.644996643066406</v>
      </c>
      <c r="D1302">
        <v>68.849998474121094</v>
      </c>
      <c r="E1302">
        <v>73.529998779296875</v>
      </c>
      <c r="F1302">
        <v>26702500</v>
      </c>
      <c r="G1302">
        <v>152829678510</v>
      </c>
      <c r="H1302">
        <v>2078467035</v>
      </c>
    </row>
    <row r="1303" spans="1:8" x14ac:dyDescent="0.25">
      <c r="A1303" s="2">
        <v>45485</v>
      </c>
      <c r="B1303">
        <v>72.110000610351563</v>
      </c>
      <c r="C1303">
        <v>73.800003051757813</v>
      </c>
      <c r="D1303">
        <v>72.110000610351563</v>
      </c>
      <c r="E1303">
        <v>72.430000305175781</v>
      </c>
      <c r="F1303">
        <v>14683700</v>
      </c>
      <c r="G1303">
        <v>150543364810</v>
      </c>
      <c r="H1303">
        <v>2078466991</v>
      </c>
    </row>
    <row r="1304" spans="1:8" x14ac:dyDescent="0.25">
      <c r="A1304" s="2">
        <v>45488</v>
      </c>
      <c r="B1304">
        <v>73.05999755859375</v>
      </c>
      <c r="C1304">
        <v>73.25</v>
      </c>
      <c r="D1304">
        <v>70.761001586914063</v>
      </c>
      <c r="E1304">
        <v>72.290000915527344</v>
      </c>
      <c r="F1304">
        <v>13472600</v>
      </c>
      <c r="G1304">
        <v>150252379430</v>
      </c>
      <c r="H1304">
        <v>2078466974</v>
      </c>
    </row>
    <row r="1305" spans="1:8" x14ac:dyDescent="0.25">
      <c r="A1305" s="2">
        <v>45489</v>
      </c>
      <c r="B1305">
        <v>73.110000610351563</v>
      </c>
      <c r="C1305">
        <v>75.400001525878906</v>
      </c>
      <c r="D1305">
        <v>73.110000610351563</v>
      </c>
      <c r="E1305">
        <v>74.300003051757813</v>
      </c>
      <c r="F1305">
        <v>17529000</v>
      </c>
      <c r="G1305">
        <v>154430098100</v>
      </c>
      <c r="H1305">
        <v>2078466915</v>
      </c>
    </row>
    <row r="1306" spans="1:8" x14ac:dyDescent="0.25">
      <c r="A1306" s="2">
        <v>45490</v>
      </c>
      <c r="B1306">
        <v>73.379997253417969</v>
      </c>
      <c r="C1306">
        <v>73.410003662109375</v>
      </c>
      <c r="D1306">
        <v>68.555000305175781</v>
      </c>
      <c r="E1306">
        <v>68.620002746582031</v>
      </c>
      <c r="F1306">
        <v>27884400</v>
      </c>
      <c r="G1306">
        <v>142624405540</v>
      </c>
      <c r="H1306">
        <v>2078466917</v>
      </c>
    </row>
    <row r="1307" spans="1:8" x14ac:dyDescent="0.25">
      <c r="A1307" s="2">
        <v>45491</v>
      </c>
      <c r="B1307">
        <v>69</v>
      </c>
      <c r="C1307">
        <v>69.34100341796875</v>
      </c>
      <c r="D1307">
        <v>65.80999755859375</v>
      </c>
      <c r="E1307">
        <v>66.260002136230469</v>
      </c>
      <c r="F1307">
        <v>21988900</v>
      </c>
      <c r="G1307">
        <v>137719223420</v>
      </c>
      <c r="H1307">
        <v>2078466933</v>
      </c>
    </row>
    <row r="1308" spans="1:8" x14ac:dyDescent="0.25">
      <c r="A1308" s="2">
        <v>45492</v>
      </c>
      <c r="B1308">
        <v>66.779998779296875</v>
      </c>
      <c r="C1308">
        <v>67.44000244140625</v>
      </c>
      <c r="D1308">
        <v>66.099998474121094</v>
      </c>
      <c r="E1308">
        <v>67.30999755859375</v>
      </c>
      <c r="F1308">
        <v>12809600</v>
      </c>
      <c r="G1308">
        <v>139901613770</v>
      </c>
      <c r="H1308">
        <v>2078467075</v>
      </c>
    </row>
    <row r="1309" spans="1:8" x14ac:dyDescent="0.25">
      <c r="A1309" s="2">
        <v>45495</v>
      </c>
      <c r="B1309">
        <v>67.529998779296875</v>
      </c>
      <c r="C1309">
        <v>68.779998779296875</v>
      </c>
      <c r="D1309">
        <v>67.084999084472656</v>
      </c>
      <c r="E1309">
        <v>67.730003356933594</v>
      </c>
      <c r="F1309">
        <v>13408000</v>
      </c>
      <c r="G1309">
        <v>140774569910</v>
      </c>
      <c r="H1309">
        <v>2078466897</v>
      </c>
    </row>
    <row r="1310" spans="1:8" x14ac:dyDescent="0.25">
      <c r="A1310" s="2">
        <v>45496</v>
      </c>
      <c r="B1310">
        <v>68.050003051757813</v>
      </c>
      <c r="C1310">
        <v>69.099998474121094</v>
      </c>
      <c r="D1310">
        <v>67.279998779296875</v>
      </c>
      <c r="E1310">
        <v>67.519996643066406</v>
      </c>
      <c r="F1310">
        <v>9539800</v>
      </c>
      <c r="G1310">
        <v>140338091840</v>
      </c>
      <c r="H1310">
        <v>2078467103</v>
      </c>
    </row>
    <row r="1311" spans="1:8" x14ac:dyDescent="0.25">
      <c r="A1311" s="2">
        <v>45497</v>
      </c>
      <c r="B1311">
        <v>67.269996643066406</v>
      </c>
      <c r="C1311">
        <v>67.790000915527344</v>
      </c>
      <c r="D1311">
        <v>65.779998779296875</v>
      </c>
      <c r="E1311">
        <v>66.139999389648438</v>
      </c>
      <c r="F1311">
        <v>15187100</v>
      </c>
      <c r="G1311">
        <v>137469807380</v>
      </c>
      <c r="H1311">
        <v>2078467019</v>
      </c>
    </row>
    <row r="1312" spans="1:8" x14ac:dyDescent="0.25">
      <c r="A1312" s="2">
        <v>45498</v>
      </c>
      <c r="B1312">
        <v>66</v>
      </c>
      <c r="C1312">
        <v>69.370002746582031</v>
      </c>
      <c r="D1312">
        <v>64.400001525878906</v>
      </c>
      <c r="E1312">
        <v>65.739997863769531</v>
      </c>
      <c r="F1312">
        <v>22596900</v>
      </c>
      <c r="G1312">
        <v>136638420579</v>
      </c>
      <c r="H1312">
        <v>2078467068</v>
      </c>
    </row>
    <row r="1313" spans="1:8" x14ac:dyDescent="0.25">
      <c r="A1313" s="2">
        <v>45499</v>
      </c>
      <c r="B1313">
        <v>66.099998474121094</v>
      </c>
      <c r="C1313">
        <v>66.260002136230469</v>
      </c>
      <c r="D1313">
        <v>64.180000305175781</v>
      </c>
      <c r="E1313">
        <v>64.400001525878906</v>
      </c>
      <c r="F1313">
        <v>17379400</v>
      </c>
      <c r="G1313">
        <v>133853274800</v>
      </c>
      <c r="H1313">
        <v>2078466951</v>
      </c>
    </row>
    <row r="1314" spans="1:8" x14ac:dyDescent="0.25">
      <c r="A1314" s="2">
        <v>45502</v>
      </c>
      <c r="B1314">
        <v>64.834999084472656</v>
      </c>
      <c r="C1314">
        <v>65.254997253417969</v>
      </c>
      <c r="D1314">
        <v>63.720001220703118</v>
      </c>
      <c r="E1314">
        <v>63.759998321533203</v>
      </c>
      <c r="F1314">
        <v>16907000</v>
      </c>
      <c r="G1314">
        <v>132523055920</v>
      </c>
      <c r="H1314">
        <v>2078467055</v>
      </c>
    </row>
    <row r="1315" spans="1:8" x14ac:dyDescent="0.25">
      <c r="A1315" s="2">
        <v>45503</v>
      </c>
      <c r="B1315">
        <v>64.150001525878906</v>
      </c>
      <c r="C1315">
        <v>64.769996643066406</v>
      </c>
      <c r="D1315">
        <v>62.610000610351563</v>
      </c>
      <c r="E1315">
        <v>63.090000152587891</v>
      </c>
      <c r="F1315">
        <v>16506200</v>
      </c>
      <c r="G1315">
        <v>131130483030</v>
      </c>
      <c r="H1315">
        <v>2078466995</v>
      </c>
    </row>
    <row r="1316" spans="1:8" x14ac:dyDescent="0.25">
      <c r="A1316" s="2">
        <v>45504</v>
      </c>
      <c r="B1316">
        <v>63.880001068115227</v>
      </c>
      <c r="C1316">
        <v>65.181999206542969</v>
      </c>
      <c r="D1316">
        <v>63.659999847412109</v>
      </c>
      <c r="E1316">
        <v>64.470001220703125</v>
      </c>
      <c r="F1316">
        <v>18209700</v>
      </c>
      <c r="G1316">
        <v>133998767490</v>
      </c>
      <c r="H1316">
        <v>2078466961</v>
      </c>
    </row>
    <row r="1317" spans="1:8" x14ac:dyDescent="0.25">
      <c r="A1317" s="2">
        <v>45505</v>
      </c>
      <c r="B1317">
        <v>64.860000610351563</v>
      </c>
      <c r="C1317">
        <v>65</v>
      </c>
      <c r="D1317">
        <v>60.759998321533203</v>
      </c>
      <c r="E1317">
        <v>61.020000457763672</v>
      </c>
      <c r="F1317">
        <v>18967900</v>
      </c>
      <c r="G1317">
        <v>126828056340</v>
      </c>
      <c r="H1317">
        <v>2078466984</v>
      </c>
    </row>
    <row r="1318" spans="1:8" x14ac:dyDescent="0.25">
      <c r="A1318" s="2">
        <v>45506</v>
      </c>
      <c r="B1318">
        <v>59.380001068115227</v>
      </c>
      <c r="C1318">
        <v>59.580001831054688</v>
      </c>
      <c r="D1318">
        <v>56.860000610351563</v>
      </c>
      <c r="E1318">
        <v>58.990001678466797</v>
      </c>
      <c r="F1318">
        <v>27654600</v>
      </c>
      <c r="G1318">
        <v>123417698200</v>
      </c>
      <c r="H1318">
        <v>2092179940</v>
      </c>
    </row>
    <row r="1319" spans="1:8" x14ac:dyDescent="0.25">
      <c r="A1319" s="2">
        <v>45509</v>
      </c>
      <c r="B1319">
        <v>55.529998779296882</v>
      </c>
      <c r="C1319">
        <v>58.650001525878913</v>
      </c>
      <c r="D1319">
        <v>54.840000152587891</v>
      </c>
      <c r="E1319">
        <v>58.479999542236328</v>
      </c>
      <c r="F1319">
        <v>32063700</v>
      </c>
      <c r="G1319">
        <v>122350686341</v>
      </c>
      <c r="H1319">
        <v>2092180015</v>
      </c>
    </row>
    <row r="1320" spans="1:8" x14ac:dyDescent="0.25">
      <c r="A1320" s="2">
        <v>45510</v>
      </c>
      <c r="B1320">
        <v>62.549999237060547</v>
      </c>
      <c r="C1320">
        <v>65.819999694824219</v>
      </c>
      <c r="D1320">
        <v>60.5</v>
      </c>
      <c r="E1320">
        <v>64.870002746582031</v>
      </c>
      <c r="F1320">
        <v>53336900</v>
      </c>
      <c r="G1320">
        <v>135719716535</v>
      </c>
      <c r="H1320">
        <v>2092179910</v>
      </c>
    </row>
    <row r="1321" spans="1:8" x14ac:dyDescent="0.25">
      <c r="A1321" s="2">
        <v>45511</v>
      </c>
      <c r="B1321">
        <v>65.55999755859375</v>
      </c>
      <c r="C1321">
        <v>68.400001525878906</v>
      </c>
      <c r="D1321">
        <v>65.489997863769531</v>
      </c>
      <c r="E1321">
        <v>65.540000915527344</v>
      </c>
      <c r="F1321">
        <v>31493600</v>
      </c>
      <c r="G1321">
        <v>137121477134</v>
      </c>
      <c r="H1321">
        <v>2092179970</v>
      </c>
    </row>
    <row r="1322" spans="1:8" x14ac:dyDescent="0.25">
      <c r="A1322" s="2">
        <v>45512</v>
      </c>
      <c r="B1322">
        <v>66.525001525878906</v>
      </c>
      <c r="C1322">
        <v>69.165000915527344</v>
      </c>
      <c r="D1322">
        <v>65.949996948242188</v>
      </c>
      <c r="E1322">
        <v>69.010002136230469</v>
      </c>
      <c r="F1322">
        <v>21779100</v>
      </c>
      <c r="G1322">
        <v>144381341730</v>
      </c>
      <c r="H1322">
        <v>2092179934</v>
      </c>
    </row>
    <row r="1323" spans="1:8" x14ac:dyDescent="0.25">
      <c r="A1323" s="2">
        <v>45513</v>
      </c>
      <c r="B1323">
        <v>69.139999389648438</v>
      </c>
      <c r="C1323">
        <v>69.379997253417969</v>
      </c>
      <c r="D1323">
        <v>67.75</v>
      </c>
      <c r="E1323">
        <v>68.540000915527344</v>
      </c>
      <c r="F1323">
        <v>12770300</v>
      </c>
      <c r="G1323">
        <v>143398017131</v>
      </c>
      <c r="H1323">
        <v>2092179971</v>
      </c>
    </row>
    <row r="1324" spans="1:8" x14ac:dyDescent="0.25">
      <c r="A1324" s="2">
        <v>45516</v>
      </c>
      <c r="B1324">
        <v>68.610000610351563</v>
      </c>
      <c r="C1324">
        <v>69.30999755859375</v>
      </c>
      <c r="D1324">
        <v>68.019996643066406</v>
      </c>
      <c r="E1324">
        <v>69.260002136230469</v>
      </c>
      <c r="F1324">
        <v>10826100</v>
      </c>
      <c r="G1324">
        <v>144904386730</v>
      </c>
      <c r="H1324">
        <v>2092179934</v>
      </c>
    </row>
    <row r="1325" spans="1:8" x14ac:dyDescent="0.25">
      <c r="A1325" s="2">
        <v>45517</v>
      </c>
      <c r="B1325">
        <v>69.769996643066406</v>
      </c>
      <c r="C1325">
        <v>71.19000244140625</v>
      </c>
      <c r="D1325">
        <v>69.379997253417969</v>
      </c>
      <c r="E1325">
        <v>71.05999755859375</v>
      </c>
      <c r="F1325">
        <v>15472500</v>
      </c>
      <c r="G1325">
        <v>148670310728</v>
      </c>
      <c r="H1325">
        <v>2092180071</v>
      </c>
    </row>
    <row r="1326" spans="1:8" x14ac:dyDescent="0.25">
      <c r="A1326" s="2">
        <v>45518</v>
      </c>
      <c r="B1326">
        <v>71.599998474121094</v>
      </c>
      <c r="C1326">
        <v>72</v>
      </c>
      <c r="D1326">
        <v>70.610000610351563</v>
      </c>
      <c r="E1326">
        <v>71.930000305175781</v>
      </c>
      <c r="F1326">
        <v>12337000</v>
      </c>
      <c r="G1326">
        <v>150490507328</v>
      </c>
      <c r="H1326">
        <v>2092179990</v>
      </c>
    </row>
    <row r="1327" spans="1:8" x14ac:dyDescent="0.25">
      <c r="A1327" s="2">
        <v>45519</v>
      </c>
      <c r="B1327">
        <v>72.510002136230469</v>
      </c>
      <c r="C1327">
        <v>73.419998168945313</v>
      </c>
      <c r="D1327">
        <v>72.290000915527344</v>
      </c>
      <c r="E1327">
        <v>72.730003356933594</v>
      </c>
      <c r="F1327">
        <v>13711300</v>
      </c>
      <c r="G1327">
        <v>152164251327</v>
      </c>
      <c r="H1327">
        <v>2092179902</v>
      </c>
    </row>
    <row r="1328" spans="1:8" x14ac:dyDescent="0.25">
      <c r="A1328" s="2">
        <v>45520</v>
      </c>
      <c r="B1328">
        <v>72.5</v>
      </c>
      <c r="C1328">
        <v>73.349998474121094</v>
      </c>
      <c r="D1328">
        <v>71.754997253417969</v>
      </c>
      <c r="E1328">
        <v>72.040000915527344</v>
      </c>
      <c r="F1328">
        <v>11548300</v>
      </c>
      <c r="G1328">
        <v>150720647127</v>
      </c>
      <c r="H1328">
        <v>2092179972</v>
      </c>
    </row>
    <row r="1329" spans="1:8" x14ac:dyDescent="0.25">
      <c r="A1329" s="2">
        <v>45523</v>
      </c>
      <c r="B1329">
        <v>72</v>
      </c>
      <c r="C1329">
        <v>74.220001220703125</v>
      </c>
      <c r="D1329">
        <v>71.794998168945313</v>
      </c>
      <c r="E1329">
        <v>74.180000305175781</v>
      </c>
      <c r="F1329">
        <v>13821300</v>
      </c>
      <c r="G1329">
        <v>155197912325</v>
      </c>
      <c r="H1329">
        <v>2092179990</v>
      </c>
    </row>
    <row r="1330" spans="1:8" x14ac:dyDescent="0.25">
      <c r="A1330" s="2">
        <v>45524</v>
      </c>
      <c r="B1330">
        <v>74.269996643066406</v>
      </c>
      <c r="C1330">
        <v>74.480003356933594</v>
      </c>
      <c r="D1330">
        <v>73.279998779296875</v>
      </c>
      <c r="E1330">
        <v>73.30999755859375</v>
      </c>
      <c r="F1330">
        <v>10246500</v>
      </c>
      <c r="G1330">
        <v>153377715726</v>
      </c>
      <c r="H1330">
        <v>2092180069</v>
      </c>
    </row>
    <row r="1331" spans="1:8" x14ac:dyDescent="0.25">
      <c r="A1331" s="2">
        <v>45525</v>
      </c>
      <c r="B1331">
        <v>73.720001220703125</v>
      </c>
      <c r="C1331">
        <v>74.290000915527344</v>
      </c>
      <c r="D1331">
        <v>73.05999755859375</v>
      </c>
      <c r="E1331">
        <v>73.480003356933594</v>
      </c>
      <c r="F1331">
        <v>9290200</v>
      </c>
      <c r="G1331">
        <v>153733386326</v>
      </c>
      <c r="H1331">
        <v>2092179903</v>
      </c>
    </row>
    <row r="1332" spans="1:8" x14ac:dyDescent="0.25">
      <c r="A1332" s="2">
        <v>45526</v>
      </c>
      <c r="B1332">
        <v>73.550003051757813</v>
      </c>
      <c r="C1332">
        <v>74.120002746582031</v>
      </c>
      <c r="D1332">
        <v>72.669998168945313</v>
      </c>
      <c r="E1332">
        <v>73.30999755859375</v>
      </c>
      <c r="F1332">
        <v>9571900</v>
      </c>
      <c r="G1332">
        <v>153377715726</v>
      </c>
      <c r="H1332">
        <v>2092180069</v>
      </c>
    </row>
    <row r="1333" spans="1:8" x14ac:dyDescent="0.25">
      <c r="A1333" s="2">
        <v>45527</v>
      </c>
      <c r="B1333">
        <v>72.849998474121094</v>
      </c>
      <c r="C1333">
        <v>74.455001831054688</v>
      </c>
      <c r="D1333">
        <v>72.349998474121094</v>
      </c>
      <c r="E1333">
        <v>74.300003051757813</v>
      </c>
      <c r="F1333">
        <v>13065600</v>
      </c>
      <c r="G1333">
        <v>155448973925</v>
      </c>
      <c r="H1333">
        <v>2092179913</v>
      </c>
    </row>
    <row r="1334" spans="1:8" x14ac:dyDescent="0.25">
      <c r="A1334" s="2">
        <v>45530</v>
      </c>
      <c r="B1334">
        <v>74.300003051757813</v>
      </c>
      <c r="C1334">
        <v>74.300003051757813</v>
      </c>
      <c r="D1334">
        <v>72.110000610351563</v>
      </c>
      <c r="E1334">
        <v>72.610000610351563</v>
      </c>
      <c r="F1334">
        <v>10999900</v>
      </c>
      <c r="G1334">
        <v>151913189727</v>
      </c>
      <c r="H1334">
        <v>2092179981</v>
      </c>
    </row>
    <row r="1335" spans="1:8" x14ac:dyDescent="0.25">
      <c r="A1335" s="2">
        <v>45531</v>
      </c>
      <c r="B1335">
        <v>72.489997863769531</v>
      </c>
      <c r="C1335">
        <v>73.089996337890625</v>
      </c>
      <c r="D1335">
        <v>71.800003051757813</v>
      </c>
      <c r="E1335">
        <v>72.55999755859375</v>
      </c>
      <c r="F1335">
        <v>7294100</v>
      </c>
      <c r="G1335">
        <v>151808580727</v>
      </c>
      <c r="H1335">
        <v>2092180069</v>
      </c>
    </row>
    <row r="1336" spans="1:8" x14ac:dyDescent="0.25">
      <c r="A1336" s="2">
        <v>45532</v>
      </c>
      <c r="B1336">
        <v>72.5</v>
      </c>
      <c r="C1336">
        <v>72.550003051757813</v>
      </c>
      <c r="D1336">
        <v>71.019996643066406</v>
      </c>
      <c r="E1336">
        <v>71.849998474121094</v>
      </c>
      <c r="F1336">
        <v>9529400</v>
      </c>
      <c r="G1336">
        <v>150323132928</v>
      </c>
      <c r="H1336">
        <v>2092180043</v>
      </c>
    </row>
    <row r="1337" spans="1:8" x14ac:dyDescent="0.25">
      <c r="A1337" s="2">
        <v>45533</v>
      </c>
      <c r="B1337">
        <v>72.5</v>
      </c>
      <c r="C1337">
        <v>73.279998779296875</v>
      </c>
      <c r="D1337">
        <v>72.129997253417969</v>
      </c>
      <c r="E1337">
        <v>72.239997863769531</v>
      </c>
      <c r="F1337">
        <v>9300800</v>
      </c>
      <c r="G1337">
        <v>151139083127</v>
      </c>
      <c r="H1337">
        <v>2092180061</v>
      </c>
    </row>
    <row r="1338" spans="1:8" x14ac:dyDescent="0.25">
      <c r="A1338" s="2">
        <v>45534</v>
      </c>
      <c r="B1338">
        <v>72.889999389648438</v>
      </c>
      <c r="C1338">
        <v>73.418998718261719</v>
      </c>
      <c r="D1338">
        <v>72.05999755859375</v>
      </c>
      <c r="E1338">
        <v>73.129997253417969</v>
      </c>
      <c r="F1338">
        <v>12676900</v>
      </c>
      <c r="G1338">
        <v>153001123326</v>
      </c>
      <c r="H1338">
        <v>2092180078</v>
      </c>
    </row>
    <row r="1339" spans="1:8" x14ac:dyDescent="0.25">
      <c r="A1339" s="2">
        <v>45538</v>
      </c>
      <c r="B1339">
        <v>72.569999694824219</v>
      </c>
      <c r="C1339">
        <v>73.610000610351563</v>
      </c>
      <c r="D1339">
        <v>71.209999084472656</v>
      </c>
      <c r="E1339">
        <v>71.889999389648438</v>
      </c>
      <c r="F1339">
        <v>13053300</v>
      </c>
      <c r="G1339">
        <v>150406820128</v>
      </c>
      <c r="H1339">
        <v>2092180017</v>
      </c>
    </row>
    <row r="1340" spans="1:8" x14ac:dyDescent="0.25">
      <c r="A1340" s="2">
        <v>45539</v>
      </c>
      <c r="B1340">
        <v>71.519996643066406</v>
      </c>
      <c r="C1340">
        <v>72.69000244140625</v>
      </c>
      <c r="D1340">
        <v>71.300003051757813</v>
      </c>
      <c r="E1340">
        <v>71.55999755859375</v>
      </c>
      <c r="F1340">
        <v>7995800</v>
      </c>
      <c r="G1340">
        <v>149716400728</v>
      </c>
      <c r="H1340">
        <v>2092180070</v>
      </c>
    </row>
    <row r="1341" spans="1:8" x14ac:dyDescent="0.25">
      <c r="A1341" s="2">
        <v>45540</v>
      </c>
      <c r="B1341">
        <v>71.080001831054688</v>
      </c>
      <c r="C1341">
        <v>72.620002746582031</v>
      </c>
      <c r="D1341">
        <v>70.919998168945313</v>
      </c>
      <c r="E1341">
        <v>71.25</v>
      </c>
      <c r="F1341">
        <v>8890900</v>
      </c>
      <c r="G1341">
        <v>149067824928</v>
      </c>
      <c r="H1341">
        <v>2092179999</v>
      </c>
    </row>
    <row r="1342" spans="1:8" x14ac:dyDescent="0.25">
      <c r="A1342" s="2">
        <v>45541</v>
      </c>
      <c r="B1342">
        <v>71.129997253417969</v>
      </c>
      <c r="C1342">
        <v>72.019996643066406</v>
      </c>
      <c r="D1342">
        <v>68.728996276855469</v>
      </c>
      <c r="E1342">
        <v>69.580001831054688</v>
      </c>
      <c r="F1342">
        <v>11449800</v>
      </c>
      <c r="G1342">
        <v>145573884330</v>
      </c>
      <c r="H1342">
        <v>2092179944</v>
      </c>
    </row>
    <row r="1343" spans="1:8" x14ac:dyDescent="0.25">
      <c r="A1343" s="2">
        <v>45544</v>
      </c>
      <c r="B1343">
        <v>70.949996948242188</v>
      </c>
      <c r="C1343">
        <v>71.19000244140625</v>
      </c>
      <c r="D1343">
        <v>69.633003234863281</v>
      </c>
      <c r="E1343">
        <v>69.800003051757813</v>
      </c>
      <c r="F1343">
        <v>8804600</v>
      </c>
      <c r="G1343">
        <v>146034163930</v>
      </c>
      <c r="H1343">
        <v>2092179908</v>
      </c>
    </row>
    <row r="1344" spans="1:8" x14ac:dyDescent="0.25">
      <c r="A1344" s="2">
        <v>45545</v>
      </c>
      <c r="B1344">
        <v>70</v>
      </c>
      <c r="C1344">
        <v>70.459999084472656</v>
      </c>
      <c r="D1344">
        <v>67.639999389648438</v>
      </c>
      <c r="E1344">
        <v>68.989997863769531</v>
      </c>
      <c r="F1344">
        <v>20227200</v>
      </c>
      <c r="G1344">
        <v>144339498131</v>
      </c>
      <c r="H1344">
        <v>2092180064</v>
      </c>
    </row>
    <row r="1345" spans="1:8" x14ac:dyDescent="0.25">
      <c r="A1345" s="2">
        <v>45546</v>
      </c>
      <c r="B1345">
        <v>68.830001831054688</v>
      </c>
      <c r="C1345">
        <v>70.220001220703125</v>
      </c>
      <c r="D1345">
        <v>67.120002746582031</v>
      </c>
      <c r="E1345">
        <v>70.110000610351563</v>
      </c>
      <c r="F1345">
        <v>14671900</v>
      </c>
      <c r="G1345">
        <v>146682739729</v>
      </c>
      <c r="H1345">
        <v>2092179981</v>
      </c>
    </row>
    <row r="1346" spans="1:8" x14ac:dyDescent="0.25">
      <c r="A1346" s="2">
        <v>45547</v>
      </c>
      <c r="B1346">
        <v>70.05999755859375</v>
      </c>
      <c r="C1346">
        <v>70.489997863769531</v>
      </c>
      <c r="D1346">
        <v>67.849998474121094</v>
      </c>
      <c r="E1346">
        <v>68.089996337890625</v>
      </c>
      <c r="F1346">
        <v>16381700</v>
      </c>
      <c r="G1346">
        <v>142456536131</v>
      </c>
      <c r="H1346">
        <v>2092180112</v>
      </c>
    </row>
    <row r="1347" spans="1:8" x14ac:dyDescent="0.25">
      <c r="A1347" s="2">
        <v>45548</v>
      </c>
      <c r="B1347">
        <v>72.400001525878906</v>
      </c>
      <c r="C1347">
        <v>72.754997253417969</v>
      </c>
      <c r="D1347">
        <v>70.94000244140625</v>
      </c>
      <c r="E1347">
        <v>72.480003356933594</v>
      </c>
      <c r="F1347">
        <v>30376500</v>
      </c>
      <c r="G1347">
        <v>151641206327</v>
      </c>
      <c r="H1347">
        <v>2092179902</v>
      </c>
    </row>
    <row r="1348" spans="1:8" x14ac:dyDescent="0.25">
      <c r="A1348" s="2">
        <v>45551</v>
      </c>
      <c r="B1348">
        <v>72.360000610351563</v>
      </c>
      <c r="C1348">
        <v>72.5</v>
      </c>
      <c r="D1348">
        <v>71.040000915527344</v>
      </c>
      <c r="E1348">
        <v>71.519996643066406</v>
      </c>
      <c r="F1348">
        <v>12016700</v>
      </c>
      <c r="G1348">
        <v>149632713528</v>
      </c>
      <c r="H1348">
        <v>2092180097</v>
      </c>
    </row>
    <row r="1349" spans="1:8" x14ac:dyDescent="0.25">
      <c r="A1349" s="2">
        <v>45552</v>
      </c>
      <c r="B1349">
        <v>71.970001220703125</v>
      </c>
      <c r="C1349">
        <v>73.730003356933594</v>
      </c>
      <c r="D1349">
        <v>71.30999755859375</v>
      </c>
      <c r="E1349">
        <v>72.779998779296875</v>
      </c>
      <c r="F1349">
        <v>14639800</v>
      </c>
      <c r="G1349">
        <v>152268860327</v>
      </c>
      <c r="H1349">
        <v>2092180034</v>
      </c>
    </row>
    <row r="1350" spans="1:8" x14ac:dyDescent="0.25">
      <c r="A1350" s="2">
        <v>45553</v>
      </c>
      <c r="B1350">
        <v>72.769996643066406</v>
      </c>
      <c r="C1350">
        <v>74.739997863769531</v>
      </c>
      <c r="D1350">
        <v>72.192001342773438</v>
      </c>
      <c r="E1350">
        <v>73.5</v>
      </c>
      <c r="F1350">
        <v>11720900</v>
      </c>
      <c r="G1350">
        <v>153775229926</v>
      </c>
      <c r="H1350">
        <v>2092179999</v>
      </c>
    </row>
    <row r="1351" spans="1:8" x14ac:dyDescent="0.25">
      <c r="A1351" s="2">
        <v>45554</v>
      </c>
      <c r="B1351">
        <v>74.980003356933594</v>
      </c>
      <c r="C1351">
        <v>76.459999084472656</v>
      </c>
      <c r="D1351">
        <v>74.55999755859375</v>
      </c>
      <c r="E1351">
        <v>75.279998779296875</v>
      </c>
      <c r="F1351">
        <v>17698400</v>
      </c>
      <c r="G1351">
        <v>157499310324</v>
      </c>
      <c r="H1351">
        <v>2092180033</v>
      </c>
    </row>
    <row r="1352" spans="1:8" x14ac:dyDescent="0.25">
      <c r="A1352" s="2">
        <v>45555</v>
      </c>
      <c r="B1352">
        <v>74.819999694824219</v>
      </c>
      <c r="C1352">
        <v>75.050003051757813</v>
      </c>
      <c r="D1352">
        <v>73.450996398925781</v>
      </c>
      <c r="E1352">
        <v>73.94000244140625</v>
      </c>
      <c r="F1352">
        <v>17472700</v>
      </c>
      <c r="G1352">
        <v>154695789126</v>
      </c>
      <c r="H1352">
        <v>2092179930</v>
      </c>
    </row>
    <row r="1353" spans="1:8" x14ac:dyDescent="0.25">
      <c r="A1353" s="2">
        <v>45558</v>
      </c>
      <c r="B1353">
        <v>75.110000610351563</v>
      </c>
      <c r="C1353">
        <v>75.269996643066406</v>
      </c>
      <c r="D1353">
        <v>73.779998779296875</v>
      </c>
      <c r="E1353">
        <v>74.709999084472656</v>
      </c>
      <c r="F1353">
        <v>8285300</v>
      </c>
      <c r="G1353">
        <v>156306767725</v>
      </c>
      <c r="H1353">
        <v>2092180025</v>
      </c>
    </row>
    <row r="1354" spans="1:8" x14ac:dyDescent="0.25">
      <c r="A1354" s="2">
        <v>45559</v>
      </c>
      <c r="B1354">
        <v>76</v>
      </c>
      <c r="C1354">
        <v>77.510002136230469</v>
      </c>
      <c r="D1354">
        <v>75.970001220703125</v>
      </c>
      <c r="E1354">
        <v>77.44000244140625</v>
      </c>
      <c r="F1354">
        <v>16099200</v>
      </c>
      <c r="G1354">
        <v>162018419122</v>
      </c>
      <c r="H1354">
        <v>2092179933</v>
      </c>
    </row>
    <row r="1355" spans="1:8" x14ac:dyDescent="0.25">
      <c r="A1355" s="2">
        <v>45560</v>
      </c>
      <c r="B1355">
        <v>77.510002136230469</v>
      </c>
      <c r="C1355">
        <v>78.279998779296875</v>
      </c>
      <c r="D1355">
        <v>77.080001831054688</v>
      </c>
      <c r="E1355">
        <v>77.139999389648438</v>
      </c>
      <c r="F1355">
        <v>12552600</v>
      </c>
      <c r="G1355">
        <v>161390765122</v>
      </c>
      <c r="H1355">
        <v>2092180016</v>
      </c>
    </row>
    <row r="1356" spans="1:8" x14ac:dyDescent="0.25">
      <c r="A1356" s="2">
        <v>45561</v>
      </c>
      <c r="B1356">
        <v>78.360000610351563</v>
      </c>
      <c r="C1356">
        <v>78.449996948242188</v>
      </c>
      <c r="D1356">
        <v>75.129997253417969</v>
      </c>
      <c r="E1356">
        <v>76.69000244140625</v>
      </c>
      <c r="F1356">
        <v>14788600</v>
      </c>
      <c r="G1356">
        <v>160449284123</v>
      </c>
      <c r="H1356">
        <v>2092179932</v>
      </c>
    </row>
    <row r="1357" spans="1:8" x14ac:dyDescent="0.25">
      <c r="A1357" s="2">
        <v>45562</v>
      </c>
      <c r="B1357">
        <v>77.029998779296875</v>
      </c>
      <c r="C1357">
        <v>77.080001831054688</v>
      </c>
      <c r="D1357">
        <v>75.699996948242188</v>
      </c>
      <c r="E1357">
        <v>75.75</v>
      </c>
      <c r="F1357">
        <v>7580100</v>
      </c>
      <c r="G1357">
        <v>158482634924</v>
      </c>
      <c r="H1357">
        <v>2092179999</v>
      </c>
    </row>
    <row r="1358" spans="1:8" x14ac:dyDescent="0.25">
      <c r="A1358" s="2">
        <v>45565</v>
      </c>
      <c r="B1358">
        <v>75.319999694824219</v>
      </c>
      <c r="C1358">
        <v>75.720001220703125</v>
      </c>
      <c r="D1358">
        <v>74.254997253417969</v>
      </c>
      <c r="E1358">
        <v>75.160003662109375</v>
      </c>
      <c r="F1358">
        <v>12991100</v>
      </c>
      <c r="G1358">
        <v>157248248724</v>
      </c>
      <c r="H1358">
        <v>2092179897</v>
      </c>
    </row>
    <row r="1359" spans="1:8" x14ac:dyDescent="0.25">
      <c r="A1359" s="2">
        <v>45566</v>
      </c>
      <c r="B1359">
        <v>75.769996643066406</v>
      </c>
      <c r="C1359">
        <v>75.769996643066406</v>
      </c>
      <c r="D1359">
        <v>73.839996337890625</v>
      </c>
      <c r="E1359">
        <v>74.239997863769531</v>
      </c>
      <c r="F1359">
        <v>8980500</v>
      </c>
      <c r="G1359">
        <v>155323443125</v>
      </c>
      <c r="H1359">
        <v>2092180059</v>
      </c>
    </row>
    <row r="1360" spans="1:8" x14ac:dyDescent="0.25">
      <c r="A1360" s="2">
        <v>45567</v>
      </c>
      <c r="B1360">
        <v>74.089996337890625</v>
      </c>
      <c r="C1360">
        <v>74.30999755859375</v>
      </c>
      <c r="D1360">
        <v>72.790000915527344</v>
      </c>
      <c r="E1360">
        <v>72.870002746582031</v>
      </c>
      <c r="F1360">
        <v>11323400</v>
      </c>
      <c r="G1360">
        <v>152457156527</v>
      </c>
      <c r="H1360">
        <v>2092179920</v>
      </c>
    </row>
    <row r="1361" spans="1:8" x14ac:dyDescent="0.25">
      <c r="A1361" s="2">
        <v>45568</v>
      </c>
      <c r="B1361">
        <v>72.55999755859375</v>
      </c>
      <c r="C1361">
        <v>73.209999084472656</v>
      </c>
      <c r="D1361">
        <v>71.900001525878906</v>
      </c>
      <c r="E1361">
        <v>72.94000244140625</v>
      </c>
      <c r="F1361">
        <v>11096300</v>
      </c>
      <c r="G1361">
        <v>152603609127</v>
      </c>
      <c r="H1361">
        <v>2092179929</v>
      </c>
    </row>
    <row r="1362" spans="1:8" x14ac:dyDescent="0.25">
      <c r="A1362" s="2">
        <v>45569</v>
      </c>
      <c r="B1362">
        <v>74.110000610351563</v>
      </c>
      <c r="C1362">
        <v>74.319999694824219</v>
      </c>
      <c r="D1362">
        <v>73.220001220703125</v>
      </c>
      <c r="E1362">
        <v>74.279998779296875</v>
      </c>
      <c r="F1362">
        <v>10750300</v>
      </c>
      <c r="G1362">
        <v>155407130325</v>
      </c>
      <c r="H1362">
        <v>2092180033</v>
      </c>
    </row>
    <row r="1363" spans="1:8" x14ac:dyDescent="0.25">
      <c r="A1363" s="2">
        <v>45572</v>
      </c>
      <c r="B1363">
        <v>74.254997253417969</v>
      </c>
      <c r="C1363">
        <v>75.739997863769531</v>
      </c>
      <c r="D1363">
        <v>73.730003356933594</v>
      </c>
      <c r="E1363">
        <v>74.589996337890625</v>
      </c>
      <c r="F1363">
        <v>15328800</v>
      </c>
      <c r="G1363">
        <v>156055706125</v>
      </c>
      <c r="H1363">
        <v>2092180102</v>
      </c>
    </row>
    <row r="1364" spans="1:8" x14ac:dyDescent="0.25">
      <c r="A1364" s="2">
        <v>45573</v>
      </c>
      <c r="B1364">
        <v>75.25</v>
      </c>
      <c r="C1364">
        <v>77.019996643066406</v>
      </c>
      <c r="D1364">
        <v>75.05999755859375</v>
      </c>
      <c r="E1364">
        <v>76.169998168945313</v>
      </c>
      <c r="F1364">
        <v>17800300</v>
      </c>
      <c r="G1364">
        <v>159361350523</v>
      </c>
      <c r="H1364">
        <v>2092180049</v>
      </c>
    </row>
    <row r="1365" spans="1:8" x14ac:dyDescent="0.25">
      <c r="A1365" s="2">
        <v>45574</v>
      </c>
      <c r="B1365">
        <v>76</v>
      </c>
      <c r="C1365">
        <v>77.959999084472656</v>
      </c>
      <c r="D1365">
        <v>75.955001831054688</v>
      </c>
      <c r="E1365">
        <v>77.870002746582031</v>
      </c>
      <c r="F1365">
        <v>17251100</v>
      </c>
      <c r="G1365">
        <v>162918056522</v>
      </c>
      <c r="H1365">
        <v>2092179925</v>
      </c>
    </row>
    <row r="1366" spans="1:8" x14ac:dyDescent="0.25">
      <c r="A1366" s="2">
        <v>45575</v>
      </c>
      <c r="B1366">
        <v>77.650001525878906</v>
      </c>
      <c r="C1366">
        <v>78.239997863769531</v>
      </c>
      <c r="D1366">
        <v>76.900001525878906</v>
      </c>
      <c r="E1366">
        <v>77.919998168945313</v>
      </c>
      <c r="F1366">
        <v>15015700</v>
      </c>
      <c r="G1366">
        <v>163022665522</v>
      </c>
      <c r="H1366">
        <v>2092180048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367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175</v>
      </c>
      <c r="C1" s="1" t="s">
        <v>103</v>
      </c>
      <c r="D1" s="1" t="s">
        <v>100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1501</v>
      </c>
      <c r="R1" s="1" t="s">
        <v>1502</v>
      </c>
    </row>
    <row r="2" spans="1:18" x14ac:dyDescent="0.25">
      <c r="A2" s="1" t="s">
        <v>1494</v>
      </c>
      <c r="B2">
        <v>46114516911</v>
      </c>
      <c r="C2" t="s">
        <v>91</v>
      </c>
      <c r="D2" t="s">
        <v>127</v>
      </c>
      <c r="E2">
        <v>6406000000</v>
      </c>
      <c r="F2">
        <v>0</v>
      </c>
      <c r="G2">
        <v>6406000000</v>
      </c>
      <c r="H2">
        <v>8658000000</v>
      </c>
      <c r="I2">
        <v>179000000</v>
      </c>
      <c r="J2">
        <v>0</v>
      </c>
      <c r="K2">
        <v>4535000000</v>
      </c>
      <c r="L2">
        <v>5313000000</v>
      </c>
      <c r="M2">
        <v>13655000000</v>
      </c>
      <c r="N2">
        <v>0</v>
      </c>
      <c r="O2">
        <v>0</v>
      </c>
      <c r="P2">
        <v>10333000000</v>
      </c>
      <c r="Q2">
        <v>44243516911</v>
      </c>
      <c r="R2">
        <v>44243516911</v>
      </c>
    </row>
    <row r="3" spans="1:18" x14ac:dyDescent="0.25">
      <c r="A3" s="1" t="s">
        <v>1493</v>
      </c>
      <c r="B3">
        <v>41155847424</v>
      </c>
      <c r="C3" t="s">
        <v>91</v>
      </c>
      <c r="D3" t="s">
        <v>127</v>
      </c>
      <c r="E3">
        <v>6406000000</v>
      </c>
      <c r="F3">
        <v>0</v>
      </c>
      <c r="G3">
        <v>6406000000</v>
      </c>
      <c r="H3">
        <v>8658000000</v>
      </c>
      <c r="I3">
        <v>179000000</v>
      </c>
      <c r="J3">
        <v>0</v>
      </c>
      <c r="K3">
        <v>4535000000</v>
      </c>
      <c r="L3">
        <v>5313000000</v>
      </c>
      <c r="M3">
        <v>13655000000</v>
      </c>
      <c r="N3">
        <v>0</v>
      </c>
      <c r="O3">
        <v>0</v>
      </c>
      <c r="P3">
        <v>10333000000</v>
      </c>
      <c r="Q3">
        <v>39284847424</v>
      </c>
      <c r="R3">
        <v>39284847424</v>
      </c>
    </row>
    <row r="4" spans="1:18" x14ac:dyDescent="0.25">
      <c r="A4" s="1" t="s">
        <v>1492</v>
      </c>
      <c r="B4">
        <v>44328508438</v>
      </c>
      <c r="C4" t="s">
        <v>91</v>
      </c>
      <c r="D4" t="s">
        <v>127</v>
      </c>
      <c r="E4">
        <v>6406000000</v>
      </c>
      <c r="F4">
        <v>0</v>
      </c>
      <c r="G4">
        <v>6406000000</v>
      </c>
      <c r="H4">
        <v>8658000000</v>
      </c>
      <c r="I4">
        <v>179000000</v>
      </c>
      <c r="J4">
        <v>0</v>
      </c>
      <c r="K4">
        <v>4535000000</v>
      </c>
      <c r="L4">
        <v>5313000000</v>
      </c>
      <c r="M4">
        <v>13655000000</v>
      </c>
      <c r="N4">
        <v>0</v>
      </c>
      <c r="O4">
        <v>0</v>
      </c>
      <c r="P4">
        <v>10333000000</v>
      </c>
      <c r="Q4">
        <v>42457508438</v>
      </c>
      <c r="R4">
        <v>42457508438</v>
      </c>
    </row>
    <row r="5" spans="1:18" x14ac:dyDescent="0.25">
      <c r="A5" s="1" t="s">
        <v>1491</v>
      </c>
      <c r="B5">
        <v>45803906742</v>
      </c>
      <c r="C5" t="s">
        <v>91</v>
      </c>
      <c r="D5" t="s">
        <v>127</v>
      </c>
      <c r="E5">
        <v>6406000000</v>
      </c>
      <c r="F5">
        <v>0</v>
      </c>
      <c r="G5">
        <v>6406000000</v>
      </c>
      <c r="H5">
        <v>8658000000</v>
      </c>
      <c r="I5">
        <v>179000000</v>
      </c>
      <c r="J5">
        <v>0</v>
      </c>
      <c r="K5">
        <v>4535000000</v>
      </c>
      <c r="L5">
        <v>5313000000</v>
      </c>
      <c r="M5">
        <v>13655000000</v>
      </c>
      <c r="N5">
        <v>0</v>
      </c>
      <c r="O5">
        <v>0</v>
      </c>
      <c r="P5">
        <v>10333000000</v>
      </c>
      <c r="Q5">
        <v>43932906742</v>
      </c>
      <c r="R5">
        <v>43932906742</v>
      </c>
    </row>
    <row r="6" spans="1:18" x14ac:dyDescent="0.25">
      <c r="A6" s="1" t="s">
        <v>1490</v>
      </c>
      <c r="B6">
        <v>47700847419</v>
      </c>
      <c r="C6" t="s">
        <v>91</v>
      </c>
      <c r="D6" t="s">
        <v>127</v>
      </c>
      <c r="E6">
        <v>6406000000</v>
      </c>
      <c r="F6">
        <v>0</v>
      </c>
      <c r="G6">
        <v>6406000000</v>
      </c>
      <c r="H6">
        <v>8658000000</v>
      </c>
      <c r="I6">
        <v>179000000</v>
      </c>
      <c r="J6">
        <v>0</v>
      </c>
      <c r="K6">
        <v>4535000000</v>
      </c>
      <c r="L6">
        <v>5313000000</v>
      </c>
      <c r="M6">
        <v>13655000000</v>
      </c>
      <c r="N6">
        <v>0</v>
      </c>
      <c r="O6">
        <v>0</v>
      </c>
      <c r="P6">
        <v>10333000000</v>
      </c>
      <c r="Q6">
        <v>45829847419</v>
      </c>
      <c r="R6">
        <v>45829847419</v>
      </c>
    </row>
    <row r="7" spans="1:18" x14ac:dyDescent="0.25">
      <c r="A7" s="1" t="s">
        <v>1489</v>
      </c>
      <c r="B7">
        <v>46491686403</v>
      </c>
      <c r="C7" t="s">
        <v>91</v>
      </c>
      <c r="D7" t="s">
        <v>127</v>
      </c>
      <c r="E7">
        <v>6406000000</v>
      </c>
      <c r="F7">
        <v>0</v>
      </c>
      <c r="G7">
        <v>6406000000</v>
      </c>
      <c r="H7">
        <v>8658000000</v>
      </c>
      <c r="I7">
        <v>179000000</v>
      </c>
      <c r="J7">
        <v>0</v>
      </c>
      <c r="K7">
        <v>4535000000</v>
      </c>
      <c r="L7">
        <v>5313000000</v>
      </c>
      <c r="M7">
        <v>13655000000</v>
      </c>
      <c r="N7">
        <v>0</v>
      </c>
      <c r="O7">
        <v>0</v>
      </c>
      <c r="P7">
        <v>10333000000</v>
      </c>
      <c r="Q7">
        <v>44620686403</v>
      </c>
      <c r="R7">
        <v>44620686403</v>
      </c>
    </row>
    <row r="8" spans="1:18" x14ac:dyDescent="0.25">
      <c r="A8" s="1" t="s">
        <v>1488</v>
      </c>
      <c r="B8">
        <v>46136703352</v>
      </c>
      <c r="C8" t="s">
        <v>91</v>
      </c>
      <c r="D8" t="s">
        <v>127</v>
      </c>
      <c r="E8">
        <v>6406000000</v>
      </c>
      <c r="F8">
        <v>0</v>
      </c>
      <c r="G8">
        <v>6406000000</v>
      </c>
      <c r="H8">
        <v>8658000000</v>
      </c>
      <c r="I8">
        <v>179000000</v>
      </c>
      <c r="J8">
        <v>0</v>
      </c>
      <c r="K8">
        <v>4535000000</v>
      </c>
      <c r="L8">
        <v>5313000000</v>
      </c>
      <c r="M8">
        <v>13655000000</v>
      </c>
      <c r="N8">
        <v>0</v>
      </c>
      <c r="O8">
        <v>0</v>
      </c>
      <c r="P8">
        <v>10333000000</v>
      </c>
      <c r="Q8">
        <v>44265703352</v>
      </c>
      <c r="R8">
        <v>44265703352</v>
      </c>
    </row>
    <row r="9" spans="1:18" x14ac:dyDescent="0.25">
      <c r="A9" s="1" t="s">
        <v>1487</v>
      </c>
      <c r="B9">
        <v>46036864369</v>
      </c>
      <c r="C9" t="s">
        <v>91</v>
      </c>
      <c r="D9" t="s">
        <v>127</v>
      </c>
      <c r="E9">
        <v>6406000000</v>
      </c>
      <c r="F9">
        <v>0</v>
      </c>
      <c r="G9">
        <v>6406000000</v>
      </c>
      <c r="H9">
        <v>8658000000</v>
      </c>
      <c r="I9">
        <v>179000000</v>
      </c>
      <c r="J9">
        <v>0</v>
      </c>
      <c r="K9">
        <v>4535000000</v>
      </c>
      <c r="L9">
        <v>5313000000</v>
      </c>
      <c r="M9">
        <v>13655000000</v>
      </c>
      <c r="N9">
        <v>0</v>
      </c>
      <c r="O9">
        <v>0</v>
      </c>
      <c r="P9">
        <v>10333000000</v>
      </c>
      <c r="Q9">
        <v>44165864369</v>
      </c>
      <c r="R9">
        <v>44165864369</v>
      </c>
    </row>
    <row r="10" spans="1:18" x14ac:dyDescent="0.25">
      <c r="A10" s="1" t="s">
        <v>1486</v>
      </c>
      <c r="B10">
        <v>45759533861</v>
      </c>
      <c r="C10" t="s">
        <v>91</v>
      </c>
      <c r="D10" t="s">
        <v>127</v>
      </c>
      <c r="E10">
        <v>6406000000</v>
      </c>
      <c r="F10">
        <v>0</v>
      </c>
      <c r="G10">
        <v>6406000000</v>
      </c>
      <c r="H10">
        <v>8658000000</v>
      </c>
      <c r="I10">
        <v>179000000</v>
      </c>
      <c r="J10">
        <v>0</v>
      </c>
      <c r="K10">
        <v>4535000000</v>
      </c>
      <c r="L10">
        <v>5313000000</v>
      </c>
      <c r="M10">
        <v>13655000000</v>
      </c>
      <c r="N10">
        <v>0</v>
      </c>
      <c r="O10">
        <v>0</v>
      </c>
      <c r="P10">
        <v>10333000000</v>
      </c>
      <c r="Q10">
        <v>43888533861</v>
      </c>
      <c r="R10">
        <v>43888533861</v>
      </c>
    </row>
    <row r="11" spans="1:18" x14ac:dyDescent="0.25">
      <c r="A11" s="1" t="s">
        <v>1485</v>
      </c>
      <c r="B11">
        <v>44894262675</v>
      </c>
      <c r="C11" t="s">
        <v>91</v>
      </c>
      <c r="D11" t="s">
        <v>127</v>
      </c>
      <c r="E11">
        <v>6406000000</v>
      </c>
      <c r="F11">
        <v>0</v>
      </c>
      <c r="G11">
        <v>6406000000</v>
      </c>
      <c r="H11">
        <v>8658000000</v>
      </c>
      <c r="I11">
        <v>179000000</v>
      </c>
      <c r="J11">
        <v>0</v>
      </c>
      <c r="K11">
        <v>4535000000</v>
      </c>
      <c r="L11">
        <v>5313000000</v>
      </c>
      <c r="M11">
        <v>13655000000</v>
      </c>
      <c r="N11">
        <v>0</v>
      </c>
      <c r="O11">
        <v>0</v>
      </c>
      <c r="P11">
        <v>10333000000</v>
      </c>
      <c r="Q11">
        <v>43023262675</v>
      </c>
      <c r="R11">
        <v>43023262675</v>
      </c>
    </row>
    <row r="12" spans="1:18" x14ac:dyDescent="0.25">
      <c r="A12" s="1" t="s">
        <v>1484</v>
      </c>
      <c r="B12">
        <v>46047957589</v>
      </c>
      <c r="C12" t="s">
        <v>91</v>
      </c>
      <c r="D12" t="s">
        <v>127</v>
      </c>
      <c r="E12">
        <v>6406000000</v>
      </c>
      <c r="F12">
        <v>0</v>
      </c>
      <c r="G12">
        <v>6406000000</v>
      </c>
      <c r="H12">
        <v>8658000000</v>
      </c>
      <c r="I12">
        <v>179000000</v>
      </c>
      <c r="J12">
        <v>0</v>
      </c>
      <c r="K12">
        <v>4535000000</v>
      </c>
      <c r="L12">
        <v>5313000000</v>
      </c>
      <c r="M12">
        <v>13655000000</v>
      </c>
      <c r="N12">
        <v>0</v>
      </c>
      <c r="O12">
        <v>0</v>
      </c>
      <c r="P12">
        <v>10333000000</v>
      </c>
      <c r="Q12">
        <v>44176957589</v>
      </c>
      <c r="R12">
        <v>44176957589</v>
      </c>
    </row>
    <row r="13" spans="1:18" x14ac:dyDescent="0.25">
      <c r="A13" s="1" t="s">
        <v>1483</v>
      </c>
      <c r="B13">
        <v>45426737251</v>
      </c>
      <c r="C13" t="s">
        <v>91</v>
      </c>
      <c r="D13" t="s">
        <v>127</v>
      </c>
      <c r="E13">
        <v>6406000000</v>
      </c>
      <c r="F13">
        <v>0</v>
      </c>
      <c r="G13">
        <v>6406000000</v>
      </c>
      <c r="H13">
        <v>8658000000</v>
      </c>
      <c r="I13">
        <v>179000000</v>
      </c>
      <c r="J13">
        <v>0</v>
      </c>
      <c r="K13">
        <v>4535000000</v>
      </c>
      <c r="L13">
        <v>5313000000</v>
      </c>
      <c r="M13">
        <v>13655000000</v>
      </c>
      <c r="N13">
        <v>0</v>
      </c>
      <c r="O13">
        <v>0</v>
      </c>
      <c r="P13">
        <v>10333000000</v>
      </c>
      <c r="Q13">
        <v>43555737251</v>
      </c>
      <c r="R13">
        <v>43555737251</v>
      </c>
    </row>
    <row r="14" spans="1:18" x14ac:dyDescent="0.25">
      <c r="A14" s="1" t="s">
        <v>1482</v>
      </c>
      <c r="B14">
        <v>44306321998</v>
      </c>
      <c r="C14" t="s">
        <v>91</v>
      </c>
      <c r="D14" t="s">
        <v>127</v>
      </c>
      <c r="E14">
        <v>6406000000</v>
      </c>
      <c r="F14">
        <v>0</v>
      </c>
      <c r="G14">
        <v>6406000000</v>
      </c>
      <c r="H14">
        <v>8658000000</v>
      </c>
      <c r="I14">
        <v>179000000</v>
      </c>
      <c r="J14">
        <v>0</v>
      </c>
      <c r="K14">
        <v>4535000000</v>
      </c>
      <c r="L14">
        <v>5313000000</v>
      </c>
      <c r="M14">
        <v>13655000000</v>
      </c>
      <c r="N14">
        <v>0</v>
      </c>
      <c r="O14">
        <v>0</v>
      </c>
      <c r="P14">
        <v>10333000000</v>
      </c>
      <c r="Q14">
        <v>42435321998</v>
      </c>
      <c r="R14">
        <v>42435321998</v>
      </c>
    </row>
    <row r="15" spans="1:18" x14ac:dyDescent="0.25">
      <c r="A15" s="1" t="s">
        <v>139</v>
      </c>
      <c r="B15">
        <v>44151016913</v>
      </c>
      <c r="C15" t="s">
        <v>91</v>
      </c>
      <c r="D15" t="s">
        <v>127</v>
      </c>
      <c r="E15">
        <v>6406000000</v>
      </c>
      <c r="F15">
        <v>0</v>
      </c>
      <c r="G15">
        <v>6406000000</v>
      </c>
      <c r="H15">
        <v>8658000000</v>
      </c>
      <c r="I15">
        <v>179000000</v>
      </c>
      <c r="J15">
        <v>0</v>
      </c>
      <c r="K15">
        <v>4535000000</v>
      </c>
      <c r="L15">
        <v>5313000000</v>
      </c>
      <c r="M15">
        <v>13655000000</v>
      </c>
      <c r="N15">
        <v>0</v>
      </c>
      <c r="O15">
        <v>0</v>
      </c>
      <c r="P15">
        <v>10333000000</v>
      </c>
      <c r="Q15">
        <v>42280016913</v>
      </c>
      <c r="R15">
        <v>42280016913</v>
      </c>
    </row>
    <row r="16" spans="1:18" x14ac:dyDescent="0.25">
      <c r="A16" s="1" t="s">
        <v>1481</v>
      </c>
      <c r="B16">
        <v>44827703353</v>
      </c>
      <c r="C16" t="s">
        <v>90</v>
      </c>
      <c r="D16" t="s">
        <v>127</v>
      </c>
      <c r="E16">
        <v>5745000000</v>
      </c>
      <c r="F16">
        <v>0</v>
      </c>
      <c r="G16">
        <v>5745000000</v>
      </c>
      <c r="H16">
        <v>7930000000</v>
      </c>
      <c r="I16">
        <v>975000000</v>
      </c>
      <c r="J16">
        <v>178000000</v>
      </c>
      <c r="K16">
        <v>8164000000</v>
      </c>
      <c r="L16">
        <v>4714000000</v>
      </c>
      <c r="M16">
        <v>32826000000</v>
      </c>
      <c r="N16">
        <v>14224000000</v>
      </c>
      <c r="O16">
        <v>-4000000</v>
      </c>
      <c r="P16">
        <v>-8432000000</v>
      </c>
      <c r="Q16">
        <v>47424703353</v>
      </c>
      <c r="R16">
        <v>61644703353</v>
      </c>
    </row>
    <row r="17" spans="1:18" x14ac:dyDescent="0.25">
      <c r="A17" s="1" t="s">
        <v>1480</v>
      </c>
      <c r="B17">
        <v>45759533861</v>
      </c>
      <c r="C17" t="s">
        <v>90</v>
      </c>
      <c r="D17" t="s">
        <v>127</v>
      </c>
      <c r="E17">
        <v>5745000000</v>
      </c>
      <c r="F17">
        <v>0</v>
      </c>
      <c r="G17">
        <v>5745000000</v>
      </c>
      <c r="H17">
        <v>7930000000</v>
      </c>
      <c r="I17">
        <v>975000000</v>
      </c>
      <c r="J17">
        <v>178000000</v>
      </c>
      <c r="K17">
        <v>8164000000</v>
      </c>
      <c r="L17">
        <v>4714000000</v>
      </c>
      <c r="M17">
        <v>32826000000</v>
      </c>
      <c r="N17">
        <v>14224000000</v>
      </c>
      <c r="O17">
        <v>-4000000</v>
      </c>
      <c r="P17">
        <v>-8432000000</v>
      </c>
      <c r="Q17">
        <v>48356533861</v>
      </c>
      <c r="R17">
        <v>62576533861</v>
      </c>
    </row>
    <row r="18" spans="1:18" x14ac:dyDescent="0.25">
      <c r="A18" s="1" t="s">
        <v>1479</v>
      </c>
      <c r="B18">
        <v>47423516910</v>
      </c>
      <c r="C18" t="s">
        <v>90</v>
      </c>
      <c r="D18" t="s">
        <v>127</v>
      </c>
      <c r="E18">
        <v>5745000000</v>
      </c>
      <c r="F18">
        <v>0</v>
      </c>
      <c r="G18">
        <v>5745000000</v>
      </c>
      <c r="H18">
        <v>7930000000</v>
      </c>
      <c r="I18">
        <v>975000000</v>
      </c>
      <c r="J18">
        <v>178000000</v>
      </c>
      <c r="K18">
        <v>8164000000</v>
      </c>
      <c r="L18">
        <v>4714000000</v>
      </c>
      <c r="M18">
        <v>32826000000</v>
      </c>
      <c r="N18">
        <v>14224000000</v>
      </c>
      <c r="O18">
        <v>-4000000</v>
      </c>
      <c r="P18">
        <v>-8432000000</v>
      </c>
      <c r="Q18">
        <v>50020516910</v>
      </c>
      <c r="R18">
        <v>64240516910</v>
      </c>
    </row>
    <row r="19" spans="1:18" x14ac:dyDescent="0.25">
      <c r="A19" s="1" t="s">
        <v>1478</v>
      </c>
      <c r="B19">
        <v>49919491485</v>
      </c>
      <c r="C19" t="s">
        <v>90</v>
      </c>
      <c r="D19" t="s">
        <v>127</v>
      </c>
      <c r="E19">
        <v>5745000000</v>
      </c>
      <c r="F19">
        <v>0</v>
      </c>
      <c r="G19">
        <v>5745000000</v>
      </c>
      <c r="H19">
        <v>7930000000</v>
      </c>
      <c r="I19">
        <v>975000000</v>
      </c>
      <c r="J19">
        <v>178000000</v>
      </c>
      <c r="K19">
        <v>8164000000</v>
      </c>
      <c r="L19">
        <v>4714000000</v>
      </c>
      <c r="M19">
        <v>32826000000</v>
      </c>
      <c r="N19">
        <v>14224000000</v>
      </c>
      <c r="O19">
        <v>-4000000</v>
      </c>
      <c r="P19">
        <v>-8432000000</v>
      </c>
      <c r="Q19">
        <v>52516491485</v>
      </c>
      <c r="R19">
        <v>66736491485</v>
      </c>
    </row>
    <row r="20" spans="1:18" x14ac:dyDescent="0.25">
      <c r="A20" s="1" t="s">
        <v>1477</v>
      </c>
      <c r="B20">
        <v>49830745722</v>
      </c>
      <c r="C20" t="s">
        <v>90</v>
      </c>
      <c r="D20" t="s">
        <v>127</v>
      </c>
      <c r="E20">
        <v>5745000000</v>
      </c>
      <c r="F20">
        <v>0</v>
      </c>
      <c r="G20">
        <v>5745000000</v>
      </c>
      <c r="H20">
        <v>7930000000</v>
      </c>
      <c r="I20">
        <v>975000000</v>
      </c>
      <c r="J20">
        <v>178000000</v>
      </c>
      <c r="K20">
        <v>8164000000</v>
      </c>
      <c r="L20">
        <v>4714000000</v>
      </c>
      <c r="M20">
        <v>32826000000</v>
      </c>
      <c r="N20">
        <v>14224000000</v>
      </c>
      <c r="O20">
        <v>-4000000</v>
      </c>
      <c r="P20">
        <v>-8432000000</v>
      </c>
      <c r="Q20">
        <v>52427745722</v>
      </c>
      <c r="R20">
        <v>66647745722</v>
      </c>
    </row>
    <row r="21" spans="1:18" x14ac:dyDescent="0.25">
      <c r="A21" s="1" t="s">
        <v>1476</v>
      </c>
      <c r="B21">
        <v>48987660977</v>
      </c>
      <c r="C21" t="s">
        <v>90</v>
      </c>
      <c r="D21" t="s">
        <v>127</v>
      </c>
      <c r="E21">
        <v>5745000000</v>
      </c>
      <c r="F21">
        <v>0</v>
      </c>
      <c r="G21">
        <v>5745000000</v>
      </c>
      <c r="H21">
        <v>7930000000</v>
      </c>
      <c r="I21">
        <v>975000000</v>
      </c>
      <c r="J21">
        <v>178000000</v>
      </c>
      <c r="K21">
        <v>8164000000</v>
      </c>
      <c r="L21">
        <v>4714000000</v>
      </c>
      <c r="M21">
        <v>32826000000</v>
      </c>
      <c r="N21">
        <v>14224000000</v>
      </c>
      <c r="O21">
        <v>-4000000</v>
      </c>
      <c r="P21">
        <v>-8432000000</v>
      </c>
      <c r="Q21">
        <v>51584660977</v>
      </c>
      <c r="R21">
        <v>65804660977</v>
      </c>
    </row>
    <row r="22" spans="1:18" x14ac:dyDescent="0.25">
      <c r="A22" s="1" t="s">
        <v>1475</v>
      </c>
      <c r="B22">
        <v>47268211826</v>
      </c>
      <c r="C22" t="s">
        <v>90</v>
      </c>
      <c r="D22" t="s">
        <v>127</v>
      </c>
      <c r="E22">
        <v>5745000000</v>
      </c>
      <c r="F22">
        <v>0</v>
      </c>
      <c r="G22">
        <v>5745000000</v>
      </c>
      <c r="H22">
        <v>7930000000</v>
      </c>
      <c r="I22">
        <v>975000000</v>
      </c>
      <c r="J22">
        <v>178000000</v>
      </c>
      <c r="K22">
        <v>8164000000</v>
      </c>
      <c r="L22">
        <v>4714000000</v>
      </c>
      <c r="M22">
        <v>32826000000</v>
      </c>
      <c r="N22">
        <v>14224000000</v>
      </c>
      <c r="O22">
        <v>-4000000</v>
      </c>
      <c r="P22">
        <v>-8432000000</v>
      </c>
      <c r="Q22">
        <v>49865211826</v>
      </c>
      <c r="R22">
        <v>64085211826</v>
      </c>
    </row>
    <row r="23" spans="1:18" x14ac:dyDescent="0.25">
      <c r="A23" s="1" t="s">
        <v>1474</v>
      </c>
      <c r="B23">
        <v>47090720300</v>
      </c>
      <c r="C23" t="s">
        <v>90</v>
      </c>
      <c r="D23" t="s">
        <v>127</v>
      </c>
      <c r="E23">
        <v>5745000000</v>
      </c>
      <c r="F23">
        <v>0</v>
      </c>
      <c r="G23">
        <v>5745000000</v>
      </c>
      <c r="H23">
        <v>7930000000</v>
      </c>
      <c r="I23">
        <v>975000000</v>
      </c>
      <c r="J23">
        <v>178000000</v>
      </c>
      <c r="K23">
        <v>8164000000</v>
      </c>
      <c r="L23">
        <v>4714000000</v>
      </c>
      <c r="M23">
        <v>32826000000</v>
      </c>
      <c r="N23">
        <v>14224000000</v>
      </c>
      <c r="O23">
        <v>-4000000</v>
      </c>
      <c r="P23">
        <v>-8432000000</v>
      </c>
      <c r="Q23">
        <v>49687720300</v>
      </c>
      <c r="R23">
        <v>63907720300</v>
      </c>
    </row>
    <row r="24" spans="1:18" x14ac:dyDescent="0.25">
      <c r="A24" s="1" t="s">
        <v>1473</v>
      </c>
      <c r="B24">
        <v>46780110131</v>
      </c>
      <c r="C24" t="s">
        <v>90</v>
      </c>
      <c r="D24" t="s">
        <v>127</v>
      </c>
      <c r="E24">
        <v>5745000000</v>
      </c>
      <c r="F24">
        <v>0</v>
      </c>
      <c r="G24">
        <v>5745000000</v>
      </c>
      <c r="H24">
        <v>7930000000</v>
      </c>
      <c r="I24">
        <v>975000000</v>
      </c>
      <c r="J24">
        <v>178000000</v>
      </c>
      <c r="K24">
        <v>8164000000</v>
      </c>
      <c r="L24">
        <v>4714000000</v>
      </c>
      <c r="M24">
        <v>32826000000</v>
      </c>
      <c r="N24">
        <v>14224000000</v>
      </c>
      <c r="O24">
        <v>-4000000</v>
      </c>
      <c r="P24">
        <v>-8432000000</v>
      </c>
      <c r="Q24">
        <v>49377110131</v>
      </c>
      <c r="R24">
        <v>63597110131</v>
      </c>
    </row>
    <row r="25" spans="1:18" x14ac:dyDescent="0.25">
      <c r="A25" s="1" t="s">
        <v>1472</v>
      </c>
      <c r="B25">
        <v>49154059282</v>
      </c>
      <c r="C25" t="s">
        <v>90</v>
      </c>
      <c r="D25" t="s">
        <v>127</v>
      </c>
      <c r="E25">
        <v>5745000000</v>
      </c>
      <c r="F25">
        <v>0</v>
      </c>
      <c r="G25">
        <v>5745000000</v>
      </c>
      <c r="H25">
        <v>7930000000</v>
      </c>
      <c r="I25">
        <v>975000000</v>
      </c>
      <c r="J25">
        <v>178000000</v>
      </c>
      <c r="K25">
        <v>8164000000</v>
      </c>
      <c r="L25">
        <v>4714000000</v>
      </c>
      <c r="M25">
        <v>32826000000</v>
      </c>
      <c r="N25">
        <v>14224000000</v>
      </c>
      <c r="O25">
        <v>-4000000</v>
      </c>
      <c r="P25">
        <v>-8432000000</v>
      </c>
      <c r="Q25">
        <v>51751059282</v>
      </c>
      <c r="R25">
        <v>65971059282</v>
      </c>
    </row>
    <row r="26" spans="1:18" x14ac:dyDescent="0.25">
      <c r="A26" s="1" t="s">
        <v>1471</v>
      </c>
      <c r="B26">
        <v>47955991486</v>
      </c>
      <c r="C26" t="s">
        <v>90</v>
      </c>
      <c r="D26" t="s">
        <v>127</v>
      </c>
      <c r="E26">
        <v>5745000000</v>
      </c>
      <c r="F26">
        <v>0</v>
      </c>
      <c r="G26">
        <v>5745000000</v>
      </c>
      <c r="H26">
        <v>7930000000</v>
      </c>
      <c r="I26">
        <v>975000000</v>
      </c>
      <c r="J26">
        <v>178000000</v>
      </c>
      <c r="K26">
        <v>8164000000</v>
      </c>
      <c r="L26">
        <v>4714000000</v>
      </c>
      <c r="M26">
        <v>32826000000</v>
      </c>
      <c r="N26">
        <v>14224000000</v>
      </c>
      <c r="O26">
        <v>-4000000</v>
      </c>
      <c r="P26">
        <v>-8432000000</v>
      </c>
      <c r="Q26">
        <v>50552991486</v>
      </c>
      <c r="R26">
        <v>64772991486</v>
      </c>
    </row>
    <row r="27" spans="1:18" x14ac:dyDescent="0.25">
      <c r="A27" s="1" t="s">
        <v>1470</v>
      </c>
      <c r="B27">
        <v>48566118604</v>
      </c>
      <c r="C27" t="s">
        <v>90</v>
      </c>
      <c r="D27" t="s">
        <v>127</v>
      </c>
      <c r="E27">
        <v>5745000000</v>
      </c>
      <c r="F27">
        <v>0</v>
      </c>
      <c r="G27">
        <v>5745000000</v>
      </c>
      <c r="H27">
        <v>7930000000</v>
      </c>
      <c r="I27">
        <v>975000000</v>
      </c>
      <c r="J27">
        <v>178000000</v>
      </c>
      <c r="K27">
        <v>8164000000</v>
      </c>
      <c r="L27">
        <v>4714000000</v>
      </c>
      <c r="M27">
        <v>32826000000</v>
      </c>
      <c r="N27">
        <v>14224000000</v>
      </c>
      <c r="O27">
        <v>-4000000</v>
      </c>
      <c r="P27">
        <v>-8432000000</v>
      </c>
      <c r="Q27">
        <v>51163118604</v>
      </c>
      <c r="R27">
        <v>65383118604</v>
      </c>
    </row>
    <row r="28" spans="1:18" x14ac:dyDescent="0.25">
      <c r="A28" s="1" t="s">
        <v>1469</v>
      </c>
      <c r="B28">
        <v>48654864367</v>
      </c>
      <c r="C28" t="s">
        <v>90</v>
      </c>
      <c r="D28" t="s">
        <v>127</v>
      </c>
      <c r="E28">
        <v>5745000000</v>
      </c>
      <c r="F28">
        <v>0</v>
      </c>
      <c r="G28">
        <v>5745000000</v>
      </c>
      <c r="H28">
        <v>7930000000</v>
      </c>
      <c r="I28">
        <v>975000000</v>
      </c>
      <c r="J28">
        <v>178000000</v>
      </c>
      <c r="K28">
        <v>8164000000</v>
      </c>
      <c r="L28">
        <v>4714000000</v>
      </c>
      <c r="M28">
        <v>32826000000</v>
      </c>
      <c r="N28">
        <v>14224000000</v>
      </c>
      <c r="O28">
        <v>-4000000</v>
      </c>
      <c r="P28">
        <v>-8432000000</v>
      </c>
      <c r="Q28">
        <v>51251864367</v>
      </c>
      <c r="R28">
        <v>65471864367</v>
      </c>
    </row>
    <row r="29" spans="1:18" x14ac:dyDescent="0.25">
      <c r="A29" s="1" t="s">
        <v>1468</v>
      </c>
      <c r="B29">
        <v>49764186400</v>
      </c>
      <c r="C29" t="s">
        <v>90</v>
      </c>
      <c r="D29" t="s">
        <v>127</v>
      </c>
      <c r="E29">
        <v>5745000000</v>
      </c>
      <c r="F29">
        <v>0</v>
      </c>
      <c r="G29">
        <v>5745000000</v>
      </c>
      <c r="H29">
        <v>7930000000</v>
      </c>
      <c r="I29">
        <v>975000000</v>
      </c>
      <c r="J29">
        <v>178000000</v>
      </c>
      <c r="K29">
        <v>8164000000</v>
      </c>
      <c r="L29">
        <v>4714000000</v>
      </c>
      <c r="M29">
        <v>32826000000</v>
      </c>
      <c r="N29">
        <v>14224000000</v>
      </c>
      <c r="O29">
        <v>-4000000</v>
      </c>
      <c r="P29">
        <v>-8432000000</v>
      </c>
      <c r="Q29">
        <v>52361186400</v>
      </c>
      <c r="R29">
        <v>66581186400</v>
      </c>
    </row>
    <row r="30" spans="1:18" x14ac:dyDescent="0.25">
      <c r="A30" s="1" t="s">
        <v>1467</v>
      </c>
      <c r="B30">
        <v>48654864367</v>
      </c>
      <c r="C30" t="s">
        <v>90</v>
      </c>
      <c r="D30" t="s">
        <v>127</v>
      </c>
      <c r="E30">
        <v>5745000000</v>
      </c>
      <c r="F30">
        <v>0</v>
      </c>
      <c r="G30">
        <v>5745000000</v>
      </c>
      <c r="H30">
        <v>7930000000</v>
      </c>
      <c r="I30">
        <v>975000000</v>
      </c>
      <c r="J30">
        <v>178000000</v>
      </c>
      <c r="K30">
        <v>8164000000</v>
      </c>
      <c r="L30">
        <v>4714000000</v>
      </c>
      <c r="M30">
        <v>32826000000</v>
      </c>
      <c r="N30">
        <v>14224000000</v>
      </c>
      <c r="O30">
        <v>-4000000</v>
      </c>
      <c r="P30">
        <v>-8432000000</v>
      </c>
      <c r="Q30">
        <v>51251864367</v>
      </c>
      <c r="R30">
        <v>65471864367</v>
      </c>
    </row>
    <row r="31" spans="1:18" x14ac:dyDescent="0.25">
      <c r="A31" s="1" t="s">
        <v>1466</v>
      </c>
      <c r="B31">
        <v>48810169452</v>
      </c>
      <c r="C31" t="s">
        <v>90</v>
      </c>
      <c r="D31" t="s">
        <v>127</v>
      </c>
      <c r="E31">
        <v>5745000000</v>
      </c>
      <c r="F31">
        <v>0</v>
      </c>
      <c r="G31">
        <v>5745000000</v>
      </c>
      <c r="H31">
        <v>7930000000</v>
      </c>
      <c r="I31">
        <v>975000000</v>
      </c>
      <c r="J31">
        <v>178000000</v>
      </c>
      <c r="K31">
        <v>8164000000</v>
      </c>
      <c r="L31">
        <v>4714000000</v>
      </c>
      <c r="M31">
        <v>32826000000</v>
      </c>
      <c r="N31">
        <v>14224000000</v>
      </c>
      <c r="O31">
        <v>-4000000</v>
      </c>
      <c r="P31">
        <v>-8432000000</v>
      </c>
      <c r="Q31">
        <v>51407169452</v>
      </c>
      <c r="R31">
        <v>65627169452</v>
      </c>
    </row>
    <row r="32" spans="1:18" x14ac:dyDescent="0.25">
      <c r="A32" s="1" t="s">
        <v>1465</v>
      </c>
      <c r="B32">
        <v>47800686401</v>
      </c>
      <c r="C32" t="s">
        <v>90</v>
      </c>
      <c r="D32" t="s">
        <v>127</v>
      </c>
      <c r="E32">
        <v>5745000000</v>
      </c>
      <c r="F32">
        <v>0</v>
      </c>
      <c r="G32">
        <v>5745000000</v>
      </c>
      <c r="H32">
        <v>7930000000</v>
      </c>
      <c r="I32">
        <v>975000000</v>
      </c>
      <c r="J32">
        <v>178000000</v>
      </c>
      <c r="K32">
        <v>8164000000</v>
      </c>
      <c r="L32">
        <v>4714000000</v>
      </c>
      <c r="M32">
        <v>32826000000</v>
      </c>
      <c r="N32">
        <v>14224000000</v>
      </c>
      <c r="O32">
        <v>-4000000</v>
      </c>
      <c r="P32">
        <v>-8432000000</v>
      </c>
      <c r="Q32">
        <v>50397686401</v>
      </c>
      <c r="R32">
        <v>64617686401</v>
      </c>
    </row>
    <row r="33" spans="1:18" x14ac:dyDescent="0.25">
      <c r="A33" s="1" t="s">
        <v>1464</v>
      </c>
      <c r="B33">
        <v>47800686401</v>
      </c>
      <c r="C33" t="s">
        <v>90</v>
      </c>
      <c r="D33" t="s">
        <v>127</v>
      </c>
      <c r="E33">
        <v>5745000000</v>
      </c>
      <c r="F33">
        <v>0</v>
      </c>
      <c r="G33">
        <v>5745000000</v>
      </c>
      <c r="H33">
        <v>7930000000</v>
      </c>
      <c r="I33">
        <v>975000000</v>
      </c>
      <c r="J33">
        <v>178000000</v>
      </c>
      <c r="K33">
        <v>8164000000</v>
      </c>
      <c r="L33">
        <v>4714000000</v>
      </c>
      <c r="M33">
        <v>32826000000</v>
      </c>
      <c r="N33">
        <v>14224000000</v>
      </c>
      <c r="O33">
        <v>-4000000</v>
      </c>
      <c r="P33">
        <v>-8432000000</v>
      </c>
      <c r="Q33">
        <v>50397686401</v>
      </c>
      <c r="R33">
        <v>64617686401</v>
      </c>
    </row>
    <row r="34" spans="1:18" x14ac:dyDescent="0.25">
      <c r="A34" s="1" t="s">
        <v>1463</v>
      </c>
      <c r="B34">
        <v>47146186402</v>
      </c>
      <c r="C34" t="s">
        <v>90</v>
      </c>
      <c r="D34" t="s">
        <v>127</v>
      </c>
      <c r="E34">
        <v>5745000000</v>
      </c>
      <c r="F34">
        <v>0</v>
      </c>
      <c r="G34">
        <v>5745000000</v>
      </c>
      <c r="H34">
        <v>7930000000</v>
      </c>
      <c r="I34">
        <v>975000000</v>
      </c>
      <c r="J34">
        <v>178000000</v>
      </c>
      <c r="K34">
        <v>8164000000</v>
      </c>
      <c r="L34">
        <v>4714000000</v>
      </c>
      <c r="M34">
        <v>32826000000</v>
      </c>
      <c r="N34">
        <v>14224000000</v>
      </c>
      <c r="O34">
        <v>-4000000</v>
      </c>
      <c r="P34">
        <v>-8432000000</v>
      </c>
      <c r="Q34">
        <v>49743186402</v>
      </c>
      <c r="R34">
        <v>63963186402</v>
      </c>
    </row>
    <row r="35" spans="1:18" x14ac:dyDescent="0.25">
      <c r="A35" s="1" t="s">
        <v>1462</v>
      </c>
      <c r="B35">
        <v>50063703349</v>
      </c>
      <c r="C35" t="s">
        <v>90</v>
      </c>
      <c r="D35" t="s">
        <v>127</v>
      </c>
      <c r="E35">
        <v>5745000000</v>
      </c>
      <c r="F35">
        <v>0</v>
      </c>
      <c r="G35">
        <v>5745000000</v>
      </c>
      <c r="H35">
        <v>7930000000</v>
      </c>
      <c r="I35">
        <v>975000000</v>
      </c>
      <c r="J35">
        <v>178000000</v>
      </c>
      <c r="K35">
        <v>8164000000</v>
      </c>
      <c r="L35">
        <v>4714000000</v>
      </c>
      <c r="M35">
        <v>32826000000</v>
      </c>
      <c r="N35">
        <v>14224000000</v>
      </c>
      <c r="O35">
        <v>-4000000</v>
      </c>
      <c r="P35">
        <v>-8432000000</v>
      </c>
      <c r="Q35">
        <v>52660703349</v>
      </c>
      <c r="R35">
        <v>66880703349</v>
      </c>
    </row>
    <row r="36" spans="1:18" x14ac:dyDescent="0.25">
      <c r="A36" s="1" t="s">
        <v>1461</v>
      </c>
      <c r="B36">
        <v>51450355890</v>
      </c>
      <c r="C36" t="s">
        <v>90</v>
      </c>
      <c r="D36" t="s">
        <v>127</v>
      </c>
      <c r="E36">
        <v>5745000000</v>
      </c>
      <c r="F36">
        <v>0</v>
      </c>
      <c r="G36">
        <v>5745000000</v>
      </c>
      <c r="H36">
        <v>7930000000</v>
      </c>
      <c r="I36">
        <v>975000000</v>
      </c>
      <c r="J36">
        <v>178000000</v>
      </c>
      <c r="K36">
        <v>8164000000</v>
      </c>
      <c r="L36">
        <v>4714000000</v>
      </c>
      <c r="M36">
        <v>32826000000</v>
      </c>
      <c r="N36">
        <v>14224000000</v>
      </c>
      <c r="O36">
        <v>-4000000</v>
      </c>
      <c r="P36">
        <v>-8432000000</v>
      </c>
      <c r="Q36">
        <v>54047355890</v>
      </c>
      <c r="R36">
        <v>68267355890</v>
      </c>
    </row>
    <row r="37" spans="1:18" x14ac:dyDescent="0.25">
      <c r="A37" s="1" t="s">
        <v>1460</v>
      </c>
      <c r="B37">
        <v>75268429510</v>
      </c>
      <c r="C37" t="s">
        <v>90</v>
      </c>
      <c r="D37" t="s">
        <v>127</v>
      </c>
      <c r="E37">
        <v>5745000000</v>
      </c>
      <c r="F37">
        <v>0</v>
      </c>
      <c r="G37">
        <v>5745000000</v>
      </c>
      <c r="H37">
        <v>7930000000</v>
      </c>
      <c r="I37">
        <v>975000000</v>
      </c>
      <c r="J37">
        <v>178000000</v>
      </c>
      <c r="K37">
        <v>8164000000</v>
      </c>
      <c r="L37">
        <v>4714000000</v>
      </c>
      <c r="M37">
        <v>32826000000</v>
      </c>
      <c r="N37">
        <v>14224000000</v>
      </c>
      <c r="O37">
        <v>-4000000</v>
      </c>
      <c r="P37">
        <v>-8432000000</v>
      </c>
      <c r="Q37">
        <v>77865429510</v>
      </c>
      <c r="R37">
        <v>92085429510</v>
      </c>
    </row>
    <row r="38" spans="1:18" x14ac:dyDescent="0.25">
      <c r="A38" s="1" t="s">
        <v>1459</v>
      </c>
      <c r="B38">
        <v>74809372000</v>
      </c>
      <c r="C38" t="s">
        <v>90</v>
      </c>
      <c r="D38" t="s">
        <v>127</v>
      </c>
      <c r="E38">
        <v>5745000000</v>
      </c>
      <c r="F38">
        <v>0</v>
      </c>
      <c r="G38">
        <v>5745000000</v>
      </c>
      <c r="H38">
        <v>7930000000</v>
      </c>
      <c r="I38">
        <v>975000000</v>
      </c>
      <c r="J38">
        <v>178000000</v>
      </c>
      <c r="K38">
        <v>8164000000</v>
      </c>
      <c r="L38">
        <v>4714000000</v>
      </c>
      <c r="M38">
        <v>32826000000</v>
      </c>
      <c r="N38">
        <v>14224000000</v>
      </c>
      <c r="O38">
        <v>-4000000</v>
      </c>
      <c r="P38">
        <v>-8432000000</v>
      </c>
      <c r="Q38">
        <v>77406372000</v>
      </c>
      <c r="R38">
        <v>91626372000</v>
      </c>
    </row>
    <row r="39" spans="1:18" x14ac:dyDescent="0.25">
      <c r="A39" s="1" t="s">
        <v>1458</v>
      </c>
      <c r="B39">
        <v>75200420990</v>
      </c>
      <c r="C39" t="s">
        <v>90</v>
      </c>
      <c r="D39" t="s">
        <v>127</v>
      </c>
      <c r="E39">
        <v>5745000000</v>
      </c>
      <c r="F39">
        <v>0</v>
      </c>
      <c r="G39">
        <v>5745000000</v>
      </c>
      <c r="H39">
        <v>7930000000</v>
      </c>
      <c r="I39">
        <v>975000000</v>
      </c>
      <c r="J39">
        <v>178000000</v>
      </c>
      <c r="K39">
        <v>8164000000</v>
      </c>
      <c r="L39">
        <v>4714000000</v>
      </c>
      <c r="M39">
        <v>32826000000</v>
      </c>
      <c r="N39">
        <v>14224000000</v>
      </c>
      <c r="O39">
        <v>-4000000</v>
      </c>
      <c r="P39">
        <v>-8432000000</v>
      </c>
      <c r="Q39">
        <v>77797420990</v>
      </c>
      <c r="R39">
        <v>92017420990</v>
      </c>
    </row>
    <row r="40" spans="1:18" x14ac:dyDescent="0.25">
      <c r="A40" s="1" t="s">
        <v>1457</v>
      </c>
      <c r="B40">
        <v>74010271890</v>
      </c>
      <c r="C40" t="s">
        <v>90</v>
      </c>
      <c r="D40" t="s">
        <v>127</v>
      </c>
      <c r="E40">
        <v>5745000000</v>
      </c>
      <c r="F40">
        <v>0</v>
      </c>
      <c r="G40">
        <v>5745000000</v>
      </c>
      <c r="H40">
        <v>7930000000</v>
      </c>
      <c r="I40">
        <v>975000000</v>
      </c>
      <c r="J40">
        <v>178000000</v>
      </c>
      <c r="K40">
        <v>8164000000</v>
      </c>
      <c r="L40">
        <v>4714000000</v>
      </c>
      <c r="M40">
        <v>32826000000</v>
      </c>
      <c r="N40">
        <v>14224000000</v>
      </c>
      <c r="O40">
        <v>-4000000</v>
      </c>
      <c r="P40">
        <v>-8432000000</v>
      </c>
      <c r="Q40">
        <v>76607271890</v>
      </c>
      <c r="R40">
        <v>90827271890</v>
      </c>
    </row>
    <row r="41" spans="1:18" x14ac:dyDescent="0.25">
      <c r="A41" s="1" t="s">
        <v>1456</v>
      </c>
      <c r="B41">
        <v>73024148350</v>
      </c>
      <c r="C41" t="s">
        <v>90</v>
      </c>
      <c r="D41" t="s">
        <v>127</v>
      </c>
      <c r="E41">
        <v>5745000000</v>
      </c>
      <c r="F41">
        <v>0</v>
      </c>
      <c r="G41">
        <v>5745000000</v>
      </c>
      <c r="H41">
        <v>7930000000</v>
      </c>
      <c r="I41">
        <v>975000000</v>
      </c>
      <c r="J41">
        <v>178000000</v>
      </c>
      <c r="K41">
        <v>8164000000</v>
      </c>
      <c r="L41">
        <v>4714000000</v>
      </c>
      <c r="M41">
        <v>32826000000</v>
      </c>
      <c r="N41">
        <v>14224000000</v>
      </c>
      <c r="O41">
        <v>-4000000</v>
      </c>
      <c r="P41">
        <v>-8432000000</v>
      </c>
      <c r="Q41">
        <v>75621148350</v>
      </c>
      <c r="R41">
        <v>89841148350</v>
      </c>
    </row>
    <row r="42" spans="1:18" x14ac:dyDescent="0.25">
      <c r="A42" s="1" t="s">
        <v>1455</v>
      </c>
      <c r="B42">
        <v>75149414600</v>
      </c>
      <c r="C42" t="s">
        <v>90</v>
      </c>
      <c r="D42" t="s">
        <v>127</v>
      </c>
      <c r="E42">
        <v>5745000000</v>
      </c>
      <c r="F42">
        <v>0</v>
      </c>
      <c r="G42">
        <v>5745000000</v>
      </c>
      <c r="H42">
        <v>7930000000</v>
      </c>
      <c r="I42">
        <v>975000000</v>
      </c>
      <c r="J42">
        <v>178000000</v>
      </c>
      <c r="K42">
        <v>8164000000</v>
      </c>
      <c r="L42">
        <v>4714000000</v>
      </c>
      <c r="M42">
        <v>32826000000</v>
      </c>
      <c r="N42">
        <v>14224000000</v>
      </c>
      <c r="O42">
        <v>-4000000</v>
      </c>
      <c r="P42">
        <v>-8432000000</v>
      </c>
      <c r="Q42">
        <v>77746414600</v>
      </c>
      <c r="R42">
        <v>91966414600</v>
      </c>
    </row>
    <row r="43" spans="1:18" x14ac:dyDescent="0.25">
      <c r="A43" s="1" t="s">
        <v>1454</v>
      </c>
      <c r="B43">
        <v>74299308100</v>
      </c>
      <c r="C43" t="s">
        <v>90</v>
      </c>
      <c r="D43" t="s">
        <v>127</v>
      </c>
      <c r="E43">
        <v>5745000000</v>
      </c>
      <c r="F43">
        <v>0</v>
      </c>
      <c r="G43">
        <v>5745000000</v>
      </c>
      <c r="H43">
        <v>7930000000</v>
      </c>
      <c r="I43">
        <v>975000000</v>
      </c>
      <c r="J43">
        <v>178000000</v>
      </c>
      <c r="K43">
        <v>8164000000</v>
      </c>
      <c r="L43">
        <v>4714000000</v>
      </c>
      <c r="M43">
        <v>32826000000</v>
      </c>
      <c r="N43">
        <v>14224000000</v>
      </c>
      <c r="O43">
        <v>-4000000</v>
      </c>
      <c r="P43">
        <v>-8432000000</v>
      </c>
      <c r="Q43">
        <v>76896308100</v>
      </c>
      <c r="R43">
        <v>91116308100</v>
      </c>
    </row>
    <row r="44" spans="1:18" x14ac:dyDescent="0.25">
      <c r="A44" s="1" t="s">
        <v>1453</v>
      </c>
      <c r="B44">
        <v>74792369870</v>
      </c>
      <c r="C44" t="s">
        <v>90</v>
      </c>
      <c r="D44" t="s">
        <v>127</v>
      </c>
      <c r="E44">
        <v>5745000000</v>
      </c>
      <c r="F44">
        <v>0</v>
      </c>
      <c r="G44">
        <v>5745000000</v>
      </c>
      <c r="H44">
        <v>7930000000</v>
      </c>
      <c r="I44">
        <v>975000000</v>
      </c>
      <c r="J44">
        <v>178000000</v>
      </c>
      <c r="K44">
        <v>8164000000</v>
      </c>
      <c r="L44">
        <v>4714000000</v>
      </c>
      <c r="M44">
        <v>32826000000</v>
      </c>
      <c r="N44">
        <v>14224000000</v>
      </c>
      <c r="O44">
        <v>-4000000</v>
      </c>
      <c r="P44">
        <v>-8432000000</v>
      </c>
      <c r="Q44">
        <v>77389369870</v>
      </c>
      <c r="R44">
        <v>91609369870</v>
      </c>
    </row>
    <row r="45" spans="1:18" x14ac:dyDescent="0.25">
      <c r="A45" s="1" t="s">
        <v>1452</v>
      </c>
      <c r="B45">
        <v>74792369870</v>
      </c>
      <c r="C45" t="s">
        <v>90</v>
      </c>
      <c r="D45" t="s">
        <v>127</v>
      </c>
      <c r="E45">
        <v>5745000000</v>
      </c>
      <c r="F45">
        <v>0</v>
      </c>
      <c r="G45">
        <v>5745000000</v>
      </c>
      <c r="H45">
        <v>7930000000</v>
      </c>
      <c r="I45">
        <v>975000000</v>
      </c>
      <c r="J45">
        <v>178000000</v>
      </c>
      <c r="K45">
        <v>8164000000</v>
      </c>
      <c r="L45">
        <v>4714000000</v>
      </c>
      <c r="M45">
        <v>32826000000</v>
      </c>
      <c r="N45">
        <v>14224000000</v>
      </c>
      <c r="O45">
        <v>-4000000</v>
      </c>
      <c r="P45">
        <v>-8432000000</v>
      </c>
      <c r="Q45">
        <v>77389369870</v>
      </c>
      <c r="R45">
        <v>91609369870</v>
      </c>
    </row>
    <row r="46" spans="1:18" x14ac:dyDescent="0.25">
      <c r="A46" s="1" t="s">
        <v>1451</v>
      </c>
      <c r="B46">
        <v>75710484890</v>
      </c>
      <c r="C46" t="s">
        <v>90</v>
      </c>
      <c r="D46" t="s">
        <v>127</v>
      </c>
      <c r="E46">
        <v>5745000000</v>
      </c>
      <c r="F46">
        <v>0</v>
      </c>
      <c r="G46">
        <v>5745000000</v>
      </c>
      <c r="H46">
        <v>7930000000</v>
      </c>
      <c r="I46">
        <v>975000000</v>
      </c>
      <c r="J46">
        <v>178000000</v>
      </c>
      <c r="K46">
        <v>8164000000</v>
      </c>
      <c r="L46">
        <v>4714000000</v>
      </c>
      <c r="M46">
        <v>32826000000</v>
      </c>
      <c r="N46">
        <v>14224000000</v>
      </c>
      <c r="O46">
        <v>-4000000</v>
      </c>
      <c r="P46">
        <v>-8432000000</v>
      </c>
      <c r="Q46">
        <v>78307484890</v>
      </c>
      <c r="R46">
        <v>92527484890</v>
      </c>
    </row>
    <row r="47" spans="1:18" x14ac:dyDescent="0.25">
      <c r="A47" s="1" t="s">
        <v>1450</v>
      </c>
      <c r="B47">
        <v>75030399690</v>
      </c>
      <c r="C47" t="s">
        <v>90</v>
      </c>
      <c r="D47" t="s">
        <v>127</v>
      </c>
      <c r="E47">
        <v>5745000000</v>
      </c>
      <c r="F47">
        <v>0</v>
      </c>
      <c r="G47">
        <v>5745000000</v>
      </c>
      <c r="H47">
        <v>7930000000</v>
      </c>
      <c r="I47">
        <v>975000000</v>
      </c>
      <c r="J47">
        <v>178000000</v>
      </c>
      <c r="K47">
        <v>8164000000</v>
      </c>
      <c r="L47">
        <v>4714000000</v>
      </c>
      <c r="M47">
        <v>32826000000</v>
      </c>
      <c r="N47">
        <v>14224000000</v>
      </c>
      <c r="O47">
        <v>-4000000</v>
      </c>
      <c r="P47">
        <v>-8432000000</v>
      </c>
      <c r="Q47">
        <v>77627399690</v>
      </c>
      <c r="R47">
        <v>91847399690</v>
      </c>
    </row>
    <row r="48" spans="1:18" x14ac:dyDescent="0.25">
      <c r="A48" s="1" t="s">
        <v>1449</v>
      </c>
      <c r="B48">
        <v>74163291060</v>
      </c>
      <c r="C48" t="s">
        <v>90</v>
      </c>
      <c r="D48" t="s">
        <v>127</v>
      </c>
      <c r="E48">
        <v>5745000000</v>
      </c>
      <c r="F48">
        <v>0</v>
      </c>
      <c r="G48">
        <v>5745000000</v>
      </c>
      <c r="H48">
        <v>7930000000</v>
      </c>
      <c r="I48">
        <v>975000000</v>
      </c>
      <c r="J48">
        <v>178000000</v>
      </c>
      <c r="K48">
        <v>8164000000</v>
      </c>
      <c r="L48">
        <v>4714000000</v>
      </c>
      <c r="M48">
        <v>32826000000</v>
      </c>
      <c r="N48">
        <v>14224000000</v>
      </c>
      <c r="O48">
        <v>-4000000</v>
      </c>
      <c r="P48">
        <v>-8432000000</v>
      </c>
      <c r="Q48">
        <v>76760291060</v>
      </c>
      <c r="R48">
        <v>90980291060</v>
      </c>
    </row>
    <row r="49" spans="1:18" x14ac:dyDescent="0.25">
      <c r="A49" s="1" t="s">
        <v>1448</v>
      </c>
      <c r="B49">
        <v>74316310230</v>
      </c>
      <c r="C49" t="s">
        <v>90</v>
      </c>
      <c r="D49" t="s">
        <v>127</v>
      </c>
      <c r="E49">
        <v>5745000000</v>
      </c>
      <c r="F49">
        <v>0</v>
      </c>
      <c r="G49">
        <v>5745000000</v>
      </c>
      <c r="H49">
        <v>7930000000</v>
      </c>
      <c r="I49">
        <v>975000000</v>
      </c>
      <c r="J49">
        <v>178000000</v>
      </c>
      <c r="K49">
        <v>8164000000</v>
      </c>
      <c r="L49">
        <v>4714000000</v>
      </c>
      <c r="M49">
        <v>32826000000</v>
      </c>
      <c r="N49">
        <v>14224000000</v>
      </c>
      <c r="O49">
        <v>-4000000</v>
      </c>
      <c r="P49">
        <v>-8432000000</v>
      </c>
      <c r="Q49">
        <v>76913310230</v>
      </c>
      <c r="R49">
        <v>91133310230</v>
      </c>
    </row>
    <row r="50" spans="1:18" x14ac:dyDescent="0.25">
      <c r="A50" s="1" t="s">
        <v>1447</v>
      </c>
      <c r="B50">
        <v>73415197340</v>
      </c>
      <c r="C50" t="s">
        <v>90</v>
      </c>
      <c r="D50" t="s">
        <v>127</v>
      </c>
      <c r="E50">
        <v>5745000000</v>
      </c>
      <c r="F50">
        <v>0</v>
      </c>
      <c r="G50">
        <v>5745000000</v>
      </c>
      <c r="H50">
        <v>7930000000</v>
      </c>
      <c r="I50">
        <v>975000000</v>
      </c>
      <c r="J50">
        <v>178000000</v>
      </c>
      <c r="K50">
        <v>8164000000</v>
      </c>
      <c r="L50">
        <v>4714000000</v>
      </c>
      <c r="M50">
        <v>32826000000</v>
      </c>
      <c r="N50">
        <v>14224000000</v>
      </c>
      <c r="O50">
        <v>-4000000</v>
      </c>
      <c r="P50">
        <v>-8432000000</v>
      </c>
      <c r="Q50">
        <v>76012197340</v>
      </c>
      <c r="R50">
        <v>90232197340</v>
      </c>
    </row>
    <row r="51" spans="1:18" x14ac:dyDescent="0.25">
      <c r="A51" s="1" t="s">
        <v>1446</v>
      </c>
      <c r="B51">
        <v>74282305970</v>
      </c>
      <c r="C51" t="s">
        <v>90</v>
      </c>
      <c r="D51" t="s">
        <v>127</v>
      </c>
      <c r="E51">
        <v>5745000000</v>
      </c>
      <c r="F51">
        <v>0</v>
      </c>
      <c r="G51">
        <v>5745000000</v>
      </c>
      <c r="H51">
        <v>7930000000</v>
      </c>
      <c r="I51">
        <v>975000000</v>
      </c>
      <c r="J51">
        <v>178000000</v>
      </c>
      <c r="K51">
        <v>8164000000</v>
      </c>
      <c r="L51">
        <v>4714000000</v>
      </c>
      <c r="M51">
        <v>32826000000</v>
      </c>
      <c r="N51">
        <v>14224000000</v>
      </c>
      <c r="O51">
        <v>-4000000</v>
      </c>
      <c r="P51">
        <v>-8432000000</v>
      </c>
      <c r="Q51">
        <v>76879305970</v>
      </c>
      <c r="R51">
        <v>91099305970</v>
      </c>
    </row>
    <row r="52" spans="1:18" x14ac:dyDescent="0.25">
      <c r="A52" s="1" t="s">
        <v>1445</v>
      </c>
      <c r="B52">
        <v>73721235680</v>
      </c>
      <c r="C52" t="s">
        <v>90</v>
      </c>
      <c r="D52" t="s">
        <v>127</v>
      </c>
      <c r="E52">
        <v>5745000000</v>
      </c>
      <c r="F52">
        <v>0</v>
      </c>
      <c r="G52">
        <v>5745000000</v>
      </c>
      <c r="H52">
        <v>7930000000</v>
      </c>
      <c r="I52">
        <v>975000000</v>
      </c>
      <c r="J52">
        <v>178000000</v>
      </c>
      <c r="K52">
        <v>8164000000</v>
      </c>
      <c r="L52">
        <v>4714000000</v>
      </c>
      <c r="M52">
        <v>32826000000</v>
      </c>
      <c r="N52">
        <v>14224000000</v>
      </c>
      <c r="O52">
        <v>-4000000</v>
      </c>
      <c r="P52">
        <v>-8432000000</v>
      </c>
      <c r="Q52">
        <v>76318235680</v>
      </c>
      <c r="R52">
        <v>90538235680</v>
      </c>
    </row>
    <row r="53" spans="1:18" x14ac:dyDescent="0.25">
      <c r="A53" s="1" t="s">
        <v>1444</v>
      </c>
      <c r="B53">
        <v>74401320880</v>
      </c>
      <c r="C53" t="s">
        <v>90</v>
      </c>
      <c r="D53" t="s">
        <v>127</v>
      </c>
      <c r="E53">
        <v>5745000000</v>
      </c>
      <c r="F53">
        <v>0</v>
      </c>
      <c r="G53">
        <v>5745000000</v>
      </c>
      <c r="H53">
        <v>7930000000</v>
      </c>
      <c r="I53">
        <v>975000000</v>
      </c>
      <c r="J53">
        <v>178000000</v>
      </c>
      <c r="K53">
        <v>8164000000</v>
      </c>
      <c r="L53">
        <v>4714000000</v>
      </c>
      <c r="M53">
        <v>32826000000</v>
      </c>
      <c r="N53">
        <v>14224000000</v>
      </c>
      <c r="O53">
        <v>-4000000</v>
      </c>
      <c r="P53">
        <v>-8432000000</v>
      </c>
      <c r="Q53">
        <v>76998320880</v>
      </c>
      <c r="R53">
        <v>91218320880</v>
      </c>
    </row>
    <row r="54" spans="1:18" x14ac:dyDescent="0.25">
      <c r="A54" s="1" t="s">
        <v>1443</v>
      </c>
      <c r="B54">
        <v>73789244200</v>
      </c>
      <c r="C54" t="s">
        <v>90</v>
      </c>
      <c r="D54" t="s">
        <v>127</v>
      </c>
      <c r="E54">
        <v>5745000000</v>
      </c>
      <c r="F54">
        <v>0</v>
      </c>
      <c r="G54">
        <v>5745000000</v>
      </c>
      <c r="H54">
        <v>7930000000</v>
      </c>
      <c r="I54">
        <v>975000000</v>
      </c>
      <c r="J54">
        <v>178000000</v>
      </c>
      <c r="K54">
        <v>8164000000</v>
      </c>
      <c r="L54">
        <v>4714000000</v>
      </c>
      <c r="M54">
        <v>32826000000</v>
      </c>
      <c r="N54">
        <v>14224000000</v>
      </c>
      <c r="O54">
        <v>-4000000</v>
      </c>
      <c r="P54">
        <v>-8432000000</v>
      </c>
      <c r="Q54">
        <v>76386244200</v>
      </c>
      <c r="R54">
        <v>90606244200</v>
      </c>
    </row>
    <row r="55" spans="1:18" x14ac:dyDescent="0.25">
      <c r="A55" s="1" t="s">
        <v>1442</v>
      </c>
      <c r="B55">
        <v>75693482760</v>
      </c>
      <c r="C55" t="s">
        <v>90</v>
      </c>
      <c r="D55" t="s">
        <v>127</v>
      </c>
      <c r="E55">
        <v>5745000000</v>
      </c>
      <c r="F55">
        <v>0</v>
      </c>
      <c r="G55">
        <v>5745000000</v>
      </c>
      <c r="H55">
        <v>7930000000</v>
      </c>
      <c r="I55">
        <v>975000000</v>
      </c>
      <c r="J55">
        <v>178000000</v>
      </c>
      <c r="K55">
        <v>8164000000</v>
      </c>
      <c r="L55">
        <v>4714000000</v>
      </c>
      <c r="M55">
        <v>32826000000</v>
      </c>
      <c r="N55">
        <v>14224000000</v>
      </c>
      <c r="O55">
        <v>-4000000</v>
      </c>
      <c r="P55">
        <v>-8432000000</v>
      </c>
      <c r="Q55">
        <v>78290482760</v>
      </c>
      <c r="R55">
        <v>92510482760</v>
      </c>
    </row>
    <row r="56" spans="1:18" x14ac:dyDescent="0.25">
      <c r="A56" s="1" t="s">
        <v>1441</v>
      </c>
      <c r="B56">
        <v>74605346440</v>
      </c>
      <c r="C56" t="s">
        <v>90</v>
      </c>
      <c r="D56" t="s">
        <v>127</v>
      </c>
      <c r="E56">
        <v>5745000000</v>
      </c>
      <c r="F56">
        <v>0</v>
      </c>
      <c r="G56">
        <v>5745000000</v>
      </c>
      <c r="H56">
        <v>7930000000</v>
      </c>
      <c r="I56">
        <v>975000000</v>
      </c>
      <c r="J56">
        <v>178000000</v>
      </c>
      <c r="K56">
        <v>8164000000</v>
      </c>
      <c r="L56">
        <v>4714000000</v>
      </c>
      <c r="M56">
        <v>32826000000</v>
      </c>
      <c r="N56">
        <v>14224000000</v>
      </c>
      <c r="O56">
        <v>-4000000</v>
      </c>
      <c r="P56">
        <v>-8432000000</v>
      </c>
      <c r="Q56">
        <v>77202346440</v>
      </c>
      <c r="R56">
        <v>91422346440</v>
      </c>
    </row>
    <row r="57" spans="1:18" x14ac:dyDescent="0.25">
      <c r="A57" s="1" t="s">
        <v>1440</v>
      </c>
      <c r="B57">
        <v>72412071670</v>
      </c>
      <c r="C57" t="s">
        <v>90</v>
      </c>
      <c r="D57" t="s">
        <v>127</v>
      </c>
      <c r="E57">
        <v>5745000000</v>
      </c>
      <c r="F57">
        <v>0</v>
      </c>
      <c r="G57">
        <v>5745000000</v>
      </c>
      <c r="H57">
        <v>7930000000</v>
      </c>
      <c r="I57">
        <v>975000000</v>
      </c>
      <c r="J57">
        <v>178000000</v>
      </c>
      <c r="K57">
        <v>8164000000</v>
      </c>
      <c r="L57">
        <v>4714000000</v>
      </c>
      <c r="M57">
        <v>32826000000</v>
      </c>
      <c r="N57">
        <v>14224000000</v>
      </c>
      <c r="O57">
        <v>-4000000</v>
      </c>
      <c r="P57">
        <v>-8432000000</v>
      </c>
      <c r="Q57">
        <v>75009071670</v>
      </c>
      <c r="R57">
        <v>89229071670</v>
      </c>
    </row>
    <row r="58" spans="1:18" x14ac:dyDescent="0.25">
      <c r="A58" s="1" t="s">
        <v>1439</v>
      </c>
      <c r="B58">
        <v>71646975820</v>
      </c>
      <c r="C58" t="s">
        <v>90</v>
      </c>
      <c r="D58" t="s">
        <v>127</v>
      </c>
      <c r="E58">
        <v>5745000000</v>
      </c>
      <c r="F58">
        <v>0</v>
      </c>
      <c r="G58">
        <v>5745000000</v>
      </c>
      <c r="H58">
        <v>7930000000</v>
      </c>
      <c r="I58">
        <v>975000000</v>
      </c>
      <c r="J58">
        <v>178000000</v>
      </c>
      <c r="K58">
        <v>8164000000</v>
      </c>
      <c r="L58">
        <v>4714000000</v>
      </c>
      <c r="M58">
        <v>32826000000</v>
      </c>
      <c r="N58">
        <v>14224000000</v>
      </c>
      <c r="O58">
        <v>-4000000</v>
      </c>
      <c r="P58">
        <v>-8432000000</v>
      </c>
      <c r="Q58">
        <v>74243975820</v>
      </c>
      <c r="R58">
        <v>88463975820</v>
      </c>
    </row>
    <row r="59" spans="1:18" x14ac:dyDescent="0.25">
      <c r="A59" s="1" t="s">
        <v>1438</v>
      </c>
      <c r="B59">
        <v>70235799030</v>
      </c>
      <c r="C59" t="s">
        <v>90</v>
      </c>
      <c r="D59" t="s">
        <v>127</v>
      </c>
      <c r="E59">
        <v>5745000000</v>
      </c>
      <c r="F59">
        <v>0</v>
      </c>
      <c r="G59">
        <v>5745000000</v>
      </c>
      <c r="H59">
        <v>7930000000</v>
      </c>
      <c r="I59">
        <v>975000000</v>
      </c>
      <c r="J59">
        <v>178000000</v>
      </c>
      <c r="K59">
        <v>8164000000</v>
      </c>
      <c r="L59">
        <v>4714000000</v>
      </c>
      <c r="M59">
        <v>32826000000</v>
      </c>
      <c r="N59">
        <v>14224000000</v>
      </c>
      <c r="O59">
        <v>-4000000</v>
      </c>
      <c r="P59">
        <v>-8432000000</v>
      </c>
      <c r="Q59">
        <v>72832799030</v>
      </c>
      <c r="R59">
        <v>87052799030</v>
      </c>
    </row>
    <row r="60" spans="1:18" x14ac:dyDescent="0.25">
      <c r="A60" s="1" t="s">
        <v>1437</v>
      </c>
      <c r="B60">
        <v>68688605200</v>
      </c>
      <c r="C60" t="s">
        <v>90</v>
      </c>
      <c r="D60" t="s">
        <v>127</v>
      </c>
      <c r="E60">
        <v>5745000000</v>
      </c>
      <c r="F60">
        <v>0</v>
      </c>
      <c r="G60">
        <v>5745000000</v>
      </c>
      <c r="H60">
        <v>7930000000</v>
      </c>
      <c r="I60">
        <v>975000000</v>
      </c>
      <c r="J60">
        <v>178000000</v>
      </c>
      <c r="K60">
        <v>8164000000</v>
      </c>
      <c r="L60">
        <v>4714000000</v>
      </c>
      <c r="M60">
        <v>32826000000</v>
      </c>
      <c r="N60">
        <v>14224000000</v>
      </c>
      <c r="O60">
        <v>-4000000</v>
      </c>
      <c r="P60">
        <v>-8432000000</v>
      </c>
      <c r="Q60">
        <v>71285605200</v>
      </c>
      <c r="R60">
        <v>85505605200</v>
      </c>
    </row>
    <row r="61" spans="1:18" x14ac:dyDescent="0.25">
      <c r="A61" s="1" t="s">
        <v>1436</v>
      </c>
      <c r="B61">
        <v>66393317649</v>
      </c>
      <c r="C61" t="s">
        <v>90</v>
      </c>
      <c r="D61" t="s">
        <v>127</v>
      </c>
      <c r="E61">
        <v>5745000000</v>
      </c>
      <c r="F61">
        <v>0</v>
      </c>
      <c r="G61">
        <v>5745000000</v>
      </c>
      <c r="H61">
        <v>7930000000</v>
      </c>
      <c r="I61">
        <v>975000000</v>
      </c>
      <c r="J61">
        <v>178000000</v>
      </c>
      <c r="K61">
        <v>8164000000</v>
      </c>
      <c r="L61">
        <v>4714000000</v>
      </c>
      <c r="M61">
        <v>32826000000</v>
      </c>
      <c r="N61">
        <v>14224000000</v>
      </c>
      <c r="O61">
        <v>-4000000</v>
      </c>
      <c r="P61">
        <v>-8432000000</v>
      </c>
      <c r="Q61">
        <v>68990317649</v>
      </c>
      <c r="R61">
        <v>83210317649</v>
      </c>
    </row>
    <row r="62" spans="1:18" x14ac:dyDescent="0.25">
      <c r="A62" s="1" t="s">
        <v>1435</v>
      </c>
      <c r="B62">
        <v>66563338950</v>
      </c>
      <c r="C62" t="s">
        <v>90</v>
      </c>
      <c r="D62" t="s">
        <v>127</v>
      </c>
      <c r="E62">
        <v>5745000000</v>
      </c>
      <c r="F62">
        <v>0</v>
      </c>
      <c r="G62">
        <v>5745000000</v>
      </c>
      <c r="H62">
        <v>7930000000</v>
      </c>
      <c r="I62">
        <v>975000000</v>
      </c>
      <c r="J62">
        <v>178000000</v>
      </c>
      <c r="K62">
        <v>8164000000</v>
      </c>
      <c r="L62">
        <v>4714000000</v>
      </c>
      <c r="M62">
        <v>32826000000</v>
      </c>
      <c r="N62">
        <v>14224000000</v>
      </c>
      <c r="O62">
        <v>-4000000</v>
      </c>
      <c r="P62">
        <v>-8432000000</v>
      </c>
      <c r="Q62">
        <v>69160338950</v>
      </c>
      <c r="R62">
        <v>83380338950</v>
      </c>
    </row>
    <row r="63" spans="1:18" x14ac:dyDescent="0.25">
      <c r="A63" s="1" t="s">
        <v>1434</v>
      </c>
      <c r="B63">
        <v>67498456100</v>
      </c>
      <c r="C63" t="s">
        <v>90</v>
      </c>
      <c r="D63" t="s">
        <v>127</v>
      </c>
      <c r="E63">
        <v>5745000000</v>
      </c>
      <c r="F63">
        <v>0</v>
      </c>
      <c r="G63">
        <v>5745000000</v>
      </c>
      <c r="H63">
        <v>7930000000</v>
      </c>
      <c r="I63">
        <v>975000000</v>
      </c>
      <c r="J63">
        <v>178000000</v>
      </c>
      <c r="K63">
        <v>8164000000</v>
      </c>
      <c r="L63">
        <v>4714000000</v>
      </c>
      <c r="M63">
        <v>32826000000</v>
      </c>
      <c r="N63">
        <v>14224000000</v>
      </c>
      <c r="O63">
        <v>-4000000</v>
      </c>
      <c r="P63">
        <v>-8432000000</v>
      </c>
      <c r="Q63">
        <v>70095456100</v>
      </c>
      <c r="R63">
        <v>84315456100</v>
      </c>
    </row>
    <row r="64" spans="1:18" x14ac:dyDescent="0.25">
      <c r="A64" s="1" t="s">
        <v>138</v>
      </c>
      <c r="B64">
        <v>73058152610</v>
      </c>
      <c r="C64" t="s">
        <v>90</v>
      </c>
      <c r="D64" t="s">
        <v>127</v>
      </c>
      <c r="E64">
        <v>5745000000</v>
      </c>
      <c r="F64">
        <v>0</v>
      </c>
      <c r="G64">
        <v>5745000000</v>
      </c>
      <c r="H64">
        <v>7930000000</v>
      </c>
      <c r="I64">
        <v>975000000</v>
      </c>
      <c r="J64">
        <v>178000000</v>
      </c>
      <c r="K64">
        <v>8164000000</v>
      </c>
      <c r="L64">
        <v>4714000000</v>
      </c>
      <c r="M64">
        <v>32826000000</v>
      </c>
      <c r="N64">
        <v>14224000000</v>
      </c>
      <c r="O64">
        <v>-4000000</v>
      </c>
      <c r="P64">
        <v>-8432000000</v>
      </c>
      <c r="Q64">
        <v>75655152610</v>
      </c>
      <c r="R64">
        <v>89875152610</v>
      </c>
    </row>
    <row r="65" spans="1:18" x14ac:dyDescent="0.25">
      <c r="A65" s="1" t="s">
        <v>1433</v>
      </c>
      <c r="B65">
        <v>68093530649</v>
      </c>
      <c r="C65" t="s">
        <v>89</v>
      </c>
      <c r="D65" t="s">
        <v>127</v>
      </c>
      <c r="E65">
        <v>11744000000</v>
      </c>
      <c r="F65">
        <v>0</v>
      </c>
      <c r="G65">
        <v>11744000000</v>
      </c>
      <c r="H65">
        <v>14300000000</v>
      </c>
      <c r="I65">
        <v>1129000000</v>
      </c>
      <c r="J65">
        <v>180000000</v>
      </c>
      <c r="K65">
        <v>5800000000</v>
      </c>
      <c r="L65">
        <v>5570000000</v>
      </c>
      <c r="M65">
        <v>15072000000</v>
      </c>
      <c r="N65">
        <v>0</v>
      </c>
      <c r="O65">
        <v>-14000000</v>
      </c>
      <c r="P65">
        <v>15922000000</v>
      </c>
      <c r="Q65">
        <v>62329530649</v>
      </c>
      <c r="R65">
        <v>62315530649</v>
      </c>
    </row>
    <row r="66" spans="1:18" x14ac:dyDescent="0.25">
      <c r="A66" s="1" t="s">
        <v>1432</v>
      </c>
      <c r="B66">
        <v>62907881000</v>
      </c>
      <c r="C66" t="s">
        <v>89</v>
      </c>
      <c r="D66" t="s">
        <v>127</v>
      </c>
      <c r="E66">
        <v>11744000000</v>
      </c>
      <c r="F66">
        <v>0</v>
      </c>
      <c r="G66">
        <v>11744000000</v>
      </c>
      <c r="H66">
        <v>14300000000</v>
      </c>
      <c r="I66">
        <v>1129000000</v>
      </c>
      <c r="J66">
        <v>180000000</v>
      </c>
      <c r="K66">
        <v>5800000000</v>
      </c>
      <c r="L66">
        <v>5570000000</v>
      </c>
      <c r="M66">
        <v>15072000000</v>
      </c>
      <c r="N66">
        <v>0</v>
      </c>
      <c r="O66">
        <v>-14000000</v>
      </c>
      <c r="P66">
        <v>15922000000</v>
      </c>
      <c r="Q66">
        <v>57143881000</v>
      </c>
      <c r="R66">
        <v>57129881000</v>
      </c>
    </row>
    <row r="67" spans="1:18" x14ac:dyDescent="0.25">
      <c r="A67" s="1" t="s">
        <v>1431</v>
      </c>
      <c r="B67">
        <v>61972763850</v>
      </c>
      <c r="C67" t="s">
        <v>89</v>
      </c>
      <c r="D67" t="s">
        <v>127</v>
      </c>
      <c r="E67">
        <v>11744000000</v>
      </c>
      <c r="F67">
        <v>0</v>
      </c>
      <c r="G67">
        <v>11744000000</v>
      </c>
      <c r="H67">
        <v>14300000000</v>
      </c>
      <c r="I67">
        <v>1129000000</v>
      </c>
      <c r="J67">
        <v>180000000</v>
      </c>
      <c r="K67">
        <v>5800000000</v>
      </c>
      <c r="L67">
        <v>5570000000</v>
      </c>
      <c r="M67">
        <v>15072000000</v>
      </c>
      <c r="N67">
        <v>0</v>
      </c>
      <c r="O67">
        <v>-14000000</v>
      </c>
      <c r="P67">
        <v>15922000000</v>
      </c>
      <c r="Q67">
        <v>56208763850</v>
      </c>
      <c r="R67">
        <v>56194763850</v>
      </c>
    </row>
    <row r="68" spans="1:18" x14ac:dyDescent="0.25">
      <c r="A68" s="1" t="s">
        <v>1430</v>
      </c>
      <c r="B68">
        <v>57739233480</v>
      </c>
      <c r="C68" t="s">
        <v>89</v>
      </c>
      <c r="D68" t="s">
        <v>127</v>
      </c>
      <c r="E68">
        <v>11744000000</v>
      </c>
      <c r="F68">
        <v>0</v>
      </c>
      <c r="G68">
        <v>11744000000</v>
      </c>
      <c r="H68">
        <v>14300000000</v>
      </c>
      <c r="I68">
        <v>1129000000</v>
      </c>
      <c r="J68">
        <v>180000000</v>
      </c>
      <c r="K68">
        <v>5800000000</v>
      </c>
      <c r="L68">
        <v>5570000000</v>
      </c>
      <c r="M68">
        <v>15072000000</v>
      </c>
      <c r="N68">
        <v>0</v>
      </c>
      <c r="O68">
        <v>-14000000</v>
      </c>
      <c r="P68">
        <v>15922000000</v>
      </c>
      <c r="Q68">
        <v>51975233480</v>
      </c>
      <c r="R68">
        <v>51961233480</v>
      </c>
    </row>
    <row r="69" spans="1:18" x14ac:dyDescent="0.25">
      <c r="A69" s="1" t="s">
        <v>1429</v>
      </c>
      <c r="B69">
        <v>56481075860</v>
      </c>
      <c r="C69" t="s">
        <v>89</v>
      </c>
      <c r="D69" t="s">
        <v>127</v>
      </c>
      <c r="E69">
        <v>11744000000</v>
      </c>
      <c r="F69">
        <v>0</v>
      </c>
      <c r="G69">
        <v>11744000000</v>
      </c>
      <c r="H69">
        <v>14300000000</v>
      </c>
      <c r="I69">
        <v>1129000000</v>
      </c>
      <c r="J69">
        <v>180000000</v>
      </c>
      <c r="K69">
        <v>5800000000</v>
      </c>
      <c r="L69">
        <v>5570000000</v>
      </c>
      <c r="M69">
        <v>15072000000</v>
      </c>
      <c r="N69">
        <v>0</v>
      </c>
      <c r="O69">
        <v>-14000000</v>
      </c>
      <c r="P69">
        <v>15922000000</v>
      </c>
      <c r="Q69">
        <v>50717075860</v>
      </c>
      <c r="R69">
        <v>50703075860</v>
      </c>
    </row>
    <row r="70" spans="1:18" x14ac:dyDescent="0.25">
      <c r="A70" s="1" t="s">
        <v>1428</v>
      </c>
      <c r="B70">
        <v>59898503989</v>
      </c>
      <c r="C70" t="s">
        <v>89</v>
      </c>
      <c r="D70" t="s">
        <v>127</v>
      </c>
      <c r="E70">
        <v>11744000000</v>
      </c>
      <c r="F70">
        <v>0</v>
      </c>
      <c r="G70">
        <v>11744000000</v>
      </c>
      <c r="H70">
        <v>14300000000</v>
      </c>
      <c r="I70">
        <v>1129000000</v>
      </c>
      <c r="J70">
        <v>180000000</v>
      </c>
      <c r="K70">
        <v>5800000000</v>
      </c>
      <c r="L70">
        <v>5570000000</v>
      </c>
      <c r="M70">
        <v>15072000000</v>
      </c>
      <c r="N70">
        <v>0</v>
      </c>
      <c r="O70">
        <v>-14000000</v>
      </c>
      <c r="P70">
        <v>15922000000</v>
      </c>
      <c r="Q70">
        <v>54134503989</v>
      </c>
      <c r="R70">
        <v>54120503989</v>
      </c>
    </row>
    <row r="71" spans="1:18" x14ac:dyDescent="0.25">
      <c r="A71" s="1" t="s">
        <v>1427</v>
      </c>
      <c r="B71">
        <v>58844371930</v>
      </c>
      <c r="C71" t="s">
        <v>89</v>
      </c>
      <c r="D71" t="s">
        <v>127</v>
      </c>
      <c r="E71">
        <v>11744000000</v>
      </c>
      <c r="F71">
        <v>0</v>
      </c>
      <c r="G71">
        <v>11744000000</v>
      </c>
      <c r="H71">
        <v>14300000000</v>
      </c>
      <c r="I71">
        <v>1129000000</v>
      </c>
      <c r="J71">
        <v>180000000</v>
      </c>
      <c r="K71">
        <v>5800000000</v>
      </c>
      <c r="L71">
        <v>5570000000</v>
      </c>
      <c r="M71">
        <v>15072000000</v>
      </c>
      <c r="N71">
        <v>0</v>
      </c>
      <c r="O71">
        <v>-14000000</v>
      </c>
      <c r="P71">
        <v>15922000000</v>
      </c>
      <c r="Q71">
        <v>53080371930</v>
      </c>
      <c r="R71">
        <v>53066371930</v>
      </c>
    </row>
    <row r="72" spans="1:18" x14ac:dyDescent="0.25">
      <c r="A72" s="1" t="s">
        <v>1426</v>
      </c>
      <c r="B72">
        <v>60000516770</v>
      </c>
      <c r="C72" t="s">
        <v>89</v>
      </c>
      <c r="D72" t="s">
        <v>127</v>
      </c>
      <c r="E72">
        <v>11744000000</v>
      </c>
      <c r="F72">
        <v>0</v>
      </c>
      <c r="G72">
        <v>11744000000</v>
      </c>
      <c r="H72">
        <v>14300000000</v>
      </c>
      <c r="I72">
        <v>1129000000</v>
      </c>
      <c r="J72">
        <v>180000000</v>
      </c>
      <c r="K72">
        <v>5800000000</v>
      </c>
      <c r="L72">
        <v>5570000000</v>
      </c>
      <c r="M72">
        <v>15072000000</v>
      </c>
      <c r="N72">
        <v>0</v>
      </c>
      <c r="O72">
        <v>-14000000</v>
      </c>
      <c r="P72">
        <v>15922000000</v>
      </c>
      <c r="Q72">
        <v>54236516770</v>
      </c>
      <c r="R72">
        <v>54222516770</v>
      </c>
    </row>
    <row r="73" spans="1:18" x14ac:dyDescent="0.25">
      <c r="A73" s="1" t="s">
        <v>1425</v>
      </c>
      <c r="B73">
        <v>59354435829</v>
      </c>
      <c r="C73" t="s">
        <v>89</v>
      </c>
      <c r="D73" t="s">
        <v>127</v>
      </c>
      <c r="E73">
        <v>11744000000</v>
      </c>
      <c r="F73">
        <v>0</v>
      </c>
      <c r="G73">
        <v>11744000000</v>
      </c>
      <c r="H73">
        <v>14300000000</v>
      </c>
      <c r="I73">
        <v>1129000000</v>
      </c>
      <c r="J73">
        <v>180000000</v>
      </c>
      <c r="K73">
        <v>5800000000</v>
      </c>
      <c r="L73">
        <v>5570000000</v>
      </c>
      <c r="M73">
        <v>15072000000</v>
      </c>
      <c r="N73">
        <v>0</v>
      </c>
      <c r="O73">
        <v>-14000000</v>
      </c>
      <c r="P73">
        <v>15922000000</v>
      </c>
      <c r="Q73">
        <v>53590435829</v>
      </c>
      <c r="R73">
        <v>53576435829</v>
      </c>
    </row>
    <row r="74" spans="1:18" x14ac:dyDescent="0.25">
      <c r="A74" s="1" t="s">
        <v>1424</v>
      </c>
      <c r="B74">
        <v>57807242000</v>
      </c>
      <c r="C74" t="s">
        <v>89</v>
      </c>
      <c r="D74" t="s">
        <v>127</v>
      </c>
      <c r="E74">
        <v>11744000000</v>
      </c>
      <c r="F74">
        <v>0</v>
      </c>
      <c r="G74">
        <v>11744000000</v>
      </c>
      <c r="H74">
        <v>14300000000</v>
      </c>
      <c r="I74">
        <v>1129000000</v>
      </c>
      <c r="J74">
        <v>180000000</v>
      </c>
      <c r="K74">
        <v>5800000000</v>
      </c>
      <c r="L74">
        <v>5570000000</v>
      </c>
      <c r="M74">
        <v>15072000000</v>
      </c>
      <c r="N74">
        <v>0</v>
      </c>
      <c r="O74">
        <v>-14000000</v>
      </c>
      <c r="P74">
        <v>15922000000</v>
      </c>
      <c r="Q74">
        <v>52043242000</v>
      </c>
      <c r="R74">
        <v>52029242000</v>
      </c>
    </row>
    <row r="75" spans="1:18" x14ac:dyDescent="0.25">
      <c r="A75" s="1" t="s">
        <v>1423</v>
      </c>
      <c r="B75">
        <v>56838120590</v>
      </c>
      <c r="C75" t="s">
        <v>89</v>
      </c>
      <c r="D75" t="s">
        <v>127</v>
      </c>
      <c r="E75">
        <v>11744000000</v>
      </c>
      <c r="F75">
        <v>0</v>
      </c>
      <c r="G75">
        <v>11744000000</v>
      </c>
      <c r="H75">
        <v>14300000000</v>
      </c>
      <c r="I75">
        <v>1129000000</v>
      </c>
      <c r="J75">
        <v>180000000</v>
      </c>
      <c r="K75">
        <v>5800000000</v>
      </c>
      <c r="L75">
        <v>5570000000</v>
      </c>
      <c r="M75">
        <v>15072000000</v>
      </c>
      <c r="N75">
        <v>0</v>
      </c>
      <c r="O75">
        <v>-14000000</v>
      </c>
      <c r="P75">
        <v>15922000000</v>
      </c>
      <c r="Q75">
        <v>51074120590</v>
      </c>
      <c r="R75">
        <v>51060120590</v>
      </c>
    </row>
    <row r="76" spans="1:18" x14ac:dyDescent="0.25">
      <c r="A76" s="1" t="s">
        <v>1422</v>
      </c>
      <c r="B76">
        <v>56634095030</v>
      </c>
      <c r="C76" t="s">
        <v>89</v>
      </c>
      <c r="D76" t="s">
        <v>127</v>
      </c>
      <c r="E76">
        <v>11744000000</v>
      </c>
      <c r="F76">
        <v>0</v>
      </c>
      <c r="G76">
        <v>11744000000</v>
      </c>
      <c r="H76">
        <v>14300000000</v>
      </c>
      <c r="I76">
        <v>1129000000</v>
      </c>
      <c r="J76">
        <v>180000000</v>
      </c>
      <c r="K76">
        <v>5800000000</v>
      </c>
      <c r="L76">
        <v>5570000000</v>
      </c>
      <c r="M76">
        <v>15072000000</v>
      </c>
      <c r="N76">
        <v>0</v>
      </c>
      <c r="O76">
        <v>-14000000</v>
      </c>
      <c r="P76">
        <v>15922000000</v>
      </c>
      <c r="Q76">
        <v>50870095030</v>
      </c>
      <c r="R76">
        <v>50856095030</v>
      </c>
    </row>
    <row r="77" spans="1:18" x14ac:dyDescent="0.25">
      <c r="A77" s="1" t="s">
        <v>1421</v>
      </c>
      <c r="B77">
        <v>56294052430</v>
      </c>
      <c r="C77" t="s">
        <v>89</v>
      </c>
      <c r="D77" t="s">
        <v>127</v>
      </c>
      <c r="E77">
        <v>11744000000</v>
      </c>
      <c r="F77">
        <v>0</v>
      </c>
      <c r="G77">
        <v>11744000000</v>
      </c>
      <c r="H77">
        <v>14300000000</v>
      </c>
      <c r="I77">
        <v>1129000000</v>
      </c>
      <c r="J77">
        <v>180000000</v>
      </c>
      <c r="K77">
        <v>5800000000</v>
      </c>
      <c r="L77">
        <v>5570000000</v>
      </c>
      <c r="M77">
        <v>15072000000</v>
      </c>
      <c r="N77">
        <v>0</v>
      </c>
      <c r="O77">
        <v>-14000000</v>
      </c>
      <c r="P77">
        <v>15922000000</v>
      </c>
      <c r="Q77">
        <v>50530052430</v>
      </c>
      <c r="R77">
        <v>50516052430</v>
      </c>
    </row>
    <row r="78" spans="1:18" x14ac:dyDescent="0.25">
      <c r="A78" s="1" t="s">
        <v>1420</v>
      </c>
      <c r="B78">
        <v>55409941670</v>
      </c>
      <c r="C78" t="s">
        <v>89</v>
      </c>
      <c r="D78" t="s">
        <v>127</v>
      </c>
      <c r="E78">
        <v>11744000000</v>
      </c>
      <c r="F78">
        <v>0</v>
      </c>
      <c r="G78">
        <v>11744000000</v>
      </c>
      <c r="H78">
        <v>14300000000</v>
      </c>
      <c r="I78">
        <v>1129000000</v>
      </c>
      <c r="J78">
        <v>180000000</v>
      </c>
      <c r="K78">
        <v>5800000000</v>
      </c>
      <c r="L78">
        <v>5570000000</v>
      </c>
      <c r="M78">
        <v>15072000000</v>
      </c>
      <c r="N78">
        <v>0</v>
      </c>
      <c r="O78">
        <v>-14000000</v>
      </c>
      <c r="P78">
        <v>15922000000</v>
      </c>
      <c r="Q78">
        <v>49645941670</v>
      </c>
      <c r="R78">
        <v>49631941670</v>
      </c>
    </row>
    <row r="79" spans="1:18" x14ac:dyDescent="0.25">
      <c r="A79" s="1" t="s">
        <v>1419</v>
      </c>
      <c r="B79">
        <v>55698977880</v>
      </c>
      <c r="C79" t="s">
        <v>89</v>
      </c>
      <c r="D79" t="s">
        <v>127</v>
      </c>
      <c r="E79">
        <v>11744000000</v>
      </c>
      <c r="F79">
        <v>0</v>
      </c>
      <c r="G79">
        <v>11744000000</v>
      </c>
      <c r="H79">
        <v>14300000000</v>
      </c>
      <c r="I79">
        <v>1129000000</v>
      </c>
      <c r="J79">
        <v>180000000</v>
      </c>
      <c r="K79">
        <v>5800000000</v>
      </c>
      <c r="L79">
        <v>5570000000</v>
      </c>
      <c r="M79">
        <v>15072000000</v>
      </c>
      <c r="N79">
        <v>0</v>
      </c>
      <c r="O79">
        <v>-14000000</v>
      </c>
      <c r="P79">
        <v>15922000000</v>
      </c>
      <c r="Q79">
        <v>49934977880</v>
      </c>
      <c r="R79">
        <v>49920977880</v>
      </c>
    </row>
    <row r="80" spans="1:18" x14ac:dyDescent="0.25">
      <c r="A80" s="1" t="s">
        <v>1418</v>
      </c>
      <c r="B80">
        <v>55375937410</v>
      </c>
      <c r="C80" t="s">
        <v>89</v>
      </c>
      <c r="D80" t="s">
        <v>127</v>
      </c>
      <c r="E80">
        <v>11744000000</v>
      </c>
      <c r="F80">
        <v>0</v>
      </c>
      <c r="G80">
        <v>11744000000</v>
      </c>
      <c r="H80">
        <v>14300000000</v>
      </c>
      <c r="I80">
        <v>1129000000</v>
      </c>
      <c r="J80">
        <v>180000000</v>
      </c>
      <c r="K80">
        <v>5800000000</v>
      </c>
      <c r="L80">
        <v>5570000000</v>
      </c>
      <c r="M80">
        <v>15072000000</v>
      </c>
      <c r="N80">
        <v>0</v>
      </c>
      <c r="O80">
        <v>-14000000</v>
      </c>
      <c r="P80">
        <v>15922000000</v>
      </c>
      <c r="Q80">
        <v>49611937410</v>
      </c>
      <c r="R80">
        <v>49597937410</v>
      </c>
    </row>
    <row r="81" spans="1:18" x14ac:dyDescent="0.25">
      <c r="A81" s="1" t="s">
        <v>1417</v>
      </c>
      <c r="B81">
        <v>52196539100</v>
      </c>
      <c r="C81" t="s">
        <v>89</v>
      </c>
      <c r="D81" t="s">
        <v>127</v>
      </c>
      <c r="E81">
        <v>11744000000</v>
      </c>
      <c r="F81">
        <v>0</v>
      </c>
      <c r="G81">
        <v>11744000000</v>
      </c>
      <c r="H81">
        <v>14300000000</v>
      </c>
      <c r="I81">
        <v>1129000000</v>
      </c>
      <c r="J81">
        <v>180000000</v>
      </c>
      <c r="K81">
        <v>5800000000</v>
      </c>
      <c r="L81">
        <v>5570000000</v>
      </c>
      <c r="M81">
        <v>15072000000</v>
      </c>
      <c r="N81">
        <v>0</v>
      </c>
      <c r="O81">
        <v>-14000000</v>
      </c>
      <c r="P81">
        <v>15922000000</v>
      </c>
      <c r="Q81">
        <v>46432539100</v>
      </c>
      <c r="R81">
        <v>46418539100</v>
      </c>
    </row>
    <row r="82" spans="1:18" x14ac:dyDescent="0.25">
      <c r="A82" s="1" t="s">
        <v>1416</v>
      </c>
      <c r="B82">
        <v>54389813870</v>
      </c>
      <c r="C82" t="s">
        <v>89</v>
      </c>
      <c r="D82" t="s">
        <v>127</v>
      </c>
      <c r="E82">
        <v>11744000000</v>
      </c>
      <c r="F82">
        <v>0</v>
      </c>
      <c r="G82">
        <v>11744000000</v>
      </c>
      <c r="H82">
        <v>14300000000</v>
      </c>
      <c r="I82">
        <v>1129000000</v>
      </c>
      <c r="J82">
        <v>180000000</v>
      </c>
      <c r="K82">
        <v>5800000000</v>
      </c>
      <c r="L82">
        <v>5570000000</v>
      </c>
      <c r="M82">
        <v>15072000000</v>
      </c>
      <c r="N82">
        <v>0</v>
      </c>
      <c r="O82">
        <v>-14000000</v>
      </c>
      <c r="P82">
        <v>15922000000</v>
      </c>
      <c r="Q82">
        <v>48625813870</v>
      </c>
      <c r="R82">
        <v>48611813870</v>
      </c>
    </row>
    <row r="83" spans="1:18" x14ac:dyDescent="0.25">
      <c r="A83" s="1" t="s">
        <v>1415</v>
      </c>
      <c r="B83">
        <v>55273924630</v>
      </c>
      <c r="C83" t="s">
        <v>89</v>
      </c>
      <c r="D83" t="s">
        <v>127</v>
      </c>
      <c r="E83">
        <v>11744000000</v>
      </c>
      <c r="F83">
        <v>0</v>
      </c>
      <c r="G83">
        <v>11744000000</v>
      </c>
      <c r="H83">
        <v>14300000000</v>
      </c>
      <c r="I83">
        <v>1129000000</v>
      </c>
      <c r="J83">
        <v>180000000</v>
      </c>
      <c r="K83">
        <v>5800000000</v>
      </c>
      <c r="L83">
        <v>5570000000</v>
      </c>
      <c r="M83">
        <v>15072000000</v>
      </c>
      <c r="N83">
        <v>0</v>
      </c>
      <c r="O83">
        <v>-14000000</v>
      </c>
      <c r="P83">
        <v>15922000000</v>
      </c>
      <c r="Q83">
        <v>49509924630</v>
      </c>
      <c r="R83">
        <v>49495924630</v>
      </c>
    </row>
    <row r="84" spans="1:18" x14ac:dyDescent="0.25">
      <c r="A84" s="1" t="s">
        <v>1414</v>
      </c>
      <c r="B84">
        <v>54168786180</v>
      </c>
      <c r="C84" t="s">
        <v>89</v>
      </c>
      <c r="D84" t="s">
        <v>127</v>
      </c>
      <c r="E84">
        <v>11744000000</v>
      </c>
      <c r="F84">
        <v>0</v>
      </c>
      <c r="G84">
        <v>11744000000</v>
      </c>
      <c r="H84">
        <v>14300000000</v>
      </c>
      <c r="I84">
        <v>1129000000</v>
      </c>
      <c r="J84">
        <v>180000000</v>
      </c>
      <c r="K84">
        <v>5800000000</v>
      </c>
      <c r="L84">
        <v>5570000000</v>
      </c>
      <c r="M84">
        <v>15072000000</v>
      </c>
      <c r="N84">
        <v>0</v>
      </c>
      <c r="O84">
        <v>-14000000</v>
      </c>
      <c r="P84">
        <v>15922000000</v>
      </c>
      <c r="Q84">
        <v>48404786180</v>
      </c>
      <c r="R84">
        <v>48390786180</v>
      </c>
    </row>
    <row r="85" spans="1:18" x14ac:dyDescent="0.25">
      <c r="A85" s="1" t="s">
        <v>1413</v>
      </c>
      <c r="B85">
        <v>54814867120</v>
      </c>
      <c r="C85" t="s">
        <v>89</v>
      </c>
      <c r="D85" t="s">
        <v>127</v>
      </c>
      <c r="E85">
        <v>11744000000</v>
      </c>
      <c r="F85">
        <v>0</v>
      </c>
      <c r="G85">
        <v>11744000000</v>
      </c>
      <c r="H85">
        <v>14300000000</v>
      </c>
      <c r="I85">
        <v>1129000000</v>
      </c>
      <c r="J85">
        <v>180000000</v>
      </c>
      <c r="K85">
        <v>5800000000</v>
      </c>
      <c r="L85">
        <v>5570000000</v>
      </c>
      <c r="M85">
        <v>15072000000</v>
      </c>
      <c r="N85">
        <v>0</v>
      </c>
      <c r="O85">
        <v>-14000000</v>
      </c>
      <c r="P85">
        <v>15922000000</v>
      </c>
      <c r="Q85">
        <v>49050867120</v>
      </c>
      <c r="R85">
        <v>49036867120</v>
      </c>
    </row>
    <row r="86" spans="1:18" x14ac:dyDescent="0.25">
      <c r="A86" s="1" t="s">
        <v>1412</v>
      </c>
      <c r="B86">
        <v>56974137630</v>
      </c>
      <c r="C86" t="s">
        <v>89</v>
      </c>
      <c r="D86" t="s">
        <v>127</v>
      </c>
      <c r="E86">
        <v>11744000000</v>
      </c>
      <c r="F86">
        <v>0</v>
      </c>
      <c r="G86">
        <v>11744000000</v>
      </c>
      <c r="H86">
        <v>14300000000</v>
      </c>
      <c r="I86">
        <v>1129000000</v>
      </c>
      <c r="J86">
        <v>180000000</v>
      </c>
      <c r="K86">
        <v>5800000000</v>
      </c>
      <c r="L86">
        <v>5570000000</v>
      </c>
      <c r="M86">
        <v>15072000000</v>
      </c>
      <c r="N86">
        <v>0</v>
      </c>
      <c r="O86">
        <v>-14000000</v>
      </c>
      <c r="P86">
        <v>15922000000</v>
      </c>
      <c r="Q86">
        <v>51210137630</v>
      </c>
      <c r="R86">
        <v>51196137630</v>
      </c>
    </row>
    <row r="87" spans="1:18" x14ac:dyDescent="0.25">
      <c r="A87" s="1" t="s">
        <v>1411</v>
      </c>
      <c r="B87">
        <v>57807242000</v>
      </c>
      <c r="C87" t="s">
        <v>89</v>
      </c>
      <c r="D87" t="s">
        <v>127</v>
      </c>
      <c r="E87">
        <v>11744000000</v>
      </c>
      <c r="F87">
        <v>0</v>
      </c>
      <c r="G87">
        <v>11744000000</v>
      </c>
      <c r="H87">
        <v>14300000000</v>
      </c>
      <c r="I87">
        <v>1129000000</v>
      </c>
      <c r="J87">
        <v>180000000</v>
      </c>
      <c r="K87">
        <v>5800000000</v>
      </c>
      <c r="L87">
        <v>5570000000</v>
      </c>
      <c r="M87">
        <v>15072000000</v>
      </c>
      <c r="N87">
        <v>0</v>
      </c>
      <c r="O87">
        <v>-14000000</v>
      </c>
      <c r="P87">
        <v>15922000000</v>
      </c>
      <c r="Q87">
        <v>52043242000</v>
      </c>
      <c r="R87">
        <v>52029242000</v>
      </c>
    </row>
    <row r="88" spans="1:18" x14ac:dyDescent="0.25">
      <c r="A88" s="1" t="s">
        <v>1410</v>
      </c>
      <c r="B88">
        <v>57926256910</v>
      </c>
      <c r="C88" t="s">
        <v>89</v>
      </c>
      <c r="D88" t="s">
        <v>127</v>
      </c>
      <c r="E88">
        <v>11744000000</v>
      </c>
      <c r="F88">
        <v>0</v>
      </c>
      <c r="G88">
        <v>11744000000</v>
      </c>
      <c r="H88">
        <v>14300000000</v>
      </c>
      <c r="I88">
        <v>1129000000</v>
      </c>
      <c r="J88">
        <v>180000000</v>
      </c>
      <c r="K88">
        <v>5800000000</v>
      </c>
      <c r="L88">
        <v>5570000000</v>
      </c>
      <c r="M88">
        <v>15072000000</v>
      </c>
      <c r="N88">
        <v>0</v>
      </c>
      <c r="O88">
        <v>-14000000</v>
      </c>
      <c r="P88">
        <v>15922000000</v>
      </c>
      <c r="Q88">
        <v>52162256910</v>
      </c>
      <c r="R88">
        <v>52148256910</v>
      </c>
    </row>
    <row r="89" spans="1:18" x14ac:dyDescent="0.25">
      <c r="A89" s="1" t="s">
        <v>1409</v>
      </c>
      <c r="B89">
        <v>56532082250</v>
      </c>
      <c r="C89" t="s">
        <v>89</v>
      </c>
      <c r="D89" t="s">
        <v>127</v>
      </c>
      <c r="E89">
        <v>11744000000</v>
      </c>
      <c r="F89">
        <v>0</v>
      </c>
      <c r="G89">
        <v>11744000000</v>
      </c>
      <c r="H89">
        <v>14300000000</v>
      </c>
      <c r="I89">
        <v>1129000000</v>
      </c>
      <c r="J89">
        <v>180000000</v>
      </c>
      <c r="K89">
        <v>5800000000</v>
      </c>
      <c r="L89">
        <v>5570000000</v>
      </c>
      <c r="M89">
        <v>15072000000</v>
      </c>
      <c r="N89">
        <v>0</v>
      </c>
      <c r="O89">
        <v>-14000000</v>
      </c>
      <c r="P89">
        <v>15922000000</v>
      </c>
      <c r="Q89">
        <v>50768082250</v>
      </c>
      <c r="R89">
        <v>50754082250</v>
      </c>
    </row>
    <row r="90" spans="1:18" x14ac:dyDescent="0.25">
      <c r="A90" s="1" t="s">
        <v>1408</v>
      </c>
      <c r="B90">
        <v>58538333590</v>
      </c>
      <c r="C90" t="s">
        <v>89</v>
      </c>
      <c r="D90" t="s">
        <v>127</v>
      </c>
      <c r="E90">
        <v>11744000000</v>
      </c>
      <c r="F90">
        <v>0</v>
      </c>
      <c r="G90">
        <v>11744000000</v>
      </c>
      <c r="H90">
        <v>14300000000</v>
      </c>
      <c r="I90">
        <v>1129000000</v>
      </c>
      <c r="J90">
        <v>180000000</v>
      </c>
      <c r="K90">
        <v>5800000000</v>
      </c>
      <c r="L90">
        <v>5570000000</v>
      </c>
      <c r="M90">
        <v>15072000000</v>
      </c>
      <c r="N90">
        <v>0</v>
      </c>
      <c r="O90">
        <v>-14000000</v>
      </c>
      <c r="P90">
        <v>15922000000</v>
      </c>
      <c r="Q90">
        <v>52774333590</v>
      </c>
      <c r="R90">
        <v>52760333590</v>
      </c>
    </row>
    <row r="91" spans="1:18" x14ac:dyDescent="0.25">
      <c r="A91" s="1" t="s">
        <v>1407</v>
      </c>
      <c r="B91">
        <v>58300303770</v>
      </c>
      <c r="C91" t="s">
        <v>89</v>
      </c>
      <c r="D91" t="s">
        <v>127</v>
      </c>
      <c r="E91">
        <v>11744000000</v>
      </c>
      <c r="F91">
        <v>0</v>
      </c>
      <c r="G91">
        <v>11744000000</v>
      </c>
      <c r="H91">
        <v>14300000000</v>
      </c>
      <c r="I91">
        <v>1129000000</v>
      </c>
      <c r="J91">
        <v>180000000</v>
      </c>
      <c r="K91">
        <v>5800000000</v>
      </c>
      <c r="L91">
        <v>5570000000</v>
      </c>
      <c r="M91">
        <v>15072000000</v>
      </c>
      <c r="N91">
        <v>0</v>
      </c>
      <c r="O91">
        <v>-14000000</v>
      </c>
      <c r="P91">
        <v>15922000000</v>
      </c>
      <c r="Q91">
        <v>52536303770</v>
      </c>
      <c r="R91">
        <v>52522303770</v>
      </c>
    </row>
    <row r="92" spans="1:18" x14ac:dyDescent="0.25">
      <c r="A92" s="1" t="s">
        <v>1406</v>
      </c>
      <c r="B92">
        <v>58249297380</v>
      </c>
      <c r="C92" t="s">
        <v>89</v>
      </c>
      <c r="D92" t="s">
        <v>127</v>
      </c>
      <c r="E92">
        <v>11744000000</v>
      </c>
      <c r="F92">
        <v>0</v>
      </c>
      <c r="G92">
        <v>11744000000</v>
      </c>
      <c r="H92">
        <v>14300000000</v>
      </c>
      <c r="I92">
        <v>1129000000</v>
      </c>
      <c r="J92">
        <v>180000000</v>
      </c>
      <c r="K92">
        <v>5800000000</v>
      </c>
      <c r="L92">
        <v>5570000000</v>
      </c>
      <c r="M92">
        <v>15072000000</v>
      </c>
      <c r="N92">
        <v>0</v>
      </c>
      <c r="O92">
        <v>-14000000</v>
      </c>
      <c r="P92">
        <v>15922000000</v>
      </c>
      <c r="Q92">
        <v>52485297380</v>
      </c>
      <c r="R92">
        <v>52471297380</v>
      </c>
    </row>
    <row r="93" spans="1:18" x14ac:dyDescent="0.25">
      <c r="A93" s="1" t="s">
        <v>1405</v>
      </c>
      <c r="B93">
        <v>57501203660</v>
      </c>
      <c r="C93" t="s">
        <v>89</v>
      </c>
      <c r="D93" t="s">
        <v>127</v>
      </c>
      <c r="E93">
        <v>11744000000</v>
      </c>
      <c r="F93">
        <v>0</v>
      </c>
      <c r="G93">
        <v>11744000000</v>
      </c>
      <c r="H93">
        <v>14300000000</v>
      </c>
      <c r="I93">
        <v>1129000000</v>
      </c>
      <c r="J93">
        <v>180000000</v>
      </c>
      <c r="K93">
        <v>5800000000</v>
      </c>
      <c r="L93">
        <v>5570000000</v>
      </c>
      <c r="M93">
        <v>15072000000</v>
      </c>
      <c r="N93">
        <v>0</v>
      </c>
      <c r="O93">
        <v>-14000000</v>
      </c>
      <c r="P93">
        <v>15922000000</v>
      </c>
      <c r="Q93">
        <v>51737203660</v>
      </c>
      <c r="R93">
        <v>51723203660</v>
      </c>
    </row>
    <row r="94" spans="1:18" x14ac:dyDescent="0.25">
      <c r="A94" s="1" t="s">
        <v>1404</v>
      </c>
      <c r="B94">
        <v>55426943800</v>
      </c>
      <c r="C94" t="s">
        <v>89</v>
      </c>
      <c r="D94" t="s">
        <v>127</v>
      </c>
      <c r="E94">
        <v>11744000000</v>
      </c>
      <c r="F94">
        <v>0</v>
      </c>
      <c r="G94">
        <v>11744000000</v>
      </c>
      <c r="H94">
        <v>14300000000</v>
      </c>
      <c r="I94">
        <v>1129000000</v>
      </c>
      <c r="J94">
        <v>180000000</v>
      </c>
      <c r="K94">
        <v>5800000000</v>
      </c>
      <c r="L94">
        <v>5570000000</v>
      </c>
      <c r="M94">
        <v>15072000000</v>
      </c>
      <c r="N94">
        <v>0</v>
      </c>
      <c r="O94">
        <v>-14000000</v>
      </c>
      <c r="P94">
        <v>15922000000</v>
      </c>
      <c r="Q94">
        <v>49662943800</v>
      </c>
      <c r="R94">
        <v>49648943800</v>
      </c>
    </row>
    <row r="95" spans="1:18" x14ac:dyDescent="0.25">
      <c r="A95" s="1" t="s">
        <v>1403</v>
      </c>
      <c r="B95">
        <v>56107029000</v>
      </c>
      <c r="C95" t="s">
        <v>89</v>
      </c>
      <c r="D95" t="s">
        <v>127</v>
      </c>
      <c r="E95">
        <v>11744000000</v>
      </c>
      <c r="F95">
        <v>0</v>
      </c>
      <c r="G95">
        <v>11744000000</v>
      </c>
      <c r="H95">
        <v>14300000000</v>
      </c>
      <c r="I95">
        <v>1129000000</v>
      </c>
      <c r="J95">
        <v>180000000</v>
      </c>
      <c r="K95">
        <v>5800000000</v>
      </c>
      <c r="L95">
        <v>5570000000</v>
      </c>
      <c r="M95">
        <v>15072000000</v>
      </c>
      <c r="N95">
        <v>0</v>
      </c>
      <c r="O95">
        <v>-14000000</v>
      </c>
      <c r="P95">
        <v>15922000000</v>
      </c>
      <c r="Q95">
        <v>50343029000</v>
      </c>
      <c r="R95">
        <v>50329029000</v>
      </c>
    </row>
    <row r="96" spans="1:18" x14ac:dyDescent="0.25">
      <c r="A96" s="1" t="s">
        <v>1402</v>
      </c>
      <c r="B96">
        <v>53216666900</v>
      </c>
      <c r="C96" t="s">
        <v>89</v>
      </c>
      <c r="D96" t="s">
        <v>127</v>
      </c>
      <c r="E96">
        <v>11744000000</v>
      </c>
      <c r="F96">
        <v>0</v>
      </c>
      <c r="G96">
        <v>11744000000</v>
      </c>
      <c r="H96">
        <v>14300000000</v>
      </c>
      <c r="I96">
        <v>1129000000</v>
      </c>
      <c r="J96">
        <v>180000000</v>
      </c>
      <c r="K96">
        <v>5800000000</v>
      </c>
      <c r="L96">
        <v>5570000000</v>
      </c>
      <c r="M96">
        <v>15072000000</v>
      </c>
      <c r="N96">
        <v>0</v>
      </c>
      <c r="O96">
        <v>-14000000</v>
      </c>
      <c r="P96">
        <v>15922000000</v>
      </c>
      <c r="Q96">
        <v>47452666900</v>
      </c>
      <c r="R96">
        <v>47438666900</v>
      </c>
    </row>
    <row r="97" spans="1:18" x14ac:dyDescent="0.25">
      <c r="A97" s="1" t="s">
        <v>1401</v>
      </c>
      <c r="B97">
        <v>53862747840</v>
      </c>
      <c r="C97" t="s">
        <v>89</v>
      </c>
      <c r="D97" t="s">
        <v>127</v>
      </c>
      <c r="E97">
        <v>11744000000</v>
      </c>
      <c r="F97">
        <v>0</v>
      </c>
      <c r="G97">
        <v>11744000000</v>
      </c>
      <c r="H97">
        <v>14300000000</v>
      </c>
      <c r="I97">
        <v>1129000000</v>
      </c>
      <c r="J97">
        <v>180000000</v>
      </c>
      <c r="K97">
        <v>5800000000</v>
      </c>
      <c r="L97">
        <v>5570000000</v>
      </c>
      <c r="M97">
        <v>15072000000</v>
      </c>
      <c r="N97">
        <v>0</v>
      </c>
      <c r="O97">
        <v>-14000000</v>
      </c>
      <c r="P97">
        <v>15922000000</v>
      </c>
      <c r="Q97">
        <v>48098747840</v>
      </c>
      <c r="R97">
        <v>48084747840</v>
      </c>
    </row>
    <row r="98" spans="1:18" x14ac:dyDescent="0.25">
      <c r="A98" s="1" t="s">
        <v>1400</v>
      </c>
      <c r="B98">
        <v>53675724410</v>
      </c>
      <c r="C98" t="s">
        <v>89</v>
      </c>
      <c r="D98" t="s">
        <v>127</v>
      </c>
      <c r="E98">
        <v>11744000000</v>
      </c>
      <c r="F98">
        <v>0</v>
      </c>
      <c r="G98">
        <v>11744000000</v>
      </c>
      <c r="H98">
        <v>14300000000</v>
      </c>
      <c r="I98">
        <v>1129000000</v>
      </c>
      <c r="J98">
        <v>180000000</v>
      </c>
      <c r="K98">
        <v>5800000000</v>
      </c>
      <c r="L98">
        <v>5570000000</v>
      </c>
      <c r="M98">
        <v>15072000000</v>
      </c>
      <c r="N98">
        <v>0</v>
      </c>
      <c r="O98">
        <v>-14000000</v>
      </c>
      <c r="P98">
        <v>15922000000</v>
      </c>
      <c r="Q98">
        <v>47911724410</v>
      </c>
      <c r="R98">
        <v>47897724410</v>
      </c>
    </row>
    <row r="99" spans="1:18" x14ac:dyDescent="0.25">
      <c r="A99" s="1" t="s">
        <v>1399</v>
      </c>
      <c r="B99">
        <v>51499451770</v>
      </c>
      <c r="C99" t="s">
        <v>89</v>
      </c>
      <c r="D99" t="s">
        <v>127</v>
      </c>
      <c r="E99">
        <v>11744000000</v>
      </c>
      <c r="F99">
        <v>0</v>
      </c>
      <c r="G99">
        <v>11744000000</v>
      </c>
      <c r="H99">
        <v>14300000000</v>
      </c>
      <c r="I99">
        <v>1129000000</v>
      </c>
      <c r="J99">
        <v>180000000</v>
      </c>
      <c r="K99">
        <v>5800000000</v>
      </c>
      <c r="L99">
        <v>5570000000</v>
      </c>
      <c r="M99">
        <v>15072000000</v>
      </c>
      <c r="N99">
        <v>0</v>
      </c>
      <c r="O99">
        <v>-14000000</v>
      </c>
      <c r="P99">
        <v>15922000000</v>
      </c>
      <c r="Q99">
        <v>45735451770</v>
      </c>
      <c r="R99">
        <v>45721451770</v>
      </c>
    </row>
    <row r="100" spans="1:18" x14ac:dyDescent="0.25">
      <c r="A100" s="1" t="s">
        <v>88</v>
      </c>
      <c r="B100">
        <v>52111622200</v>
      </c>
      <c r="C100" t="s">
        <v>89</v>
      </c>
      <c r="D100" t="s">
        <v>127</v>
      </c>
      <c r="E100">
        <v>11744000000</v>
      </c>
      <c r="F100">
        <v>0</v>
      </c>
      <c r="G100">
        <v>11744000000</v>
      </c>
      <c r="H100">
        <v>14300000000</v>
      </c>
      <c r="I100">
        <v>1129000000</v>
      </c>
      <c r="J100">
        <v>180000000</v>
      </c>
      <c r="K100">
        <v>5800000000</v>
      </c>
      <c r="L100">
        <v>5570000000</v>
      </c>
      <c r="M100">
        <v>15072000000</v>
      </c>
      <c r="N100">
        <v>0</v>
      </c>
      <c r="O100">
        <v>-14000000</v>
      </c>
      <c r="P100">
        <v>15922000000</v>
      </c>
      <c r="Q100">
        <v>46347622200</v>
      </c>
      <c r="R100">
        <v>46333622200</v>
      </c>
    </row>
    <row r="101" spans="1:18" x14ac:dyDescent="0.25">
      <c r="A101" s="1" t="s">
        <v>1398</v>
      </c>
      <c r="B101">
        <v>49854079000</v>
      </c>
      <c r="C101" t="s">
        <v>89</v>
      </c>
      <c r="D101" t="s">
        <v>127</v>
      </c>
      <c r="E101">
        <v>11744000000</v>
      </c>
      <c r="F101">
        <v>0</v>
      </c>
      <c r="G101">
        <v>11744000000</v>
      </c>
      <c r="H101">
        <v>14300000000</v>
      </c>
      <c r="I101">
        <v>1129000000</v>
      </c>
      <c r="J101">
        <v>180000000</v>
      </c>
      <c r="K101">
        <v>5800000000</v>
      </c>
      <c r="L101">
        <v>5570000000</v>
      </c>
      <c r="M101">
        <v>15072000000</v>
      </c>
      <c r="N101">
        <v>0</v>
      </c>
      <c r="O101">
        <v>-14000000</v>
      </c>
      <c r="P101">
        <v>15922000000</v>
      </c>
      <c r="Q101">
        <v>44090079000</v>
      </c>
      <c r="R101">
        <v>44076079000</v>
      </c>
    </row>
    <row r="102" spans="1:18" x14ac:dyDescent="0.25">
      <c r="A102" s="1" t="s">
        <v>1397</v>
      </c>
      <c r="B102">
        <v>49597540000</v>
      </c>
      <c r="C102" t="s">
        <v>89</v>
      </c>
      <c r="D102" t="s">
        <v>127</v>
      </c>
      <c r="E102">
        <v>11744000000</v>
      </c>
      <c r="F102">
        <v>0</v>
      </c>
      <c r="G102">
        <v>11744000000</v>
      </c>
      <c r="H102">
        <v>14300000000</v>
      </c>
      <c r="I102">
        <v>1129000000</v>
      </c>
      <c r="J102">
        <v>180000000</v>
      </c>
      <c r="K102">
        <v>5800000000</v>
      </c>
      <c r="L102">
        <v>5570000000</v>
      </c>
      <c r="M102">
        <v>15072000000</v>
      </c>
      <c r="N102">
        <v>0</v>
      </c>
      <c r="O102">
        <v>-14000000</v>
      </c>
      <c r="P102">
        <v>15922000000</v>
      </c>
      <c r="Q102">
        <v>43833540000</v>
      </c>
      <c r="R102">
        <v>43819540000</v>
      </c>
    </row>
    <row r="103" spans="1:18" x14ac:dyDescent="0.25">
      <c r="A103" s="1" t="s">
        <v>1396</v>
      </c>
      <c r="B103">
        <v>50828927200</v>
      </c>
      <c r="C103" t="s">
        <v>89</v>
      </c>
      <c r="D103" t="s">
        <v>127</v>
      </c>
      <c r="E103">
        <v>11744000000</v>
      </c>
      <c r="F103">
        <v>0</v>
      </c>
      <c r="G103">
        <v>11744000000</v>
      </c>
      <c r="H103">
        <v>14300000000</v>
      </c>
      <c r="I103">
        <v>1129000000</v>
      </c>
      <c r="J103">
        <v>180000000</v>
      </c>
      <c r="K103">
        <v>5800000000</v>
      </c>
      <c r="L103">
        <v>5570000000</v>
      </c>
      <c r="M103">
        <v>15072000000</v>
      </c>
      <c r="N103">
        <v>0</v>
      </c>
      <c r="O103">
        <v>-14000000</v>
      </c>
      <c r="P103">
        <v>15922000000</v>
      </c>
      <c r="Q103">
        <v>45064927200</v>
      </c>
      <c r="R103">
        <v>45050927200</v>
      </c>
    </row>
    <row r="104" spans="1:18" x14ac:dyDescent="0.25">
      <c r="A104" s="1" t="s">
        <v>1395</v>
      </c>
      <c r="B104">
        <v>50743414200</v>
      </c>
      <c r="C104" t="s">
        <v>89</v>
      </c>
      <c r="D104" t="s">
        <v>127</v>
      </c>
      <c r="E104">
        <v>11744000000</v>
      </c>
      <c r="F104">
        <v>0</v>
      </c>
      <c r="G104">
        <v>11744000000</v>
      </c>
      <c r="H104">
        <v>14300000000</v>
      </c>
      <c r="I104">
        <v>1129000000</v>
      </c>
      <c r="J104">
        <v>180000000</v>
      </c>
      <c r="K104">
        <v>5800000000</v>
      </c>
      <c r="L104">
        <v>5570000000</v>
      </c>
      <c r="M104">
        <v>15072000000</v>
      </c>
      <c r="N104">
        <v>0</v>
      </c>
      <c r="O104">
        <v>-14000000</v>
      </c>
      <c r="P104">
        <v>15922000000</v>
      </c>
      <c r="Q104">
        <v>44979414200</v>
      </c>
      <c r="R104">
        <v>44965414200</v>
      </c>
    </row>
    <row r="105" spans="1:18" x14ac:dyDescent="0.25">
      <c r="A105" s="1" t="s">
        <v>1394</v>
      </c>
      <c r="B105">
        <v>51940596200</v>
      </c>
      <c r="C105" t="s">
        <v>89</v>
      </c>
      <c r="D105" t="s">
        <v>127</v>
      </c>
      <c r="E105">
        <v>11744000000</v>
      </c>
      <c r="F105">
        <v>0</v>
      </c>
      <c r="G105">
        <v>11744000000</v>
      </c>
      <c r="H105">
        <v>14300000000</v>
      </c>
      <c r="I105">
        <v>1129000000</v>
      </c>
      <c r="J105">
        <v>180000000</v>
      </c>
      <c r="K105">
        <v>5800000000</v>
      </c>
      <c r="L105">
        <v>5570000000</v>
      </c>
      <c r="M105">
        <v>15072000000</v>
      </c>
      <c r="N105">
        <v>0</v>
      </c>
      <c r="O105">
        <v>-14000000</v>
      </c>
      <c r="P105">
        <v>15922000000</v>
      </c>
      <c r="Q105">
        <v>46176596200</v>
      </c>
      <c r="R105">
        <v>46162596200</v>
      </c>
    </row>
    <row r="106" spans="1:18" x14ac:dyDescent="0.25">
      <c r="A106" s="1" t="s">
        <v>1393</v>
      </c>
      <c r="B106">
        <v>50076412800</v>
      </c>
      <c r="C106" t="s">
        <v>89</v>
      </c>
      <c r="D106" t="s">
        <v>127</v>
      </c>
      <c r="E106">
        <v>11744000000</v>
      </c>
      <c r="F106">
        <v>0</v>
      </c>
      <c r="G106">
        <v>11744000000</v>
      </c>
      <c r="H106">
        <v>14300000000</v>
      </c>
      <c r="I106">
        <v>1129000000</v>
      </c>
      <c r="J106">
        <v>180000000</v>
      </c>
      <c r="K106">
        <v>5800000000</v>
      </c>
      <c r="L106">
        <v>5570000000</v>
      </c>
      <c r="M106">
        <v>15072000000</v>
      </c>
      <c r="N106">
        <v>0</v>
      </c>
      <c r="O106">
        <v>-14000000</v>
      </c>
      <c r="P106">
        <v>15922000000</v>
      </c>
      <c r="Q106">
        <v>44312412800</v>
      </c>
      <c r="R106">
        <v>44298412800</v>
      </c>
    </row>
    <row r="107" spans="1:18" x14ac:dyDescent="0.25">
      <c r="A107" s="1" t="s">
        <v>1392</v>
      </c>
      <c r="B107">
        <v>49717258200</v>
      </c>
      <c r="C107" t="s">
        <v>89</v>
      </c>
      <c r="D107" t="s">
        <v>127</v>
      </c>
      <c r="E107">
        <v>11744000000</v>
      </c>
      <c r="F107">
        <v>0</v>
      </c>
      <c r="G107">
        <v>11744000000</v>
      </c>
      <c r="H107">
        <v>14300000000</v>
      </c>
      <c r="I107">
        <v>1129000000</v>
      </c>
      <c r="J107">
        <v>180000000</v>
      </c>
      <c r="K107">
        <v>5800000000</v>
      </c>
      <c r="L107">
        <v>5570000000</v>
      </c>
      <c r="M107">
        <v>15072000000</v>
      </c>
      <c r="N107">
        <v>0</v>
      </c>
      <c r="O107">
        <v>-14000000</v>
      </c>
      <c r="P107">
        <v>15922000000</v>
      </c>
      <c r="Q107">
        <v>43953258200</v>
      </c>
      <c r="R107">
        <v>43939258200</v>
      </c>
    </row>
    <row r="108" spans="1:18" x14ac:dyDescent="0.25">
      <c r="A108" s="1" t="s">
        <v>1391</v>
      </c>
      <c r="B108">
        <v>49375206200</v>
      </c>
      <c r="C108" t="s">
        <v>89</v>
      </c>
      <c r="D108" t="s">
        <v>127</v>
      </c>
      <c r="E108">
        <v>11744000000</v>
      </c>
      <c r="F108">
        <v>0</v>
      </c>
      <c r="G108">
        <v>11744000000</v>
      </c>
      <c r="H108">
        <v>14300000000</v>
      </c>
      <c r="I108">
        <v>1129000000</v>
      </c>
      <c r="J108">
        <v>180000000</v>
      </c>
      <c r="K108">
        <v>5800000000</v>
      </c>
      <c r="L108">
        <v>5570000000</v>
      </c>
      <c r="M108">
        <v>15072000000</v>
      </c>
      <c r="N108">
        <v>0</v>
      </c>
      <c r="O108">
        <v>-14000000</v>
      </c>
      <c r="P108">
        <v>15922000000</v>
      </c>
      <c r="Q108">
        <v>43611206200</v>
      </c>
      <c r="R108">
        <v>43597206200</v>
      </c>
    </row>
    <row r="109" spans="1:18" x14ac:dyDescent="0.25">
      <c r="A109" s="1" t="s">
        <v>1390</v>
      </c>
      <c r="B109">
        <v>51530133800</v>
      </c>
      <c r="C109" t="s">
        <v>89</v>
      </c>
      <c r="D109" t="s">
        <v>127</v>
      </c>
      <c r="E109">
        <v>11744000000</v>
      </c>
      <c r="F109">
        <v>0</v>
      </c>
      <c r="G109">
        <v>11744000000</v>
      </c>
      <c r="H109">
        <v>14300000000</v>
      </c>
      <c r="I109">
        <v>1129000000</v>
      </c>
      <c r="J109">
        <v>180000000</v>
      </c>
      <c r="K109">
        <v>5800000000</v>
      </c>
      <c r="L109">
        <v>5570000000</v>
      </c>
      <c r="M109">
        <v>15072000000</v>
      </c>
      <c r="N109">
        <v>0</v>
      </c>
      <c r="O109">
        <v>-14000000</v>
      </c>
      <c r="P109">
        <v>15922000000</v>
      </c>
      <c r="Q109">
        <v>45766133800</v>
      </c>
      <c r="R109">
        <v>45752133800</v>
      </c>
    </row>
    <row r="110" spans="1:18" x14ac:dyDescent="0.25">
      <c r="A110" s="1" t="s">
        <v>1389</v>
      </c>
      <c r="B110">
        <v>53223291200</v>
      </c>
      <c r="C110" t="s">
        <v>89</v>
      </c>
      <c r="D110" t="s">
        <v>127</v>
      </c>
      <c r="E110">
        <v>11744000000</v>
      </c>
      <c r="F110">
        <v>0</v>
      </c>
      <c r="G110">
        <v>11744000000</v>
      </c>
      <c r="H110">
        <v>14300000000</v>
      </c>
      <c r="I110">
        <v>1129000000</v>
      </c>
      <c r="J110">
        <v>180000000</v>
      </c>
      <c r="K110">
        <v>5800000000</v>
      </c>
      <c r="L110">
        <v>5570000000</v>
      </c>
      <c r="M110">
        <v>15072000000</v>
      </c>
      <c r="N110">
        <v>0</v>
      </c>
      <c r="O110">
        <v>-14000000</v>
      </c>
      <c r="P110">
        <v>15922000000</v>
      </c>
      <c r="Q110">
        <v>47459291200</v>
      </c>
      <c r="R110">
        <v>47445291200</v>
      </c>
    </row>
    <row r="111" spans="1:18" x14ac:dyDescent="0.25">
      <c r="A111" s="1" t="s">
        <v>1388</v>
      </c>
      <c r="B111">
        <v>54728320000</v>
      </c>
      <c r="C111" t="s">
        <v>89</v>
      </c>
      <c r="D111" t="s">
        <v>127</v>
      </c>
      <c r="E111">
        <v>11744000000</v>
      </c>
      <c r="F111">
        <v>0</v>
      </c>
      <c r="G111">
        <v>11744000000</v>
      </c>
      <c r="H111">
        <v>14300000000</v>
      </c>
      <c r="I111">
        <v>1129000000</v>
      </c>
      <c r="J111">
        <v>180000000</v>
      </c>
      <c r="K111">
        <v>5800000000</v>
      </c>
      <c r="L111">
        <v>5570000000</v>
      </c>
      <c r="M111">
        <v>15072000000</v>
      </c>
      <c r="N111">
        <v>0</v>
      </c>
      <c r="O111">
        <v>-14000000</v>
      </c>
      <c r="P111">
        <v>15922000000</v>
      </c>
      <c r="Q111">
        <v>48964320000</v>
      </c>
      <c r="R111">
        <v>48950320000</v>
      </c>
    </row>
    <row r="112" spans="1:18" x14ac:dyDescent="0.25">
      <c r="A112" s="1" t="s">
        <v>1387</v>
      </c>
      <c r="B112">
        <v>54505986200</v>
      </c>
      <c r="C112" t="s">
        <v>89</v>
      </c>
      <c r="D112" t="s">
        <v>127</v>
      </c>
      <c r="E112">
        <v>11744000000</v>
      </c>
      <c r="F112">
        <v>0</v>
      </c>
      <c r="G112">
        <v>11744000000</v>
      </c>
      <c r="H112">
        <v>14300000000</v>
      </c>
      <c r="I112">
        <v>1129000000</v>
      </c>
      <c r="J112">
        <v>180000000</v>
      </c>
      <c r="K112">
        <v>5800000000</v>
      </c>
      <c r="L112">
        <v>5570000000</v>
      </c>
      <c r="M112">
        <v>15072000000</v>
      </c>
      <c r="N112">
        <v>0</v>
      </c>
      <c r="O112">
        <v>-14000000</v>
      </c>
      <c r="P112">
        <v>15922000000</v>
      </c>
      <c r="Q112">
        <v>48741986200</v>
      </c>
      <c r="R112">
        <v>48727986200</v>
      </c>
    </row>
    <row r="113" spans="1:18" x14ac:dyDescent="0.25">
      <c r="A113" s="1" t="s">
        <v>1386</v>
      </c>
      <c r="B113">
        <v>55788681199</v>
      </c>
      <c r="C113" t="s">
        <v>89</v>
      </c>
      <c r="D113" t="s">
        <v>127</v>
      </c>
      <c r="E113">
        <v>11744000000</v>
      </c>
      <c r="F113">
        <v>0</v>
      </c>
      <c r="G113">
        <v>11744000000</v>
      </c>
      <c r="H113">
        <v>14300000000</v>
      </c>
      <c r="I113">
        <v>1129000000</v>
      </c>
      <c r="J113">
        <v>180000000</v>
      </c>
      <c r="K113">
        <v>5800000000</v>
      </c>
      <c r="L113">
        <v>5570000000</v>
      </c>
      <c r="M113">
        <v>15072000000</v>
      </c>
      <c r="N113">
        <v>0</v>
      </c>
      <c r="O113">
        <v>-14000000</v>
      </c>
      <c r="P113">
        <v>15922000000</v>
      </c>
      <c r="Q113">
        <v>50024681199</v>
      </c>
      <c r="R113">
        <v>50010681199</v>
      </c>
    </row>
    <row r="114" spans="1:18" x14ac:dyDescent="0.25">
      <c r="A114" s="1" t="s">
        <v>1385</v>
      </c>
      <c r="B114">
        <v>54830935600</v>
      </c>
      <c r="C114" t="s">
        <v>89</v>
      </c>
      <c r="D114" t="s">
        <v>127</v>
      </c>
      <c r="E114">
        <v>11744000000</v>
      </c>
      <c r="F114">
        <v>0</v>
      </c>
      <c r="G114">
        <v>11744000000</v>
      </c>
      <c r="H114">
        <v>14300000000</v>
      </c>
      <c r="I114">
        <v>1129000000</v>
      </c>
      <c r="J114">
        <v>180000000</v>
      </c>
      <c r="K114">
        <v>5800000000</v>
      </c>
      <c r="L114">
        <v>5570000000</v>
      </c>
      <c r="M114">
        <v>15072000000</v>
      </c>
      <c r="N114">
        <v>0</v>
      </c>
      <c r="O114">
        <v>-14000000</v>
      </c>
      <c r="P114">
        <v>15922000000</v>
      </c>
      <c r="Q114">
        <v>49066935600</v>
      </c>
      <c r="R114">
        <v>49052935600</v>
      </c>
    </row>
    <row r="115" spans="1:18" x14ac:dyDescent="0.25">
      <c r="A115" s="1" t="s">
        <v>1384</v>
      </c>
      <c r="B115">
        <v>53719266600</v>
      </c>
      <c r="C115" t="s">
        <v>89</v>
      </c>
      <c r="D115" t="s">
        <v>127</v>
      </c>
      <c r="E115">
        <v>11744000000</v>
      </c>
      <c r="F115">
        <v>0</v>
      </c>
      <c r="G115">
        <v>11744000000</v>
      </c>
      <c r="H115">
        <v>14300000000</v>
      </c>
      <c r="I115">
        <v>1129000000</v>
      </c>
      <c r="J115">
        <v>180000000</v>
      </c>
      <c r="K115">
        <v>5800000000</v>
      </c>
      <c r="L115">
        <v>5570000000</v>
      </c>
      <c r="M115">
        <v>15072000000</v>
      </c>
      <c r="N115">
        <v>0</v>
      </c>
      <c r="O115">
        <v>-14000000</v>
      </c>
      <c r="P115">
        <v>15922000000</v>
      </c>
      <c r="Q115">
        <v>47955266600</v>
      </c>
      <c r="R115">
        <v>47941266600</v>
      </c>
    </row>
    <row r="116" spans="1:18" x14ac:dyDescent="0.25">
      <c r="A116" s="1" t="s">
        <v>1383</v>
      </c>
      <c r="B116">
        <v>55634757800</v>
      </c>
      <c r="C116" t="s">
        <v>89</v>
      </c>
      <c r="D116" t="s">
        <v>127</v>
      </c>
      <c r="E116">
        <v>11744000000</v>
      </c>
      <c r="F116">
        <v>0</v>
      </c>
      <c r="G116">
        <v>11744000000</v>
      </c>
      <c r="H116">
        <v>14300000000</v>
      </c>
      <c r="I116">
        <v>1129000000</v>
      </c>
      <c r="J116">
        <v>180000000</v>
      </c>
      <c r="K116">
        <v>5800000000</v>
      </c>
      <c r="L116">
        <v>5570000000</v>
      </c>
      <c r="M116">
        <v>15072000000</v>
      </c>
      <c r="N116">
        <v>0</v>
      </c>
      <c r="O116">
        <v>-14000000</v>
      </c>
      <c r="P116">
        <v>15922000000</v>
      </c>
      <c r="Q116">
        <v>49870757800</v>
      </c>
      <c r="R116">
        <v>49856757800</v>
      </c>
    </row>
    <row r="117" spans="1:18" x14ac:dyDescent="0.25">
      <c r="A117" s="1" t="s">
        <v>1382</v>
      </c>
      <c r="B117">
        <v>56524092999</v>
      </c>
      <c r="C117" t="s">
        <v>89</v>
      </c>
      <c r="D117" t="s">
        <v>127</v>
      </c>
      <c r="E117">
        <v>11744000000</v>
      </c>
      <c r="F117">
        <v>0</v>
      </c>
      <c r="G117">
        <v>11744000000</v>
      </c>
      <c r="H117">
        <v>14300000000</v>
      </c>
      <c r="I117">
        <v>1129000000</v>
      </c>
      <c r="J117">
        <v>180000000</v>
      </c>
      <c r="K117">
        <v>5800000000</v>
      </c>
      <c r="L117">
        <v>5570000000</v>
      </c>
      <c r="M117">
        <v>15072000000</v>
      </c>
      <c r="N117">
        <v>0</v>
      </c>
      <c r="O117">
        <v>-14000000</v>
      </c>
      <c r="P117">
        <v>15922000000</v>
      </c>
      <c r="Q117">
        <v>50760092999</v>
      </c>
      <c r="R117">
        <v>50746092999</v>
      </c>
    </row>
    <row r="118" spans="1:18" x14ac:dyDescent="0.25">
      <c r="A118" s="1" t="s">
        <v>1381</v>
      </c>
      <c r="B118">
        <v>56917452800</v>
      </c>
      <c r="C118" t="s">
        <v>89</v>
      </c>
      <c r="D118" t="s">
        <v>127</v>
      </c>
      <c r="E118">
        <v>11744000000</v>
      </c>
      <c r="F118">
        <v>0</v>
      </c>
      <c r="G118">
        <v>11744000000</v>
      </c>
      <c r="H118">
        <v>14300000000</v>
      </c>
      <c r="I118">
        <v>1129000000</v>
      </c>
      <c r="J118">
        <v>180000000</v>
      </c>
      <c r="K118">
        <v>5800000000</v>
      </c>
      <c r="L118">
        <v>5570000000</v>
      </c>
      <c r="M118">
        <v>15072000000</v>
      </c>
      <c r="N118">
        <v>0</v>
      </c>
      <c r="O118">
        <v>-14000000</v>
      </c>
      <c r="P118">
        <v>15922000000</v>
      </c>
      <c r="Q118">
        <v>51153452800</v>
      </c>
      <c r="R118">
        <v>51139452800</v>
      </c>
    </row>
    <row r="119" spans="1:18" x14ac:dyDescent="0.25">
      <c r="A119" s="1" t="s">
        <v>1380</v>
      </c>
      <c r="B119">
        <v>55942604600</v>
      </c>
      <c r="C119" t="s">
        <v>89</v>
      </c>
      <c r="D119" t="s">
        <v>127</v>
      </c>
      <c r="E119">
        <v>11744000000</v>
      </c>
      <c r="F119">
        <v>0</v>
      </c>
      <c r="G119">
        <v>11744000000</v>
      </c>
      <c r="H119">
        <v>14300000000</v>
      </c>
      <c r="I119">
        <v>1129000000</v>
      </c>
      <c r="J119">
        <v>180000000</v>
      </c>
      <c r="K119">
        <v>5800000000</v>
      </c>
      <c r="L119">
        <v>5570000000</v>
      </c>
      <c r="M119">
        <v>15072000000</v>
      </c>
      <c r="N119">
        <v>0</v>
      </c>
      <c r="O119">
        <v>-14000000</v>
      </c>
      <c r="P119">
        <v>15922000000</v>
      </c>
      <c r="Q119">
        <v>50178604600</v>
      </c>
      <c r="R119">
        <v>50164604600</v>
      </c>
    </row>
    <row r="120" spans="1:18" x14ac:dyDescent="0.25">
      <c r="A120" s="1" t="s">
        <v>1379</v>
      </c>
      <c r="B120">
        <v>56814837200</v>
      </c>
      <c r="C120" t="s">
        <v>89</v>
      </c>
      <c r="D120" t="s">
        <v>127</v>
      </c>
      <c r="E120">
        <v>11744000000</v>
      </c>
      <c r="F120">
        <v>0</v>
      </c>
      <c r="G120">
        <v>11744000000</v>
      </c>
      <c r="H120">
        <v>14300000000</v>
      </c>
      <c r="I120">
        <v>1129000000</v>
      </c>
      <c r="J120">
        <v>180000000</v>
      </c>
      <c r="K120">
        <v>5800000000</v>
      </c>
      <c r="L120">
        <v>5570000000</v>
      </c>
      <c r="M120">
        <v>15072000000</v>
      </c>
      <c r="N120">
        <v>0</v>
      </c>
      <c r="O120">
        <v>-14000000</v>
      </c>
      <c r="P120">
        <v>15922000000</v>
      </c>
      <c r="Q120">
        <v>51050837200</v>
      </c>
      <c r="R120">
        <v>51036837200</v>
      </c>
    </row>
    <row r="121" spans="1:18" x14ac:dyDescent="0.25">
      <c r="A121" s="1" t="s">
        <v>1378</v>
      </c>
      <c r="B121">
        <v>55446629200</v>
      </c>
      <c r="C121" t="s">
        <v>89</v>
      </c>
      <c r="D121" t="s">
        <v>127</v>
      </c>
      <c r="E121">
        <v>11744000000</v>
      </c>
      <c r="F121">
        <v>0</v>
      </c>
      <c r="G121">
        <v>11744000000</v>
      </c>
      <c r="H121">
        <v>14300000000</v>
      </c>
      <c r="I121">
        <v>1129000000</v>
      </c>
      <c r="J121">
        <v>180000000</v>
      </c>
      <c r="K121">
        <v>5800000000</v>
      </c>
      <c r="L121">
        <v>5570000000</v>
      </c>
      <c r="M121">
        <v>15072000000</v>
      </c>
      <c r="N121">
        <v>0</v>
      </c>
      <c r="O121">
        <v>-14000000</v>
      </c>
      <c r="P121">
        <v>15922000000</v>
      </c>
      <c r="Q121">
        <v>49682629200</v>
      </c>
      <c r="R121">
        <v>49668629200</v>
      </c>
    </row>
    <row r="122" spans="1:18" x14ac:dyDescent="0.25">
      <c r="A122" s="1" t="s">
        <v>1377</v>
      </c>
      <c r="B122">
        <v>57721275000</v>
      </c>
      <c r="C122" t="s">
        <v>89</v>
      </c>
      <c r="D122" t="s">
        <v>127</v>
      </c>
      <c r="E122">
        <v>11744000000</v>
      </c>
      <c r="F122">
        <v>0</v>
      </c>
      <c r="G122">
        <v>11744000000</v>
      </c>
      <c r="H122">
        <v>14300000000</v>
      </c>
      <c r="I122">
        <v>1129000000</v>
      </c>
      <c r="J122">
        <v>180000000</v>
      </c>
      <c r="K122">
        <v>5800000000</v>
      </c>
      <c r="L122">
        <v>5570000000</v>
      </c>
      <c r="M122">
        <v>15072000000</v>
      </c>
      <c r="N122">
        <v>0</v>
      </c>
      <c r="O122">
        <v>-14000000</v>
      </c>
      <c r="P122">
        <v>15922000000</v>
      </c>
      <c r="Q122">
        <v>51957275000</v>
      </c>
      <c r="R122">
        <v>51943275000</v>
      </c>
    </row>
    <row r="123" spans="1:18" x14ac:dyDescent="0.25">
      <c r="A123" s="1" t="s">
        <v>1376</v>
      </c>
      <c r="B123">
        <v>53873190000</v>
      </c>
      <c r="C123" t="s">
        <v>89</v>
      </c>
      <c r="D123" t="s">
        <v>127</v>
      </c>
      <c r="E123">
        <v>11744000000</v>
      </c>
      <c r="F123">
        <v>0</v>
      </c>
      <c r="G123">
        <v>11744000000</v>
      </c>
      <c r="H123">
        <v>14300000000</v>
      </c>
      <c r="I123">
        <v>1129000000</v>
      </c>
      <c r="J123">
        <v>180000000</v>
      </c>
      <c r="K123">
        <v>5800000000</v>
      </c>
      <c r="L123">
        <v>5570000000</v>
      </c>
      <c r="M123">
        <v>15072000000</v>
      </c>
      <c r="N123">
        <v>0</v>
      </c>
      <c r="O123">
        <v>-14000000</v>
      </c>
      <c r="P123">
        <v>15922000000</v>
      </c>
      <c r="Q123">
        <v>48109190000</v>
      </c>
      <c r="R123">
        <v>48095190000</v>
      </c>
    </row>
    <row r="124" spans="1:18" x14ac:dyDescent="0.25">
      <c r="A124" s="1" t="s">
        <v>1375</v>
      </c>
      <c r="B124">
        <v>53650856200</v>
      </c>
      <c r="C124" t="s">
        <v>89</v>
      </c>
      <c r="D124" t="s">
        <v>127</v>
      </c>
      <c r="E124">
        <v>11744000000</v>
      </c>
      <c r="F124">
        <v>0</v>
      </c>
      <c r="G124">
        <v>11744000000</v>
      </c>
      <c r="H124">
        <v>14300000000</v>
      </c>
      <c r="I124">
        <v>1129000000</v>
      </c>
      <c r="J124">
        <v>180000000</v>
      </c>
      <c r="K124">
        <v>5800000000</v>
      </c>
      <c r="L124">
        <v>5570000000</v>
      </c>
      <c r="M124">
        <v>15072000000</v>
      </c>
      <c r="N124">
        <v>0</v>
      </c>
      <c r="O124">
        <v>-14000000</v>
      </c>
      <c r="P124">
        <v>15922000000</v>
      </c>
      <c r="Q124">
        <v>47886856200</v>
      </c>
      <c r="R124">
        <v>47872856200</v>
      </c>
    </row>
    <row r="125" spans="1:18" x14ac:dyDescent="0.25">
      <c r="A125" s="1" t="s">
        <v>137</v>
      </c>
      <c r="B125">
        <v>53154880800</v>
      </c>
      <c r="C125" t="s">
        <v>89</v>
      </c>
      <c r="D125" t="s">
        <v>127</v>
      </c>
      <c r="E125">
        <v>11744000000</v>
      </c>
      <c r="F125">
        <v>0</v>
      </c>
      <c r="G125">
        <v>11744000000</v>
      </c>
      <c r="H125">
        <v>14300000000</v>
      </c>
      <c r="I125">
        <v>1129000000</v>
      </c>
      <c r="J125">
        <v>180000000</v>
      </c>
      <c r="K125">
        <v>5800000000</v>
      </c>
      <c r="L125">
        <v>5570000000</v>
      </c>
      <c r="M125">
        <v>15072000000</v>
      </c>
      <c r="N125">
        <v>0</v>
      </c>
      <c r="O125">
        <v>-14000000</v>
      </c>
      <c r="P125">
        <v>15922000000</v>
      </c>
      <c r="Q125">
        <v>47390880800</v>
      </c>
      <c r="R125">
        <v>47376880800</v>
      </c>
    </row>
    <row r="126" spans="1:18" x14ac:dyDescent="0.25">
      <c r="A126" s="1" t="s">
        <v>1374</v>
      </c>
      <c r="B126">
        <v>47921485200</v>
      </c>
      <c r="C126" t="s">
        <v>88</v>
      </c>
      <c r="D126" t="s">
        <v>127</v>
      </c>
      <c r="E126">
        <v>12650000000</v>
      </c>
      <c r="F126">
        <v>0</v>
      </c>
      <c r="G126">
        <v>12650000000</v>
      </c>
      <c r="H126">
        <v>15153000000</v>
      </c>
      <c r="I126">
        <v>1316000000</v>
      </c>
      <c r="J126">
        <v>197000000</v>
      </c>
      <c r="K126">
        <v>7170000000</v>
      </c>
      <c r="L126">
        <v>5372000000</v>
      </c>
      <c r="M126">
        <v>16241000000</v>
      </c>
      <c r="N126">
        <v>0</v>
      </c>
      <c r="O126">
        <v>989000000</v>
      </c>
      <c r="P126">
        <v>15062000000</v>
      </c>
      <c r="Q126">
        <v>42638485200</v>
      </c>
      <c r="R126">
        <v>43627485200</v>
      </c>
    </row>
    <row r="127" spans="1:18" x14ac:dyDescent="0.25">
      <c r="A127" s="1" t="s">
        <v>1373</v>
      </c>
      <c r="B127">
        <v>46074404400</v>
      </c>
      <c r="C127" t="s">
        <v>88</v>
      </c>
      <c r="D127" t="s">
        <v>127</v>
      </c>
      <c r="E127">
        <v>12650000000</v>
      </c>
      <c r="F127">
        <v>0</v>
      </c>
      <c r="G127">
        <v>12650000000</v>
      </c>
      <c r="H127">
        <v>15153000000</v>
      </c>
      <c r="I127">
        <v>1316000000</v>
      </c>
      <c r="J127">
        <v>197000000</v>
      </c>
      <c r="K127">
        <v>7170000000</v>
      </c>
      <c r="L127">
        <v>5372000000</v>
      </c>
      <c r="M127">
        <v>16241000000</v>
      </c>
      <c r="N127">
        <v>0</v>
      </c>
      <c r="O127">
        <v>989000000</v>
      </c>
      <c r="P127">
        <v>15062000000</v>
      </c>
      <c r="Q127">
        <v>40791404400</v>
      </c>
      <c r="R127">
        <v>41780404400</v>
      </c>
    </row>
    <row r="128" spans="1:18" x14ac:dyDescent="0.25">
      <c r="A128" s="1" t="s">
        <v>1372</v>
      </c>
      <c r="B128">
        <v>46826918800</v>
      </c>
      <c r="C128" t="s">
        <v>88</v>
      </c>
      <c r="D128" t="s">
        <v>127</v>
      </c>
      <c r="E128">
        <v>12650000000</v>
      </c>
      <c r="F128">
        <v>0</v>
      </c>
      <c r="G128">
        <v>12650000000</v>
      </c>
      <c r="H128">
        <v>15153000000</v>
      </c>
      <c r="I128">
        <v>1316000000</v>
      </c>
      <c r="J128">
        <v>197000000</v>
      </c>
      <c r="K128">
        <v>7170000000</v>
      </c>
      <c r="L128">
        <v>5372000000</v>
      </c>
      <c r="M128">
        <v>16241000000</v>
      </c>
      <c r="N128">
        <v>0</v>
      </c>
      <c r="O128">
        <v>989000000</v>
      </c>
      <c r="P128">
        <v>15062000000</v>
      </c>
      <c r="Q128">
        <v>41543918800</v>
      </c>
      <c r="R128">
        <v>42532918800</v>
      </c>
    </row>
    <row r="129" spans="1:18" x14ac:dyDescent="0.25">
      <c r="A129" s="1" t="s">
        <v>1371</v>
      </c>
      <c r="B129">
        <v>46194122600</v>
      </c>
      <c r="C129" t="s">
        <v>88</v>
      </c>
      <c r="D129" t="s">
        <v>127</v>
      </c>
      <c r="E129">
        <v>12650000000</v>
      </c>
      <c r="F129">
        <v>0</v>
      </c>
      <c r="G129">
        <v>12650000000</v>
      </c>
      <c r="H129">
        <v>15153000000</v>
      </c>
      <c r="I129">
        <v>1316000000</v>
      </c>
      <c r="J129">
        <v>197000000</v>
      </c>
      <c r="K129">
        <v>7170000000</v>
      </c>
      <c r="L129">
        <v>5372000000</v>
      </c>
      <c r="M129">
        <v>16241000000</v>
      </c>
      <c r="N129">
        <v>0</v>
      </c>
      <c r="O129">
        <v>989000000</v>
      </c>
      <c r="P129">
        <v>15062000000</v>
      </c>
      <c r="Q129">
        <v>40911122600</v>
      </c>
      <c r="R129">
        <v>41900122600</v>
      </c>
    </row>
    <row r="130" spans="1:18" x14ac:dyDescent="0.25">
      <c r="A130" s="1" t="s">
        <v>1370</v>
      </c>
      <c r="B130">
        <v>46416456400</v>
      </c>
      <c r="C130" t="s">
        <v>88</v>
      </c>
      <c r="D130" t="s">
        <v>127</v>
      </c>
      <c r="E130">
        <v>12650000000</v>
      </c>
      <c r="F130">
        <v>0</v>
      </c>
      <c r="G130">
        <v>12650000000</v>
      </c>
      <c r="H130">
        <v>15153000000</v>
      </c>
      <c r="I130">
        <v>1316000000</v>
      </c>
      <c r="J130">
        <v>197000000</v>
      </c>
      <c r="K130">
        <v>7170000000</v>
      </c>
      <c r="L130">
        <v>5372000000</v>
      </c>
      <c r="M130">
        <v>16241000000</v>
      </c>
      <c r="N130">
        <v>0</v>
      </c>
      <c r="O130">
        <v>989000000</v>
      </c>
      <c r="P130">
        <v>15062000000</v>
      </c>
      <c r="Q130">
        <v>41133456400</v>
      </c>
      <c r="R130">
        <v>42122456400</v>
      </c>
    </row>
    <row r="131" spans="1:18" x14ac:dyDescent="0.25">
      <c r="A131" s="1" t="s">
        <v>1369</v>
      </c>
      <c r="B131">
        <v>45663942000</v>
      </c>
      <c r="C131" t="s">
        <v>88</v>
      </c>
      <c r="D131" t="s">
        <v>127</v>
      </c>
      <c r="E131">
        <v>12650000000</v>
      </c>
      <c r="F131">
        <v>0</v>
      </c>
      <c r="G131">
        <v>12650000000</v>
      </c>
      <c r="H131">
        <v>15153000000</v>
      </c>
      <c r="I131">
        <v>1316000000</v>
      </c>
      <c r="J131">
        <v>197000000</v>
      </c>
      <c r="K131">
        <v>7170000000</v>
      </c>
      <c r="L131">
        <v>5372000000</v>
      </c>
      <c r="M131">
        <v>16241000000</v>
      </c>
      <c r="N131">
        <v>0</v>
      </c>
      <c r="O131">
        <v>989000000</v>
      </c>
      <c r="P131">
        <v>15062000000</v>
      </c>
      <c r="Q131">
        <v>40380942000</v>
      </c>
      <c r="R131">
        <v>41369942000</v>
      </c>
    </row>
    <row r="132" spans="1:18" x14ac:dyDescent="0.25">
      <c r="A132" s="1" t="s">
        <v>1368</v>
      </c>
      <c r="B132">
        <v>45681044600</v>
      </c>
      <c r="C132" t="s">
        <v>88</v>
      </c>
      <c r="D132" t="s">
        <v>127</v>
      </c>
      <c r="E132">
        <v>12650000000</v>
      </c>
      <c r="F132">
        <v>0</v>
      </c>
      <c r="G132">
        <v>12650000000</v>
      </c>
      <c r="H132">
        <v>15153000000</v>
      </c>
      <c r="I132">
        <v>1316000000</v>
      </c>
      <c r="J132">
        <v>197000000</v>
      </c>
      <c r="K132">
        <v>7170000000</v>
      </c>
      <c r="L132">
        <v>5372000000</v>
      </c>
      <c r="M132">
        <v>16241000000</v>
      </c>
      <c r="N132">
        <v>0</v>
      </c>
      <c r="O132">
        <v>989000000</v>
      </c>
      <c r="P132">
        <v>15062000000</v>
      </c>
      <c r="Q132">
        <v>40398044600</v>
      </c>
      <c r="R132">
        <v>41387044600</v>
      </c>
    </row>
    <row r="133" spans="1:18" x14ac:dyDescent="0.25">
      <c r="A133" s="1" t="s">
        <v>1367</v>
      </c>
      <c r="B133">
        <v>44449657400</v>
      </c>
      <c r="C133" t="s">
        <v>88</v>
      </c>
      <c r="D133" t="s">
        <v>127</v>
      </c>
      <c r="E133">
        <v>12650000000</v>
      </c>
      <c r="F133">
        <v>0</v>
      </c>
      <c r="G133">
        <v>12650000000</v>
      </c>
      <c r="H133">
        <v>15153000000</v>
      </c>
      <c r="I133">
        <v>1316000000</v>
      </c>
      <c r="J133">
        <v>197000000</v>
      </c>
      <c r="K133">
        <v>7170000000</v>
      </c>
      <c r="L133">
        <v>5372000000</v>
      </c>
      <c r="M133">
        <v>16241000000</v>
      </c>
      <c r="N133">
        <v>0</v>
      </c>
      <c r="O133">
        <v>989000000</v>
      </c>
      <c r="P133">
        <v>15062000000</v>
      </c>
      <c r="Q133">
        <v>39166657400</v>
      </c>
      <c r="R133">
        <v>40155657400</v>
      </c>
    </row>
    <row r="134" spans="1:18" x14ac:dyDescent="0.25">
      <c r="A134" s="1" t="s">
        <v>1366</v>
      </c>
      <c r="B134">
        <v>45817865400</v>
      </c>
      <c r="C134" t="s">
        <v>88</v>
      </c>
      <c r="D134" t="s">
        <v>127</v>
      </c>
      <c r="E134">
        <v>12650000000</v>
      </c>
      <c r="F134">
        <v>0</v>
      </c>
      <c r="G134">
        <v>12650000000</v>
      </c>
      <c r="H134">
        <v>15153000000</v>
      </c>
      <c r="I134">
        <v>1316000000</v>
      </c>
      <c r="J134">
        <v>197000000</v>
      </c>
      <c r="K134">
        <v>7170000000</v>
      </c>
      <c r="L134">
        <v>5372000000</v>
      </c>
      <c r="M134">
        <v>16241000000</v>
      </c>
      <c r="N134">
        <v>0</v>
      </c>
      <c r="O134">
        <v>989000000</v>
      </c>
      <c r="P134">
        <v>15062000000</v>
      </c>
      <c r="Q134">
        <v>40534865400</v>
      </c>
      <c r="R134">
        <v>41523865400</v>
      </c>
    </row>
    <row r="135" spans="1:18" x14ac:dyDescent="0.25">
      <c r="A135" s="1" t="s">
        <v>1365</v>
      </c>
      <c r="B135">
        <v>45749455000</v>
      </c>
      <c r="C135" t="s">
        <v>88</v>
      </c>
      <c r="D135" t="s">
        <v>127</v>
      </c>
      <c r="E135">
        <v>12650000000</v>
      </c>
      <c r="F135">
        <v>0</v>
      </c>
      <c r="G135">
        <v>12650000000</v>
      </c>
      <c r="H135">
        <v>15153000000</v>
      </c>
      <c r="I135">
        <v>1316000000</v>
      </c>
      <c r="J135">
        <v>197000000</v>
      </c>
      <c r="K135">
        <v>7170000000</v>
      </c>
      <c r="L135">
        <v>5372000000</v>
      </c>
      <c r="M135">
        <v>16241000000</v>
      </c>
      <c r="N135">
        <v>0</v>
      </c>
      <c r="O135">
        <v>989000000</v>
      </c>
      <c r="P135">
        <v>15062000000</v>
      </c>
      <c r="Q135">
        <v>40466455000</v>
      </c>
      <c r="R135">
        <v>41455455000</v>
      </c>
    </row>
    <row r="136" spans="1:18" x14ac:dyDescent="0.25">
      <c r="A136" s="1" t="s">
        <v>1364</v>
      </c>
      <c r="B136">
        <v>46262533000</v>
      </c>
      <c r="C136" t="s">
        <v>88</v>
      </c>
      <c r="D136" t="s">
        <v>127</v>
      </c>
      <c r="E136">
        <v>12650000000</v>
      </c>
      <c r="F136">
        <v>0</v>
      </c>
      <c r="G136">
        <v>12650000000</v>
      </c>
      <c r="H136">
        <v>15153000000</v>
      </c>
      <c r="I136">
        <v>1316000000</v>
      </c>
      <c r="J136">
        <v>197000000</v>
      </c>
      <c r="K136">
        <v>7170000000</v>
      </c>
      <c r="L136">
        <v>5372000000</v>
      </c>
      <c r="M136">
        <v>16241000000</v>
      </c>
      <c r="N136">
        <v>0</v>
      </c>
      <c r="O136">
        <v>989000000</v>
      </c>
      <c r="P136">
        <v>15062000000</v>
      </c>
      <c r="Q136">
        <v>40979533000</v>
      </c>
      <c r="R136">
        <v>41968533000</v>
      </c>
    </row>
    <row r="137" spans="1:18" x14ac:dyDescent="0.25">
      <c r="A137" s="1" t="s">
        <v>1363</v>
      </c>
      <c r="B137">
        <v>47938587800</v>
      </c>
      <c r="C137" t="s">
        <v>88</v>
      </c>
      <c r="D137" t="s">
        <v>127</v>
      </c>
      <c r="E137">
        <v>12650000000</v>
      </c>
      <c r="F137">
        <v>0</v>
      </c>
      <c r="G137">
        <v>12650000000</v>
      </c>
      <c r="H137">
        <v>15153000000</v>
      </c>
      <c r="I137">
        <v>1316000000</v>
      </c>
      <c r="J137">
        <v>197000000</v>
      </c>
      <c r="K137">
        <v>7170000000</v>
      </c>
      <c r="L137">
        <v>5372000000</v>
      </c>
      <c r="M137">
        <v>16241000000</v>
      </c>
      <c r="N137">
        <v>0</v>
      </c>
      <c r="O137">
        <v>989000000</v>
      </c>
      <c r="P137">
        <v>15062000000</v>
      </c>
      <c r="Q137">
        <v>42655587800</v>
      </c>
      <c r="R137">
        <v>43644587800</v>
      </c>
    </row>
    <row r="138" spans="1:18" x14ac:dyDescent="0.25">
      <c r="A138" s="1" t="s">
        <v>1362</v>
      </c>
      <c r="B138">
        <v>50384259600</v>
      </c>
      <c r="C138" t="s">
        <v>88</v>
      </c>
      <c r="D138" t="s">
        <v>127</v>
      </c>
      <c r="E138">
        <v>12650000000</v>
      </c>
      <c r="F138">
        <v>0</v>
      </c>
      <c r="G138">
        <v>12650000000</v>
      </c>
      <c r="H138">
        <v>15153000000</v>
      </c>
      <c r="I138">
        <v>1316000000</v>
      </c>
      <c r="J138">
        <v>197000000</v>
      </c>
      <c r="K138">
        <v>7170000000</v>
      </c>
      <c r="L138">
        <v>5372000000</v>
      </c>
      <c r="M138">
        <v>16241000000</v>
      </c>
      <c r="N138">
        <v>0</v>
      </c>
      <c r="O138">
        <v>989000000</v>
      </c>
      <c r="P138">
        <v>15062000000</v>
      </c>
      <c r="Q138">
        <v>45101259600</v>
      </c>
      <c r="R138">
        <v>46090259600</v>
      </c>
    </row>
    <row r="139" spans="1:18" x14ac:dyDescent="0.25">
      <c r="A139" s="1" t="s">
        <v>1361</v>
      </c>
      <c r="B139">
        <v>50555285600</v>
      </c>
      <c r="C139" t="s">
        <v>88</v>
      </c>
      <c r="D139" t="s">
        <v>127</v>
      </c>
      <c r="E139">
        <v>12650000000</v>
      </c>
      <c r="F139">
        <v>0</v>
      </c>
      <c r="G139">
        <v>12650000000</v>
      </c>
      <c r="H139">
        <v>15153000000</v>
      </c>
      <c r="I139">
        <v>1316000000</v>
      </c>
      <c r="J139">
        <v>197000000</v>
      </c>
      <c r="K139">
        <v>7170000000</v>
      </c>
      <c r="L139">
        <v>5372000000</v>
      </c>
      <c r="M139">
        <v>16241000000</v>
      </c>
      <c r="N139">
        <v>0</v>
      </c>
      <c r="O139">
        <v>989000000</v>
      </c>
      <c r="P139">
        <v>15062000000</v>
      </c>
      <c r="Q139">
        <v>45272285600</v>
      </c>
      <c r="R139">
        <v>46261285600</v>
      </c>
    </row>
    <row r="140" spans="1:18" x14ac:dyDescent="0.25">
      <c r="A140" s="1" t="s">
        <v>1360</v>
      </c>
      <c r="B140">
        <v>49785668600</v>
      </c>
      <c r="C140" t="s">
        <v>88</v>
      </c>
      <c r="D140" t="s">
        <v>127</v>
      </c>
      <c r="E140">
        <v>12650000000</v>
      </c>
      <c r="F140">
        <v>0</v>
      </c>
      <c r="G140">
        <v>12650000000</v>
      </c>
      <c r="H140">
        <v>15153000000</v>
      </c>
      <c r="I140">
        <v>1316000000</v>
      </c>
      <c r="J140">
        <v>197000000</v>
      </c>
      <c r="K140">
        <v>7170000000</v>
      </c>
      <c r="L140">
        <v>5372000000</v>
      </c>
      <c r="M140">
        <v>16241000000</v>
      </c>
      <c r="N140">
        <v>0</v>
      </c>
      <c r="O140">
        <v>989000000</v>
      </c>
      <c r="P140">
        <v>15062000000</v>
      </c>
      <c r="Q140">
        <v>44502668600</v>
      </c>
      <c r="R140">
        <v>45491668600</v>
      </c>
    </row>
    <row r="141" spans="1:18" x14ac:dyDescent="0.25">
      <c r="A141" s="1" t="s">
        <v>1359</v>
      </c>
      <c r="B141">
        <v>50503977800</v>
      </c>
      <c r="C141" t="s">
        <v>88</v>
      </c>
      <c r="D141" t="s">
        <v>127</v>
      </c>
      <c r="E141">
        <v>12650000000</v>
      </c>
      <c r="F141">
        <v>0</v>
      </c>
      <c r="G141">
        <v>12650000000</v>
      </c>
      <c r="H141">
        <v>15153000000</v>
      </c>
      <c r="I141">
        <v>1316000000</v>
      </c>
      <c r="J141">
        <v>197000000</v>
      </c>
      <c r="K141">
        <v>7170000000</v>
      </c>
      <c r="L141">
        <v>5372000000</v>
      </c>
      <c r="M141">
        <v>16241000000</v>
      </c>
      <c r="N141">
        <v>0</v>
      </c>
      <c r="O141">
        <v>989000000</v>
      </c>
      <c r="P141">
        <v>15062000000</v>
      </c>
      <c r="Q141">
        <v>45220977800</v>
      </c>
      <c r="R141">
        <v>46209977800</v>
      </c>
    </row>
    <row r="142" spans="1:18" x14ac:dyDescent="0.25">
      <c r="A142" s="1" t="s">
        <v>1358</v>
      </c>
      <c r="B142">
        <v>50435567400</v>
      </c>
      <c r="C142" t="s">
        <v>88</v>
      </c>
      <c r="D142" t="s">
        <v>127</v>
      </c>
      <c r="E142">
        <v>12650000000</v>
      </c>
      <c r="F142">
        <v>0</v>
      </c>
      <c r="G142">
        <v>12650000000</v>
      </c>
      <c r="H142">
        <v>15153000000</v>
      </c>
      <c r="I142">
        <v>1316000000</v>
      </c>
      <c r="J142">
        <v>197000000</v>
      </c>
      <c r="K142">
        <v>7170000000</v>
      </c>
      <c r="L142">
        <v>5372000000</v>
      </c>
      <c r="M142">
        <v>16241000000</v>
      </c>
      <c r="N142">
        <v>0</v>
      </c>
      <c r="O142">
        <v>989000000</v>
      </c>
      <c r="P142">
        <v>15062000000</v>
      </c>
      <c r="Q142">
        <v>45152567400</v>
      </c>
      <c r="R142">
        <v>46141567400</v>
      </c>
    </row>
    <row r="143" spans="1:18" x14ac:dyDescent="0.25">
      <c r="A143" s="1" t="s">
        <v>1357</v>
      </c>
      <c r="B143">
        <v>50623696000</v>
      </c>
      <c r="C143" t="s">
        <v>88</v>
      </c>
      <c r="D143" t="s">
        <v>127</v>
      </c>
      <c r="E143">
        <v>12650000000</v>
      </c>
      <c r="F143">
        <v>0</v>
      </c>
      <c r="G143">
        <v>12650000000</v>
      </c>
      <c r="H143">
        <v>15153000000</v>
      </c>
      <c r="I143">
        <v>1316000000</v>
      </c>
      <c r="J143">
        <v>197000000</v>
      </c>
      <c r="K143">
        <v>7170000000</v>
      </c>
      <c r="L143">
        <v>5372000000</v>
      </c>
      <c r="M143">
        <v>16241000000</v>
      </c>
      <c r="N143">
        <v>0</v>
      </c>
      <c r="O143">
        <v>989000000</v>
      </c>
      <c r="P143">
        <v>15062000000</v>
      </c>
      <c r="Q143">
        <v>45340696000</v>
      </c>
      <c r="R143">
        <v>46329696000</v>
      </c>
    </row>
    <row r="144" spans="1:18" x14ac:dyDescent="0.25">
      <c r="A144" s="1" t="s">
        <v>1356</v>
      </c>
      <c r="B144">
        <v>49563334800</v>
      </c>
      <c r="C144" t="s">
        <v>88</v>
      </c>
      <c r="D144" t="s">
        <v>127</v>
      </c>
      <c r="E144">
        <v>12650000000</v>
      </c>
      <c r="F144">
        <v>0</v>
      </c>
      <c r="G144">
        <v>12650000000</v>
      </c>
      <c r="H144">
        <v>15153000000</v>
      </c>
      <c r="I144">
        <v>1316000000</v>
      </c>
      <c r="J144">
        <v>197000000</v>
      </c>
      <c r="K144">
        <v>7170000000</v>
      </c>
      <c r="L144">
        <v>5372000000</v>
      </c>
      <c r="M144">
        <v>16241000000</v>
      </c>
      <c r="N144">
        <v>0</v>
      </c>
      <c r="O144">
        <v>989000000</v>
      </c>
      <c r="P144">
        <v>15062000000</v>
      </c>
      <c r="Q144">
        <v>44280334800</v>
      </c>
      <c r="R144">
        <v>45269334800</v>
      </c>
    </row>
    <row r="145" spans="1:18" x14ac:dyDescent="0.25">
      <c r="A145" s="1" t="s">
        <v>1355</v>
      </c>
      <c r="B145">
        <v>49631745200</v>
      </c>
      <c r="C145" t="s">
        <v>88</v>
      </c>
      <c r="D145" t="s">
        <v>127</v>
      </c>
      <c r="E145">
        <v>12650000000</v>
      </c>
      <c r="F145">
        <v>0</v>
      </c>
      <c r="G145">
        <v>12650000000</v>
      </c>
      <c r="H145">
        <v>15153000000</v>
      </c>
      <c r="I145">
        <v>1316000000</v>
      </c>
      <c r="J145">
        <v>197000000</v>
      </c>
      <c r="K145">
        <v>7170000000</v>
      </c>
      <c r="L145">
        <v>5372000000</v>
      </c>
      <c r="M145">
        <v>16241000000</v>
      </c>
      <c r="N145">
        <v>0</v>
      </c>
      <c r="O145">
        <v>989000000</v>
      </c>
      <c r="P145">
        <v>15062000000</v>
      </c>
      <c r="Q145">
        <v>44348745200</v>
      </c>
      <c r="R145">
        <v>45337745200</v>
      </c>
    </row>
    <row r="146" spans="1:18" x14ac:dyDescent="0.25">
      <c r="A146" s="1" t="s">
        <v>1354</v>
      </c>
      <c r="B146">
        <v>49700155600</v>
      </c>
      <c r="C146" t="s">
        <v>88</v>
      </c>
      <c r="D146" t="s">
        <v>127</v>
      </c>
      <c r="E146">
        <v>12650000000</v>
      </c>
      <c r="F146">
        <v>0</v>
      </c>
      <c r="G146">
        <v>12650000000</v>
      </c>
      <c r="H146">
        <v>15153000000</v>
      </c>
      <c r="I146">
        <v>1316000000</v>
      </c>
      <c r="J146">
        <v>197000000</v>
      </c>
      <c r="K146">
        <v>7170000000</v>
      </c>
      <c r="L146">
        <v>5372000000</v>
      </c>
      <c r="M146">
        <v>16241000000</v>
      </c>
      <c r="N146">
        <v>0</v>
      </c>
      <c r="O146">
        <v>989000000</v>
      </c>
      <c r="P146">
        <v>15062000000</v>
      </c>
      <c r="Q146">
        <v>44417155600</v>
      </c>
      <c r="R146">
        <v>45406155600</v>
      </c>
    </row>
    <row r="147" spans="1:18" x14ac:dyDescent="0.25">
      <c r="A147" s="1" t="s">
        <v>1353</v>
      </c>
      <c r="B147">
        <v>48998949000</v>
      </c>
      <c r="C147" t="s">
        <v>88</v>
      </c>
      <c r="D147" t="s">
        <v>127</v>
      </c>
      <c r="E147">
        <v>12650000000</v>
      </c>
      <c r="F147">
        <v>0</v>
      </c>
      <c r="G147">
        <v>12650000000</v>
      </c>
      <c r="H147">
        <v>15153000000</v>
      </c>
      <c r="I147">
        <v>1316000000</v>
      </c>
      <c r="J147">
        <v>197000000</v>
      </c>
      <c r="K147">
        <v>7170000000</v>
      </c>
      <c r="L147">
        <v>5372000000</v>
      </c>
      <c r="M147">
        <v>16241000000</v>
      </c>
      <c r="N147">
        <v>0</v>
      </c>
      <c r="O147">
        <v>989000000</v>
      </c>
      <c r="P147">
        <v>15062000000</v>
      </c>
      <c r="Q147">
        <v>43715949000</v>
      </c>
      <c r="R147">
        <v>44704949000</v>
      </c>
    </row>
    <row r="148" spans="1:18" x14ac:dyDescent="0.25">
      <c r="A148" s="1" t="s">
        <v>1352</v>
      </c>
      <c r="B148">
        <v>47647843600</v>
      </c>
      <c r="C148" t="s">
        <v>88</v>
      </c>
      <c r="D148" t="s">
        <v>127</v>
      </c>
      <c r="E148">
        <v>12650000000</v>
      </c>
      <c r="F148">
        <v>0</v>
      </c>
      <c r="G148">
        <v>12650000000</v>
      </c>
      <c r="H148">
        <v>15153000000</v>
      </c>
      <c r="I148">
        <v>1316000000</v>
      </c>
      <c r="J148">
        <v>197000000</v>
      </c>
      <c r="K148">
        <v>7170000000</v>
      </c>
      <c r="L148">
        <v>5372000000</v>
      </c>
      <c r="M148">
        <v>16241000000</v>
      </c>
      <c r="N148">
        <v>0</v>
      </c>
      <c r="O148">
        <v>989000000</v>
      </c>
      <c r="P148">
        <v>15062000000</v>
      </c>
      <c r="Q148">
        <v>42364843600</v>
      </c>
      <c r="R148">
        <v>43353843600</v>
      </c>
    </row>
    <row r="149" spans="1:18" x14ac:dyDescent="0.25">
      <c r="A149" s="1" t="s">
        <v>1351</v>
      </c>
      <c r="B149">
        <v>47339996800</v>
      </c>
      <c r="C149" t="s">
        <v>88</v>
      </c>
      <c r="D149" t="s">
        <v>127</v>
      </c>
      <c r="E149">
        <v>12650000000</v>
      </c>
      <c r="F149">
        <v>0</v>
      </c>
      <c r="G149">
        <v>12650000000</v>
      </c>
      <c r="H149">
        <v>15153000000</v>
      </c>
      <c r="I149">
        <v>1316000000</v>
      </c>
      <c r="J149">
        <v>197000000</v>
      </c>
      <c r="K149">
        <v>7170000000</v>
      </c>
      <c r="L149">
        <v>5372000000</v>
      </c>
      <c r="M149">
        <v>16241000000</v>
      </c>
      <c r="N149">
        <v>0</v>
      </c>
      <c r="O149">
        <v>989000000</v>
      </c>
      <c r="P149">
        <v>15062000000</v>
      </c>
      <c r="Q149">
        <v>42056996800</v>
      </c>
      <c r="R149">
        <v>43045996800</v>
      </c>
    </row>
    <row r="150" spans="1:18" x14ac:dyDescent="0.25">
      <c r="A150" s="1" t="s">
        <v>1350</v>
      </c>
      <c r="B150">
        <v>47699151400</v>
      </c>
      <c r="C150" t="s">
        <v>88</v>
      </c>
      <c r="D150" t="s">
        <v>127</v>
      </c>
      <c r="E150">
        <v>12650000000</v>
      </c>
      <c r="F150">
        <v>0</v>
      </c>
      <c r="G150">
        <v>12650000000</v>
      </c>
      <c r="H150">
        <v>15153000000</v>
      </c>
      <c r="I150">
        <v>1316000000</v>
      </c>
      <c r="J150">
        <v>197000000</v>
      </c>
      <c r="K150">
        <v>7170000000</v>
      </c>
      <c r="L150">
        <v>5372000000</v>
      </c>
      <c r="M150">
        <v>16241000000</v>
      </c>
      <c r="N150">
        <v>0</v>
      </c>
      <c r="O150">
        <v>989000000</v>
      </c>
      <c r="P150">
        <v>15062000000</v>
      </c>
      <c r="Q150">
        <v>42416151400</v>
      </c>
      <c r="R150">
        <v>43405151400</v>
      </c>
    </row>
    <row r="151" spans="1:18" x14ac:dyDescent="0.25">
      <c r="A151" s="1" t="s">
        <v>1349</v>
      </c>
      <c r="B151">
        <v>48605589200</v>
      </c>
      <c r="C151" t="s">
        <v>88</v>
      </c>
      <c r="D151" t="s">
        <v>127</v>
      </c>
      <c r="E151">
        <v>12650000000</v>
      </c>
      <c r="F151">
        <v>0</v>
      </c>
      <c r="G151">
        <v>12650000000</v>
      </c>
      <c r="H151">
        <v>15153000000</v>
      </c>
      <c r="I151">
        <v>1316000000</v>
      </c>
      <c r="J151">
        <v>197000000</v>
      </c>
      <c r="K151">
        <v>7170000000</v>
      </c>
      <c r="L151">
        <v>5372000000</v>
      </c>
      <c r="M151">
        <v>16241000000</v>
      </c>
      <c r="N151">
        <v>0</v>
      </c>
      <c r="O151">
        <v>989000000</v>
      </c>
      <c r="P151">
        <v>15062000000</v>
      </c>
      <c r="Q151">
        <v>43322589200</v>
      </c>
      <c r="R151">
        <v>44311589200</v>
      </c>
    </row>
    <row r="152" spans="1:18" x14ac:dyDescent="0.25">
      <c r="A152" s="1" t="s">
        <v>1348</v>
      </c>
      <c r="B152">
        <v>49067359400</v>
      </c>
      <c r="C152" t="s">
        <v>88</v>
      </c>
      <c r="D152" t="s">
        <v>127</v>
      </c>
      <c r="E152">
        <v>12650000000</v>
      </c>
      <c r="F152">
        <v>0</v>
      </c>
      <c r="G152">
        <v>12650000000</v>
      </c>
      <c r="H152">
        <v>15153000000</v>
      </c>
      <c r="I152">
        <v>1316000000</v>
      </c>
      <c r="J152">
        <v>197000000</v>
      </c>
      <c r="K152">
        <v>7170000000</v>
      </c>
      <c r="L152">
        <v>5372000000</v>
      </c>
      <c r="M152">
        <v>16241000000</v>
      </c>
      <c r="N152">
        <v>0</v>
      </c>
      <c r="O152">
        <v>989000000</v>
      </c>
      <c r="P152">
        <v>15062000000</v>
      </c>
      <c r="Q152">
        <v>43784359400</v>
      </c>
      <c r="R152">
        <v>44773359400</v>
      </c>
    </row>
    <row r="153" spans="1:18" x14ac:dyDescent="0.25">
      <c r="A153" s="1" t="s">
        <v>1347</v>
      </c>
      <c r="B153">
        <v>48725307400</v>
      </c>
      <c r="C153" t="s">
        <v>88</v>
      </c>
      <c r="D153" t="s">
        <v>127</v>
      </c>
      <c r="E153">
        <v>12650000000</v>
      </c>
      <c r="F153">
        <v>0</v>
      </c>
      <c r="G153">
        <v>12650000000</v>
      </c>
      <c r="H153">
        <v>15153000000</v>
      </c>
      <c r="I153">
        <v>1316000000</v>
      </c>
      <c r="J153">
        <v>197000000</v>
      </c>
      <c r="K153">
        <v>7170000000</v>
      </c>
      <c r="L153">
        <v>5372000000</v>
      </c>
      <c r="M153">
        <v>16241000000</v>
      </c>
      <c r="N153">
        <v>0</v>
      </c>
      <c r="O153">
        <v>989000000</v>
      </c>
      <c r="P153">
        <v>15062000000</v>
      </c>
      <c r="Q153">
        <v>43442307400</v>
      </c>
      <c r="R153">
        <v>44431307400</v>
      </c>
    </row>
    <row r="154" spans="1:18" x14ac:dyDescent="0.25">
      <c r="A154" s="1" t="s">
        <v>1346</v>
      </c>
      <c r="B154">
        <v>51393313000</v>
      </c>
      <c r="C154" t="s">
        <v>88</v>
      </c>
      <c r="D154" t="s">
        <v>127</v>
      </c>
      <c r="E154">
        <v>12650000000</v>
      </c>
      <c r="F154">
        <v>0</v>
      </c>
      <c r="G154">
        <v>12650000000</v>
      </c>
      <c r="H154">
        <v>15153000000</v>
      </c>
      <c r="I154">
        <v>1316000000</v>
      </c>
      <c r="J154">
        <v>197000000</v>
      </c>
      <c r="K154">
        <v>7170000000</v>
      </c>
      <c r="L154">
        <v>5372000000</v>
      </c>
      <c r="M154">
        <v>16241000000</v>
      </c>
      <c r="N154">
        <v>0</v>
      </c>
      <c r="O154">
        <v>989000000</v>
      </c>
      <c r="P154">
        <v>15062000000</v>
      </c>
      <c r="Q154">
        <v>46110313000</v>
      </c>
      <c r="R154">
        <v>47099313000</v>
      </c>
    </row>
    <row r="155" spans="1:18" x14ac:dyDescent="0.25">
      <c r="A155" s="1" t="s">
        <v>1345</v>
      </c>
      <c r="B155">
        <v>50880235000</v>
      </c>
      <c r="C155" t="s">
        <v>88</v>
      </c>
      <c r="D155" t="s">
        <v>127</v>
      </c>
      <c r="E155">
        <v>12650000000</v>
      </c>
      <c r="F155">
        <v>0</v>
      </c>
      <c r="G155">
        <v>12650000000</v>
      </c>
      <c r="H155">
        <v>15153000000</v>
      </c>
      <c r="I155">
        <v>1316000000</v>
      </c>
      <c r="J155">
        <v>197000000</v>
      </c>
      <c r="K155">
        <v>7170000000</v>
      </c>
      <c r="L155">
        <v>5372000000</v>
      </c>
      <c r="M155">
        <v>16241000000</v>
      </c>
      <c r="N155">
        <v>0</v>
      </c>
      <c r="O155">
        <v>989000000</v>
      </c>
      <c r="P155">
        <v>15062000000</v>
      </c>
      <c r="Q155">
        <v>45597235000</v>
      </c>
      <c r="R155">
        <v>46586235000</v>
      </c>
    </row>
    <row r="156" spans="1:18" x14ac:dyDescent="0.25">
      <c r="A156" s="1" t="s">
        <v>1344</v>
      </c>
      <c r="B156">
        <v>51530133800</v>
      </c>
      <c r="C156" t="s">
        <v>88</v>
      </c>
      <c r="D156" t="s">
        <v>127</v>
      </c>
      <c r="E156">
        <v>12650000000</v>
      </c>
      <c r="F156">
        <v>0</v>
      </c>
      <c r="G156">
        <v>12650000000</v>
      </c>
      <c r="H156">
        <v>15153000000</v>
      </c>
      <c r="I156">
        <v>1316000000</v>
      </c>
      <c r="J156">
        <v>197000000</v>
      </c>
      <c r="K156">
        <v>7170000000</v>
      </c>
      <c r="L156">
        <v>5372000000</v>
      </c>
      <c r="M156">
        <v>16241000000</v>
      </c>
      <c r="N156">
        <v>0</v>
      </c>
      <c r="O156">
        <v>989000000</v>
      </c>
      <c r="P156">
        <v>15062000000</v>
      </c>
      <c r="Q156">
        <v>46247133800</v>
      </c>
      <c r="R156">
        <v>47236133800</v>
      </c>
    </row>
    <row r="157" spans="1:18" x14ac:dyDescent="0.25">
      <c r="A157" s="1" t="s">
        <v>1343</v>
      </c>
      <c r="B157">
        <v>51290697400</v>
      </c>
      <c r="C157" t="s">
        <v>88</v>
      </c>
      <c r="D157" t="s">
        <v>127</v>
      </c>
      <c r="E157">
        <v>12650000000</v>
      </c>
      <c r="F157">
        <v>0</v>
      </c>
      <c r="G157">
        <v>12650000000</v>
      </c>
      <c r="H157">
        <v>15153000000</v>
      </c>
      <c r="I157">
        <v>1316000000</v>
      </c>
      <c r="J157">
        <v>197000000</v>
      </c>
      <c r="K157">
        <v>7170000000</v>
      </c>
      <c r="L157">
        <v>5372000000</v>
      </c>
      <c r="M157">
        <v>16241000000</v>
      </c>
      <c r="N157">
        <v>0</v>
      </c>
      <c r="O157">
        <v>989000000</v>
      </c>
      <c r="P157">
        <v>15062000000</v>
      </c>
      <c r="Q157">
        <v>46007697400</v>
      </c>
      <c r="R157">
        <v>46996697400</v>
      </c>
    </row>
    <row r="158" spans="1:18" x14ac:dyDescent="0.25">
      <c r="A158" s="1" t="s">
        <v>1342</v>
      </c>
      <c r="B158">
        <v>52077417000</v>
      </c>
      <c r="C158" t="s">
        <v>88</v>
      </c>
      <c r="D158" t="s">
        <v>127</v>
      </c>
      <c r="E158">
        <v>12650000000</v>
      </c>
      <c r="F158">
        <v>0</v>
      </c>
      <c r="G158">
        <v>12650000000</v>
      </c>
      <c r="H158">
        <v>15153000000</v>
      </c>
      <c r="I158">
        <v>1316000000</v>
      </c>
      <c r="J158">
        <v>197000000</v>
      </c>
      <c r="K158">
        <v>7170000000</v>
      </c>
      <c r="L158">
        <v>5372000000</v>
      </c>
      <c r="M158">
        <v>16241000000</v>
      </c>
      <c r="N158">
        <v>0</v>
      </c>
      <c r="O158">
        <v>989000000</v>
      </c>
      <c r="P158">
        <v>15062000000</v>
      </c>
      <c r="Q158">
        <v>46794417000</v>
      </c>
      <c r="R158">
        <v>47783417000</v>
      </c>
    </row>
    <row r="159" spans="1:18" x14ac:dyDescent="0.25">
      <c r="A159" s="1" t="s">
        <v>1341</v>
      </c>
      <c r="B159">
        <v>51872185800</v>
      </c>
      <c r="C159" t="s">
        <v>88</v>
      </c>
      <c r="D159" t="s">
        <v>127</v>
      </c>
      <c r="E159">
        <v>12650000000</v>
      </c>
      <c r="F159">
        <v>0</v>
      </c>
      <c r="G159">
        <v>12650000000</v>
      </c>
      <c r="H159">
        <v>15153000000</v>
      </c>
      <c r="I159">
        <v>1316000000</v>
      </c>
      <c r="J159">
        <v>197000000</v>
      </c>
      <c r="K159">
        <v>7170000000</v>
      </c>
      <c r="L159">
        <v>5372000000</v>
      </c>
      <c r="M159">
        <v>16241000000</v>
      </c>
      <c r="N159">
        <v>0</v>
      </c>
      <c r="O159">
        <v>989000000</v>
      </c>
      <c r="P159">
        <v>15062000000</v>
      </c>
      <c r="Q159">
        <v>46589185800</v>
      </c>
      <c r="R159">
        <v>47578185800</v>
      </c>
    </row>
    <row r="160" spans="1:18" x14ac:dyDescent="0.25">
      <c r="A160" s="1" t="s">
        <v>1340</v>
      </c>
      <c r="B160">
        <v>52060314400</v>
      </c>
      <c r="C160" t="s">
        <v>88</v>
      </c>
      <c r="D160" t="s">
        <v>127</v>
      </c>
      <c r="E160">
        <v>12650000000</v>
      </c>
      <c r="F160">
        <v>0</v>
      </c>
      <c r="G160">
        <v>12650000000</v>
      </c>
      <c r="H160">
        <v>15153000000</v>
      </c>
      <c r="I160">
        <v>1316000000</v>
      </c>
      <c r="J160">
        <v>197000000</v>
      </c>
      <c r="K160">
        <v>7170000000</v>
      </c>
      <c r="L160">
        <v>5372000000</v>
      </c>
      <c r="M160">
        <v>16241000000</v>
      </c>
      <c r="N160">
        <v>0</v>
      </c>
      <c r="O160">
        <v>989000000</v>
      </c>
      <c r="P160">
        <v>15062000000</v>
      </c>
      <c r="Q160">
        <v>46777314400</v>
      </c>
      <c r="R160">
        <v>47766314400</v>
      </c>
    </row>
    <row r="161" spans="1:18" x14ac:dyDescent="0.25">
      <c r="A161" s="1" t="s">
        <v>1339</v>
      </c>
      <c r="B161">
        <v>52453674200</v>
      </c>
      <c r="C161" t="s">
        <v>88</v>
      </c>
      <c r="D161" t="s">
        <v>127</v>
      </c>
      <c r="E161">
        <v>12650000000</v>
      </c>
      <c r="F161">
        <v>0</v>
      </c>
      <c r="G161">
        <v>12650000000</v>
      </c>
      <c r="H161">
        <v>15153000000</v>
      </c>
      <c r="I161">
        <v>1316000000</v>
      </c>
      <c r="J161">
        <v>197000000</v>
      </c>
      <c r="K161">
        <v>7170000000</v>
      </c>
      <c r="L161">
        <v>5372000000</v>
      </c>
      <c r="M161">
        <v>16241000000</v>
      </c>
      <c r="N161">
        <v>0</v>
      </c>
      <c r="O161">
        <v>989000000</v>
      </c>
      <c r="P161">
        <v>15062000000</v>
      </c>
      <c r="Q161">
        <v>47170674200</v>
      </c>
      <c r="R161">
        <v>48159674200</v>
      </c>
    </row>
    <row r="162" spans="1:18" x14ac:dyDescent="0.25">
      <c r="A162" s="1" t="s">
        <v>1338</v>
      </c>
      <c r="B162">
        <v>51598544200</v>
      </c>
      <c r="C162" t="s">
        <v>88</v>
      </c>
      <c r="D162" t="s">
        <v>127</v>
      </c>
      <c r="E162">
        <v>12650000000</v>
      </c>
      <c r="F162">
        <v>0</v>
      </c>
      <c r="G162">
        <v>12650000000</v>
      </c>
      <c r="H162">
        <v>15153000000</v>
      </c>
      <c r="I162">
        <v>1316000000</v>
      </c>
      <c r="J162">
        <v>197000000</v>
      </c>
      <c r="K162">
        <v>7170000000</v>
      </c>
      <c r="L162">
        <v>5372000000</v>
      </c>
      <c r="M162">
        <v>16241000000</v>
      </c>
      <c r="N162">
        <v>0</v>
      </c>
      <c r="O162">
        <v>989000000</v>
      </c>
      <c r="P162">
        <v>15062000000</v>
      </c>
      <c r="Q162">
        <v>46315544200</v>
      </c>
      <c r="R162">
        <v>47304544200</v>
      </c>
    </row>
    <row r="163" spans="1:18" x14ac:dyDescent="0.25">
      <c r="A163" s="1" t="s">
        <v>1337</v>
      </c>
      <c r="B163">
        <v>50863132400</v>
      </c>
      <c r="C163" t="s">
        <v>88</v>
      </c>
      <c r="D163" t="s">
        <v>127</v>
      </c>
      <c r="E163">
        <v>12650000000</v>
      </c>
      <c r="F163">
        <v>0</v>
      </c>
      <c r="G163">
        <v>12650000000</v>
      </c>
      <c r="H163">
        <v>15153000000</v>
      </c>
      <c r="I163">
        <v>1316000000</v>
      </c>
      <c r="J163">
        <v>197000000</v>
      </c>
      <c r="K163">
        <v>7170000000</v>
      </c>
      <c r="L163">
        <v>5372000000</v>
      </c>
      <c r="M163">
        <v>16241000000</v>
      </c>
      <c r="N163">
        <v>0</v>
      </c>
      <c r="O163">
        <v>989000000</v>
      </c>
      <c r="P163">
        <v>15062000000</v>
      </c>
      <c r="Q163">
        <v>45580132400</v>
      </c>
      <c r="R163">
        <v>46569132400</v>
      </c>
    </row>
    <row r="164" spans="1:18" x14ac:dyDescent="0.25">
      <c r="A164" s="1" t="s">
        <v>87</v>
      </c>
      <c r="B164">
        <v>51282674580</v>
      </c>
      <c r="C164" t="s">
        <v>88</v>
      </c>
      <c r="D164" t="s">
        <v>127</v>
      </c>
      <c r="E164">
        <v>12650000000</v>
      </c>
      <c r="F164">
        <v>0</v>
      </c>
      <c r="G164">
        <v>12650000000</v>
      </c>
      <c r="H164">
        <v>15153000000</v>
      </c>
      <c r="I164">
        <v>1316000000</v>
      </c>
      <c r="J164">
        <v>197000000</v>
      </c>
      <c r="K164">
        <v>7170000000</v>
      </c>
      <c r="L164">
        <v>5372000000</v>
      </c>
      <c r="M164">
        <v>16241000000</v>
      </c>
      <c r="N164">
        <v>0</v>
      </c>
      <c r="O164">
        <v>989000000</v>
      </c>
      <c r="P164">
        <v>15062000000</v>
      </c>
      <c r="Q164">
        <v>45999674580</v>
      </c>
      <c r="R164">
        <v>46988674580</v>
      </c>
    </row>
    <row r="165" spans="1:18" x14ac:dyDescent="0.25">
      <c r="A165" s="1" t="s">
        <v>1336</v>
      </c>
      <c r="B165">
        <v>53438133330</v>
      </c>
      <c r="C165" t="s">
        <v>88</v>
      </c>
      <c r="D165" t="s">
        <v>127</v>
      </c>
      <c r="E165">
        <v>12650000000</v>
      </c>
      <c r="F165">
        <v>0</v>
      </c>
      <c r="G165">
        <v>12650000000</v>
      </c>
      <c r="H165">
        <v>15153000000</v>
      </c>
      <c r="I165">
        <v>1316000000</v>
      </c>
      <c r="J165">
        <v>197000000</v>
      </c>
      <c r="K165">
        <v>7170000000</v>
      </c>
      <c r="L165">
        <v>5372000000</v>
      </c>
      <c r="M165">
        <v>16241000000</v>
      </c>
      <c r="N165">
        <v>0</v>
      </c>
      <c r="O165">
        <v>989000000</v>
      </c>
      <c r="P165">
        <v>15062000000</v>
      </c>
      <c r="Q165">
        <v>48155133330</v>
      </c>
      <c r="R165">
        <v>49144133330</v>
      </c>
    </row>
    <row r="166" spans="1:18" x14ac:dyDescent="0.25">
      <c r="A166" s="1" t="s">
        <v>1335</v>
      </c>
      <c r="B166">
        <v>54093392790</v>
      </c>
      <c r="C166" t="s">
        <v>88</v>
      </c>
      <c r="D166" t="s">
        <v>127</v>
      </c>
      <c r="E166">
        <v>12650000000</v>
      </c>
      <c r="F166">
        <v>0</v>
      </c>
      <c r="G166">
        <v>12650000000</v>
      </c>
      <c r="H166">
        <v>15153000000</v>
      </c>
      <c r="I166">
        <v>1316000000</v>
      </c>
      <c r="J166">
        <v>197000000</v>
      </c>
      <c r="K166">
        <v>7170000000</v>
      </c>
      <c r="L166">
        <v>5372000000</v>
      </c>
      <c r="M166">
        <v>16241000000</v>
      </c>
      <c r="N166">
        <v>0</v>
      </c>
      <c r="O166">
        <v>989000000</v>
      </c>
      <c r="P166">
        <v>15062000000</v>
      </c>
      <c r="Q166">
        <v>48810392790</v>
      </c>
      <c r="R166">
        <v>49799392790</v>
      </c>
    </row>
    <row r="167" spans="1:18" x14ac:dyDescent="0.25">
      <c r="A167" s="1" t="s">
        <v>1334</v>
      </c>
      <c r="B167">
        <v>54455509860</v>
      </c>
      <c r="C167" t="s">
        <v>88</v>
      </c>
      <c r="D167" t="s">
        <v>127</v>
      </c>
      <c r="E167">
        <v>12650000000</v>
      </c>
      <c r="F167">
        <v>0</v>
      </c>
      <c r="G167">
        <v>12650000000</v>
      </c>
      <c r="H167">
        <v>15153000000</v>
      </c>
      <c r="I167">
        <v>1316000000</v>
      </c>
      <c r="J167">
        <v>197000000</v>
      </c>
      <c r="K167">
        <v>7170000000</v>
      </c>
      <c r="L167">
        <v>5372000000</v>
      </c>
      <c r="M167">
        <v>16241000000</v>
      </c>
      <c r="N167">
        <v>0</v>
      </c>
      <c r="O167">
        <v>989000000</v>
      </c>
      <c r="P167">
        <v>15062000000</v>
      </c>
      <c r="Q167">
        <v>49172509860</v>
      </c>
      <c r="R167">
        <v>50161509860</v>
      </c>
    </row>
    <row r="168" spans="1:18" x14ac:dyDescent="0.25">
      <c r="A168" s="1" t="s">
        <v>1333</v>
      </c>
      <c r="B168">
        <v>56576481270</v>
      </c>
      <c r="C168" t="s">
        <v>88</v>
      </c>
      <c r="D168" t="s">
        <v>127</v>
      </c>
      <c r="E168">
        <v>12650000000</v>
      </c>
      <c r="F168">
        <v>0</v>
      </c>
      <c r="G168">
        <v>12650000000</v>
      </c>
      <c r="H168">
        <v>15153000000</v>
      </c>
      <c r="I168">
        <v>1316000000</v>
      </c>
      <c r="J168">
        <v>197000000</v>
      </c>
      <c r="K168">
        <v>7170000000</v>
      </c>
      <c r="L168">
        <v>5372000000</v>
      </c>
      <c r="M168">
        <v>16241000000</v>
      </c>
      <c r="N168">
        <v>0</v>
      </c>
      <c r="O168">
        <v>989000000</v>
      </c>
      <c r="P168">
        <v>15062000000</v>
      </c>
      <c r="Q168">
        <v>51293481270</v>
      </c>
      <c r="R168">
        <v>52282481270</v>
      </c>
    </row>
    <row r="169" spans="1:18" x14ac:dyDescent="0.25">
      <c r="A169" s="1" t="s">
        <v>1332</v>
      </c>
      <c r="B169">
        <v>58507772310</v>
      </c>
      <c r="C169" t="s">
        <v>88</v>
      </c>
      <c r="D169" t="s">
        <v>127</v>
      </c>
      <c r="E169">
        <v>12650000000</v>
      </c>
      <c r="F169">
        <v>0</v>
      </c>
      <c r="G169">
        <v>12650000000</v>
      </c>
      <c r="H169">
        <v>15153000000</v>
      </c>
      <c r="I169">
        <v>1316000000</v>
      </c>
      <c r="J169">
        <v>197000000</v>
      </c>
      <c r="K169">
        <v>7170000000</v>
      </c>
      <c r="L169">
        <v>5372000000</v>
      </c>
      <c r="M169">
        <v>16241000000</v>
      </c>
      <c r="N169">
        <v>0</v>
      </c>
      <c r="O169">
        <v>989000000</v>
      </c>
      <c r="P169">
        <v>15062000000</v>
      </c>
      <c r="Q169">
        <v>53224772310</v>
      </c>
      <c r="R169">
        <v>54213772310</v>
      </c>
    </row>
    <row r="170" spans="1:18" x14ac:dyDescent="0.25">
      <c r="A170" s="1" t="s">
        <v>1331</v>
      </c>
      <c r="B170">
        <v>58576746990</v>
      </c>
      <c r="C170" t="s">
        <v>88</v>
      </c>
      <c r="D170" t="s">
        <v>127</v>
      </c>
      <c r="E170">
        <v>12650000000</v>
      </c>
      <c r="F170">
        <v>0</v>
      </c>
      <c r="G170">
        <v>12650000000</v>
      </c>
      <c r="H170">
        <v>15153000000</v>
      </c>
      <c r="I170">
        <v>1316000000</v>
      </c>
      <c r="J170">
        <v>197000000</v>
      </c>
      <c r="K170">
        <v>7170000000</v>
      </c>
      <c r="L170">
        <v>5372000000</v>
      </c>
      <c r="M170">
        <v>16241000000</v>
      </c>
      <c r="N170">
        <v>0</v>
      </c>
      <c r="O170">
        <v>989000000</v>
      </c>
      <c r="P170">
        <v>15062000000</v>
      </c>
      <c r="Q170">
        <v>53293746990</v>
      </c>
      <c r="R170">
        <v>54282746990</v>
      </c>
    </row>
    <row r="171" spans="1:18" x14ac:dyDescent="0.25">
      <c r="A171" s="1" t="s">
        <v>1330</v>
      </c>
      <c r="B171">
        <v>58645721670</v>
      </c>
      <c r="C171" t="s">
        <v>88</v>
      </c>
      <c r="D171" t="s">
        <v>127</v>
      </c>
      <c r="E171">
        <v>12650000000</v>
      </c>
      <c r="F171">
        <v>0</v>
      </c>
      <c r="G171">
        <v>12650000000</v>
      </c>
      <c r="H171">
        <v>15153000000</v>
      </c>
      <c r="I171">
        <v>1316000000</v>
      </c>
      <c r="J171">
        <v>197000000</v>
      </c>
      <c r="K171">
        <v>7170000000</v>
      </c>
      <c r="L171">
        <v>5372000000</v>
      </c>
      <c r="M171">
        <v>16241000000</v>
      </c>
      <c r="N171">
        <v>0</v>
      </c>
      <c r="O171">
        <v>989000000</v>
      </c>
      <c r="P171">
        <v>15062000000</v>
      </c>
      <c r="Q171">
        <v>53362721670</v>
      </c>
      <c r="R171">
        <v>54351721670</v>
      </c>
    </row>
    <row r="172" spans="1:18" x14ac:dyDescent="0.25">
      <c r="A172" s="1" t="s">
        <v>1329</v>
      </c>
      <c r="B172">
        <v>58869889380</v>
      </c>
      <c r="C172" t="s">
        <v>88</v>
      </c>
      <c r="D172" t="s">
        <v>127</v>
      </c>
      <c r="E172">
        <v>12650000000</v>
      </c>
      <c r="F172">
        <v>0</v>
      </c>
      <c r="G172">
        <v>12650000000</v>
      </c>
      <c r="H172">
        <v>15153000000</v>
      </c>
      <c r="I172">
        <v>1316000000</v>
      </c>
      <c r="J172">
        <v>197000000</v>
      </c>
      <c r="K172">
        <v>7170000000</v>
      </c>
      <c r="L172">
        <v>5372000000</v>
      </c>
      <c r="M172">
        <v>16241000000</v>
      </c>
      <c r="N172">
        <v>0</v>
      </c>
      <c r="O172">
        <v>989000000</v>
      </c>
      <c r="P172">
        <v>15062000000</v>
      </c>
      <c r="Q172">
        <v>53586889380</v>
      </c>
      <c r="R172">
        <v>54575889380</v>
      </c>
    </row>
    <row r="173" spans="1:18" x14ac:dyDescent="0.25">
      <c r="A173" s="1" t="s">
        <v>1328</v>
      </c>
      <c r="B173">
        <v>60076946280</v>
      </c>
      <c r="C173" t="s">
        <v>88</v>
      </c>
      <c r="D173" t="s">
        <v>127</v>
      </c>
      <c r="E173">
        <v>12650000000</v>
      </c>
      <c r="F173">
        <v>0</v>
      </c>
      <c r="G173">
        <v>12650000000</v>
      </c>
      <c r="H173">
        <v>15153000000</v>
      </c>
      <c r="I173">
        <v>1316000000</v>
      </c>
      <c r="J173">
        <v>197000000</v>
      </c>
      <c r="K173">
        <v>7170000000</v>
      </c>
      <c r="L173">
        <v>5372000000</v>
      </c>
      <c r="M173">
        <v>16241000000</v>
      </c>
      <c r="N173">
        <v>0</v>
      </c>
      <c r="O173">
        <v>989000000</v>
      </c>
      <c r="P173">
        <v>15062000000</v>
      </c>
      <c r="Q173">
        <v>54793946280</v>
      </c>
      <c r="R173">
        <v>55782946280</v>
      </c>
    </row>
    <row r="174" spans="1:18" x14ac:dyDescent="0.25">
      <c r="A174" s="1" t="s">
        <v>1327</v>
      </c>
      <c r="B174">
        <v>60370088670</v>
      </c>
      <c r="C174" t="s">
        <v>88</v>
      </c>
      <c r="D174" t="s">
        <v>127</v>
      </c>
      <c r="E174">
        <v>12650000000</v>
      </c>
      <c r="F174">
        <v>0</v>
      </c>
      <c r="G174">
        <v>12650000000</v>
      </c>
      <c r="H174">
        <v>15153000000</v>
      </c>
      <c r="I174">
        <v>1316000000</v>
      </c>
      <c r="J174">
        <v>197000000</v>
      </c>
      <c r="K174">
        <v>7170000000</v>
      </c>
      <c r="L174">
        <v>5372000000</v>
      </c>
      <c r="M174">
        <v>16241000000</v>
      </c>
      <c r="N174">
        <v>0</v>
      </c>
      <c r="O174">
        <v>989000000</v>
      </c>
      <c r="P174">
        <v>15062000000</v>
      </c>
      <c r="Q174">
        <v>55087088670</v>
      </c>
      <c r="R174">
        <v>56076088670</v>
      </c>
    </row>
    <row r="175" spans="1:18" x14ac:dyDescent="0.25">
      <c r="A175" s="1" t="s">
        <v>1326</v>
      </c>
      <c r="B175">
        <v>59801047560</v>
      </c>
      <c r="C175" t="s">
        <v>88</v>
      </c>
      <c r="D175" t="s">
        <v>127</v>
      </c>
      <c r="E175">
        <v>12650000000</v>
      </c>
      <c r="F175">
        <v>0</v>
      </c>
      <c r="G175">
        <v>12650000000</v>
      </c>
      <c r="H175">
        <v>15153000000</v>
      </c>
      <c r="I175">
        <v>1316000000</v>
      </c>
      <c r="J175">
        <v>197000000</v>
      </c>
      <c r="K175">
        <v>7170000000</v>
      </c>
      <c r="L175">
        <v>5372000000</v>
      </c>
      <c r="M175">
        <v>16241000000</v>
      </c>
      <c r="N175">
        <v>0</v>
      </c>
      <c r="O175">
        <v>989000000</v>
      </c>
      <c r="P175">
        <v>15062000000</v>
      </c>
      <c r="Q175">
        <v>54518047560</v>
      </c>
      <c r="R175">
        <v>55507047560</v>
      </c>
    </row>
    <row r="176" spans="1:18" x14ac:dyDescent="0.25">
      <c r="A176" s="1" t="s">
        <v>1325</v>
      </c>
      <c r="B176">
        <v>60577012710</v>
      </c>
      <c r="C176" t="s">
        <v>88</v>
      </c>
      <c r="D176" t="s">
        <v>127</v>
      </c>
      <c r="E176">
        <v>12650000000</v>
      </c>
      <c r="F176">
        <v>0</v>
      </c>
      <c r="G176">
        <v>12650000000</v>
      </c>
      <c r="H176">
        <v>15153000000</v>
      </c>
      <c r="I176">
        <v>1316000000</v>
      </c>
      <c r="J176">
        <v>197000000</v>
      </c>
      <c r="K176">
        <v>7170000000</v>
      </c>
      <c r="L176">
        <v>5372000000</v>
      </c>
      <c r="M176">
        <v>16241000000</v>
      </c>
      <c r="N176">
        <v>0</v>
      </c>
      <c r="O176">
        <v>989000000</v>
      </c>
      <c r="P176">
        <v>15062000000</v>
      </c>
      <c r="Q176">
        <v>55294012710</v>
      </c>
      <c r="R176">
        <v>56283012710</v>
      </c>
    </row>
    <row r="177" spans="1:18" x14ac:dyDescent="0.25">
      <c r="A177" s="1" t="s">
        <v>1324</v>
      </c>
      <c r="B177">
        <v>64836199200</v>
      </c>
      <c r="C177" t="s">
        <v>88</v>
      </c>
      <c r="D177" t="s">
        <v>127</v>
      </c>
      <c r="E177">
        <v>12650000000</v>
      </c>
      <c r="F177">
        <v>0</v>
      </c>
      <c r="G177">
        <v>12650000000</v>
      </c>
      <c r="H177">
        <v>15153000000</v>
      </c>
      <c r="I177">
        <v>1316000000</v>
      </c>
      <c r="J177">
        <v>197000000</v>
      </c>
      <c r="K177">
        <v>7170000000</v>
      </c>
      <c r="L177">
        <v>5372000000</v>
      </c>
      <c r="M177">
        <v>16241000000</v>
      </c>
      <c r="N177">
        <v>0</v>
      </c>
      <c r="O177">
        <v>989000000</v>
      </c>
      <c r="P177">
        <v>15062000000</v>
      </c>
      <c r="Q177">
        <v>59553199200</v>
      </c>
      <c r="R177">
        <v>60542199200</v>
      </c>
    </row>
    <row r="178" spans="1:18" x14ac:dyDescent="0.25">
      <c r="A178" s="1" t="s">
        <v>1323</v>
      </c>
      <c r="B178">
        <v>63870553680</v>
      </c>
      <c r="C178" t="s">
        <v>88</v>
      </c>
      <c r="D178" t="s">
        <v>127</v>
      </c>
      <c r="E178">
        <v>12650000000</v>
      </c>
      <c r="F178">
        <v>0</v>
      </c>
      <c r="G178">
        <v>12650000000</v>
      </c>
      <c r="H178">
        <v>15153000000</v>
      </c>
      <c r="I178">
        <v>1316000000</v>
      </c>
      <c r="J178">
        <v>197000000</v>
      </c>
      <c r="K178">
        <v>7170000000</v>
      </c>
      <c r="L178">
        <v>5372000000</v>
      </c>
      <c r="M178">
        <v>16241000000</v>
      </c>
      <c r="N178">
        <v>0</v>
      </c>
      <c r="O178">
        <v>989000000</v>
      </c>
      <c r="P178">
        <v>15062000000</v>
      </c>
      <c r="Q178">
        <v>58587553680</v>
      </c>
      <c r="R178">
        <v>59576553680</v>
      </c>
    </row>
    <row r="179" spans="1:18" x14ac:dyDescent="0.25">
      <c r="A179" s="1" t="s">
        <v>1322</v>
      </c>
      <c r="B179">
        <v>64491325800</v>
      </c>
      <c r="C179" t="s">
        <v>88</v>
      </c>
      <c r="D179" t="s">
        <v>127</v>
      </c>
      <c r="E179">
        <v>12650000000</v>
      </c>
      <c r="F179">
        <v>0</v>
      </c>
      <c r="G179">
        <v>12650000000</v>
      </c>
      <c r="H179">
        <v>15153000000</v>
      </c>
      <c r="I179">
        <v>1316000000</v>
      </c>
      <c r="J179">
        <v>197000000</v>
      </c>
      <c r="K179">
        <v>7170000000</v>
      </c>
      <c r="L179">
        <v>5372000000</v>
      </c>
      <c r="M179">
        <v>16241000000</v>
      </c>
      <c r="N179">
        <v>0</v>
      </c>
      <c r="O179">
        <v>989000000</v>
      </c>
      <c r="P179">
        <v>15062000000</v>
      </c>
      <c r="Q179">
        <v>59208325800</v>
      </c>
      <c r="R179">
        <v>60197325800</v>
      </c>
    </row>
    <row r="180" spans="1:18" x14ac:dyDescent="0.25">
      <c r="A180" s="1" t="s">
        <v>1321</v>
      </c>
      <c r="B180">
        <v>63456705599</v>
      </c>
      <c r="C180" t="s">
        <v>88</v>
      </c>
      <c r="D180" t="s">
        <v>127</v>
      </c>
      <c r="E180">
        <v>12650000000</v>
      </c>
      <c r="F180">
        <v>0</v>
      </c>
      <c r="G180">
        <v>12650000000</v>
      </c>
      <c r="H180">
        <v>15153000000</v>
      </c>
      <c r="I180">
        <v>1316000000</v>
      </c>
      <c r="J180">
        <v>197000000</v>
      </c>
      <c r="K180">
        <v>7170000000</v>
      </c>
      <c r="L180">
        <v>5372000000</v>
      </c>
      <c r="M180">
        <v>16241000000</v>
      </c>
      <c r="N180">
        <v>0</v>
      </c>
      <c r="O180">
        <v>989000000</v>
      </c>
      <c r="P180">
        <v>15062000000</v>
      </c>
      <c r="Q180">
        <v>58173705599</v>
      </c>
      <c r="R180">
        <v>59162705599</v>
      </c>
    </row>
    <row r="181" spans="1:18" x14ac:dyDescent="0.25">
      <c r="A181" s="1" t="s">
        <v>1320</v>
      </c>
      <c r="B181">
        <v>62594522099</v>
      </c>
      <c r="C181" t="s">
        <v>88</v>
      </c>
      <c r="D181" t="s">
        <v>127</v>
      </c>
      <c r="E181">
        <v>12650000000</v>
      </c>
      <c r="F181">
        <v>0</v>
      </c>
      <c r="G181">
        <v>12650000000</v>
      </c>
      <c r="H181">
        <v>15153000000</v>
      </c>
      <c r="I181">
        <v>1316000000</v>
      </c>
      <c r="J181">
        <v>197000000</v>
      </c>
      <c r="K181">
        <v>7170000000</v>
      </c>
      <c r="L181">
        <v>5372000000</v>
      </c>
      <c r="M181">
        <v>16241000000</v>
      </c>
      <c r="N181">
        <v>0</v>
      </c>
      <c r="O181">
        <v>989000000</v>
      </c>
      <c r="P181">
        <v>15062000000</v>
      </c>
      <c r="Q181">
        <v>57311522099</v>
      </c>
      <c r="R181">
        <v>58300522099</v>
      </c>
    </row>
    <row r="182" spans="1:18" x14ac:dyDescent="0.25">
      <c r="A182" s="1" t="s">
        <v>1319</v>
      </c>
      <c r="B182">
        <v>63818822670</v>
      </c>
      <c r="C182" t="s">
        <v>88</v>
      </c>
      <c r="D182" t="s">
        <v>127</v>
      </c>
      <c r="E182">
        <v>12650000000</v>
      </c>
      <c r="F182">
        <v>0</v>
      </c>
      <c r="G182">
        <v>12650000000</v>
      </c>
      <c r="H182">
        <v>15153000000</v>
      </c>
      <c r="I182">
        <v>1316000000</v>
      </c>
      <c r="J182">
        <v>197000000</v>
      </c>
      <c r="K182">
        <v>7170000000</v>
      </c>
      <c r="L182">
        <v>5372000000</v>
      </c>
      <c r="M182">
        <v>16241000000</v>
      </c>
      <c r="N182">
        <v>0</v>
      </c>
      <c r="O182">
        <v>989000000</v>
      </c>
      <c r="P182">
        <v>15062000000</v>
      </c>
      <c r="Q182">
        <v>58535822670</v>
      </c>
      <c r="R182">
        <v>59524822670</v>
      </c>
    </row>
    <row r="183" spans="1:18" x14ac:dyDescent="0.25">
      <c r="A183" s="1" t="s">
        <v>1318</v>
      </c>
      <c r="B183">
        <v>63784335330</v>
      </c>
      <c r="C183" t="s">
        <v>88</v>
      </c>
      <c r="D183" t="s">
        <v>127</v>
      </c>
      <c r="E183">
        <v>12650000000</v>
      </c>
      <c r="F183">
        <v>0</v>
      </c>
      <c r="G183">
        <v>12650000000</v>
      </c>
      <c r="H183">
        <v>15153000000</v>
      </c>
      <c r="I183">
        <v>1316000000</v>
      </c>
      <c r="J183">
        <v>197000000</v>
      </c>
      <c r="K183">
        <v>7170000000</v>
      </c>
      <c r="L183">
        <v>5372000000</v>
      </c>
      <c r="M183">
        <v>16241000000</v>
      </c>
      <c r="N183">
        <v>0</v>
      </c>
      <c r="O183">
        <v>989000000</v>
      </c>
      <c r="P183">
        <v>15062000000</v>
      </c>
      <c r="Q183">
        <v>58501335330</v>
      </c>
      <c r="R183">
        <v>59490335330</v>
      </c>
    </row>
    <row r="184" spans="1:18" x14ac:dyDescent="0.25">
      <c r="A184" s="1" t="s">
        <v>1317</v>
      </c>
      <c r="B184">
        <v>63249781560</v>
      </c>
      <c r="C184" t="s">
        <v>88</v>
      </c>
      <c r="D184" t="s">
        <v>127</v>
      </c>
      <c r="E184">
        <v>12650000000</v>
      </c>
      <c r="F184">
        <v>0</v>
      </c>
      <c r="G184">
        <v>12650000000</v>
      </c>
      <c r="H184">
        <v>15153000000</v>
      </c>
      <c r="I184">
        <v>1316000000</v>
      </c>
      <c r="J184">
        <v>197000000</v>
      </c>
      <c r="K184">
        <v>7170000000</v>
      </c>
      <c r="L184">
        <v>5372000000</v>
      </c>
      <c r="M184">
        <v>16241000000</v>
      </c>
      <c r="N184">
        <v>0</v>
      </c>
      <c r="O184">
        <v>989000000</v>
      </c>
      <c r="P184">
        <v>15062000000</v>
      </c>
      <c r="Q184">
        <v>57966781560</v>
      </c>
      <c r="R184">
        <v>58955781560</v>
      </c>
    </row>
    <row r="185" spans="1:18" x14ac:dyDescent="0.25">
      <c r="A185" s="1" t="s">
        <v>1316</v>
      </c>
      <c r="B185">
        <v>62577278430</v>
      </c>
      <c r="C185" t="s">
        <v>88</v>
      </c>
      <c r="D185" t="s">
        <v>127</v>
      </c>
      <c r="E185">
        <v>12650000000</v>
      </c>
      <c r="F185">
        <v>0</v>
      </c>
      <c r="G185">
        <v>12650000000</v>
      </c>
      <c r="H185">
        <v>15153000000</v>
      </c>
      <c r="I185">
        <v>1316000000</v>
      </c>
      <c r="J185">
        <v>197000000</v>
      </c>
      <c r="K185">
        <v>7170000000</v>
      </c>
      <c r="L185">
        <v>5372000000</v>
      </c>
      <c r="M185">
        <v>16241000000</v>
      </c>
      <c r="N185">
        <v>0</v>
      </c>
      <c r="O185">
        <v>989000000</v>
      </c>
      <c r="P185">
        <v>15062000000</v>
      </c>
      <c r="Q185">
        <v>57294278430</v>
      </c>
      <c r="R185">
        <v>58283278430</v>
      </c>
    </row>
    <row r="186" spans="1:18" x14ac:dyDescent="0.25">
      <c r="A186" s="1" t="s">
        <v>1315</v>
      </c>
      <c r="B186">
        <v>64818955530</v>
      </c>
      <c r="C186" t="s">
        <v>88</v>
      </c>
      <c r="D186" t="s">
        <v>127</v>
      </c>
      <c r="E186">
        <v>12650000000</v>
      </c>
      <c r="F186">
        <v>0</v>
      </c>
      <c r="G186">
        <v>12650000000</v>
      </c>
      <c r="H186">
        <v>15153000000</v>
      </c>
      <c r="I186">
        <v>1316000000</v>
      </c>
      <c r="J186">
        <v>197000000</v>
      </c>
      <c r="K186">
        <v>7170000000</v>
      </c>
      <c r="L186">
        <v>5372000000</v>
      </c>
      <c r="M186">
        <v>16241000000</v>
      </c>
      <c r="N186">
        <v>0</v>
      </c>
      <c r="O186">
        <v>989000000</v>
      </c>
      <c r="P186">
        <v>15062000000</v>
      </c>
      <c r="Q186">
        <v>59535955530</v>
      </c>
      <c r="R186">
        <v>60524955530</v>
      </c>
    </row>
    <row r="187" spans="1:18" x14ac:dyDescent="0.25">
      <c r="A187" s="1" t="s">
        <v>1314</v>
      </c>
      <c r="B187">
        <v>66439860510</v>
      </c>
      <c r="C187" t="s">
        <v>88</v>
      </c>
      <c r="D187" t="s">
        <v>127</v>
      </c>
      <c r="E187">
        <v>12650000000</v>
      </c>
      <c r="F187">
        <v>0</v>
      </c>
      <c r="G187">
        <v>12650000000</v>
      </c>
      <c r="H187">
        <v>15153000000</v>
      </c>
      <c r="I187">
        <v>1316000000</v>
      </c>
      <c r="J187">
        <v>197000000</v>
      </c>
      <c r="K187">
        <v>7170000000</v>
      </c>
      <c r="L187">
        <v>5372000000</v>
      </c>
      <c r="M187">
        <v>16241000000</v>
      </c>
      <c r="N187">
        <v>0</v>
      </c>
      <c r="O187">
        <v>989000000</v>
      </c>
      <c r="P187">
        <v>15062000000</v>
      </c>
      <c r="Q187">
        <v>61156860510</v>
      </c>
      <c r="R187">
        <v>62145860510</v>
      </c>
    </row>
    <row r="188" spans="1:18" x14ac:dyDescent="0.25">
      <c r="A188" s="1" t="s">
        <v>1313</v>
      </c>
      <c r="B188">
        <v>63473949270</v>
      </c>
      <c r="C188" t="s">
        <v>88</v>
      </c>
      <c r="D188" t="s">
        <v>127</v>
      </c>
      <c r="E188">
        <v>12650000000</v>
      </c>
      <c r="F188">
        <v>0</v>
      </c>
      <c r="G188">
        <v>12650000000</v>
      </c>
      <c r="H188">
        <v>15153000000</v>
      </c>
      <c r="I188">
        <v>1316000000</v>
      </c>
      <c r="J188">
        <v>197000000</v>
      </c>
      <c r="K188">
        <v>7170000000</v>
      </c>
      <c r="L188">
        <v>5372000000</v>
      </c>
      <c r="M188">
        <v>16241000000</v>
      </c>
      <c r="N188">
        <v>0</v>
      </c>
      <c r="O188">
        <v>989000000</v>
      </c>
      <c r="P188">
        <v>15062000000</v>
      </c>
      <c r="Q188">
        <v>58190949270</v>
      </c>
      <c r="R188">
        <v>59179949270</v>
      </c>
    </row>
    <row r="189" spans="1:18" x14ac:dyDescent="0.25">
      <c r="A189" s="1" t="s">
        <v>136</v>
      </c>
      <c r="B189">
        <v>63956772030</v>
      </c>
      <c r="C189" t="s">
        <v>88</v>
      </c>
      <c r="D189" t="s">
        <v>127</v>
      </c>
      <c r="E189">
        <v>12650000000</v>
      </c>
      <c r="F189">
        <v>0</v>
      </c>
      <c r="G189">
        <v>12650000000</v>
      </c>
      <c r="H189">
        <v>15153000000</v>
      </c>
      <c r="I189">
        <v>1316000000</v>
      </c>
      <c r="J189">
        <v>197000000</v>
      </c>
      <c r="K189">
        <v>7170000000</v>
      </c>
      <c r="L189">
        <v>5372000000</v>
      </c>
      <c r="M189">
        <v>16241000000</v>
      </c>
      <c r="N189">
        <v>0</v>
      </c>
      <c r="O189">
        <v>989000000</v>
      </c>
      <c r="P189">
        <v>15062000000</v>
      </c>
      <c r="Q189">
        <v>58673772030</v>
      </c>
      <c r="R189">
        <v>59662772030</v>
      </c>
    </row>
    <row r="190" spans="1:18" x14ac:dyDescent="0.25">
      <c r="A190" s="1" t="s">
        <v>1312</v>
      </c>
      <c r="B190">
        <v>70061031210</v>
      </c>
      <c r="C190" t="s">
        <v>87</v>
      </c>
      <c r="D190" t="s">
        <v>127</v>
      </c>
      <c r="E190">
        <v>10873000000</v>
      </c>
      <c r="F190">
        <v>440000000</v>
      </c>
      <c r="G190">
        <v>11313000000</v>
      </c>
      <c r="H190">
        <v>13925000000</v>
      </c>
      <c r="I190">
        <v>1299000000</v>
      </c>
      <c r="J190">
        <v>196000000</v>
      </c>
      <c r="K190">
        <v>7230000000</v>
      </c>
      <c r="L190">
        <v>5639000000</v>
      </c>
      <c r="M190">
        <v>16578000000</v>
      </c>
      <c r="N190">
        <v>0</v>
      </c>
      <c r="O190">
        <v>993000000</v>
      </c>
      <c r="P190">
        <v>14190000000</v>
      </c>
      <c r="Q190">
        <v>66174031210</v>
      </c>
      <c r="R190">
        <v>67167031210</v>
      </c>
    </row>
    <row r="191" spans="1:18" x14ac:dyDescent="0.25">
      <c r="A191" s="1" t="s">
        <v>1311</v>
      </c>
      <c r="B191">
        <v>68991923670</v>
      </c>
      <c r="C191" t="s">
        <v>87</v>
      </c>
      <c r="D191" t="s">
        <v>127</v>
      </c>
      <c r="E191">
        <v>10873000000</v>
      </c>
      <c r="F191">
        <v>440000000</v>
      </c>
      <c r="G191">
        <v>11313000000</v>
      </c>
      <c r="H191">
        <v>13925000000</v>
      </c>
      <c r="I191">
        <v>1299000000</v>
      </c>
      <c r="J191">
        <v>196000000</v>
      </c>
      <c r="K191">
        <v>7230000000</v>
      </c>
      <c r="L191">
        <v>5639000000</v>
      </c>
      <c r="M191">
        <v>16578000000</v>
      </c>
      <c r="N191">
        <v>0</v>
      </c>
      <c r="O191">
        <v>993000000</v>
      </c>
      <c r="P191">
        <v>14190000000</v>
      </c>
      <c r="Q191">
        <v>65104923670</v>
      </c>
      <c r="R191">
        <v>66097923670</v>
      </c>
    </row>
    <row r="192" spans="1:18" x14ac:dyDescent="0.25">
      <c r="A192" s="1" t="s">
        <v>1310</v>
      </c>
      <c r="B192">
        <v>71164626090</v>
      </c>
      <c r="C192" t="s">
        <v>87</v>
      </c>
      <c r="D192" t="s">
        <v>127</v>
      </c>
      <c r="E192">
        <v>10873000000</v>
      </c>
      <c r="F192">
        <v>440000000</v>
      </c>
      <c r="G192">
        <v>11313000000</v>
      </c>
      <c r="H192">
        <v>13925000000</v>
      </c>
      <c r="I192">
        <v>1299000000</v>
      </c>
      <c r="J192">
        <v>196000000</v>
      </c>
      <c r="K192">
        <v>7230000000</v>
      </c>
      <c r="L192">
        <v>5639000000</v>
      </c>
      <c r="M192">
        <v>16578000000</v>
      </c>
      <c r="N192">
        <v>0</v>
      </c>
      <c r="O192">
        <v>993000000</v>
      </c>
      <c r="P192">
        <v>14190000000</v>
      </c>
      <c r="Q192">
        <v>67277626090</v>
      </c>
      <c r="R192">
        <v>68270626090</v>
      </c>
    </row>
    <row r="193" spans="1:18" x14ac:dyDescent="0.25">
      <c r="A193" s="1" t="s">
        <v>1309</v>
      </c>
      <c r="B193">
        <v>71130138750</v>
      </c>
      <c r="C193" t="s">
        <v>87</v>
      </c>
      <c r="D193" t="s">
        <v>127</v>
      </c>
      <c r="E193">
        <v>10873000000</v>
      </c>
      <c r="F193">
        <v>440000000</v>
      </c>
      <c r="G193">
        <v>11313000000</v>
      </c>
      <c r="H193">
        <v>13925000000</v>
      </c>
      <c r="I193">
        <v>1299000000</v>
      </c>
      <c r="J193">
        <v>196000000</v>
      </c>
      <c r="K193">
        <v>7230000000</v>
      </c>
      <c r="L193">
        <v>5639000000</v>
      </c>
      <c r="M193">
        <v>16578000000</v>
      </c>
      <c r="N193">
        <v>0</v>
      </c>
      <c r="O193">
        <v>993000000</v>
      </c>
      <c r="P193">
        <v>14190000000</v>
      </c>
      <c r="Q193">
        <v>67243138750</v>
      </c>
      <c r="R193">
        <v>68236138750</v>
      </c>
    </row>
    <row r="194" spans="1:18" x14ac:dyDescent="0.25">
      <c r="A194" s="1" t="s">
        <v>1308</v>
      </c>
      <c r="B194">
        <v>69129873030</v>
      </c>
      <c r="C194" t="s">
        <v>87</v>
      </c>
      <c r="D194" t="s">
        <v>127</v>
      </c>
      <c r="E194">
        <v>10873000000</v>
      </c>
      <c r="F194">
        <v>440000000</v>
      </c>
      <c r="G194">
        <v>11313000000</v>
      </c>
      <c r="H194">
        <v>13925000000</v>
      </c>
      <c r="I194">
        <v>1299000000</v>
      </c>
      <c r="J194">
        <v>196000000</v>
      </c>
      <c r="K194">
        <v>7230000000</v>
      </c>
      <c r="L194">
        <v>5639000000</v>
      </c>
      <c r="M194">
        <v>16578000000</v>
      </c>
      <c r="N194">
        <v>0</v>
      </c>
      <c r="O194">
        <v>993000000</v>
      </c>
      <c r="P194">
        <v>14190000000</v>
      </c>
      <c r="Q194">
        <v>65242873030</v>
      </c>
      <c r="R194">
        <v>66235873030</v>
      </c>
    </row>
    <row r="195" spans="1:18" x14ac:dyDescent="0.25">
      <c r="A195" s="1" t="s">
        <v>1307</v>
      </c>
      <c r="B195">
        <v>68388395219</v>
      </c>
      <c r="C195" t="s">
        <v>87</v>
      </c>
      <c r="D195" t="s">
        <v>127</v>
      </c>
      <c r="E195">
        <v>10873000000</v>
      </c>
      <c r="F195">
        <v>440000000</v>
      </c>
      <c r="G195">
        <v>11313000000</v>
      </c>
      <c r="H195">
        <v>13925000000</v>
      </c>
      <c r="I195">
        <v>1299000000</v>
      </c>
      <c r="J195">
        <v>196000000</v>
      </c>
      <c r="K195">
        <v>7230000000</v>
      </c>
      <c r="L195">
        <v>5639000000</v>
      </c>
      <c r="M195">
        <v>16578000000</v>
      </c>
      <c r="N195">
        <v>0</v>
      </c>
      <c r="O195">
        <v>993000000</v>
      </c>
      <c r="P195">
        <v>14190000000</v>
      </c>
      <c r="Q195">
        <v>64501395219</v>
      </c>
      <c r="R195">
        <v>65494395219</v>
      </c>
    </row>
    <row r="196" spans="1:18" x14ac:dyDescent="0.25">
      <c r="A196" s="1" t="s">
        <v>1306</v>
      </c>
      <c r="B196">
        <v>69285066060</v>
      </c>
      <c r="C196" t="s">
        <v>87</v>
      </c>
      <c r="D196" t="s">
        <v>127</v>
      </c>
      <c r="E196">
        <v>10873000000</v>
      </c>
      <c r="F196">
        <v>440000000</v>
      </c>
      <c r="G196">
        <v>11313000000</v>
      </c>
      <c r="H196">
        <v>13925000000</v>
      </c>
      <c r="I196">
        <v>1299000000</v>
      </c>
      <c r="J196">
        <v>196000000</v>
      </c>
      <c r="K196">
        <v>7230000000</v>
      </c>
      <c r="L196">
        <v>5639000000</v>
      </c>
      <c r="M196">
        <v>16578000000</v>
      </c>
      <c r="N196">
        <v>0</v>
      </c>
      <c r="O196">
        <v>993000000</v>
      </c>
      <c r="P196">
        <v>14190000000</v>
      </c>
      <c r="Q196">
        <v>65398066060</v>
      </c>
      <c r="R196">
        <v>66391066060</v>
      </c>
    </row>
    <row r="197" spans="1:18" x14ac:dyDescent="0.25">
      <c r="A197" s="1" t="s">
        <v>1305</v>
      </c>
      <c r="B197">
        <v>70785265350</v>
      </c>
      <c r="C197" t="s">
        <v>87</v>
      </c>
      <c r="D197" t="s">
        <v>127</v>
      </c>
      <c r="E197">
        <v>10873000000</v>
      </c>
      <c r="F197">
        <v>440000000</v>
      </c>
      <c r="G197">
        <v>11313000000</v>
      </c>
      <c r="H197">
        <v>13925000000</v>
      </c>
      <c r="I197">
        <v>1299000000</v>
      </c>
      <c r="J197">
        <v>196000000</v>
      </c>
      <c r="K197">
        <v>7230000000</v>
      </c>
      <c r="L197">
        <v>5639000000</v>
      </c>
      <c r="M197">
        <v>16578000000</v>
      </c>
      <c r="N197">
        <v>0</v>
      </c>
      <c r="O197">
        <v>993000000</v>
      </c>
      <c r="P197">
        <v>14190000000</v>
      </c>
      <c r="Q197">
        <v>66898265350</v>
      </c>
      <c r="R197">
        <v>67891265350</v>
      </c>
    </row>
    <row r="198" spans="1:18" x14ac:dyDescent="0.25">
      <c r="A198" s="1" t="s">
        <v>1304</v>
      </c>
      <c r="B198">
        <v>70561097640</v>
      </c>
      <c r="C198" t="s">
        <v>87</v>
      </c>
      <c r="D198" t="s">
        <v>127</v>
      </c>
      <c r="E198">
        <v>10873000000</v>
      </c>
      <c r="F198">
        <v>440000000</v>
      </c>
      <c r="G198">
        <v>11313000000</v>
      </c>
      <c r="H198">
        <v>13925000000</v>
      </c>
      <c r="I198">
        <v>1299000000</v>
      </c>
      <c r="J198">
        <v>196000000</v>
      </c>
      <c r="K198">
        <v>7230000000</v>
      </c>
      <c r="L198">
        <v>5639000000</v>
      </c>
      <c r="M198">
        <v>16578000000</v>
      </c>
      <c r="N198">
        <v>0</v>
      </c>
      <c r="O198">
        <v>993000000</v>
      </c>
      <c r="P198">
        <v>14190000000</v>
      </c>
      <c r="Q198">
        <v>66674097640</v>
      </c>
      <c r="R198">
        <v>67667097640</v>
      </c>
    </row>
    <row r="199" spans="1:18" x14ac:dyDescent="0.25">
      <c r="A199" s="1" t="s">
        <v>1303</v>
      </c>
      <c r="B199">
        <v>70216224240</v>
      </c>
      <c r="C199" t="s">
        <v>87</v>
      </c>
      <c r="D199" t="s">
        <v>127</v>
      </c>
      <c r="E199">
        <v>10873000000</v>
      </c>
      <c r="F199">
        <v>440000000</v>
      </c>
      <c r="G199">
        <v>11313000000</v>
      </c>
      <c r="H199">
        <v>13925000000</v>
      </c>
      <c r="I199">
        <v>1299000000</v>
      </c>
      <c r="J199">
        <v>196000000</v>
      </c>
      <c r="K199">
        <v>7230000000</v>
      </c>
      <c r="L199">
        <v>5639000000</v>
      </c>
      <c r="M199">
        <v>16578000000</v>
      </c>
      <c r="N199">
        <v>0</v>
      </c>
      <c r="O199">
        <v>993000000</v>
      </c>
      <c r="P199">
        <v>14190000000</v>
      </c>
      <c r="Q199">
        <v>66329224240</v>
      </c>
      <c r="R199">
        <v>67322224240</v>
      </c>
    </row>
    <row r="200" spans="1:18" x14ac:dyDescent="0.25">
      <c r="A200" s="1" t="s">
        <v>1302</v>
      </c>
      <c r="B200">
        <v>66060499770</v>
      </c>
      <c r="C200" t="s">
        <v>87</v>
      </c>
      <c r="D200" t="s">
        <v>127</v>
      </c>
      <c r="E200">
        <v>10873000000</v>
      </c>
      <c r="F200">
        <v>440000000</v>
      </c>
      <c r="G200">
        <v>11313000000</v>
      </c>
      <c r="H200">
        <v>13925000000</v>
      </c>
      <c r="I200">
        <v>1299000000</v>
      </c>
      <c r="J200">
        <v>196000000</v>
      </c>
      <c r="K200">
        <v>7230000000</v>
      </c>
      <c r="L200">
        <v>5639000000</v>
      </c>
      <c r="M200">
        <v>16578000000</v>
      </c>
      <c r="N200">
        <v>0</v>
      </c>
      <c r="O200">
        <v>993000000</v>
      </c>
      <c r="P200">
        <v>14190000000</v>
      </c>
      <c r="Q200">
        <v>62173499770</v>
      </c>
      <c r="R200">
        <v>63166499770</v>
      </c>
    </row>
    <row r="201" spans="1:18" x14ac:dyDescent="0.25">
      <c r="A201" s="1" t="s">
        <v>1301</v>
      </c>
      <c r="B201">
        <v>61887531630</v>
      </c>
      <c r="C201" t="s">
        <v>87</v>
      </c>
      <c r="D201" t="s">
        <v>127</v>
      </c>
      <c r="E201">
        <v>10873000000</v>
      </c>
      <c r="F201">
        <v>440000000</v>
      </c>
      <c r="G201">
        <v>11313000000</v>
      </c>
      <c r="H201">
        <v>13925000000</v>
      </c>
      <c r="I201">
        <v>1299000000</v>
      </c>
      <c r="J201">
        <v>196000000</v>
      </c>
      <c r="K201">
        <v>7230000000</v>
      </c>
      <c r="L201">
        <v>5639000000</v>
      </c>
      <c r="M201">
        <v>16578000000</v>
      </c>
      <c r="N201">
        <v>0</v>
      </c>
      <c r="O201">
        <v>993000000</v>
      </c>
      <c r="P201">
        <v>14190000000</v>
      </c>
      <c r="Q201">
        <v>58000531630</v>
      </c>
      <c r="R201">
        <v>58993531630</v>
      </c>
    </row>
    <row r="202" spans="1:18" x14ac:dyDescent="0.25">
      <c r="A202" s="1" t="s">
        <v>1300</v>
      </c>
      <c r="B202">
        <v>59404443150</v>
      </c>
      <c r="C202" t="s">
        <v>87</v>
      </c>
      <c r="D202" t="s">
        <v>127</v>
      </c>
      <c r="E202">
        <v>10873000000</v>
      </c>
      <c r="F202">
        <v>440000000</v>
      </c>
      <c r="G202">
        <v>11313000000</v>
      </c>
      <c r="H202">
        <v>13925000000</v>
      </c>
      <c r="I202">
        <v>1299000000</v>
      </c>
      <c r="J202">
        <v>196000000</v>
      </c>
      <c r="K202">
        <v>7230000000</v>
      </c>
      <c r="L202">
        <v>5639000000</v>
      </c>
      <c r="M202">
        <v>16578000000</v>
      </c>
      <c r="N202">
        <v>0</v>
      </c>
      <c r="O202">
        <v>993000000</v>
      </c>
      <c r="P202">
        <v>14190000000</v>
      </c>
      <c r="Q202">
        <v>55517443150</v>
      </c>
      <c r="R202">
        <v>56510443150</v>
      </c>
    </row>
    <row r="203" spans="1:18" x14ac:dyDescent="0.25">
      <c r="A203" s="1" t="s">
        <v>1299</v>
      </c>
      <c r="B203">
        <v>55955709150</v>
      </c>
      <c r="C203" t="s">
        <v>87</v>
      </c>
      <c r="D203" t="s">
        <v>127</v>
      </c>
      <c r="E203">
        <v>10873000000</v>
      </c>
      <c r="F203">
        <v>440000000</v>
      </c>
      <c r="G203">
        <v>11313000000</v>
      </c>
      <c r="H203">
        <v>13925000000</v>
      </c>
      <c r="I203">
        <v>1299000000</v>
      </c>
      <c r="J203">
        <v>196000000</v>
      </c>
      <c r="K203">
        <v>7230000000</v>
      </c>
      <c r="L203">
        <v>5639000000</v>
      </c>
      <c r="M203">
        <v>16578000000</v>
      </c>
      <c r="N203">
        <v>0</v>
      </c>
      <c r="O203">
        <v>993000000</v>
      </c>
      <c r="P203">
        <v>14190000000</v>
      </c>
      <c r="Q203">
        <v>52068709150</v>
      </c>
      <c r="R203">
        <v>53061709150</v>
      </c>
    </row>
    <row r="204" spans="1:18" x14ac:dyDescent="0.25">
      <c r="A204" s="1" t="s">
        <v>1298</v>
      </c>
      <c r="B204">
        <v>58404310289</v>
      </c>
      <c r="C204" t="s">
        <v>87</v>
      </c>
      <c r="D204" t="s">
        <v>127</v>
      </c>
      <c r="E204">
        <v>10873000000</v>
      </c>
      <c r="F204">
        <v>440000000</v>
      </c>
      <c r="G204">
        <v>11313000000</v>
      </c>
      <c r="H204">
        <v>13925000000</v>
      </c>
      <c r="I204">
        <v>1299000000</v>
      </c>
      <c r="J204">
        <v>196000000</v>
      </c>
      <c r="K204">
        <v>7230000000</v>
      </c>
      <c r="L204">
        <v>5639000000</v>
      </c>
      <c r="M204">
        <v>16578000000</v>
      </c>
      <c r="N204">
        <v>0</v>
      </c>
      <c r="O204">
        <v>993000000</v>
      </c>
      <c r="P204">
        <v>14190000000</v>
      </c>
      <c r="Q204">
        <v>54517310289</v>
      </c>
      <c r="R204">
        <v>55510310289</v>
      </c>
    </row>
    <row r="205" spans="1:18" x14ac:dyDescent="0.25">
      <c r="A205" s="1" t="s">
        <v>157</v>
      </c>
      <c r="B205">
        <v>56645455950</v>
      </c>
      <c r="C205" t="s">
        <v>87</v>
      </c>
      <c r="D205" t="s">
        <v>127</v>
      </c>
      <c r="E205">
        <v>10873000000</v>
      </c>
      <c r="F205">
        <v>440000000</v>
      </c>
      <c r="G205">
        <v>11313000000</v>
      </c>
      <c r="H205">
        <v>13925000000</v>
      </c>
      <c r="I205">
        <v>1299000000</v>
      </c>
      <c r="J205">
        <v>196000000</v>
      </c>
      <c r="K205">
        <v>7230000000</v>
      </c>
      <c r="L205">
        <v>5639000000</v>
      </c>
      <c r="M205">
        <v>16578000000</v>
      </c>
      <c r="N205">
        <v>0</v>
      </c>
      <c r="O205">
        <v>993000000</v>
      </c>
      <c r="P205">
        <v>14190000000</v>
      </c>
      <c r="Q205">
        <v>52758455950</v>
      </c>
      <c r="R205">
        <v>53751455950</v>
      </c>
    </row>
    <row r="206" spans="1:18" x14ac:dyDescent="0.25">
      <c r="A206" s="1" t="s">
        <v>1297</v>
      </c>
      <c r="B206">
        <v>56973085680</v>
      </c>
      <c r="C206" t="s">
        <v>87</v>
      </c>
      <c r="D206" t="s">
        <v>127</v>
      </c>
      <c r="E206">
        <v>10873000000</v>
      </c>
      <c r="F206">
        <v>440000000</v>
      </c>
      <c r="G206">
        <v>11313000000</v>
      </c>
      <c r="H206">
        <v>13925000000</v>
      </c>
      <c r="I206">
        <v>1299000000</v>
      </c>
      <c r="J206">
        <v>196000000</v>
      </c>
      <c r="K206">
        <v>7230000000</v>
      </c>
      <c r="L206">
        <v>5639000000</v>
      </c>
      <c r="M206">
        <v>16578000000</v>
      </c>
      <c r="N206">
        <v>0</v>
      </c>
      <c r="O206">
        <v>993000000</v>
      </c>
      <c r="P206">
        <v>14190000000</v>
      </c>
      <c r="Q206">
        <v>53086085680</v>
      </c>
      <c r="R206">
        <v>54079085680</v>
      </c>
    </row>
    <row r="207" spans="1:18" x14ac:dyDescent="0.25">
      <c r="A207" s="1" t="s">
        <v>1296</v>
      </c>
      <c r="B207">
        <v>59542392510</v>
      </c>
      <c r="C207" t="s">
        <v>87</v>
      </c>
      <c r="D207" t="s">
        <v>127</v>
      </c>
      <c r="E207">
        <v>10873000000</v>
      </c>
      <c r="F207">
        <v>440000000</v>
      </c>
      <c r="G207">
        <v>11313000000</v>
      </c>
      <c r="H207">
        <v>13925000000</v>
      </c>
      <c r="I207">
        <v>1299000000</v>
      </c>
      <c r="J207">
        <v>196000000</v>
      </c>
      <c r="K207">
        <v>7230000000</v>
      </c>
      <c r="L207">
        <v>5639000000</v>
      </c>
      <c r="M207">
        <v>16578000000</v>
      </c>
      <c r="N207">
        <v>0</v>
      </c>
      <c r="O207">
        <v>993000000</v>
      </c>
      <c r="P207">
        <v>14190000000</v>
      </c>
      <c r="Q207">
        <v>55655392510</v>
      </c>
      <c r="R207">
        <v>56648392510</v>
      </c>
    </row>
    <row r="208" spans="1:18" x14ac:dyDescent="0.25">
      <c r="A208" s="1" t="s">
        <v>1295</v>
      </c>
      <c r="B208">
        <v>55541861070</v>
      </c>
      <c r="C208" t="s">
        <v>87</v>
      </c>
      <c r="D208" t="s">
        <v>127</v>
      </c>
      <c r="E208">
        <v>10873000000</v>
      </c>
      <c r="F208">
        <v>440000000</v>
      </c>
      <c r="G208">
        <v>11313000000</v>
      </c>
      <c r="H208">
        <v>13925000000</v>
      </c>
      <c r="I208">
        <v>1299000000</v>
      </c>
      <c r="J208">
        <v>196000000</v>
      </c>
      <c r="K208">
        <v>7230000000</v>
      </c>
      <c r="L208">
        <v>5639000000</v>
      </c>
      <c r="M208">
        <v>16578000000</v>
      </c>
      <c r="N208">
        <v>0</v>
      </c>
      <c r="O208">
        <v>993000000</v>
      </c>
      <c r="P208">
        <v>14190000000</v>
      </c>
      <c r="Q208">
        <v>51654861070</v>
      </c>
      <c r="R208">
        <v>52647861070</v>
      </c>
    </row>
    <row r="209" spans="1:18" x14ac:dyDescent="0.25">
      <c r="A209" s="1" t="s">
        <v>1294</v>
      </c>
      <c r="B209">
        <v>54627946560</v>
      </c>
      <c r="C209" t="s">
        <v>87</v>
      </c>
      <c r="D209" t="s">
        <v>127</v>
      </c>
      <c r="E209">
        <v>10873000000</v>
      </c>
      <c r="F209">
        <v>440000000</v>
      </c>
      <c r="G209">
        <v>11313000000</v>
      </c>
      <c r="H209">
        <v>13925000000</v>
      </c>
      <c r="I209">
        <v>1299000000</v>
      </c>
      <c r="J209">
        <v>196000000</v>
      </c>
      <c r="K209">
        <v>7230000000</v>
      </c>
      <c r="L209">
        <v>5639000000</v>
      </c>
      <c r="M209">
        <v>16578000000</v>
      </c>
      <c r="N209">
        <v>0</v>
      </c>
      <c r="O209">
        <v>993000000</v>
      </c>
      <c r="P209">
        <v>14190000000</v>
      </c>
      <c r="Q209">
        <v>50740946560</v>
      </c>
      <c r="R209">
        <v>51733946560</v>
      </c>
    </row>
    <row r="210" spans="1:18" x14ac:dyDescent="0.25">
      <c r="A210" s="1" t="s">
        <v>1293</v>
      </c>
      <c r="B210">
        <v>48575418390</v>
      </c>
      <c r="C210" t="s">
        <v>87</v>
      </c>
      <c r="D210" t="s">
        <v>127</v>
      </c>
      <c r="E210">
        <v>10873000000</v>
      </c>
      <c r="F210">
        <v>440000000</v>
      </c>
      <c r="G210">
        <v>11313000000</v>
      </c>
      <c r="H210">
        <v>13925000000</v>
      </c>
      <c r="I210">
        <v>1299000000</v>
      </c>
      <c r="J210">
        <v>196000000</v>
      </c>
      <c r="K210">
        <v>7230000000</v>
      </c>
      <c r="L210">
        <v>5639000000</v>
      </c>
      <c r="M210">
        <v>16578000000</v>
      </c>
      <c r="N210">
        <v>0</v>
      </c>
      <c r="O210">
        <v>993000000</v>
      </c>
      <c r="P210">
        <v>14190000000</v>
      </c>
      <c r="Q210">
        <v>44688418390</v>
      </c>
      <c r="R210">
        <v>45681418390</v>
      </c>
    </row>
    <row r="211" spans="1:18" x14ac:dyDescent="0.25">
      <c r="A211" s="1" t="s">
        <v>1292</v>
      </c>
      <c r="B211">
        <v>49954911990</v>
      </c>
      <c r="C211" t="s">
        <v>87</v>
      </c>
      <c r="D211" t="s">
        <v>127</v>
      </c>
      <c r="E211">
        <v>10873000000</v>
      </c>
      <c r="F211">
        <v>440000000</v>
      </c>
      <c r="G211">
        <v>11313000000</v>
      </c>
      <c r="H211">
        <v>13925000000</v>
      </c>
      <c r="I211">
        <v>1299000000</v>
      </c>
      <c r="J211">
        <v>196000000</v>
      </c>
      <c r="K211">
        <v>7230000000</v>
      </c>
      <c r="L211">
        <v>5639000000</v>
      </c>
      <c r="M211">
        <v>16578000000</v>
      </c>
      <c r="N211">
        <v>0</v>
      </c>
      <c r="O211">
        <v>993000000</v>
      </c>
      <c r="P211">
        <v>14190000000</v>
      </c>
      <c r="Q211">
        <v>46067911990</v>
      </c>
      <c r="R211">
        <v>47060911990</v>
      </c>
    </row>
    <row r="212" spans="1:18" x14ac:dyDescent="0.25">
      <c r="A212" s="1" t="s">
        <v>1291</v>
      </c>
      <c r="B212">
        <v>45247390080</v>
      </c>
      <c r="C212" t="s">
        <v>87</v>
      </c>
      <c r="D212" t="s">
        <v>127</v>
      </c>
      <c r="E212">
        <v>10873000000</v>
      </c>
      <c r="F212">
        <v>440000000</v>
      </c>
      <c r="G212">
        <v>11313000000</v>
      </c>
      <c r="H212">
        <v>13925000000</v>
      </c>
      <c r="I212">
        <v>1299000000</v>
      </c>
      <c r="J212">
        <v>196000000</v>
      </c>
      <c r="K212">
        <v>7230000000</v>
      </c>
      <c r="L212">
        <v>5639000000</v>
      </c>
      <c r="M212">
        <v>16578000000</v>
      </c>
      <c r="N212">
        <v>0</v>
      </c>
      <c r="O212">
        <v>993000000</v>
      </c>
      <c r="P212">
        <v>14190000000</v>
      </c>
      <c r="Q212">
        <v>41360390080</v>
      </c>
      <c r="R212">
        <v>42353390080</v>
      </c>
    </row>
    <row r="213" spans="1:18" x14ac:dyDescent="0.25">
      <c r="A213" s="1" t="s">
        <v>1290</v>
      </c>
      <c r="B213">
        <v>38987937870</v>
      </c>
      <c r="C213" t="s">
        <v>87</v>
      </c>
      <c r="D213" t="s">
        <v>127</v>
      </c>
      <c r="E213">
        <v>10873000000</v>
      </c>
      <c r="F213">
        <v>440000000</v>
      </c>
      <c r="G213">
        <v>11313000000</v>
      </c>
      <c r="H213">
        <v>13925000000</v>
      </c>
      <c r="I213">
        <v>1299000000</v>
      </c>
      <c r="J213">
        <v>196000000</v>
      </c>
      <c r="K213">
        <v>7230000000</v>
      </c>
      <c r="L213">
        <v>5639000000</v>
      </c>
      <c r="M213">
        <v>16578000000</v>
      </c>
      <c r="N213">
        <v>0</v>
      </c>
      <c r="O213">
        <v>993000000</v>
      </c>
      <c r="P213">
        <v>14190000000</v>
      </c>
      <c r="Q213">
        <v>35100937870</v>
      </c>
      <c r="R213">
        <v>36093937870</v>
      </c>
    </row>
    <row r="214" spans="1:18" x14ac:dyDescent="0.25">
      <c r="A214" s="1" t="s">
        <v>1289</v>
      </c>
      <c r="B214">
        <v>38970694200</v>
      </c>
      <c r="C214" t="s">
        <v>87</v>
      </c>
      <c r="D214" t="s">
        <v>127</v>
      </c>
      <c r="E214">
        <v>10873000000</v>
      </c>
      <c r="F214">
        <v>440000000</v>
      </c>
      <c r="G214">
        <v>11313000000</v>
      </c>
      <c r="H214">
        <v>13925000000</v>
      </c>
      <c r="I214">
        <v>1299000000</v>
      </c>
      <c r="J214">
        <v>196000000</v>
      </c>
      <c r="K214">
        <v>7230000000</v>
      </c>
      <c r="L214">
        <v>5639000000</v>
      </c>
      <c r="M214">
        <v>16578000000</v>
      </c>
      <c r="N214">
        <v>0</v>
      </c>
      <c r="O214">
        <v>993000000</v>
      </c>
      <c r="P214">
        <v>14190000000</v>
      </c>
      <c r="Q214">
        <v>35083694200</v>
      </c>
      <c r="R214">
        <v>36076694200</v>
      </c>
    </row>
    <row r="215" spans="1:18" x14ac:dyDescent="0.25">
      <c r="A215" s="1" t="s">
        <v>1288</v>
      </c>
      <c r="B215">
        <v>34987406430</v>
      </c>
      <c r="C215" t="s">
        <v>87</v>
      </c>
      <c r="D215" t="s">
        <v>127</v>
      </c>
      <c r="E215">
        <v>10873000000</v>
      </c>
      <c r="F215">
        <v>440000000</v>
      </c>
      <c r="G215">
        <v>11313000000</v>
      </c>
      <c r="H215">
        <v>13925000000</v>
      </c>
      <c r="I215">
        <v>1299000000</v>
      </c>
      <c r="J215">
        <v>196000000</v>
      </c>
      <c r="K215">
        <v>7230000000</v>
      </c>
      <c r="L215">
        <v>5639000000</v>
      </c>
      <c r="M215">
        <v>16578000000</v>
      </c>
      <c r="N215">
        <v>0</v>
      </c>
      <c r="O215">
        <v>993000000</v>
      </c>
      <c r="P215">
        <v>14190000000</v>
      </c>
      <c r="Q215">
        <v>31100406430</v>
      </c>
      <c r="R215">
        <v>32093406430</v>
      </c>
    </row>
    <row r="216" spans="1:18" x14ac:dyDescent="0.25">
      <c r="A216" s="1" t="s">
        <v>1287</v>
      </c>
      <c r="B216">
        <v>32607779970</v>
      </c>
      <c r="C216" t="s">
        <v>87</v>
      </c>
      <c r="D216" t="s">
        <v>127</v>
      </c>
      <c r="E216">
        <v>10873000000</v>
      </c>
      <c r="F216">
        <v>440000000</v>
      </c>
      <c r="G216">
        <v>11313000000</v>
      </c>
      <c r="H216">
        <v>13925000000</v>
      </c>
      <c r="I216">
        <v>1299000000</v>
      </c>
      <c r="J216">
        <v>196000000</v>
      </c>
      <c r="K216">
        <v>7230000000</v>
      </c>
      <c r="L216">
        <v>5639000000</v>
      </c>
      <c r="M216">
        <v>16578000000</v>
      </c>
      <c r="N216">
        <v>0</v>
      </c>
      <c r="O216">
        <v>993000000</v>
      </c>
      <c r="P216">
        <v>14190000000</v>
      </c>
      <c r="Q216">
        <v>28720779970</v>
      </c>
      <c r="R216">
        <v>29713779970</v>
      </c>
    </row>
    <row r="217" spans="1:18" x14ac:dyDescent="0.25">
      <c r="A217" s="1" t="s">
        <v>1286</v>
      </c>
      <c r="B217">
        <v>25555118940</v>
      </c>
      <c r="C217" t="s">
        <v>87</v>
      </c>
      <c r="D217" t="s">
        <v>127</v>
      </c>
      <c r="E217">
        <v>10873000000</v>
      </c>
      <c r="F217">
        <v>440000000</v>
      </c>
      <c r="G217">
        <v>11313000000</v>
      </c>
      <c r="H217">
        <v>13925000000</v>
      </c>
      <c r="I217">
        <v>1299000000</v>
      </c>
      <c r="J217">
        <v>196000000</v>
      </c>
      <c r="K217">
        <v>7230000000</v>
      </c>
      <c r="L217">
        <v>5639000000</v>
      </c>
      <c r="M217">
        <v>16578000000</v>
      </c>
      <c r="N217">
        <v>0</v>
      </c>
      <c r="O217">
        <v>993000000</v>
      </c>
      <c r="P217">
        <v>14190000000</v>
      </c>
      <c r="Q217">
        <v>21668118940</v>
      </c>
      <c r="R217">
        <v>22661118940</v>
      </c>
    </row>
    <row r="218" spans="1:18" x14ac:dyDescent="0.25">
      <c r="A218" s="1" t="s">
        <v>1285</v>
      </c>
      <c r="B218">
        <v>35332279830</v>
      </c>
      <c r="C218" t="s">
        <v>87</v>
      </c>
      <c r="D218" t="s">
        <v>127</v>
      </c>
      <c r="E218">
        <v>10873000000</v>
      </c>
      <c r="F218">
        <v>440000000</v>
      </c>
      <c r="G218">
        <v>11313000000</v>
      </c>
      <c r="H218">
        <v>13925000000</v>
      </c>
      <c r="I218">
        <v>1299000000</v>
      </c>
      <c r="J218">
        <v>196000000</v>
      </c>
      <c r="K218">
        <v>7230000000</v>
      </c>
      <c r="L218">
        <v>5639000000</v>
      </c>
      <c r="M218">
        <v>16578000000</v>
      </c>
      <c r="N218">
        <v>0</v>
      </c>
      <c r="O218">
        <v>993000000</v>
      </c>
      <c r="P218">
        <v>14190000000</v>
      </c>
      <c r="Q218">
        <v>31445279830</v>
      </c>
      <c r="R218">
        <v>32438279830</v>
      </c>
    </row>
    <row r="219" spans="1:18" x14ac:dyDescent="0.25">
      <c r="A219" s="1" t="s">
        <v>1284</v>
      </c>
      <c r="B219">
        <v>36780748110</v>
      </c>
      <c r="C219" t="s">
        <v>87</v>
      </c>
      <c r="D219" t="s">
        <v>127</v>
      </c>
      <c r="E219">
        <v>10873000000</v>
      </c>
      <c r="F219">
        <v>440000000</v>
      </c>
      <c r="G219">
        <v>11313000000</v>
      </c>
      <c r="H219">
        <v>13925000000</v>
      </c>
      <c r="I219">
        <v>1299000000</v>
      </c>
      <c r="J219">
        <v>196000000</v>
      </c>
      <c r="K219">
        <v>7230000000</v>
      </c>
      <c r="L219">
        <v>5639000000</v>
      </c>
      <c r="M219">
        <v>16578000000</v>
      </c>
      <c r="N219">
        <v>0</v>
      </c>
      <c r="O219">
        <v>993000000</v>
      </c>
      <c r="P219">
        <v>14190000000</v>
      </c>
      <c r="Q219">
        <v>32893748110</v>
      </c>
      <c r="R219">
        <v>33886748110</v>
      </c>
    </row>
    <row r="220" spans="1:18" x14ac:dyDescent="0.25">
      <c r="A220" s="1" t="s">
        <v>1283</v>
      </c>
      <c r="B220">
        <v>38625820800</v>
      </c>
      <c r="C220" t="s">
        <v>87</v>
      </c>
      <c r="D220" t="s">
        <v>127</v>
      </c>
      <c r="E220">
        <v>10873000000</v>
      </c>
      <c r="F220">
        <v>440000000</v>
      </c>
      <c r="G220">
        <v>11313000000</v>
      </c>
      <c r="H220">
        <v>13925000000</v>
      </c>
      <c r="I220">
        <v>1299000000</v>
      </c>
      <c r="J220">
        <v>196000000</v>
      </c>
      <c r="K220">
        <v>7230000000</v>
      </c>
      <c r="L220">
        <v>5639000000</v>
      </c>
      <c r="M220">
        <v>16578000000</v>
      </c>
      <c r="N220">
        <v>0</v>
      </c>
      <c r="O220">
        <v>993000000</v>
      </c>
      <c r="P220">
        <v>14190000000</v>
      </c>
      <c r="Q220">
        <v>34738820800</v>
      </c>
      <c r="R220">
        <v>35731820800</v>
      </c>
    </row>
    <row r="221" spans="1:18" x14ac:dyDescent="0.25">
      <c r="A221" s="1" t="s">
        <v>1282</v>
      </c>
      <c r="B221">
        <v>45506045130</v>
      </c>
      <c r="C221" t="s">
        <v>87</v>
      </c>
      <c r="D221" t="s">
        <v>127</v>
      </c>
      <c r="E221">
        <v>10873000000</v>
      </c>
      <c r="F221">
        <v>440000000</v>
      </c>
      <c r="G221">
        <v>11313000000</v>
      </c>
      <c r="H221">
        <v>13925000000</v>
      </c>
      <c r="I221">
        <v>1299000000</v>
      </c>
      <c r="J221">
        <v>196000000</v>
      </c>
      <c r="K221">
        <v>7230000000</v>
      </c>
      <c r="L221">
        <v>5639000000</v>
      </c>
      <c r="M221">
        <v>16578000000</v>
      </c>
      <c r="N221">
        <v>0</v>
      </c>
      <c r="O221">
        <v>993000000</v>
      </c>
      <c r="P221">
        <v>14190000000</v>
      </c>
      <c r="Q221">
        <v>41619045130</v>
      </c>
      <c r="R221">
        <v>42612045130</v>
      </c>
    </row>
    <row r="222" spans="1:18" x14ac:dyDescent="0.25">
      <c r="A222" s="1" t="s">
        <v>1281</v>
      </c>
      <c r="B222">
        <v>45161171730</v>
      </c>
      <c r="C222" t="s">
        <v>87</v>
      </c>
      <c r="D222" t="s">
        <v>127</v>
      </c>
      <c r="E222">
        <v>10873000000</v>
      </c>
      <c r="F222">
        <v>440000000</v>
      </c>
      <c r="G222">
        <v>11313000000</v>
      </c>
      <c r="H222">
        <v>13925000000</v>
      </c>
      <c r="I222">
        <v>1299000000</v>
      </c>
      <c r="J222">
        <v>196000000</v>
      </c>
      <c r="K222">
        <v>7230000000</v>
      </c>
      <c r="L222">
        <v>5639000000</v>
      </c>
      <c r="M222">
        <v>16578000000</v>
      </c>
      <c r="N222">
        <v>0</v>
      </c>
      <c r="O222">
        <v>993000000</v>
      </c>
      <c r="P222">
        <v>14190000000</v>
      </c>
      <c r="Q222">
        <v>41274171730</v>
      </c>
      <c r="R222">
        <v>42267171730</v>
      </c>
    </row>
    <row r="223" spans="1:18" x14ac:dyDescent="0.25">
      <c r="A223" s="1" t="s">
        <v>1280</v>
      </c>
      <c r="B223">
        <v>48489200040</v>
      </c>
      <c r="C223" t="s">
        <v>87</v>
      </c>
      <c r="D223" t="s">
        <v>127</v>
      </c>
      <c r="E223">
        <v>10873000000</v>
      </c>
      <c r="F223">
        <v>440000000</v>
      </c>
      <c r="G223">
        <v>11313000000</v>
      </c>
      <c r="H223">
        <v>13925000000</v>
      </c>
      <c r="I223">
        <v>1299000000</v>
      </c>
      <c r="J223">
        <v>196000000</v>
      </c>
      <c r="K223">
        <v>7230000000</v>
      </c>
      <c r="L223">
        <v>5639000000</v>
      </c>
      <c r="M223">
        <v>16578000000</v>
      </c>
      <c r="N223">
        <v>0</v>
      </c>
      <c r="O223">
        <v>993000000</v>
      </c>
      <c r="P223">
        <v>14190000000</v>
      </c>
      <c r="Q223">
        <v>44602200040</v>
      </c>
      <c r="R223">
        <v>45595200040</v>
      </c>
    </row>
    <row r="224" spans="1:18" x14ac:dyDescent="0.25">
      <c r="A224" s="1" t="s">
        <v>1279</v>
      </c>
      <c r="B224">
        <v>47040731760</v>
      </c>
      <c r="C224" t="s">
        <v>87</v>
      </c>
      <c r="D224" t="s">
        <v>127</v>
      </c>
      <c r="E224">
        <v>10873000000</v>
      </c>
      <c r="F224">
        <v>440000000</v>
      </c>
      <c r="G224">
        <v>11313000000</v>
      </c>
      <c r="H224">
        <v>13925000000</v>
      </c>
      <c r="I224">
        <v>1299000000</v>
      </c>
      <c r="J224">
        <v>196000000</v>
      </c>
      <c r="K224">
        <v>7230000000</v>
      </c>
      <c r="L224">
        <v>5639000000</v>
      </c>
      <c r="M224">
        <v>16578000000</v>
      </c>
      <c r="N224">
        <v>0</v>
      </c>
      <c r="O224">
        <v>993000000</v>
      </c>
      <c r="P224">
        <v>14190000000</v>
      </c>
      <c r="Q224">
        <v>43153731760</v>
      </c>
      <c r="R224">
        <v>44146731760</v>
      </c>
    </row>
    <row r="225" spans="1:18" x14ac:dyDescent="0.25">
      <c r="A225" s="1" t="s">
        <v>1278</v>
      </c>
      <c r="B225">
        <v>47989133610</v>
      </c>
      <c r="C225" t="s">
        <v>87</v>
      </c>
      <c r="D225" t="s">
        <v>127</v>
      </c>
      <c r="E225">
        <v>10873000000</v>
      </c>
      <c r="F225">
        <v>440000000</v>
      </c>
      <c r="G225">
        <v>11313000000</v>
      </c>
      <c r="H225">
        <v>13925000000</v>
      </c>
      <c r="I225">
        <v>1299000000</v>
      </c>
      <c r="J225">
        <v>196000000</v>
      </c>
      <c r="K225">
        <v>7230000000</v>
      </c>
      <c r="L225">
        <v>5639000000</v>
      </c>
      <c r="M225">
        <v>16578000000</v>
      </c>
      <c r="N225">
        <v>0</v>
      </c>
      <c r="O225">
        <v>993000000</v>
      </c>
      <c r="P225">
        <v>14190000000</v>
      </c>
      <c r="Q225">
        <v>44102133610</v>
      </c>
      <c r="R225">
        <v>45095133610</v>
      </c>
    </row>
    <row r="226" spans="1:18" x14ac:dyDescent="0.25">
      <c r="A226" s="1" t="s">
        <v>86</v>
      </c>
      <c r="B226">
        <v>48550004240</v>
      </c>
      <c r="C226" t="s">
        <v>87</v>
      </c>
      <c r="D226" t="s">
        <v>127</v>
      </c>
      <c r="E226">
        <v>10873000000</v>
      </c>
      <c r="F226">
        <v>440000000</v>
      </c>
      <c r="G226">
        <v>11313000000</v>
      </c>
      <c r="H226">
        <v>13925000000</v>
      </c>
      <c r="I226">
        <v>1299000000</v>
      </c>
      <c r="J226">
        <v>196000000</v>
      </c>
      <c r="K226">
        <v>7230000000</v>
      </c>
      <c r="L226">
        <v>5639000000</v>
      </c>
      <c r="M226">
        <v>16578000000</v>
      </c>
      <c r="N226">
        <v>0</v>
      </c>
      <c r="O226">
        <v>993000000</v>
      </c>
      <c r="P226">
        <v>14190000000</v>
      </c>
      <c r="Q226">
        <v>44663004240</v>
      </c>
      <c r="R226">
        <v>45656004240</v>
      </c>
    </row>
    <row r="227" spans="1:18" x14ac:dyDescent="0.25">
      <c r="A227" s="1" t="s">
        <v>1277</v>
      </c>
      <c r="B227">
        <v>44202761740</v>
      </c>
      <c r="C227" t="s">
        <v>87</v>
      </c>
      <c r="D227" t="s">
        <v>127</v>
      </c>
      <c r="E227">
        <v>10873000000</v>
      </c>
      <c r="F227">
        <v>440000000</v>
      </c>
      <c r="G227">
        <v>11313000000</v>
      </c>
      <c r="H227">
        <v>13925000000</v>
      </c>
      <c r="I227">
        <v>1299000000</v>
      </c>
      <c r="J227">
        <v>196000000</v>
      </c>
      <c r="K227">
        <v>7230000000</v>
      </c>
      <c r="L227">
        <v>5639000000</v>
      </c>
      <c r="M227">
        <v>16578000000</v>
      </c>
      <c r="N227">
        <v>0</v>
      </c>
      <c r="O227">
        <v>993000000</v>
      </c>
      <c r="P227">
        <v>14190000000</v>
      </c>
      <c r="Q227">
        <v>40315761740</v>
      </c>
      <c r="R227">
        <v>41308761740</v>
      </c>
    </row>
    <row r="228" spans="1:18" x14ac:dyDescent="0.25">
      <c r="A228" s="1" t="s">
        <v>1276</v>
      </c>
      <c r="B228">
        <v>41177080960</v>
      </c>
      <c r="C228" t="s">
        <v>87</v>
      </c>
      <c r="D228" t="s">
        <v>127</v>
      </c>
      <c r="E228">
        <v>10873000000</v>
      </c>
      <c r="F228">
        <v>440000000</v>
      </c>
      <c r="G228">
        <v>11313000000</v>
      </c>
      <c r="H228">
        <v>13925000000</v>
      </c>
      <c r="I228">
        <v>1299000000</v>
      </c>
      <c r="J228">
        <v>196000000</v>
      </c>
      <c r="K228">
        <v>7230000000</v>
      </c>
      <c r="L228">
        <v>5639000000</v>
      </c>
      <c r="M228">
        <v>16578000000</v>
      </c>
      <c r="N228">
        <v>0</v>
      </c>
      <c r="O228">
        <v>993000000</v>
      </c>
      <c r="P228">
        <v>14190000000</v>
      </c>
      <c r="Q228">
        <v>37290080960</v>
      </c>
      <c r="R228">
        <v>38283080960</v>
      </c>
    </row>
    <row r="229" spans="1:18" x14ac:dyDescent="0.25">
      <c r="A229" s="1" t="s">
        <v>1275</v>
      </c>
      <c r="B229">
        <v>39681629540</v>
      </c>
      <c r="C229" t="s">
        <v>87</v>
      </c>
      <c r="D229" t="s">
        <v>127</v>
      </c>
      <c r="E229">
        <v>10873000000</v>
      </c>
      <c r="F229">
        <v>440000000</v>
      </c>
      <c r="G229">
        <v>11313000000</v>
      </c>
      <c r="H229">
        <v>13925000000</v>
      </c>
      <c r="I229">
        <v>1299000000</v>
      </c>
      <c r="J229">
        <v>196000000</v>
      </c>
      <c r="K229">
        <v>7230000000</v>
      </c>
      <c r="L229">
        <v>5639000000</v>
      </c>
      <c r="M229">
        <v>16578000000</v>
      </c>
      <c r="N229">
        <v>0</v>
      </c>
      <c r="O229">
        <v>993000000</v>
      </c>
      <c r="P229">
        <v>14190000000</v>
      </c>
      <c r="Q229">
        <v>35794629540</v>
      </c>
      <c r="R229">
        <v>36787629540</v>
      </c>
    </row>
    <row r="230" spans="1:18" x14ac:dyDescent="0.25">
      <c r="A230" s="1" t="s">
        <v>1274</v>
      </c>
      <c r="B230">
        <v>45193933030</v>
      </c>
      <c r="C230" t="s">
        <v>87</v>
      </c>
      <c r="D230" t="s">
        <v>127</v>
      </c>
      <c r="E230">
        <v>10873000000</v>
      </c>
      <c r="F230">
        <v>440000000</v>
      </c>
      <c r="G230">
        <v>11313000000</v>
      </c>
      <c r="H230">
        <v>13925000000</v>
      </c>
      <c r="I230">
        <v>1299000000</v>
      </c>
      <c r="J230">
        <v>196000000</v>
      </c>
      <c r="K230">
        <v>7230000000</v>
      </c>
      <c r="L230">
        <v>5639000000</v>
      </c>
      <c r="M230">
        <v>16578000000</v>
      </c>
      <c r="N230">
        <v>0</v>
      </c>
      <c r="O230">
        <v>993000000</v>
      </c>
      <c r="P230">
        <v>14190000000</v>
      </c>
      <c r="Q230">
        <v>41306933030</v>
      </c>
      <c r="R230">
        <v>42299933030</v>
      </c>
    </row>
    <row r="231" spans="1:18" x14ac:dyDescent="0.25">
      <c r="A231" s="1" t="s">
        <v>1273</v>
      </c>
      <c r="B231">
        <v>44759208780</v>
      </c>
      <c r="C231" t="s">
        <v>87</v>
      </c>
      <c r="D231" t="s">
        <v>127</v>
      </c>
      <c r="E231">
        <v>10873000000</v>
      </c>
      <c r="F231">
        <v>440000000</v>
      </c>
      <c r="G231">
        <v>11313000000</v>
      </c>
      <c r="H231">
        <v>13925000000</v>
      </c>
      <c r="I231">
        <v>1299000000</v>
      </c>
      <c r="J231">
        <v>196000000</v>
      </c>
      <c r="K231">
        <v>7230000000</v>
      </c>
      <c r="L231">
        <v>5639000000</v>
      </c>
      <c r="M231">
        <v>16578000000</v>
      </c>
      <c r="N231">
        <v>0</v>
      </c>
      <c r="O231">
        <v>993000000</v>
      </c>
      <c r="P231">
        <v>14190000000</v>
      </c>
      <c r="Q231">
        <v>40872208780</v>
      </c>
      <c r="R231">
        <v>41865208780</v>
      </c>
    </row>
    <row r="232" spans="1:18" x14ac:dyDescent="0.25">
      <c r="A232" s="1" t="s">
        <v>1272</v>
      </c>
      <c r="B232">
        <v>46845885180</v>
      </c>
      <c r="C232" t="s">
        <v>87</v>
      </c>
      <c r="D232" t="s">
        <v>127</v>
      </c>
      <c r="E232">
        <v>10873000000</v>
      </c>
      <c r="F232">
        <v>440000000</v>
      </c>
      <c r="G232">
        <v>11313000000</v>
      </c>
      <c r="H232">
        <v>13925000000</v>
      </c>
      <c r="I232">
        <v>1299000000</v>
      </c>
      <c r="J232">
        <v>196000000</v>
      </c>
      <c r="K232">
        <v>7230000000</v>
      </c>
      <c r="L232">
        <v>5639000000</v>
      </c>
      <c r="M232">
        <v>16578000000</v>
      </c>
      <c r="N232">
        <v>0</v>
      </c>
      <c r="O232">
        <v>993000000</v>
      </c>
      <c r="P232">
        <v>14190000000</v>
      </c>
      <c r="Q232">
        <v>42958885180</v>
      </c>
      <c r="R232">
        <v>43951885180</v>
      </c>
    </row>
    <row r="233" spans="1:18" x14ac:dyDescent="0.25">
      <c r="A233" s="1" t="s">
        <v>1271</v>
      </c>
      <c r="B233">
        <v>47141497670</v>
      </c>
      <c r="C233" t="s">
        <v>87</v>
      </c>
      <c r="D233" t="s">
        <v>127</v>
      </c>
      <c r="E233">
        <v>10873000000</v>
      </c>
      <c r="F233">
        <v>440000000</v>
      </c>
      <c r="G233">
        <v>11313000000</v>
      </c>
      <c r="H233">
        <v>13925000000</v>
      </c>
      <c r="I233">
        <v>1299000000</v>
      </c>
      <c r="J233">
        <v>196000000</v>
      </c>
      <c r="K233">
        <v>7230000000</v>
      </c>
      <c r="L233">
        <v>5639000000</v>
      </c>
      <c r="M233">
        <v>16578000000</v>
      </c>
      <c r="N233">
        <v>0</v>
      </c>
      <c r="O233">
        <v>993000000</v>
      </c>
      <c r="P233">
        <v>14190000000</v>
      </c>
      <c r="Q233">
        <v>43254497670</v>
      </c>
      <c r="R233">
        <v>44247497670</v>
      </c>
    </row>
    <row r="234" spans="1:18" x14ac:dyDescent="0.25">
      <c r="A234" s="1" t="s">
        <v>1270</v>
      </c>
      <c r="B234">
        <v>48671727030</v>
      </c>
      <c r="C234" t="s">
        <v>87</v>
      </c>
      <c r="D234" t="s">
        <v>127</v>
      </c>
      <c r="E234">
        <v>10873000000</v>
      </c>
      <c r="F234">
        <v>440000000</v>
      </c>
      <c r="G234">
        <v>11313000000</v>
      </c>
      <c r="H234">
        <v>13925000000</v>
      </c>
      <c r="I234">
        <v>1299000000</v>
      </c>
      <c r="J234">
        <v>196000000</v>
      </c>
      <c r="K234">
        <v>7230000000</v>
      </c>
      <c r="L234">
        <v>5639000000</v>
      </c>
      <c r="M234">
        <v>16578000000</v>
      </c>
      <c r="N234">
        <v>0</v>
      </c>
      <c r="O234">
        <v>993000000</v>
      </c>
      <c r="P234">
        <v>14190000000</v>
      </c>
      <c r="Q234">
        <v>44784727030</v>
      </c>
      <c r="R234">
        <v>45777727030</v>
      </c>
    </row>
    <row r="235" spans="1:18" x14ac:dyDescent="0.25">
      <c r="A235" s="1" t="s">
        <v>1269</v>
      </c>
      <c r="B235">
        <v>48254391750</v>
      </c>
      <c r="C235" t="s">
        <v>87</v>
      </c>
      <c r="D235" t="s">
        <v>127</v>
      </c>
      <c r="E235">
        <v>10873000000</v>
      </c>
      <c r="F235">
        <v>440000000</v>
      </c>
      <c r="G235">
        <v>11313000000</v>
      </c>
      <c r="H235">
        <v>13925000000</v>
      </c>
      <c r="I235">
        <v>1299000000</v>
      </c>
      <c r="J235">
        <v>196000000</v>
      </c>
      <c r="K235">
        <v>7230000000</v>
      </c>
      <c r="L235">
        <v>5639000000</v>
      </c>
      <c r="M235">
        <v>16578000000</v>
      </c>
      <c r="N235">
        <v>0</v>
      </c>
      <c r="O235">
        <v>993000000</v>
      </c>
      <c r="P235">
        <v>14190000000</v>
      </c>
      <c r="Q235">
        <v>44367391750</v>
      </c>
      <c r="R235">
        <v>45360391750</v>
      </c>
    </row>
    <row r="236" spans="1:18" x14ac:dyDescent="0.25">
      <c r="A236" s="1" t="s">
        <v>1268</v>
      </c>
      <c r="B236">
        <v>47663166770</v>
      </c>
      <c r="C236" t="s">
        <v>87</v>
      </c>
      <c r="D236" t="s">
        <v>127</v>
      </c>
      <c r="E236">
        <v>10873000000</v>
      </c>
      <c r="F236">
        <v>440000000</v>
      </c>
      <c r="G236">
        <v>11313000000</v>
      </c>
      <c r="H236">
        <v>13925000000</v>
      </c>
      <c r="I236">
        <v>1299000000</v>
      </c>
      <c r="J236">
        <v>196000000</v>
      </c>
      <c r="K236">
        <v>7230000000</v>
      </c>
      <c r="L236">
        <v>5639000000</v>
      </c>
      <c r="M236">
        <v>16578000000</v>
      </c>
      <c r="N236">
        <v>0</v>
      </c>
      <c r="O236">
        <v>993000000</v>
      </c>
      <c r="P236">
        <v>14190000000</v>
      </c>
      <c r="Q236">
        <v>43776166770</v>
      </c>
      <c r="R236">
        <v>44769166770</v>
      </c>
    </row>
    <row r="237" spans="1:18" x14ac:dyDescent="0.25">
      <c r="A237" s="1" t="s">
        <v>1267</v>
      </c>
      <c r="B237">
        <v>47002385910</v>
      </c>
      <c r="C237" t="s">
        <v>87</v>
      </c>
      <c r="D237" t="s">
        <v>127</v>
      </c>
      <c r="E237">
        <v>10873000000</v>
      </c>
      <c r="F237">
        <v>440000000</v>
      </c>
      <c r="G237">
        <v>11313000000</v>
      </c>
      <c r="H237">
        <v>13925000000</v>
      </c>
      <c r="I237">
        <v>1299000000</v>
      </c>
      <c r="J237">
        <v>196000000</v>
      </c>
      <c r="K237">
        <v>7230000000</v>
      </c>
      <c r="L237">
        <v>5639000000</v>
      </c>
      <c r="M237">
        <v>16578000000</v>
      </c>
      <c r="N237">
        <v>0</v>
      </c>
      <c r="O237">
        <v>993000000</v>
      </c>
      <c r="P237">
        <v>14190000000</v>
      </c>
      <c r="Q237">
        <v>43115385910</v>
      </c>
      <c r="R237">
        <v>44108385910</v>
      </c>
    </row>
    <row r="238" spans="1:18" x14ac:dyDescent="0.25">
      <c r="A238" s="1" t="s">
        <v>1266</v>
      </c>
      <c r="B238">
        <v>48689116000</v>
      </c>
      <c r="C238" t="s">
        <v>87</v>
      </c>
      <c r="D238" t="s">
        <v>127</v>
      </c>
      <c r="E238">
        <v>10873000000</v>
      </c>
      <c r="F238">
        <v>440000000</v>
      </c>
      <c r="G238">
        <v>11313000000</v>
      </c>
      <c r="H238">
        <v>13925000000</v>
      </c>
      <c r="I238">
        <v>1299000000</v>
      </c>
      <c r="J238">
        <v>196000000</v>
      </c>
      <c r="K238">
        <v>7230000000</v>
      </c>
      <c r="L238">
        <v>5639000000</v>
      </c>
      <c r="M238">
        <v>16578000000</v>
      </c>
      <c r="N238">
        <v>0</v>
      </c>
      <c r="O238">
        <v>993000000</v>
      </c>
      <c r="P238">
        <v>14190000000</v>
      </c>
      <c r="Q238">
        <v>44802116000</v>
      </c>
      <c r="R238">
        <v>45795116000</v>
      </c>
    </row>
    <row r="239" spans="1:18" x14ac:dyDescent="0.25">
      <c r="A239" s="1" t="s">
        <v>1265</v>
      </c>
      <c r="B239">
        <v>49019506430</v>
      </c>
      <c r="C239" t="s">
        <v>87</v>
      </c>
      <c r="D239" t="s">
        <v>127</v>
      </c>
      <c r="E239">
        <v>10873000000</v>
      </c>
      <c r="F239">
        <v>440000000</v>
      </c>
      <c r="G239">
        <v>11313000000</v>
      </c>
      <c r="H239">
        <v>13925000000</v>
      </c>
      <c r="I239">
        <v>1299000000</v>
      </c>
      <c r="J239">
        <v>196000000</v>
      </c>
      <c r="K239">
        <v>7230000000</v>
      </c>
      <c r="L239">
        <v>5639000000</v>
      </c>
      <c r="M239">
        <v>16578000000</v>
      </c>
      <c r="N239">
        <v>0</v>
      </c>
      <c r="O239">
        <v>993000000</v>
      </c>
      <c r="P239">
        <v>14190000000</v>
      </c>
      <c r="Q239">
        <v>45132506430</v>
      </c>
      <c r="R239">
        <v>46125506430</v>
      </c>
    </row>
    <row r="240" spans="1:18" x14ac:dyDescent="0.25">
      <c r="A240" s="1" t="s">
        <v>1264</v>
      </c>
      <c r="B240">
        <v>47280609430</v>
      </c>
      <c r="C240" t="s">
        <v>87</v>
      </c>
      <c r="D240" t="s">
        <v>127</v>
      </c>
      <c r="E240">
        <v>10873000000</v>
      </c>
      <c r="F240">
        <v>440000000</v>
      </c>
      <c r="G240">
        <v>11313000000</v>
      </c>
      <c r="H240">
        <v>13925000000</v>
      </c>
      <c r="I240">
        <v>1299000000</v>
      </c>
      <c r="J240">
        <v>196000000</v>
      </c>
      <c r="K240">
        <v>7230000000</v>
      </c>
      <c r="L240">
        <v>5639000000</v>
      </c>
      <c r="M240">
        <v>16578000000</v>
      </c>
      <c r="N240">
        <v>0</v>
      </c>
      <c r="O240">
        <v>993000000</v>
      </c>
      <c r="P240">
        <v>14190000000</v>
      </c>
      <c r="Q240">
        <v>43393609430</v>
      </c>
      <c r="R240">
        <v>44386609430</v>
      </c>
    </row>
    <row r="241" spans="1:18" x14ac:dyDescent="0.25">
      <c r="A241" s="1" t="s">
        <v>1263</v>
      </c>
      <c r="B241">
        <v>49106451280</v>
      </c>
      <c r="C241" t="s">
        <v>87</v>
      </c>
      <c r="D241" t="s">
        <v>127</v>
      </c>
      <c r="E241">
        <v>10873000000</v>
      </c>
      <c r="F241">
        <v>440000000</v>
      </c>
      <c r="G241">
        <v>11313000000</v>
      </c>
      <c r="H241">
        <v>13925000000</v>
      </c>
      <c r="I241">
        <v>1299000000</v>
      </c>
      <c r="J241">
        <v>196000000</v>
      </c>
      <c r="K241">
        <v>7230000000</v>
      </c>
      <c r="L241">
        <v>5639000000</v>
      </c>
      <c r="M241">
        <v>16578000000</v>
      </c>
      <c r="N241">
        <v>0</v>
      </c>
      <c r="O241">
        <v>993000000</v>
      </c>
      <c r="P241">
        <v>14190000000</v>
      </c>
      <c r="Q241">
        <v>45219451280</v>
      </c>
      <c r="R241">
        <v>46212451280</v>
      </c>
    </row>
    <row r="242" spans="1:18" x14ac:dyDescent="0.25">
      <c r="A242" s="1" t="s">
        <v>1262</v>
      </c>
      <c r="B242">
        <v>49262952010</v>
      </c>
      <c r="C242" t="s">
        <v>87</v>
      </c>
      <c r="D242" t="s">
        <v>127</v>
      </c>
      <c r="E242">
        <v>10873000000</v>
      </c>
      <c r="F242">
        <v>440000000</v>
      </c>
      <c r="G242">
        <v>11313000000</v>
      </c>
      <c r="H242">
        <v>13925000000</v>
      </c>
      <c r="I242">
        <v>1299000000</v>
      </c>
      <c r="J242">
        <v>196000000</v>
      </c>
      <c r="K242">
        <v>7230000000</v>
      </c>
      <c r="L242">
        <v>5639000000</v>
      </c>
      <c r="M242">
        <v>16578000000</v>
      </c>
      <c r="N242">
        <v>0</v>
      </c>
      <c r="O242">
        <v>993000000</v>
      </c>
      <c r="P242">
        <v>14190000000</v>
      </c>
      <c r="Q242">
        <v>45375952010</v>
      </c>
      <c r="R242">
        <v>46368952010</v>
      </c>
    </row>
    <row r="243" spans="1:18" x14ac:dyDescent="0.25">
      <c r="A243" s="1" t="s">
        <v>1261</v>
      </c>
      <c r="B243">
        <v>51280072530</v>
      </c>
      <c r="C243" t="s">
        <v>87</v>
      </c>
      <c r="D243" t="s">
        <v>127</v>
      </c>
      <c r="E243">
        <v>10873000000</v>
      </c>
      <c r="F243">
        <v>440000000</v>
      </c>
      <c r="G243">
        <v>11313000000</v>
      </c>
      <c r="H243">
        <v>13925000000</v>
      </c>
      <c r="I243">
        <v>1299000000</v>
      </c>
      <c r="J243">
        <v>196000000</v>
      </c>
      <c r="K243">
        <v>7230000000</v>
      </c>
      <c r="L243">
        <v>5639000000</v>
      </c>
      <c r="M243">
        <v>16578000000</v>
      </c>
      <c r="N243">
        <v>0</v>
      </c>
      <c r="O243">
        <v>993000000</v>
      </c>
      <c r="P243">
        <v>14190000000</v>
      </c>
      <c r="Q243">
        <v>47393072530</v>
      </c>
      <c r="R243">
        <v>48386072530</v>
      </c>
    </row>
    <row r="244" spans="1:18" x14ac:dyDescent="0.25">
      <c r="A244" s="1" t="s">
        <v>1260</v>
      </c>
      <c r="B244">
        <v>52306021760</v>
      </c>
      <c r="C244" t="s">
        <v>87</v>
      </c>
      <c r="D244" t="s">
        <v>127</v>
      </c>
      <c r="E244">
        <v>10873000000</v>
      </c>
      <c r="F244">
        <v>440000000</v>
      </c>
      <c r="G244">
        <v>11313000000</v>
      </c>
      <c r="H244">
        <v>13925000000</v>
      </c>
      <c r="I244">
        <v>1299000000</v>
      </c>
      <c r="J244">
        <v>196000000</v>
      </c>
      <c r="K244">
        <v>7230000000</v>
      </c>
      <c r="L244">
        <v>5639000000</v>
      </c>
      <c r="M244">
        <v>16578000000</v>
      </c>
      <c r="N244">
        <v>0</v>
      </c>
      <c r="O244">
        <v>993000000</v>
      </c>
      <c r="P244">
        <v>14190000000</v>
      </c>
      <c r="Q244">
        <v>48419021760</v>
      </c>
      <c r="R244">
        <v>49412021760</v>
      </c>
    </row>
    <row r="245" spans="1:18" x14ac:dyDescent="0.25">
      <c r="A245" s="1" t="s">
        <v>1259</v>
      </c>
      <c r="B245">
        <v>52375577640</v>
      </c>
      <c r="C245" t="s">
        <v>87</v>
      </c>
      <c r="D245" t="s">
        <v>127</v>
      </c>
      <c r="E245">
        <v>10873000000</v>
      </c>
      <c r="F245">
        <v>440000000</v>
      </c>
      <c r="G245">
        <v>11313000000</v>
      </c>
      <c r="H245">
        <v>13925000000</v>
      </c>
      <c r="I245">
        <v>1299000000</v>
      </c>
      <c r="J245">
        <v>196000000</v>
      </c>
      <c r="K245">
        <v>7230000000</v>
      </c>
      <c r="L245">
        <v>5639000000</v>
      </c>
      <c r="M245">
        <v>16578000000</v>
      </c>
      <c r="N245">
        <v>0</v>
      </c>
      <c r="O245">
        <v>993000000</v>
      </c>
      <c r="P245">
        <v>14190000000</v>
      </c>
      <c r="Q245">
        <v>48488577640</v>
      </c>
      <c r="R245">
        <v>49481577640</v>
      </c>
    </row>
    <row r="246" spans="1:18" x14ac:dyDescent="0.25">
      <c r="A246" s="1" t="s">
        <v>1258</v>
      </c>
      <c r="B246">
        <v>54549198890</v>
      </c>
      <c r="C246" t="s">
        <v>87</v>
      </c>
      <c r="D246" t="s">
        <v>127</v>
      </c>
      <c r="E246">
        <v>10873000000</v>
      </c>
      <c r="F246">
        <v>440000000</v>
      </c>
      <c r="G246">
        <v>11313000000</v>
      </c>
      <c r="H246">
        <v>13925000000</v>
      </c>
      <c r="I246">
        <v>1299000000</v>
      </c>
      <c r="J246">
        <v>196000000</v>
      </c>
      <c r="K246">
        <v>7230000000</v>
      </c>
      <c r="L246">
        <v>5639000000</v>
      </c>
      <c r="M246">
        <v>16578000000</v>
      </c>
      <c r="N246">
        <v>0</v>
      </c>
      <c r="O246">
        <v>993000000</v>
      </c>
      <c r="P246">
        <v>14190000000</v>
      </c>
      <c r="Q246">
        <v>50662198890</v>
      </c>
      <c r="R246">
        <v>51655198890</v>
      </c>
    </row>
    <row r="247" spans="1:18" x14ac:dyDescent="0.25">
      <c r="A247" s="1" t="s">
        <v>1257</v>
      </c>
      <c r="B247">
        <v>52636412190</v>
      </c>
      <c r="C247" t="s">
        <v>87</v>
      </c>
      <c r="D247" t="s">
        <v>127</v>
      </c>
      <c r="E247">
        <v>10873000000</v>
      </c>
      <c r="F247">
        <v>440000000</v>
      </c>
      <c r="G247">
        <v>11313000000</v>
      </c>
      <c r="H247">
        <v>13925000000</v>
      </c>
      <c r="I247">
        <v>1299000000</v>
      </c>
      <c r="J247">
        <v>196000000</v>
      </c>
      <c r="K247">
        <v>7230000000</v>
      </c>
      <c r="L247">
        <v>5639000000</v>
      </c>
      <c r="M247">
        <v>16578000000</v>
      </c>
      <c r="N247">
        <v>0</v>
      </c>
      <c r="O247">
        <v>993000000</v>
      </c>
      <c r="P247">
        <v>14190000000</v>
      </c>
      <c r="Q247">
        <v>48749412190</v>
      </c>
      <c r="R247">
        <v>49742412190</v>
      </c>
    </row>
    <row r="248" spans="1:18" x14ac:dyDescent="0.25">
      <c r="A248" s="1" t="s">
        <v>1256</v>
      </c>
      <c r="B248">
        <v>49367285830</v>
      </c>
      <c r="C248" t="s">
        <v>87</v>
      </c>
      <c r="D248" t="s">
        <v>127</v>
      </c>
      <c r="E248">
        <v>10873000000</v>
      </c>
      <c r="F248">
        <v>440000000</v>
      </c>
      <c r="G248">
        <v>11313000000</v>
      </c>
      <c r="H248">
        <v>13925000000</v>
      </c>
      <c r="I248">
        <v>1299000000</v>
      </c>
      <c r="J248">
        <v>196000000</v>
      </c>
      <c r="K248">
        <v>7230000000</v>
      </c>
      <c r="L248">
        <v>5639000000</v>
      </c>
      <c r="M248">
        <v>16578000000</v>
      </c>
      <c r="N248">
        <v>0</v>
      </c>
      <c r="O248">
        <v>993000000</v>
      </c>
      <c r="P248">
        <v>14190000000</v>
      </c>
      <c r="Q248">
        <v>45480285830</v>
      </c>
      <c r="R248">
        <v>46473285830</v>
      </c>
    </row>
    <row r="249" spans="1:18" x14ac:dyDescent="0.25">
      <c r="A249" s="1" t="s">
        <v>1255</v>
      </c>
      <c r="B249">
        <v>47680555740</v>
      </c>
      <c r="C249" t="s">
        <v>87</v>
      </c>
      <c r="D249" t="s">
        <v>127</v>
      </c>
      <c r="E249">
        <v>10873000000</v>
      </c>
      <c r="F249">
        <v>440000000</v>
      </c>
      <c r="G249">
        <v>11313000000</v>
      </c>
      <c r="H249">
        <v>13925000000</v>
      </c>
      <c r="I249">
        <v>1299000000</v>
      </c>
      <c r="J249">
        <v>196000000</v>
      </c>
      <c r="K249">
        <v>7230000000</v>
      </c>
      <c r="L249">
        <v>5639000000</v>
      </c>
      <c r="M249">
        <v>16578000000</v>
      </c>
      <c r="N249">
        <v>0</v>
      </c>
      <c r="O249">
        <v>993000000</v>
      </c>
      <c r="P249">
        <v>14190000000</v>
      </c>
      <c r="Q249">
        <v>43793555740</v>
      </c>
      <c r="R249">
        <v>44786555740</v>
      </c>
    </row>
    <row r="250" spans="1:18" x14ac:dyDescent="0.25">
      <c r="A250" s="1" t="s">
        <v>1254</v>
      </c>
      <c r="B250">
        <v>48810838790</v>
      </c>
      <c r="C250" t="s">
        <v>87</v>
      </c>
      <c r="D250" t="s">
        <v>127</v>
      </c>
      <c r="E250">
        <v>10873000000</v>
      </c>
      <c r="F250">
        <v>440000000</v>
      </c>
      <c r="G250">
        <v>11313000000</v>
      </c>
      <c r="H250">
        <v>13925000000</v>
      </c>
      <c r="I250">
        <v>1299000000</v>
      </c>
      <c r="J250">
        <v>196000000</v>
      </c>
      <c r="K250">
        <v>7230000000</v>
      </c>
      <c r="L250">
        <v>5639000000</v>
      </c>
      <c r="M250">
        <v>16578000000</v>
      </c>
      <c r="N250">
        <v>0</v>
      </c>
      <c r="O250">
        <v>993000000</v>
      </c>
      <c r="P250">
        <v>14190000000</v>
      </c>
      <c r="Q250">
        <v>44923838790</v>
      </c>
      <c r="R250">
        <v>45916838790</v>
      </c>
    </row>
    <row r="251" spans="1:18" x14ac:dyDescent="0.25">
      <c r="A251" s="1" t="s">
        <v>1253</v>
      </c>
      <c r="B251">
        <v>48376114540</v>
      </c>
      <c r="C251" t="s">
        <v>87</v>
      </c>
      <c r="D251" t="s">
        <v>127</v>
      </c>
      <c r="E251">
        <v>10873000000</v>
      </c>
      <c r="F251">
        <v>440000000</v>
      </c>
      <c r="G251">
        <v>11313000000</v>
      </c>
      <c r="H251">
        <v>13925000000</v>
      </c>
      <c r="I251">
        <v>1299000000</v>
      </c>
      <c r="J251">
        <v>196000000</v>
      </c>
      <c r="K251">
        <v>7230000000</v>
      </c>
      <c r="L251">
        <v>5639000000</v>
      </c>
      <c r="M251">
        <v>16578000000</v>
      </c>
      <c r="N251">
        <v>0</v>
      </c>
      <c r="O251">
        <v>993000000</v>
      </c>
      <c r="P251">
        <v>14190000000</v>
      </c>
      <c r="Q251">
        <v>44489114540</v>
      </c>
      <c r="R251">
        <v>45482114540</v>
      </c>
    </row>
    <row r="252" spans="1:18" x14ac:dyDescent="0.25">
      <c r="A252" s="1" t="s">
        <v>135</v>
      </c>
      <c r="B252">
        <v>53784084210</v>
      </c>
      <c r="C252" t="s">
        <v>87</v>
      </c>
      <c r="D252" t="s">
        <v>127</v>
      </c>
      <c r="E252">
        <v>10873000000</v>
      </c>
      <c r="F252">
        <v>440000000</v>
      </c>
      <c r="G252">
        <v>11313000000</v>
      </c>
      <c r="H252">
        <v>13925000000</v>
      </c>
      <c r="I252">
        <v>1299000000</v>
      </c>
      <c r="J252">
        <v>196000000</v>
      </c>
      <c r="K252">
        <v>7230000000</v>
      </c>
      <c r="L252">
        <v>5639000000</v>
      </c>
      <c r="M252">
        <v>16578000000</v>
      </c>
      <c r="N252">
        <v>0</v>
      </c>
      <c r="O252">
        <v>993000000</v>
      </c>
      <c r="P252">
        <v>14190000000</v>
      </c>
      <c r="Q252">
        <v>49897084210</v>
      </c>
      <c r="R252">
        <v>50890084210</v>
      </c>
    </row>
    <row r="253" spans="1:18" x14ac:dyDescent="0.25">
      <c r="A253" s="1" t="s">
        <v>1252</v>
      </c>
      <c r="B253">
        <v>57018432630</v>
      </c>
      <c r="C253" t="s">
        <v>86</v>
      </c>
      <c r="D253" t="s">
        <v>127</v>
      </c>
      <c r="E253">
        <v>8165000000</v>
      </c>
      <c r="F253">
        <v>831000000</v>
      </c>
      <c r="G253">
        <v>8996000000</v>
      </c>
      <c r="H253">
        <v>11114000000</v>
      </c>
      <c r="I253">
        <v>1242000000</v>
      </c>
      <c r="J253">
        <v>205000000</v>
      </c>
      <c r="K253">
        <v>7222000000</v>
      </c>
      <c r="L253">
        <v>6631000000</v>
      </c>
      <c r="M253">
        <v>17772000000</v>
      </c>
      <c r="N253">
        <v>0</v>
      </c>
      <c r="O253">
        <v>976000000</v>
      </c>
      <c r="P253">
        <v>11342000000</v>
      </c>
      <c r="Q253">
        <v>55449432630</v>
      </c>
      <c r="R253">
        <v>56425432630</v>
      </c>
    </row>
    <row r="254" spans="1:18" x14ac:dyDescent="0.25">
      <c r="A254" s="1" t="s">
        <v>1251</v>
      </c>
      <c r="B254">
        <v>55018701080</v>
      </c>
      <c r="C254" t="s">
        <v>86</v>
      </c>
      <c r="D254" t="s">
        <v>127</v>
      </c>
      <c r="E254">
        <v>8165000000</v>
      </c>
      <c r="F254">
        <v>831000000</v>
      </c>
      <c r="G254">
        <v>8996000000</v>
      </c>
      <c r="H254">
        <v>11114000000</v>
      </c>
      <c r="I254">
        <v>1242000000</v>
      </c>
      <c r="J254">
        <v>205000000</v>
      </c>
      <c r="K254">
        <v>7222000000</v>
      </c>
      <c r="L254">
        <v>6631000000</v>
      </c>
      <c r="M254">
        <v>17772000000</v>
      </c>
      <c r="N254">
        <v>0</v>
      </c>
      <c r="O254">
        <v>976000000</v>
      </c>
      <c r="P254">
        <v>11342000000</v>
      </c>
      <c r="Q254">
        <v>53449701080</v>
      </c>
      <c r="R254">
        <v>54425701080</v>
      </c>
    </row>
    <row r="255" spans="1:18" x14ac:dyDescent="0.25">
      <c r="A255" s="1" t="s">
        <v>1250</v>
      </c>
      <c r="B255">
        <v>56340262800</v>
      </c>
      <c r="C255" t="s">
        <v>86</v>
      </c>
      <c r="D255" t="s">
        <v>127</v>
      </c>
      <c r="E255">
        <v>8165000000</v>
      </c>
      <c r="F255">
        <v>831000000</v>
      </c>
      <c r="G255">
        <v>8996000000</v>
      </c>
      <c r="H255">
        <v>11114000000</v>
      </c>
      <c r="I255">
        <v>1242000000</v>
      </c>
      <c r="J255">
        <v>205000000</v>
      </c>
      <c r="K255">
        <v>7222000000</v>
      </c>
      <c r="L255">
        <v>6631000000</v>
      </c>
      <c r="M255">
        <v>17772000000</v>
      </c>
      <c r="N255">
        <v>0</v>
      </c>
      <c r="O255">
        <v>976000000</v>
      </c>
      <c r="P255">
        <v>11342000000</v>
      </c>
      <c r="Q255">
        <v>54771262800</v>
      </c>
      <c r="R255">
        <v>55747262800</v>
      </c>
    </row>
    <row r="256" spans="1:18" x14ac:dyDescent="0.25">
      <c r="A256" s="1" t="s">
        <v>1249</v>
      </c>
      <c r="B256">
        <v>57418378940</v>
      </c>
      <c r="C256" t="s">
        <v>86</v>
      </c>
      <c r="D256" t="s">
        <v>127</v>
      </c>
      <c r="E256">
        <v>8165000000</v>
      </c>
      <c r="F256">
        <v>831000000</v>
      </c>
      <c r="G256">
        <v>8996000000</v>
      </c>
      <c r="H256">
        <v>11114000000</v>
      </c>
      <c r="I256">
        <v>1242000000</v>
      </c>
      <c r="J256">
        <v>205000000</v>
      </c>
      <c r="K256">
        <v>7222000000</v>
      </c>
      <c r="L256">
        <v>6631000000</v>
      </c>
      <c r="M256">
        <v>17772000000</v>
      </c>
      <c r="N256">
        <v>0</v>
      </c>
      <c r="O256">
        <v>976000000</v>
      </c>
      <c r="P256">
        <v>11342000000</v>
      </c>
      <c r="Q256">
        <v>55849378940</v>
      </c>
      <c r="R256">
        <v>56825378940</v>
      </c>
    </row>
    <row r="257" spans="1:18" x14ac:dyDescent="0.25">
      <c r="A257" s="1" t="s">
        <v>1248</v>
      </c>
      <c r="B257">
        <v>57018432630</v>
      </c>
      <c r="C257" t="s">
        <v>86</v>
      </c>
      <c r="D257" t="s">
        <v>127</v>
      </c>
      <c r="E257">
        <v>8165000000</v>
      </c>
      <c r="F257">
        <v>831000000</v>
      </c>
      <c r="G257">
        <v>8996000000</v>
      </c>
      <c r="H257">
        <v>11114000000</v>
      </c>
      <c r="I257">
        <v>1242000000</v>
      </c>
      <c r="J257">
        <v>205000000</v>
      </c>
      <c r="K257">
        <v>7222000000</v>
      </c>
      <c r="L257">
        <v>6631000000</v>
      </c>
      <c r="M257">
        <v>17772000000</v>
      </c>
      <c r="N257">
        <v>0</v>
      </c>
      <c r="O257">
        <v>976000000</v>
      </c>
      <c r="P257">
        <v>11342000000</v>
      </c>
      <c r="Q257">
        <v>55449432630</v>
      </c>
      <c r="R257">
        <v>56425432630</v>
      </c>
    </row>
    <row r="258" spans="1:18" x14ac:dyDescent="0.25">
      <c r="A258" s="1" t="s">
        <v>1247</v>
      </c>
      <c r="B258">
        <v>56461985590</v>
      </c>
      <c r="C258" t="s">
        <v>86</v>
      </c>
      <c r="D258" t="s">
        <v>127</v>
      </c>
      <c r="E258">
        <v>8165000000</v>
      </c>
      <c r="F258">
        <v>831000000</v>
      </c>
      <c r="G258">
        <v>8996000000</v>
      </c>
      <c r="H258">
        <v>11114000000</v>
      </c>
      <c r="I258">
        <v>1242000000</v>
      </c>
      <c r="J258">
        <v>205000000</v>
      </c>
      <c r="K258">
        <v>7222000000</v>
      </c>
      <c r="L258">
        <v>6631000000</v>
      </c>
      <c r="M258">
        <v>17772000000</v>
      </c>
      <c r="N258">
        <v>0</v>
      </c>
      <c r="O258">
        <v>976000000</v>
      </c>
      <c r="P258">
        <v>11342000000</v>
      </c>
      <c r="Q258">
        <v>54892985590</v>
      </c>
      <c r="R258">
        <v>55868985590</v>
      </c>
    </row>
    <row r="259" spans="1:18" x14ac:dyDescent="0.25">
      <c r="A259" s="1" t="s">
        <v>1246</v>
      </c>
      <c r="B259">
        <v>58461717139</v>
      </c>
      <c r="C259" t="s">
        <v>86</v>
      </c>
      <c r="D259" t="s">
        <v>127</v>
      </c>
      <c r="E259">
        <v>8165000000</v>
      </c>
      <c r="F259">
        <v>831000000</v>
      </c>
      <c r="G259">
        <v>8996000000</v>
      </c>
      <c r="H259">
        <v>11114000000</v>
      </c>
      <c r="I259">
        <v>1242000000</v>
      </c>
      <c r="J259">
        <v>205000000</v>
      </c>
      <c r="K259">
        <v>7222000000</v>
      </c>
      <c r="L259">
        <v>6631000000</v>
      </c>
      <c r="M259">
        <v>17772000000</v>
      </c>
      <c r="N259">
        <v>0</v>
      </c>
      <c r="O259">
        <v>976000000</v>
      </c>
      <c r="P259">
        <v>11342000000</v>
      </c>
      <c r="Q259">
        <v>56892717139</v>
      </c>
      <c r="R259">
        <v>57868717139</v>
      </c>
    </row>
    <row r="260" spans="1:18" x14ac:dyDescent="0.25">
      <c r="A260" s="1" t="s">
        <v>1245</v>
      </c>
      <c r="B260">
        <v>58079159800</v>
      </c>
      <c r="C260" t="s">
        <v>86</v>
      </c>
      <c r="D260" t="s">
        <v>127</v>
      </c>
      <c r="E260">
        <v>8165000000</v>
      </c>
      <c r="F260">
        <v>831000000</v>
      </c>
      <c r="G260">
        <v>8996000000</v>
      </c>
      <c r="H260">
        <v>11114000000</v>
      </c>
      <c r="I260">
        <v>1242000000</v>
      </c>
      <c r="J260">
        <v>205000000</v>
      </c>
      <c r="K260">
        <v>7222000000</v>
      </c>
      <c r="L260">
        <v>6631000000</v>
      </c>
      <c r="M260">
        <v>17772000000</v>
      </c>
      <c r="N260">
        <v>0</v>
      </c>
      <c r="O260">
        <v>976000000</v>
      </c>
      <c r="P260">
        <v>11342000000</v>
      </c>
      <c r="Q260">
        <v>56510159800</v>
      </c>
      <c r="R260">
        <v>57486159800</v>
      </c>
    </row>
    <row r="261" spans="1:18" x14ac:dyDescent="0.25">
      <c r="A261" s="1" t="s">
        <v>1244</v>
      </c>
      <c r="B261">
        <v>59957168559</v>
      </c>
      <c r="C261" t="s">
        <v>86</v>
      </c>
      <c r="D261" t="s">
        <v>127</v>
      </c>
      <c r="E261">
        <v>8165000000</v>
      </c>
      <c r="F261">
        <v>831000000</v>
      </c>
      <c r="G261">
        <v>8996000000</v>
      </c>
      <c r="H261">
        <v>11114000000</v>
      </c>
      <c r="I261">
        <v>1242000000</v>
      </c>
      <c r="J261">
        <v>205000000</v>
      </c>
      <c r="K261">
        <v>7222000000</v>
      </c>
      <c r="L261">
        <v>6631000000</v>
      </c>
      <c r="M261">
        <v>17772000000</v>
      </c>
      <c r="N261">
        <v>0</v>
      </c>
      <c r="O261">
        <v>976000000</v>
      </c>
      <c r="P261">
        <v>11342000000</v>
      </c>
      <c r="Q261">
        <v>58388168559</v>
      </c>
      <c r="R261">
        <v>59364168559</v>
      </c>
    </row>
    <row r="262" spans="1:18" x14ac:dyDescent="0.25">
      <c r="A262" s="1" t="s">
        <v>1243</v>
      </c>
      <c r="B262">
        <v>59574611220</v>
      </c>
      <c r="C262" t="s">
        <v>86</v>
      </c>
      <c r="D262" t="s">
        <v>127</v>
      </c>
      <c r="E262">
        <v>8165000000</v>
      </c>
      <c r="F262">
        <v>831000000</v>
      </c>
      <c r="G262">
        <v>8996000000</v>
      </c>
      <c r="H262">
        <v>11114000000</v>
      </c>
      <c r="I262">
        <v>1242000000</v>
      </c>
      <c r="J262">
        <v>205000000</v>
      </c>
      <c r="K262">
        <v>7222000000</v>
      </c>
      <c r="L262">
        <v>6631000000</v>
      </c>
      <c r="M262">
        <v>17772000000</v>
      </c>
      <c r="N262">
        <v>0</v>
      </c>
      <c r="O262">
        <v>976000000</v>
      </c>
      <c r="P262">
        <v>11342000000</v>
      </c>
      <c r="Q262">
        <v>58005611220</v>
      </c>
      <c r="R262">
        <v>58981611220</v>
      </c>
    </row>
    <row r="263" spans="1:18" x14ac:dyDescent="0.25">
      <c r="A263" s="1" t="s">
        <v>1242</v>
      </c>
      <c r="B263">
        <v>60565782510</v>
      </c>
      <c r="C263" t="s">
        <v>86</v>
      </c>
      <c r="D263" t="s">
        <v>127</v>
      </c>
      <c r="E263">
        <v>8165000000</v>
      </c>
      <c r="F263">
        <v>831000000</v>
      </c>
      <c r="G263">
        <v>8996000000</v>
      </c>
      <c r="H263">
        <v>11114000000</v>
      </c>
      <c r="I263">
        <v>1242000000</v>
      </c>
      <c r="J263">
        <v>205000000</v>
      </c>
      <c r="K263">
        <v>7222000000</v>
      </c>
      <c r="L263">
        <v>6631000000</v>
      </c>
      <c r="M263">
        <v>17772000000</v>
      </c>
      <c r="N263">
        <v>0</v>
      </c>
      <c r="O263">
        <v>976000000</v>
      </c>
      <c r="P263">
        <v>11342000000</v>
      </c>
      <c r="Q263">
        <v>58996782510</v>
      </c>
      <c r="R263">
        <v>59972782510</v>
      </c>
    </row>
    <row r="264" spans="1:18" x14ac:dyDescent="0.25">
      <c r="A264" s="1" t="s">
        <v>1241</v>
      </c>
      <c r="B264">
        <v>60096280320</v>
      </c>
      <c r="C264" t="s">
        <v>86</v>
      </c>
      <c r="D264" t="s">
        <v>127</v>
      </c>
      <c r="E264">
        <v>8165000000</v>
      </c>
      <c r="F264">
        <v>831000000</v>
      </c>
      <c r="G264">
        <v>8996000000</v>
      </c>
      <c r="H264">
        <v>11114000000</v>
      </c>
      <c r="I264">
        <v>1242000000</v>
      </c>
      <c r="J264">
        <v>205000000</v>
      </c>
      <c r="K264">
        <v>7222000000</v>
      </c>
      <c r="L264">
        <v>6631000000</v>
      </c>
      <c r="M264">
        <v>17772000000</v>
      </c>
      <c r="N264">
        <v>0</v>
      </c>
      <c r="O264">
        <v>976000000</v>
      </c>
      <c r="P264">
        <v>11342000000</v>
      </c>
      <c r="Q264">
        <v>58527280320</v>
      </c>
      <c r="R264">
        <v>59503280320</v>
      </c>
    </row>
    <row r="265" spans="1:18" x14ac:dyDescent="0.25">
      <c r="A265" s="1" t="s">
        <v>1240</v>
      </c>
      <c r="B265">
        <v>60652727360</v>
      </c>
      <c r="C265" t="s">
        <v>86</v>
      </c>
      <c r="D265" t="s">
        <v>127</v>
      </c>
      <c r="E265">
        <v>8165000000</v>
      </c>
      <c r="F265">
        <v>831000000</v>
      </c>
      <c r="G265">
        <v>8996000000</v>
      </c>
      <c r="H265">
        <v>11114000000</v>
      </c>
      <c r="I265">
        <v>1242000000</v>
      </c>
      <c r="J265">
        <v>205000000</v>
      </c>
      <c r="K265">
        <v>7222000000</v>
      </c>
      <c r="L265">
        <v>6631000000</v>
      </c>
      <c r="M265">
        <v>17772000000</v>
      </c>
      <c r="N265">
        <v>0</v>
      </c>
      <c r="O265">
        <v>976000000</v>
      </c>
      <c r="P265">
        <v>11342000000</v>
      </c>
      <c r="Q265">
        <v>59083727360</v>
      </c>
      <c r="R265">
        <v>60059727360</v>
      </c>
    </row>
    <row r="266" spans="1:18" x14ac:dyDescent="0.25">
      <c r="A266" s="1" t="s">
        <v>1239</v>
      </c>
      <c r="B266">
        <v>59383332550</v>
      </c>
      <c r="C266" t="s">
        <v>86</v>
      </c>
      <c r="D266" t="s">
        <v>127</v>
      </c>
      <c r="E266">
        <v>8165000000</v>
      </c>
      <c r="F266">
        <v>831000000</v>
      </c>
      <c r="G266">
        <v>8996000000</v>
      </c>
      <c r="H266">
        <v>11114000000</v>
      </c>
      <c r="I266">
        <v>1242000000</v>
      </c>
      <c r="J266">
        <v>205000000</v>
      </c>
      <c r="K266">
        <v>7222000000</v>
      </c>
      <c r="L266">
        <v>6631000000</v>
      </c>
      <c r="M266">
        <v>17772000000</v>
      </c>
      <c r="N266">
        <v>0</v>
      </c>
      <c r="O266">
        <v>976000000</v>
      </c>
      <c r="P266">
        <v>11342000000</v>
      </c>
      <c r="Q266">
        <v>57814332550</v>
      </c>
      <c r="R266">
        <v>58790332550</v>
      </c>
    </row>
    <row r="267" spans="1:18" x14ac:dyDescent="0.25">
      <c r="A267" s="1" t="s">
        <v>1238</v>
      </c>
      <c r="B267">
        <v>63156739040</v>
      </c>
      <c r="C267" t="s">
        <v>86</v>
      </c>
      <c r="D267" t="s">
        <v>127</v>
      </c>
      <c r="E267">
        <v>8165000000</v>
      </c>
      <c r="F267">
        <v>831000000</v>
      </c>
      <c r="G267">
        <v>8996000000</v>
      </c>
      <c r="H267">
        <v>11114000000</v>
      </c>
      <c r="I267">
        <v>1242000000</v>
      </c>
      <c r="J267">
        <v>205000000</v>
      </c>
      <c r="K267">
        <v>7222000000</v>
      </c>
      <c r="L267">
        <v>6631000000</v>
      </c>
      <c r="M267">
        <v>17772000000</v>
      </c>
      <c r="N267">
        <v>0</v>
      </c>
      <c r="O267">
        <v>976000000</v>
      </c>
      <c r="P267">
        <v>11342000000</v>
      </c>
      <c r="Q267">
        <v>61587739040</v>
      </c>
      <c r="R267">
        <v>62563739040</v>
      </c>
    </row>
    <row r="268" spans="1:18" x14ac:dyDescent="0.25">
      <c r="A268" s="1" t="s">
        <v>1237</v>
      </c>
      <c r="B268">
        <v>62287290540</v>
      </c>
      <c r="C268" t="s">
        <v>86</v>
      </c>
      <c r="D268" t="s">
        <v>127</v>
      </c>
      <c r="E268">
        <v>8165000000</v>
      </c>
      <c r="F268">
        <v>831000000</v>
      </c>
      <c r="G268">
        <v>8996000000</v>
      </c>
      <c r="H268">
        <v>11114000000</v>
      </c>
      <c r="I268">
        <v>1242000000</v>
      </c>
      <c r="J268">
        <v>205000000</v>
      </c>
      <c r="K268">
        <v>7222000000</v>
      </c>
      <c r="L268">
        <v>6631000000</v>
      </c>
      <c r="M268">
        <v>17772000000</v>
      </c>
      <c r="N268">
        <v>0</v>
      </c>
      <c r="O268">
        <v>976000000</v>
      </c>
      <c r="P268">
        <v>11342000000</v>
      </c>
      <c r="Q268">
        <v>60718290540</v>
      </c>
      <c r="R268">
        <v>61694290540</v>
      </c>
    </row>
    <row r="269" spans="1:18" x14ac:dyDescent="0.25">
      <c r="A269" s="1" t="s">
        <v>1236</v>
      </c>
      <c r="B269">
        <v>62269901570</v>
      </c>
      <c r="C269" t="s">
        <v>86</v>
      </c>
      <c r="D269" t="s">
        <v>127</v>
      </c>
      <c r="E269">
        <v>8165000000</v>
      </c>
      <c r="F269">
        <v>831000000</v>
      </c>
      <c r="G269">
        <v>8996000000</v>
      </c>
      <c r="H269">
        <v>11114000000</v>
      </c>
      <c r="I269">
        <v>1242000000</v>
      </c>
      <c r="J269">
        <v>205000000</v>
      </c>
      <c r="K269">
        <v>7222000000</v>
      </c>
      <c r="L269">
        <v>6631000000</v>
      </c>
      <c r="M269">
        <v>17772000000</v>
      </c>
      <c r="N269">
        <v>0</v>
      </c>
      <c r="O269">
        <v>976000000</v>
      </c>
      <c r="P269">
        <v>11342000000</v>
      </c>
      <c r="Q269">
        <v>60700901570</v>
      </c>
      <c r="R269">
        <v>61676901570</v>
      </c>
    </row>
    <row r="270" spans="1:18" x14ac:dyDescent="0.25">
      <c r="A270" s="1" t="s">
        <v>1235</v>
      </c>
      <c r="B270">
        <v>63904464750</v>
      </c>
      <c r="C270" t="s">
        <v>86</v>
      </c>
      <c r="D270" t="s">
        <v>127</v>
      </c>
      <c r="E270">
        <v>8165000000</v>
      </c>
      <c r="F270">
        <v>831000000</v>
      </c>
      <c r="G270">
        <v>8996000000</v>
      </c>
      <c r="H270">
        <v>11114000000</v>
      </c>
      <c r="I270">
        <v>1242000000</v>
      </c>
      <c r="J270">
        <v>205000000</v>
      </c>
      <c r="K270">
        <v>7222000000</v>
      </c>
      <c r="L270">
        <v>6631000000</v>
      </c>
      <c r="M270">
        <v>17772000000</v>
      </c>
      <c r="N270">
        <v>0</v>
      </c>
      <c r="O270">
        <v>976000000</v>
      </c>
      <c r="P270">
        <v>11342000000</v>
      </c>
      <c r="Q270">
        <v>62335464750</v>
      </c>
      <c r="R270">
        <v>63311464750</v>
      </c>
    </row>
    <row r="271" spans="1:18" x14ac:dyDescent="0.25">
      <c r="A271" s="1" t="s">
        <v>1234</v>
      </c>
      <c r="B271">
        <v>63348017710</v>
      </c>
      <c r="C271" t="s">
        <v>86</v>
      </c>
      <c r="D271" t="s">
        <v>127</v>
      </c>
      <c r="E271">
        <v>8165000000</v>
      </c>
      <c r="F271">
        <v>831000000</v>
      </c>
      <c r="G271">
        <v>8996000000</v>
      </c>
      <c r="H271">
        <v>11114000000</v>
      </c>
      <c r="I271">
        <v>1242000000</v>
      </c>
      <c r="J271">
        <v>205000000</v>
      </c>
      <c r="K271">
        <v>7222000000</v>
      </c>
      <c r="L271">
        <v>6631000000</v>
      </c>
      <c r="M271">
        <v>17772000000</v>
      </c>
      <c r="N271">
        <v>0</v>
      </c>
      <c r="O271">
        <v>976000000</v>
      </c>
      <c r="P271">
        <v>11342000000</v>
      </c>
      <c r="Q271">
        <v>61779017710</v>
      </c>
      <c r="R271">
        <v>62755017710</v>
      </c>
    </row>
    <row r="272" spans="1:18" x14ac:dyDescent="0.25">
      <c r="A272" s="1" t="s">
        <v>1233</v>
      </c>
      <c r="B272">
        <v>64704357370</v>
      </c>
      <c r="C272" t="s">
        <v>86</v>
      </c>
      <c r="D272" t="s">
        <v>127</v>
      </c>
      <c r="E272">
        <v>8165000000</v>
      </c>
      <c r="F272">
        <v>831000000</v>
      </c>
      <c r="G272">
        <v>8996000000</v>
      </c>
      <c r="H272">
        <v>11114000000</v>
      </c>
      <c r="I272">
        <v>1242000000</v>
      </c>
      <c r="J272">
        <v>205000000</v>
      </c>
      <c r="K272">
        <v>7222000000</v>
      </c>
      <c r="L272">
        <v>6631000000</v>
      </c>
      <c r="M272">
        <v>17772000000</v>
      </c>
      <c r="N272">
        <v>0</v>
      </c>
      <c r="O272">
        <v>976000000</v>
      </c>
      <c r="P272">
        <v>11342000000</v>
      </c>
      <c r="Q272">
        <v>63135357370</v>
      </c>
      <c r="R272">
        <v>64111357370</v>
      </c>
    </row>
    <row r="273" spans="1:18" x14ac:dyDescent="0.25">
      <c r="A273" s="1" t="s">
        <v>1232</v>
      </c>
      <c r="B273">
        <v>64478300760</v>
      </c>
      <c r="C273" t="s">
        <v>86</v>
      </c>
      <c r="D273" t="s">
        <v>127</v>
      </c>
      <c r="E273">
        <v>8165000000</v>
      </c>
      <c r="F273">
        <v>831000000</v>
      </c>
      <c r="G273">
        <v>8996000000</v>
      </c>
      <c r="H273">
        <v>11114000000</v>
      </c>
      <c r="I273">
        <v>1242000000</v>
      </c>
      <c r="J273">
        <v>205000000</v>
      </c>
      <c r="K273">
        <v>7222000000</v>
      </c>
      <c r="L273">
        <v>6631000000</v>
      </c>
      <c r="M273">
        <v>17772000000</v>
      </c>
      <c r="N273">
        <v>0</v>
      </c>
      <c r="O273">
        <v>976000000</v>
      </c>
      <c r="P273">
        <v>11342000000</v>
      </c>
      <c r="Q273">
        <v>62909300760</v>
      </c>
      <c r="R273">
        <v>63885300760</v>
      </c>
    </row>
    <row r="274" spans="1:18" x14ac:dyDescent="0.25">
      <c r="A274" s="1" t="s">
        <v>1231</v>
      </c>
      <c r="B274">
        <v>63626241230</v>
      </c>
      <c r="C274" t="s">
        <v>86</v>
      </c>
      <c r="D274" t="s">
        <v>127</v>
      </c>
      <c r="E274">
        <v>8165000000</v>
      </c>
      <c r="F274">
        <v>831000000</v>
      </c>
      <c r="G274">
        <v>8996000000</v>
      </c>
      <c r="H274">
        <v>11114000000</v>
      </c>
      <c r="I274">
        <v>1242000000</v>
      </c>
      <c r="J274">
        <v>205000000</v>
      </c>
      <c r="K274">
        <v>7222000000</v>
      </c>
      <c r="L274">
        <v>6631000000</v>
      </c>
      <c r="M274">
        <v>17772000000</v>
      </c>
      <c r="N274">
        <v>0</v>
      </c>
      <c r="O274">
        <v>976000000</v>
      </c>
      <c r="P274">
        <v>11342000000</v>
      </c>
      <c r="Q274">
        <v>62057241230</v>
      </c>
      <c r="R274">
        <v>63033241230</v>
      </c>
    </row>
    <row r="275" spans="1:18" x14ac:dyDescent="0.25">
      <c r="A275" s="1" t="s">
        <v>1230</v>
      </c>
      <c r="B275">
        <v>60565782510</v>
      </c>
      <c r="C275" t="s">
        <v>86</v>
      </c>
      <c r="D275" t="s">
        <v>127</v>
      </c>
      <c r="E275">
        <v>8165000000</v>
      </c>
      <c r="F275">
        <v>831000000</v>
      </c>
      <c r="G275">
        <v>8996000000</v>
      </c>
      <c r="H275">
        <v>11114000000</v>
      </c>
      <c r="I275">
        <v>1242000000</v>
      </c>
      <c r="J275">
        <v>205000000</v>
      </c>
      <c r="K275">
        <v>7222000000</v>
      </c>
      <c r="L275">
        <v>6631000000</v>
      </c>
      <c r="M275">
        <v>17772000000</v>
      </c>
      <c r="N275">
        <v>0</v>
      </c>
      <c r="O275">
        <v>976000000</v>
      </c>
      <c r="P275">
        <v>11342000000</v>
      </c>
      <c r="Q275">
        <v>58996782510</v>
      </c>
      <c r="R275">
        <v>59972782510</v>
      </c>
    </row>
    <row r="276" spans="1:18" x14ac:dyDescent="0.25">
      <c r="A276" s="1" t="s">
        <v>1229</v>
      </c>
      <c r="B276">
        <v>54079696700</v>
      </c>
      <c r="C276" t="s">
        <v>86</v>
      </c>
      <c r="D276" t="s">
        <v>127</v>
      </c>
      <c r="E276">
        <v>8165000000</v>
      </c>
      <c r="F276">
        <v>831000000</v>
      </c>
      <c r="G276">
        <v>8996000000</v>
      </c>
      <c r="H276">
        <v>11114000000</v>
      </c>
      <c r="I276">
        <v>1242000000</v>
      </c>
      <c r="J276">
        <v>205000000</v>
      </c>
      <c r="K276">
        <v>7222000000</v>
      </c>
      <c r="L276">
        <v>6631000000</v>
      </c>
      <c r="M276">
        <v>17772000000</v>
      </c>
      <c r="N276">
        <v>0</v>
      </c>
      <c r="O276">
        <v>976000000</v>
      </c>
      <c r="P276">
        <v>11342000000</v>
      </c>
      <c r="Q276">
        <v>52510696700</v>
      </c>
      <c r="R276">
        <v>53486696700</v>
      </c>
    </row>
    <row r="277" spans="1:18" x14ac:dyDescent="0.25">
      <c r="A277" s="1" t="s">
        <v>1228</v>
      </c>
      <c r="B277">
        <v>56062039280</v>
      </c>
      <c r="C277" t="s">
        <v>86</v>
      </c>
      <c r="D277" t="s">
        <v>127</v>
      </c>
      <c r="E277">
        <v>8165000000</v>
      </c>
      <c r="F277">
        <v>831000000</v>
      </c>
      <c r="G277">
        <v>8996000000</v>
      </c>
      <c r="H277">
        <v>11114000000</v>
      </c>
      <c r="I277">
        <v>1242000000</v>
      </c>
      <c r="J277">
        <v>205000000</v>
      </c>
      <c r="K277">
        <v>7222000000</v>
      </c>
      <c r="L277">
        <v>6631000000</v>
      </c>
      <c r="M277">
        <v>17772000000</v>
      </c>
      <c r="N277">
        <v>0</v>
      </c>
      <c r="O277">
        <v>976000000</v>
      </c>
      <c r="P277">
        <v>11342000000</v>
      </c>
      <c r="Q277">
        <v>54493039280</v>
      </c>
      <c r="R277">
        <v>55469039280</v>
      </c>
    </row>
    <row r="278" spans="1:18" x14ac:dyDescent="0.25">
      <c r="A278" s="1" t="s">
        <v>1227</v>
      </c>
      <c r="B278">
        <v>56809764990</v>
      </c>
      <c r="C278" t="s">
        <v>86</v>
      </c>
      <c r="D278" t="s">
        <v>127</v>
      </c>
      <c r="E278">
        <v>8165000000</v>
      </c>
      <c r="F278">
        <v>831000000</v>
      </c>
      <c r="G278">
        <v>8996000000</v>
      </c>
      <c r="H278">
        <v>11114000000</v>
      </c>
      <c r="I278">
        <v>1242000000</v>
      </c>
      <c r="J278">
        <v>205000000</v>
      </c>
      <c r="K278">
        <v>7222000000</v>
      </c>
      <c r="L278">
        <v>6631000000</v>
      </c>
      <c r="M278">
        <v>17772000000</v>
      </c>
      <c r="N278">
        <v>0</v>
      </c>
      <c r="O278">
        <v>976000000</v>
      </c>
      <c r="P278">
        <v>11342000000</v>
      </c>
      <c r="Q278">
        <v>55240764990</v>
      </c>
      <c r="R278">
        <v>56216764990</v>
      </c>
    </row>
    <row r="279" spans="1:18" x14ac:dyDescent="0.25">
      <c r="A279" s="1" t="s">
        <v>1226</v>
      </c>
      <c r="B279">
        <v>58235660530</v>
      </c>
      <c r="C279" t="s">
        <v>86</v>
      </c>
      <c r="D279" t="s">
        <v>127</v>
      </c>
      <c r="E279">
        <v>8165000000</v>
      </c>
      <c r="F279">
        <v>831000000</v>
      </c>
      <c r="G279">
        <v>8996000000</v>
      </c>
      <c r="H279">
        <v>11114000000</v>
      </c>
      <c r="I279">
        <v>1242000000</v>
      </c>
      <c r="J279">
        <v>205000000</v>
      </c>
      <c r="K279">
        <v>7222000000</v>
      </c>
      <c r="L279">
        <v>6631000000</v>
      </c>
      <c r="M279">
        <v>17772000000</v>
      </c>
      <c r="N279">
        <v>0</v>
      </c>
      <c r="O279">
        <v>976000000</v>
      </c>
      <c r="P279">
        <v>11342000000</v>
      </c>
      <c r="Q279">
        <v>56666660530</v>
      </c>
      <c r="R279">
        <v>57642660530</v>
      </c>
    </row>
    <row r="280" spans="1:18" x14ac:dyDescent="0.25">
      <c r="A280" s="1" t="s">
        <v>1225</v>
      </c>
      <c r="B280">
        <v>57887881130</v>
      </c>
      <c r="C280" t="s">
        <v>86</v>
      </c>
      <c r="D280" t="s">
        <v>127</v>
      </c>
      <c r="E280">
        <v>8165000000</v>
      </c>
      <c r="F280">
        <v>831000000</v>
      </c>
      <c r="G280">
        <v>8996000000</v>
      </c>
      <c r="H280">
        <v>11114000000</v>
      </c>
      <c r="I280">
        <v>1242000000</v>
      </c>
      <c r="J280">
        <v>205000000</v>
      </c>
      <c r="K280">
        <v>7222000000</v>
      </c>
      <c r="L280">
        <v>6631000000</v>
      </c>
      <c r="M280">
        <v>17772000000</v>
      </c>
      <c r="N280">
        <v>0</v>
      </c>
      <c r="O280">
        <v>976000000</v>
      </c>
      <c r="P280">
        <v>11342000000</v>
      </c>
      <c r="Q280">
        <v>56318881130</v>
      </c>
      <c r="R280">
        <v>57294881130</v>
      </c>
    </row>
    <row r="281" spans="1:18" x14ac:dyDescent="0.25">
      <c r="A281" s="1" t="s">
        <v>1224</v>
      </c>
      <c r="B281">
        <v>58079159800</v>
      </c>
      <c r="C281" t="s">
        <v>86</v>
      </c>
      <c r="D281" t="s">
        <v>127</v>
      </c>
      <c r="E281">
        <v>8165000000</v>
      </c>
      <c r="F281">
        <v>831000000</v>
      </c>
      <c r="G281">
        <v>8996000000</v>
      </c>
      <c r="H281">
        <v>11114000000</v>
      </c>
      <c r="I281">
        <v>1242000000</v>
      </c>
      <c r="J281">
        <v>205000000</v>
      </c>
      <c r="K281">
        <v>7222000000</v>
      </c>
      <c r="L281">
        <v>6631000000</v>
      </c>
      <c r="M281">
        <v>17772000000</v>
      </c>
      <c r="N281">
        <v>0</v>
      </c>
      <c r="O281">
        <v>976000000</v>
      </c>
      <c r="P281">
        <v>11342000000</v>
      </c>
      <c r="Q281">
        <v>56510159800</v>
      </c>
      <c r="R281">
        <v>57486159800</v>
      </c>
    </row>
    <row r="282" spans="1:18" x14ac:dyDescent="0.25">
      <c r="A282" s="1" t="s">
        <v>1223</v>
      </c>
      <c r="B282">
        <v>56166373099</v>
      </c>
      <c r="C282" t="s">
        <v>86</v>
      </c>
      <c r="D282" t="s">
        <v>127</v>
      </c>
      <c r="E282">
        <v>8165000000</v>
      </c>
      <c r="F282">
        <v>831000000</v>
      </c>
      <c r="G282">
        <v>8996000000</v>
      </c>
      <c r="H282">
        <v>11114000000</v>
      </c>
      <c r="I282">
        <v>1242000000</v>
      </c>
      <c r="J282">
        <v>205000000</v>
      </c>
      <c r="K282">
        <v>7222000000</v>
      </c>
      <c r="L282">
        <v>6631000000</v>
      </c>
      <c r="M282">
        <v>17772000000</v>
      </c>
      <c r="N282">
        <v>0</v>
      </c>
      <c r="O282">
        <v>976000000</v>
      </c>
      <c r="P282">
        <v>11342000000</v>
      </c>
      <c r="Q282">
        <v>54597373099</v>
      </c>
      <c r="R282">
        <v>55573373099</v>
      </c>
    </row>
    <row r="283" spans="1:18" x14ac:dyDescent="0.25">
      <c r="A283" s="1" t="s">
        <v>1222</v>
      </c>
      <c r="B283">
        <v>56827153960</v>
      </c>
      <c r="C283" t="s">
        <v>86</v>
      </c>
      <c r="D283" t="s">
        <v>127</v>
      </c>
      <c r="E283">
        <v>8165000000</v>
      </c>
      <c r="F283">
        <v>831000000</v>
      </c>
      <c r="G283">
        <v>8996000000</v>
      </c>
      <c r="H283">
        <v>11114000000</v>
      </c>
      <c r="I283">
        <v>1242000000</v>
      </c>
      <c r="J283">
        <v>205000000</v>
      </c>
      <c r="K283">
        <v>7222000000</v>
      </c>
      <c r="L283">
        <v>6631000000</v>
      </c>
      <c r="M283">
        <v>17772000000</v>
      </c>
      <c r="N283">
        <v>0</v>
      </c>
      <c r="O283">
        <v>976000000</v>
      </c>
      <c r="P283">
        <v>11342000000</v>
      </c>
      <c r="Q283">
        <v>55258153960</v>
      </c>
      <c r="R283">
        <v>56234153960</v>
      </c>
    </row>
    <row r="284" spans="1:18" x14ac:dyDescent="0.25">
      <c r="A284" s="1" t="s">
        <v>1221</v>
      </c>
      <c r="B284">
        <v>57470545849</v>
      </c>
      <c r="C284" t="s">
        <v>86</v>
      </c>
      <c r="D284" t="s">
        <v>127</v>
      </c>
      <c r="E284">
        <v>8165000000</v>
      </c>
      <c r="F284">
        <v>831000000</v>
      </c>
      <c r="G284">
        <v>8996000000</v>
      </c>
      <c r="H284">
        <v>11114000000</v>
      </c>
      <c r="I284">
        <v>1242000000</v>
      </c>
      <c r="J284">
        <v>205000000</v>
      </c>
      <c r="K284">
        <v>7222000000</v>
      </c>
      <c r="L284">
        <v>6631000000</v>
      </c>
      <c r="M284">
        <v>17772000000</v>
      </c>
      <c r="N284">
        <v>0</v>
      </c>
      <c r="O284">
        <v>976000000</v>
      </c>
      <c r="P284">
        <v>11342000000</v>
      </c>
      <c r="Q284">
        <v>55901545849</v>
      </c>
      <c r="R284">
        <v>56877545849</v>
      </c>
    </row>
    <row r="285" spans="1:18" x14ac:dyDescent="0.25">
      <c r="A285" s="1" t="s">
        <v>1220</v>
      </c>
      <c r="B285">
        <v>52966802620</v>
      </c>
      <c r="C285" t="s">
        <v>86</v>
      </c>
      <c r="D285" t="s">
        <v>127</v>
      </c>
      <c r="E285">
        <v>8165000000</v>
      </c>
      <c r="F285">
        <v>831000000</v>
      </c>
      <c r="G285">
        <v>8996000000</v>
      </c>
      <c r="H285">
        <v>11114000000</v>
      </c>
      <c r="I285">
        <v>1242000000</v>
      </c>
      <c r="J285">
        <v>205000000</v>
      </c>
      <c r="K285">
        <v>7222000000</v>
      </c>
      <c r="L285">
        <v>6631000000</v>
      </c>
      <c r="M285">
        <v>17772000000</v>
      </c>
      <c r="N285">
        <v>0</v>
      </c>
      <c r="O285">
        <v>976000000</v>
      </c>
      <c r="P285">
        <v>11342000000</v>
      </c>
      <c r="Q285">
        <v>51397802620</v>
      </c>
      <c r="R285">
        <v>52373802620</v>
      </c>
    </row>
    <row r="286" spans="1:18" x14ac:dyDescent="0.25">
      <c r="A286" s="1" t="s">
        <v>1219</v>
      </c>
      <c r="B286">
        <v>53175470260</v>
      </c>
      <c r="C286" t="s">
        <v>86</v>
      </c>
      <c r="D286" t="s">
        <v>127</v>
      </c>
      <c r="E286">
        <v>8165000000</v>
      </c>
      <c r="F286">
        <v>831000000</v>
      </c>
      <c r="G286">
        <v>8996000000</v>
      </c>
      <c r="H286">
        <v>11114000000</v>
      </c>
      <c r="I286">
        <v>1242000000</v>
      </c>
      <c r="J286">
        <v>205000000</v>
      </c>
      <c r="K286">
        <v>7222000000</v>
      </c>
      <c r="L286">
        <v>6631000000</v>
      </c>
      <c r="M286">
        <v>17772000000</v>
      </c>
      <c r="N286">
        <v>0</v>
      </c>
      <c r="O286">
        <v>976000000</v>
      </c>
      <c r="P286">
        <v>11342000000</v>
      </c>
      <c r="Q286">
        <v>51606470260</v>
      </c>
      <c r="R286">
        <v>52582470260</v>
      </c>
    </row>
    <row r="287" spans="1:18" x14ac:dyDescent="0.25">
      <c r="A287" s="1" t="s">
        <v>1218</v>
      </c>
      <c r="B287">
        <v>51488740170</v>
      </c>
      <c r="C287" t="s">
        <v>86</v>
      </c>
      <c r="D287" t="s">
        <v>127</v>
      </c>
      <c r="E287">
        <v>8165000000</v>
      </c>
      <c r="F287">
        <v>831000000</v>
      </c>
      <c r="G287">
        <v>8996000000</v>
      </c>
      <c r="H287">
        <v>11114000000</v>
      </c>
      <c r="I287">
        <v>1242000000</v>
      </c>
      <c r="J287">
        <v>205000000</v>
      </c>
      <c r="K287">
        <v>7222000000</v>
      </c>
      <c r="L287">
        <v>6631000000</v>
      </c>
      <c r="M287">
        <v>17772000000</v>
      </c>
      <c r="N287">
        <v>0</v>
      </c>
      <c r="O287">
        <v>976000000</v>
      </c>
      <c r="P287">
        <v>11342000000</v>
      </c>
      <c r="Q287">
        <v>49919740170</v>
      </c>
      <c r="R287">
        <v>50895740170</v>
      </c>
    </row>
    <row r="288" spans="1:18" x14ac:dyDescent="0.25">
      <c r="A288" s="1" t="s">
        <v>1217</v>
      </c>
      <c r="B288">
        <v>51523518110</v>
      </c>
      <c r="C288" t="s">
        <v>86</v>
      </c>
      <c r="D288" t="s">
        <v>127</v>
      </c>
      <c r="E288">
        <v>8165000000</v>
      </c>
      <c r="F288">
        <v>831000000</v>
      </c>
      <c r="G288">
        <v>8996000000</v>
      </c>
      <c r="H288">
        <v>11114000000</v>
      </c>
      <c r="I288">
        <v>1242000000</v>
      </c>
      <c r="J288">
        <v>205000000</v>
      </c>
      <c r="K288">
        <v>7222000000</v>
      </c>
      <c r="L288">
        <v>6631000000</v>
      </c>
      <c r="M288">
        <v>17772000000</v>
      </c>
      <c r="N288">
        <v>0</v>
      </c>
      <c r="O288">
        <v>976000000</v>
      </c>
      <c r="P288">
        <v>11342000000</v>
      </c>
      <c r="Q288">
        <v>49954518110</v>
      </c>
      <c r="R288">
        <v>50930518110</v>
      </c>
    </row>
    <row r="289" spans="1:18" x14ac:dyDescent="0.25">
      <c r="A289" s="1" t="s">
        <v>85</v>
      </c>
      <c r="B289">
        <v>54546301320</v>
      </c>
      <c r="C289" t="s">
        <v>86</v>
      </c>
      <c r="D289" t="s">
        <v>127</v>
      </c>
      <c r="E289">
        <v>8165000000</v>
      </c>
      <c r="F289">
        <v>831000000</v>
      </c>
      <c r="G289">
        <v>8996000000</v>
      </c>
      <c r="H289">
        <v>11114000000</v>
      </c>
      <c r="I289">
        <v>1242000000</v>
      </c>
      <c r="J289">
        <v>205000000</v>
      </c>
      <c r="K289">
        <v>7222000000</v>
      </c>
      <c r="L289">
        <v>6631000000</v>
      </c>
      <c r="M289">
        <v>17772000000</v>
      </c>
      <c r="N289">
        <v>0</v>
      </c>
      <c r="O289">
        <v>976000000</v>
      </c>
      <c r="P289">
        <v>11342000000</v>
      </c>
      <c r="Q289">
        <v>52977301320</v>
      </c>
      <c r="R289">
        <v>53953301320</v>
      </c>
    </row>
    <row r="290" spans="1:18" x14ac:dyDescent="0.25">
      <c r="A290" s="1" t="s">
        <v>1216</v>
      </c>
      <c r="B290">
        <v>53405532470</v>
      </c>
      <c r="C290" t="s">
        <v>86</v>
      </c>
      <c r="D290" t="s">
        <v>127</v>
      </c>
      <c r="E290">
        <v>8165000000</v>
      </c>
      <c r="F290">
        <v>831000000</v>
      </c>
      <c r="G290">
        <v>8996000000</v>
      </c>
      <c r="H290">
        <v>11114000000</v>
      </c>
      <c r="I290">
        <v>1242000000</v>
      </c>
      <c r="J290">
        <v>205000000</v>
      </c>
      <c r="K290">
        <v>7222000000</v>
      </c>
      <c r="L290">
        <v>6631000000</v>
      </c>
      <c r="M290">
        <v>17772000000</v>
      </c>
      <c r="N290">
        <v>0</v>
      </c>
      <c r="O290">
        <v>976000000</v>
      </c>
      <c r="P290">
        <v>11342000000</v>
      </c>
      <c r="Q290">
        <v>51836532470</v>
      </c>
      <c r="R290">
        <v>52812532470</v>
      </c>
    </row>
    <row r="291" spans="1:18" x14ac:dyDescent="0.25">
      <c r="A291" s="1" t="s">
        <v>1215</v>
      </c>
      <c r="B291">
        <v>53844289720</v>
      </c>
      <c r="C291" t="s">
        <v>86</v>
      </c>
      <c r="D291" t="s">
        <v>127</v>
      </c>
      <c r="E291">
        <v>8165000000</v>
      </c>
      <c r="F291">
        <v>831000000</v>
      </c>
      <c r="G291">
        <v>8996000000</v>
      </c>
      <c r="H291">
        <v>11114000000</v>
      </c>
      <c r="I291">
        <v>1242000000</v>
      </c>
      <c r="J291">
        <v>205000000</v>
      </c>
      <c r="K291">
        <v>7222000000</v>
      </c>
      <c r="L291">
        <v>6631000000</v>
      </c>
      <c r="M291">
        <v>17772000000</v>
      </c>
      <c r="N291">
        <v>0</v>
      </c>
      <c r="O291">
        <v>976000000</v>
      </c>
      <c r="P291">
        <v>11342000000</v>
      </c>
      <c r="Q291">
        <v>52275289720</v>
      </c>
      <c r="R291">
        <v>53251289720</v>
      </c>
    </row>
    <row r="292" spans="1:18" x14ac:dyDescent="0.25">
      <c r="A292" s="1" t="s">
        <v>1214</v>
      </c>
      <c r="B292">
        <v>57073543080</v>
      </c>
      <c r="C292" t="s">
        <v>86</v>
      </c>
      <c r="D292" t="s">
        <v>127</v>
      </c>
      <c r="E292">
        <v>8165000000</v>
      </c>
      <c r="F292">
        <v>831000000</v>
      </c>
      <c r="G292">
        <v>8996000000</v>
      </c>
      <c r="H292">
        <v>11114000000</v>
      </c>
      <c r="I292">
        <v>1242000000</v>
      </c>
      <c r="J292">
        <v>205000000</v>
      </c>
      <c r="K292">
        <v>7222000000</v>
      </c>
      <c r="L292">
        <v>6631000000</v>
      </c>
      <c r="M292">
        <v>17772000000</v>
      </c>
      <c r="N292">
        <v>0</v>
      </c>
      <c r="O292">
        <v>976000000</v>
      </c>
      <c r="P292">
        <v>11342000000</v>
      </c>
      <c r="Q292">
        <v>55504543080</v>
      </c>
      <c r="R292">
        <v>56480543080</v>
      </c>
    </row>
    <row r="293" spans="1:18" x14ac:dyDescent="0.25">
      <c r="A293" s="1" t="s">
        <v>1213</v>
      </c>
      <c r="B293">
        <v>57600051780</v>
      </c>
      <c r="C293" t="s">
        <v>86</v>
      </c>
      <c r="D293" t="s">
        <v>127</v>
      </c>
      <c r="E293">
        <v>8165000000</v>
      </c>
      <c r="F293">
        <v>831000000</v>
      </c>
      <c r="G293">
        <v>8996000000</v>
      </c>
      <c r="H293">
        <v>11114000000</v>
      </c>
      <c r="I293">
        <v>1242000000</v>
      </c>
      <c r="J293">
        <v>205000000</v>
      </c>
      <c r="K293">
        <v>7222000000</v>
      </c>
      <c r="L293">
        <v>6631000000</v>
      </c>
      <c r="M293">
        <v>17772000000</v>
      </c>
      <c r="N293">
        <v>0</v>
      </c>
      <c r="O293">
        <v>976000000</v>
      </c>
      <c r="P293">
        <v>11342000000</v>
      </c>
      <c r="Q293">
        <v>56031051780</v>
      </c>
      <c r="R293">
        <v>57007051780</v>
      </c>
    </row>
    <row r="294" spans="1:18" x14ac:dyDescent="0.25">
      <c r="A294" s="1" t="s">
        <v>1212</v>
      </c>
      <c r="B294">
        <v>59548133970</v>
      </c>
      <c r="C294" t="s">
        <v>86</v>
      </c>
      <c r="D294" t="s">
        <v>127</v>
      </c>
      <c r="E294">
        <v>8165000000</v>
      </c>
      <c r="F294">
        <v>831000000</v>
      </c>
      <c r="G294">
        <v>8996000000</v>
      </c>
      <c r="H294">
        <v>11114000000</v>
      </c>
      <c r="I294">
        <v>1242000000</v>
      </c>
      <c r="J294">
        <v>205000000</v>
      </c>
      <c r="K294">
        <v>7222000000</v>
      </c>
      <c r="L294">
        <v>6631000000</v>
      </c>
      <c r="M294">
        <v>17772000000</v>
      </c>
      <c r="N294">
        <v>0</v>
      </c>
      <c r="O294">
        <v>976000000</v>
      </c>
      <c r="P294">
        <v>11342000000</v>
      </c>
      <c r="Q294">
        <v>57979133970</v>
      </c>
      <c r="R294">
        <v>58955133970</v>
      </c>
    </row>
    <row r="295" spans="1:18" x14ac:dyDescent="0.25">
      <c r="A295" s="1" t="s">
        <v>1211</v>
      </c>
      <c r="B295">
        <v>58179211350</v>
      </c>
      <c r="C295" t="s">
        <v>86</v>
      </c>
      <c r="D295" t="s">
        <v>127</v>
      </c>
      <c r="E295">
        <v>8165000000</v>
      </c>
      <c r="F295">
        <v>831000000</v>
      </c>
      <c r="G295">
        <v>8996000000</v>
      </c>
      <c r="H295">
        <v>11114000000</v>
      </c>
      <c r="I295">
        <v>1242000000</v>
      </c>
      <c r="J295">
        <v>205000000</v>
      </c>
      <c r="K295">
        <v>7222000000</v>
      </c>
      <c r="L295">
        <v>6631000000</v>
      </c>
      <c r="M295">
        <v>17772000000</v>
      </c>
      <c r="N295">
        <v>0</v>
      </c>
      <c r="O295">
        <v>976000000</v>
      </c>
      <c r="P295">
        <v>11342000000</v>
      </c>
      <c r="Q295">
        <v>56610211350</v>
      </c>
      <c r="R295">
        <v>57586211350</v>
      </c>
    </row>
    <row r="296" spans="1:18" x14ac:dyDescent="0.25">
      <c r="A296" s="1" t="s">
        <v>1210</v>
      </c>
      <c r="B296">
        <v>58161661060</v>
      </c>
      <c r="C296" t="s">
        <v>86</v>
      </c>
      <c r="D296" t="s">
        <v>127</v>
      </c>
      <c r="E296">
        <v>8165000000</v>
      </c>
      <c r="F296">
        <v>831000000</v>
      </c>
      <c r="G296">
        <v>8996000000</v>
      </c>
      <c r="H296">
        <v>11114000000</v>
      </c>
      <c r="I296">
        <v>1242000000</v>
      </c>
      <c r="J296">
        <v>205000000</v>
      </c>
      <c r="K296">
        <v>7222000000</v>
      </c>
      <c r="L296">
        <v>6631000000</v>
      </c>
      <c r="M296">
        <v>17772000000</v>
      </c>
      <c r="N296">
        <v>0</v>
      </c>
      <c r="O296">
        <v>976000000</v>
      </c>
      <c r="P296">
        <v>11342000000</v>
      </c>
      <c r="Q296">
        <v>56592661060</v>
      </c>
      <c r="R296">
        <v>57568661060</v>
      </c>
    </row>
    <row r="297" spans="1:18" x14ac:dyDescent="0.25">
      <c r="A297" s="1" t="s">
        <v>1209</v>
      </c>
      <c r="B297">
        <v>55669519880</v>
      </c>
      <c r="C297" t="s">
        <v>86</v>
      </c>
      <c r="D297" t="s">
        <v>127</v>
      </c>
      <c r="E297">
        <v>8165000000</v>
      </c>
      <c r="F297">
        <v>831000000</v>
      </c>
      <c r="G297">
        <v>8996000000</v>
      </c>
      <c r="H297">
        <v>11114000000</v>
      </c>
      <c r="I297">
        <v>1242000000</v>
      </c>
      <c r="J297">
        <v>205000000</v>
      </c>
      <c r="K297">
        <v>7222000000</v>
      </c>
      <c r="L297">
        <v>6631000000</v>
      </c>
      <c r="M297">
        <v>17772000000</v>
      </c>
      <c r="N297">
        <v>0</v>
      </c>
      <c r="O297">
        <v>976000000</v>
      </c>
      <c r="P297">
        <v>11342000000</v>
      </c>
      <c r="Q297">
        <v>54100519880</v>
      </c>
      <c r="R297">
        <v>55076519880</v>
      </c>
    </row>
    <row r="298" spans="1:18" x14ac:dyDescent="0.25">
      <c r="A298" s="1" t="s">
        <v>1208</v>
      </c>
      <c r="B298">
        <v>54283046970</v>
      </c>
      <c r="C298" t="s">
        <v>86</v>
      </c>
      <c r="D298" t="s">
        <v>127</v>
      </c>
      <c r="E298">
        <v>8165000000</v>
      </c>
      <c r="F298">
        <v>831000000</v>
      </c>
      <c r="G298">
        <v>8996000000</v>
      </c>
      <c r="H298">
        <v>11114000000</v>
      </c>
      <c r="I298">
        <v>1242000000</v>
      </c>
      <c r="J298">
        <v>205000000</v>
      </c>
      <c r="K298">
        <v>7222000000</v>
      </c>
      <c r="L298">
        <v>6631000000</v>
      </c>
      <c r="M298">
        <v>17772000000</v>
      </c>
      <c r="N298">
        <v>0</v>
      </c>
      <c r="O298">
        <v>976000000</v>
      </c>
      <c r="P298">
        <v>11342000000</v>
      </c>
      <c r="Q298">
        <v>52714046970</v>
      </c>
      <c r="R298">
        <v>53690046970</v>
      </c>
    </row>
    <row r="299" spans="1:18" x14ac:dyDescent="0.25">
      <c r="A299" s="1" t="s">
        <v>1207</v>
      </c>
      <c r="B299">
        <v>57582501490</v>
      </c>
      <c r="C299" t="s">
        <v>86</v>
      </c>
      <c r="D299" t="s">
        <v>127</v>
      </c>
      <c r="E299">
        <v>8165000000</v>
      </c>
      <c r="F299">
        <v>831000000</v>
      </c>
      <c r="G299">
        <v>8996000000</v>
      </c>
      <c r="H299">
        <v>11114000000</v>
      </c>
      <c r="I299">
        <v>1242000000</v>
      </c>
      <c r="J299">
        <v>205000000</v>
      </c>
      <c r="K299">
        <v>7222000000</v>
      </c>
      <c r="L299">
        <v>6631000000</v>
      </c>
      <c r="M299">
        <v>17772000000</v>
      </c>
      <c r="N299">
        <v>0</v>
      </c>
      <c r="O299">
        <v>976000000</v>
      </c>
      <c r="P299">
        <v>11342000000</v>
      </c>
      <c r="Q299">
        <v>56013501490</v>
      </c>
      <c r="R299">
        <v>56989501490</v>
      </c>
    </row>
    <row r="300" spans="1:18" x14ac:dyDescent="0.25">
      <c r="A300" s="1" t="s">
        <v>1206</v>
      </c>
      <c r="B300">
        <v>56775188150</v>
      </c>
      <c r="C300" t="s">
        <v>86</v>
      </c>
      <c r="D300" t="s">
        <v>127</v>
      </c>
      <c r="E300">
        <v>8165000000</v>
      </c>
      <c r="F300">
        <v>831000000</v>
      </c>
      <c r="G300">
        <v>8996000000</v>
      </c>
      <c r="H300">
        <v>11114000000</v>
      </c>
      <c r="I300">
        <v>1242000000</v>
      </c>
      <c r="J300">
        <v>205000000</v>
      </c>
      <c r="K300">
        <v>7222000000</v>
      </c>
      <c r="L300">
        <v>6631000000</v>
      </c>
      <c r="M300">
        <v>17772000000</v>
      </c>
      <c r="N300">
        <v>0</v>
      </c>
      <c r="O300">
        <v>976000000</v>
      </c>
      <c r="P300">
        <v>11342000000</v>
      </c>
      <c r="Q300">
        <v>55206188150</v>
      </c>
      <c r="R300">
        <v>56182188150</v>
      </c>
    </row>
    <row r="301" spans="1:18" x14ac:dyDescent="0.25">
      <c r="A301" s="1" t="s">
        <v>1205</v>
      </c>
      <c r="B301">
        <v>57126193949</v>
      </c>
      <c r="C301" t="s">
        <v>86</v>
      </c>
      <c r="D301" t="s">
        <v>127</v>
      </c>
      <c r="E301">
        <v>8165000000</v>
      </c>
      <c r="F301">
        <v>831000000</v>
      </c>
      <c r="G301">
        <v>8996000000</v>
      </c>
      <c r="H301">
        <v>11114000000</v>
      </c>
      <c r="I301">
        <v>1242000000</v>
      </c>
      <c r="J301">
        <v>205000000</v>
      </c>
      <c r="K301">
        <v>7222000000</v>
      </c>
      <c r="L301">
        <v>6631000000</v>
      </c>
      <c r="M301">
        <v>17772000000</v>
      </c>
      <c r="N301">
        <v>0</v>
      </c>
      <c r="O301">
        <v>976000000</v>
      </c>
      <c r="P301">
        <v>11342000000</v>
      </c>
      <c r="Q301">
        <v>55557193949</v>
      </c>
      <c r="R301">
        <v>56533193949</v>
      </c>
    </row>
    <row r="302" spans="1:18" x14ac:dyDescent="0.25">
      <c r="A302" s="1" t="s">
        <v>1204</v>
      </c>
      <c r="B302">
        <v>59074276139</v>
      </c>
      <c r="C302" t="s">
        <v>86</v>
      </c>
      <c r="D302" t="s">
        <v>127</v>
      </c>
      <c r="E302">
        <v>8165000000</v>
      </c>
      <c r="F302">
        <v>831000000</v>
      </c>
      <c r="G302">
        <v>8996000000</v>
      </c>
      <c r="H302">
        <v>11114000000</v>
      </c>
      <c r="I302">
        <v>1242000000</v>
      </c>
      <c r="J302">
        <v>205000000</v>
      </c>
      <c r="K302">
        <v>7222000000</v>
      </c>
      <c r="L302">
        <v>6631000000</v>
      </c>
      <c r="M302">
        <v>17772000000</v>
      </c>
      <c r="N302">
        <v>0</v>
      </c>
      <c r="O302">
        <v>976000000</v>
      </c>
      <c r="P302">
        <v>11342000000</v>
      </c>
      <c r="Q302">
        <v>57505276139</v>
      </c>
      <c r="R302">
        <v>58481276139</v>
      </c>
    </row>
    <row r="303" spans="1:18" x14ac:dyDescent="0.25">
      <c r="A303" s="1" t="s">
        <v>1203</v>
      </c>
      <c r="B303">
        <v>57126193949</v>
      </c>
      <c r="C303" t="s">
        <v>86</v>
      </c>
      <c r="D303" t="s">
        <v>127</v>
      </c>
      <c r="E303">
        <v>8165000000</v>
      </c>
      <c r="F303">
        <v>831000000</v>
      </c>
      <c r="G303">
        <v>8996000000</v>
      </c>
      <c r="H303">
        <v>11114000000</v>
      </c>
      <c r="I303">
        <v>1242000000</v>
      </c>
      <c r="J303">
        <v>205000000</v>
      </c>
      <c r="K303">
        <v>7222000000</v>
      </c>
      <c r="L303">
        <v>6631000000</v>
      </c>
      <c r="M303">
        <v>17772000000</v>
      </c>
      <c r="N303">
        <v>0</v>
      </c>
      <c r="O303">
        <v>976000000</v>
      </c>
      <c r="P303">
        <v>11342000000</v>
      </c>
      <c r="Q303">
        <v>55557193949</v>
      </c>
      <c r="R303">
        <v>56533193949</v>
      </c>
    </row>
    <row r="304" spans="1:18" x14ac:dyDescent="0.25">
      <c r="A304" s="1" t="s">
        <v>1202</v>
      </c>
      <c r="B304">
        <v>57319247139</v>
      </c>
      <c r="C304" t="s">
        <v>86</v>
      </c>
      <c r="D304" t="s">
        <v>127</v>
      </c>
      <c r="E304">
        <v>8165000000</v>
      </c>
      <c r="F304">
        <v>831000000</v>
      </c>
      <c r="G304">
        <v>8996000000</v>
      </c>
      <c r="H304">
        <v>11114000000</v>
      </c>
      <c r="I304">
        <v>1242000000</v>
      </c>
      <c r="J304">
        <v>205000000</v>
      </c>
      <c r="K304">
        <v>7222000000</v>
      </c>
      <c r="L304">
        <v>6631000000</v>
      </c>
      <c r="M304">
        <v>17772000000</v>
      </c>
      <c r="N304">
        <v>0</v>
      </c>
      <c r="O304">
        <v>976000000</v>
      </c>
      <c r="P304">
        <v>11342000000</v>
      </c>
      <c r="Q304">
        <v>55750247139</v>
      </c>
      <c r="R304">
        <v>56726247139</v>
      </c>
    </row>
    <row r="305" spans="1:18" x14ac:dyDescent="0.25">
      <c r="A305" s="1" t="s">
        <v>1201</v>
      </c>
      <c r="B305">
        <v>56459282930</v>
      </c>
      <c r="C305" t="s">
        <v>86</v>
      </c>
      <c r="D305" t="s">
        <v>127</v>
      </c>
      <c r="E305">
        <v>8165000000</v>
      </c>
      <c r="F305">
        <v>831000000</v>
      </c>
      <c r="G305">
        <v>8996000000</v>
      </c>
      <c r="H305">
        <v>11114000000</v>
      </c>
      <c r="I305">
        <v>1242000000</v>
      </c>
      <c r="J305">
        <v>205000000</v>
      </c>
      <c r="K305">
        <v>7222000000</v>
      </c>
      <c r="L305">
        <v>6631000000</v>
      </c>
      <c r="M305">
        <v>17772000000</v>
      </c>
      <c r="N305">
        <v>0</v>
      </c>
      <c r="O305">
        <v>976000000</v>
      </c>
      <c r="P305">
        <v>11342000000</v>
      </c>
      <c r="Q305">
        <v>54890282930</v>
      </c>
      <c r="R305">
        <v>55866282930</v>
      </c>
    </row>
    <row r="306" spans="1:18" x14ac:dyDescent="0.25">
      <c r="A306" s="1" t="s">
        <v>1200</v>
      </c>
      <c r="B306">
        <v>54721804220</v>
      </c>
      <c r="C306" t="s">
        <v>86</v>
      </c>
      <c r="D306" t="s">
        <v>127</v>
      </c>
      <c r="E306">
        <v>8165000000</v>
      </c>
      <c r="F306">
        <v>831000000</v>
      </c>
      <c r="G306">
        <v>8996000000</v>
      </c>
      <c r="H306">
        <v>11114000000</v>
      </c>
      <c r="I306">
        <v>1242000000</v>
      </c>
      <c r="J306">
        <v>205000000</v>
      </c>
      <c r="K306">
        <v>7222000000</v>
      </c>
      <c r="L306">
        <v>6631000000</v>
      </c>
      <c r="M306">
        <v>17772000000</v>
      </c>
      <c r="N306">
        <v>0</v>
      </c>
      <c r="O306">
        <v>976000000</v>
      </c>
      <c r="P306">
        <v>11342000000</v>
      </c>
      <c r="Q306">
        <v>53152804220</v>
      </c>
      <c r="R306">
        <v>54128804220</v>
      </c>
    </row>
    <row r="307" spans="1:18" x14ac:dyDescent="0.25">
      <c r="A307" s="1" t="s">
        <v>1199</v>
      </c>
      <c r="B307">
        <v>54388348710</v>
      </c>
      <c r="C307" t="s">
        <v>86</v>
      </c>
      <c r="D307" t="s">
        <v>127</v>
      </c>
      <c r="E307">
        <v>8165000000</v>
      </c>
      <c r="F307">
        <v>831000000</v>
      </c>
      <c r="G307">
        <v>8996000000</v>
      </c>
      <c r="H307">
        <v>11114000000</v>
      </c>
      <c r="I307">
        <v>1242000000</v>
      </c>
      <c r="J307">
        <v>205000000</v>
      </c>
      <c r="K307">
        <v>7222000000</v>
      </c>
      <c r="L307">
        <v>6631000000</v>
      </c>
      <c r="M307">
        <v>17772000000</v>
      </c>
      <c r="N307">
        <v>0</v>
      </c>
      <c r="O307">
        <v>976000000</v>
      </c>
      <c r="P307">
        <v>11342000000</v>
      </c>
      <c r="Q307">
        <v>52819348710</v>
      </c>
      <c r="R307">
        <v>53795348710</v>
      </c>
    </row>
    <row r="308" spans="1:18" x14ac:dyDescent="0.25">
      <c r="A308" s="1" t="s">
        <v>1198</v>
      </c>
      <c r="B308">
        <v>54072443490</v>
      </c>
      <c r="C308" t="s">
        <v>86</v>
      </c>
      <c r="D308" t="s">
        <v>127</v>
      </c>
      <c r="E308">
        <v>8165000000</v>
      </c>
      <c r="F308">
        <v>831000000</v>
      </c>
      <c r="G308">
        <v>8996000000</v>
      </c>
      <c r="H308">
        <v>11114000000</v>
      </c>
      <c r="I308">
        <v>1242000000</v>
      </c>
      <c r="J308">
        <v>205000000</v>
      </c>
      <c r="K308">
        <v>7222000000</v>
      </c>
      <c r="L308">
        <v>6631000000</v>
      </c>
      <c r="M308">
        <v>17772000000</v>
      </c>
      <c r="N308">
        <v>0</v>
      </c>
      <c r="O308">
        <v>976000000</v>
      </c>
      <c r="P308">
        <v>11342000000</v>
      </c>
      <c r="Q308">
        <v>52503443490</v>
      </c>
      <c r="R308">
        <v>53479443490</v>
      </c>
    </row>
    <row r="309" spans="1:18" x14ac:dyDescent="0.25">
      <c r="A309" s="1" t="s">
        <v>1197</v>
      </c>
      <c r="B309">
        <v>54440999580</v>
      </c>
      <c r="C309" t="s">
        <v>86</v>
      </c>
      <c r="D309" t="s">
        <v>127</v>
      </c>
      <c r="E309">
        <v>8165000000</v>
      </c>
      <c r="F309">
        <v>831000000</v>
      </c>
      <c r="G309">
        <v>8996000000</v>
      </c>
      <c r="H309">
        <v>11114000000</v>
      </c>
      <c r="I309">
        <v>1242000000</v>
      </c>
      <c r="J309">
        <v>205000000</v>
      </c>
      <c r="K309">
        <v>7222000000</v>
      </c>
      <c r="L309">
        <v>6631000000</v>
      </c>
      <c r="M309">
        <v>17772000000</v>
      </c>
      <c r="N309">
        <v>0</v>
      </c>
      <c r="O309">
        <v>976000000</v>
      </c>
      <c r="P309">
        <v>11342000000</v>
      </c>
      <c r="Q309">
        <v>52871999580</v>
      </c>
      <c r="R309">
        <v>53847999580</v>
      </c>
    </row>
    <row r="310" spans="1:18" x14ac:dyDescent="0.25">
      <c r="A310" s="1" t="s">
        <v>1196</v>
      </c>
      <c r="B310">
        <v>53072076960</v>
      </c>
      <c r="C310" t="s">
        <v>86</v>
      </c>
      <c r="D310" t="s">
        <v>127</v>
      </c>
      <c r="E310">
        <v>8165000000</v>
      </c>
      <c r="F310">
        <v>831000000</v>
      </c>
      <c r="G310">
        <v>8996000000</v>
      </c>
      <c r="H310">
        <v>11114000000</v>
      </c>
      <c r="I310">
        <v>1242000000</v>
      </c>
      <c r="J310">
        <v>205000000</v>
      </c>
      <c r="K310">
        <v>7222000000</v>
      </c>
      <c r="L310">
        <v>6631000000</v>
      </c>
      <c r="M310">
        <v>17772000000</v>
      </c>
      <c r="N310">
        <v>0</v>
      </c>
      <c r="O310">
        <v>976000000</v>
      </c>
      <c r="P310">
        <v>11342000000</v>
      </c>
      <c r="Q310">
        <v>51503076960</v>
      </c>
      <c r="R310">
        <v>52479076960</v>
      </c>
    </row>
    <row r="311" spans="1:18" x14ac:dyDescent="0.25">
      <c r="A311" s="1" t="s">
        <v>1195</v>
      </c>
      <c r="B311">
        <v>53107177540</v>
      </c>
      <c r="C311" t="s">
        <v>86</v>
      </c>
      <c r="D311" t="s">
        <v>127</v>
      </c>
      <c r="E311">
        <v>8165000000</v>
      </c>
      <c r="F311">
        <v>831000000</v>
      </c>
      <c r="G311">
        <v>8996000000</v>
      </c>
      <c r="H311">
        <v>11114000000</v>
      </c>
      <c r="I311">
        <v>1242000000</v>
      </c>
      <c r="J311">
        <v>205000000</v>
      </c>
      <c r="K311">
        <v>7222000000</v>
      </c>
      <c r="L311">
        <v>6631000000</v>
      </c>
      <c r="M311">
        <v>17772000000</v>
      </c>
      <c r="N311">
        <v>0</v>
      </c>
      <c r="O311">
        <v>976000000</v>
      </c>
      <c r="P311">
        <v>11342000000</v>
      </c>
      <c r="Q311">
        <v>51538177540</v>
      </c>
      <c r="R311">
        <v>52514177540</v>
      </c>
    </row>
    <row r="312" spans="1:18" x14ac:dyDescent="0.25">
      <c r="A312" s="1" t="s">
        <v>1194</v>
      </c>
      <c r="B312">
        <v>54739354510</v>
      </c>
      <c r="C312" t="s">
        <v>86</v>
      </c>
      <c r="D312" t="s">
        <v>127</v>
      </c>
      <c r="E312">
        <v>8165000000</v>
      </c>
      <c r="F312">
        <v>831000000</v>
      </c>
      <c r="G312">
        <v>8996000000</v>
      </c>
      <c r="H312">
        <v>11114000000</v>
      </c>
      <c r="I312">
        <v>1242000000</v>
      </c>
      <c r="J312">
        <v>205000000</v>
      </c>
      <c r="K312">
        <v>7222000000</v>
      </c>
      <c r="L312">
        <v>6631000000</v>
      </c>
      <c r="M312">
        <v>17772000000</v>
      </c>
      <c r="N312">
        <v>0</v>
      </c>
      <c r="O312">
        <v>976000000</v>
      </c>
      <c r="P312">
        <v>11342000000</v>
      </c>
      <c r="Q312">
        <v>53170354510</v>
      </c>
      <c r="R312">
        <v>54146354510</v>
      </c>
    </row>
    <row r="313" spans="1:18" x14ac:dyDescent="0.25">
      <c r="A313" s="1" t="s">
        <v>1193</v>
      </c>
      <c r="B313">
        <v>57354347720</v>
      </c>
      <c r="C313" t="s">
        <v>86</v>
      </c>
      <c r="D313" t="s">
        <v>127</v>
      </c>
      <c r="E313">
        <v>8165000000</v>
      </c>
      <c r="F313">
        <v>831000000</v>
      </c>
      <c r="G313">
        <v>8996000000</v>
      </c>
      <c r="H313">
        <v>11114000000</v>
      </c>
      <c r="I313">
        <v>1242000000</v>
      </c>
      <c r="J313">
        <v>205000000</v>
      </c>
      <c r="K313">
        <v>7222000000</v>
      </c>
      <c r="L313">
        <v>6631000000</v>
      </c>
      <c r="M313">
        <v>17772000000</v>
      </c>
      <c r="N313">
        <v>0</v>
      </c>
      <c r="O313">
        <v>976000000</v>
      </c>
      <c r="P313">
        <v>11342000000</v>
      </c>
      <c r="Q313">
        <v>55785347720</v>
      </c>
      <c r="R313">
        <v>56761347720</v>
      </c>
    </row>
    <row r="314" spans="1:18" x14ac:dyDescent="0.25">
      <c r="A314" s="1" t="s">
        <v>1192</v>
      </c>
      <c r="B314">
        <v>58266962800</v>
      </c>
      <c r="C314" t="s">
        <v>86</v>
      </c>
      <c r="D314" t="s">
        <v>127</v>
      </c>
      <c r="E314">
        <v>8165000000</v>
      </c>
      <c r="F314">
        <v>831000000</v>
      </c>
      <c r="G314">
        <v>8996000000</v>
      </c>
      <c r="H314">
        <v>11114000000</v>
      </c>
      <c r="I314">
        <v>1242000000</v>
      </c>
      <c r="J314">
        <v>205000000</v>
      </c>
      <c r="K314">
        <v>7222000000</v>
      </c>
      <c r="L314">
        <v>6631000000</v>
      </c>
      <c r="M314">
        <v>17772000000</v>
      </c>
      <c r="N314">
        <v>0</v>
      </c>
      <c r="O314">
        <v>976000000</v>
      </c>
      <c r="P314">
        <v>11342000000</v>
      </c>
      <c r="Q314">
        <v>56697962800</v>
      </c>
      <c r="R314">
        <v>57673962800</v>
      </c>
    </row>
    <row r="315" spans="1:18" x14ac:dyDescent="0.25">
      <c r="A315" s="1" t="s">
        <v>134</v>
      </c>
      <c r="B315">
        <v>60917056590</v>
      </c>
      <c r="C315" t="s">
        <v>86</v>
      </c>
      <c r="D315" t="s">
        <v>127</v>
      </c>
      <c r="E315">
        <v>8165000000</v>
      </c>
      <c r="F315">
        <v>831000000</v>
      </c>
      <c r="G315">
        <v>8996000000</v>
      </c>
      <c r="H315">
        <v>11114000000</v>
      </c>
      <c r="I315">
        <v>1242000000</v>
      </c>
      <c r="J315">
        <v>205000000</v>
      </c>
      <c r="K315">
        <v>7222000000</v>
      </c>
      <c r="L315">
        <v>6631000000</v>
      </c>
      <c r="M315">
        <v>17772000000</v>
      </c>
      <c r="N315">
        <v>0</v>
      </c>
      <c r="O315">
        <v>976000000</v>
      </c>
      <c r="P315">
        <v>11342000000</v>
      </c>
      <c r="Q315">
        <v>59348056590</v>
      </c>
      <c r="R315">
        <v>60324056590</v>
      </c>
    </row>
    <row r="316" spans="1:18" x14ac:dyDescent="0.25">
      <c r="A316" s="1" t="s">
        <v>1191</v>
      </c>
      <c r="B316">
        <v>57740454100</v>
      </c>
      <c r="C316" t="s">
        <v>85</v>
      </c>
      <c r="D316" t="s">
        <v>127</v>
      </c>
      <c r="E316">
        <v>6754000000</v>
      </c>
      <c r="F316">
        <v>1033000000</v>
      </c>
      <c r="G316">
        <v>7787000000</v>
      </c>
      <c r="H316">
        <v>9662000000</v>
      </c>
      <c r="I316">
        <v>1148000000</v>
      </c>
      <c r="J316">
        <v>188000000</v>
      </c>
      <c r="K316">
        <v>8216000000</v>
      </c>
      <c r="L316">
        <v>5891000000</v>
      </c>
      <c r="M316">
        <v>17719000000</v>
      </c>
      <c r="N316">
        <v>0</v>
      </c>
      <c r="O316">
        <v>971000000</v>
      </c>
      <c r="P316">
        <v>9550000000</v>
      </c>
      <c r="Q316">
        <v>58357454100</v>
      </c>
      <c r="R316">
        <v>59328454100</v>
      </c>
    </row>
    <row r="317" spans="1:18" x14ac:dyDescent="0.25">
      <c r="A317" s="1" t="s">
        <v>1190</v>
      </c>
      <c r="B317">
        <v>56634785830</v>
      </c>
      <c r="C317" t="s">
        <v>85</v>
      </c>
      <c r="D317" t="s">
        <v>127</v>
      </c>
      <c r="E317">
        <v>6754000000</v>
      </c>
      <c r="F317">
        <v>1033000000</v>
      </c>
      <c r="G317">
        <v>7787000000</v>
      </c>
      <c r="H317">
        <v>9662000000</v>
      </c>
      <c r="I317">
        <v>1148000000</v>
      </c>
      <c r="J317">
        <v>188000000</v>
      </c>
      <c r="K317">
        <v>8216000000</v>
      </c>
      <c r="L317">
        <v>5891000000</v>
      </c>
      <c r="M317">
        <v>17719000000</v>
      </c>
      <c r="N317">
        <v>0</v>
      </c>
      <c r="O317">
        <v>971000000</v>
      </c>
      <c r="P317">
        <v>9550000000</v>
      </c>
      <c r="Q317">
        <v>57251785830</v>
      </c>
      <c r="R317">
        <v>58222785830</v>
      </c>
    </row>
    <row r="318" spans="1:18" x14ac:dyDescent="0.25">
      <c r="A318" s="1" t="s">
        <v>1189</v>
      </c>
      <c r="B318">
        <v>54774455090</v>
      </c>
      <c r="C318" t="s">
        <v>85</v>
      </c>
      <c r="D318" t="s">
        <v>127</v>
      </c>
      <c r="E318">
        <v>6754000000</v>
      </c>
      <c r="F318">
        <v>1033000000</v>
      </c>
      <c r="G318">
        <v>7787000000</v>
      </c>
      <c r="H318">
        <v>9662000000</v>
      </c>
      <c r="I318">
        <v>1148000000</v>
      </c>
      <c r="J318">
        <v>188000000</v>
      </c>
      <c r="K318">
        <v>8216000000</v>
      </c>
      <c r="L318">
        <v>5891000000</v>
      </c>
      <c r="M318">
        <v>17719000000</v>
      </c>
      <c r="N318">
        <v>0</v>
      </c>
      <c r="O318">
        <v>971000000</v>
      </c>
      <c r="P318">
        <v>9550000000</v>
      </c>
      <c r="Q318">
        <v>55391455090</v>
      </c>
      <c r="R318">
        <v>56362455090</v>
      </c>
    </row>
    <row r="319" spans="1:18" x14ac:dyDescent="0.25">
      <c r="A319" s="1" t="s">
        <v>1188</v>
      </c>
      <c r="B319">
        <v>54125094360</v>
      </c>
      <c r="C319" t="s">
        <v>85</v>
      </c>
      <c r="D319" t="s">
        <v>127</v>
      </c>
      <c r="E319">
        <v>6754000000</v>
      </c>
      <c r="F319">
        <v>1033000000</v>
      </c>
      <c r="G319">
        <v>7787000000</v>
      </c>
      <c r="H319">
        <v>9662000000</v>
      </c>
      <c r="I319">
        <v>1148000000</v>
      </c>
      <c r="J319">
        <v>188000000</v>
      </c>
      <c r="K319">
        <v>8216000000</v>
      </c>
      <c r="L319">
        <v>5891000000</v>
      </c>
      <c r="M319">
        <v>17719000000</v>
      </c>
      <c r="N319">
        <v>0</v>
      </c>
      <c r="O319">
        <v>971000000</v>
      </c>
      <c r="P319">
        <v>9550000000</v>
      </c>
      <c r="Q319">
        <v>54742094360</v>
      </c>
      <c r="R319">
        <v>55713094360</v>
      </c>
    </row>
    <row r="320" spans="1:18" x14ac:dyDescent="0.25">
      <c r="A320" s="1" t="s">
        <v>1187</v>
      </c>
      <c r="B320">
        <v>53458183340</v>
      </c>
      <c r="C320" t="s">
        <v>85</v>
      </c>
      <c r="D320" t="s">
        <v>127</v>
      </c>
      <c r="E320">
        <v>6754000000</v>
      </c>
      <c r="F320">
        <v>1033000000</v>
      </c>
      <c r="G320">
        <v>7787000000</v>
      </c>
      <c r="H320">
        <v>9662000000</v>
      </c>
      <c r="I320">
        <v>1148000000</v>
      </c>
      <c r="J320">
        <v>188000000</v>
      </c>
      <c r="K320">
        <v>8216000000</v>
      </c>
      <c r="L320">
        <v>5891000000</v>
      </c>
      <c r="M320">
        <v>17719000000</v>
      </c>
      <c r="N320">
        <v>0</v>
      </c>
      <c r="O320">
        <v>971000000</v>
      </c>
      <c r="P320">
        <v>9550000000</v>
      </c>
      <c r="Q320">
        <v>54075183340</v>
      </c>
      <c r="R320">
        <v>55046183340</v>
      </c>
    </row>
    <row r="321" spans="1:18" x14ac:dyDescent="0.25">
      <c r="A321" s="1" t="s">
        <v>1186</v>
      </c>
      <c r="B321">
        <v>52633319710</v>
      </c>
      <c r="C321" t="s">
        <v>85</v>
      </c>
      <c r="D321" t="s">
        <v>127</v>
      </c>
      <c r="E321">
        <v>6754000000</v>
      </c>
      <c r="F321">
        <v>1033000000</v>
      </c>
      <c r="G321">
        <v>7787000000</v>
      </c>
      <c r="H321">
        <v>9662000000</v>
      </c>
      <c r="I321">
        <v>1148000000</v>
      </c>
      <c r="J321">
        <v>188000000</v>
      </c>
      <c r="K321">
        <v>8216000000</v>
      </c>
      <c r="L321">
        <v>5891000000</v>
      </c>
      <c r="M321">
        <v>17719000000</v>
      </c>
      <c r="N321">
        <v>0</v>
      </c>
      <c r="O321">
        <v>971000000</v>
      </c>
      <c r="P321">
        <v>9550000000</v>
      </c>
      <c r="Q321">
        <v>53250319710</v>
      </c>
      <c r="R321">
        <v>54221319710</v>
      </c>
    </row>
    <row r="322" spans="1:18" x14ac:dyDescent="0.25">
      <c r="A322" s="1" t="s">
        <v>1185</v>
      </c>
      <c r="B322">
        <v>51738254920</v>
      </c>
      <c r="C322" t="s">
        <v>85</v>
      </c>
      <c r="D322" t="s">
        <v>127</v>
      </c>
      <c r="E322">
        <v>6754000000</v>
      </c>
      <c r="F322">
        <v>1033000000</v>
      </c>
      <c r="G322">
        <v>7787000000</v>
      </c>
      <c r="H322">
        <v>9662000000</v>
      </c>
      <c r="I322">
        <v>1148000000</v>
      </c>
      <c r="J322">
        <v>188000000</v>
      </c>
      <c r="K322">
        <v>8216000000</v>
      </c>
      <c r="L322">
        <v>5891000000</v>
      </c>
      <c r="M322">
        <v>17719000000</v>
      </c>
      <c r="N322">
        <v>0</v>
      </c>
      <c r="O322">
        <v>971000000</v>
      </c>
      <c r="P322">
        <v>9550000000</v>
      </c>
      <c r="Q322">
        <v>52355254920</v>
      </c>
      <c r="R322">
        <v>53326254920</v>
      </c>
    </row>
    <row r="323" spans="1:18" x14ac:dyDescent="0.25">
      <c r="A323" s="1" t="s">
        <v>1184</v>
      </c>
      <c r="B323">
        <v>52791272320</v>
      </c>
      <c r="C323" t="s">
        <v>85</v>
      </c>
      <c r="D323" t="s">
        <v>127</v>
      </c>
      <c r="E323">
        <v>6754000000</v>
      </c>
      <c r="F323">
        <v>1033000000</v>
      </c>
      <c r="G323">
        <v>7787000000</v>
      </c>
      <c r="H323">
        <v>9662000000</v>
      </c>
      <c r="I323">
        <v>1148000000</v>
      </c>
      <c r="J323">
        <v>188000000</v>
      </c>
      <c r="K323">
        <v>8216000000</v>
      </c>
      <c r="L323">
        <v>5891000000</v>
      </c>
      <c r="M323">
        <v>17719000000</v>
      </c>
      <c r="N323">
        <v>0</v>
      </c>
      <c r="O323">
        <v>971000000</v>
      </c>
      <c r="P323">
        <v>9550000000</v>
      </c>
      <c r="Q323">
        <v>53408272320</v>
      </c>
      <c r="R323">
        <v>54379272320</v>
      </c>
    </row>
    <row r="324" spans="1:18" x14ac:dyDescent="0.25">
      <c r="A324" s="1" t="s">
        <v>1183</v>
      </c>
      <c r="B324">
        <v>51632953180</v>
      </c>
      <c r="C324" t="s">
        <v>85</v>
      </c>
      <c r="D324" t="s">
        <v>127</v>
      </c>
      <c r="E324">
        <v>6754000000</v>
      </c>
      <c r="F324">
        <v>1033000000</v>
      </c>
      <c r="G324">
        <v>7787000000</v>
      </c>
      <c r="H324">
        <v>9662000000</v>
      </c>
      <c r="I324">
        <v>1148000000</v>
      </c>
      <c r="J324">
        <v>188000000</v>
      </c>
      <c r="K324">
        <v>8216000000</v>
      </c>
      <c r="L324">
        <v>5891000000</v>
      </c>
      <c r="M324">
        <v>17719000000</v>
      </c>
      <c r="N324">
        <v>0</v>
      </c>
      <c r="O324">
        <v>971000000</v>
      </c>
      <c r="P324">
        <v>9550000000</v>
      </c>
      <c r="Q324">
        <v>52249953180</v>
      </c>
      <c r="R324">
        <v>53220953180</v>
      </c>
    </row>
    <row r="325" spans="1:18" x14ac:dyDescent="0.25">
      <c r="A325" s="1" t="s">
        <v>1182</v>
      </c>
      <c r="B325">
        <v>55125460890</v>
      </c>
      <c r="C325" t="s">
        <v>85</v>
      </c>
      <c r="D325" t="s">
        <v>127</v>
      </c>
      <c r="E325">
        <v>6754000000</v>
      </c>
      <c r="F325">
        <v>1033000000</v>
      </c>
      <c r="G325">
        <v>7787000000</v>
      </c>
      <c r="H325">
        <v>9662000000</v>
      </c>
      <c r="I325">
        <v>1148000000</v>
      </c>
      <c r="J325">
        <v>188000000</v>
      </c>
      <c r="K325">
        <v>8216000000</v>
      </c>
      <c r="L325">
        <v>5891000000</v>
      </c>
      <c r="M325">
        <v>17719000000</v>
      </c>
      <c r="N325">
        <v>0</v>
      </c>
      <c r="O325">
        <v>971000000</v>
      </c>
      <c r="P325">
        <v>9550000000</v>
      </c>
      <c r="Q325">
        <v>55742460890</v>
      </c>
      <c r="R325">
        <v>56713460890</v>
      </c>
    </row>
    <row r="326" spans="1:18" x14ac:dyDescent="0.25">
      <c r="A326" s="1" t="s">
        <v>1181</v>
      </c>
      <c r="B326">
        <v>54107544070</v>
      </c>
      <c r="C326" t="s">
        <v>85</v>
      </c>
      <c r="D326" t="s">
        <v>127</v>
      </c>
      <c r="E326">
        <v>6754000000</v>
      </c>
      <c r="F326">
        <v>1033000000</v>
      </c>
      <c r="G326">
        <v>7787000000</v>
      </c>
      <c r="H326">
        <v>9662000000</v>
      </c>
      <c r="I326">
        <v>1148000000</v>
      </c>
      <c r="J326">
        <v>188000000</v>
      </c>
      <c r="K326">
        <v>8216000000</v>
      </c>
      <c r="L326">
        <v>5891000000</v>
      </c>
      <c r="M326">
        <v>17719000000</v>
      </c>
      <c r="N326">
        <v>0</v>
      </c>
      <c r="O326">
        <v>971000000</v>
      </c>
      <c r="P326">
        <v>9550000000</v>
      </c>
      <c r="Q326">
        <v>54724544070</v>
      </c>
      <c r="R326">
        <v>55695544070</v>
      </c>
    </row>
    <row r="327" spans="1:18" x14ac:dyDescent="0.25">
      <c r="A327" s="1" t="s">
        <v>1180</v>
      </c>
      <c r="B327">
        <v>54476100160</v>
      </c>
      <c r="C327" t="s">
        <v>85</v>
      </c>
      <c r="D327" t="s">
        <v>127</v>
      </c>
      <c r="E327">
        <v>6754000000</v>
      </c>
      <c r="F327">
        <v>1033000000</v>
      </c>
      <c r="G327">
        <v>7787000000</v>
      </c>
      <c r="H327">
        <v>9662000000</v>
      </c>
      <c r="I327">
        <v>1148000000</v>
      </c>
      <c r="J327">
        <v>188000000</v>
      </c>
      <c r="K327">
        <v>8216000000</v>
      </c>
      <c r="L327">
        <v>5891000000</v>
      </c>
      <c r="M327">
        <v>17719000000</v>
      </c>
      <c r="N327">
        <v>0</v>
      </c>
      <c r="O327">
        <v>971000000</v>
      </c>
      <c r="P327">
        <v>9550000000</v>
      </c>
      <c r="Q327">
        <v>55093100160</v>
      </c>
      <c r="R327">
        <v>56064100160</v>
      </c>
    </row>
    <row r="328" spans="1:18" x14ac:dyDescent="0.25">
      <c r="A328" s="1" t="s">
        <v>1179</v>
      </c>
      <c r="B328">
        <v>54739354510</v>
      </c>
      <c r="C328" t="s">
        <v>85</v>
      </c>
      <c r="D328" t="s">
        <v>127</v>
      </c>
      <c r="E328">
        <v>6754000000</v>
      </c>
      <c r="F328">
        <v>1033000000</v>
      </c>
      <c r="G328">
        <v>7787000000</v>
      </c>
      <c r="H328">
        <v>9662000000</v>
      </c>
      <c r="I328">
        <v>1148000000</v>
      </c>
      <c r="J328">
        <v>188000000</v>
      </c>
      <c r="K328">
        <v>8216000000</v>
      </c>
      <c r="L328">
        <v>5891000000</v>
      </c>
      <c r="M328">
        <v>17719000000</v>
      </c>
      <c r="N328">
        <v>0</v>
      </c>
      <c r="O328">
        <v>971000000</v>
      </c>
      <c r="P328">
        <v>9550000000</v>
      </c>
      <c r="Q328">
        <v>55356354510</v>
      </c>
      <c r="R328">
        <v>56327354510</v>
      </c>
    </row>
    <row r="329" spans="1:18" x14ac:dyDescent="0.25">
      <c r="A329" s="1" t="s">
        <v>1178</v>
      </c>
      <c r="B329">
        <v>56687436699</v>
      </c>
      <c r="C329" t="s">
        <v>85</v>
      </c>
      <c r="D329" t="s">
        <v>127</v>
      </c>
      <c r="E329">
        <v>6754000000</v>
      </c>
      <c r="F329">
        <v>1033000000</v>
      </c>
      <c r="G329">
        <v>7787000000</v>
      </c>
      <c r="H329">
        <v>9662000000</v>
      </c>
      <c r="I329">
        <v>1148000000</v>
      </c>
      <c r="J329">
        <v>188000000</v>
      </c>
      <c r="K329">
        <v>8216000000</v>
      </c>
      <c r="L329">
        <v>5891000000</v>
      </c>
      <c r="M329">
        <v>17719000000</v>
      </c>
      <c r="N329">
        <v>0</v>
      </c>
      <c r="O329">
        <v>971000000</v>
      </c>
      <c r="P329">
        <v>9550000000</v>
      </c>
      <c r="Q329">
        <v>57304436699</v>
      </c>
      <c r="R329">
        <v>58275436699</v>
      </c>
    </row>
    <row r="330" spans="1:18" x14ac:dyDescent="0.25">
      <c r="A330" s="1" t="s">
        <v>1177</v>
      </c>
      <c r="B330">
        <v>57564951199</v>
      </c>
      <c r="C330" t="s">
        <v>85</v>
      </c>
      <c r="D330" t="s">
        <v>127</v>
      </c>
      <c r="E330">
        <v>6754000000</v>
      </c>
      <c r="F330">
        <v>1033000000</v>
      </c>
      <c r="G330">
        <v>7787000000</v>
      </c>
      <c r="H330">
        <v>9662000000</v>
      </c>
      <c r="I330">
        <v>1148000000</v>
      </c>
      <c r="J330">
        <v>188000000</v>
      </c>
      <c r="K330">
        <v>8216000000</v>
      </c>
      <c r="L330">
        <v>5891000000</v>
      </c>
      <c r="M330">
        <v>17719000000</v>
      </c>
      <c r="N330">
        <v>0</v>
      </c>
      <c r="O330">
        <v>971000000</v>
      </c>
      <c r="P330">
        <v>9550000000</v>
      </c>
      <c r="Q330">
        <v>58181951199</v>
      </c>
      <c r="R330">
        <v>59152951199</v>
      </c>
    </row>
    <row r="331" spans="1:18" x14ac:dyDescent="0.25">
      <c r="A331" s="1" t="s">
        <v>1176</v>
      </c>
      <c r="B331">
        <v>59319980199</v>
      </c>
      <c r="C331" t="s">
        <v>85</v>
      </c>
      <c r="D331" t="s">
        <v>127</v>
      </c>
      <c r="E331">
        <v>6754000000</v>
      </c>
      <c r="F331">
        <v>1033000000</v>
      </c>
      <c r="G331">
        <v>7787000000</v>
      </c>
      <c r="H331">
        <v>9662000000</v>
      </c>
      <c r="I331">
        <v>1148000000</v>
      </c>
      <c r="J331">
        <v>188000000</v>
      </c>
      <c r="K331">
        <v>8216000000</v>
      </c>
      <c r="L331">
        <v>5891000000</v>
      </c>
      <c r="M331">
        <v>17719000000</v>
      </c>
      <c r="N331">
        <v>0</v>
      </c>
      <c r="O331">
        <v>971000000</v>
      </c>
      <c r="P331">
        <v>9550000000</v>
      </c>
      <c r="Q331">
        <v>59936980199</v>
      </c>
      <c r="R331">
        <v>60907980199</v>
      </c>
    </row>
    <row r="332" spans="1:18" x14ac:dyDescent="0.25">
      <c r="A332" s="1" t="s">
        <v>1175</v>
      </c>
      <c r="B332">
        <v>59021625270</v>
      </c>
      <c r="C332" t="s">
        <v>85</v>
      </c>
      <c r="D332" t="s">
        <v>127</v>
      </c>
      <c r="E332">
        <v>6754000000</v>
      </c>
      <c r="F332">
        <v>1033000000</v>
      </c>
      <c r="G332">
        <v>7787000000</v>
      </c>
      <c r="H332">
        <v>9662000000</v>
      </c>
      <c r="I332">
        <v>1148000000</v>
      </c>
      <c r="J332">
        <v>188000000</v>
      </c>
      <c r="K332">
        <v>8216000000</v>
      </c>
      <c r="L332">
        <v>5891000000</v>
      </c>
      <c r="M332">
        <v>17719000000</v>
      </c>
      <c r="N332">
        <v>0</v>
      </c>
      <c r="O332">
        <v>971000000</v>
      </c>
      <c r="P332">
        <v>9550000000</v>
      </c>
      <c r="Q332">
        <v>59638625270</v>
      </c>
      <c r="R332">
        <v>60609625270</v>
      </c>
    </row>
    <row r="333" spans="1:18" x14ac:dyDescent="0.25">
      <c r="A333" s="1" t="s">
        <v>1174</v>
      </c>
      <c r="B333">
        <v>60197494699</v>
      </c>
      <c r="C333" t="s">
        <v>85</v>
      </c>
      <c r="D333" t="s">
        <v>127</v>
      </c>
      <c r="E333">
        <v>6754000000</v>
      </c>
      <c r="F333">
        <v>1033000000</v>
      </c>
      <c r="G333">
        <v>7787000000</v>
      </c>
      <c r="H333">
        <v>9662000000</v>
      </c>
      <c r="I333">
        <v>1148000000</v>
      </c>
      <c r="J333">
        <v>188000000</v>
      </c>
      <c r="K333">
        <v>8216000000</v>
      </c>
      <c r="L333">
        <v>5891000000</v>
      </c>
      <c r="M333">
        <v>17719000000</v>
      </c>
      <c r="N333">
        <v>0</v>
      </c>
      <c r="O333">
        <v>971000000</v>
      </c>
      <c r="P333">
        <v>9550000000</v>
      </c>
      <c r="Q333">
        <v>60814494699</v>
      </c>
      <c r="R333">
        <v>61785494699</v>
      </c>
    </row>
    <row r="334" spans="1:18" x14ac:dyDescent="0.25">
      <c r="A334" s="1" t="s">
        <v>1173</v>
      </c>
      <c r="B334">
        <v>60320346729</v>
      </c>
      <c r="C334" t="s">
        <v>85</v>
      </c>
      <c r="D334" t="s">
        <v>127</v>
      </c>
      <c r="E334">
        <v>6754000000</v>
      </c>
      <c r="F334">
        <v>1033000000</v>
      </c>
      <c r="G334">
        <v>7787000000</v>
      </c>
      <c r="H334">
        <v>9662000000</v>
      </c>
      <c r="I334">
        <v>1148000000</v>
      </c>
      <c r="J334">
        <v>188000000</v>
      </c>
      <c r="K334">
        <v>8216000000</v>
      </c>
      <c r="L334">
        <v>5891000000</v>
      </c>
      <c r="M334">
        <v>17719000000</v>
      </c>
      <c r="N334">
        <v>0</v>
      </c>
      <c r="O334">
        <v>971000000</v>
      </c>
      <c r="P334">
        <v>9550000000</v>
      </c>
      <c r="Q334">
        <v>60937346729</v>
      </c>
      <c r="R334">
        <v>61908346729</v>
      </c>
    </row>
    <row r="335" spans="1:18" x14ac:dyDescent="0.25">
      <c r="A335" s="1" t="s">
        <v>1172</v>
      </c>
      <c r="B335">
        <v>58635518889</v>
      </c>
      <c r="C335" t="s">
        <v>85</v>
      </c>
      <c r="D335" t="s">
        <v>127</v>
      </c>
      <c r="E335">
        <v>6754000000</v>
      </c>
      <c r="F335">
        <v>1033000000</v>
      </c>
      <c r="G335">
        <v>7787000000</v>
      </c>
      <c r="H335">
        <v>9662000000</v>
      </c>
      <c r="I335">
        <v>1148000000</v>
      </c>
      <c r="J335">
        <v>188000000</v>
      </c>
      <c r="K335">
        <v>8216000000</v>
      </c>
      <c r="L335">
        <v>5891000000</v>
      </c>
      <c r="M335">
        <v>17719000000</v>
      </c>
      <c r="N335">
        <v>0</v>
      </c>
      <c r="O335">
        <v>971000000</v>
      </c>
      <c r="P335">
        <v>9550000000</v>
      </c>
      <c r="Q335">
        <v>59252518889</v>
      </c>
      <c r="R335">
        <v>60223518889</v>
      </c>
    </row>
    <row r="336" spans="1:18" x14ac:dyDescent="0.25">
      <c r="A336" s="1" t="s">
        <v>1171</v>
      </c>
      <c r="B336">
        <v>58337163960</v>
      </c>
      <c r="C336" t="s">
        <v>85</v>
      </c>
      <c r="D336" t="s">
        <v>127</v>
      </c>
      <c r="E336">
        <v>6754000000</v>
      </c>
      <c r="F336">
        <v>1033000000</v>
      </c>
      <c r="G336">
        <v>7787000000</v>
      </c>
      <c r="H336">
        <v>9662000000</v>
      </c>
      <c r="I336">
        <v>1148000000</v>
      </c>
      <c r="J336">
        <v>188000000</v>
      </c>
      <c r="K336">
        <v>8216000000</v>
      </c>
      <c r="L336">
        <v>5891000000</v>
      </c>
      <c r="M336">
        <v>17719000000</v>
      </c>
      <c r="N336">
        <v>0</v>
      </c>
      <c r="O336">
        <v>971000000</v>
      </c>
      <c r="P336">
        <v>9550000000</v>
      </c>
      <c r="Q336">
        <v>58954163960</v>
      </c>
      <c r="R336">
        <v>59925163960</v>
      </c>
    </row>
    <row r="337" spans="1:18" x14ac:dyDescent="0.25">
      <c r="A337" s="1" t="s">
        <v>1170</v>
      </c>
      <c r="B337">
        <v>60232595280</v>
      </c>
      <c r="C337" t="s">
        <v>85</v>
      </c>
      <c r="D337" t="s">
        <v>127</v>
      </c>
      <c r="E337">
        <v>6754000000</v>
      </c>
      <c r="F337">
        <v>1033000000</v>
      </c>
      <c r="G337">
        <v>7787000000</v>
      </c>
      <c r="H337">
        <v>9662000000</v>
      </c>
      <c r="I337">
        <v>1148000000</v>
      </c>
      <c r="J337">
        <v>188000000</v>
      </c>
      <c r="K337">
        <v>8216000000</v>
      </c>
      <c r="L337">
        <v>5891000000</v>
      </c>
      <c r="M337">
        <v>17719000000</v>
      </c>
      <c r="N337">
        <v>0</v>
      </c>
      <c r="O337">
        <v>971000000</v>
      </c>
      <c r="P337">
        <v>9550000000</v>
      </c>
      <c r="Q337">
        <v>60849595280</v>
      </c>
      <c r="R337">
        <v>61820595280</v>
      </c>
    </row>
    <row r="338" spans="1:18" x14ac:dyDescent="0.25">
      <c r="A338" s="1" t="s">
        <v>1169</v>
      </c>
      <c r="B338">
        <v>61443565290</v>
      </c>
      <c r="C338" t="s">
        <v>85</v>
      </c>
      <c r="D338" t="s">
        <v>127</v>
      </c>
      <c r="E338">
        <v>6754000000</v>
      </c>
      <c r="F338">
        <v>1033000000</v>
      </c>
      <c r="G338">
        <v>7787000000</v>
      </c>
      <c r="H338">
        <v>9662000000</v>
      </c>
      <c r="I338">
        <v>1148000000</v>
      </c>
      <c r="J338">
        <v>188000000</v>
      </c>
      <c r="K338">
        <v>8216000000</v>
      </c>
      <c r="L338">
        <v>5891000000</v>
      </c>
      <c r="M338">
        <v>17719000000</v>
      </c>
      <c r="N338">
        <v>0</v>
      </c>
      <c r="O338">
        <v>971000000</v>
      </c>
      <c r="P338">
        <v>9550000000</v>
      </c>
      <c r="Q338">
        <v>62060565290</v>
      </c>
      <c r="R338">
        <v>63031565290</v>
      </c>
    </row>
    <row r="339" spans="1:18" x14ac:dyDescent="0.25">
      <c r="A339" s="1" t="s">
        <v>1168</v>
      </c>
      <c r="B339">
        <v>63145943419</v>
      </c>
      <c r="C339" t="s">
        <v>85</v>
      </c>
      <c r="D339" t="s">
        <v>127</v>
      </c>
      <c r="E339">
        <v>6754000000</v>
      </c>
      <c r="F339">
        <v>1033000000</v>
      </c>
      <c r="G339">
        <v>7787000000</v>
      </c>
      <c r="H339">
        <v>9662000000</v>
      </c>
      <c r="I339">
        <v>1148000000</v>
      </c>
      <c r="J339">
        <v>188000000</v>
      </c>
      <c r="K339">
        <v>8216000000</v>
      </c>
      <c r="L339">
        <v>5891000000</v>
      </c>
      <c r="M339">
        <v>17719000000</v>
      </c>
      <c r="N339">
        <v>0</v>
      </c>
      <c r="O339">
        <v>971000000</v>
      </c>
      <c r="P339">
        <v>9550000000</v>
      </c>
      <c r="Q339">
        <v>63762943419</v>
      </c>
      <c r="R339">
        <v>64733943419</v>
      </c>
    </row>
    <row r="340" spans="1:18" x14ac:dyDescent="0.25">
      <c r="A340" s="1" t="s">
        <v>1167</v>
      </c>
      <c r="B340">
        <v>64900972419</v>
      </c>
      <c r="C340" t="s">
        <v>85</v>
      </c>
      <c r="D340" t="s">
        <v>127</v>
      </c>
      <c r="E340">
        <v>6754000000</v>
      </c>
      <c r="F340">
        <v>1033000000</v>
      </c>
      <c r="G340">
        <v>7787000000</v>
      </c>
      <c r="H340">
        <v>9662000000</v>
      </c>
      <c r="I340">
        <v>1148000000</v>
      </c>
      <c r="J340">
        <v>188000000</v>
      </c>
      <c r="K340">
        <v>8216000000</v>
      </c>
      <c r="L340">
        <v>5891000000</v>
      </c>
      <c r="M340">
        <v>17719000000</v>
      </c>
      <c r="N340">
        <v>0</v>
      </c>
      <c r="O340">
        <v>971000000</v>
      </c>
      <c r="P340">
        <v>9550000000</v>
      </c>
      <c r="Q340">
        <v>65517972419</v>
      </c>
      <c r="R340">
        <v>66488972419</v>
      </c>
    </row>
    <row r="341" spans="1:18" x14ac:dyDescent="0.25">
      <c r="A341" s="1" t="s">
        <v>1166</v>
      </c>
      <c r="B341">
        <v>66603350550</v>
      </c>
      <c r="C341" t="s">
        <v>85</v>
      </c>
      <c r="D341" t="s">
        <v>127</v>
      </c>
      <c r="E341">
        <v>6754000000</v>
      </c>
      <c r="F341">
        <v>1033000000</v>
      </c>
      <c r="G341">
        <v>7787000000</v>
      </c>
      <c r="H341">
        <v>9662000000</v>
      </c>
      <c r="I341">
        <v>1148000000</v>
      </c>
      <c r="J341">
        <v>188000000</v>
      </c>
      <c r="K341">
        <v>8216000000</v>
      </c>
      <c r="L341">
        <v>5891000000</v>
      </c>
      <c r="M341">
        <v>17719000000</v>
      </c>
      <c r="N341">
        <v>0</v>
      </c>
      <c r="O341">
        <v>971000000</v>
      </c>
      <c r="P341">
        <v>9550000000</v>
      </c>
      <c r="Q341">
        <v>67220350550</v>
      </c>
      <c r="R341">
        <v>68191350550</v>
      </c>
    </row>
    <row r="342" spans="1:18" x14ac:dyDescent="0.25">
      <c r="A342" s="1" t="s">
        <v>1165</v>
      </c>
      <c r="B342">
        <v>65760936630</v>
      </c>
      <c r="C342" t="s">
        <v>85</v>
      </c>
      <c r="D342" t="s">
        <v>127</v>
      </c>
      <c r="E342">
        <v>6754000000</v>
      </c>
      <c r="F342">
        <v>1033000000</v>
      </c>
      <c r="G342">
        <v>7787000000</v>
      </c>
      <c r="H342">
        <v>9662000000</v>
      </c>
      <c r="I342">
        <v>1148000000</v>
      </c>
      <c r="J342">
        <v>188000000</v>
      </c>
      <c r="K342">
        <v>8216000000</v>
      </c>
      <c r="L342">
        <v>5891000000</v>
      </c>
      <c r="M342">
        <v>17719000000</v>
      </c>
      <c r="N342">
        <v>0</v>
      </c>
      <c r="O342">
        <v>971000000</v>
      </c>
      <c r="P342">
        <v>9550000000</v>
      </c>
      <c r="Q342">
        <v>66377936630</v>
      </c>
      <c r="R342">
        <v>67348936630</v>
      </c>
    </row>
    <row r="343" spans="1:18" x14ac:dyDescent="0.25">
      <c r="A343" s="1" t="s">
        <v>1164</v>
      </c>
      <c r="B343">
        <v>66094392139</v>
      </c>
      <c r="C343" t="s">
        <v>85</v>
      </c>
      <c r="D343" t="s">
        <v>127</v>
      </c>
      <c r="E343">
        <v>6754000000</v>
      </c>
      <c r="F343">
        <v>1033000000</v>
      </c>
      <c r="G343">
        <v>7787000000</v>
      </c>
      <c r="H343">
        <v>9662000000</v>
      </c>
      <c r="I343">
        <v>1148000000</v>
      </c>
      <c r="J343">
        <v>188000000</v>
      </c>
      <c r="K343">
        <v>8216000000</v>
      </c>
      <c r="L343">
        <v>5891000000</v>
      </c>
      <c r="M343">
        <v>17719000000</v>
      </c>
      <c r="N343">
        <v>0</v>
      </c>
      <c r="O343">
        <v>971000000</v>
      </c>
      <c r="P343">
        <v>9550000000</v>
      </c>
      <c r="Q343">
        <v>66711392139</v>
      </c>
      <c r="R343">
        <v>67682392139</v>
      </c>
    </row>
    <row r="344" spans="1:18" x14ac:dyDescent="0.25">
      <c r="A344" s="1" t="s">
        <v>1163</v>
      </c>
      <c r="B344">
        <v>65041374740</v>
      </c>
      <c r="C344" t="s">
        <v>85</v>
      </c>
      <c r="D344" t="s">
        <v>127</v>
      </c>
      <c r="E344">
        <v>6754000000</v>
      </c>
      <c r="F344">
        <v>1033000000</v>
      </c>
      <c r="G344">
        <v>7787000000</v>
      </c>
      <c r="H344">
        <v>9662000000</v>
      </c>
      <c r="I344">
        <v>1148000000</v>
      </c>
      <c r="J344">
        <v>188000000</v>
      </c>
      <c r="K344">
        <v>8216000000</v>
      </c>
      <c r="L344">
        <v>5891000000</v>
      </c>
      <c r="M344">
        <v>17719000000</v>
      </c>
      <c r="N344">
        <v>0</v>
      </c>
      <c r="O344">
        <v>971000000</v>
      </c>
      <c r="P344">
        <v>9550000000</v>
      </c>
      <c r="Q344">
        <v>65658374740</v>
      </c>
      <c r="R344">
        <v>66629374740</v>
      </c>
    </row>
    <row r="345" spans="1:18" x14ac:dyDescent="0.25">
      <c r="A345" s="1" t="s">
        <v>1162</v>
      </c>
      <c r="B345">
        <v>65146676479</v>
      </c>
      <c r="C345" t="s">
        <v>85</v>
      </c>
      <c r="D345" t="s">
        <v>127</v>
      </c>
      <c r="E345">
        <v>6754000000</v>
      </c>
      <c r="F345">
        <v>1033000000</v>
      </c>
      <c r="G345">
        <v>7787000000</v>
      </c>
      <c r="H345">
        <v>9662000000</v>
      </c>
      <c r="I345">
        <v>1148000000</v>
      </c>
      <c r="J345">
        <v>188000000</v>
      </c>
      <c r="K345">
        <v>8216000000</v>
      </c>
      <c r="L345">
        <v>5891000000</v>
      </c>
      <c r="M345">
        <v>17719000000</v>
      </c>
      <c r="N345">
        <v>0</v>
      </c>
      <c r="O345">
        <v>971000000</v>
      </c>
      <c r="P345">
        <v>9550000000</v>
      </c>
      <c r="Q345">
        <v>65763676479</v>
      </c>
      <c r="R345">
        <v>66734676479</v>
      </c>
    </row>
    <row r="346" spans="1:18" x14ac:dyDescent="0.25">
      <c r="A346" s="1" t="s">
        <v>1161</v>
      </c>
      <c r="B346">
        <v>64041008210</v>
      </c>
      <c r="C346" t="s">
        <v>85</v>
      </c>
      <c r="D346" t="s">
        <v>127</v>
      </c>
      <c r="E346">
        <v>6754000000</v>
      </c>
      <c r="F346">
        <v>1033000000</v>
      </c>
      <c r="G346">
        <v>7787000000</v>
      </c>
      <c r="H346">
        <v>9662000000</v>
      </c>
      <c r="I346">
        <v>1148000000</v>
      </c>
      <c r="J346">
        <v>188000000</v>
      </c>
      <c r="K346">
        <v>8216000000</v>
      </c>
      <c r="L346">
        <v>5891000000</v>
      </c>
      <c r="M346">
        <v>17719000000</v>
      </c>
      <c r="N346">
        <v>0</v>
      </c>
      <c r="O346">
        <v>971000000</v>
      </c>
      <c r="P346">
        <v>9550000000</v>
      </c>
      <c r="Q346">
        <v>64658008210</v>
      </c>
      <c r="R346">
        <v>65629008210</v>
      </c>
    </row>
    <row r="347" spans="1:18" x14ac:dyDescent="0.25">
      <c r="A347" s="1" t="s">
        <v>1160</v>
      </c>
      <c r="B347">
        <v>60372997600</v>
      </c>
      <c r="C347" t="s">
        <v>85</v>
      </c>
      <c r="D347" t="s">
        <v>127</v>
      </c>
      <c r="E347">
        <v>6754000000</v>
      </c>
      <c r="F347">
        <v>1033000000</v>
      </c>
      <c r="G347">
        <v>7787000000</v>
      </c>
      <c r="H347">
        <v>9662000000</v>
      </c>
      <c r="I347">
        <v>1148000000</v>
      </c>
      <c r="J347">
        <v>188000000</v>
      </c>
      <c r="K347">
        <v>8216000000</v>
      </c>
      <c r="L347">
        <v>5891000000</v>
      </c>
      <c r="M347">
        <v>17719000000</v>
      </c>
      <c r="N347">
        <v>0</v>
      </c>
      <c r="O347">
        <v>971000000</v>
      </c>
      <c r="P347">
        <v>9550000000</v>
      </c>
      <c r="Q347">
        <v>60989997600</v>
      </c>
      <c r="R347">
        <v>61960997600</v>
      </c>
    </row>
    <row r="348" spans="1:18" x14ac:dyDescent="0.25">
      <c r="A348" s="1" t="s">
        <v>1159</v>
      </c>
      <c r="B348">
        <v>58881222949</v>
      </c>
      <c r="C348" t="s">
        <v>85</v>
      </c>
      <c r="D348" t="s">
        <v>127</v>
      </c>
      <c r="E348">
        <v>6754000000</v>
      </c>
      <c r="F348">
        <v>1033000000</v>
      </c>
      <c r="G348">
        <v>7787000000</v>
      </c>
      <c r="H348">
        <v>9662000000</v>
      </c>
      <c r="I348">
        <v>1148000000</v>
      </c>
      <c r="J348">
        <v>188000000</v>
      </c>
      <c r="K348">
        <v>8216000000</v>
      </c>
      <c r="L348">
        <v>5891000000</v>
      </c>
      <c r="M348">
        <v>17719000000</v>
      </c>
      <c r="N348">
        <v>0</v>
      </c>
      <c r="O348">
        <v>971000000</v>
      </c>
      <c r="P348">
        <v>9550000000</v>
      </c>
      <c r="Q348">
        <v>59498222949</v>
      </c>
      <c r="R348">
        <v>60469222949</v>
      </c>
    </row>
    <row r="349" spans="1:18" x14ac:dyDescent="0.25">
      <c r="A349" s="1" t="s">
        <v>1158</v>
      </c>
      <c r="B349">
        <v>58530217150</v>
      </c>
      <c r="C349" t="s">
        <v>85</v>
      </c>
      <c r="D349" t="s">
        <v>127</v>
      </c>
      <c r="E349">
        <v>6754000000</v>
      </c>
      <c r="F349">
        <v>1033000000</v>
      </c>
      <c r="G349">
        <v>7787000000</v>
      </c>
      <c r="H349">
        <v>9662000000</v>
      </c>
      <c r="I349">
        <v>1148000000</v>
      </c>
      <c r="J349">
        <v>188000000</v>
      </c>
      <c r="K349">
        <v>8216000000</v>
      </c>
      <c r="L349">
        <v>5891000000</v>
      </c>
      <c r="M349">
        <v>17719000000</v>
      </c>
      <c r="N349">
        <v>0</v>
      </c>
      <c r="O349">
        <v>971000000</v>
      </c>
      <c r="P349">
        <v>9550000000</v>
      </c>
      <c r="Q349">
        <v>59147217150</v>
      </c>
      <c r="R349">
        <v>60118217150</v>
      </c>
    </row>
    <row r="350" spans="1:18" x14ac:dyDescent="0.25">
      <c r="A350" s="1" t="s">
        <v>1157</v>
      </c>
      <c r="B350">
        <v>60478299340</v>
      </c>
      <c r="C350" t="s">
        <v>85</v>
      </c>
      <c r="D350" t="s">
        <v>127</v>
      </c>
      <c r="E350">
        <v>6754000000</v>
      </c>
      <c r="F350">
        <v>1033000000</v>
      </c>
      <c r="G350">
        <v>7787000000</v>
      </c>
      <c r="H350">
        <v>9662000000</v>
      </c>
      <c r="I350">
        <v>1148000000</v>
      </c>
      <c r="J350">
        <v>188000000</v>
      </c>
      <c r="K350">
        <v>8216000000</v>
      </c>
      <c r="L350">
        <v>5891000000</v>
      </c>
      <c r="M350">
        <v>17719000000</v>
      </c>
      <c r="N350">
        <v>0</v>
      </c>
      <c r="O350">
        <v>971000000</v>
      </c>
      <c r="P350">
        <v>9550000000</v>
      </c>
      <c r="Q350">
        <v>61095299340</v>
      </c>
      <c r="R350">
        <v>62066299340</v>
      </c>
    </row>
    <row r="351" spans="1:18" x14ac:dyDescent="0.25">
      <c r="A351" s="1" t="s">
        <v>1156</v>
      </c>
      <c r="B351">
        <v>62408831240</v>
      </c>
      <c r="C351" t="s">
        <v>85</v>
      </c>
      <c r="D351" t="s">
        <v>127</v>
      </c>
      <c r="E351">
        <v>6754000000</v>
      </c>
      <c r="F351">
        <v>1033000000</v>
      </c>
      <c r="G351">
        <v>7787000000</v>
      </c>
      <c r="H351">
        <v>9662000000</v>
      </c>
      <c r="I351">
        <v>1148000000</v>
      </c>
      <c r="J351">
        <v>188000000</v>
      </c>
      <c r="K351">
        <v>8216000000</v>
      </c>
      <c r="L351">
        <v>5891000000</v>
      </c>
      <c r="M351">
        <v>17719000000</v>
      </c>
      <c r="N351">
        <v>0</v>
      </c>
      <c r="O351">
        <v>971000000</v>
      </c>
      <c r="P351">
        <v>9550000000</v>
      </c>
      <c r="Q351">
        <v>63025831240</v>
      </c>
      <c r="R351">
        <v>63996831240</v>
      </c>
    </row>
    <row r="352" spans="1:18" x14ac:dyDescent="0.25">
      <c r="A352" s="1" t="s">
        <v>1155</v>
      </c>
      <c r="B352">
        <v>62180677470</v>
      </c>
      <c r="C352" t="s">
        <v>85</v>
      </c>
      <c r="D352" t="s">
        <v>127</v>
      </c>
      <c r="E352">
        <v>6754000000</v>
      </c>
      <c r="F352">
        <v>1033000000</v>
      </c>
      <c r="G352">
        <v>7787000000</v>
      </c>
      <c r="H352">
        <v>9662000000</v>
      </c>
      <c r="I352">
        <v>1148000000</v>
      </c>
      <c r="J352">
        <v>188000000</v>
      </c>
      <c r="K352">
        <v>8216000000</v>
      </c>
      <c r="L352">
        <v>5891000000</v>
      </c>
      <c r="M352">
        <v>17719000000</v>
      </c>
      <c r="N352">
        <v>0</v>
      </c>
      <c r="O352">
        <v>971000000</v>
      </c>
      <c r="P352">
        <v>9550000000</v>
      </c>
      <c r="Q352">
        <v>62797677470</v>
      </c>
      <c r="R352">
        <v>63768677470</v>
      </c>
    </row>
    <row r="353" spans="1:18" x14ac:dyDescent="0.25">
      <c r="A353" s="1" t="s">
        <v>84</v>
      </c>
      <c r="B353">
        <v>65080611730</v>
      </c>
      <c r="C353" t="s">
        <v>85</v>
      </c>
      <c r="D353" t="s">
        <v>127</v>
      </c>
      <c r="E353">
        <v>6754000000</v>
      </c>
      <c r="F353">
        <v>1033000000</v>
      </c>
      <c r="G353">
        <v>7787000000</v>
      </c>
      <c r="H353">
        <v>9662000000</v>
      </c>
      <c r="I353">
        <v>1148000000</v>
      </c>
      <c r="J353">
        <v>188000000</v>
      </c>
      <c r="K353">
        <v>8216000000</v>
      </c>
      <c r="L353">
        <v>5891000000</v>
      </c>
      <c r="M353">
        <v>17719000000</v>
      </c>
      <c r="N353">
        <v>0</v>
      </c>
      <c r="O353">
        <v>971000000</v>
      </c>
      <c r="P353">
        <v>9550000000</v>
      </c>
      <c r="Q353">
        <v>65697611730</v>
      </c>
      <c r="R353">
        <v>66668611730</v>
      </c>
    </row>
    <row r="354" spans="1:18" x14ac:dyDescent="0.25">
      <c r="A354" s="1" t="s">
        <v>1154</v>
      </c>
      <c r="B354">
        <v>66258057008</v>
      </c>
      <c r="C354" t="s">
        <v>85</v>
      </c>
      <c r="D354" t="s">
        <v>127</v>
      </c>
      <c r="E354">
        <v>6754000000</v>
      </c>
      <c r="F354">
        <v>1033000000</v>
      </c>
      <c r="G354">
        <v>7787000000</v>
      </c>
      <c r="H354">
        <v>9662000000</v>
      </c>
      <c r="I354">
        <v>1148000000</v>
      </c>
      <c r="J354">
        <v>188000000</v>
      </c>
      <c r="K354">
        <v>8216000000</v>
      </c>
      <c r="L354">
        <v>5891000000</v>
      </c>
      <c r="M354">
        <v>17719000000</v>
      </c>
      <c r="N354">
        <v>0</v>
      </c>
      <c r="O354">
        <v>971000000</v>
      </c>
      <c r="P354">
        <v>9550000000</v>
      </c>
      <c r="Q354">
        <v>66875057008</v>
      </c>
      <c r="R354">
        <v>67846057008</v>
      </c>
    </row>
    <row r="355" spans="1:18" x14ac:dyDescent="0.25">
      <c r="A355" s="1" t="s">
        <v>1153</v>
      </c>
      <c r="B355">
        <v>67292781646</v>
      </c>
      <c r="C355" t="s">
        <v>85</v>
      </c>
      <c r="D355" t="s">
        <v>127</v>
      </c>
      <c r="E355">
        <v>6754000000</v>
      </c>
      <c r="F355">
        <v>1033000000</v>
      </c>
      <c r="G355">
        <v>7787000000</v>
      </c>
      <c r="H355">
        <v>9662000000</v>
      </c>
      <c r="I355">
        <v>1148000000</v>
      </c>
      <c r="J355">
        <v>188000000</v>
      </c>
      <c r="K355">
        <v>8216000000</v>
      </c>
      <c r="L355">
        <v>5891000000</v>
      </c>
      <c r="M355">
        <v>17719000000</v>
      </c>
      <c r="N355">
        <v>0</v>
      </c>
      <c r="O355">
        <v>971000000</v>
      </c>
      <c r="P355">
        <v>9550000000</v>
      </c>
      <c r="Q355">
        <v>67909781646</v>
      </c>
      <c r="R355">
        <v>68880781646</v>
      </c>
    </row>
    <row r="356" spans="1:18" x14ac:dyDescent="0.25">
      <c r="A356" s="1" t="s">
        <v>1152</v>
      </c>
      <c r="B356">
        <v>66258057008</v>
      </c>
      <c r="C356" t="s">
        <v>85</v>
      </c>
      <c r="D356" t="s">
        <v>127</v>
      </c>
      <c r="E356">
        <v>6754000000</v>
      </c>
      <c r="F356">
        <v>1033000000</v>
      </c>
      <c r="G356">
        <v>7787000000</v>
      </c>
      <c r="H356">
        <v>9662000000</v>
      </c>
      <c r="I356">
        <v>1148000000</v>
      </c>
      <c r="J356">
        <v>188000000</v>
      </c>
      <c r="K356">
        <v>8216000000</v>
      </c>
      <c r="L356">
        <v>5891000000</v>
      </c>
      <c r="M356">
        <v>17719000000</v>
      </c>
      <c r="N356">
        <v>0</v>
      </c>
      <c r="O356">
        <v>971000000</v>
      </c>
      <c r="P356">
        <v>9550000000</v>
      </c>
      <c r="Q356">
        <v>66875057008</v>
      </c>
      <c r="R356">
        <v>67846057008</v>
      </c>
    </row>
    <row r="357" spans="1:18" x14ac:dyDescent="0.25">
      <c r="A357" s="1" t="s">
        <v>1151</v>
      </c>
      <c r="B357">
        <v>64688129971</v>
      </c>
      <c r="C357" t="s">
        <v>85</v>
      </c>
      <c r="D357" t="s">
        <v>127</v>
      </c>
      <c r="E357">
        <v>6754000000</v>
      </c>
      <c r="F357">
        <v>1033000000</v>
      </c>
      <c r="G357">
        <v>7787000000</v>
      </c>
      <c r="H357">
        <v>9662000000</v>
      </c>
      <c r="I357">
        <v>1148000000</v>
      </c>
      <c r="J357">
        <v>188000000</v>
      </c>
      <c r="K357">
        <v>8216000000</v>
      </c>
      <c r="L357">
        <v>5891000000</v>
      </c>
      <c r="M357">
        <v>17719000000</v>
      </c>
      <c r="N357">
        <v>0</v>
      </c>
      <c r="O357">
        <v>971000000</v>
      </c>
      <c r="P357">
        <v>9550000000</v>
      </c>
      <c r="Q357">
        <v>65305129971</v>
      </c>
      <c r="R357">
        <v>66276129971</v>
      </c>
    </row>
    <row r="358" spans="1:18" x14ac:dyDescent="0.25">
      <c r="A358" s="1" t="s">
        <v>1150</v>
      </c>
      <c r="B358">
        <v>65615814129</v>
      </c>
      <c r="C358" t="s">
        <v>85</v>
      </c>
      <c r="D358" t="s">
        <v>127</v>
      </c>
      <c r="E358">
        <v>6754000000</v>
      </c>
      <c r="F358">
        <v>1033000000</v>
      </c>
      <c r="G358">
        <v>7787000000</v>
      </c>
      <c r="H358">
        <v>9662000000</v>
      </c>
      <c r="I358">
        <v>1148000000</v>
      </c>
      <c r="J358">
        <v>188000000</v>
      </c>
      <c r="K358">
        <v>8216000000</v>
      </c>
      <c r="L358">
        <v>5891000000</v>
      </c>
      <c r="M358">
        <v>17719000000</v>
      </c>
      <c r="N358">
        <v>0</v>
      </c>
      <c r="O358">
        <v>971000000</v>
      </c>
      <c r="P358">
        <v>9550000000</v>
      </c>
      <c r="Q358">
        <v>66232814129</v>
      </c>
      <c r="R358">
        <v>67203814129</v>
      </c>
    </row>
    <row r="359" spans="1:18" x14ac:dyDescent="0.25">
      <c r="A359" s="1" t="s">
        <v>1149</v>
      </c>
      <c r="B359">
        <v>66614858607</v>
      </c>
      <c r="C359" t="s">
        <v>85</v>
      </c>
      <c r="D359" t="s">
        <v>127</v>
      </c>
      <c r="E359">
        <v>6754000000</v>
      </c>
      <c r="F359">
        <v>1033000000</v>
      </c>
      <c r="G359">
        <v>7787000000</v>
      </c>
      <c r="H359">
        <v>9662000000</v>
      </c>
      <c r="I359">
        <v>1148000000</v>
      </c>
      <c r="J359">
        <v>188000000</v>
      </c>
      <c r="K359">
        <v>8216000000</v>
      </c>
      <c r="L359">
        <v>5891000000</v>
      </c>
      <c r="M359">
        <v>17719000000</v>
      </c>
      <c r="N359">
        <v>0</v>
      </c>
      <c r="O359">
        <v>971000000</v>
      </c>
      <c r="P359">
        <v>9550000000</v>
      </c>
      <c r="Q359">
        <v>67231858607</v>
      </c>
      <c r="R359">
        <v>68202858607</v>
      </c>
    </row>
    <row r="360" spans="1:18" x14ac:dyDescent="0.25">
      <c r="A360" s="1" t="s">
        <v>1148</v>
      </c>
      <c r="B360">
        <v>66489978048</v>
      </c>
      <c r="C360" t="s">
        <v>85</v>
      </c>
      <c r="D360" t="s">
        <v>127</v>
      </c>
      <c r="E360">
        <v>6754000000</v>
      </c>
      <c r="F360">
        <v>1033000000</v>
      </c>
      <c r="G360">
        <v>7787000000</v>
      </c>
      <c r="H360">
        <v>9662000000</v>
      </c>
      <c r="I360">
        <v>1148000000</v>
      </c>
      <c r="J360">
        <v>188000000</v>
      </c>
      <c r="K360">
        <v>8216000000</v>
      </c>
      <c r="L360">
        <v>5891000000</v>
      </c>
      <c r="M360">
        <v>17719000000</v>
      </c>
      <c r="N360">
        <v>0</v>
      </c>
      <c r="O360">
        <v>971000000</v>
      </c>
      <c r="P360">
        <v>9550000000</v>
      </c>
      <c r="Q360">
        <v>67106978048</v>
      </c>
      <c r="R360">
        <v>68077978048</v>
      </c>
    </row>
    <row r="361" spans="1:18" x14ac:dyDescent="0.25">
      <c r="A361" s="1" t="s">
        <v>1147</v>
      </c>
      <c r="B361">
        <v>64688129971</v>
      </c>
      <c r="C361" t="s">
        <v>85</v>
      </c>
      <c r="D361" t="s">
        <v>127</v>
      </c>
      <c r="E361">
        <v>6754000000</v>
      </c>
      <c r="F361">
        <v>1033000000</v>
      </c>
      <c r="G361">
        <v>7787000000</v>
      </c>
      <c r="H361">
        <v>9662000000</v>
      </c>
      <c r="I361">
        <v>1148000000</v>
      </c>
      <c r="J361">
        <v>188000000</v>
      </c>
      <c r="K361">
        <v>8216000000</v>
      </c>
      <c r="L361">
        <v>5891000000</v>
      </c>
      <c r="M361">
        <v>17719000000</v>
      </c>
      <c r="N361">
        <v>0</v>
      </c>
      <c r="O361">
        <v>971000000</v>
      </c>
      <c r="P361">
        <v>9550000000</v>
      </c>
      <c r="Q361">
        <v>65305129971</v>
      </c>
      <c r="R361">
        <v>66276129971</v>
      </c>
    </row>
    <row r="362" spans="1:18" x14ac:dyDescent="0.25">
      <c r="A362" s="1" t="s">
        <v>1146</v>
      </c>
      <c r="B362">
        <v>63439324373</v>
      </c>
      <c r="C362" t="s">
        <v>85</v>
      </c>
      <c r="D362" t="s">
        <v>127</v>
      </c>
      <c r="E362">
        <v>6754000000</v>
      </c>
      <c r="F362">
        <v>1033000000</v>
      </c>
      <c r="G362">
        <v>7787000000</v>
      </c>
      <c r="H362">
        <v>9662000000</v>
      </c>
      <c r="I362">
        <v>1148000000</v>
      </c>
      <c r="J362">
        <v>188000000</v>
      </c>
      <c r="K362">
        <v>8216000000</v>
      </c>
      <c r="L362">
        <v>5891000000</v>
      </c>
      <c r="M362">
        <v>17719000000</v>
      </c>
      <c r="N362">
        <v>0</v>
      </c>
      <c r="O362">
        <v>971000000</v>
      </c>
      <c r="P362">
        <v>9550000000</v>
      </c>
      <c r="Q362">
        <v>64056324373</v>
      </c>
      <c r="R362">
        <v>65027324373</v>
      </c>
    </row>
    <row r="363" spans="1:18" x14ac:dyDescent="0.25">
      <c r="A363" s="1" t="s">
        <v>1145</v>
      </c>
      <c r="B363">
        <v>62636520774</v>
      </c>
      <c r="C363" t="s">
        <v>85</v>
      </c>
      <c r="D363" t="s">
        <v>127</v>
      </c>
      <c r="E363">
        <v>6754000000</v>
      </c>
      <c r="F363">
        <v>1033000000</v>
      </c>
      <c r="G363">
        <v>7787000000</v>
      </c>
      <c r="H363">
        <v>9662000000</v>
      </c>
      <c r="I363">
        <v>1148000000</v>
      </c>
      <c r="J363">
        <v>188000000</v>
      </c>
      <c r="K363">
        <v>8216000000</v>
      </c>
      <c r="L363">
        <v>5891000000</v>
      </c>
      <c r="M363">
        <v>17719000000</v>
      </c>
      <c r="N363">
        <v>0</v>
      </c>
      <c r="O363">
        <v>971000000</v>
      </c>
      <c r="P363">
        <v>9550000000</v>
      </c>
      <c r="Q363">
        <v>63253520774</v>
      </c>
      <c r="R363">
        <v>64224520774</v>
      </c>
    </row>
    <row r="364" spans="1:18" x14ac:dyDescent="0.25">
      <c r="A364" s="1" t="s">
        <v>1144</v>
      </c>
      <c r="B364">
        <v>61120113977</v>
      </c>
      <c r="C364" t="s">
        <v>85</v>
      </c>
      <c r="D364" t="s">
        <v>127</v>
      </c>
      <c r="E364">
        <v>6754000000</v>
      </c>
      <c r="F364">
        <v>1033000000</v>
      </c>
      <c r="G364">
        <v>7787000000</v>
      </c>
      <c r="H364">
        <v>9662000000</v>
      </c>
      <c r="I364">
        <v>1148000000</v>
      </c>
      <c r="J364">
        <v>188000000</v>
      </c>
      <c r="K364">
        <v>8216000000</v>
      </c>
      <c r="L364">
        <v>5891000000</v>
      </c>
      <c r="M364">
        <v>17719000000</v>
      </c>
      <c r="N364">
        <v>0</v>
      </c>
      <c r="O364">
        <v>971000000</v>
      </c>
      <c r="P364">
        <v>9550000000</v>
      </c>
      <c r="Q364">
        <v>61737113977</v>
      </c>
      <c r="R364">
        <v>62708113977</v>
      </c>
    </row>
    <row r="365" spans="1:18" x14ac:dyDescent="0.25">
      <c r="A365" s="1" t="s">
        <v>1143</v>
      </c>
      <c r="B365">
        <v>60156749658</v>
      </c>
      <c r="C365" t="s">
        <v>85</v>
      </c>
      <c r="D365" t="s">
        <v>127</v>
      </c>
      <c r="E365">
        <v>6754000000</v>
      </c>
      <c r="F365">
        <v>1033000000</v>
      </c>
      <c r="G365">
        <v>7787000000</v>
      </c>
      <c r="H365">
        <v>9662000000</v>
      </c>
      <c r="I365">
        <v>1148000000</v>
      </c>
      <c r="J365">
        <v>188000000</v>
      </c>
      <c r="K365">
        <v>8216000000</v>
      </c>
      <c r="L365">
        <v>5891000000</v>
      </c>
      <c r="M365">
        <v>17719000000</v>
      </c>
      <c r="N365">
        <v>0</v>
      </c>
      <c r="O365">
        <v>971000000</v>
      </c>
      <c r="P365">
        <v>9550000000</v>
      </c>
      <c r="Q365">
        <v>60773749658</v>
      </c>
      <c r="R365">
        <v>61744749658</v>
      </c>
    </row>
    <row r="366" spans="1:18" x14ac:dyDescent="0.25">
      <c r="A366" s="1" t="s">
        <v>1142</v>
      </c>
      <c r="B366">
        <v>61048753657</v>
      </c>
      <c r="C366" t="s">
        <v>85</v>
      </c>
      <c r="D366" t="s">
        <v>127</v>
      </c>
      <c r="E366">
        <v>6754000000</v>
      </c>
      <c r="F366">
        <v>1033000000</v>
      </c>
      <c r="G366">
        <v>7787000000</v>
      </c>
      <c r="H366">
        <v>9662000000</v>
      </c>
      <c r="I366">
        <v>1148000000</v>
      </c>
      <c r="J366">
        <v>188000000</v>
      </c>
      <c r="K366">
        <v>8216000000</v>
      </c>
      <c r="L366">
        <v>5891000000</v>
      </c>
      <c r="M366">
        <v>17719000000</v>
      </c>
      <c r="N366">
        <v>0</v>
      </c>
      <c r="O366">
        <v>971000000</v>
      </c>
      <c r="P366">
        <v>9550000000</v>
      </c>
      <c r="Q366">
        <v>61665753657</v>
      </c>
      <c r="R366">
        <v>62636753657</v>
      </c>
    </row>
    <row r="367" spans="1:18" x14ac:dyDescent="0.25">
      <c r="A367" s="1" t="s">
        <v>1141</v>
      </c>
      <c r="B367">
        <v>64777330371</v>
      </c>
      <c r="C367" t="s">
        <v>85</v>
      </c>
      <c r="D367" t="s">
        <v>127</v>
      </c>
      <c r="E367">
        <v>6754000000</v>
      </c>
      <c r="F367">
        <v>1033000000</v>
      </c>
      <c r="G367">
        <v>7787000000</v>
      </c>
      <c r="H367">
        <v>9662000000</v>
      </c>
      <c r="I367">
        <v>1148000000</v>
      </c>
      <c r="J367">
        <v>188000000</v>
      </c>
      <c r="K367">
        <v>8216000000</v>
      </c>
      <c r="L367">
        <v>5891000000</v>
      </c>
      <c r="M367">
        <v>17719000000</v>
      </c>
      <c r="N367">
        <v>0</v>
      </c>
      <c r="O367">
        <v>971000000</v>
      </c>
      <c r="P367">
        <v>9550000000</v>
      </c>
      <c r="Q367">
        <v>65394330371</v>
      </c>
      <c r="R367">
        <v>66365330371</v>
      </c>
    </row>
    <row r="368" spans="1:18" x14ac:dyDescent="0.25">
      <c r="A368" s="1" t="s">
        <v>1140</v>
      </c>
      <c r="B368">
        <v>62797081494</v>
      </c>
      <c r="C368" t="s">
        <v>85</v>
      </c>
      <c r="D368" t="s">
        <v>127</v>
      </c>
      <c r="E368">
        <v>6754000000</v>
      </c>
      <c r="F368">
        <v>1033000000</v>
      </c>
      <c r="G368">
        <v>7787000000</v>
      </c>
      <c r="H368">
        <v>9662000000</v>
      </c>
      <c r="I368">
        <v>1148000000</v>
      </c>
      <c r="J368">
        <v>188000000</v>
      </c>
      <c r="K368">
        <v>8216000000</v>
      </c>
      <c r="L368">
        <v>5891000000</v>
      </c>
      <c r="M368">
        <v>17719000000</v>
      </c>
      <c r="N368">
        <v>0</v>
      </c>
      <c r="O368">
        <v>971000000</v>
      </c>
      <c r="P368">
        <v>9550000000</v>
      </c>
      <c r="Q368">
        <v>63414081494</v>
      </c>
      <c r="R368">
        <v>64385081494</v>
      </c>
    </row>
    <row r="369" spans="1:18" x14ac:dyDescent="0.25">
      <c r="A369" s="1" t="s">
        <v>1139</v>
      </c>
      <c r="B369">
        <v>65473093489</v>
      </c>
      <c r="C369" t="s">
        <v>85</v>
      </c>
      <c r="D369" t="s">
        <v>127</v>
      </c>
      <c r="E369">
        <v>6754000000</v>
      </c>
      <c r="F369">
        <v>1033000000</v>
      </c>
      <c r="G369">
        <v>7787000000</v>
      </c>
      <c r="H369">
        <v>9662000000</v>
      </c>
      <c r="I369">
        <v>1148000000</v>
      </c>
      <c r="J369">
        <v>188000000</v>
      </c>
      <c r="K369">
        <v>8216000000</v>
      </c>
      <c r="L369">
        <v>5891000000</v>
      </c>
      <c r="M369">
        <v>17719000000</v>
      </c>
      <c r="N369">
        <v>0</v>
      </c>
      <c r="O369">
        <v>971000000</v>
      </c>
      <c r="P369">
        <v>9550000000</v>
      </c>
      <c r="Q369">
        <v>66090093489</v>
      </c>
      <c r="R369">
        <v>67061093489</v>
      </c>
    </row>
    <row r="370" spans="1:18" x14ac:dyDescent="0.25">
      <c r="A370" s="1" t="s">
        <v>1138</v>
      </c>
      <c r="B370">
        <v>65562293889</v>
      </c>
      <c r="C370" t="s">
        <v>85</v>
      </c>
      <c r="D370" t="s">
        <v>127</v>
      </c>
      <c r="E370">
        <v>6754000000</v>
      </c>
      <c r="F370">
        <v>1033000000</v>
      </c>
      <c r="G370">
        <v>7787000000</v>
      </c>
      <c r="H370">
        <v>9662000000</v>
      </c>
      <c r="I370">
        <v>1148000000</v>
      </c>
      <c r="J370">
        <v>188000000</v>
      </c>
      <c r="K370">
        <v>8216000000</v>
      </c>
      <c r="L370">
        <v>5891000000</v>
      </c>
      <c r="M370">
        <v>17719000000</v>
      </c>
      <c r="N370">
        <v>0</v>
      </c>
      <c r="O370">
        <v>971000000</v>
      </c>
      <c r="P370">
        <v>9550000000</v>
      </c>
      <c r="Q370">
        <v>66179293889</v>
      </c>
      <c r="R370">
        <v>67150293889</v>
      </c>
    </row>
    <row r="371" spans="1:18" x14ac:dyDescent="0.25">
      <c r="A371" s="1" t="s">
        <v>1137</v>
      </c>
      <c r="B371">
        <v>63314443813</v>
      </c>
      <c r="C371" t="s">
        <v>85</v>
      </c>
      <c r="D371" t="s">
        <v>127</v>
      </c>
      <c r="E371">
        <v>6754000000</v>
      </c>
      <c r="F371">
        <v>1033000000</v>
      </c>
      <c r="G371">
        <v>7787000000</v>
      </c>
      <c r="H371">
        <v>9662000000</v>
      </c>
      <c r="I371">
        <v>1148000000</v>
      </c>
      <c r="J371">
        <v>188000000</v>
      </c>
      <c r="K371">
        <v>8216000000</v>
      </c>
      <c r="L371">
        <v>5891000000</v>
      </c>
      <c r="M371">
        <v>17719000000</v>
      </c>
      <c r="N371">
        <v>0</v>
      </c>
      <c r="O371">
        <v>971000000</v>
      </c>
      <c r="P371">
        <v>9550000000</v>
      </c>
      <c r="Q371">
        <v>63931443813</v>
      </c>
      <c r="R371">
        <v>64902443813</v>
      </c>
    </row>
    <row r="372" spans="1:18" x14ac:dyDescent="0.25">
      <c r="A372" s="1" t="s">
        <v>1136</v>
      </c>
      <c r="B372">
        <v>60941713177</v>
      </c>
      <c r="C372" t="s">
        <v>85</v>
      </c>
      <c r="D372" t="s">
        <v>127</v>
      </c>
      <c r="E372">
        <v>6754000000</v>
      </c>
      <c r="F372">
        <v>1033000000</v>
      </c>
      <c r="G372">
        <v>7787000000</v>
      </c>
      <c r="H372">
        <v>9662000000</v>
      </c>
      <c r="I372">
        <v>1148000000</v>
      </c>
      <c r="J372">
        <v>188000000</v>
      </c>
      <c r="K372">
        <v>8216000000</v>
      </c>
      <c r="L372">
        <v>5891000000</v>
      </c>
      <c r="M372">
        <v>17719000000</v>
      </c>
      <c r="N372">
        <v>0</v>
      </c>
      <c r="O372">
        <v>971000000</v>
      </c>
      <c r="P372">
        <v>9550000000</v>
      </c>
      <c r="Q372">
        <v>61558713177</v>
      </c>
      <c r="R372">
        <v>62529713177</v>
      </c>
    </row>
    <row r="373" spans="1:18" x14ac:dyDescent="0.25">
      <c r="A373" s="1" t="s">
        <v>1135</v>
      </c>
      <c r="B373">
        <v>60031869099</v>
      </c>
      <c r="C373" t="s">
        <v>85</v>
      </c>
      <c r="D373" t="s">
        <v>127</v>
      </c>
      <c r="E373">
        <v>6754000000</v>
      </c>
      <c r="F373">
        <v>1033000000</v>
      </c>
      <c r="G373">
        <v>7787000000</v>
      </c>
      <c r="H373">
        <v>9662000000</v>
      </c>
      <c r="I373">
        <v>1148000000</v>
      </c>
      <c r="J373">
        <v>188000000</v>
      </c>
      <c r="K373">
        <v>8216000000</v>
      </c>
      <c r="L373">
        <v>5891000000</v>
      </c>
      <c r="M373">
        <v>17719000000</v>
      </c>
      <c r="N373">
        <v>0</v>
      </c>
      <c r="O373">
        <v>971000000</v>
      </c>
      <c r="P373">
        <v>9550000000</v>
      </c>
      <c r="Q373">
        <v>60648869099</v>
      </c>
      <c r="R373">
        <v>61619869099</v>
      </c>
    </row>
    <row r="374" spans="1:18" x14ac:dyDescent="0.25">
      <c r="A374" s="1" t="s">
        <v>1134</v>
      </c>
      <c r="B374">
        <v>60763312377</v>
      </c>
      <c r="C374" t="s">
        <v>85</v>
      </c>
      <c r="D374" t="s">
        <v>127</v>
      </c>
      <c r="E374">
        <v>6754000000</v>
      </c>
      <c r="F374">
        <v>1033000000</v>
      </c>
      <c r="G374">
        <v>7787000000</v>
      </c>
      <c r="H374">
        <v>9662000000</v>
      </c>
      <c r="I374">
        <v>1148000000</v>
      </c>
      <c r="J374">
        <v>188000000</v>
      </c>
      <c r="K374">
        <v>8216000000</v>
      </c>
      <c r="L374">
        <v>5891000000</v>
      </c>
      <c r="M374">
        <v>17719000000</v>
      </c>
      <c r="N374">
        <v>0</v>
      </c>
      <c r="O374">
        <v>971000000</v>
      </c>
      <c r="P374">
        <v>9550000000</v>
      </c>
      <c r="Q374">
        <v>61380312377</v>
      </c>
      <c r="R374">
        <v>62351312377</v>
      </c>
    </row>
    <row r="375" spans="1:18" x14ac:dyDescent="0.25">
      <c r="A375" s="1" t="s">
        <v>1133</v>
      </c>
      <c r="B375">
        <v>59603707179</v>
      </c>
      <c r="C375" t="s">
        <v>85</v>
      </c>
      <c r="D375" t="s">
        <v>127</v>
      </c>
      <c r="E375">
        <v>6754000000</v>
      </c>
      <c r="F375">
        <v>1033000000</v>
      </c>
      <c r="G375">
        <v>7787000000</v>
      </c>
      <c r="H375">
        <v>9662000000</v>
      </c>
      <c r="I375">
        <v>1148000000</v>
      </c>
      <c r="J375">
        <v>188000000</v>
      </c>
      <c r="K375">
        <v>8216000000</v>
      </c>
      <c r="L375">
        <v>5891000000</v>
      </c>
      <c r="M375">
        <v>17719000000</v>
      </c>
      <c r="N375">
        <v>0</v>
      </c>
      <c r="O375">
        <v>971000000</v>
      </c>
      <c r="P375">
        <v>9550000000</v>
      </c>
      <c r="Q375">
        <v>60220707179</v>
      </c>
      <c r="R375">
        <v>61191707179</v>
      </c>
    </row>
    <row r="376" spans="1:18" x14ac:dyDescent="0.25">
      <c r="A376" s="1" t="s">
        <v>1132</v>
      </c>
      <c r="B376">
        <v>62101318375</v>
      </c>
      <c r="C376" t="s">
        <v>85</v>
      </c>
      <c r="D376" t="s">
        <v>127</v>
      </c>
      <c r="E376">
        <v>6754000000</v>
      </c>
      <c r="F376">
        <v>1033000000</v>
      </c>
      <c r="G376">
        <v>7787000000</v>
      </c>
      <c r="H376">
        <v>9662000000</v>
      </c>
      <c r="I376">
        <v>1148000000</v>
      </c>
      <c r="J376">
        <v>188000000</v>
      </c>
      <c r="K376">
        <v>8216000000</v>
      </c>
      <c r="L376">
        <v>5891000000</v>
      </c>
      <c r="M376">
        <v>17719000000</v>
      </c>
      <c r="N376">
        <v>0</v>
      </c>
      <c r="O376">
        <v>971000000</v>
      </c>
      <c r="P376">
        <v>9550000000</v>
      </c>
      <c r="Q376">
        <v>62718318375</v>
      </c>
      <c r="R376">
        <v>63689318375</v>
      </c>
    </row>
    <row r="377" spans="1:18" x14ac:dyDescent="0.25">
      <c r="A377" s="1" t="s">
        <v>1131</v>
      </c>
      <c r="B377">
        <v>63813966052</v>
      </c>
      <c r="C377" t="s">
        <v>85</v>
      </c>
      <c r="D377" t="s">
        <v>127</v>
      </c>
      <c r="E377">
        <v>6754000000</v>
      </c>
      <c r="F377">
        <v>1033000000</v>
      </c>
      <c r="G377">
        <v>7787000000</v>
      </c>
      <c r="H377">
        <v>9662000000</v>
      </c>
      <c r="I377">
        <v>1148000000</v>
      </c>
      <c r="J377">
        <v>188000000</v>
      </c>
      <c r="K377">
        <v>8216000000</v>
      </c>
      <c r="L377">
        <v>5891000000</v>
      </c>
      <c r="M377">
        <v>17719000000</v>
      </c>
      <c r="N377">
        <v>0</v>
      </c>
      <c r="O377">
        <v>971000000</v>
      </c>
      <c r="P377">
        <v>9550000000</v>
      </c>
      <c r="Q377">
        <v>64430966052</v>
      </c>
      <c r="R377">
        <v>65401966052</v>
      </c>
    </row>
    <row r="378" spans="1:18" x14ac:dyDescent="0.25">
      <c r="A378" s="1" t="s">
        <v>1130</v>
      </c>
      <c r="B378">
        <v>73126487797</v>
      </c>
      <c r="C378" t="s">
        <v>85</v>
      </c>
      <c r="D378" t="s">
        <v>127</v>
      </c>
      <c r="E378">
        <v>6754000000</v>
      </c>
      <c r="F378">
        <v>1033000000</v>
      </c>
      <c r="G378">
        <v>7787000000</v>
      </c>
      <c r="H378">
        <v>9662000000</v>
      </c>
      <c r="I378">
        <v>1148000000</v>
      </c>
      <c r="J378">
        <v>188000000</v>
      </c>
      <c r="K378">
        <v>8216000000</v>
      </c>
      <c r="L378">
        <v>5891000000</v>
      </c>
      <c r="M378">
        <v>17719000000</v>
      </c>
      <c r="N378">
        <v>0</v>
      </c>
      <c r="O378">
        <v>971000000</v>
      </c>
      <c r="P378">
        <v>9550000000</v>
      </c>
      <c r="Q378">
        <v>73743487797</v>
      </c>
      <c r="R378">
        <v>74714487797</v>
      </c>
    </row>
    <row r="379" spans="1:18" x14ac:dyDescent="0.25">
      <c r="A379" s="1" t="s">
        <v>133</v>
      </c>
      <c r="B379">
        <v>74856975554</v>
      </c>
      <c r="C379" t="s">
        <v>85</v>
      </c>
      <c r="D379" t="s">
        <v>127</v>
      </c>
      <c r="E379">
        <v>6754000000</v>
      </c>
      <c r="F379">
        <v>1033000000</v>
      </c>
      <c r="G379">
        <v>7787000000</v>
      </c>
      <c r="H379">
        <v>9662000000</v>
      </c>
      <c r="I379">
        <v>1148000000</v>
      </c>
      <c r="J379">
        <v>188000000</v>
      </c>
      <c r="K379">
        <v>8216000000</v>
      </c>
      <c r="L379">
        <v>5891000000</v>
      </c>
      <c r="M379">
        <v>17719000000</v>
      </c>
      <c r="N379">
        <v>0</v>
      </c>
      <c r="O379">
        <v>971000000</v>
      </c>
      <c r="P379">
        <v>9550000000</v>
      </c>
      <c r="Q379">
        <v>75473975554</v>
      </c>
      <c r="R379">
        <v>76444975554</v>
      </c>
    </row>
    <row r="380" spans="1:18" x14ac:dyDescent="0.25">
      <c r="A380" s="1" t="s">
        <v>1129</v>
      </c>
      <c r="B380">
        <v>80048438825</v>
      </c>
      <c r="C380" t="s">
        <v>84</v>
      </c>
      <c r="D380" t="s">
        <v>127</v>
      </c>
      <c r="E380">
        <v>6154000000</v>
      </c>
      <c r="F380">
        <v>1132000000</v>
      </c>
      <c r="G380">
        <v>7286000000</v>
      </c>
      <c r="H380">
        <v>9412000000</v>
      </c>
      <c r="I380">
        <v>1135000000</v>
      </c>
      <c r="J380">
        <v>175000000</v>
      </c>
      <c r="K380">
        <v>8194000000</v>
      </c>
      <c r="L380">
        <v>6921000000</v>
      </c>
      <c r="M380">
        <v>18712000000</v>
      </c>
      <c r="N380">
        <v>0</v>
      </c>
      <c r="O380">
        <v>1240000000</v>
      </c>
      <c r="P380">
        <v>8942000000</v>
      </c>
      <c r="Q380">
        <v>81131438825</v>
      </c>
      <c r="R380">
        <v>82371438825</v>
      </c>
    </row>
    <row r="381" spans="1:18" x14ac:dyDescent="0.25">
      <c r="A381" s="1" t="s">
        <v>1128</v>
      </c>
      <c r="B381">
        <v>85953505295</v>
      </c>
      <c r="C381" t="s">
        <v>84</v>
      </c>
      <c r="D381" t="s">
        <v>127</v>
      </c>
      <c r="E381">
        <v>6154000000</v>
      </c>
      <c r="F381">
        <v>1132000000</v>
      </c>
      <c r="G381">
        <v>7286000000</v>
      </c>
      <c r="H381">
        <v>9412000000</v>
      </c>
      <c r="I381">
        <v>1135000000</v>
      </c>
      <c r="J381">
        <v>175000000</v>
      </c>
      <c r="K381">
        <v>8194000000</v>
      </c>
      <c r="L381">
        <v>6921000000</v>
      </c>
      <c r="M381">
        <v>18712000000</v>
      </c>
      <c r="N381">
        <v>0</v>
      </c>
      <c r="O381">
        <v>1240000000</v>
      </c>
      <c r="P381">
        <v>8942000000</v>
      </c>
      <c r="Q381">
        <v>87036505295</v>
      </c>
      <c r="R381">
        <v>88276505295</v>
      </c>
    </row>
    <row r="382" spans="1:18" x14ac:dyDescent="0.25">
      <c r="A382" s="1" t="s">
        <v>1127</v>
      </c>
      <c r="B382">
        <v>83848375859</v>
      </c>
      <c r="C382" t="s">
        <v>84</v>
      </c>
      <c r="D382" t="s">
        <v>127</v>
      </c>
      <c r="E382">
        <v>6154000000</v>
      </c>
      <c r="F382">
        <v>1132000000</v>
      </c>
      <c r="G382">
        <v>7286000000</v>
      </c>
      <c r="H382">
        <v>9412000000</v>
      </c>
      <c r="I382">
        <v>1135000000</v>
      </c>
      <c r="J382">
        <v>175000000</v>
      </c>
      <c r="K382">
        <v>8194000000</v>
      </c>
      <c r="L382">
        <v>6921000000</v>
      </c>
      <c r="M382">
        <v>18712000000</v>
      </c>
      <c r="N382">
        <v>0</v>
      </c>
      <c r="O382">
        <v>1240000000</v>
      </c>
      <c r="P382">
        <v>8942000000</v>
      </c>
      <c r="Q382">
        <v>84931375859</v>
      </c>
      <c r="R382">
        <v>86171375859</v>
      </c>
    </row>
    <row r="383" spans="1:18" x14ac:dyDescent="0.25">
      <c r="A383" s="1" t="s">
        <v>1126</v>
      </c>
      <c r="B383">
        <v>82474689701</v>
      </c>
      <c r="C383" t="s">
        <v>84</v>
      </c>
      <c r="D383" t="s">
        <v>127</v>
      </c>
      <c r="E383">
        <v>6154000000</v>
      </c>
      <c r="F383">
        <v>1132000000</v>
      </c>
      <c r="G383">
        <v>7286000000</v>
      </c>
      <c r="H383">
        <v>9412000000</v>
      </c>
      <c r="I383">
        <v>1135000000</v>
      </c>
      <c r="J383">
        <v>175000000</v>
      </c>
      <c r="K383">
        <v>8194000000</v>
      </c>
      <c r="L383">
        <v>6921000000</v>
      </c>
      <c r="M383">
        <v>18712000000</v>
      </c>
      <c r="N383">
        <v>0</v>
      </c>
      <c r="O383">
        <v>1240000000</v>
      </c>
      <c r="P383">
        <v>8942000000</v>
      </c>
      <c r="Q383">
        <v>83557689701</v>
      </c>
      <c r="R383">
        <v>84797689701</v>
      </c>
    </row>
    <row r="384" spans="1:18" x14ac:dyDescent="0.25">
      <c r="A384" s="1" t="s">
        <v>1125</v>
      </c>
      <c r="B384">
        <v>82777971060</v>
      </c>
      <c r="C384" t="s">
        <v>84</v>
      </c>
      <c r="D384" t="s">
        <v>127</v>
      </c>
      <c r="E384">
        <v>6154000000</v>
      </c>
      <c r="F384">
        <v>1132000000</v>
      </c>
      <c r="G384">
        <v>7286000000</v>
      </c>
      <c r="H384">
        <v>9412000000</v>
      </c>
      <c r="I384">
        <v>1135000000</v>
      </c>
      <c r="J384">
        <v>175000000</v>
      </c>
      <c r="K384">
        <v>8194000000</v>
      </c>
      <c r="L384">
        <v>6921000000</v>
      </c>
      <c r="M384">
        <v>18712000000</v>
      </c>
      <c r="N384">
        <v>0</v>
      </c>
      <c r="O384">
        <v>1240000000</v>
      </c>
      <c r="P384">
        <v>8942000000</v>
      </c>
      <c r="Q384">
        <v>83860971060</v>
      </c>
      <c r="R384">
        <v>85100971060</v>
      </c>
    </row>
    <row r="385" spans="1:18" x14ac:dyDescent="0.25">
      <c r="A385" s="1" t="s">
        <v>1124</v>
      </c>
      <c r="B385">
        <v>84936620737</v>
      </c>
      <c r="C385" t="s">
        <v>84</v>
      </c>
      <c r="D385" t="s">
        <v>127</v>
      </c>
      <c r="E385">
        <v>6154000000</v>
      </c>
      <c r="F385">
        <v>1132000000</v>
      </c>
      <c r="G385">
        <v>7286000000</v>
      </c>
      <c r="H385">
        <v>9412000000</v>
      </c>
      <c r="I385">
        <v>1135000000</v>
      </c>
      <c r="J385">
        <v>175000000</v>
      </c>
      <c r="K385">
        <v>8194000000</v>
      </c>
      <c r="L385">
        <v>6921000000</v>
      </c>
      <c r="M385">
        <v>18712000000</v>
      </c>
      <c r="N385">
        <v>0</v>
      </c>
      <c r="O385">
        <v>1240000000</v>
      </c>
      <c r="P385">
        <v>8942000000</v>
      </c>
      <c r="Q385">
        <v>86019620737</v>
      </c>
      <c r="R385">
        <v>87259620737</v>
      </c>
    </row>
    <row r="386" spans="1:18" x14ac:dyDescent="0.25">
      <c r="A386" s="1" t="s">
        <v>1123</v>
      </c>
      <c r="B386">
        <v>87791033532</v>
      </c>
      <c r="C386" t="s">
        <v>84</v>
      </c>
      <c r="D386" t="s">
        <v>127</v>
      </c>
      <c r="E386">
        <v>6154000000</v>
      </c>
      <c r="F386">
        <v>1132000000</v>
      </c>
      <c r="G386">
        <v>7286000000</v>
      </c>
      <c r="H386">
        <v>9412000000</v>
      </c>
      <c r="I386">
        <v>1135000000</v>
      </c>
      <c r="J386">
        <v>175000000</v>
      </c>
      <c r="K386">
        <v>8194000000</v>
      </c>
      <c r="L386">
        <v>6921000000</v>
      </c>
      <c r="M386">
        <v>18712000000</v>
      </c>
      <c r="N386">
        <v>0</v>
      </c>
      <c r="O386">
        <v>1240000000</v>
      </c>
      <c r="P386">
        <v>8942000000</v>
      </c>
      <c r="Q386">
        <v>88874033532</v>
      </c>
      <c r="R386">
        <v>90114033532</v>
      </c>
    </row>
    <row r="387" spans="1:18" x14ac:dyDescent="0.25">
      <c r="A387" s="1" t="s">
        <v>1122</v>
      </c>
      <c r="B387">
        <v>87220150973</v>
      </c>
      <c r="C387" t="s">
        <v>84</v>
      </c>
      <c r="D387" t="s">
        <v>127</v>
      </c>
      <c r="E387">
        <v>6154000000</v>
      </c>
      <c r="F387">
        <v>1132000000</v>
      </c>
      <c r="G387">
        <v>7286000000</v>
      </c>
      <c r="H387">
        <v>9412000000</v>
      </c>
      <c r="I387">
        <v>1135000000</v>
      </c>
      <c r="J387">
        <v>175000000</v>
      </c>
      <c r="K387">
        <v>8194000000</v>
      </c>
      <c r="L387">
        <v>6921000000</v>
      </c>
      <c r="M387">
        <v>18712000000</v>
      </c>
      <c r="N387">
        <v>0</v>
      </c>
      <c r="O387">
        <v>1240000000</v>
      </c>
      <c r="P387">
        <v>8942000000</v>
      </c>
      <c r="Q387">
        <v>88303150973</v>
      </c>
      <c r="R387">
        <v>89543150973</v>
      </c>
    </row>
    <row r="388" spans="1:18" x14ac:dyDescent="0.25">
      <c r="A388" s="1" t="s">
        <v>1121</v>
      </c>
      <c r="B388">
        <v>87612632732</v>
      </c>
      <c r="C388" t="s">
        <v>84</v>
      </c>
      <c r="D388" t="s">
        <v>127</v>
      </c>
      <c r="E388">
        <v>6154000000</v>
      </c>
      <c r="F388">
        <v>1132000000</v>
      </c>
      <c r="G388">
        <v>7286000000</v>
      </c>
      <c r="H388">
        <v>9412000000</v>
      </c>
      <c r="I388">
        <v>1135000000</v>
      </c>
      <c r="J388">
        <v>175000000</v>
      </c>
      <c r="K388">
        <v>8194000000</v>
      </c>
      <c r="L388">
        <v>6921000000</v>
      </c>
      <c r="M388">
        <v>18712000000</v>
      </c>
      <c r="N388">
        <v>0</v>
      </c>
      <c r="O388">
        <v>1240000000</v>
      </c>
      <c r="P388">
        <v>8942000000</v>
      </c>
      <c r="Q388">
        <v>88695632732</v>
      </c>
      <c r="R388">
        <v>89935632732</v>
      </c>
    </row>
    <row r="389" spans="1:18" x14ac:dyDescent="0.25">
      <c r="A389" s="1" t="s">
        <v>1120</v>
      </c>
      <c r="B389">
        <v>87880233932</v>
      </c>
      <c r="C389" t="s">
        <v>84</v>
      </c>
      <c r="D389" t="s">
        <v>127</v>
      </c>
      <c r="E389">
        <v>6154000000</v>
      </c>
      <c r="F389">
        <v>1132000000</v>
      </c>
      <c r="G389">
        <v>7286000000</v>
      </c>
      <c r="H389">
        <v>9412000000</v>
      </c>
      <c r="I389">
        <v>1135000000</v>
      </c>
      <c r="J389">
        <v>175000000</v>
      </c>
      <c r="K389">
        <v>8194000000</v>
      </c>
      <c r="L389">
        <v>6921000000</v>
      </c>
      <c r="M389">
        <v>18712000000</v>
      </c>
      <c r="N389">
        <v>0</v>
      </c>
      <c r="O389">
        <v>1240000000</v>
      </c>
      <c r="P389">
        <v>8942000000</v>
      </c>
      <c r="Q389">
        <v>88963233932</v>
      </c>
      <c r="R389">
        <v>90203233932</v>
      </c>
    </row>
    <row r="390" spans="1:18" x14ac:dyDescent="0.25">
      <c r="A390" s="1" t="s">
        <v>1119</v>
      </c>
      <c r="B390">
        <v>86399507294</v>
      </c>
      <c r="C390" t="s">
        <v>84</v>
      </c>
      <c r="D390" t="s">
        <v>127</v>
      </c>
      <c r="E390">
        <v>6154000000</v>
      </c>
      <c r="F390">
        <v>1132000000</v>
      </c>
      <c r="G390">
        <v>7286000000</v>
      </c>
      <c r="H390">
        <v>9412000000</v>
      </c>
      <c r="I390">
        <v>1135000000</v>
      </c>
      <c r="J390">
        <v>175000000</v>
      </c>
      <c r="K390">
        <v>8194000000</v>
      </c>
      <c r="L390">
        <v>6921000000</v>
      </c>
      <c r="M390">
        <v>18712000000</v>
      </c>
      <c r="N390">
        <v>0</v>
      </c>
      <c r="O390">
        <v>1240000000</v>
      </c>
      <c r="P390">
        <v>8942000000</v>
      </c>
      <c r="Q390">
        <v>87482507294</v>
      </c>
      <c r="R390">
        <v>88722507294</v>
      </c>
    </row>
    <row r="391" spans="1:18" x14ac:dyDescent="0.25">
      <c r="A391" s="1" t="s">
        <v>1118</v>
      </c>
      <c r="B391">
        <v>89271760169</v>
      </c>
      <c r="C391" t="s">
        <v>84</v>
      </c>
      <c r="D391" t="s">
        <v>127</v>
      </c>
      <c r="E391">
        <v>6154000000</v>
      </c>
      <c r="F391">
        <v>1132000000</v>
      </c>
      <c r="G391">
        <v>7286000000</v>
      </c>
      <c r="H391">
        <v>9412000000</v>
      </c>
      <c r="I391">
        <v>1135000000</v>
      </c>
      <c r="J391">
        <v>175000000</v>
      </c>
      <c r="K391">
        <v>8194000000</v>
      </c>
      <c r="L391">
        <v>6921000000</v>
      </c>
      <c r="M391">
        <v>18712000000</v>
      </c>
      <c r="N391">
        <v>0</v>
      </c>
      <c r="O391">
        <v>1240000000</v>
      </c>
      <c r="P391">
        <v>8942000000</v>
      </c>
      <c r="Q391">
        <v>90354760169</v>
      </c>
      <c r="R391">
        <v>91594760169</v>
      </c>
    </row>
    <row r="392" spans="1:18" x14ac:dyDescent="0.25">
      <c r="A392" s="1" t="s">
        <v>1117</v>
      </c>
      <c r="B392">
        <v>91448249926</v>
      </c>
      <c r="C392" t="s">
        <v>84</v>
      </c>
      <c r="D392" t="s">
        <v>127</v>
      </c>
      <c r="E392">
        <v>6154000000</v>
      </c>
      <c r="F392">
        <v>1132000000</v>
      </c>
      <c r="G392">
        <v>7286000000</v>
      </c>
      <c r="H392">
        <v>9412000000</v>
      </c>
      <c r="I392">
        <v>1135000000</v>
      </c>
      <c r="J392">
        <v>175000000</v>
      </c>
      <c r="K392">
        <v>8194000000</v>
      </c>
      <c r="L392">
        <v>6921000000</v>
      </c>
      <c r="M392">
        <v>18712000000</v>
      </c>
      <c r="N392">
        <v>0</v>
      </c>
      <c r="O392">
        <v>1240000000</v>
      </c>
      <c r="P392">
        <v>8942000000</v>
      </c>
      <c r="Q392">
        <v>92531249926</v>
      </c>
      <c r="R392">
        <v>93771249926</v>
      </c>
    </row>
    <row r="393" spans="1:18" x14ac:dyDescent="0.25">
      <c r="A393" s="1" t="s">
        <v>1116</v>
      </c>
      <c r="B393">
        <v>90627606247</v>
      </c>
      <c r="C393" t="s">
        <v>84</v>
      </c>
      <c r="D393" t="s">
        <v>127</v>
      </c>
      <c r="E393">
        <v>6154000000</v>
      </c>
      <c r="F393">
        <v>1132000000</v>
      </c>
      <c r="G393">
        <v>7286000000</v>
      </c>
      <c r="H393">
        <v>9412000000</v>
      </c>
      <c r="I393">
        <v>1135000000</v>
      </c>
      <c r="J393">
        <v>175000000</v>
      </c>
      <c r="K393">
        <v>8194000000</v>
      </c>
      <c r="L393">
        <v>6921000000</v>
      </c>
      <c r="M393">
        <v>18712000000</v>
      </c>
      <c r="N393">
        <v>0</v>
      </c>
      <c r="O393">
        <v>1240000000</v>
      </c>
      <c r="P393">
        <v>8942000000</v>
      </c>
      <c r="Q393">
        <v>91710606247</v>
      </c>
      <c r="R393">
        <v>92950606247</v>
      </c>
    </row>
    <row r="394" spans="1:18" x14ac:dyDescent="0.25">
      <c r="A394" s="1" t="s">
        <v>1115</v>
      </c>
      <c r="B394">
        <v>90484885607</v>
      </c>
      <c r="C394" t="s">
        <v>84</v>
      </c>
      <c r="D394" t="s">
        <v>127</v>
      </c>
      <c r="E394">
        <v>6154000000</v>
      </c>
      <c r="F394">
        <v>1132000000</v>
      </c>
      <c r="G394">
        <v>7286000000</v>
      </c>
      <c r="H394">
        <v>9412000000</v>
      </c>
      <c r="I394">
        <v>1135000000</v>
      </c>
      <c r="J394">
        <v>175000000</v>
      </c>
      <c r="K394">
        <v>8194000000</v>
      </c>
      <c r="L394">
        <v>6921000000</v>
      </c>
      <c r="M394">
        <v>18712000000</v>
      </c>
      <c r="N394">
        <v>0</v>
      </c>
      <c r="O394">
        <v>1240000000</v>
      </c>
      <c r="P394">
        <v>8942000000</v>
      </c>
      <c r="Q394">
        <v>91567885607</v>
      </c>
      <c r="R394">
        <v>92807885607</v>
      </c>
    </row>
    <row r="395" spans="1:18" x14ac:dyDescent="0.25">
      <c r="A395" s="1" t="s">
        <v>1114</v>
      </c>
      <c r="B395">
        <v>88593837131</v>
      </c>
      <c r="C395" t="s">
        <v>84</v>
      </c>
      <c r="D395" t="s">
        <v>127</v>
      </c>
      <c r="E395">
        <v>6154000000</v>
      </c>
      <c r="F395">
        <v>1132000000</v>
      </c>
      <c r="G395">
        <v>7286000000</v>
      </c>
      <c r="H395">
        <v>9412000000</v>
      </c>
      <c r="I395">
        <v>1135000000</v>
      </c>
      <c r="J395">
        <v>175000000</v>
      </c>
      <c r="K395">
        <v>8194000000</v>
      </c>
      <c r="L395">
        <v>6921000000</v>
      </c>
      <c r="M395">
        <v>18712000000</v>
      </c>
      <c r="N395">
        <v>0</v>
      </c>
      <c r="O395">
        <v>1240000000</v>
      </c>
      <c r="P395">
        <v>8942000000</v>
      </c>
      <c r="Q395">
        <v>89676837131</v>
      </c>
      <c r="R395">
        <v>90916837131</v>
      </c>
    </row>
    <row r="396" spans="1:18" x14ac:dyDescent="0.25">
      <c r="A396" s="1" t="s">
        <v>1113</v>
      </c>
      <c r="B396">
        <v>88540316891</v>
      </c>
      <c r="C396" t="s">
        <v>84</v>
      </c>
      <c r="D396" t="s">
        <v>127</v>
      </c>
      <c r="E396">
        <v>6154000000</v>
      </c>
      <c r="F396">
        <v>1132000000</v>
      </c>
      <c r="G396">
        <v>7286000000</v>
      </c>
      <c r="H396">
        <v>9412000000</v>
      </c>
      <c r="I396">
        <v>1135000000</v>
      </c>
      <c r="J396">
        <v>175000000</v>
      </c>
      <c r="K396">
        <v>8194000000</v>
      </c>
      <c r="L396">
        <v>6921000000</v>
      </c>
      <c r="M396">
        <v>18712000000</v>
      </c>
      <c r="N396">
        <v>0</v>
      </c>
      <c r="O396">
        <v>1240000000</v>
      </c>
      <c r="P396">
        <v>8942000000</v>
      </c>
      <c r="Q396">
        <v>89623316891</v>
      </c>
      <c r="R396">
        <v>90863316891</v>
      </c>
    </row>
    <row r="397" spans="1:18" x14ac:dyDescent="0.25">
      <c r="A397" s="1" t="s">
        <v>1112</v>
      </c>
      <c r="B397">
        <v>94712984560</v>
      </c>
      <c r="C397" t="s">
        <v>84</v>
      </c>
      <c r="D397" t="s">
        <v>127</v>
      </c>
      <c r="E397">
        <v>6154000000</v>
      </c>
      <c r="F397">
        <v>1132000000</v>
      </c>
      <c r="G397">
        <v>7286000000</v>
      </c>
      <c r="H397">
        <v>9412000000</v>
      </c>
      <c r="I397">
        <v>1135000000</v>
      </c>
      <c r="J397">
        <v>175000000</v>
      </c>
      <c r="K397">
        <v>8194000000</v>
      </c>
      <c r="L397">
        <v>6921000000</v>
      </c>
      <c r="M397">
        <v>18712000000</v>
      </c>
      <c r="N397">
        <v>0</v>
      </c>
      <c r="O397">
        <v>1240000000</v>
      </c>
      <c r="P397">
        <v>8942000000</v>
      </c>
      <c r="Q397">
        <v>95795984560</v>
      </c>
      <c r="R397">
        <v>97035984560</v>
      </c>
    </row>
    <row r="398" spans="1:18" x14ac:dyDescent="0.25">
      <c r="A398" s="1" t="s">
        <v>1111</v>
      </c>
      <c r="B398">
        <v>93696100002</v>
      </c>
      <c r="C398" t="s">
        <v>84</v>
      </c>
      <c r="D398" t="s">
        <v>127</v>
      </c>
      <c r="E398">
        <v>6154000000</v>
      </c>
      <c r="F398">
        <v>1132000000</v>
      </c>
      <c r="G398">
        <v>7286000000</v>
      </c>
      <c r="H398">
        <v>9412000000</v>
      </c>
      <c r="I398">
        <v>1135000000</v>
      </c>
      <c r="J398">
        <v>175000000</v>
      </c>
      <c r="K398">
        <v>8194000000</v>
      </c>
      <c r="L398">
        <v>6921000000</v>
      </c>
      <c r="M398">
        <v>18712000000</v>
      </c>
      <c r="N398">
        <v>0</v>
      </c>
      <c r="O398">
        <v>1240000000</v>
      </c>
      <c r="P398">
        <v>8942000000</v>
      </c>
      <c r="Q398">
        <v>94779100002</v>
      </c>
      <c r="R398">
        <v>96019100002</v>
      </c>
    </row>
    <row r="399" spans="1:18" x14ac:dyDescent="0.25">
      <c r="A399" s="1" t="s">
        <v>1110</v>
      </c>
      <c r="B399">
        <v>97870678715</v>
      </c>
      <c r="C399" t="s">
        <v>84</v>
      </c>
      <c r="D399" t="s">
        <v>127</v>
      </c>
      <c r="E399">
        <v>6154000000</v>
      </c>
      <c r="F399">
        <v>1132000000</v>
      </c>
      <c r="G399">
        <v>7286000000</v>
      </c>
      <c r="H399">
        <v>9412000000</v>
      </c>
      <c r="I399">
        <v>1135000000</v>
      </c>
      <c r="J399">
        <v>175000000</v>
      </c>
      <c r="K399">
        <v>8194000000</v>
      </c>
      <c r="L399">
        <v>6921000000</v>
      </c>
      <c r="M399">
        <v>18712000000</v>
      </c>
      <c r="N399">
        <v>0</v>
      </c>
      <c r="O399">
        <v>1240000000</v>
      </c>
      <c r="P399">
        <v>8942000000</v>
      </c>
      <c r="Q399">
        <v>98953678715</v>
      </c>
      <c r="R399">
        <v>100193678715</v>
      </c>
    </row>
    <row r="400" spans="1:18" x14ac:dyDescent="0.25">
      <c r="A400" s="1" t="s">
        <v>1109</v>
      </c>
      <c r="B400">
        <v>95979630238</v>
      </c>
      <c r="C400" t="s">
        <v>84</v>
      </c>
      <c r="D400" t="s">
        <v>127</v>
      </c>
      <c r="E400">
        <v>6154000000</v>
      </c>
      <c r="F400">
        <v>1132000000</v>
      </c>
      <c r="G400">
        <v>7286000000</v>
      </c>
      <c r="H400">
        <v>9412000000</v>
      </c>
      <c r="I400">
        <v>1135000000</v>
      </c>
      <c r="J400">
        <v>175000000</v>
      </c>
      <c r="K400">
        <v>8194000000</v>
      </c>
      <c r="L400">
        <v>6921000000</v>
      </c>
      <c r="M400">
        <v>18712000000</v>
      </c>
      <c r="N400">
        <v>0</v>
      </c>
      <c r="O400">
        <v>1240000000</v>
      </c>
      <c r="P400">
        <v>8942000000</v>
      </c>
      <c r="Q400">
        <v>97062630238</v>
      </c>
      <c r="R400">
        <v>98302630238</v>
      </c>
    </row>
    <row r="401" spans="1:18" x14ac:dyDescent="0.25">
      <c r="A401" s="1" t="s">
        <v>1108</v>
      </c>
      <c r="B401">
        <v>94570263920</v>
      </c>
      <c r="C401" t="s">
        <v>84</v>
      </c>
      <c r="D401" t="s">
        <v>127</v>
      </c>
      <c r="E401">
        <v>6154000000</v>
      </c>
      <c r="F401">
        <v>1132000000</v>
      </c>
      <c r="G401">
        <v>7286000000</v>
      </c>
      <c r="H401">
        <v>9412000000</v>
      </c>
      <c r="I401">
        <v>1135000000</v>
      </c>
      <c r="J401">
        <v>175000000</v>
      </c>
      <c r="K401">
        <v>8194000000</v>
      </c>
      <c r="L401">
        <v>6921000000</v>
      </c>
      <c r="M401">
        <v>18712000000</v>
      </c>
      <c r="N401">
        <v>0</v>
      </c>
      <c r="O401">
        <v>1240000000</v>
      </c>
      <c r="P401">
        <v>8942000000</v>
      </c>
      <c r="Q401">
        <v>95653263920</v>
      </c>
      <c r="R401">
        <v>96893263920</v>
      </c>
    </row>
    <row r="402" spans="1:18" x14ac:dyDescent="0.25">
      <c r="A402" s="1" t="s">
        <v>1107</v>
      </c>
      <c r="B402">
        <v>95961790158</v>
      </c>
      <c r="C402" t="s">
        <v>84</v>
      </c>
      <c r="D402" t="s">
        <v>127</v>
      </c>
      <c r="E402">
        <v>6154000000</v>
      </c>
      <c r="F402">
        <v>1132000000</v>
      </c>
      <c r="G402">
        <v>7286000000</v>
      </c>
      <c r="H402">
        <v>9412000000</v>
      </c>
      <c r="I402">
        <v>1135000000</v>
      </c>
      <c r="J402">
        <v>175000000</v>
      </c>
      <c r="K402">
        <v>8194000000</v>
      </c>
      <c r="L402">
        <v>6921000000</v>
      </c>
      <c r="M402">
        <v>18712000000</v>
      </c>
      <c r="N402">
        <v>0</v>
      </c>
      <c r="O402">
        <v>1240000000</v>
      </c>
      <c r="P402">
        <v>8942000000</v>
      </c>
      <c r="Q402">
        <v>97044790158</v>
      </c>
      <c r="R402">
        <v>98284790158</v>
      </c>
    </row>
    <row r="403" spans="1:18" x14ac:dyDescent="0.25">
      <c r="A403" s="1" t="s">
        <v>1106</v>
      </c>
      <c r="B403">
        <v>96960834636</v>
      </c>
      <c r="C403" t="s">
        <v>84</v>
      </c>
      <c r="D403" t="s">
        <v>127</v>
      </c>
      <c r="E403">
        <v>6154000000</v>
      </c>
      <c r="F403">
        <v>1132000000</v>
      </c>
      <c r="G403">
        <v>7286000000</v>
      </c>
      <c r="H403">
        <v>9412000000</v>
      </c>
      <c r="I403">
        <v>1135000000</v>
      </c>
      <c r="J403">
        <v>175000000</v>
      </c>
      <c r="K403">
        <v>8194000000</v>
      </c>
      <c r="L403">
        <v>6921000000</v>
      </c>
      <c r="M403">
        <v>18712000000</v>
      </c>
      <c r="N403">
        <v>0</v>
      </c>
      <c r="O403">
        <v>1240000000</v>
      </c>
      <c r="P403">
        <v>8942000000</v>
      </c>
      <c r="Q403">
        <v>98043834636</v>
      </c>
      <c r="R403">
        <v>99283834636</v>
      </c>
    </row>
    <row r="404" spans="1:18" x14ac:dyDescent="0.25">
      <c r="A404" s="1" t="s">
        <v>1105</v>
      </c>
      <c r="B404">
        <v>93892340882</v>
      </c>
      <c r="C404" t="s">
        <v>84</v>
      </c>
      <c r="D404" t="s">
        <v>127</v>
      </c>
      <c r="E404">
        <v>6154000000</v>
      </c>
      <c r="F404">
        <v>1132000000</v>
      </c>
      <c r="G404">
        <v>7286000000</v>
      </c>
      <c r="H404">
        <v>9412000000</v>
      </c>
      <c r="I404">
        <v>1135000000</v>
      </c>
      <c r="J404">
        <v>175000000</v>
      </c>
      <c r="K404">
        <v>8194000000</v>
      </c>
      <c r="L404">
        <v>6921000000</v>
      </c>
      <c r="M404">
        <v>18712000000</v>
      </c>
      <c r="N404">
        <v>0</v>
      </c>
      <c r="O404">
        <v>1240000000</v>
      </c>
      <c r="P404">
        <v>8942000000</v>
      </c>
      <c r="Q404">
        <v>94975340882</v>
      </c>
      <c r="R404">
        <v>96215340882</v>
      </c>
    </row>
    <row r="405" spans="1:18" x14ac:dyDescent="0.25">
      <c r="A405" s="1" t="s">
        <v>1104</v>
      </c>
      <c r="B405">
        <v>91805051525</v>
      </c>
      <c r="C405" t="s">
        <v>84</v>
      </c>
      <c r="D405" t="s">
        <v>127</v>
      </c>
      <c r="E405">
        <v>6154000000</v>
      </c>
      <c r="F405">
        <v>1132000000</v>
      </c>
      <c r="G405">
        <v>7286000000</v>
      </c>
      <c r="H405">
        <v>9412000000</v>
      </c>
      <c r="I405">
        <v>1135000000</v>
      </c>
      <c r="J405">
        <v>175000000</v>
      </c>
      <c r="K405">
        <v>8194000000</v>
      </c>
      <c r="L405">
        <v>6921000000</v>
      </c>
      <c r="M405">
        <v>18712000000</v>
      </c>
      <c r="N405">
        <v>0</v>
      </c>
      <c r="O405">
        <v>1240000000</v>
      </c>
      <c r="P405">
        <v>8942000000</v>
      </c>
      <c r="Q405">
        <v>92888051525</v>
      </c>
      <c r="R405">
        <v>94128051525</v>
      </c>
    </row>
    <row r="406" spans="1:18" x14ac:dyDescent="0.25">
      <c r="A406" s="1" t="s">
        <v>1103</v>
      </c>
      <c r="B406">
        <v>90984407847</v>
      </c>
      <c r="C406" t="s">
        <v>84</v>
      </c>
      <c r="D406" t="s">
        <v>127</v>
      </c>
      <c r="E406">
        <v>6154000000</v>
      </c>
      <c r="F406">
        <v>1132000000</v>
      </c>
      <c r="G406">
        <v>7286000000</v>
      </c>
      <c r="H406">
        <v>9412000000</v>
      </c>
      <c r="I406">
        <v>1135000000</v>
      </c>
      <c r="J406">
        <v>175000000</v>
      </c>
      <c r="K406">
        <v>8194000000</v>
      </c>
      <c r="L406">
        <v>6921000000</v>
      </c>
      <c r="M406">
        <v>18712000000</v>
      </c>
      <c r="N406">
        <v>0</v>
      </c>
      <c r="O406">
        <v>1240000000</v>
      </c>
      <c r="P406">
        <v>8942000000</v>
      </c>
      <c r="Q406">
        <v>92067407847</v>
      </c>
      <c r="R406">
        <v>93307407847</v>
      </c>
    </row>
    <row r="407" spans="1:18" x14ac:dyDescent="0.25">
      <c r="A407" s="1" t="s">
        <v>1102</v>
      </c>
      <c r="B407">
        <v>90074563768</v>
      </c>
      <c r="C407" t="s">
        <v>84</v>
      </c>
      <c r="D407" t="s">
        <v>127</v>
      </c>
      <c r="E407">
        <v>6154000000</v>
      </c>
      <c r="F407">
        <v>1132000000</v>
      </c>
      <c r="G407">
        <v>7286000000</v>
      </c>
      <c r="H407">
        <v>9412000000</v>
      </c>
      <c r="I407">
        <v>1135000000</v>
      </c>
      <c r="J407">
        <v>175000000</v>
      </c>
      <c r="K407">
        <v>8194000000</v>
      </c>
      <c r="L407">
        <v>6921000000</v>
      </c>
      <c r="M407">
        <v>18712000000</v>
      </c>
      <c r="N407">
        <v>0</v>
      </c>
      <c r="O407">
        <v>1240000000</v>
      </c>
      <c r="P407">
        <v>8942000000</v>
      </c>
      <c r="Q407">
        <v>91157563768</v>
      </c>
      <c r="R407">
        <v>92397563768</v>
      </c>
    </row>
    <row r="408" spans="1:18" x14ac:dyDescent="0.25">
      <c r="A408" s="1" t="s">
        <v>1101</v>
      </c>
      <c r="B408">
        <v>90324324888</v>
      </c>
      <c r="C408" t="s">
        <v>84</v>
      </c>
      <c r="D408" t="s">
        <v>127</v>
      </c>
      <c r="E408">
        <v>6154000000</v>
      </c>
      <c r="F408">
        <v>1132000000</v>
      </c>
      <c r="G408">
        <v>7286000000</v>
      </c>
      <c r="H408">
        <v>9412000000</v>
      </c>
      <c r="I408">
        <v>1135000000</v>
      </c>
      <c r="J408">
        <v>175000000</v>
      </c>
      <c r="K408">
        <v>8194000000</v>
      </c>
      <c r="L408">
        <v>6921000000</v>
      </c>
      <c r="M408">
        <v>18712000000</v>
      </c>
      <c r="N408">
        <v>0</v>
      </c>
      <c r="O408">
        <v>1240000000</v>
      </c>
      <c r="P408">
        <v>8942000000</v>
      </c>
      <c r="Q408">
        <v>91407324888</v>
      </c>
      <c r="R408">
        <v>92647324888</v>
      </c>
    </row>
    <row r="409" spans="1:18" x14ac:dyDescent="0.25">
      <c r="A409" s="1" t="s">
        <v>1100</v>
      </c>
      <c r="B409">
        <v>90306484808</v>
      </c>
      <c r="C409" t="s">
        <v>84</v>
      </c>
      <c r="D409" t="s">
        <v>127</v>
      </c>
      <c r="E409">
        <v>6154000000</v>
      </c>
      <c r="F409">
        <v>1132000000</v>
      </c>
      <c r="G409">
        <v>7286000000</v>
      </c>
      <c r="H409">
        <v>9412000000</v>
      </c>
      <c r="I409">
        <v>1135000000</v>
      </c>
      <c r="J409">
        <v>175000000</v>
      </c>
      <c r="K409">
        <v>8194000000</v>
      </c>
      <c r="L409">
        <v>6921000000</v>
      </c>
      <c r="M409">
        <v>18712000000</v>
      </c>
      <c r="N409">
        <v>0</v>
      </c>
      <c r="O409">
        <v>1240000000</v>
      </c>
      <c r="P409">
        <v>8942000000</v>
      </c>
      <c r="Q409">
        <v>91389484808</v>
      </c>
      <c r="R409">
        <v>92629484808</v>
      </c>
    </row>
    <row r="410" spans="1:18" x14ac:dyDescent="0.25">
      <c r="A410" s="1" t="s">
        <v>1099</v>
      </c>
      <c r="B410">
        <v>92411614244</v>
      </c>
      <c r="C410" t="s">
        <v>84</v>
      </c>
      <c r="D410" t="s">
        <v>127</v>
      </c>
      <c r="E410">
        <v>6154000000</v>
      </c>
      <c r="F410">
        <v>1132000000</v>
      </c>
      <c r="G410">
        <v>7286000000</v>
      </c>
      <c r="H410">
        <v>9412000000</v>
      </c>
      <c r="I410">
        <v>1135000000</v>
      </c>
      <c r="J410">
        <v>175000000</v>
      </c>
      <c r="K410">
        <v>8194000000</v>
      </c>
      <c r="L410">
        <v>6921000000</v>
      </c>
      <c r="M410">
        <v>18712000000</v>
      </c>
      <c r="N410">
        <v>0</v>
      </c>
      <c r="O410">
        <v>1240000000</v>
      </c>
      <c r="P410">
        <v>8942000000</v>
      </c>
      <c r="Q410">
        <v>93494614244</v>
      </c>
      <c r="R410">
        <v>94734614244</v>
      </c>
    </row>
    <row r="411" spans="1:18" x14ac:dyDescent="0.25">
      <c r="A411" s="1" t="s">
        <v>1098</v>
      </c>
      <c r="B411">
        <v>95943950078</v>
      </c>
      <c r="C411" t="s">
        <v>84</v>
      </c>
      <c r="D411" t="s">
        <v>127</v>
      </c>
      <c r="E411">
        <v>6154000000</v>
      </c>
      <c r="F411">
        <v>1132000000</v>
      </c>
      <c r="G411">
        <v>7286000000</v>
      </c>
      <c r="H411">
        <v>9412000000</v>
      </c>
      <c r="I411">
        <v>1135000000</v>
      </c>
      <c r="J411">
        <v>175000000</v>
      </c>
      <c r="K411">
        <v>8194000000</v>
      </c>
      <c r="L411">
        <v>6921000000</v>
      </c>
      <c r="M411">
        <v>18712000000</v>
      </c>
      <c r="N411">
        <v>0</v>
      </c>
      <c r="O411">
        <v>1240000000</v>
      </c>
      <c r="P411">
        <v>8942000000</v>
      </c>
      <c r="Q411">
        <v>97026950078</v>
      </c>
      <c r="R411">
        <v>98266950078</v>
      </c>
    </row>
    <row r="412" spans="1:18" x14ac:dyDescent="0.25">
      <c r="A412" s="1" t="s">
        <v>1097</v>
      </c>
      <c r="B412">
        <v>95819069518</v>
      </c>
      <c r="C412" t="s">
        <v>84</v>
      </c>
      <c r="D412" t="s">
        <v>127</v>
      </c>
      <c r="E412">
        <v>6154000000</v>
      </c>
      <c r="F412">
        <v>1132000000</v>
      </c>
      <c r="G412">
        <v>7286000000</v>
      </c>
      <c r="H412">
        <v>9412000000</v>
      </c>
      <c r="I412">
        <v>1135000000</v>
      </c>
      <c r="J412">
        <v>175000000</v>
      </c>
      <c r="K412">
        <v>8194000000</v>
      </c>
      <c r="L412">
        <v>6921000000</v>
      </c>
      <c r="M412">
        <v>18712000000</v>
      </c>
      <c r="N412">
        <v>0</v>
      </c>
      <c r="O412">
        <v>1240000000</v>
      </c>
      <c r="P412">
        <v>8942000000</v>
      </c>
      <c r="Q412">
        <v>96902069518</v>
      </c>
      <c r="R412">
        <v>98142069518</v>
      </c>
    </row>
    <row r="413" spans="1:18" x14ac:dyDescent="0.25">
      <c r="A413" s="1" t="s">
        <v>1096</v>
      </c>
      <c r="B413">
        <v>94338342881</v>
      </c>
      <c r="C413" t="s">
        <v>84</v>
      </c>
      <c r="D413" t="s">
        <v>127</v>
      </c>
      <c r="E413">
        <v>6154000000</v>
      </c>
      <c r="F413">
        <v>1132000000</v>
      </c>
      <c r="G413">
        <v>7286000000</v>
      </c>
      <c r="H413">
        <v>9412000000</v>
      </c>
      <c r="I413">
        <v>1135000000</v>
      </c>
      <c r="J413">
        <v>175000000</v>
      </c>
      <c r="K413">
        <v>8194000000</v>
      </c>
      <c r="L413">
        <v>6921000000</v>
      </c>
      <c r="M413">
        <v>18712000000</v>
      </c>
      <c r="N413">
        <v>0</v>
      </c>
      <c r="O413">
        <v>1240000000</v>
      </c>
      <c r="P413">
        <v>8942000000</v>
      </c>
      <c r="Q413">
        <v>95421342881</v>
      </c>
      <c r="R413">
        <v>96661342881</v>
      </c>
    </row>
    <row r="414" spans="1:18" x14ac:dyDescent="0.25">
      <c r="A414" s="1" t="s">
        <v>1095</v>
      </c>
      <c r="B414">
        <v>92714895604</v>
      </c>
      <c r="C414" t="s">
        <v>84</v>
      </c>
      <c r="D414" t="s">
        <v>127</v>
      </c>
      <c r="E414">
        <v>6154000000</v>
      </c>
      <c r="F414">
        <v>1132000000</v>
      </c>
      <c r="G414">
        <v>7286000000</v>
      </c>
      <c r="H414">
        <v>9412000000</v>
      </c>
      <c r="I414">
        <v>1135000000</v>
      </c>
      <c r="J414">
        <v>175000000</v>
      </c>
      <c r="K414">
        <v>8194000000</v>
      </c>
      <c r="L414">
        <v>6921000000</v>
      </c>
      <c r="M414">
        <v>18712000000</v>
      </c>
      <c r="N414">
        <v>0</v>
      </c>
      <c r="O414">
        <v>1240000000</v>
      </c>
      <c r="P414">
        <v>8942000000</v>
      </c>
      <c r="Q414">
        <v>93797895604</v>
      </c>
      <c r="R414">
        <v>95037895604</v>
      </c>
    </row>
    <row r="415" spans="1:18" x14ac:dyDescent="0.25">
      <c r="A415" s="1" t="s">
        <v>1094</v>
      </c>
      <c r="B415">
        <v>93250098003</v>
      </c>
      <c r="C415" t="s">
        <v>84</v>
      </c>
      <c r="D415" t="s">
        <v>127</v>
      </c>
      <c r="E415">
        <v>6154000000</v>
      </c>
      <c r="F415">
        <v>1132000000</v>
      </c>
      <c r="G415">
        <v>7286000000</v>
      </c>
      <c r="H415">
        <v>9412000000</v>
      </c>
      <c r="I415">
        <v>1135000000</v>
      </c>
      <c r="J415">
        <v>175000000</v>
      </c>
      <c r="K415">
        <v>8194000000</v>
      </c>
      <c r="L415">
        <v>6921000000</v>
      </c>
      <c r="M415">
        <v>18712000000</v>
      </c>
      <c r="N415">
        <v>0</v>
      </c>
      <c r="O415">
        <v>1240000000</v>
      </c>
      <c r="P415">
        <v>8942000000</v>
      </c>
      <c r="Q415">
        <v>94333098003</v>
      </c>
      <c r="R415">
        <v>95573098003</v>
      </c>
    </row>
    <row r="416" spans="1:18" x14ac:dyDescent="0.25">
      <c r="A416" s="1" t="s">
        <v>1093</v>
      </c>
      <c r="B416">
        <v>94820025040</v>
      </c>
      <c r="C416" t="s">
        <v>84</v>
      </c>
      <c r="D416" t="s">
        <v>127</v>
      </c>
      <c r="E416">
        <v>6154000000</v>
      </c>
      <c r="F416">
        <v>1132000000</v>
      </c>
      <c r="G416">
        <v>7286000000</v>
      </c>
      <c r="H416">
        <v>9412000000</v>
      </c>
      <c r="I416">
        <v>1135000000</v>
      </c>
      <c r="J416">
        <v>175000000</v>
      </c>
      <c r="K416">
        <v>8194000000</v>
      </c>
      <c r="L416">
        <v>6921000000</v>
      </c>
      <c r="M416">
        <v>18712000000</v>
      </c>
      <c r="N416">
        <v>0</v>
      </c>
      <c r="O416">
        <v>1240000000</v>
      </c>
      <c r="P416">
        <v>8942000000</v>
      </c>
      <c r="Q416">
        <v>95903025040</v>
      </c>
      <c r="R416">
        <v>97143025040</v>
      </c>
    </row>
    <row r="417" spans="1:18" x14ac:dyDescent="0.25">
      <c r="A417" s="1" t="s">
        <v>83</v>
      </c>
      <c r="B417">
        <v>91800000000</v>
      </c>
      <c r="C417" t="s">
        <v>84</v>
      </c>
      <c r="D417" t="s">
        <v>127</v>
      </c>
      <c r="E417">
        <v>6154000000</v>
      </c>
      <c r="F417">
        <v>1132000000</v>
      </c>
      <c r="G417">
        <v>7286000000</v>
      </c>
      <c r="H417">
        <v>9412000000</v>
      </c>
      <c r="I417">
        <v>1135000000</v>
      </c>
      <c r="J417">
        <v>175000000</v>
      </c>
      <c r="K417">
        <v>8194000000</v>
      </c>
      <c r="L417">
        <v>6921000000</v>
      </c>
      <c r="M417">
        <v>18712000000</v>
      </c>
      <c r="N417">
        <v>0</v>
      </c>
      <c r="O417">
        <v>1240000000</v>
      </c>
      <c r="P417">
        <v>8942000000</v>
      </c>
      <c r="Q417">
        <v>92883000000</v>
      </c>
      <c r="R417">
        <v>94123000000</v>
      </c>
    </row>
    <row r="418" spans="1:18" x14ac:dyDescent="0.25">
      <c r="A418" s="1" t="s">
        <v>1092</v>
      </c>
      <c r="B418">
        <v>92052000000</v>
      </c>
      <c r="C418" t="s">
        <v>84</v>
      </c>
      <c r="D418" t="s">
        <v>127</v>
      </c>
      <c r="E418">
        <v>6154000000</v>
      </c>
      <c r="F418">
        <v>1132000000</v>
      </c>
      <c r="G418">
        <v>7286000000</v>
      </c>
      <c r="H418">
        <v>9412000000</v>
      </c>
      <c r="I418">
        <v>1135000000</v>
      </c>
      <c r="J418">
        <v>175000000</v>
      </c>
      <c r="K418">
        <v>8194000000</v>
      </c>
      <c r="L418">
        <v>6921000000</v>
      </c>
      <c r="M418">
        <v>18712000000</v>
      </c>
      <c r="N418">
        <v>0</v>
      </c>
      <c r="O418">
        <v>1240000000</v>
      </c>
      <c r="P418">
        <v>8942000000</v>
      </c>
      <c r="Q418">
        <v>93135000000</v>
      </c>
      <c r="R418">
        <v>94375000000</v>
      </c>
    </row>
    <row r="419" spans="1:18" x14ac:dyDescent="0.25">
      <c r="A419" s="1" t="s">
        <v>1091</v>
      </c>
      <c r="B419">
        <v>97218000000</v>
      </c>
      <c r="C419" t="s">
        <v>84</v>
      </c>
      <c r="D419" t="s">
        <v>127</v>
      </c>
      <c r="E419">
        <v>6154000000</v>
      </c>
      <c r="F419">
        <v>1132000000</v>
      </c>
      <c r="G419">
        <v>7286000000</v>
      </c>
      <c r="H419">
        <v>9412000000</v>
      </c>
      <c r="I419">
        <v>1135000000</v>
      </c>
      <c r="J419">
        <v>175000000</v>
      </c>
      <c r="K419">
        <v>8194000000</v>
      </c>
      <c r="L419">
        <v>6921000000</v>
      </c>
      <c r="M419">
        <v>18712000000</v>
      </c>
      <c r="N419">
        <v>0</v>
      </c>
      <c r="O419">
        <v>1240000000</v>
      </c>
      <c r="P419">
        <v>8942000000</v>
      </c>
      <c r="Q419">
        <v>98301000000</v>
      </c>
      <c r="R419">
        <v>99541000000</v>
      </c>
    </row>
    <row r="420" spans="1:18" x14ac:dyDescent="0.25">
      <c r="A420" s="1" t="s">
        <v>1090</v>
      </c>
      <c r="B420">
        <v>94464000000</v>
      </c>
      <c r="C420" t="s">
        <v>84</v>
      </c>
      <c r="D420" t="s">
        <v>127</v>
      </c>
      <c r="E420">
        <v>6154000000</v>
      </c>
      <c r="F420">
        <v>1132000000</v>
      </c>
      <c r="G420">
        <v>7286000000</v>
      </c>
      <c r="H420">
        <v>9412000000</v>
      </c>
      <c r="I420">
        <v>1135000000</v>
      </c>
      <c r="J420">
        <v>175000000</v>
      </c>
      <c r="K420">
        <v>8194000000</v>
      </c>
      <c r="L420">
        <v>6921000000</v>
      </c>
      <c r="M420">
        <v>18712000000</v>
      </c>
      <c r="N420">
        <v>0</v>
      </c>
      <c r="O420">
        <v>1240000000</v>
      </c>
      <c r="P420">
        <v>8942000000</v>
      </c>
      <c r="Q420">
        <v>95547000000</v>
      </c>
      <c r="R420">
        <v>96787000000</v>
      </c>
    </row>
    <row r="421" spans="1:18" x14ac:dyDescent="0.25">
      <c r="A421" s="1" t="s">
        <v>1089</v>
      </c>
      <c r="B421">
        <v>101034000000</v>
      </c>
      <c r="C421" t="s">
        <v>84</v>
      </c>
      <c r="D421" t="s">
        <v>127</v>
      </c>
      <c r="E421">
        <v>6154000000</v>
      </c>
      <c r="F421">
        <v>1132000000</v>
      </c>
      <c r="G421">
        <v>7286000000</v>
      </c>
      <c r="H421">
        <v>9412000000</v>
      </c>
      <c r="I421">
        <v>1135000000</v>
      </c>
      <c r="J421">
        <v>175000000</v>
      </c>
      <c r="K421">
        <v>8194000000</v>
      </c>
      <c r="L421">
        <v>6921000000</v>
      </c>
      <c r="M421">
        <v>18712000000</v>
      </c>
      <c r="N421">
        <v>0</v>
      </c>
      <c r="O421">
        <v>1240000000</v>
      </c>
      <c r="P421">
        <v>8942000000</v>
      </c>
      <c r="Q421">
        <v>102117000000</v>
      </c>
      <c r="R421">
        <v>103357000000</v>
      </c>
    </row>
    <row r="422" spans="1:18" x14ac:dyDescent="0.25">
      <c r="A422" s="1" t="s">
        <v>1088</v>
      </c>
      <c r="B422">
        <v>95904000000</v>
      </c>
      <c r="C422" t="s">
        <v>84</v>
      </c>
      <c r="D422" t="s">
        <v>127</v>
      </c>
      <c r="E422">
        <v>6154000000</v>
      </c>
      <c r="F422">
        <v>1132000000</v>
      </c>
      <c r="G422">
        <v>7286000000</v>
      </c>
      <c r="H422">
        <v>9412000000</v>
      </c>
      <c r="I422">
        <v>1135000000</v>
      </c>
      <c r="J422">
        <v>175000000</v>
      </c>
      <c r="K422">
        <v>8194000000</v>
      </c>
      <c r="L422">
        <v>6921000000</v>
      </c>
      <c r="M422">
        <v>18712000000</v>
      </c>
      <c r="N422">
        <v>0</v>
      </c>
      <c r="O422">
        <v>1240000000</v>
      </c>
      <c r="P422">
        <v>8942000000</v>
      </c>
      <c r="Q422">
        <v>96987000000</v>
      </c>
      <c r="R422">
        <v>98227000000</v>
      </c>
    </row>
    <row r="423" spans="1:18" x14ac:dyDescent="0.25">
      <c r="A423" s="1" t="s">
        <v>1087</v>
      </c>
      <c r="B423">
        <v>98262000000</v>
      </c>
      <c r="C423" t="s">
        <v>84</v>
      </c>
      <c r="D423" t="s">
        <v>127</v>
      </c>
      <c r="E423">
        <v>6154000000</v>
      </c>
      <c r="F423">
        <v>1132000000</v>
      </c>
      <c r="G423">
        <v>7286000000</v>
      </c>
      <c r="H423">
        <v>9412000000</v>
      </c>
      <c r="I423">
        <v>1135000000</v>
      </c>
      <c r="J423">
        <v>175000000</v>
      </c>
      <c r="K423">
        <v>8194000000</v>
      </c>
      <c r="L423">
        <v>6921000000</v>
      </c>
      <c r="M423">
        <v>18712000000</v>
      </c>
      <c r="N423">
        <v>0</v>
      </c>
      <c r="O423">
        <v>1240000000</v>
      </c>
      <c r="P423">
        <v>8942000000</v>
      </c>
      <c r="Q423">
        <v>99345000000</v>
      </c>
      <c r="R423">
        <v>100585000000</v>
      </c>
    </row>
    <row r="424" spans="1:18" x14ac:dyDescent="0.25">
      <c r="A424" s="1" t="s">
        <v>1086</v>
      </c>
      <c r="B424">
        <v>105372000000</v>
      </c>
      <c r="C424" t="s">
        <v>84</v>
      </c>
      <c r="D424" t="s">
        <v>127</v>
      </c>
      <c r="E424">
        <v>6154000000</v>
      </c>
      <c r="F424">
        <v>1132000000</v>
      </c>
      <c r="G424">
        <v>7286000000</v>
      </c>
      <c r="H424">
        <v>9412000000</v>
      </c>
      <c r="I424">
        <v>1135000000</v>
      </c>
      <c r="J424">
        <v>175000000</v>
      </c>
      <c r="K424">
        <v>8194000000</v>
      </c>
      <c r="L424">
        <v>6921000000</v>
      </c>
      <c r="M424">
        <v>18712000000</v>
      </c>
      <c r="N424">
        <v>0</v>
      </c>
      <c r="O424">
        <v>1240000000</v>
      </c>
      <c r="P424">
        <v>8942000000</v>
      </c>
      <c r="Q424">
        <v>106455000000</v>
      </c>
      <c r="R424">
        <v>107695000000</v>
      </c>
    </row>
    <row r="425" spans="1:18" x14ac:dyDescent="0.25">
      <c r="A425" s="1" t="s">
        <v>1085</v>
      </c>
      <c r="B425">
        <v>106920000000</v>
      </c>
      <c r="C425" t="s">
        <v>84</v>
      </c>
      <c r="D425" t="s">
        <v>127</v>
      </c>
      <c r="E425">
        <v>6154000000</v>
      </c>
      <c r="F425">
        <v>1132000000</v>
      </c>
      <c r="G425">
        <v>7286000000</v>
      </c>
      <c r="H425">
        <v>9412000000</v>
      </c>
      <c r="I425">
        <v>1135000000</v>
      </c>
      <c r="J425">
        <v>175000000</v>
      </c>
      <c r="K425">
        <v>8194000000</v>
      </c>
      <c r="L425">
        <v>6921000000</v>
      </c>
      <c r="M425">
        <v>18712000000</v>
      </c>
      <c r="N425">
        <v>0</v>
      </c>
      <c r="O425">
        <v>1240000000</v>
      </c>
      <c r="P425">
        <v>8942000000</v>
      </c>
      <c r="Q425">
        <v>108003000000</v>
      </c>
      <c r="R425">
        <v>109243000000</v>
      </c>
    </row>
    <row r="426" spans="1:18" x14ac:dyDescent="0.25">
      <c r="A426" s="1" t="s">
        <v>1084</v>
      </c>
      <c r="B426">
        <v>102438000000</v>
      </c>
      <c r="C426" t="s">
        <v>84</v>
      </c>
      <c r="D426" t="s">
        <v>127</v>
      </c>
      <c r="E426">
        <v>6154000000</v>
      </c>
      <c r="F426">
        <v>1132000000</v>
      </c>
      <c r="G426">
        <v>7286000000</v>
      </c>
      <c r="H426">
        <v>9412000000</v>
      </c>
      <c r="I426">
        <v>1135000000</v>
      </c>
      <c r="J426">
        <v>175000000</v>
      </c>
      <c r="K426">
        <v>8194000000</v>
      </c>
      <c r="L426">
        <v>6921000000</v>
      </c>
      <c r="M426">
        <v>18712000000</v>
      </c>
      <c r="N426">
        <v>0</v>
      </c>
      <c r="O426">
        <v>1240000000</v>
      </c>
      <c r="P426">
        <v>8942000000</v>
      </c>
      <c r="Q426">
        <v>103521000000</v>
      </c>
      <c r="R426">
        <v>104761000000</v>
      </c>
    </row>
    <row r="427" spans="1:18" x14ac:dyDescent="0.25">
      <c r="A427" s="1" t="s">
        <v>1083</v>
      </c>
      <c r="B427">
        <v>99936000000</v>
      </c>
      <c r="C427" t="s">
        <v>84</v>
      </c>
      <c r="D427" t="s">
        <v>127</v>
      </c>
      <c r="E427">
        <v>6154000000</v>
      </c>
      <c r="F427">
        <v>1132000000</v>
      </c>
      <c r="G427">
        <v>7286000000</v>
      </c>
      <c r="H427">
        <v>9412000000</v>
      </c>
      <c r="I427">
        <v>1135000000</v>
      </c>
      <c r="J427">
        <v>175000000</v>
      </c>
      <c r="K427">
        <v>8194000000</v>
      </c>
      <c r="L427">
        <v>6921000000</v>
      </c>
      <c r="M427">
        <v>18712000000</v>
      </c>
      <c r="N427">
        <v>0</v>
      </c>
      <c r="O427">
        <v>1240000000</v>
      </c>
      <c r="P427">
        <v>8942000000</v>
      </c>
      <c r="Q427">
        <v>101019000000</v>
      </c>
      <c r="R427">
        <v>102259000000</v>
      </c>
    </row>
    <row r="428" spans="1:18" x14ac:dyDescent="0.25">
      <c r="A428" s="1" t="s">
        <v>1082</v>
      </c>
      <c r="B428">
        <v>101340000000</v>
      </c>
      <c r="C428" t="s">
        <v>84</v>
      </c>
      <c r="D428" t="s">
        <v>127</v>
      </c>
      <c r="E428">
        <v>6154000000</v>
      </c>
      <c r="F428">
        <v>1132000000</v>
      </c>
      <c r="G428">
        <v>7286000000</v>
      </c>
      <c r="H428">
        <v>9412000000</v>
      </c>
      <c r="I428">
        <v>1135000000</v>
      </c>
      <c r="J428">
        <v>175000000</v>
      </c>
      <c r="K428">
        <v>8194000000</v>
      </c>
      <c r="L428">
        <v>6921000000</v>
      </c>
      <c r="M428">
        <v>18712000000</v>
      </c>
      <c r="N428">
        <v>0</v>
      </c>
      <c r="O428">
        <v>1240000000</v>
      </c>
      <c r="P428">
        <v>8942000000</v>
      </c>
      <c r="Q428">
        <v>102423000000</v>
      </c>
      <c r="R428">
        <v>103663000000</v>
      </c>
    </row>
    <row r="429" spans="1:18" x14ac:dyDescent="0.25">
      <c r="A429" s="1" t="s">
        <v>1081</v>
      </c>
      <c r="B429">
        <v>101484000000</v>
      </c>
      <c r="C429" t="s">
        <v>84</v>
      </c>
      <c r="D429" t="s">
        <v>127</v>
      </c>
      <c r="E429">
        <v>6154000000</v>
      </c>
      <c r="F429">
        <v>1132000000</v>
      </c>
      <c r="G429">
        <v>7286000000</v>
      </c>
      <c r="H429">
        <v>9412000000</v>
      </c>
      <c r="I429">
        <v>1135000000</v>
      </c>
      <c r="J429">
        <v>175000000</v>
      </c>
      <c r="K429">
        <v>8194000000</v>
      </c>
      <c r="L429">
        <v>6921000000</v>
      </c>
      <c r="M429">
        <v>18712000000</v>
      </c>
      <c r="N429">
        <v>0</v>
      </c>
      <c r="O429">
        <v>1240000000</v>
      </c>
      <c r="P429">
        <v>8942000000</v>
      </c>
      <c r="Q429">
        <v>102567000000</v>
      </c>
      <c r="R429">
        <v>103807000000</v>
      </c>
    </row>
    <row r="430" spans="1:18" x14ac:dyDescent="0.25">
      <c r="A430" s="1" t="s">
        <v>1080</v>
      </c>
      <c r="B430">
        <v>100422000000</v>
      </c>
      <c r="C430" t="s">
        <v>84</v>
      </c>
      <c r="D430" t="s">
        <v>127</v>
      </c>
      <c r="E430">
        <v>6154000000</v>
      </c>
      <c r="F430">
        <v>1132000000</v>
      </c>
      <c r="G430">
        <v>7286000000</v>
      </c>
      <c r="H430">
        <v>9412000000</v>
      </c>
      <c r="I430">
        <v>1135000000</v>
      </c>
      <c r="J430">
        <v>175000000</v>
      </c>
      <c r="K430">
        <v>8194000000</v>
      </c>
      <c r="L430">
        <v>6921000000</v>
      </c>
      <c r="M430">
        <v>18712000000</v>
      </c>
      <c r="N430">
        <v>0</v>
      </c>
      <c r="O430">
        <v>1240000000</v>
      </c>
      <c r="P430">
        <v>8942000000</v>
      </c>
      <c r="Q430">
        <v>101505000000</v>
      </c>
      <c r="R430">
        <v>102745000000</v>
      </c>
    </row>
    <row r="431" spans="1:18" x14ac:dyDescent="0.25">
      <c r="A431" s="1" t="s">
        <v>1079</v>
      </c>
      <c r="B431">
        <v>97758000000</v>
      </c>
      <c r="C431" t="s">
        <v>84</v>
      </c>
      <c r="D431" t="s">
        <v>127</v>
      </c>
      <c r="E431">
        <v>6154000000</v>
      </c>
      <c r="F431">
        <v>1132000000</v>
      </c>
      <c r="G431">
        <v>7286000000</v>
      </c>
      <c r="H431">
        <v>9412000000</v>
      </c>
      <c r="I431">
        <v>1135000000</v>
      </c>
      <c r="J431">
        <v>175000000</v>
      </c>
      <c r="K431">
        <v>8194000000</v>
      </c>
      <c r="L431">
        <v>6921000000</v>
      </c>
      <c r="M431">
        <v>18712000000</v>
      </c>
      <c r="N431">
        <v>0</v>
      </c>
      <c r="O431">
        <v>1240000000</v>
      </c>
      <c r="P431">
        <v>8942000000</v>
      </c>
      <c r="Q431">
        <v>98841000000</v>
      </c>
      <c r="R431">
        <v>100081000000</v>
      </c>
    </row>
    <row r="432" spans="1:18" x14ac:dyDescent="0.25">
      <c r="A432" s="1" t="s">
        <v>1078</v>
      </c>
      <c r="B432">
        <v>97722000000</v>
      </c>
      <c r="C432" t="s">
        <v>84</v>
      </c>
      <c r="D432" t="s">
        <v>127</v>
      </c>
      <c r="E432">
        <v>6154000000</v>
      </c>
      <c r="F432">
        <v>1132000000</v>
      </c>
      <c r="G432">
        <v>7286000000</v>
      </c>
      <c r="H432">
        <v>9412000000</v>
      </c>
      <c r="I432">
        <v>1135000000</v>
      </c>
      <c r="J432">
        <v>175000000</v>
      </c>
      <c r="K432">
        <v>8194000000</v>
      </c>
      <c r="L432">
        <v>6921000000</v>
      </c>
      <c r="M432">
        <v>18712000000</v>
      </c>
      <c r="N432">
        <v>0</v>
      </c>
      <c r="O432">
        <v>1240000000</v>
      </c>
      <c r="P432">
        <v>8942000000</v>
      </c>
      <c r="Q432">
        <v>98805000000</v>
      </c>
      <c r="R432">
        <v>100045000000</v>
      </c>
    </row>
    <row r="433" spans="1:18" x14ac:dyDescent="0.25">
      <c r="A433" s="1" t="s">
        <v>1077</v>
      </c>
      <c r="B433">
        <v>93456000000</v>
      </c>
      <c r="C433" t="s">
        <v>84</v>
      </c>
      <c r="D433" t="s">
        <v>127</v>
      </c>
      <c r="E433">
        <v>6154000000</v>
      </c>
      <c r="F433">
        <v>1132000000</v>
      </c>
      <c r="G433">
        <v>7286000000</v>
      </c>
      <c r="H433">
        <v>9412000000</v>
      </c>
      <c r="I433">
        <v>1135000000</v>
      </c>
      <c r="J433">
        <v>175000000</v>
      </c>
      <c r="K433">
        <v>8194000000</v>
      </c>
      <c r="L433">
        <v>6921000000</v>
      </c>
      <c r="M433">
        <v>18712000000</v>
      </c>
      <c r="N433">
        <v>0</v>
      </c>
      <c r="O433">
        <v>1240000000</v>
      </c>
      <c r="P433">
        <v>8942000000</v>
      </c>
      <c r="Q433">
        <v>94539000000</v>
      </c>
      <c r="R433">
        <v>95779000000</v>
      </c>
    </row>
    <row r="434" spans="1:18" x14ac:dyDescent="0.25">
      <c r="A434" s="1" t="s">
        <v>1076</v>
      </c>
      <c r="B434">
        <v>86598000000</v>
      </c>
      <c r="C434" t="s">
        <v>84</v>
      </c>
      <c r="D434" t="s">
        <v>127</v>
      </c>
      <c r="E434">
        <v>6154000000</v>
      </c>
      <c r="F434">
        <v>1132000000</v>
      </c>
      <c r="G434">
        <v>7286000000</v>
      </c>
      <c r="H434">
        <v>9412000000</v>
      </c>
      <c r="I434">
        <v>1135000000</v>
      </c>
      <c r="J434">
        <v>175000000</v>
      </c>
      <c r="K434">
        <v>8194000000</v>
      </c>
      <c r="L434">
        <v>6921000000</v>
      </c>
      <c r="M434">
        <v>18712000000</v>
      </c>
      <c r="N434">
        <v>0</v>
      </c>
      <c r="O434">
        <v>1240000000</v>
      </c>
      <c r="P434">
        <v>8942000000</v>
      </c>
      <c r="Q434">
        <v>87681000000</v>
      </c>
      <c r="R434">
        <v>88921000000</v>
      </c>
    </row>
    <row r="435" spans="1:18" x14ac:dyDescent="0.25">
      <c r="A435" s="1" t="s">
        <v>1075</v>
      </c>
      <c r="B435">
        <v>92844000000</v>
      </c>
      <c r="C435" t="s">
        <v>84</v>
      </c>
      <c r="D435" t="s">
        <v>127</v>
      </c>
      <c r="E435">
        <v>6154000000</v>
      </c>
      <c r="F435">
        <v>1132000000</v>
      </c>
      <c r="G435">
        <v>7286000000</v>
      </c>
      <c r="H435">
        <v>9412000000</v>
      </c>
      <c r="I435">
        <v>1135000000</v>
      </c>
      <c r="J435">
        <v>175000000</v>
      </c>
      <c r="K435">
        <v>8194000000</v>
      </c>
      <c r="L435">
        <v>6921000000</v>
      </c>
      <c r="M435">
        <v>18712000000</v>
      </c>
      <c r="N435">
        <v>0</v>
      </c>
      <c r="O435">
        <v>1240000000</v>
      </c>
      <c r="P435">
        <v>8942000000</v>
      </c>
      <c r="Q435">
        <v>93927000000</v>
      </c>
      <c r="R435">
        <v>95167000000</v>
      </c>
    </row>
    <row r="436" spans="1:18" x14ac:dyDescent="0.25">
      <c r="A436" s="1" t="s">
        <v>1074</v>
      </c>
      <c r="B436">
        <v>91674000000</v>
      </c>
      <c r="C436" t="s">
        <v>84</v>
      </c>
      <c r="D436" t="s">
        <v>127</v>
      </c>
      <c r="E436">
        <v>6154000000</v>
      </c>
      <c r="F436">
        <v>1132000000</v>
      </c>
      <c r="G436">
        <v>7286000000</v>
      </c>
      <c r="H436">
        <v>9412000000</v>
      </c>
      <c r="I436">
        <v>1135000000</v>
      </c>
      <c r="J436">
        <v>175000000</v>
      </c>
      <c r="K436">
        <v>8194000000</v>
      </c>
      <c r="L436">
        <v>6921000000</v>
      </c>
      <c r="M436">
        <v>18712000000</v>
      </c>
      <c r="N436">
        <v>0</v>
      </c>
      <c r="O436">
        <v>1240000000</v>
      </c>
      <c r="P436">
        <v>8942000000</v>
      </c>
      <c r="Q436">
        <v>92757000000</v>
      </c>
      <c r="R436">
        <v>93997000000</v>
      </c>
    </row>
    <row r="437" spans="1:18" x14ac:dyDescent="0.25">
      <c r="A437" s="1" t="s">
        <v>1073</v>
      </c>
      <c r="B437">
        <v>94968000000</v>
      </c>
      <c r="C437" t="s">
        <v>84</v>
      </c>
      <c r="D437" t="s">
        <v>127</v>
      </c>
      <c r="E437">
        <v>6154000000</v>
      </c>
      <c r="F437">
        <v>1132000000</v>
      </c>
      <c r="G437">
        <v>7286000000</v>
      </c>
      <c r="H437">
        <v>9412000000</v>
      </c>
      <c r="I437">
        <v>1135000000</v>
      </c>
      <c r="J437">
        <v>175000000</v>
      </c>
      <c r="K437">
        <v>8194000000</v>
      </c>
      <c r="L437">
        <v>6921000000</v>
      </c>
      <c r="M437">
        <v>18712000000</v>
      </c>
      <c r="N437">
        <v>0</v>
      </c>
      <c r="O437">
        <v>1240000000</v>
      </c>
      <c r="P437">
        <v>8942000000</v>
      </c>
      <c r="Q437">
        <v>96051000000</v>
      </c>
      <c r="R437">
        <v>97291000000</v>
      </c>
    </row>
    <row r="438" spans="1:18" x14ac:dyDescent="0.25">
      <c r="A438" s="1" t="s">
        <v>1072</v>
      </c>
      <c r="B438">
        <v>101628000000</v>
      </c>
      <c r="C438" t="s">
        <v>84</v>
      </c>
      <c r="D438" t="s">
        <v>127</v>
      </c>
      <c r="E438">
        <v>6154000000</v>
      </c>
      <c r="F438">
        <v>1132000000</v>
      </c>
      <c r="G438">
        <v>7286000000</v>
      </c>
      <c r="H438">
        <v>9412000000</v>
      </c>
      <c r="I438">
        <v>1135000000</v>
      </c>
      <c r="J438">
        <v>175000000</v>
      </c>
      <c r="K438">
        <v>8194000000</v>
      </c>
      <c r="L438">
        <v>6921000000</v>
      </c>
      <c r="M438">
        <v>18712000000</v>
      </c>
      <c r="N438">
        <v>0</v>
      </c>
      <c r="O438">
        <v>1240000000</v>
      </c>
      <c r="P438">
        <v>8942000000</v>
      </c>
      <c r="Q438">
        <v>102711000000</v>
      </c>
      <c r="R438">
        <v>103951000000</v>
      </c>
    </row>
    <row r="439" spans="1:18" x14ac:dyDescent="0.25">
      <c r="A439" s="1" t="s">
        <v>1071</v>
      </c>
      <c r="B439">
        <v>102816000000</v>
      </c>
      <c r="C439" t="s">
        <v>84</v>
      </c>
      <c r="D439" t="s">
        <v>127</v>
      </c>
      <c r="E439">
        <v>6154000000</v>
      </c>
      <c r="F439">
        <v>1132000000</v>
      </c>
      <c r="G439">
        <v>7286000000</v>
      </c>
      <c r="H439">
        <v>9412000000</v>
      </c>
      <c r="I439">
        <v>1135000000</v>
      </c>
      <c r="J439">
        <v>175000000</v>
      </c>
      <c r="K439">
        <v>8194000000</v>
      </c>
      <c r="L439">
        <v>6921000000</v>
      </c>
      <c r="M439">
        <v>18712000000</v>
      </c>
      <c r="N439">
        <v>0</v>
      </c>
      <c r="O439">
        <v>1240000000</v>
      </c>
      <c r="P439">
        <v>8942000000</v>
      </c>
      <c r="Q439">
        <v>103899000000</v>
      </c>
      <c r="R439">
        <v>105139000000</v>
      </c>
    </row>
    <row r="440" spans="1:18" x14ac:dyDescent="0.25">
      <c r="A440" s="1" t="s">
        <v>1070</v>
      </c>
      <c r="B440">
        <v>104130000000</v>
      </c>
      <c r="C440" t="s">
        <v>84</v>
      </c>
      <c r="D440" t="s">
        <v>127</v>
      </c>
      <c r="E440">
        <v>6154000000</v>
      </c>
      <c r="F440">
        <v>1132000000</v>
      </c>
      <c r="G440">
        <v>7286000000</v>
      </c>
      <c r="H440">
        <v>9412000000</v>
      </c>
      <c r="I440">
        <v>1135000000</v>
      </c>
      <c r="J440">
        <v>175000000</v>
      </c>
      <c r="K440">
        <v>8194000000</v>
      </c>
      <c r="L440">
        <v>6921000000</v>
      </c>
      <c r="M440">
        <v>18712000000</v>
      </c>
      <c r="N440">
        <v>0</v>
      </c>
      <c r="O440">
        <v>1240000000</v>
      </c>
      <c r="P440">
        <v>8942000000</v>
      </c>
      <c r="Q440">
        <v>105213000000</v>
      </c>
      <c r="R440">
        <v>106453000000</v>
      </c>
    </row>
    <row r="441" spans="1:18" x14ac:dyDescent="0.25">
      <c r="A441" s="1" t="s">
        <v>1069</v>
      </c>
      <c r="B441">
        <v>105444000000</v>
      </c>
      <c r="C441" t="s">
        <v>84</v>
      </c>
      <c r="D441" t="s">
        <v>127</v>
      </c>
      <c r="E441">
        <v>6154000000</v>
      </c>
      <c r="F441">
        <v>1132000000</v>
      </c>
      <c r="G441">
        <v>7286000000</v>
      </c>
      <c r="H441">
        <v>9412000000</v>
      </c>
      <c r="I441">
        <v>1135000000</v>
      </c>
      <c r="J441">
        <v>175000000</v>
      </c>
      <c r="K441">
        <v>8194000000</v>
      </c>
      <c r="L441">
        <v>6921000000</v>
      </c>
      <c r="M441">
        <v>18712000000</v>
      </c>
      <c r="N441">
        <v>0</v>
      </c>
      <c r="O441">
        <v>1240000000</v>
      </c>
      <c r="P441">
        <v>8942000000</v>
      </c>
      <c r="Q441">
        <v>106527000000</v>
      </c>
      <c r="R441">
        <v>107767000000</v>
      </c>
    </row>
    <row r="442" spans="1:18" x14ac:dyDescent="0.25">
      <c r="A442" s="1" t="s">
        <v>1068</v>
      </c>
      <c r="B442">
        <v>106722000000</v>
      </c>
      <c r="C442" t="s">
        <v>84</v>
      </c>
      <c r="D442" t="s">
        <v>127</v>
      </c>
      <c r="E442">
        <v>6154000000</v>
      </c>
      <c r="F442">
        <v>1132000000</v>
      </c>
      <c r="G442">
        <v>7286000000</v>
      </c>
      <c r="H442">
        <v>9412000000</v>
      </c>
      <c r="I442">
        <v>1135000000</v>
      </c>
      <c r="J442">
        <v>175000000</v>
      </c>
      <c r="K442">
        <v>8194000000</v>
      </c>
      <c r="L442">
        <v>6921000000</v>
      </c>
      <c r="M442">
        <v>18712000000</v>
      </c>
      <c r="N442">
        <v>0</v>
      </c>
      <c r="O442">
        <v>1240000000</v>
      </c>
      <c r="P442">
        <v>8942000000</v>
      </c>
      <c r="Q442">
        <v>107805000000</v>
      </c>
      <c r="R442">
        <v>109045000000</v>
      </c>
    </row>
    <row r="443" spans="1:18" x14ac:dyDescent="0.25">
      <c r="A443" s="1" t="s">
        <v>1067</v>
      </c>
      <c r="B443">
        <v>107298000000</v>
      </c>
      <c r="C443" t="s">
        <v>84</v>
      </c>
      <c r="D443" t="s">
        <v>127</v>
      </c>
      <c r="E443">
        <v>6154000000</v>
      </c>
      <c r="F443">
        <v>1132000000</v>
      </c>
      <c r="G443">
        <v>7286000000</v>
      </c>
      <c r="H443">
        <v>9412000000</v>
      </c>
      <c r="I443">
        <v>1135000000</v>
      </c>
      <c r="J443">
        <v>175000000</v>
      </c>
      <c r="K443">
        <v>8194000000</v>
      </c>
      <c r="L443">
        <v>6921000000</v>
      </c>
      <c r="M443">
        <v>18712000000</v>
      </c>
      <c r="N443">
        <v>0</v>
      </c>
      <c r="O443">
        <v>1240000000</v>
      </c>
      <c r="P443">
        <v>8942000000</v>
      </c>
      <c r="Q443">
        <v>108381000000</v>
      </c>
      <c r="R443">
        <v>109621000000</v>
      </c>
    </row>
    <row r="444" spans="1:18" x14ac:dyDescent="0.25">
      <c r="A444" s="1" t="s">
        <v>132</v>
      </c>
      <c r="B444">
        <v>113724000000</v>
      </c>
      <c r="C444" t="s">
        <v>84</v>
      </c>
      <c r="D444" t="s">
        <v>127</v>
      </c>
      <c r="E444">
        <v>6154000000</v>
      </c>
      <c r="F444">
        <v>1132000000</v>
      </c>
      <c r="G444">
        <v>7286000000</v>
      </c>
      <c r="H444">
        <v>9412000000</v>
      </c>
      <c r="I444">
        <v>1135000000</v>
      </c>
      <c r="J444">
        <v>175000000</v>
      </c>
      <c r="K444">
        <v>8194000000</v>
      </c>
      <c r="L444">
        <v>6921000000</v>
      </c>
      <c r="M444">
        <v>18712000000</v>
      </c>
      <c r="N444">
        <v>0</v>
      </c>
      <c r="O444">
        <v>1240000000</v>
      </c>
      <c r="P444">
        <v>8942000000</v>
      </c>
      <c r="Q444">
        <v>114807000000</v>
      </c>
      <c r="R444">
        <v>116047000000</v>
      </c>
    </row>
    <row r="445" spans="1:18" x14ac:dyDescent="0.25">
      <c r="A445" s="1" t="s">
        <v>1066</v>
      </c>
      <c r="B445">
        <v>109278000000</v>
      </c>
      <c r="C445" t="s">
        <v>83</v>
      </c>
      <c r="D445" t="s">
        <v>127</v>
      </c>
      <c r="E445">
        <v>5647000000</v>
      </c>
      <c r="F445">
        <v>1180000000</v>
      </c>
      <c r="G445">
        <v>6827000000</v>
      </c>
      <c r="H445">
        <v>9882000000</v>
      </c>
      <c r="I445">
        <v>1215000000</v>
      </c>
      <c r="J445">
        <v>175000000</v>
      </c>
      <c r="K445">
        <v>9104000000</v>
      </c>
      <c r="L445">
        <v>6865000000</v>
      </c>
      <c r="M445">
        <v>19498000000</v>
      </c>
      <c r="N445">
        <v>0</v>
      </c>
      <c r="O445">
        <v>1488000000</v>
      </c>
      <c r="P445">
        <v>12266000000</v>
      </c>
      <c r="Q445">
        <v>111730000000</v>
      </c>
      <c r="R445">
        <v>113218000000</v>
      </c>
    </row>
    <row r="446" spans="1:18" x14ac:dyDescent="0.25">
      <c r="A446" s="1" t="s">
        <v>1065</v>
      </c>
      <c r="B446">
        <v>109134000000</v>
      </c>
      <c r="C446" t="s">
        <v>83</v>
      </c>
      <c r="D446" t="s">
        <v>127</v>
      </c>
      <c r="E446">
        <v>5647000000</v>
      </c>
      <c r="F446">
        <v>1180000000</v>
      </c>
      <c r="G446">
        <v>6827000000</v>
      </c>
      <c r="H446">
        <v>9882000000</v>
      </c>
      <c r="I446">
        <v>1215000000</v>
      </c>
      <c r="J446">
        <v>175000000</v>
      </c>
      <c r="K446">
        <v>9104000000</v>
      </c>
      <c r="L446">
        <v>6865000000</v>
      </c>
      <c r="M446">
        <v>19498000000</v>
      </c>
      <c r="N446">
        <v>0</v>
      </c>
      <c r="O446">
        <v>1488000000</v>
      </c>
      <c r="P446">
        <v>12266000000</v>
      </c>
      <c r="Q446">
        <v>111586000000</v>
      </c>
      <c r="R446">
        <v>113074000000</v>
      </c>
    </row>
    <row r="447" spans="1:18" x14ac:dyDescent="0.25">
      <c r="A447" s="1" t="s">
        <v>1064</v>
      </c>
      <c r="B447">
        <v>108936000000</v>
      </c>
      <c r="C447" t="s">
        <v>83</v>
      </c>
      <c r="D447" t="s">
        <v>127</v>
      </c>
      <c r="E447">
        <v>5647000000</v>
      </c>
      <c r="F447">
        <v>1180000000</v>
      </c>
      <c r="G447">
        <v>6827000000</v>
      </c>
      <c r="H447">
        <v>9882000000</v>
      </c>
      <c r="I447">
        <v>1215000000</v>
      </c>
      <c r="J447">
        <v>175000000</v>
      </c>
      <c r="K447">
        <v>9104000000</v>
      </c>
      <c r="L447">
        <v>6865000000</v>
      </c>
      <c r="M447">
        <v>19498000000</v>
      </c>
      <c r="N447">
        <v>0</v>
      </c>
      <c r="O447">
        <v>1488000000</v>
      </c>
      <c r="P447">
        <v>12266000000</v>
      </c>
      <c r="Q447">
        <v>111388000000</v>
      </c>
      <c r="R447">
        <v>112876000000</v>
      </c>
    </row>
    <row r="448" spans="1:18" x14ac:dyDescent="0.25">
      <c r="A448" s="1" t="s">
        <v>1063</v>
      </c>
      <c r="B448">
        <v>109458000000</v>
      </c>
      <c r="C448" t="s">
        <v>83</v>
      </c>
      <c r="D448" t="s">
        <v>127</v>
      </c>
      <c r="E448">
        <v>5647000000</v>
      </c>
      <c r="F448">
        <v>1180000000</v>
      </c>
      <c r="G448">
        <v>6827000000</v>
      </c>
      <c r="H448">
        <v>9882000000</v>
      </c>
      <c r="I448">
        <v>1215000000</v>
      </c>
      <c r="J448">
        <v>175000000</v>
      </c>
      <c r="K448">
        <v>9104000000</v>
      </c>
      <c r="L448">
        <v>6865000000</v>
      </c>
      <c r="M448">
        <v>19498000000</v>
      </c>
      <c r="N448">
        <v>0</v>
      </c>
      <c r="O448">
        <v>1488000000</v>
      </c>
      <c r="P448">
        <v>12266000000</v>
      </c>
      <c r="Q448">
        <v>111910000000</v>
      </c>
      <c r="R448">
        <v>113398000000</v>
      </c>
    </row>
    <row r="449" spans="1:18" x14ac:dyDescent="0.25">
      <c r="A449" s="1" t="s">
        <v>1062</v>
      </c>
      <c r="B449">
        <v>106200000000</v>
      </c>
      <c r="C449" t="s">
        <v>83</v>
      </c>
      <c r="D449" t="s">
        <v>127</v>
      </c>
      <c r="E449">
        <v>5647000000</v>
      </c>
      <c r="F449">
        <v>1180000000</v>
      </c>
      <c r="G449">
        <v>6827000000</v>
      </c>
      <c r="H449">
        <v>9882000000</v>
      </c>
      <c r="I449">
        <v>1215000000</v>
      </c>
      <c r="J449">
        <v>175000000</v>
      </c>
      <c r="K449">
        <v>9104000000</v>
      </c>
      <c r="L449">
        <v>6865000000</v>
      </c>
      <c r="M449">
        <v>19498000000</v>
      </c>
      <c r="N449">
        <v>0</v>
      </c>
      <c r="O449">
        <v>1488000000</v>
      </c>
      <c r="P449">
        <v>12266000000</v>
      </c>
      <c r="Q449">
        <v>108652000000</v>
      </c>
      <c r="R449">
        <v>110140000000</v>
      </c>
    </row>
    <row r="450" spans="1:18" x14ac:dyDescent="0.25">
      <c r="A450" s="1" t="s">
        <v>1061</v>
      </c>
      <c r="B450">
        <v>105102000000</v>
      </c>
      <c r="C450" t="s">
        <v>83</v>
      </c>
      <c r="D450" t="s">
        <v>127</v>
      </c>
      <c r="E450">
        <v>5647000000</v>
      </c>
      <c r="F450">
        <v>1180000000</v>
      </c>
      <c r="G450">
        <v>6827000000</v>
      </c>
      <c r="H450">
        <v>9882000000</v>
      </c>
      <c r="I450">
        <v>1215000000</v>
      </c>
      <c r="J450">
        <v>175000000</v>
      </c>
      <c r="K450">
        <v>9104000000</v>
      </c>
      <c r="L450">
        <v>6865000000</v>
      </c>
      <c r="M450">
        <v>19498000000</v>
      </c>
      <c r="N450">
        <v>0</v>
      </c>
      <c r="O450">
        <v>1488000000</v>
      </c>
      <c r="P450">
        <v>12266000000</v>
      </c>
      <c r="Q450">
        <v>107554000000</v>
      </c>
      <c r="R450">
        <v>109042000000</v>
      </c>
    </row>
    <row r="451" spans="1:18" x14ac:dyDescent="0.25">
      <c r="A451" s="1" t="s">
        <v>1060</v>
      </c>
      <c r="B451">
        <v>99558000000</v>
      </c>
      <c r="C451" t="s">
        <v>83</v>
      </c>
      <c r="D451" t="s">
        <v>127</v>
      </c>
      <c r="E451">
        <v>5647000000</v>
      </c>
      <c r="F451">
        <v>1180000000</v>
      </c>
      <c r="G451">
        <v>6827000000</v>
      </c>
      <c r="H451">
        <v>9882000000</v>
      </c>
      <c r="I451">
        <v>1215000000</v>
      </c>
      <c r="J451">
        <v>175000000</v>
      </c>
      <c r="K451">
        <v>9104000000</v>
      </c>
      <c r="L451">
        <v>6865000000</v>
      </c>
      <c r="M451">
        <v>19498000000</v>
      </c>
      <c r="N451">
        <v>0</v>
      </c>
      <c r="O451">
        <v>1488000000</v>
      </c>
      <c r="P451">
        <v>12266000000</v>
      </c>
      <c r="Q451">
        <v>102010000000</v>
      </c>
      <c r="R451">
        <v>103498000000</v>
      </c>
    </row>
    <row r="452" spans="1:18" x14ac:dyDescent="0.25">
      <c r="A452" s="1" t="s">
        <v>1059</v>
      </c>
      <c r="B452">
        <v>100800000000</v>
      </c>
      <c r="C452" t="s">
        <v>83</v>
      </c>
      <c r="D452" t="s">
        <v>127</v>
      </c>
      <c r="E452">
        <v>5647000000</v>
      </c>
      <c r="F452">
        <v>1180000000</v>
      </c>
      <c r="G452">
        <v>6827000000</v>
      </c>
      <c r="H452">
        <v>9882000000</v>
      </c>
      <c r="I452">
        <v>1215000000</v>
      </c>
      <c r="J452">
        <v>175000000</v>
      </c>
      <c r="K452">
        <v>9104000000</v>
      </c>
      <c r="L452">
        <v>6865000000</v>
      </c>
      <c r="M452">
        <v>19498000000</v>
      </c>
      <c r="N452">
        <v>0</v>
      </c>
      <c r="O452">
        <v>1488000000</v>
      </c>
      <c r="P452">
        <v>12266000000</v>
      </c>
      <c r="Q452">
        <v>103252000000</v>
      </c>
      <c r="R452">
        <v>104740000000</v>
      </c>
    </row>
    <row r="453" spans="1:18" x14ac:dyDescent="0.25">
      <c r="A453" s="1" t="s">
        <v>1058</v>
      </c>
      <c r="B453">
        <v>97038000000</v>
      </c>
      <c r="C453" t="s">
        <v>83</v>
      </c>
      <c r="D453" t="s">
        <v>127</v>
      </c>
      <c r="E453">
        <v>5647000000</v>
      </c>
      <c r="F453">
        <v>1180000000</v>
      </c>
      <c r="G453">
        <v>6827000000</v>
      </c>
      <c r="H453">
        <v>9882000000</v>
      </c>
      <c r="I453">
        <v>1215000000</v>
      </c>
      <c r="J453">
        <v>175000000</v>
      </c>
      <c r="K453">
        <v>9104000000</v>
      </c>
      <c r="L453">
        <v>6865000000</v>
      </c>
      <c r="M453">
        <v>19498000000</v>
      </c>
      <c r="N453">
        <v>0</v>
      </c>
      <c r="O453">
        <v>1488000000</v>
      </c>
      <c r="P453">
        <v>12266000000</v>
      </c>
      <c r="Q453">
        <v>99490000000</v>
      </c>
      <c r="R453">
        <v>100978000000</v>
      </c>
    </row>
    <row r="454" spans="1:18" x14ac:dyDescent="0.25">
      <c r="A454" s="1" t="s">
        <v>1057</v>
      </c>
      <c r="B454">
        <v>92610000000</v>
      </c>
      <c r="C454" t="s">
        <v>83</v>
      </c>
      <c r="D454" t="s">
        <v>127</v>
      </c>
      <c r="E454">
        <v>5647000000</v>
      </c>
      <c r="F454">
        <v>1180000000</v>
      </c>
      <c r="G454">
        <v>6827000000</v>
      </c>
      <c r="H454">
        <v>9882000000</v>
      </c>
      <c r="I454">
        <v>1215000000</v>
      </c>
      <c r="J454">
        <v>175000000</v>
      </c>
      <c r="K454">
        <v>9104000000</v>
      </c>
      <c r="L454">
        <v>6865000000</v>
      </c>
      <c r="M454">
        <v>19498000000</v>
      </c>
      <c r="N454">
        <v>0</v>
      </c>
      <c r="O454">
        <v>1488000000</v>
      </c>
      <c r="P454">
        <v>12266000000</v>
      </c>
      <c r="Q454">
        <v>95062000000</v>
      </c>
      <c r="R454">
        <v>96550000000</v>
      </c>
    </row>
    <row r="455" spans="1:18" x14ac:dyDescent="0.25">
      <c r="A455" s="1" t="s">
        <v>1056</v>
      </c>
      <c r="B455">
        <v>93150000000</v>
      </c>
      <c r="C455" t="s">
        <v>83</v>
      </c>
      <c r="D455" t="s">
        <v>127</v>
      </c>
      <c r="E455">
        <v>5647000000</v>
      </c>
      <c r="F455">
        <v>1180000000</v>
      </c>
      <c r="G455">
        <v>6827000000</v>
      </c>
      <c r="H455">
        <v>9882000000</v>
      </c>
      <c r="I455">
        <v>1215000000</v>
      </c>
      <c r="J455">
        <v>175000000</v>
      </c>
      <c r="K455">
        <v>9104000000</v>
      </c>
      <c r="L455">
        <v>6865000000</v>
      </c>
      <c r="M455">
        <v>19498000000</v>
      </c>
      <c r="N455">
        <v>0</v>
      </c>
      <c r="O455">
        <v>1488000000</v>
      </c>
      <c r="P455">
        <v>12266000000</v>
      </c>
      <c r="Q455">
        <v>95602000000</v>
      </c>
      <c r="R455">
        <v>97090000000</v>
      </c>
    </row>
    <row r="456" spans="1:18" x14ac:dyDescent="0.25">
      <c r="A456" s="1" t="s">
        <v>155</v>
      </c>
      <c r="B456">
        <v>97920000000</v>
      </c>
      <c r="C456" t="s">
        <v>83</v>
      </c>
      <c r="D456" t="s">
        <v>127</v>
      </c>
      <c r="E456">
        <v>5647000000</v>
      </c>
      <c r="F456">
        <v>1180000000</v>
      </c>
      <c r="G456">
        <v>6827000000</v>
      </c>
      <c r="H456">
        <v>9882000000</v>
      </c>
      <c r="I456">
        <v>1215000000</v>
      </c>
      <c r="J456">
        <v>175000000</v>
      </c>
      <c r="K456">
        <v>9104000000</v>
      </c>
      <c r="L456">
        <v>6865000000</v>
      </c>
      <c r="M456">
        <v>19498000000</v>
      </c>
      <c r="N456">
        <v>0</v>
      </c>
      <c r="O456">
        <v>1488000000</v>
      </c>
      <c r="P456">
        <v>12266000000</v>
      </c>
      <c r="Q456">
        <v>100372000000</v>
      </c>
      <c r="R456">
        <v>101860000000</v>
      </c>
    </row>
    <row r="457" spans="1:18" x14ac:dyDescent="0.25">
      <c r="A457" s="1" t="s">
        <v>1055</v>
      </c>
      <c r="B457">
        <v>98370000000</v>
      </c>
      <c r="C457" t="s">
        <v>83</v>
      </c>
      <c r="D457" t="s">
        <v>127</v>
      </c>
      <c r="E457">
        <v>5647000000</v>
      </c>
      <c r="F457">
        <v>1180000000</v>
      </c>
      <c r="G457">
        <v>6827000000</v>
      </c>
      <c r="H457">
        <v>9882000000</v>
      </c>
      <c r="I457">
        <v>1215000000</v>
      </c>
      <c r="J457">
        <v>175000000</v>
      </c>
      <c r="K457">
        <v>9104000000</v>
      </c>
      <c r="L457">
        <v>6865000000</v>
      </c>
      <c r="M457">
        <v>19498000000</v>
      </c>
      <c r="N457">
        <v>0</v>
      </c>
      <c r="O457">
        <v>1488000000</v>
      </c>
      <c r="P457">
        <v>12266000000</v>
      </c>
      <c r="Q457">
        <v>100822000000</v>
      </c>
      <c r="R457">
        <v>102310000000</v>
      </c>
    </row>
    <row r="458" spans="1:18" x14ac:dyDescent="0.25">
      <c r="A458" s="1" t="s">
        <v>1054</v>
      </c>
      <c r="B458">
        <v>100998000000</v>
      </c>
      <c r="C458" t="s">
        <v>83</v>
      </c>
      <c r="D458" t="s">
        <v>127</v>
      </c>
      <c r="E458">
        <v>5647000000</v>
      </c>
      <c r="F458">
        <v>1180000000</v>
      </c>
      <c r="G458">
        <v>6827000000</v>
      </c>
      <c r="H458">
        <v>9882000000</v>
      </c>
      <c r="I458">
        <v>1215000000</v>
      </c>
      <c r="J458">
        <v>175000000</v>
      </c>
      <c r="K458">
        <v>9104000000</v>
      </c>
      <c r="L458">
        <v>6865000000</v>
      </c>
      <c r="M458">
        <v>19498000000</v>
      </c>
      <c r="N458">
        <v>0</v>
      </c>
      <c r="O458">
        <v>1488000000</v>
      </c>
      <c r="P458">
        <v>12266000000</v>
      </c>
      <c r="Q458">
        <v>103450000000</v>
      </c>
      <c r="R458">
        <v>104938000000</v>
      </c>
    </row>
    <row r="459" spans="1:18" x14ac:dyDescent="0.25">
      <c r="A459" s="1" t="s">
        <v>1053</v>
      </c>
      <c r="B459">
        <v>95526000000</v>
      </c>
      <c r="C459" t="s">
        <v>83</v>
      </c>
      <c r="D459" t="s">
        <v>127</v>
      </c>
      <c r="E459">
        <v>5647000000</v>
      </c>
      <c r="F459">
        <v>1180000000</v>
      </c>
      <c r="G459">
        <v>6827000000</v>
      </c>
      <c r="H459">
        <v>9882000000</v>
      </c>
      <c r="I459">
        <v>1215000000</v>
      </c>
      <c r="J459">
        <v>175000000</v>
      </c>
      <c r="K459">
        <v>9104000000</v>
      </c>
      <c r="L459">
        <v>6865000000</v>
      </c>
      <c r="M459">
        <v>19498000000</v>
      </c>
      <c r="N459">
        <v>0</v>
      </c>
      <c r="O459">
        <v>1488000000</v>
      </c>
      <c r="P459">
        <v>12266000000</v>
      </c>
      <c r="Q459">
        <v>97978000000</v>
      </c>
      <c r="R459">
        <v>99466000000</v>
      </c>
    </row>
    <row r="460" spans="1:18" x14ac:dyDescent="0.25">
      <c r="A460" s="1" t="s">
        <v>1052</v>
      </c>
      <c r="B460">
        <v>99972000000</v>
      </c>
      <c r="C460" t="s">
        <v>83</v>
      </c>
      <c r="D460" t="s">
        <v>127</v>
      </c>
      <c r="E460">
        <v>5647000000</v>
      </c>
      <c r="F460">
        <v>1180000000</v>
      </c>
      <c r="G460">
        <v>6827000000</v>
      </c>
      <c r="H460">
        <v>9882000000</v>
      </c>
      <c r="I460">
        <v>1215000000</v>
      </c>
      <c r="J460">
        <v>175000000</v>
      </c>
      <c r="K460">
        <v>9104000000</v>
      </c>
      <c r="L460">
        <v>6865000000</v>
      </c>
      <c r="M460">
        <v>19498000000</v>
      </c>
      <c r="N460">
        <v>0</v>
      </c>
      <c r="O460">
        <v>1488000000</v>
      </c>
      <c r="P460">
        <v>12266000000</v>
      </c>
      <c r="Q460">
        <v>102424000000</v>
      </c>
      <c r="R460">
        <v>103912000000</v>
      </c>
    </row>
    <row r="461" spans="1:18" x14ac:dyDescent="0.25">
      <c r="A461" s="1" t="s">
        <v>1051</v>
      </c>
      <c r="B461">
        <v>95760000000</v>
      </c>
      <c r="C461" t="s">
        <v>83</v>
      </c>
      <c r="D461" t="s">
        <v>127</v>
      </c>
      <c r="E461">
        <v>5647000000</v>
      </c>
      <c r="F461">
        <v>1180000000</v>
      </c>
      <c r="G461">
        <v>6827000000</v>
      </c>
      <c r="H461">
        <v>9882000000</v>
      </c>
      <c r="I461">
        <v>1215000000</v>
      </c>
      <c r="J461">
        <v>175000000</v>
      </c>
      <c r="K461">
        <v>9104000000</v>
      </c>
      <c r="L461">
        <v>6865000000</v>
      </c>
      <c r="M461">
        <v>19498000000</v>
      </c>
      <c r="N461">
        <v>0</v>
      </c>
      <c r="O461">
        <v>1488000000</v>
      </c>
      <c r="P461">
        <v>12266000000</v>
      </c>
      <c r="Q461">
        <v>98212000000</v>
      </c>
      <c r="R461">
        <v>99700000000</v>
      </c>
    </row>
    <row r="462" spans="1:18" x14ac:dyDescent="0.25">
      <c r="A462" s="1" t="s">
        <v>1050</v>
      </c>
      <c r="B462">
        <v>99450000000</v>
      </c>
      <c r="C462" t="s">
        <v>83</v>
      </c>
      <c r="D462" t="s">
        <v>127</v>
      </c>
      <c r="E462">
        <v>5647000000</v>
      </c>
      <c r="F462">
        <v>1180000000</v>
      </c>
      <c r="G462">
        <v>6827000000</v>
      </c>
      <c r="H462">
        <v>9882000000</v>
      </c>
      <c r="I462">
        <v>1215000000</v>
      </c>
      <c r="J462">
        <v>175000000</v>
      </c>
      <c r="K462">
        <v>9104000000</v>
      </c>
      <c r="L462">
        <v>6865000000</v>
      </c>
      <c r="M462">
        <v>19498000000</v>
      </c>
      <c r="N462">
        <v>0</v>
      </c>
      <c r="O462">
        <v>1488000000</v>
      </c>
      <c r="P462">
        <v>12266000000</v>
      </c>
      <c r="Q462">
        <v>101902000000</v>
      </c>
      <c r="R462">
        <v>103390000000</v>
      </c>
    </row>
    <row r="463" spans="1:18" x14ac:dyDescent="0.25">
      <c r="A463" s="1" t="s">
        <v>1049</v>
      </c>
      <c r="B463">
        <v>103824000000</v>
      </c>
      <c r="C463" t="s">
        <v>83</v>
      </c>
      <c r="D463" t="s">
        <v>127</v>
      </c>
      <c r="E463">
        <v>5647000000</v>
      </c>
      <c r="F463">
        <v>1180000000</v>
      </c>
      <c r="G463">
        <v>6827000000</v>
      </c>
      <c r="H463">
        <v>9882000000</v>
      </c>
      <c r="I463">
        <v>1215000000</v>
      </c>
      <c r="J463">
        <v>175000000</v>
      </c>
      <c r="K463">
        <v>9104000000</v>
      </c>
      <c r="L463">
        <v>6865000000</v>
      </c>
      <c r="M463">
        <v>19498000000</v>
      </c>
      <c r="N463">
        <v>0</v>
      </c>
      <c r="O463">
        <v>1488000000</v>
      </c>
      <c r="P463">
        <v>12266000000</v>
      </c>
      <c r="Q463">
        <v>106276000000</v>
      </c>
      <c r="R463">
        <v>107764000000</v>
      </c>
    </row>
    <row r="464" spans="1:18" x14ac:dyDescent="0.25">
      <c r="A464" s="1" t="s">
        <v>1048</v>
      </c>
      <c r="B464">
        <v>106110000000</v>
      </c>
      <c r="C464" t="s">
        <v>83</v>
      </c>
      <c r="D464" t="s">
        <v>127</v>
      </c>
      <c r="E464">
        <v>5647000000</v>
      </c>
      <c r="F464">
        <v>1180000000</v>
      </c>
      <c r="G464">
        <v>6827000000</v>
      </c>
      <c r="H464">
        <v>9882000000</v>
      </c>
      <c r="I464">
        <v>1215000000</v>
      </c>
      <c r="J464">
        <v>175000000</v>
      </c>
      <c r="K464">
        <v>9104000000</v>
      </c>
      <c r="L464">
        <v>6865000000</v>
      </c>
      <c r="M464">
        <v>19498000000</v>
      </c>
      <c r="N464">
        <v>0</v>
      </c>
      <c r="O464">
        <v>1488000000</v>
      </c>
      <c r="P464">
        <v>12266000000</v>
      </c>
      <c r="Q464">
        <v>108562000000</v>
      </c>
      <c r="R464">
        <v>110050000000</v>
      </c>
    </row>
    <row r="465" spans="1:18" x14ac:dyDescent="0.25">
      <c r="A465" s="1" t="s">
        <v>1047</v>
      </c>
      <c r="B465">
        <v>108630000000</v>
      </c>
      <c r="C465" t="s">
        <v>83</v>
      </c>
      <c r="D465" t="s">
        <v>127</v>
      </c>
      <c r="E465">
        <v>5647000000</v>
      </c>
      <c r="F465">
        <v>1180000000</v>
      </c>
      <c r="G465">
        <v>6827000000</v>
      </c>
      <c r="H465">
        <v>9882000000</v>
      </c>
      <c r="I465">
        <v>1215000000</v>
      </c>
      <c r="J465">
        <v>175000000</v>
      </c>
      <c r="K465">
        <v>9104000000</v>
      </c>
      <c r="L465">
        <v>6865000000</v>
      </c>
      <c r="M465">
        <v>19498000000</v>
      </c>
      <c r="N465">
        <v>0</v>
      </c>
      <c r="O465">
        <v>1488000000</v>
      </c>
      <c r="P465">
        <v>12266000000</v>
      </c>
      <c r="Q465">
        <v>111082000000</v>
      </c>
      <c r="R465">
        <v>112570000000</v>
      </c>
    </row>
    <row r="466" spans="1:18" x14ac:dyDescent="0.25">
      <c r="A466" s="1" t="s">
        <v>1046</v>
      </c>
      <c r="B466">
        <v>108342000000</v>
      </c>
      <c r="C466" t="s">
        <v>83</v>
      </c>
      <c r="D466" t="s">
        <v>127</v>
      </c>
      <c r="E466">
        <v>5647000000</v>
      </c>
      <c r="F466">
        <v>1180000000</v>
      </c>
      <c r="G466">
        <v>6827000000</v>
      </c>
      <c r="H466">
        <v>9882000000</v>
      </c>
      <c r="I466">
        <v>1215000000</v>
      </c>
      <c r="J466">
        <v>175000000</v>
      </c>
      <c r="K466">
        <v>9104000000</v>
      </c>
      <c r="L466">
        <v>6865000000</v>
      </c>
      <c r="M466">
        <v>19498000000</v>
      </c>
      <c r="N466">
        <v>0</v>
      </c>
      <c r="O466">
        <v>1488000000</v>
      </c>
      <c r="P466">
        <v>12266000000</v>
      </c>
      <c r="Q466">
        <v>110794000000</v>
      </c>
      <c r="R466">
        <v>112282000000</v>
      </c>
    </row>
    <row r="467" spans="1:18" x14ac:dyDescent="0.25">
      <c r="A467" s="1" t="s">
        <v>1045</v>
      </c>
      <c r="B467">
        <v>105930000000</v>
      </c>
      <c r="C467" t="s">
        <v>83</v>
      </c>
      <c r="D467" t="s">
        <v>127</v>
      </c>
      <c r="E467">
        <v>5647000000</v>
      </c>
      <c r="F467">
        <v>1180000000</v>
      </c>
      <c r="G467">
        <v>6827000000</v>
      </c>
      <c r="H467">
        <v>9882000000</v>
      </c>
      <c r="I467">
        <v>1215000000</v>
      </c>
      <c r="J467">
        <v>175000000</v>
      </c>
      <c r="K467">
        <v>9104000000</v>
      </c>
      <c r="L467">
        <v>6865000000</v>
      </c>
      <c r="M467">
        <v>19498000000</v>
      </c>
      <c r="N467">
        <v>0</v>
      </c>
      <c r="O467">
        <v>1488000000</v>
      </c>
      <c r="P467">
        <v>12266000000</v>
      </c>
      <c r="Q467">
        <v>108382000000</v>
      </c>
      <c r="R467">
        <v>109870000000</v>
      </c>
    </row>
    <row r="468" spans="1:18" x14ac:dyDescent="0.25">
      <c r="A468" s="1" t="s">
        <v>1044</v>
      </c>
      <c r="B468">
        <v>101448000000</v>
      </c>
      <c r="C468" t="s">
        <v>83</v>
      </c>
      <c r="D468" t="s">
        <v>127</v>
      </c>
      <c r="E468">
        <v>5647000000</v>
      </c>
      <c r="F468">
        <v>1180000000</v>
      </c>
      <c r="G468">
        <v>6827000000</v>
      </c>
      <c r="H468">
        <v>9882000000</v>
      </c>
      <c r="I468">
        <v>1215000000</v>
      </c>
      <c r="J468">
        <v>175000000</v>
      </c>
      <c r="K468">
        <v>9104000000</v>
      </c>
      <c r="L468">
        <v>6865000000</v>
      </c>
      <c r="M468">
        <v>19498000000</v>
      </c>
      <c r="N468">
        <v>0</v>
      </c>
      <c r="O468">
        <v>1488000000</v>
      </c>
      <c r="P468">
        <v>12266000000</v>
      </c>
      <c r="Q468">
        <v>103900000000</v>
      </c>
      <c r="R468">
        <v>105388000000</v>
      </c>
    </row>
    <row r="469" spans="1:18" x14ac:dyDescent="0.25">
      <c r="A469" s="1" t="s">
        <v>1043</v>
      </c>
      <c r="B469">
        <v>100242000000</v>
      </c>
      <c r="C469" t="s">
        <v>83</v>
      </c>
      <c r="D469" t="s">
        <v>127</v>
      </c>
      <c r="E469">
        <v>5647000000</v>
      </c>
      <c r="F469">
        <v>1180000000</v>
      </c>
      <c r="G469">
        <v>6827000000</v>
      </c>
      <c r="H469">
        <v>9882000000</v>
      </c>
      <c r="I469">
        <v>1215000000</v>
      </c>
      <c r="J469">
        <v>175000000</v>
      </c>
      <c r="K469">
        <v>9104000000</v>
      </c>
      <c r="L469">
        <v>6865000000</v>
      </c>
      <c r="M469">
        <v>19498000000</v>
      </c>
      <c r="N469">
        <v>0</v>
      </c>
      <c r="O469">
        <v>1488000000</v>
      </c>
      <c r="P469">
        <v>12266000000</v>
      </c>
      <c r="Q469">
        <v>102694000000</v>
      </c>
      <c r="R469">
        <v>104182000000</v>
      </c>
    </row>
    <row r="470" spans="1:18" x14ac:dyDescent="0.25">
      <c r="A470" s="1" t="s">
        <v>1042</v>
      </c>
      <c r="B470">
        <v>102744000000</v>
      </c>
      <c r="C470" t="s">
        <v>83</v>
      </c>
      <c r="D470" t="s">
        <v>127</v>
      </c>
      <c r="E470">
        <v>5647000000</v>
      </c>
      <c r="F470">
        <v>1180000000</v>
      </c>
      <c r="G470">
        <v>6827000000</v>
      </c>
      <c r="H470">
        <v>9882000000</v>
      </c>
      <c r="I470">
        <v>1215000000</v>
      </c>
      <c r="J470">
        <v>175000000</v>
      </c>
      <c r="K470">
        <v>9104000000</v>
      </c>
      <c r="L470">
        <v>6865000000</v>
      </c>
      <c r="M470">
        <v>19498000000</v>
      </c>
      <c r="N470">
        <v>0</v>
      </c>
      <c r="O470">
        <v>1488000000</v>
      </c>
      <c r="P470">
        <v>12266000000</v>
      </c>
      <c r="Q470">
        <v>105196000000</v>
      </c>
      <c r="R470">
        <v>106684000000</v>
      </c>
    </row>
    <row r="471" spans="1:18" x14ac:dyDescent="0.25">
      <c r="A471" s="1" t="s">
        <v>1041</v>
      </c>
      <c r="B471">
        <v>100242000000</v>
      </c>
      <c r="C471" t="s">
        <v>83</v>
      </c>
      <c r="D471" t="s">
        <v>127</v>
      </c>
      <c r="E471">
        <v>5647000000</v>
      </c>
      <c r="F471">
        <v>1180000000</v>
      </c>
      <c r="G471">
        <v>6827000000</v>
      </c>
      <c r="H471">
        <v>9882000000</v>
      </c>
      <c r="I471">
        <v>1215000000</v>
      </c>
      <c r="J471">
        <v>175000000</v>
      </c>
      <c r="K471">
        <v>9104000000</v>
      </c>
      <c r="L471">
        <v>6865000000</v>
      </c>
      <c r="M471">
        <v>19498000000</v>
      </c>
      <c r="N471">
        <v>0</v>
      </c>
      <c r="O471">
        <v>1488000000</v>
      </c>
      <c r="P471">
        <v>12266000000</v>
      </c>
      <c r="Q471">
        <v>102694000000</v>
      </c>
      <c r="R471">
        <v>104182000000</v>
      </c>
    </row>
    <row r="472" spans="1:18" x14ac:dyDescent="0.25">
      <c r="A472" s="1" t="s">
        <v>1040</v>
      </c>
      <c r="B472">
        <v>96282000000</v>
      </c>
      <c r="C472" t="s">
        <v>83</v>
      </c>
      <c r="D472" t="s">
        <v>127</v>
      </c>
      <c r="E472">
        <v>5647000000</v>
      </c>
      <c r="F472">
        <v>1180000000</v>
      </c>
      <c r="G472">
        <v>6827000000</v>
      </c>
      <c r="H472">
        <v>9882000000</v>
      </c>
      <c r="I472">
        <v>1215000000</v>
      </c>
      <c r="J472">
        <v>175000000</v>
      </c>
      <c r="K472">
        <v>9104000000</v>
      </c>
      <c r="L472">
        <v>6865000000</v>
      </c>
      <c r="M472">
        <v>19498000000</v>
      </c>
      <c r="N472">
        <v>0</v>
      </c>
      <c r="O472">
        <v>1488000000</v>
      </c>
      <c r="P472">
        <v>12266000000</v>
      </c>
      <c r="Q472">
        <v>98734000000</v>
      </c>
      <c r="R472">
        <v>100222000000</v>
      </c>
    </row>
    <row r="473" spans="1:18" x14ac:dyDescent="0.25">
      <c r="A473" s="1" t="s">
        <v>1039</v>
      </c>
      <c r="B473">
        <v>94626000000</v>
      </c>
      <c r="C473" t="s">
        <v>83</v>
      </c>
      <c r="D473" t="s">
        <v>127</v>
      </c>
      <c r="E473">
        <v>5647000000</v>
      </c>
      <c r="F473">
        <v>1180000000</v>
      </c>
      <c r="G473">
        <v>6827000000</v>
      </c>
      <c r="H473">
        <v>9882000000</v>
      </c>
      <c r="I473">
        <v>1215000000</v>
      </c>
      <c r="J473">
        <v>175000000</v>
      </c>
      <c r="K473">
        <v>9104000000</v>
      </c>
      <c r="L473">
        <v>6865000000</v>
      </c>
      <c r="M473">
        <v>19498000000</v>
      </c>
      <c r="N473">
        <v>0</v>
      </c>
      <c r="O473">
        <v>1488000000</v>
      </c>
      <c r="P473">
        <v>12266000000</v>
      </c>
      <c r="Q473">
        <v>97078000000</v>
      </c>
      <c r="R473">
        <v>98566000000</v>
      </c>
    </row>
    <row r="474" spans="1:18" x14ac:dyDescent="0.25">
      <c r="A474" s="1" t="s">
        <v>1038</v>
      </c>
      <c r="B474">
        <v>97002000000</v>
      </c>
      <c r="C474" t="s">
        <v>83</v>
      </c>
      <c r="D474" t="s">
        <v>127</v>
      </c>
      <c r="E474">
        <v>5647000000</v>
      </c>
      <c r="F474">
        <v>1180000000</v>
      </c>
      <c r="G474">
        <v>6827000000</v>
      </c>
      <c r="H474">
        <v>9882000000</v>
      </c>
      <c r="I474">
        <v>1215000000</v>
      </c>
      <c r="J474">
        <v>175000000</v>
      </c>
      <c r="K474">
        <v>9104000000</v>
      </c>
      <c r="L474">
        <v>6865000000</v>
      </c>
      <c r="M474">
        <v>19498000000</v>
      </c>
      <c r="N474">
        <v>0</v>
      </c>
      <c r="O474">
        <v>1488000000</v>
      </c>
      <c r="P474">
        <v>12266000000</v>
      </c>
      <c r="Q474">
        <v>99454000000</v>
      </c>
      <c r="R474">
        <v>100942000000</v>
      </c>
    </row>
    <row r="475" spans="1:18" x14ac:dyDescent="0.25">
      <c r="A475" s="1" t="s">
        <v>1037</v>
      </c>
      <c r="B475">
        <v>98478000000</v>
      </c>
      <c r="C475" t="s">
        <v>83</v>
      </c>
      <c r="D475" t="s">
        <v>127</v>
      </c>
      <c r="E475">
        <v>5647000000</v>
      </c>
      <c r="F475">
        <v>1180000000</v>
      </c>
      <c r="G475">
        <v>6827000000</v>
      </c>
      <c r="H475">
        <v>9882000000</v>
      </c>
      <c r="I475">
        <v>1215000000</v>
      </c>
      <c r="J475">
        <v>175000000</v>
      </c>
      <c r="K475">
        <v>9104000000</v>
      </c>
      <c r="L475">
        <v>6865000000</v>
      </c>
      <c r="M475">
        <v>19498000000</v>
      </c>
      <c r="N475">
        <v>0</v>
      </c>
      <c r="O475">
        <v>1488000000</v>
      </c>
      <c r="P475">
        <v>12266000000</v>
      </c>
      <c r="Q475">
        <v>100930000000</v>
      </c>
      <c r="R475">
        <v>102418000000</v>
      </c>
    </row>
    <row r="476" spans="1:18" x14ac:dyDescent="0.25">
      <c r="A476" s="1" t="s">
        <v>1036</v>
      </c>
      <c r="B476">
        <v>96030000000</v>
      </c>
      <c r="C476" t="s">
        <v>83</v>
      </c>
      <c r="D476" t="s">
        <v>127</v>
      </c>
      <c r="E476">
        <v>5647000000</v>
      </c>
      <c r="F476">
        <v>1180000000</v>
      </c>
      <c r="G476">
        <v>6827000000</v>
      </c>
      <c r="H476">
        <v>9882000000</v>
      </c>
      <c r="I476">
        <v>1215000000</v>
      </c>
      <c r="J476">
        <v>175000000</v>
      </c>
      <c r="K476">
        <v>9104000000</v>
      </c>
      <c r="L476">
        <v>6865000000</v>
      </c>
      <c r="M476">
        <v>19498000000</v>
      </c>
      <c r="N476">
        <v>0</v>
      </c>
      <c r="O476">
        <v>1488000000</v>
      </c>
      <c r="P476">
        <v>12266000000</v>
      </c>
      <c r="Q476">
        <v>98482000000</v>
      </c>
      <c r="R476">
        <v>99970000000</v>
      </c>
    </row>
    <row r="477" spans="1:18" x14ac:dyDescent="0.25">
      <c r="A477" s="1" t="s">
        <v>1035</v>
      </c>
      <c r="B477">
        <v>96228000000</v>
      </c>
      <c r="C477" t="s">
        <v>83</v>
      </c>
      <c r="D477" t="s">
        <v>127</v>
      </c>
      <c r="E477">
        <v>5647000000</v>
      </c>
      <c r="F477">
        <v>1180000000</v>
      </c>
      <c r="G477">
        <v>6827000000</v>
      </c>
      <c r="H477">
        <v>9882000000</v>
      </c>
      <c r="I477">
        <v>1215000000</v>
      </c>
      <c r="J477">
        <v>175000000</v>
      </c>
      <c r="K477">
        <v>9104000000</v>
      </c>
      <c r="L477">
        <v>6865000000</v>
      </c>
      <c r="M477">
        <v>19498000000</v>
      </c>
      <c r="N477">
        <v>0</v>
      </c>
      <c r="O477">
        <v>1488000000</v>
      </c>
      <c r="P477">
        <v>12266000000</v>
      </c>
      <c r="Q477">
        <v>98680000000</v>
      </c>
      <c r="R477">
        <v>100168000000</v>
      </c>
    </row>
    <row r="478" spans="1:18" x14ac:dyDescent="0.25">
      <c r="A478" s="1" t="s">
        <v>82</v>
      </c>
      <c r="B478">
        <v>102214753560</v>
      </c>
      <c r="C478" t="s">
        <v>83</v>
      </c>
      <c r="D478" t="s">
        <v>127</v>
      </c>
      <c r="E478">
        <v>5647000000</v>
      </c>
      <c r="F478">
        <v>1180000000</v>
      </c>
      <c r="G478">
        <v>6827000000</v>
      </c>
      <c r="H478">
        <v>9882000000</v>
      </c>
      <c r="I478">
        <v>1215000000</v>
      </c>
      <c r="J478">
        <v>175000000</v>
      </c>
      <c r="K478">
        <v>9104000000</v>
      </c>
      <c r="L478">
        <v>6865000000</v>
      </c>
      <c r="M478">
        <v>19498000000</v>
      </c>
      <c r="N478">
        <v>0</v>
      </c>
      <c r="O478">
        <v>1488000000</v>
      </c>
      <c r="P478">
        <v>12266000000</v>
      </c>
      <c r="Q478">
        <v>104666753560</v>
      </c>
      <c r="R478">
        <v>106154753560</v>
      </c>
    </row>
    <row r="479" spans="1:18" x14ac:dyDescent="0.25">
      <c r="A479" s="1" t="s">
        <v>1034</v>
      </c>
      <c r="B479">
        <v>108008985600</v>
      </c>
      <c r="C479" t="s">
        <v>83</v>
      </c>
      <c r="D479" t="s">
        <v>127</v>
      </c>
      <c r="E479">
        <v>5647000000</v>
      </c>
      <c r="F479">
        <v>1180000000</v>
      </c>
      <c r="G479">
        <v>6827000000</v>
      </c>
      <c r="H479">
        <v>9882000000</v>
      </c>
      <c r="I479">
        <v>1215000000</v>
      </c>
      <c r="J479">
        <v>175000000</v>
      </c>
      <c r="K479">
        <v>9104000000</v>
      </c>
      <c r="L479">
        <v>6865000000</v>
      </c>
      <c r="M479">
        <v>19498000000</v>
      </c>
      <c r="N479">
        <v>0</v>
      </c>
      <c r="O479">
        <v>1488000000</v>
      </c>
      <c r="P479">
        <v>12266000000</v>
      </c>
      <c r="Q479">
        <v>110460985600</v>
      </c>
      <c r="R479">
        <v>111948985600</v>
      </c>
    </row>
    <row r="480" spans="1:18" x14ac:dyDescent="0.25">
      <c r="A480" s="1" t="s">
        <v>1033</v>
      </c>
      <c r="B480">
        <v>107633954400</v>
      </c>
      <c r="C480" t="s">
        <v>83</v>
      </c>
      <c r="D480" t="s">
        <v>127</v>
      </c>
      <c r="E480">
        <v>5647000000</v>
      </c>
      <c r="F480">
        <v>1180000000</v>
      </c>
      <c r="G480">
        <v>6827000000</v>
      </c>
      <c r="H480">
        <v>9882000000</v>
      </c>
      <c r="I480">
        <v>1215000000</v>
      </c>
      <c r="J480">
        <v>175000000</v>
      </c>
      <c r="K480">
        <v>9104000000</v>
      </c>
      <c r="L480">
        <v>6865000000</v>
      </c>
      <c r="M480">
        <v>19498000000</v>
      </c>
      <c r="N480">
        <v>0</v>
      </c>
      <c r="O480">
        <v>1488000000</v>
      </c>
      <c r="P480">
        <v>12266000000</v>
      </c>
      <c r="Q480">
        <v>110085954400</v>
      </c>
      <c r="R480">
        <v>111573954400</v>
      </c>
    </row>
    <row r="481" spans="1:18" x14ac:dyDescent="0.25">
      <c r="A481" s="1" t="s">
        <v>1032</v>
      </c>
      <c r="B481">
        <v>108852805800</v>
      </c>
      <c r="C481" t="s">
        <v>83</v>
      </c>
      <c r="D481" t="s">
        <v>127</v>
      </c>
      <c r="E481">
        <v>5647000000</v>
      </c>
      <c r="F481">
        <v>1180000000</v>
      </c>
      <c r="G481">
        <v>6827000000</v>
      </c>
      <c r="H481">
        <v>9882000000</v>
      </c>
      <c r="I481">
        <v>1215000000</v>
      </c>
      <c r="J481">
        <v>175000000</v>
      </c>
      <c r="K481">
        <v>9104000000</v>
      </c>
      <c r="L481">
        <v>6865000000</v>
      </c>
      <c r="M481">
        <v>19498000000</v>
      </c>
      <c r="N481">
        <v>0</v>
      </c>
      <c r="O481">
        <v>1488000000</v>
      </c>
      <c r="P481">
        <v>12266000000</v>
      </c>
      <c r="Q481">
        <v>111304805800</v>
      </c>
      <c r="R481">
        <v>112792805800</v>
      </c>
    </row>
    <row r="482" spans="1:18" x14ac:dyDescent="0.25">
      <c r="A482" s="1" t="s">
        <v>1031</v>
      </c>
      <c r="B482">
        <v>106677624840</v>
      </c>
      <c r="C482" t="s">
        <v>83</v>
      </c>
      <c r="D482" t="s">
        <v>127</v>
      </c>
      <c r="E482">
        <v>5647000000</v>
      </c>
      <c r="F482">
        <v>1180000000</v>
      </c>
      <c r="G482">
        <v>6827000000</v>
      </c>
      <c r="H482">
        <v>9882000000</v>
      </c>
      <c r="I482">
        <v>1215000000</v>
      </c>
      <c r="J482">
        <v>175000000</v>
      </c>
      <c r="K482">
        <v>9104000000</v>
      </c>
      <c r="L482">
        <v>6865000000</v>
      </c>
      <c r="M482">
        <v>19498000000</v>
      </c>
      <c r="N482">
        <v>0</v>
      </c>
      <c r="O482">
        <v>1488000000</v>
      </c>
      <c r="P482">
        <v>12266000000</v>
      </c>
      <c r="Q482">
        <v>109129624840</v>
      </c>
      <c r="R482">
        <v>110617624840</v>
      </c>
    </row>
    <row r="483" spans="1:18" x14ac:dyDescent="0.25">
      <c r="A483" s="1" t="s">
        <v>1030</v>
      </c>
      <c r="B483">
        <v>108440271480</v>
      </c>
      <c r="C483" t="s">
        <v>83</v>
      </c>
      <c r="D483" t="s">
        <v>127</v>
      </c>
      <c r="E483">
        <v>5647000000</v>
      </c>
      <c r="F483">
        <v>1180000000</v>
      </c>
      <c r="G483">
        <v>6827000000</v>
      </c>
      <c r="H483">
        <v>9882000000</v>
      </c>
      <c r="I483">
        <v>1215000000</v>
      </c>
      <c r="J483">
        <v>175000000</v>
      </c>
      <c r="K483">
        <v>9104000000</v>
      </c>
      <c r="L483">
        <v>6865000000</v>
      </c>
      <c r="M483">
        <v>19498000000</v>
      </c>
      <c r="N483">
        <v>0</v>
      </c>
      <c r="O483">
        <v>1488000000</v>
      </c>
      <c r="P483">
        <v>12266000000</v>
      </c>
      <c r="Q483">
        <v>110892271480</v>
      </c>
      <c r="R483">
        <v>112380271480</v>
      </c>
    </row>
    <row r="484" spans="1:18" x14ac:dyDescent="0.25">
      <c r="A484" s="1" t="s">
        <v>1029</v>
      </c>
      <c r="B484">
        <v>108158998080</v>
      </c>
      <c r="C484" t="s">
        <v>83</v>
      </c>
      <c r="D484" t="s">
        <v>127</v>
      </c>
      <c r="E484">
        <v>5647000000</v>
      </c>
      <c r="F484">
        <v>1180000000</v>
      </c>
      <c r="G484">
        <v>6827000000</v>
      </c>
      <c r="H484">
        <v>9882000000</v>
      </c>
      <c r="I484">
        <v>1215000000</v>
      </c>
      <c r="J484">
        <v>175000000</v>
      </c>
      <c r="K484">
        <v>9104000000</v>
      </c>
      <c r="L484">
        <v>6865000000</v>
      </c>
      <c r="M484">
        <v>19498000000</v>
      </c>
      <c r="N484">
        <v>0</v>
      </c>
      <c r="O484">
        <v>1488000000</v>
      </c>
      <c r="P484">
        <v>12266000000</v>
      </c>
      <c r="Q484">
        <v>110610998080</v>
      </c>
      <c r="R484">
        <v>112098998080</v>
      </c>
    </row>
    <row r="485" spans="1:18" x14ac:dyDescent="0.25">
      <c r="A485" s="1" t="s">
        <v>1028</v>
      </c>
      <c r="B485">
        <v>111459272640</v>
      </c>
      <c r="C485" t="s">
        <v>83</v>
      </c>
      <c r="D485" t="s">
        <v>127</v>
      </c>
      <c r="E485">
        <v>5647000000</v>
      </c>
      <c r="F485">
        <v>1180000000</v>
      </c>
      <c r="G485">
        <v>6827000000</v>
      </c>
      <c r="H485">
        <v>9882000000</v>
      </c>
      <c r="I485">
        <v>1215000000</v>
      </c>
      <c r="J485">
        <v>175000000</v>
      </c>
      <c r="K485">
        <v>9104000000</v>
      </c>
      <c r="L485">
        <v>6865000000</v>
      </c>
      <c r="M485">
        <v>19498000000</v>
      </c>
      <c r="N485">
        <v>0</v>
      </c>
      <c r="O485">
        <v>1488000000</v>
      </c>
      <c r="P485">
        <v>12266000000</v>
      </c>
      <c r="Q485">
        <v>113911272640</v>
      </c>
      <c r="R485">
        <v>115399272640</v>
      </c>
    </row>
    <row r="486" spans="1:18" x14ac:dyDescent="0.25">
      <c r="A486" s="1" t="s">
        <v>1027</v>
      </c>
      <c r="B486">
        <v>113709459840</v>
      </c>
      <c r="C486" t="s">
        <v>83</v>
      </c>
      <c r="D486" t="s">
        <v>127</v>
      </c>
      <c r="E486">
        <v>5647000000</v>
      </c>
      <c r="F486">
        <v>1180000000</v>
      </c>
      <c r="G486">
        <v>6827000000</v>
      </c>
      <c r="H486">
        <v>9882000000</v>
      </c>
      <c r="I486">
        <v>1215000000</v>
      </c>
      <c r="J486">
        <v>175000000</v>
      </c>
      <c r="K486">
        <v>9104000000</v>
      </c>
      <c r="L486">
        <v>6865000000</v>
      </c>
      <c r="M486">
        <v>19498000000</v>
      </c>
      <c r="N486">
        <v>0</v>
      </c>
      <c r="O486">
        <v>1488000000</v>
      </c>
      <c r="P486">
        <v>12266000000</v>
      </c>
      <c r="Q486">
        <v>116161459840</v>
      </c>
      <c r="R486">
        <v>117649459840</v>
      </c>
    </row>
    <row r="487" spans="1:18" x14ac:dyDescent="0.25">
      <c r="A487" s="1" t="s">
        <v>1026</v>
      </c>
      <c r="B487">
        <v>111065489880</v>
      </c>
      <c r="C487" t="s">
        <v>83</v>
      </c>
      <c r="D487" t="s">
        <v>127</v>
      </c>
      <c r="E487">
        <v>5647000000</v>
      </c>
      <c r="F487">
        <v>1180000000</v>
      </c>
      <c r="G487">
        <v>6827000000</v>
      </c>
      <c r="H487">
        <v>9882000000</v>
      </c>
      <c r="I487">
        <v>1215000000</v>
      </c>
      <c r="J487">
        <v>175000000</v>
      </c>
      <c r="K487">
        <v>9104000000</v>
      </c>
      <c r="L487">
        <v>6865000000</v>
      </c>
      <c r="M487">
        <v>19498000000</v>
      </c>
      <c r="N487">
        <v>0</v>
      </c>
      <c r="O487">
        <v>1488000000</v>
      </c>
      <c r="P487">
        <v>12266000000</v>
      </c>
      <c r="Q487">
        <v>113517489880</v>
      </c>
      <c r="R487">
        <v>115005489880</v>
      </c>
    </row>
    <row r="488" spans="1:18" x14ac:dyDescent="0.25">
      <c r="A488" s="1" t="s">
        <v>1025</v>
      </c>
      <c r="B488">
        <v>113896975440</v>
      </c>
      <c r="C488" t="s">
        <v>83</v>
      </c>
      <c r="D488" t="s">
        <v>127</v>
      </c>
      <c r="E488">
        <v>5647000000</v>
      </c>
      <c r="F488">
        <v>1180000000</v>
      </c>
      <c r="G488">
        <v>6827000000</v>
      </c>
      <c r="H488">
        <v>9882000000</v>
      </c>
      <c r="I488">
        <v>1215000000</v>
      </c>
      <c r="J488">
        <v>175000000</v>
      </c>
      <c r="K488">
        <v>9104000000</v>
      </c>
      <c r="L488">
        <v>6865000000</v>
      </c>
      <c r="M488">
        <v>19498000000</v>
      </c>
      <c r="N488">
        <v>0</v>
      </c>
      <c r="O488">
        <v>1488000000</v>
      </c>
      <c r="P488">
        <v>12266000000</v>
      </c>
      <c r="Q488">
        <v>116348975440</v>
      </c>
      <c r="R488">
        <v>117836975440</v>
      </c>
    </row>
    <row r="489" spans="1:18" x14ac:dyDescent="0.25">
      <c r="A489" s="1" t="s">
        <v>1024</v>
      </c>
      <c r="B489">
        <v>113165664600</v>
      </c>
      <c r="C489" t="s">
        <v>83</v>
      </c>
      <c r="D489" t="s">
        <v>127</v>
      </c>
      <c r="E489">
        <v>5647000000</v>
      </c>
      <c r="F489">
        <v>1180000000</v>
      </c>
      <c r="G489">
        <v>6827000000</v>
      </c>
      <c r="H489">
        <v>9882000000</v>
      </c>
      <c r="I489">
        <v>1215000000</v>
      </c>
      <c r="J489">
        <v>175000000</v>
      </c>
      <c r="K489">
        <v>9104000000</v>
      </c>
      <c r="L489">
        <v>6865000000</v>
      </c>
      <c r="M489">
        <v>19498000000</v>
      </c>
      <c r="N489">
        <v>0</v>
      </c>
      <c r="O489">
        <v>1488000000</v>
      </c>
      <c r="P489">
        <v>12266000000</v>
      </c>
      <c r="Q489">
        <v>115617664600</v>
      </c>
      <c r="R489">
        <v>117105664600</v>
      </c>
    </row>
    <row r="490" spans="1:18" x14ac:dyDescent="0.25">
      <c r="A490" s="1" t="s">
        <v>1023</v>
      </c>
      <c r="B490">
        <v>108477774600</v>
      </c>
      <c r="C490" t="s">
        <v>83</v>
      </c>
      <c r="D490" t="s">
        <v>127</v>
      </c>
      <c r="E490">
        <v>5647000000</v>
      </c>
      <c r="F490">
        <v>1180000000</v>
      </c>
      <c r="G490">
        <v>6827000000</v>
      </c>
      <c r="H490">
        <v>9882000000</v>
      </c>
      <c r="I490">
        <v>1215000000</v>
      </c>
      <c r="J490">
        <v>175000000</v>
      </c>
      <c r="K490">
        <v>9104000000</v>
      </c>
      <c r="L490">
        <v>6865000000</v>
      </c>
      <c r="M490">
        <v>19498000000</v>
      </c>
      <c r="N490">
        <v>0</v>
      </c>
      <c r="O490">
        <v>1488000000</v>
      </c>
      <c r="P490">
        <v>12266000000</v>
      </c>
      <c r="Q490">
        <v>110929774600</v>
      </c>
      <c r="R490">
        <v>112417774600</v>
      </c>
    </row>
    <row r="491" spans="1:18" x14ac:dyDescent="0.25">
      <c r="A491" s="1" t="s">
        <v>1022</v>
      </c>
      <c r="B491">
        <v>104033654880</v>
      </c>
      <c r="C491" t="s">
        <v>83</v>
      </c>
      <c r="D491" t="s">
        <v>127</v>
      </c>
      <c r="E491">
        <v>5647000000</v>
      </c>
      <c r="F491">
        <v>1180000000</v>
      </c>
      <c r="G491">
        <v>6827000000</v>
      </c>
      <c r="H491">
        <v>9882000000</v>
      </c>
      <c r="I491">
        <v>1215000000</v>
      </c>
      <c r="J491">
        <v>175000000</v>
      </c>
      <c r="K491">
        <v>9104000000</v>
      </c>
      <c r="L491">
        <v>6865000000</v>
      </c>
      <c r="M491">
        <v>19498000000</v>
      </c>
      <c r="N491">
        <v>0</v>
      </c>
      <c r="O491">
        <v>1488000000</v>
      </c>
      <c r="P491">
        <v>12266000000</v>
      </c>
      <c r="Q491">
        <v>106485654880</v>
      </c>
      <c r="R491">
        <v>107973654880</v>
      </c>
    </row>
    <row r="492" spans="1:18" x14ac:dyDescent="0.25">
      <c r="A492" s="1" t="s">
        <v>1021</v>
      </c>
      <c r="B492">
        <v>104577450120</v>
      </c>
      <c r="C492" t="s">
        <v>83</v>
      </c>
      <c r="D492" t="s">
        <v>127</v>
      </c>
      <c r="E492">
        <v>5647000000</v>
      </c>
      <c r="F492">
        <v>1180000000</v>
      </c>
      <c r="G492">
        <v>6827000000</v>
      </c>
      <c r="H492">
        <v>9882000000</v>
      </c>
      <c r="I492">
        <v>1215000000</v>
      </c>
      <c r="J492">
        <v>175000000</v>
      </c>
      <c r="K492">
        <v>9104000000</v>
      </c>
      <c r="L492">
        <v>6865000000</v>
      </c>
      <c r="M492">
        <v>19498000000</v>
      </c>
      <c r="N492">
        <v>0</v>
      </c>
      <c r="O492">
        <v>1488000000</v>
      </c>
      <c r="P492">
        <v>12266000000</v>
      </c>
      <c r="Q492">
        <v>107029450120</v>
      </c>
      <c r="R492">
        <v>108517450120</v>
      </c>
    </row>
    <row r="493" spans="1:18" x14ac:dyDescent="0.25">
      <c r="A493" s="1" t="s">
        <v>1020</v>
      </c>
      <c r="B493">
        <v>105533779680</v>
      </c>
      <c r="C493" t="s">
        <v>83</v>
      </c>
      <c r="D493" t="s">
        <v>127</v>
      </c>
      <c r="E493">
        <v>5647000000</v>
      </c>
      <c r="F493">
        <v>1180000000</v>
      </c>
      <c r="G493">
        <v>6827000000</v>
      </c>
      <c r="H493">
        <v>9882000000</v>
      </c>
      <c r="I493">
        <v>1215000000</v>
      </c>
      <c r="J493">
        <v>175000000</v>
      </c>
      <c r="K493">
        <v>9104000000</v>
      </c>
      <c r="L493">
        <v>6865000000</v>
      </c>
      <c r="M493">
        <v>19498000000</v>
      </c>
      <c r="N493">
        <v>0</v>
      </c>
      <c r="O493">
        <v>1488000000</v>
      </c>
      <c r="P493">
        <v>12266000000</v>
      </c>
      <c r="Q493">
        <v>107985779680</v>
      </c>
      <c r="R493">
        <v>109473779680</v>
      </c>
    </row>
    <row r="494" spans="1:18" x14ac:dyDescent="0.25">
      <c r="A494" s="1" t="s">
        <v>1019</v>
      </c>
      <c r="B494">
        <v>108627787080</v>
      </c>
      <c r="C494" t="s">
        <v>83</v>
      </c>
      <c r="D494" t="s">
        <v>127</v>
      </c>
      <c r="E494">
        <v>5647000000</v>
      </c>
      <c r="F494">
        <v>1180000000</v>
      </c>
      <c r="G494">
        <v>6827000000</v>
      </c>
      <c r="H494">
        <v>9882000000</v>
      </c>
      <c r="I494">
        <v>1215000000</v>
      </c>
      <c r="J494">
        <v>175000000</v>
      </c>
      <c r="K494">
        <v>9104000000</v>
      </c>
      <c r="L494">
        <v>6865000000</v>
      </c>
      <c r="M494">
        <v>19498000000</v>
      </c>
      <c r="N494">
        <v>0</v>
      </c>
      <c r="O494">
        <v>1488000000</v>
      </c>
      <c r="P494">
        <v>12266000000</v>
      </c>
      <c r="Q494">
        <v>111079787080</v>
      </c>
      <c r="R494">
        <v>112567787080</v>
      </c>
    </row>
    <row r="495" spans="1:18" x14ac:dyDescent="0.25">
      <c r="A495" s="1" t="s">
        <v>1018</v>
      </c>
      <c r="B495">
        <v>108027737160</v>
      </c>
      <c r="C495" t="s">
        <v>83</v>
      </c>
      <c r="D495" t="s">
        <v>127</v>
      </c>
      <c r="E495">
        <v>5647000000</v>
      </c>
      <c r="F495">
        <v>1180000000</v>
      </c>
      <c r="G495">
        <v>6827000000</v>
      </c>
      <c r="H495">
        <v>9882000000</v>
      </c>
      <c r="I495">
        <v>1215000000</v>
      </c>
      <c r="J495">
        <v>175000000</v>
      </c>
      <c r="K495">
        <v>9104000000</v>
      </c>
      <c r="L495">
        <v>6865000000</v>
      </c>
      <c r="M495">
        <v>19498000000</v>
      </c>
      <c r="N495">
        <v>0</v>
      </c>
      <c r="O495">
        <v>1488000000</v>
      </c>
      <c r="P495">
        <v>12266000000</v>
      </c>
      <c r="Q495">
        <v>110479737160</v>
      </c>
      <c r="R495">
        <v>111967737160</v>
      </c>
    </row>
    <row r="496" spans="1:18" x14ac:dyDescent="0.25">
      <c r="A496" s="1" t="s">
        <v>1017</v>
      </c>
      <c r="B496">
        <v>107183916960</v>
      </c>
      <c r="C496" t="s">
        <v>83</v>
      </c>
      <c r="D496" t="s">
        <v>127</v>
      </c>
      <c r="E496">
        <v>5647000000</v>
      </c>
      <c r="F496">
        <v>1180000000</v>
      </c>
      <c r="G496">
        <v>6827000000</v>
      </c>
      <c r="H496">
        <v>9882000000</v>
      </c>
      <c r="I496">
        <v>1215000000</v>
      </c>
      <c r="J496">
        <v>175000000</v>
      </c>
      <c r="K496">
        <v>9104000000</v>
      </c>
      <c r="L496">
        <v>6865000000</v>
      </c>
      <c r="M496">
        <v>19498000000</v>
      </c>
      <c r="N496">
        <v>0</v>
      </c>
      <c r="O496">
        <v>1488000000</v>
      </c>
      <c r="P496">
        <v>12266000000</v>
      </c>
      <c r="Q496">
        <v>109635916960</v>
      </c>
      <c r="R496">
        <v>111123916960</v>
      </c>
    </row>
    <row r="497" spans="1:18" x14ac:dyDescent="0.25">
      <c r="A497" s="1" t="s">
        <v>1016</v>
      </c>
      <c r="B497">
        <v>109584116640</v>
      </c>
      <c r="C497" t="s">
        <v>83</v>
      </c>
      <c r="D497" t="s">
        <v>127</v>
      </c>
      <c r="E497">
        <v>5647000000</v>
      </c>
      <c r="F497">
        <v>1180000000</v>
      </c>
      <c r="G497">
        <v>6827000000</v>
      </c>
      <c r="H497">
        <v>9882000000</v>
      </c>
      <c r="I497">
        <v>1215000000</v>
      </c>
      <c r="J497">
        <v>175000000</v>
      </c>
      <c r="K497">
        <v>9104000000</v>
      </c>
      <c r="L497">
        <v>6865000000</v>
      </c>
      <c r="M497">
        <v>19498000000</v>
      </c>
      <c r="N497">
        <v>0</v>
      </c>
      <c r="O497">
        <v>1488000000</v>
      </c>
      <c r="P497">
        <v>12266000000</v>
      </c>
      <c r="Q497">
        <v>112036116640</v>
      </c>
      <c r="R497">
        <v>113524116640</v>
      </c>
    </row>
    <row r="498" spans="1:18" x14ac:dyDescent="0.25">
      <c r="A498" s="1" t="s">
        <v>1015</v>
      </c>
      <c r="B498">
        <v>103002319080</v>
      </c>
      <c r="C498" t="s">
        <v>83</v>
      </c>
      <c r="D498" t="s">
        <v>127</v>
      </c>
      <c r="E498">
        <v>5647000000</v>
      </c>
      <c r="F498">
        <v>1180000000</v>
      </c>
      <c r="G498">
        <v>6827000000</v>
      </c>
      <c r="H498">
        <v>9882000000</v>
      </c>
      <c r="I498">
        <v>1215000000</v>
      </c>
      <c r="J498">
        <v>175000000</v>
      </c>
      <c r="K498">
        <v>9104000000</v>
      </c>
      <c r="L498">
        <v>6865000000</v>
      </c>
      <c r="M498">
        <v>19498000000</v>
      </c>
      <c r="N498">
        <v>0</v>
      </c>
      <c r="O498">
        <v>1488000000</v>
      </c>
      <c r="P498">
        <v>12266000000</v>
      </c>
      <c r="Q498">
        <v>105454319080</v>
      </c>
      <c r="R498">
        <v>106942319080</v>
      </c>
    </row>
    <row r="499" spans="1:18" x14ac:dyDescent="0.25">
      <c r="A499" s="1" t="s">
        <v>1014</v>
      </c>
      <c r="B499">
        <v>102702294120</v>
      </c>
      <c r="C499" t="s">
        <v>83</v>
      </c>
      <c r="D499" t="s">
        <v>127</v>
      </c>
      <c r="E499">
        <v>5647000000</v>
      </c>
      <c r="F499">
        <v>1180000000</v>
      </c>
      <c r="G499">
        <v>6827000000</v>
      </c>
      <c r="H499">
        <v>9882000000</v>
      </c>
      <c r="I499">
        <v>1215000000</v>
      </c>
      <c r="J499">
        <v>175000000</v>
      </c>
      <c r="K499">
        <v>9104000000</v>
      </c>
      <c r="L499">
        <v>6865000000</v>
      </c>
      <c r="M499">
        <v>19498000000</v>
      </c>
      <c r="N499">
        <v>0</v>
      </c>
      <c r="O499">
        <v>1488000000</v>
      </c>
      <c r="P499">
        <v>12266000000</v>
      </c>
      <c r="Q499">
        <v>105154294120</v>
      </c>
      <c r="R499">
        <v>106642294120</v>
      </c>
    </row>
    <row r="500" spans="1:18" x14ac:dyDescent="0.25">
      <c r="A500" s="1" t="s">
        <v>1013</v>
      </c>
      <c r="B500">
        <v>102852306600</v>
      </c>
      <c r="C500" t="s">
        <v>83</v>
      </c>
      <c r="D500" t="s">
        <v>127</v>
      </c>
      <c r="E500">
        <v>5647000000</v>
      </c>
      <c r="F500">
        <v>1180000000</v>
      </c>
      <c r="G500">
        <v>6827000000</v>
      </c>
      <c r="H500">
        <v>9882000000</v>
      </c>
      <c r="I500">
        <v>1215000000</v>
      </c>
      <c r="J500">
        <v>175000000</v>
      </c>
      <c r="K500">
        <v>9104000000</v>
      </c>
      <c r="L500">
        <v>6865000000</v>
      </c>
      <c r="M500">
        <v>19498000000</v>
      </c>
      <c r="N500">
        <v>0</v>
      </c>
      <c r="O500">
        <v>1488000000</v>
      </c>
      <c r="P500">
        <v>12266000000</v>
      </c>
      <c r="Q500">
        <v>105304306600</v>
      </c>
      <c r="R500">
        <v>106792306600</v>
      </c>
    </row>
    <row r="501" spans="1:18" x14ac:dyDescent="0.25">
      <c r="A501" s="1" t="s">
        <v>1012</v>
      </c>
      <c r="B501">
        <v>99364516440</v>
      </c>
      <c r="C501" t="s">
        <v>83</v>
      </c>
      <c r="D501" t="s">
        <v>127</v>
      </c>
      <c r="E501">
        <v>5647000000</v>
      </c>
      <c r="F501">
        <v>1180000000</v>
      </c>
      <c r="G501">
        <v>6827000000</v>
      </c>
      <c r="H501">
        <v>9882000000</v>
      </c>
      <c r="I501">
        <v>1215000000</v>
      </c>
      <c r="J501">
        <v>175000000</v>
      </c>
      <c r="K501">
        <v>9104000000</v>
      </c>
      <c r="L501">
        <v>6865000000</v>
      </c>
      <c r="M501">
        <v>19498000000</v>
      </c>
      <c r="N501">
        <v>0</v>
      </c>
      <c r="O501">
        <v>1488000000</v>
      </c>
      <c r="P501">
        <v>12266000000</v>
      </c>
      <c r="Q501">
        <v>101816516440</v>
      </c>
      <c r="R501">
        <v>103304516440</v>
      </c>
    </row>
    <row r="502" spans="1:18" x14ac:dyDescent="0.25">
      <c r="A502" s="1" t="s">
        <v>131</v>
      </c>
      <c r="B502">
        <v>95970484080</v>
      </c>
      <c r="C502" t="s">
        <v>83</v>
      </c>
      <c r="D502" t="s">
        <v>127</v>
      </c>
      <c r="E502">
        <v>5647000000</v>
      </c>
      <c r="F502">
        <v>1180000000</v>
      </c>
      <c r="G502">
        <v>6827000000</v>
      </c>
      <c r="H502">
        <v>9882000000</v>
      </c>
      <c r="I502">
        <v>1215000000</v>
      </c>
      <c r="J502">
        <v>175000000</v>
      </c>
      <c r="K502">
        <v>9104000000</v>
      </c>
      <c r="L502">
        <v>6865000000</v>
      </c>
      <c r="M502">
        <v>19498000000</v>
      </c>
      <c r="N502">
        <v>0</v>
      </c>
      <c r="O502">
        <v>1488000000</v>
      </c>
      <c r="P502">
        <v>12266000000</v>
      </c>
      <c r="Q502">
        <v>98422484080</v>
      </c>
      <c r="R502">
        <v>99910484080</v>
      </c>
    </row>
    <row r="503" spans="1:18" x14ac:dyDescent="0.25">
      <c r="A503" s="1" t="s">
        <v>1011</v>
      </c>
      <c r="B503">
        <v>87476027400</v>
      </c>
      <c r="C503" t="s">
        <v>82</v>
      </c>
      <c r="D503" t="s">
        <v>127</v>
      </c>
      <c r="E503">
        <v>4836000000</v>
      </c>
      <c r="F503">
        <v>819000000</v>
      </c>
      <c r="G503">
        <v>5655000000</v>
      </c>
      <c r="H503">
        <v>8295000000</v>
      </c>
      <c r="I503">
        <v>1318000000</v>
      </c>
      <c r="J503">
        <v>171000000</v>
      </c>
      <c r="K503">
        <v>9332000000</v>
      </c>
      <c r="L503">
        <v>7288000000</v>
      </c>
      <c r="M503">
        <v>20584000000</v>
      </c>
      <c r="N503">
        <v>0</v>
      </c>
      <c r="O503">
        <v>473000000</v>
      </c>
      <c r="P503">
        <v>13598000000</v>
      </c>
      <c r="Q503">
        <v>91324027400</v>
      </c>
      <c r="R503">
        <v>91797027400</v>
      </c>
    </row>
    <row r="504" spans="1:18" x14ac:dyDescent="0.25">
      <c r="A504" s="1" t="s">
        <v>1010</v>
      </c>
      <c r="B504">
        <v>88188586680</v>
      </c>
      <c r="C504" t="s">
        <v>82</v>
      </c>
      <c r="D504" t="s">
        <v>127</v>
      </c>
      <c r="E504">
        <v>4836000000</v>
      </c>
      <c r="F504">
        <v>819000000</v>
      </c>
      <c r="G504">
        <v>5655000000</v>
      </c>
      <c r="H504">
        <v>8295000000</v>
      </c>
      <c r="I504">
        <v>1318000000</v>
      </c>
      <c r="J504">
        <v>171000000</v>
      </c>
      <c r="K504">
        <v>9332000000</v>
      </c>
      <c r="L504">
        <v>7288000000</v>
      </c>
      <c r="M504">
        <v>20584000000</v>
      </c>
      <c r="N504">
        <v>0</v>
      </c>
      <c r="O504">
        <v>473000000</v>
      </c>
      <c r="P504">
        <v>13598000000</v>
      </c>
      <c r="Q504">
        <v>92036586680</v>
      </c>
      <c r="R504">
        <v>92509586680</v>
      </c>
    </row>
    <row r="505" spans="1:18" x14ac:dyDescent="0.25">
      <c r="A505" s="1" t="s">
        <v>1009</v>
      </c>
      <c r="B505">
        <v>85863393240</v>
      </c>
      <c r="C505" t="s">
        <v>82</v>
      </c>
      <c r="D505" t="s">
        <v>127</v>
      </c>
      <c r="E505">
        <v>4836000000</v>
      </c>
      <c r="F505">
        <v>819000000</v>
      </c>
      <c r="G505">
        <v>5655000000</v>
      </c>
      <c r="H505">
        <v>8295000000</v>
      </c>
      <c r="I505">
        <v>1318000000</v>
      </c>
      <c r="J505">
        <v>171000000</v>
      </c>
      <c r="K505">
        <v>9332000000</v>
      </c>
      <c r="L505">
        <v>7288000000</v>
      </c>
      <c r="M505">
        <v>20584000000</v>
      </c>
      <c r="N505">
        <v>0</v>
      </c>
      <c r="O505">
        <v>473000000</v>
      </c>
      <c r="P505">
        <v>13598000000</v>
      </c>
      <c r="Q505">
        <v>89711393240</v>
      </c>
      <c r="R505">
        <v>90184393240</v>
      </c>
    </row>
    <row r="506" spans="1:18" x14ac:dyDescent="0.25">
      <c r="A506" s="1" t="s">
        <v>1008</v>
      </c>
      <c r="B506">
        <v>86650958760</v>
      </c>
      <c r="C506" t="s">
        <v>82</v>
      </c>
      <c r="D506" t="s">
        <v>127</v>
      </c>
      <c r="E506">
        <v>4836000000</v>
      </c>
      <c r="F506">
        <v>819000000</v>
      </c>
      <c r="G506">
        <v>5655000000</v>
      </c>
      <c r="H506">
        <v>8295000000</v>
      </c>
      <c r="I506">
        <v>1318000000</v>
      </c>
      <c r="J506">
        <v>171000000</v>
      </c>
      <c r="K506">
        <v>9332000000</v>
      </c>
      <c r="L506">
        <v>7288000000</v>
      </c>
      <c r="M506">
        <v>20584000000</v>
      </c>
      <c r="N506">
        <v>0</v>
      </c>
      <c r="O506">
        <v>473000000</v>
      </c>
      <c r="P506">
        <v>13598000000</v>
      </c>
      <c r="Q506">
        <v>90498958760</v>
      </c>
      <c r="R506">
        <v>90971958760</v>
      </c>
    </row>
    <row r="507" spans="1:18" x14ac:dyDescent="0.25">
      <c r="A507" s="1" t="s">
        <v>1007</v>
      </c>
      <c r="B507">
        <v>82150584360</v>
      </c>
      <c r="C507" t="s">
        <v>82</v>
      </c>
      <c r="D507" t="s">
        <v>127</v>
      </c>
      <c r="E507">
        <v>4836000000</v>
      </c>
      <c r="F507">
        <v>819000000</v>
      </c>
      <c r="G507">
        <v>5655000000</v>
      </c>
      <c r="H507">
        <v>8295000000</v>
      </c>
      <c r="I507">
        <v>1318000000</v>
      </c>
      <c r="J507">
        <v>171000000</v>
      </c>
      <c r="K507">
        <v>9332000000</v>
      </c>
      <c r="L507">
        <v>7288000000</v>
      </c>
      <c r="M507">
        <v>20584000000</v>
      </c>
      <c r="N507">
        <v>0</v>
      </c>
      <c r="O507">
        <v>473000000</v>
      </c>
      <c r="P507">
        <v>13598000000</v>
      </c>
      <c r="Q507">
        <v>85998584360</v>
      </c>
      <c r="R507">
        <v>86471584360</v>
      </c>
    </row>
    <row r="508" spans="1:18" x14ac:dyDescent="0.25">
      <c r="A508" s="1" t="s">
        <v>1006</v>
      </c>
      <c r="B508">
        <v>83406938880</v>
      </c>
      <c r="C508" t="s">
        <v>82</v>
      </c>
      <c r="D508" t="s">
        <v>127</v>
      </c>
      <c r="E508">
        <v>4836000000</v>
      </c>
      <c r="F508">
        <v>819000000</v>
      </c>
      <c r="G508">
        <v>5655000000</v>
      </c>
      <c r="H508">
        <v>8295000000</v>
      </c>
      <c r="I508">
        <v>1318000000</v>
      </c>
      <c r="J508">
        <v>171000000</v>
      </c>
      <c r="K508">
        <v>9332000000</v>
      </c>
      <c r="L508">
        <v>7288000000</v>
      </c>
      <c r="M508">
        <v>20584000000</v>
      </c>
      <c r="N508">
        <v>0</v>
      </c>
      <c r="O508">
        <v>473000000</v>
      </c>
      <c r="P508">
        <v>13598000000</v>
      </c>
      <c r="Q508">
        <v>87254938880</v>
      </c>
      <c r="R508">
        <v>87727938880</v>
      </c>
    </row>
    <row r="509" spans="1:18" x14ac:dyDescent="0.25">
      <c r="A509" s="1" t="s">
        <v>1005</v>
      </c>
      <c r="B509">
        <v>88919897520</v>
      </c>
      <c r="C509" t="s">
        <v>82</v>
      </c>
      <c r="D509" t="s">
        <v>127</v>
      </c>
      <c r="E509">
        <v>4836000000</v>
      </c>
      <c r="F509">
        <v>819000000</v>
      </c>
      <c r="G509">
        <v>5655000000</v>
      </c>
      <c r="H509">
        <v>8295000000</v>
      </c>
      <c r="I509">
        <v>1318000000</v>
      </c>
      <c r="J509">
        <v>171000000</v>
      </c>
      <c r="K509">
        <v>9332000000</v>
      </c>
      <c r="L509">
        <v>7288000000</v>
      </c>
      <c r="M509">
        <v>20584000000</v>
      </c>
      <c r="N509">
        <v>0</v>
      </c>
      <c r="O509">
        <v>473000000</v>
      </c>
      <c r="P509">
        <v>13598000000</v>
      </c>
      <c r="Q509">
        <v>92767897520</v>
      </c>
      <c r="R509">
        <v>93240897520</v>
      </c>
    </row>
    <row r="510" spans="1:18" x14ac:dyDescent="0.25">
      <c r="A510" s="1" t="s">
        <v>1004</v>
      </c>
      <c r="B510">
        <v>89088661560</v>
      </c>
      <c r="C510" t="s">
        <v>82</v>
      </c>
      <c r="D510" t="s">
        <v>127</v>
      </c>
      <c r="E510">
        <v>4836000000</v>
      </c>
      <c r="F510">
        <v>819000000</v>
      </c>
      <c r="G510">
        <v>5655000000</v>
      </c>
      <c r="H510">
        <v>8295000000</v>
      </c>
      <c r="I510">
        <v>1318000000</v>
      </c>
      <c r="J510">
        <v>171000000</v>
      </c>
      <c r="K510">
        <v>9332000000</v>
      </c>
      <c r="L510">
        <v>7288000000</v>
      </c>
      <c r="M510">
        <v>20584000000</v>
      </c>
      <c r="N510">
        <v>0</v>
      </c>
      <c r="O510">
        <v>473000000</v>
      </c>
      <c r="P510">
        <v>13598000000</v>
      </c>
      <c r="Q510">
        <v>92936661560</v>
      </c>
      <c r="R510">
        <v>93409661560</v>
      </c>
    </row>
    <row r="511" spans="1:18" x14ac:dyDescent="0.25">
      <c r="A511" s="1" t="s">
        <v>1003</v>
      </c>
      <c r="B511">
        <v>92201420520</v>
      </c>
      <c r="C511" t="s">
        <v>82</v>
      </c>
      <c r="D511" t="s">
        <v>127</v>
      </c>
      <c r="E511">
        <v>4836000000</v>
      </c>
      <c r="F511">
        <v>819000000</v>
      </c>
      <c r="G511">
        <v>5655000000</v>
      </c>
      <c r="H511">
        <v>8295000000</v>
      </c>
      <c r="I511">
        <v>1318000000</v>
      </c>
      <c r="J511">
        <v>171000000</v>
      </c>
      <c r="K511">
        <v>9332000000</v>
      </c>
      <c r="L511">
        <v>7288000000</v>
      </c>
      <c r="M511">
        <v>20584000000</v>
      </c>
      <c r="N511">
        <v>0</v>
      </c>
      <c r="O511">
        <v>473000000</v>
      </c>
      <c r="P511">
        <v>13598000000</v>
      </c>
      <c r="Q511">
        <v>96049420520</v>
      </c>
      <c r="R511">
        <v>96522420520</v>
      </c>
    </row>
    <row r="512" spans="1:18" x14ac:dyDescent="0.25">
      <c r="A512" s="1" t="s">
        <v>1002</v>
      </c>
      <c r="B512">
        <v>92763967320</v>
      </c>
      <c r="C512" t="s">
        <v>82</v>
      </c>
      <c r="D512" t="s">
        <v>127</v>
      </c>
      <c r="E512">
        <v>4836000000</v>
      </c>
      <c r="F512">
        <v>819000000</v>
      </c>
      <c r="G512">
        <v>5655000000</v>
      </c>
      <c r="H512">
        <v>8295000000</v>
      </c>
      <c r="I512">
        <v>1318000000</v>
      </c>
      <c r="J512">
        <v>171000000</v>
      </c>
      <c r="K512">
        <v>9332000000</v>
      </c>
      <c r="L512">
        <v>7288000000</v>
      </c>
      <c r="M512">
        <v>20584000000</v>
      </c>
      <c r="N512">
        <v>0</v>
      </c>
      <c r="O512">
        <v>473000000</v>
      </c>
      <c r="P512">
        <v>13598000000</v>
      </c>
      <c r="Q512">
        <v>96611967320</v>
      </c>
      <c r="R512">
        <v>97084967320</v>
      </c>
    </row>
    <row r="513" spans="1:18" x14ac:dyDescent="0.25">
      <c r="A513" s="1" t="s">
        <v>1001</v>
      </c>
      <c r="B513">
        <v>92501445480</v>
      </c>
      <c r="C513" t="s">
        <v>82</v>
      </c>
      <c r="D513" t="s">
        <v>127</v>
      </c>
      <c r="E513">
        <v>4836000000</v>
      </c>
      <c r="F513">
        <v>819000000</v>
      </c>
      <c r="G513">
        <v>5655000000</v>
      </c>
      <c r="H513">
        <v>8295000000</v>
      </c>
      <c r="I513">
        <v>1318000000</v>
      </c>
      <c r="J513">
        <v>171000000</v>
      </c>
      <c r="K513">
        <v>9332000000</v>
      </c>
      <c r="L513">
        <v>7288000000</v>
      </c>
      <c r="M513">
        <v>20584000000</v>
      </c>
      <c r="N513">
        <v>0</v>
      </c>
      <c r="O513">
        <v>473000000</v>
      </c>
      <c r="P513">
        <v>13598000000</v>
      </c>
      <c r="Q513">
        <v>96349445480</v>
      </c>
      <c r="R513">
        <v>96822445480</v>
      </c>
    </row>
    <row r="514" spans="1:18" x14ac:dyDescent="0.25">
      <c r="A514" s="1" t="s">
        <v>1000</v>
      </c>
      <c r="B514">
        <v>91545115920</v>
      </c>
      <c r="C514" t="s">
        <v>82</v>
      </c>
      <c r="D514" t="s">
        <v>127</v>
      </c>
      <c r="E514">
        <v>4836000000</v>
      </c>
      <c r="F514">
        <v>819000000</v>
      </c>
      <c r="G514">
        <v>5655000000</v>
      </c>
      <c r="H514">
        <v>8295000000</v>
      </c>
      <c r="I514">
        <v>1318000000</v>
      </c>
      <c r="J514">
        <v>171000000</v>
      </c>
      <c r="K514">
        <v>9332000000</v>
      </c>
      <c r="L514">
        <v>7288000000</v>
      </c>
      <c r="M514">
        <v>20584000000</v>
      </c>
      <c r="N514">
        <v>0</v>
      </c>
      <c r="O514">
        <v>473000000</v>
      </c>
      <c r="P514">
        <v>13598000000</v>
      </c>
      <c r="Q514">
        <v>95393115920</v>
      </c>
      <c r="R514">
        <v>95866115920</v>
      </c>
    </row>
    <row r="515" spans="1:18" x14ac:dyDescent="0.25">
      <c r="A515" s="1" t="s">
        <v>999</v>
      </c>
      <c r="B515">
        <v>93814054680</v>
      </c>
      <c r="C515" t="s">
        <v>82</v>
      </c>
      <c r="D515" t="s">
        <v>127</v>
      </c>
      <c r="E515">
        <v>4836000000</v>
      </c>
      <c r="F515">
        <v>819000000</v>
      </c>
      <c r="G515">
        <v>5655000000</v>
      </c>
      <c r="H515">
        <v>8295000000</v>
      </c>
      <c r="I515">
        <v>1318000000</v>
      </c>
      <c r="J515">
        <v>171000000</v>
      </c>
      <c r="K515">
        <v>9332000000</v>
      </c>
      <c r="L515">
        <v>7288000000</v>
      </c>
      <c r="M515">
        <v>20584000000</v>
      </c>
      <c r="N515">
        <v>0</v>
      </c>
      <c r="O515">
        <v>473000000</v>
      </c>
      <c r="P515">
        <v>13598000000</v>
      </c>
      <c r="Q515">
        <v>97662054680</v>
      </c>
      <c r="R515">
        <v>98135054680</v>
      </c>
    </row>
    <row r="516" spans="1:18" x14ac:dyDescent="0.25">
      <c r="A516" s="1" t="s">
        <v>998</v>
      </c>
      <c r="B516">
        <v>94620371760</v>
      </c>
      <c r="C516" t="s">
        <v>82</v>
      </c>
      <c r="D516" t="s">
        <v>127</v>
      </c>
      <c r="E516">
        <v>4836000000</v>
      </c>
      <c r="F516">
        <v>819000000</v>
      </c>
      <c r="G516">
        <v>5655000000</v>
      </c>
      <c r="H516">
        <v>8295000000</v>
      </c>
      <c r="I516">
        <v>1318000000</v>
      </c>
      <c r="J516">
        <v>171000000</v>
      </c>
      <c r="K516">
        <v>9332000000</v>
      </c>
      <c r="L516">
        <v>7288000000</v>
      </c>
      <c r="M516">
        <v>20584000000</v>
      </c>
      <c r="N516">
        <v>0</v>
      </c>
      <c r="O516">
        <v>473000000</v>
      </c>
      <c r="P516">
        <v>13598000000</v>
      </c>
      <c r="Q516">
        <v>98468371760</v>
      </c>
      <c r="R516">
        <v>98941371760</v>
      </c>
    </row>
    <row r="517" spans="1:18" x14ac:dyDescent="0.25">
      <c r="A517" s="1" t="s">
        <v>997</v>
      </c>
      <c r="B517">
        <v>95857974720</v>
      </c>
      <c r="C517" t="s">
        <v>82</v>
      </c>
      <c r="D517" t="s">
        <v>127</v>
      </c>
      <c r="E517">
        <v>4836000000</v>
      </c>
      <c r="F517">
        <v>819000000</v>
      </c>
      <c r="G517">
        <v>5655000000</v>
      </c>
      <c r="H517">
        <v>8295000000</v>
      </c>
      <c r="I517">
        <v>1318000000</v>
      </c>
      <c r="J517">
        <v>171000000</v>
      </c>
      <c r="K517">
        <v>9332000000</v>
      </c>
      <c r="L517">
        <v>7288000000</v>
      </c>
      <c r="M517">
        <v>20584000000</v>
      </c>
      <c r="N517">
        <v>0</v>
      </c>
      <c r="O517">
        <v>473000000</v>
      </c>
      <c r="P517">
        <v>13598000000</v>
      </c>
      <c r="Q517">
        <v>99705974720</v>
      </c>
      <c r="R517">
        <v>100178974720</v>
      </c>
    </row>
    <row r="518" spans="1:18" x14ac:dyDescent="0.25">
      <c r="A518" s="1" t="s">
        <v>996</v>
      </c>
      <c r="B518">
        <v>95089160760</v>
      </c>
      <c r="C518" t="s">
        <v>82</v>
      </c>
      <c r="D518" t="s">
        <v>127</v>
      </c>
      <c r="E518">
        <v>4836000000</v>
      </c>
      <c r="F518">
        <v>819000000</v>
      </c>
      <c r="G518">
        <v>5655000000</v>
      </c>
      <c r="H518">
        <v>8295000000</v>
      </c>
      <c r="I518">
        <v>1318000000</v>
      </c>
      <c r="J518">
        <v>171000000</v>
      </c>
      <c r="K518">
        <v>9332000000</v>
      </c>
      <c r="L518">
        <v>7288000000</v>
      </c>
      <c r="M518">
        <v>20584000000</v>
      </c>
      <c r="N518">
        <v>0</v>
      </c>
      <c r="O518">
        <v>473000000</v>
      </c>
      <c r="P518">
        <v>13598000000</v>
      </c>
      <c r="Q518">
        <v>98937160760</v>
      </c>
      <c r="R518">
        <v>99410160760</v>
      </c>
    </row>
    <row r="519" spans="1:18" x14ac:dyDescent="0.25">
      <c r="A519" s="1" t="s">
        <v>995</v>
      </c>
      <c r="B519">
        <v>95314179480</v>
      </c>
      <c r="C519" t="s">
        <v>82</v>
      </c>
      <c r="D519" t="s">
        <v>127</v>
      </c>
      <c r="E519">
        <v>4836000000</v>
      </c>
      <c r="F519">
        <v>819000000</v>
      </c>
      <c r="G519">
        <v>5655000000</v>
      </c>
      <c r="H519">
        <v>8295000000</v>
      </c>
      <c r="I519">
        <v>1318000000</v>
      </c>
      <c r="J519">
        <v>171000000</v>
      </c>
      <c r="K519">
        <v>9332000000</v>
      </c>
      <c r="L519">
        <v>7288000000</v>
      </c>
      <c r="M519">
        <v>20584000000</v>
      </c>
      <c r="N519">
        <v>0</v>
      </c>
      <c r="O519">
        <v>473000000</v>
      </c>
      <c r="P519">
        <v>13598000000</v>
      </c>
      <c r="Q519">
        <v>99162179480</v>
      </c>
      <c r="R519">
        <v>99635179480</v>
      </c>
    </row>
    <row r="520" spans="1:18" x14ac:dyDescent="0.25">
      <c r="A520" s="1" t="s">
        <v>994</v>
      </c>
      <c r="B520">
        <v>95595452880</v>
      </c>
      <c r="C520" t="s">
        <v>82</v>
      </c>
      <c r="D520" t="s">
        <v>127</v>
      </c>
      <c r="E520">
        <v>4836000000</v>
      </c>
      <c r="F520">
        <v>819000000</v>
      </c>
      <c r="G520">
        <v>5655000000</v>
      </c>
      <c r="H520">
        <v>8295000000</v>
      </c>
      <c r="I520">
        <v>1318000000</v>
      </c>
      <c r="J520">
        <v>171000000</v>
      </c>
      <c r="K520">
        <v>9332000000</v>
      </c>
      <c r="L520">
        <v>7288000000</v>
      </c>
      <c r="M520">
        <v>20584000000</v>
      </c>
      <c r="N520">
        <v>0</v>
      </c>
      <c r="O520">
        <v>473000000</v>
      </c>
      <c r="P520">
        <v>13598000000</v>
      </c>
      <c r="Q520">
        <v>99443452880</v>
      </c>
      <c r="R520">
        <v>99916452880</v>
      </c>
    </row>
    <row r="521" spans="1:18" x14ac:dyDescent="0.25">
      <c r="A521" s="1" t="s">
        <v>993</v>
      </c>
      <c r="B521">
        <v>95239173240</v>
      </c>
      <c r="C521" t="s">
        <v>82</v>
      </c>
      <c r="D521" t="s">
        <v>127</v>
      </c>
      <c r="E521">
        <v>4836000000</v>
      </c>
      <c r="F521">
        <v>819000000</v>
      </c>
      <c r="G521">
        <v>5655000000</v>
      </c>
      <c r="H521">
        <v>8295000000</v>
      </c>
      <c r="I521">
        <v>1318000000</v>
      </c>
      <c r="J521">
        <v>171000000</v>
      </c>
      <c r="K521">
        <v>9332000000</v>
      </c>
      <c r="L521">
        <v>7288000000</v>
      </c>
      <c r="M521">
        <v>20584000000</v>
      </c>
      <c r="N521">
        <v>0</v>
      </c>
      <c r="O521">
        <v>473000000</v>
      </c>
      <c r="P521">
        <v>13598000000</v>
      </c>
      <c r="Q521">
        <v>99087173240</v>
      </c>
      <c r="R521">
        <v>99560173240</v>
      </c>
    </row>
    <row r="522" spans="1:18" x14ac:dyDescent="0.25">
      <c r="A522" s="1" t="s">
        <v>992</v>
      </c>
      <c r="B522">
        <v>91320097200</v>
      </c>
      <c r="C522" t="s">
        <v>82</v>
      </c>
      <c r="D522" t="s">
        <v>127</v>
      </c>
      <c r="E522">
        <v>4836000000</v>
      </c>
      <c r="F522">
        <v>819000000</v>
      </c>
      <c r="G522">
        <v>5655000000</v>
      </c>
      <c r="H522">
        <v>8295000000</v>
      </c>
      <c r="I522">
        <v>1318000000</v>
      </c>
      <c r="J522">
        <v>171000000</v>
      </c>
      <c r="K522">
        <v>9332000000</v>
      </c>
      <c r="L522">
        <v>7288000000</v>
      </c>
      <c r="M522">
        <v>20584000000</v>
      </c>
      <c r="N522">
        <v>0</v>
      </c>
      <c r="O522">
        <v>473000000</v>
      </c>
      <c r="P522">
        <v>13598000000</v>
      </c>
      <c r="Q522">
        <v>95168097200</v>
      </c>
      <c r="R522">
        <v>95641097200</v>
      </c>
    </row>
    <row r="523" spans="1:18" x14ac:dyDescent="0.25">
      <c r="A523" s="1" t="s">
        <v>991</v>
      </c>
      <c r="B523">
        <v>94095328080</v>
      </c>
      <c r="C523" t="s">
        <v>82</v>
      </c>
      <c r="D523" t="s">
        <v>127</v>
      </c>
      <c r="E523">
        <v>4836000000</v>
      </c>
      <c r="F523">
        <v>819000000</v>
      </c>
      <c r="G523">
        <v>5655000000</v>
      </c>
      <c r="H523">
        <v>8295000000</v>
      </c>
      <c r="I523">
        <v>1318000000</v>
      </c>
      <c r="J523">
        <v>171000000</v>
      </c>
      <c r="K523">
        <v>9332000000</v>
      </c>
      <c r="L523">
        <v>7288000000</v>
      </c>
      <c r="M523">
        <v>20584000000</v>
      </c>
      <c r="N523">
        <v>0</v>
      </c>
      <c r="O523">
        <v>473000000</v>
      </c>
      <c r="P523">
        <v>13598000000</v>
      </c>
      <c r="Q523">
        <v>97943328080</v>
      </c>
      <c r="R523">
        <v>98416328080</v>
      </c>
    </row>
    <row r="524" spans="1:18" x14ac:dyDescent="0.25">
      <c r="A524" s="1" t="s">
        <v>990</v>
      </c>
      <c r="B524">
        <v>95182918560</v>
      </c>
      <c r="C524" t="s">
        <v>82</v>
      </c>
      <c r="D524" t="s">
        <v>127</v>
      </c>
      <c r="E524">
        <v>4836000000</v>
      </c>
      <c r="F524">
        <v>819000000</v>
      </c>
      <c r="G524">
        <v>5655000000</v>
      </c>
      <c r="H524">
        <v>8295000000</v>
      </c>
      <c r="I524">
        <v>1318000000</v>
      </c>
      <c r="J524">
        <v>171000000</v>
      </c>
      <c r="K524">
        <v>9332000000</v>
      </c>
      <c r="L524">
        <v>7288000000</v>
      </c>
      <c r="M524">
        <v>20584000000</v>
      </c>
      <c r="N524">
        <v>0</v>
      </c>
      <c r="O524">
        <v>473000000</v>
      </c>
      <c r="P524">
        <v>13598000000</v>
      </c>
      <c r="Q524">
        <v>99030918560</v>
      </c>
      <c r="R524">
        <v>99503918560</v>
      </c>
    </row>
    <row r="525" spans="1:18" x14ac:dyDescent="0.25">
      <c r="A525" s="1" t="s">
        <v>989</v>
      </c>
      <c r="B525">
        <v>93532781280</v>
      </c>
      <c r="C525" t="s">
        <v>82</v>
      </c>
      <c r="D525" t="s">
        <v>127</v>
      </c>
      <c r="E525">
        <v>4836000000</v>
      </c>
      <c r="F525">
        <v>819000000</v>
      </c>
      <c r="G525">
        <v>5655000000</v>
      </c>
      <c r="H525">
        <v>8295000000</v>
      </c>
      <c r="I525">
        <v>1318000000</v>
      </c>
      <c r="J525">
        <v>171000000</v>
      </c>
      <c r="K525">
        <v>9332000000</v>
      </c>
      <c r="L525">
        <v>7288000000</v>
      </c>
      <c r="M525">
        <v>20584000000</v>
      </c>
      <c r="N525">
        <v>0</v>
      </c>
      <c r="O525">
        <v>473000000</v>
      </c>
      <c r="P525">
        <v>13598000000</v>
      </c>
      <c r="Q525">
        <v>97380781280</v>
      </c>
      <c r="R525">
        <v>97853781280</v>
      </c>
    </row>
    <row r="526" spans="1:18" x14ac:dyDescent="0.25">
      <c r="A526" s="1" t="s">
        <v>988</v>
      </c>
      <c r="B526">
        <v>92145165840</v>
      </c>
      <c r="C526" t="s">
        <v>82</v>
      </c>
      <c r="D526" t="s">
        <v>127</v>
      </c>
      <c r="E526">
        <v>4836000000</v>
      </c>
      <c r="F526">
        <v>819000000</v>
      </c>
      <c r="G526">
        <v>5655000000</v>
      </c>
      <c r="H526">
        <v>8295000000</v>
      </c>
      <c r="I526">
        <v>1318000000</v>
      </c>
      <c r="J526">
        <v>171000000</v>
      </c>
      <c r="K526">
        <v>9332000000</v>
      </c>
      <c r="L526">
        <v>7288000000</v>
      </c>
      <c r="M526">
        <v>20584000000</v>
      </c>
      <c r="N526">
        <v>0</v>
      </c>
      <c r="O526">
        <v>473000000</v>
      </c>
      <c r="P526">
        <v>13598000000</v>
      </c>
      <c r="Q526">
        <v>95993165840</v>
      </c>
      <c r="R526">
        <v>96466165840</v>
      </c>
    </row>
    <row r="527" spans="1:18" x14ac:dyDescent="0.25">
      <c r="A527" s="1" t="s">
        <v>987</v>
      </c>
      <c r="B527">
        <v>92913979800</v>
      </c>
      <c r="C527" t="s">
        <v>82</v>
      </c>
      <c r="D527" t="s">
        <v>127</v>
      </c>
      <c r="E527">
        <v>4836000000</v>
      </c>
      <c r="F527">
        <v>819000000</v>
      </c>
      <c r="G527">
        <v>5655000000</v>
      </c>
      <c r="H527">
        <v>8295000000</v>
      </c>
      <c r="I527">
        <v>1318000000</v>
      </c>
      <c r="J527">
        <v>171000000</v>
      </c>
      <c r="K527">
        <v>9332000000</v>
      </c>
      <c r="L527">
        <v>7288000000</v>
      </c>
      <c r="M527">
        <v>20584000000</v>
      </c>
      <c r="N527">
        <v>0</v>
      </c>
      <c r="O527">
        <v>473000000</v>
      </c>
      <c r="P527">
        <v>13598000000</v>
      </c>
      <c r="Q527">
        <v>96761979800</v>
      </c>
      <c r="R527">
        <v>97234979800</v>
      </c>
    </row>
    <row r="528" spans="1:18" x14ac:dyDescent="0.25">
      <c r="A528" s="1" t="s">
        <v>986</v>
      </c>
      <c r="B528">
        <v>93776551560</v>
      </c>
      <c r="C528" t="s">
        <v>82</v>
      </c>
      <c r="D528" t="s">
        <v>127</v>
      </c>
      <c r="E528">
        <v>4836000000</v>
      </c>
      <c r="F528">
        <v>819000000</v>
      </c>
      <c r="G528">
        <v>5655000000</v>
      </c>
      <c r="H528">
        <v>8295000000</v>
      </c>
      <c r="I528">
        <v>1318000000</v>
      </c>
      <c r="J528">
        <v>171000000</v>
      </c>
      <c r="K528">
        <v>9332000000</v>
      </c>
      <c r="L528">
        <v>7288000000</v>
      </c>
      <c r="M528">
        <v>20584000000</v>
      </c>
      <c r="N528">
        <v>0</v>
      </c>
      <c r="O528">
        <v>473000000</v>
      </c>
      <c r="P528">
        <v>13598000000</v>
      </c>
      <c r="Q528">
        <v>97624551560</v>
      </c>
      <c r="R528">
        <v>98097551560</v>
      </c>
    </row>
    <row r="529" spans="1:18" x14ac:dyDescent="0.25">
      <c r="A529" s="1" t="s">
        <v>985</v>
      </c>
      <c r="B529">
        <v>95201670120</v>
      </c>
      <c r="C529" t="s">
        <v>82</v>
      </c>
      <c r="D529" t="s">
        <v>127</v>
      </c>
      <c r="E529">
        <v>4836000000</v>
      </c>
      <c r="F529">
        <v>819000000</v>
      </c>
      <c r="G529">
        <v>5655000000</v>
      </c>
      <c r="H529">
        <v>8295000000</v>
      </c>
      <c r="I529">
        <v>1318000000</v>
      </c>
      <c r="J529">
        <v>171000000</v>
      </c>
      <c r="K529">
        <v>9332000000</v>
      </c>
      <c r="L529">
        <v>7288000000</v>
      </c>
      <c r="M529">
        <v>20584000000</v>
      </c>
      <c r="N529">
        <v>0</v>
      </c>
      <c r="O529">
        <v>473000000</v>
      </c>
      <c r="P529">
        <v>13598000000</v>
      </c>
      <c r="Q529">
        <v>99049670120</v>
      </c>
      <c r="R529">
        <v>99522670120</v>
      </c>
    </row>
    <row r="530" spans="1:18" x14ac:dyDescent="0.25">
      <c r="A530" s="1" t="s">
        <v>984</v>
      </c>
      <c r="B530">
        <v>92445190800</v>
      </c>
      <c r="C530" t="s">
        <v>82</v>
      </c>
      <c r="D530" t="s">
        <v>127</v>
      </c>
      <c r="E530">
        <v>4836000000</v>
      </c>
      <c r="F530">
        <v>819000000</v>
      </c>
      <c r="G530">
        <v>5655000000</v>
      </c>
      <c r="H530">
        <v>8295000000</v>
      </c>
      <c r="I530">
        <v>1318000000</v>
      </c>
      <c r="J530">
        <v>171000000</v>
      </c>
      <c r="K530">
        <v>9332000000</v>
      </c>
      <c r="L530">
        <v>7288000000</v>
      </c>
      <c r="M530">
        <v>20584000000</v>
      </c>
      <c r="N530">
        <v>0</v>
      </c>
      <c r="O530">
        <v>473000000</v>
      </c>
      <c r="P530">
        <v>13598000000</v>
      </c>
      <c r="Q530">
        <v>96293190800</v>
      </c>
      <c r="R530">
        <v>96766190800</v>
      </c>
    </row>
    <row r="531" spans="1:18" x14ac:dyDescent="0.25">
      <c r="A531" s="1" t="s">
        <v>983</v>
      </c>
      <c r="B531">
        <v>91676376840</v>
      </c>
      <c r="C531" t="s">
        <v>82</v>
      </c>
      <c r="D531" t="s">
        <v>127</v>
      </c>
      <c r="E531">
        <v>4836000000</v>
      </c>
      <c r="F531">
        <v>819000000</v>
      </c>
      <c r="G531">
        <v>5655000000</v>
      </c>
      <c r="H531">
        <v>8295000000</v>
      </c>
      <c r="I531">
        <v>1318000000</v>
      </c>
      <c r="J531">
        <v>171000000</v>
      </c>
      <c r="K531">
        <v>9332000000</v>
      </c>
      <c r="L531">
        <v>7288000000</v>
      </c>
      <c r="M531">
        <v>20584000000</v>
      </c>
      <c r="N531">
        <v>0</v>
      </c>
      <c r="O531">
        <v>473000000</v>
      </c>
      <c r="P531">
        <v>13598000000</v>
      </c>
      <c r="Q531">
        <v>95524376840</v>
      </c>
      <c r="R531">
        <v>95997376840</v>
      </c>
    </row>
    <row r="532" spans="1:18" x14ac:dyDescent="0.25">
      <c r="A532" s="1" t="s">
        <v>982</v>
      </c>
      <c r="B532">
        <v>93195253200</v>
      </c>
      <c r="C532" t="s">
        <v>82</v>
      </c>
      <c r="D532" t="s">
        <v>127</v>
      </c>
      <c r="E532">
        <v>4836000000</v>
      </c>
      <c r="F532">
        <v>819000000</v>
      </c>
      <c r="G532">
        <v>5655000000</v>
      </c>
      <c r="H532">
        <v>8295000000</v>
      </c>
      <c r="I532">
        <v>1318000000</v>
      </c>
      <c r="J532">
        <v>171000000</v>
      </c>
      <c r="K532">
        <v>9332000000</v>
      </c>
      <c r="L532">
        <v>7288000000</v>
      </c>
      <c r="M532">
        <v>20584000000</v>
      </c>
      <c r="N532">
        <v>0</v>
      </c>
      <c r="O532">
        <v>473000000</v>
      </c>
      <c r="P532">
        <v>13598000000</v>
      </c>
      <c r="Q532">
        <v>97043253200</v>
      </c>
      <c r="R532">
        <v>97516253200</v>
      </c>
    </row>
    <row r="533" spans="1:18" x14ac:dyDescent="0.25">
      <c r="A533" s="1" t="s">
        <v>981</v>
      </c>
      <c r="B533">
        <v>93195253200</v>
      </c>
      <c r="C533" t="s">
        <v>82</v>
      </c>
      <c r="D533" t="s">
        <v>127</v>
      </c>
      <c r="E533">
        <v>4836000000</v>
      </c>
      <c r="F533">
        <v>819000000</v>
      </c>
      <c r="G533">
        <v>5655000000</v>
      </c>
      <c r="H533">
        <v>8295000000</v>
      </c>
      <c r="I533">
        <v>1318000000</v>
      </c>
      <c r="J533">
        <v>171000000</v>
      </c>
      <c r="K533">
        <v>9332000000</v>
      </c>
      <c r="L533">
        <v>7288000000</v>
      </c>
      <c r="M533">
        <v>20584000000</v>
      </c>
      <c r="N533">
        <v>0</v>
      </c>
      <c r="O533">
        <v>473000000</v>
      </c>
      <c r="P533">
        <v>13598000000</v>
      </c>
      <c r="Q533">
        <v>97043253200</v>
      </c>
      <c r="R533">
        <v>97516253200</v>
      </c>
    </row>
    <row r="534" spans="1:18" x14ac:dyDescent="0.25">
      <c r="A534" s="1" t="s">
        <v>980</v>
      </c>
      <c r="B534">
        <v>90232506720</v>
      </c>
      <c r="C534" t="s">
        <v>82</v>
      </c>
      <c r="D534" t="s">
        <v>127</v>
      </c>
      <c r="E534">
        <v>4836000000</v>
      </c>
      <c r="F534">
        <v>819000000</v>
      </c>
      <c r="G534">
        <v>5655000000</v>
      </c>
      <c r="H534">
        <v>8295000000</v>
      </c>
      <c r="I534">
        <v>1318000000</v>
      </c>
      <c r="J534">
        <v>171000000</v>
      </c>
      <c r="K534">
        <v>9332000000</v>
      </c>
      <c r="L534">
        <v>7288000000</v>
      </c>
      <c r="M534">
        <v>20584000000</v>
      </c>
      <c r="N534">
        <v>0</v>
      </c>
      <c r="O534">
        <v>473000000</v>
      </c>
      <c r="P534">
        <v>13598000000</v>
      </c>
      <c r="Q534">
        <v>94080506720</v>
      </c>
      <c r="R534">
        <v>94553506720</v>
      </c>
    </row>
    <row r="535" spans="1:18" x14ac:dyDescent="0.25">
      <c r="A535" s="1" t="s">
        <v>979</v>
      </c>
      <c r="B535">
        <v>91976401800</v>
      </c>
      <c r="C535" t="s">
        <v>82</v>
      </c>
      <c r="D535" t="s">
        <v>127</v>
      </c>
      <c r="E535">
        <v>4836000000</v>
      </c>
      <c r="F535">
        <v>819000000</v>
      </c>
      <c r="G535">
        <v>5655000000</v>
      </c>
      <c r="H535">
        <v>8295000000</v>
      </c>
      <c r="I535">
        <v>1318000000</v>
      </c>
      <c r="J535">
        <v>171000000</v>
      </c>
      <c r="K535">
        <v>9332000000</v>
      </c>
      <c r="L535">
        <v>7288000000</v>
      </c>
      <c r="M535">
        <v>20584000000</v>
      </c>
      <c r="N535">
        <v>0</v>
      </c>
      <c r="O535">
        <v>473000000</v>
      </c>
      <c r="P535">
        <v>13598000000</v>
      </c>
      <c r="Q535">
        <v>95824401800</v>
      </c>
      <c r="R535">
        <v>96297401800</v>
      </c>
    </row>
    <row r="536" spans="1:18" x14ac:dyDescent="0.25">
      <c r="A536" s="1" t="s">
        <v>978</v>
      </c>
      <c r="B536">
        <v>94714129560</v>
      </c>
      <c r="C536" t="s">
        <v>82</v>
      </c>
      <c r="D536" t="s">
        <v>127</v>
      </c>
      <c r="E536">
        <v>4836000000</v>
      </c>
      <c r="F536">
        <v>819000000</v>
      </c>
      <c r="G536">
        <v>5655000000</v>
      </c>
      <c r="H536">
        <v>8295000000</v>
      </c>
      <c r="I536">
        <v>1318000000</v>
      </c>
      <c r="J536">
        <v>171000000</v>
      </c>
      <c r="K536">
        <v>9332000000</v>
      </c>
      <c r="L536">
        <v>7288000000</v>
      </c>
      <c r="M536">
        <v>20584000000</v>
      </c>
      <c r="N536">
        <v>0</v>
      </c>
      <c r="O536">
        <v>473000000</v>
      </c>
      <c r="P536">
        <v>13598000000</v>
      </c>
      <c r="Q536">
        <v>98562129560</v>
      </c>
      <c r="R536">
        <v>99035129560</v>
      </c>
    </row>
    <row r="537" spans="1:18" x14ac:dyDescent="0.25">
      <c r="A537" s="1" t="s">
        <v>977</v>
      </c>
      <c r="B537">
        <v>95295427920</v>
      </c>
      <c r="C537" t="s">
        <v>82</v>
      </c>
      <c r="D537" t="s">
        <v>127</v>
      </c>
      <c r="E537">
        <v>4836000000</v>
      </c>
      <c r="F537">
        <v>819000000</v>
      </c>
      <c r="G537">
        <v>5655000000</v>
      </c>
      <c r="H537">
        <v>8295000000</v>
      </c>
      <c r="I537">
        <v>1318000000</v>
      </c>
      <c r="J537">
        <v>171000000</v>
      </c>
      <c r="K537">
        <v>9332000000</v>
      </c>
      <c r="L537">
        <v>7288000000</v>
      </c>
      <c r="M537">
        <v>20584000000</v>
      </c>
      <c r="N537">
        <v>0</v>
      </c>
      <c r="O537">
        <v>473000000</v>
      </c>
      <c r="P537">
        <v>13598000000</v>
      </c>
      <c r="Q537">
        <v>99143427920</v>
      </c>
      <c r="R537">
        <v>99616427920</v>
      </c>
    </row>
    <row r="538" spans="1:18" x14ac:dyDescent="0.25">
      <c r="A538" s="1" t="s">
        <v>976</v>
      </c>
      <c r="B538">
        <v>97001819880</v>
      </c>
      <c r="C538" t="s">
        <v>82</v>
      </c>
      <c r="D538" t="s">
        <v>127</v>
      </c>
      <c r="E538">
        <v>4836000000</v>
      </c>
      <c r="F538">
        <v>819000000</v>
      </c>
      <c r="G538">
        <v>5655000000</v>
      </c>
      <c r="H538">
        <v>8295000000</v>
      </c>
      <c r="I538">
        <v>1318000000</v>
      </c>
      <c r="J538">
        <v>171000000</v>
      </c>
      <c r="K538">
        <v>9332000000</v>
      </c>
      <c r="L538">
        <v>7288000000</v>
      </c>
      <c r="M538">
        <v>20584000000</v>
      </c>
      <c r="N538">
        <v>0</v>
      </c>
      <c r="O538">
        <v>473000000</v>
      </c>
      <c r="P538">
        <v>13598000000</v>
      </c>
      <c r="Q538">
        <v>100849819880</v>
      </c>
      <c r="R538">
        <v>101322819880</v>
      </c>
    </row>
    <row r="539" spans="1:18" x14ac:dyDescent="0.25">
      <c r="A539" s="1" t="s">
        <v>975</v>
      </c>
      <c r="B539">
        <v>95839223160</v>
      </c>
      <c r="C539" t="s">
        <v>82</v>
      </c>
      <c r="D539" t="s">
        <v>127</v>
      </c>
      <c r="E539">
        <v>4836000000</v>
      </c>
      <c r="F539">
        <v>819000000</v>
      </c>
      <c r="G539">
        <v>5655000000</v>
      </c>
      <c r="H539">
        <v>8295000000</v>
      </c>
      <c r="I539">
        <v>1318000000</v>
      </c>
      <c r="J539">
        <v>171000000</v>
      </c>
      <c r="K539">
        <v>9332000000</v>
      </c>
      <c r="L539">
        <v>7288000000</v>
      </c>
      <c r="M539">
        <v>20584000000</v>
      </c>
      <c r="N539">
        <v>0</v>
      </c>
      <c r="O539">
        <v>473000000</v>
      </c>
      <c r="P539">
        <v>13598000000</v>
      </c>
      <c r="Q539">
        <v>99687223160</v>
      </c>
      <c r="R539">
        <v>100160223160</v>
      </c>
    </row>
    <row r="540" spans="1:18" x14ac:dyDescent="0.25">
      <c r="A540" s="1" t="s">
        <v>974</v>
      </c>
      <c r="B540">
        <v>95182918560</v>
      </c>
      <c r="C540" t="s">
        <v>82</v>
      </c>
      <c r="D540" t="s">
        <v>127</v>
      </c>
      <c r="E540">
        <v>4836000000</v>
      </c>
      <c r="F540">
        <v>819000000</v>
      </c>
      <c r="G540">
        <v>5655000000</v>
      </c>
      <c r="H540">
        <v>8295000000</v>
      </c>
      <c r="I540">
        <v>1318000000</v>
      </c>
      <c r="J540">
        <v>171000000</v>
      </c>
      <c r="K540">
        <v>9332000000</v>
      </c>
      <c r="L540">
        <v>7288000000</v>
      </c>
      <c r="M540">
        <v>20584000000</v>
      </c>
      <c r="N540">
        <v>0</v>
      </c>
      <c r="O540">
        <v>473000000</v>
      </c>
      <c r="P540">
        <v>13598000000</v>
      </c>
      <c r="Q540">
        <v>99030918560</v>
      </c>
      <c r="R540">
        <v>99503918560</v>
      </c>
    </row>
    <row r="541" spans="1:18" x14ac:dyDescent="0.25">
      <c r="A541" s="1" t="s">
        <v>81</v>
      </c>
      <c r="B541">
        <v>94914750000</v>
      </c>
      <c r="C541" t="s">
        <v>82</v>
      </c>
      <c r="D541" t="s">
        <v>127</v>
      </c>
      <c r="E541">
        <v>4836000000</v>
      </c>
      <c r="F541">
        <v>819000000</v>
      </c>
      <c r="G541">
        <v>5655000000</v>
      </c>
      <c r="H541">
        <v>8295000000</v>
      </c>
      <c r="I541">
        <v>1318000000</v>
      </c>
      <c r="J541">
        <v>171000000</v>
      </c>
      <c r="K541">
        <v>9332000000</v>
      </c>
      <c r="L541">
        <v>7288000000</v>
      </c>
      <c r="M541">
        <v>20584000000</v>
      </c>
      <c r="N541">
        <v>0</v>
      </c>
      <c r="O541">
        <v>473000000</v>
      </c>
      <c r="P541">
        <v>13598000000</v>
      </c>
      <c r="Q541">
        <v>98762750000</v>
      </c>
      <c r="R541">
        <v>99235750000</v>
      </c>
    </row>
    <row r="542" spans="1:18" x14ac:dyDescent="0.25">
      <c r="A542" s="1" t="s">
        <v>973</v>
      </c>
      <c r="B542">
        <v>95804812500</v>
      </c>
      <c r="C542" t="s">
        <v>82</v>
      </c>
      <c r="D542" t="s">
        <v>127</v>
      </c>
      <c r="E542">
        <v>4836000000</v>
      </c>
      <c r="F542">
        <v>819000000</v>
      </c>
      <c r="G542">
        <v>5655000000</v>
      </c>
      <c r="H542">
        <v>8295000000</v>
      </c>
      <c r="I542">
        <v>1318000000</v>
      </c>
      <c r="J542">
        <v>171000000</v>
      </c>
      <c r="K542">
        <v>9332000000</v>
      </c>
      <c r="L542">
        <v>7288000000</v>
      </c>
      <c r="M542">
        <v>20584000000</v>
      </c>
      <c r="N542">
        <v>0</v>
      </c>
      <c r="O542">
        <v>473000000</v>
      </c>
      <c r="P542">
        <v>13598000000</v>
      </c>
      <c r="Q542">
        <v>99652812500</v>
      </c>
      <c r="R542">
        <v>100125812500</v>
      </c>
    </row>
    <row r="543" spans="1:18" x14ac:dyDescent="0.25">
      <c r="A543" s="1" t="s">
        <v>972</v>
      </c>
      <c r="B543">
        <v>97925812500</v>
      </c>
      <c r="C543" t="s">
        <v>82</v>
      </c>
      <c r="D543" t="s">
        <v>127</v>
      </c>
      <c r="E543">
        <v>4836000000</v>
      </c>
      <c r="F543">
        <v>819000000</v>
      </c>
      <c r="G543">
        <v>5655000000</v>
      </c>
      <c r="H543">
        <v>8295000000</v>
      </c>
      <c r="I543">
        <v>1318000000</v>
      </c>
      <c r="J543">
        <v>171000000</v>
      </c>
      <c r="K543">
        <v>9332000000</v>
      </c>
      <c r="L543">
        <v>7288000000</v>
      </c>
      <c r="M543">
        <v>20584000000</v>
      </c>
      <c r="N543">
        <v>0</v>
      </c>
      <c r="O543">
        <v>473000000</v>
      </c>
      <c r="P543">
        <v>13598000000</v>
      </c>
      <c r="Q543">
        <v>101773812500</v>
      </c>
      <c r="R543">
        <v>102246812500</v>
      </c>
    </row>
    <row r="544" spans="1:18" x14ac:dyDescent="0.25">
      <c r="A544" s="1" t="s">
        <v>971</v>
      </c>
      <c r="B544">
        <v>96202500000</v>
      </c>
      <c r="C544" t="s">
        <v>82</v>
      </c>
      <c r="D544" t="s">
        <v>127</v>
      </c>
      <c r="E544">
        <v>4836000000</v>
      </c>
      <c r="F544">
        <v>819000000</v>
      </c>
      <c r="G544">
        <v>5655000000</v>
      </c>
      <c r="H544">
        <v>8295000000</v>
      </c>
      <c r="I544">
        <v>1318000000</v>
      </c>
      <c r="J544">
        <v>171000000</v>
      </c>
      <c r="K544">
        <v>9332000000</v>
      </c>
      <c r="L544">
        <v>7288000000</v>
      </c>
      <c r="M544">
        <v>20584000000</v>
      </c>
      <c r="N544">
        <v>0</v>
      </c>
      <c r="O544">
        <v>473000000</v>
      </c>
      <c r="P544">
        <v>13598000000</v>
      </c>
      <c r="Q544">
        <v>100050500000</v>
      </c>
      <c r="R544">
        <v>100523500000</v>
      </c>
    </row>
    <row r="545" spans="1:18" x14ac:dyDescent="0.25">
      <c r="A545" s="1" t="s">
        <v>970</v>
      </c>
      <c r="B545">
        <v>92187750000</v>
      </c>
      <c r="C545" t="s">
        <v>82</v>
      </c>
      <c r="D545" t="s">
        <v>127</v>
      </c>
      <c r="E545">
        <v>4836000000</v>
      </c>
      <c r="F545">
        <v>819000000</v>
      </c>
      <c r="G545">
        <v>5655000000</v>
      </c>
      <c r="H545">
        <v>8295000000</v>
      </c>
      <c r="I545">
        <v>1318000000</v>
      </c>
      <c r="J545">
        <v>171000000</v>
      </c>
      <c r="K545">
        <v>9332000000</v>
      </c>
      <c r="L545">
        <v>7288000000</v>
      </c>
      <c r="M545">
        <v>20584000000</v>
      </c>
      <c r="N545">
        <v>0</v>
      </c>
      <c r="O545">
        <v>473000000</v>
      </c>
      <c r="P545">
        <v>13598000000</v>
      </c>
      <c r="Q545">
        <v>96035750000</v>
      </c>
      <c r="R545">
        <v>96508750000</v>
      </c>
    </row>
    <row r="546" spans="1:18" x14ac:dyDescent="0.25">
      <c r="A546" s="1" t="s">
        <v>969</v>
      </c>
      <c r="B546">
        <v>90047812500</v>
      </c>
      <c r="C546" t="s">
        <v>82</v>
      </c>
      <c r="D546" t="s">
        <v>127</v>
      </c>
      <c r="E546">
        <v>4836000000</v>
      </c>
      <c r="F546">
        <v>819000000</v>
      </c>
      <c r="G546">
        <v>5655000000</v>
      </c>
      <c r="H546">
        <v>8295000000</v>
      </c>
      <c r="I546">
        <v>1318000000</v>
      </c>
      <c r="J546">
        <v>171000000</v>
      </c>
      <c r="K546">
        <v>9332000000</v>
      </c>
      <c r="L546">
        <v>7288000000</v>
      </c>
      <c r="M546">
        <v>20584000000</v>
      </c>
      <c r="N546">
        <v>0</v>
      </c>
      <c r="O546">
        <v>473000000</v>
      </c>
      <c r="P546">
        <v>13598000000</v>
      </c>
      <c r="Q546">
        <v>93895812500</v>
      </c>
      <c r="R546">
        <v>94368812500</v>
      </c>
    </row>
    <row r="547" spans="1:18" x14ac:dyDescent="0.25">
      <c r="A547" s="1" t="s">
        <v>968</v>
      </c>
      <c r="B547">
        <v>92926312500</v>
      </c>
      <c r="C547" t="s">
        <v>82</v>
      </c>
      <c r="D547" t="s">
        <v>127</v>
      </c>
      <c r="E547">
        <v>4836000000</v>
      </c>
      <c r="F547">
        <v>819000000</v>
      </c>
      <c r="G547">
        <v>5655000000</v>
      </c>
      <c r="H547">
        <v>8295000000</v>
      </c>
      <c r="I547">
        <v>1318000000</v>
      </c>
      <c r="J547">
        <v>171000000</v>
      </c>
      <c r="K547">
        <v>9332000000</v>
      </c>
      <c r="L547">
        <v>7288000000</v>
      </c>
      <c r="M547">
        <v>20584000000</v>
      </c>
      <c r="N547">
        <v>0</v>
      </c>
      <c r="O547">
        <v>473000000</v>
      </c>
      <c r="P547">
        <v>13598000000</v>
      </c>
      <c r="Q547">
        <v>96774312500</v>
      </c>
      <c r="R547">
        <v>97247312500</v>
      </c>
    </row>
    <row r="548" spans="1:18" x14ac:dyDescent="0.25">
      <c r="A548" s="1" t="s">
        <v>967</v>
      </c>
      <c r="B548">
        <v>91676437500</v>
      </c>
      <c r="C548" t="s">
        <v>82</v>
      </c>
      <c r="D548" t="s">
        <v>127</v>
      </c>
      <c r="E548">
        <v>4836000000</v>
      </c>
      <c r="F548">
        <v>819000000</v>
      </c>
      <c r="G548">
        <v>5655000000</v>
      </c>
      <c r="H548">
        <v>8295000000</v>
      </c>
      <c r="I548">
        <v>1318000000</v>
      </c>
      <c r="J548">
        <v>171000000</v>
      </c>
      <c r="K548">
        <v>9332000000</v>
      </c>
      <c r="L548">
        <v>7288000000</v>
      </c>
      <c r="M548">
        <v>20584000000</v>
      </c>
      <c r="N548">
        <v>0</v>
      </c>
      <c r="O548">
        <v>473000000</v>
      </c>
      <c r="P548">
        <v>13598000000</v>
      </c>
      <c r="Q548">
        <v>95524437500</v>
      </c>
      <c r="R548">
        <v>95997437500</v>
      </c>
    </row>
    <row r="549" spans="1:18" x14ac:dyDescent="0.25">
      <c r="A549" s="1" t="s">
        <v>966</v>
      </c>
      <c r="B549">
        <v>91051500000</v>
      </c>
      <c r="C549" t="s">
        <v>82</v>
      </c>
      <c r="D549" t="s">
        <v>127</v>
      </c>
      <c r="E549">
        <v>4836000000</v>
      </c>
      <c r="F549">
        <v>819000000</v>
      </c>
      <c r="G549">
        <v>5655000000</v>
      </c>
      <c r="H549">
        <v>8295000000</v>
      </c>
      <c r="I549">
        <v>1318000000</v>
      </c>
      <c r="J549">
        <v>171000000</v>
      </c>
      <c r="K549">
        <v>9332000000</v>
      </c>
      <c r="L549">
        <v>7288000000</v>
      </c>
      <c r="M549">
        <v>20584000000</v>
      </c>
      <c r="N549">
        <v>0</v>
      </c>
      <c r="O549">
        <v>473000000</v>
      </c>
      <c r="P549">
        <v>13598000000</v>
      </c>
      <c r="Q549">
        <v>94899500000</v>
      </c>
      <c r="R549">
        <v>95372500000</v>
      </c>
    </row>
    <row r="550" spans="1:18" x14ac:dyDescent="0.25">
      <c r="A550" s="1" t="s">
        <v>965</v>
      </c>
      <c r="B550">
        <v>89290312500</v>
      </c>
      <c r="C550" t="s">
        <v>82</v>
      </c>
      <c r="D550" t="s">
        <v>127</v>
      </c>
      <c r="E550">
        <v>4836000000</v>
      </c>
      <c r="F550">
        <v>819000000</v>
      </c>
      <c r="G550">
        <v>5655000000</v>
      </c>
      <c r="H550">
        <v>8295000000</v>
      </c>
      <c r="I550">
        <v>1318000000</v>
      </c>
      <c r="J550">
        <v>171000000</v>
      </c>
      <c r="K550">
        <v>9332000000</v>
      </c>
      <c r="L550">
        <v>7288000000</v>
      </c>
      <c r="M550">
        <v>20584000000</v>
      </c>
      <c r="N550">
        <v>0</v>
      </c>
      <c r="O550">
        <v>473000000</v>
      </c>
      <c r="P550">
        <v>13598000000</v>
      </c>
      <c r="Q550">
        <v>93138312500</v>
      </c>
      <c r="R550">
        <v>93611312500</v>
      </c>
    </row>
    <row r="551" spans="1:18" x14ac:dyDescent="0.25">
      <c r="A551" s="1" t="s">
        <v>964</v>
      </c>
      <c r="B551">
        <v>87907875000</v>
      </c>
      <c r="C551" t="s">
        <v>82</v>
      </c>
      <c r="D551" t="s">
        <v>127</v>
      </c>
      <c r="E551">
        <v>4836000000</v>
      </c>
      <c r="F551">
        <v>819000000</v>
      </c>
      <c r="G551">
        <v>5655000000</v>
      </c>
      <c r="H551">
        <v>8295000000</v>
      </c>
      <c r="I551">
        <v>1318000000</v>
      </c>
      <c r="J551">
        <v>171000000</v>
      </c>
      <c r="K551">
        <v>9332000000</v>
      </c>
      <c r="L551">
        <v>7288000000</v>
      </c>
      <c r="M551">
        <v>20584000000</v>
      </c>
      <c r="N551">
        <v>0</v>
      </c>
      <c r="O551">
        <v>473000000</v>
      </c>
      <c r="P551">
        <v>13598000000</v>
      </c>
      <c r="Q551">
        <v>91755875000</v>
      </c>
      <c r="R551">
        <v>92228875000</v>
      </c>
    </row>
    <row r="552" spans="1:18" x14ac:dyDescent="0.25">
      <c r="A552" s="1" t="s">
        <v>963</v>
      </c>
      <c r="B552">
        <v>87472312500</v>
      </c>
      <c r="C552" t="s">
        <v>82</v>
      </c>
      <c r="D552" t="s">
        <v>127</v>
      </c>
      <c r="E552">
        <v>4836000000</v>
      </c>
      <c r="F552">
        <v>819000000</v>
      </c>
      <c r="G552">
        <v>5655000000</v>
      </c>
      <c r="H552">
        <v>8295000000</v>
      </c>
      <c r="I552">
        <v>1318000000</v>
      </c>
      <c r="J552">
        <v>171000000</v>
      </c>
      <c r="K552">
        <v>9332000000</v>
      </c>
      <c r="L552">
        <v>7288000000</v>
      </c>
      <c r="M552">
        <v>20584000000</v>
      </c>
      <c r="N552">
        <v>0</v>
      </c>
      <c r="O552">
        <v>473000000</v>
      </c>
      <c r="P552">
        <v>13598000000</v>
      </c>
      <c r="Q552">
        <v>91320312500</v>
      </c>
      <c r="R552">
        <v>91793312500</v>
      </c>
    </row>
    <row r="553" spans="1:18" x14ac:dyDescent="0.25">
      <c r="A553" s="1" t="s">
        <v>962</v>
      </c>
      <c r="B553">
        <v>86279250000</v>
      </c>
      <c r="C553" t="s">
        <v>82</v>
      </c>
      <c r="D553" t="s">
        <v>127</v>
      </c>
      <c r="E553">
        <v>4836000000</v>
      </c>
      <c r="F553">
        <v>819000000</v>
      </c>
      <c r="G553">
        <v>5655000000</v>
      </c>
      <c r="H553">
        <v>8295000000</v>
      </c>
      <c r="I553">
        <v>1318000000</v>
      </c>
      <c r="J553">
        <v>171000000</v>
      </c>
      <c r="K553">
        <v>9332000000</v>
      </c>
      <c r="L553">
        <v>7288000000</v>
      </c>
      <c r="M553">
        <v>20584000000</v>
      </c>
      <c r="N553">
        <v>0</v>
      </c>
      <c r="O553">
        <v>473000000</v>
      </c>
      <c r="P553">
        <v>13598000000</v>
      </c>
      <c r="Q553">
        <v>90127250000</v>
      </c>
      <c r="R553">
        <v>90600250000</v>
      </c>
    </row>
    <row r="554" spans="1:18" x14ac:dyDescent="0.25">
      <c r="A554" s="1" t="s">
        <v>961</v>
      </c>
      <c r="B554">
        <v>87718500000</v>
      </c>
      <c r="C554" t="s">
        <v>82</v>
      </c>
      <c r="D554" t="s">
        <v>127</v>
      </c>
      <c r="E554">
        <v>4836000000</v>
      </c>
      <c r="F554">
        <v>819000000</v>
      </c>
      <c r="G554">
        <v>5655000000</v>
      </c>
      <c r="H554">
        <v>8295000000</v>
      </c>
      <c r="I554">
        <v>1318000000</v>
      </c>
      <c r="J554">
        <v>171000000</v>
      </c>
      <c r="K554">
        <v>9332000000</v>
      </c>
      <c r="L554">
        <v>7288000000</v>
      </c>
      <c r="M554">
        <v>20584000000</v>
      </c>
      <c r="N554">
        <v>0</v>
      </c>
      <c r="O554">
        <v>473000000</v>
      </c>
      <c r="P554">
        <v>13598000000</v>
      </c>
      <c r="Q554">
        <v>91566500000</v>
      </c>
      <c r="R554">
        <v>92039500000</v>
      </c>
    </row>
    <row r="555" spans="1:18" x14ac:dyDescent="0.25">
      <c r="A555" s="1" t="s">
        <v>960</v>
      </c>
      <c r="B555">
        <v>89991000000</v>
      </c>
      <c r="C555" t="s">
        <v>82</v>
      </c>
      <c r="D555" t="s">
        <v>127</v>
      </c>
      <c r="E555">
        <v>4836000000</v>
      </c>
      <c r="F555">
        <v>819000000</v>
      </c>
      <c r="G555">
        <v>5655000000</v>
      </c>
      <c r="H555">
        <v>8295000000</v>
      </c>
      <c r="I555">
        <v>1318000000</v>
      </c>
      <c r="J555">
        <v>171000000</v>
      </c>
      <c r="K555">
        <v>9332000000</v>
      </c>
      <c r="L555">
        <v>7288000000</v>
      </c>
      <c r="M555">
        <v>20584000000</v>
      </c>
      <c r="N555">
        <v>0</v>
      </c>
      <c r="O555">
        <v>473000000</v>
      </c>
      <c r="P555">
        <v>13598000000</v>
      </c>
      <c r="Q555">
        <v>93839000000</v>
      </c>
      <c r="R555">
        <v>94312000000</v>
      </c>
    </row>
    <row r="556" spans="1:18" x14ac:dyDescent="0.25">
      <c r="A556" s="1" t="s">
        <v>959</v>
      </c>
      <c r="B556">
        <v>90085687500</v>
      </c>
      <c r="C556" t="s">
        <v>82</v>
      </c>
      <c r="D556" t="s">
        <v>127</v>
      </c>
      <c r="E556">
        <v>4836000000</v>
      </c>
      <c r="F556">
        <v>819000000</v>
      </c>
      <c r="G556">
        <v>5655000000</v>
      </c>
      <c r="H556">
        <v>8295000000</v>
      </c>
      <c r="I556">
        <v>1318000000</v>
      </c>
      <c r="J556">
        <v>171000000</v>
      </c>
      <c r="K556">
        <v>9332000000</v>
      </c>
      <c r="L556">
        <v>7288000000</v>
      </c>
      <c r="M556">
        <v>20584000000</v>
      </c>
      <c r="N556">
        <v>0</v>
      </c>
      <c r="O556">
        <v>473000000</v>
      </c>
      <c r="P556">
        <v>13598000000</v>
      </c>
      <c r="Q556">
        <v>93933687500</v>
      </c>
      <c r="R556">
        <v>94406687500</v>
      </c>
    </row>
    <row r="557" spans="1:18" x14ac:dyDescent="0.25">
      <c r="A557" s="1" t="s">
        <v>958</v>
      </c>
      <c r="B557">
        <v>89877375000</v>
      </c>
      <c r="C557" t="s">
        <v>82</v>
      </c>
      <c r="D557" t="s">
        <v>127</v>
      </c>
      <c r="E557">
        <v>4836000000</v>
      </c>
      <c r="F557">
        <v>819000000</v>
      </c>
      <c r="G557">
        <v>5655000000</v>
      </c>
      <c r="H557">
        <v>8295000000</v>
      </c>
      <c r="I557">
        <v>1318000000</v>
      </c>
      <c r="J557">
        <v>171000000</v>
      </c>
      <c r="K557">
        <v>9332000000</v>
      </c>
      <c r="L557">
        <v>7288000000</v>
      </c>
      <c r="M557">
        <v>20584000000</v>
      </c>
      <c r="N557">
        <v>0</v>
      </c>
      <c r="O557">
        <v>473000000</v>
      </c>
      <c r="P557">
        <v>13598000000</v>
      </c>
      <c r="Q557">
        <v>93725375000</v>
      </c>
      <c r="R557">
        <v>94198375000</v>
      </c>
    </row>
    <row r="558" spans="1:18" x14ac:dyDescent="0.25">
      <c r="A558" s="1" t="s">
        <v>957</v>
      </c>
      <c r="B558">
        <v>88646437500</v>
      </c>
      <c r="C558" t="s">
        <v>82</v>
      </c>
      <c r="D558" t="s">
        <v>127</v>
      </c>
      <c r="E558">
        <v>4836000000</v>
      </c>
      <c r="F558">
        <v>819000000</v>
      </c>
      <c r="G558">
        <v>5655000000</v>
      </c>
      <c r="H558">
        <v>8295000000</v>
      </c>
      <c r="I558">
        <v>1318000000</v>
      </c>
      <c r="J558">
        <v>171000000</v>
      </c>
      <c r="K558">
        <v>9332000000</v>
      </c>
      <c r="L558">
        <v>7288000000</v>
      </c>
      <c r="M558">
        <v>20584000000</v>
      </c>
      <c r="N558">
        <v>0</v>
      </c>
      <c r="O558">
        <v>473000000</v>
      </c>
      <c r="P558">
        <v>13598000000</v>
      </c>
      <c r="Q558">
        <v>92494437500</v>
      </c>
      <c r="R558">
        <v>92967437500</v>
      </c>
    </row>
    <row r="559" spans="1:18" x14ac:dyDescent="0.25">
      <c r="A559" s="1" t="s">
        <v>956</v>
      </c>
      <c r="B559">
        <v>86771625000</v>
      </c>
      <c r="C559" t="s">
        <v>82</v>
      </c>
      <c r="D559" t="s">
        <v>127</v>
      </c>
      <c r="E559">
        <v>4836000000</v>
      </c>
      <c r="F559">
        <v>819000000</v>
      </c>
      <c r="G559">
        <v>5655000000</v>
      </c>
      <c r="H559">
        <v>8295000000</v>
      </c>
      <c r="I559">
        <v>1318000000</v>
      </c>
      <c r="J559">
        <v>171000000</v>
      </c>
      <c r="K559">
        <v>9332000000</v>
      </c>
      <c r="L559">
        <v>7288000000</v>
      </c>
      <c r="M559">
        <v>20584000000</v>
      </c>
      <c r="N559">
        <v>0</v>
      </c>
      <c r="O559">
        <v>473000000</v>
      </c>
      <c r="P559">
        <v>13598000000</v>
      </c>
      <c r="Q559">
        <v>90619625000</v>
      </c>
      <c r="R559">
        <v>91092625000</v>
      </c>
    </row>
    <row r="560" spans="1:18" x14ac:dyDescent="0.25">
      <c r="A560" s="1" t="s">
        <v>955</v>
      </c>
      <c r="B560">
        <v>87377625000</v>
      </c>
      <c r="C560" t="s">
        <v>82</v>
      </c>
      <c r="D560" t="s">
        <v>127</v>
      </c>
      <c r="E560">
        <v>4836000000</v>
      </c>
      <c r="F560">
        <v>819000000</v>
      </c>
      <c r="G560">
        <v>5655000000</v>
      </c>
      <c r="H560">
        <v>8295000000</v>
      </c>
      <c r="I560">
        <v>1318000000</v>
      </c>
      <c r="J560">
        <v>171000000</v>
      </c>
      <c r="K560">
        <v>9332000000</v>
      </c>
      <c r="L560">
        <v>7288000000</v>
      </c>
      <c r="M560">
        <v>20584000000</v>
      </c>
      <c r="N560">
        <v>0</v>
      </c>
      <c r="O560">
        <v>473000000</v>
      </c>
      <c r="P560">
        <v>13598000000</v>
      </c>
      <c r="Q560">
        <v>91225625000</v>
      </c>
      <c r="R560">
        <v>91698625000</v>
      </c>
    </row>
    <row r="561" spans="1:18" x14ac:dyDescent="0.25">
      <c r="A561" s="1" t="s">
        <v>954</v>
      </c>
      <c r="B561">
        <v>84631687500</v>
      </c>
      <c r="C561" t="s">
        <v>82</v>
      </c>
      <c r="D561" t="s">
        <v>127</v>
      </c>
      <c r="E561">
        <v>4836000000</v>
      </c>
      <c r="F561">
        <v>819000000</v>
      </c>
      <c r="G561">
        <v>5655000000</v>
      </c>
      <c r="H561">
        <v>8295000000</v>
      </c>
      <c r="I561">
        <v>1318000000</v>
      </c>
      <c r="J561">
        <v>171000000</v>
      </c>
      <c r="K561">
        <v>9332000000</v>
      </c>
      <c r="L561">
        <v>7288000000</v>
      </c>
      <c r="M561">
        <v>20584000000</v>
      </c>
      <c r="N561">
        <v>0</v>
      </c>
      <c r="O561">
        <v>473000000</v>
      </c>
      <c r="P561">
        <v>13598000000</v>
      </c>
      <c r="Q561">
        <v>88479687500</v>
      </c>
      <c r="R561">
        <v>88952687500</v>
      </c>
    </row>
    <row r="562" spans="1:18" x14ac:dyDescent="0.25">
      <c r="A562" s="1" t="s">
        <v>953</v>
      </c>
      <c r="B562">
        <v>82302375000</v>
      </c>
      <c r="C562" t="s">
        <v>82</v>
      </c>
      <c r="D562" t="s">
        <v>127</v>
      </c>
      <c r="E562">
        <v>4836000000</v>
      </c>
      <c r="F562">
        <v>819000000</v>
      </c>
      <c r="G562">
        <v>5655000000</v>
      </c>
      <c r="H562">
        <v>8295000000</v>
      </c>
      <c r="I562">
        <v>1318000000</v>
      </c>
      <c r="J562">
        <v>171000000</v>
      </c>
      <c r="K562">
        <v>9332000000</v>
      </c>
      <c r="L562">
        <v>7288000000</v>
      </c>
      <c r="M562">
        <v>20584000000</v>
      </c>
      <c r="N562">
        <v>0</v>
      </c>
      <c r="O562">
        <v>473000000</v>
      </c>
      <c r="P562">
        <v>13598000000</v>
      </c>
      <c r="Q562">
        <v>86150375000</v>
      </c>
      <c r="R562">
        <v>86623375000</v>
      </c>
    </row>
    <row r="563" spans="1:18" x14ac:dyDescent="0.25">
      <c r="A563" s="1" t="s">
        <v>952</v>
      </c>
      <c r="B563">
        <v>82359187500</v>
      </c>
      <c r="C563" t="s">
        <v>82</v>
      </c>
      <c r="D563" t="s">
        <v>127</v>
      </c>
      <c r="E563">
        <v>4836000000</v>
      </c>
      <c r="F563">
        <v>819000000</v>
      </c>
      <c r="G563">
        <v>5655000000</v>
      </c>
      <c r="H563">
        <v>8295000000</v>
      </c>
      <c r="I563">
        <v>1318000000</v>
      </c>
      <c r="J563">
        <v>171000000</v>
      </c>
      <c r="K563">
        <v>9332000000</v>
      </c>
      <c r="L563">
        <v>7288000000</v>
      </c>
      <c r="M563">
        <v>20584000000</v>
      </c>
      <c r="N563">
        <v>0</v>
      </c>
      <c r="O563">
        <v>473000000</v>
      </c>
      <c r="P563">
        <v>13598000000</v>
      </c>
      <c r="Q563">
        <v>86207187500</v>
      </c>
      <c r="R563">
        <v>86680187500</v>
      </c>
    </row>
    <row r="564" spans="1:18" x14ac:dyDescent="0.25">
      <c r="A564" s="1" t="s">
        <v>951</v>
      </c>
      <c r="B564">
        <v>81033562500</v>
      </c>
      <c r="C564" t="s">
        <v>82</v>
      </c>
      <c r="D564" t="s">
        <v>127</v>
      </c>
      <c r="E564">
        <v>4836000000</v>
      </c>
      <c r="F564">
        <v>819000000</v>
      </c>
      <c r="G564">
        <v>5655000000</v>
      </c>
      <c r="H564">
        <v>8295000000</v>
      </c>
      <c r="I564">
        <v>1318000000</v>
      </c>
      <c r="J564">
        <v>171000000</v>
      </c>
      <c r="K564">
        <v>9332000000</v>
      </c>
      <c r="L564">
        <v>7288000000</v>
      </c>
      <c r="M564">
        <v>20584000000</v>
      </c>
      <c r="N564">
        <v>0</v>
      </c>
      <c r="O564">
        <v>473000000</v>
      </c>
      <c r="P564">
        <v>13598000000</v>
      </c>
      <c r="Q564">
        <v>84881562500</v>
      </c>
      <c r="R564">
        <v>85354562500</v>
      </c>
    </row>
    <row r="565" spans="1:18" x14ac:dyDescent="0.25">
      <c r="A565" s="1" t="s">
        <v>130</v>
      </c>
      <c r="B565">
        <v>79177687500</v>
      </c>
      <c r="C565" t="s">
        <v>82</v>
      </c>
      <c r="D565" t="s">
        <v>127</v>
      </c>
      <c r="E565">
        <v>4836000000</v>
      </c>
      <c r="F565">
        <v>819000000</v>
      </c>
      <c r="G565">
        <v>5655000000</v>
      </c>
      <c r="H565">
        <v>8295000000</v>
      </c>
      <c r="I565">
        <v>1318000000</v>
      </c>
      <c r="J565">
        <v>171000000</v>
      </c>
      <c r="K565">
        <v>9332000000</v>
      </c>
      <c r="L565">
        <v>7288000000</v>
      </c>
      <c r="M565">
        <v>20584000000</v>
      </c>
      <c r="N565">
        <v>0</v>
      </c>
      <c r="O565">
        <v>473000000</v>
      </c>
      <c r="P565">
        <v>13598000000</v>
      </c>
      <c r="Q565">
        <v>83025687500</v>
      </c>
      <c r="R565">
        <v>83498687500</v>
      </c>
    </row>
    <row r="566" spans="1:18" x14ac:dyDescent="0.25">
      <c r="A566" s="1" t="s">
        <v>950</v>
      </c>
      <c r="B566">
        <v>81563812500</v>
      </c>
      <c r="C566" t="s">
        <v>81</v>
      </c>
      <c r="D566" t="s">
        <v>127</v>
      </c>
      <c r="E566">
        <v>4443000000</v>
      </c>
      <c r="F566">
        <v>560000000</v>
      </c>
      <c r="G566">
        <v>5003000000</v>
      </c>
      <c r="H566">
        <v>7783000000</v>
      </c>
      <c r="I566">
        <v>1255000000</v>
      </c>
      <c r="J566">
        <v>177000000</v>
      </c>
      <c r="K566">
        <v>9311000000</v>
      </c>
      <c r="L566">
        <v>7684000000</v>
      </c>
      <c r="M566">
        <v>20507000000</v>
      </c>
      <c r="N566">
        <v>0</v>
      </c>
      <c r="O566">
        <v>1569000000</v>
      </c>
      <c r="P566">
        <v>14175000000</v>
      </c>
      <c r="Q566">
        <v>86048812500</v>
      </c>
      <c r="R566">
        <v>87617812500</v>
      </c>
    </row>
    <row r="567" spans="1:18" x14ac:dyDescent="0.25">
      <c r="A567" s="1" t="s">
        <v>949</v>
      </c>
      <c r="B567">
        <v>83855250000</v>
      </c>
      <c r="C567" t="s">
        <v>81</v>
      </c>
      <c r="D567" t="s">
        <v>127</v>
      </c>
      <c r="E567">
        <v>4443000000</v>
      </c>
      <c r="F567">
        <v>560000000</v>
      </c>
      <c r="G567">
        <v>5003000000</v>
      </c>
      <c r="H567">
        <v>7783000000</v>
      </c>
      <c r="I567">
        <v>1255000000</v>
      </c>
      <c r="J567">
        <v>177000000</v>
      </c>
      <c r="K567">
        <v>9311000000</v>
      </c>
      <c r="L567">
        <v>7684000000</v>
      </c>
      <c r="M567">
        <v>20507000000</v>
      </c>
      <c r="N567">
        <v>0</v>
      </c>
      <c r="O567">
        <v>1569000000</v>
      </c>
      <c r="P567">
        <v>14175000000</v>
      </c>
      <c r="Q567">
        <v>88340250000</v>
      </c>
      <c r="R567">
        <v>89909250000</v>
      </c>
    </row>
    <row r="568" spans="1:18" x14ac:dyDescent="0.25">
      <c r="A568" s="1" t="s">
        <v>948</v>
      </c>
      <c r="B568">
        <v>81904687500</v>
      </c>
      <c r="C568" t="s">
        <v>81</v>
      </c>
      <c r="D568" t="s">
        <v>127</v>
      </c>
      <c r="E568">
        <v>4443000000</v>
      </c>
      <c r="F568">
        <v>560000000</v>
      </c>
      <c r="G568">
        <v>5003000000</v>
      </c>
      <c r="H568">
        <v>7783000000</v>
      </c>
      <c r="I568">
        <v>1255000000</v>
      </c>
      <c r="J568">
        <v>177000000</v>
      </c>
      <c r="K568">
        <v>9311000000</v>
      </c>
      <c r="L568">
        <v>7684000000</v>
      </c>
      <c r="M568">
        <v>20507000000</v>
      </c>
      <c r="N568">
        <v>0</v>
      </c>
      <c r="O568">
        <v>1569000000</v>
      </c>
      <c r="P568">
        <v>14175000000</v>
      </c>
      <c r="Q568">
        <v>86389687500</v>
      </c>
      <c r="R568">
        <v>87958687500</v>
      </c>
    </row>
    <row r="569" spans="1:18" x14ac:dyDescent="0.25">
      <c r="A569" s="1" t="s">
        <v>947</v>
      </c>
      <c r="B569">
        <v>82378125000</v>
      </c>
      <c r="C569" t="s">
        <v>81</v>
      </c>
      <c r="D569" t="s">
        <v>127</v>
      </c>
      <c r="E569">
        <v>4443000000</v>
      </c>
      <c r="F569">
        <v>560000000</v>
      </c>
      <c r="G569">
        <v>5003000000</v>
      </c>
      <c r="H569">
        <v>7783000000</v>
      </c>
      <c r="I569">
        <v>1255000000</v>
      </c>
      <c r="J569">
        <v>177000000</v>
      </c>
      <c r="K569">
        <v>9311000000</v>
      </c>
      <c r="L569">
        <v>7684000000</v>
      </c>
      <c r="M569">
        <v>20507000000</v>
      </c>
      <c r="N569">
        <v>0</v>
      </c>
      <c r="O569">
        <v>1569000000</v>
      </c>
      <c r="P569">
        <v>14175000000</v>
      </c>
      <c r="Q569">
        <v>86863125000</v>
      </c>
      <c r="R569">
        <v>88432125000</v>
      </c>
    </row>
    <row r="570" spans="1:18" x14ac:dyDescent="0.25">
      <c r="A570" s="1" t="s">
        <v>946</v>
      </c>
      <c r="B570">
        <v>81582750000</v>
      </c>
      <c r="C570" t="s">
        <v>81</v>
      </c>
      <c r="D570" t="s">
        <v>127</v>
      </c>
      <c r="E570">
        <v>4443000000</v>
      </c>
      <c r="F570">
        <v>560000000</v>
      </c>
      <c r="G570">
        <v>5003000000</v>
      </c>
      <c r="H570">
        <v>7783000000</v>
      </c>
      <c r="I570">
        <v>1255000000</v>
      </c>
      <c r="J570">
        <v>177000000</v>
      </c>
      <c r="K570">
        <v>9311000000</v>
      </c>
      <c r="L570">
        <v>7684000000</v>
      </c>
      <c r="M570">
        <v>20507000000</v>
      </c>
      <c r="N570">
        <v>0</v>
      </c>
      <c r="O570">
        <v>1569000000</v>
      </c>
      <c r="P570">
        <v>14175000000</v>
      </c>
      <c r="Q570">
        <v>86067750000</v>
      </c>
      <c r="R570">
        <v>87636750000</v>
      </c>
    </row>
    <row r="571" spans="1:18" x14ac:dyDescent="0.25">
      <c r="A571" s="1" t="s">
        <v>945</v>
      </c>
      <c r="B571">
        <v>80919937500</v>
      </c>
      <c r="C571" t="s">
        <v>81</v>
      </c>
      <c r="D571" t="s">
        <v>127</v>
      </c>
      <c r="E571">
        <v>4443000000</v>
      </c>
      <c r="F571">
        <v>560000000</v>
      </c>
      <c r="G571">
        <v>5003000000</v>
      </c>
      <c r="H571">
        <v>7783000000</v>
      </c>
      <c r="I571">
        <v>1255000000</v>
      </c>
      <c r="J571">
        <v>177000000</v>
      </c>
      <c r="K571">
        <v>9311000000</v>
      </c>
      <c r="L571">
        <v>7684000000</v>
      </c>
      <c r="M571">
        <v>20507000000</v>
      </c>
      <c r="N571">
        <v>0</v>
      </c>
      <c r="O571">
        <v>1569000000</v>
      </c>
      <c r="P571">
        <v>14175000000</v>
      </c>
      <c r="Q571">
        <v>85404937500</v>
      </c>
      <c r="R571">
        <v>86973937500</v>
      </c>
    </row>
    <row r="572" spans="1:18" x14ac:dyDescent="0.25">
      <c r="A572" s="1" t="s">
        <v>944</v>
      </c>
      <c r="B572">
        <v>79954125000</v>
      </c>
      <c r="C572" t="s">
        <v>81</v>
      </c>
      <c r="D572" t="s">
        <v>127</v>
      </c>
      <c r="E572">
        <v>4443000000</v>
      </c>
      <c r="F572">
        <v>560000000</v>
      </c>
      <c r="G572">
        <v>5003000000</v>
      </c>
      <c r="H572">
        <v>7783000000</v>
      </c>
      <c r="I572">
        <v>1255000000</v>
      </c>
      <c r="J572">
        <v>177000000</v>
      </c>
      <c r="K572">
        <v>9311000000</v>
      </c>
      <c r="L572">
        <v>7684000000</v>
      </c>
      <c r="M572">
        <v>20507000000</v>
      </c>
      <c r="N572">
        <v>0</v>
      </c>
      <c r="O572">
        <v>1569000000</v>
      </c>
      <c r="P572">
        <v>14175000000</v>
      </c>
      <c r="Q572">
        <v>84439125000</v>
      </c>
      <c r="R572">
        <v>86008125000</v>
      </c>
    </row>
    <row r="573" spans="1:18" x14ac:dyDescent="0.25">
      <c r="A573" s="1" t="s">
        <v>943</v>
      </c>
      <c r="B573">
        <v>78590625000</v>
      </c>
      <c r="C573" t="s">
        <v>81</v>
      </c>
      <c r="D573" t="s">
        <v>127</v>
      </c>
      <c r="E573">
        <v>4443000000</v>
      </c>
      <c r="F573">
        <v>560000000</v>
      </c>
      <c r="G573">
        <v>5003000000</v>
      </c>
      <c r="H573">
        <v>7783000000</v>
      </c>
      <c r="I573">
        <v>1255000000</v>
      </c>
      <c r="J573">
        <v>177000000</v>
      </c>
      <c r="K573">
        <v>9311000000</v>
      </c>
      <c r="L573">
        <v>7684000000</v>
      </c>
      <c r="M573">
        <v>20507000000</v>
      </c>
      <c r="N573">
        <v>0</v>
      </c>
      <c r="O573">
        <v>1569000000</v>
      </c>
      <c r="P573">
        <v>14175000000</v>
      </c>
      <c r="Q573">
        <v>83075625000</v>
      </c>
      <c r="R573">
        <v>84644625000</v>
      </c>
    </row>
    <row r="574" spans="1:18" x14ac:dyDescent="0.25">
      <c r="A574" s="1" t="s">
        <v>942</v>
      </c>
      <c r="B574">
        <v>77643750000</v>
      </c>
      <c r="C574" t="s">
        <v>81</v>
      </c>
      <c r="D574" t="s">
        <v>127</v>
      </c>
      <c r="E574">
        <v>4443000000</v>
      </c>
      <c r="F574">
        <v>560000000</v>
      </c>
      <c r="G574">
        <v>5003000000</v>
      </c>
      <c r="H574">
        <v>7783000000</v>
      </c>
      <c r="I574">
        <v>1255000000</v>
      </c>
      <c r="J574">
        <v>177000000</v>
      </c>
      <c r="K574">
        <v>9311000000</v>
      </c>
      <c r="L574">
        <v>7684000000</v>
      </c>
      <c r="M574">
        <v>20507000000</v>
      </c>
      <c r="N574">
        <v>0</v>
      </c>
      <c r="O574">
        <v>1569000000</v>
      </c>
      <c r="P574">
        <v>14175000000</v>
      </c>
      <c r="Q574">
        <v>82128750000</v>
      </c>
      <c r="R574">
        <v>83697750000</v>
      </c>
    </row>
    <row r="575" spans="1:18" x14ac:dyDescent="0.25">
      <c r="A575" s="1" t="s">
        <v>941</v>
      </c>
      <c r="B575">
        <v>77416500000</v>
      </c>
      <c r="C575" t="s">
        <v>81</v>
      </c>
      <c r="D575" t="s">
        <v>127</v>
      </c>
      <c r="E575">
        <v>4443000000</v>
      </c>
      <c r="F575">
        <v>560000000</v>
      </c>
      <c r="G575">
        <v>5003000000</v>
      </c>
      <c r="H575">
        <v>7783000000</v>
      </c>
      <c r="I575">
        <v>1255000000</v>
      </c>
      <c r="J575">
        <v>177000000</v>
      </c>
      <c r="K575">
        <v>9311000000</v>
      </c>
      <c r="L575">
        <v>7684000000</v>
      </c>
      <c r="M575">
        <v>20507000000</v>
      </c>
      <c r="N575">
        <v>0</v>
      </c>
      <c r="O575">
        <v>1569000000</v>
      </c>
      <c r="P575">
        <v>14175000000</v>
      </c>
      <c r="Q575">
        <v>81901500000</v>
      </c>
      <c r="R575">
        <v>83470500000</v>
      </c>
    </row>
    <row r="576" spans="1:18" x14ac:dyDescent="0.25">
      <c r="A576" s="1" t="s">
        <v>940</v>
      </c>
      <c r="B576">
        <v>75484875000</v>
      </c>
      <c r="C576" t="s">
        <v>81</v>
      </c>
      <c r="D576" t="s">
        <v>127</v>
      </c>
      <c r="E576">
        <v>4443000000</v>
      </c>
      <c r="F576">
        <v>560000000</v>
      </c>
      <c r="G576">
        <v>5003000000</v>
      </c>
      <c r="H576">
        <v>7783000000</v>
      </c>
      <c r="I576">
        <v>1255000000</v>
      </c>
      <c r="J576">
        <v>177000000</v>
      </c>
      <c r="K576">
        <v>9311000000</v>
      </c>
      <c r="L576">
        <v>7684000000</v>
      </c>
      <c r="M576">
        <v>20507000000</v>
      </c>
      <c r="N576">
        <v>0</v>
      </c>
      <c r="O576">
        <v>1569000000</v>
      </c>
      <c r="P576">
        <v>14175000000</v>
      </c>
      <c r="Q576">
        <v>79969875000</v>
      </c>
      <c r="R576">
        <v>81538875000</v>
      </c>
    </row>
    <row r="577" spans="1:18" x14ac:dyDescent="0.25">
      <c r="A577" s="1" t="s">
        <v>939</v>
      </c>
      <c r="B577">
        <v>75655312500</v>
      </c>
      <c r="C577" t="s">
        <v>81</v>
      </c>
      <c r="D577" t="s">
        <v>127</v>
      </c>
      <c r="E577">
        <v>4443000000</v>
      </c>
      <c r="F577">
        <v>560000000</v>
      </c>
      <c r="G577">
        <v>5003000000</v>
      </c>
      <c r="H577">
        <v>7783000000</v>
      </c>
      <c r="I577">
        <v>1255000000</v>
      </c>
      <c r="J577">
        <v>177000000</v>
      </c>
      <c r="K577">
        <v>9311000000</v>
      </c>
      <c r="L577">
        <v>7684000000</v>
      </c>
      <c r="M577">
        <v>20507000000</v>
      </c>
      <c r="N577">
        <v>0</v>
      </c>
      <c r="O577">
        <v>1569000000</v>
      </c>
      <c r="P577">
        <v>14175000000</v>
      </c>
      <c r="Q577">
        <v>80140312500</v>
      </c>
      <c r="R577">
        <v>81709312500</v>
      </c>
    </row>
    <row r="578" spans="1:18" x14ac:dyDescent="0.25">
      <c r="A578" s="1" t="s">
        <v>938</v>
      </c>
      <c r="B578">
        <v>77643750000</v>
      </c>
      <c r="C578" t="s">
        <v>81</v>
      </c>
      <c r="D578" t="s">
        <v>127</v>
      </c>
      <c r="E578">
        <v>4443000000</v>
      </c>
      <c r="F578">
        <v>560000000</v>
      </c>
      <c r="G578">
        <v>5003000000</v>
      </c>
      <c r="H578">
        <v>7783000000</v>
      </c>
      <c r="I578">
        <v>1255000000</v>
      </c>
      <c r="J578">
        <v>177000000</v>
      </c>
      <c r="K578">
        <v>9311000000</v>
      </c>
      <c r="L578">
        <v>7684000000</v>
      </c>
      <c r="M578">
        <v>20507000000</v>
      </c>
      <c r="N578">
        <v>0</v>
      </c>
      <c r="O578">
        <v>1569000000</v>
      </c>
      <c r="P578">
        <v>14175000000</v>
      </c>
      <c r="Q578">
        <v>82128750000</v>
      </c>
      <c r="R578">
        <v>83697750000</v>
      </c>
    </row>
    <row r="579" spans="1:18" x14ac:dyDescent="0.25">
      <c r="A579" s="1" t="s">
        <v>937</v>
      </c>
      <c r="B579">
        <v>76071937500</v>
      </c>
      <c r="C579" t="s">
        <v>81</v>
      </c>
      <c r="D579" t="s">
        <v>127</v>
      </c>
      <c r="E579">
        <v>4443000000</v>
      </c>
      <c r="F579">
        <v>560000000</v>
      </c>
      <c r="G579">
        <v>5003000000</v>
      </c>
      <c r="H579">
        <v>7783000000</v>
      </c>
      <c r="I579">
        <v>1255000000</v>
      </c>
      <c r="J579">
        <v>177000000</v>
      </c>
      <c r="K579">
        <v>9311000000</v>
      </c>
      <c r="L579">
        <v>7684000000</v>
      </c>
      <c r="M579">
        <v>20507000000</v>
      </c>
      <c r="N579">
        <v>0</v>
      </c>
      <c r="O579">
        <v>1569000000</v>
      </c>
      <c r="P579">
        <v>14175000000</v>
      </c>
      <c r="Q579">
        <v>80556937500</v>
      </c>
      <c r="R579">
        <v>82125937500</v>
      </c>
    </row>
    <row r="580" spans="1:18" x14ac:dyDescent="0.25">
      <c r="A580" s="1" t="s">
        <v>936</v>
      </c>
      <c r="B580">
        <v>78685312500</v>
      </c>
      <c r="C580" t="s">
        <v>81</v>
      </c>
      <c r="D580" t="s">
        <v>127</v>
      </c>
      <c r="E580">
        <v>4443000000</v>
      </c>
      <c r="F580">
        <v>560000000</v>
      </c>
      <c r="G580">
        <v>5003000000</v>
      </c>
      <c r="H580">
        <v>7783000000</v>
      </c>
      <c r="I580">
        <v>1255000000</v>
      </c>
      <c r="J580">
        <v>177000000</v>
      </c>
      <c r="K580">
        <v>9311000000</v>
      </c>
      <c r="L580">
        <v>7684000000</v>
      </c>
      <c r="M580">
        <v>20507000000</v>
      </c>
      <c r="N580">
        <v>0</v>
      </c>
      <c r="O580">
        <v>1569000000</v>
      </c>
      <c r="P580">
        <v>14175000000</v>
      </c>
      <c r="Q580">
        <v>83170312500</v>
      </c>
      <c r="R580">
        <v>84739312500</v>
      </c>
    </row>
    <row r="581" spans="1:18" x14ac:dyDescent="0.25">
      <c r="A581" s="1" t="s">
        <v>935</v>
      </c>
      <c r="B581">
        <v>76924125000</v>
      </c>
      <c r="C581" t="s">
        <v>81</v>
      </c>
      <c r="D581" t="s">
        <v>127</v>
      </c>
      <c r="E581">
        <v>4443000000</v>
      </c>
      <c r="F581">
        <v>560000000</v>
      </c>
      <c r="G581">
        <v>5003000000</v>
      </c>
      <c r="H581">
        <v>7783000000</v>
      </c>
      <c r="I581">
        <v>1255000000</v>
      </c>
      <c r="J581">
        <v>177000000</v>
      </c>
      <c r="K581">
        <v>9311000000</v>
      </c>
      <c r="L581">
        <v>7684000000</v>
      </c>
      <c r="M581">
        <v>20507000000</v>
      </c>
      <c r="N581">
        <v>0</v>
      </c>
      <c r="O581">
        <v>1569000000</v>
      </c>
      <c r="P581">
        <v>14175000000</v>
      </c>
      <c r="Q581">
        <v>81409125000</v>
      </c>
      <c r="R581">
        <v>82978125000</v>
      </c>
    </row>
    <row r="582" spans="1:18" x14ac:dyDescent="0.25">
      <c r="A582" s="1" t="s">
        <v>934</v>
      </c>
      <c r="B582">
        <v>77056687500</v>
      </c>
      <c r="C582" t="s">
        <v>81</v>
      </c>
      <c r="D582" t="s">
        <v>127</v>
      </c>
      <c r="E582">
        <v>4443000000</v>
      </c>
      <c r="F582">
        <v>560000000</v>
      </c>
      <c r="G582">
        <v>5003000000</v>
      </c>
      <c r="H582">
        <v>7783000000</v>
      </c>
      <c r="I582">
        <v>1255000000</v>
      </c>
      <c r="J582">
        <v>177000000</v>
      </c>
      <c r="K582">
        <v>9311000000</v>
      </c>
      <c r="L582">
        <v>7684000000</v>
      </c>
      <c r="M582">
        <v>20507000000</v>
      </c>
      <c r="N582">
        <v>0</v>
      </c>
      <c r="O582">
        <v>1569000000</v>
      </c>
      <c r="P582">
        <v>14175000000</v>
      </c>
      <c r="Q582">
        <v>81541687500</v>
      </c>
      <c r="R582">
        <v>83110687500</v>
      </c>
    </row>
    <row r="583" spans="1:18" x14ac:dyDescent="0.25">
      <c r="A583" s="1" t="s">
        <v>933</v>
      </c>
      <c r="B583">
        <v>74973562500</v>
      </c>
      <c r="C583" t="s">
        <v>81</v>
      </c>
      <c r="D583" t="s">
        <v>127</v>
      </c>
      <c r="E583">
        <v>4443000000</v>
      </c>
      <c r="F583">
        <v>560000000</v>
      </c>
      <c r="G583">
        <v>5003000000</v>
      </c>
      <c r="H583">
        <v>7783000000</v>
      </c>
      <c r="I583">
        <v>1255000000</v>
      </c>
      <c r="J583">
        <v>177000000</v>
      </c>
      <c r="K583">
        <v>9311000000</v>
      </c>
      <c r="L583">
        <v>7684000000</v>
      </c>
      <c r="M583">
        <v>20507000000</v>
      </c>
      <c r="N583">
        <v>0</v>
      </c>
      <c r="O583">
        <v>1569000000</v>
      </c>
      <c r="P583">
        <v>14175000000</v>
      </c>
      <c r="Q583">
        <v>79458562500</v>
      </c>
      <c r="R583">
        <v>81027562500</v>
      </c>
    </row>
    <row r="584" spans="1:18" x14ac:dyDescent="0.25">
      <c r="A584" s="1" t="s">
        <v>932</v>
      </c>
      <c r="B584">
        <v>74121375000</v>
      </c>
      <c r="C584" t="s">
        <v>81</v>
      </c>
      <c r="D584" t="s">
        <v>127</v>
      </c>
      <c r="E584">
        <v>4443000000</v>
      </c>
      <c r="F584">
        <v>560000000</v>
      </c>
      <c r="G584">
        <v>5003000000</v>
      </c>
      <c r="H584">
        <v>7783000000</v>
      </c>
      <c r="I584">
        <v>1255000000</v>
      </c>
      <c r="J584">
        <v>177000000</v>
      </c>
      <c r="K584">
        <v>9311000000</v>
      </c>
      <c r="L584">
        <v>7684000000</v>
      </c>
      <c r="M584">
        <v>20507000000</v>
      </c>
      <c r="N584">
        <v>0</v>
      </c>
      <c r="O584">
        <v>1569000000</v>
      </c>
      <c r="P584">
        <v>14175000000</v>
      </c>
      <c r="Q584">
        <v>78606375000</v>
      </c>
      <c r="R584">
        <v>80175375000</v>
      </c>
    </row>
    <row r="585" spans="1:18" x14ac:dyDescent="0.25">
      <c r="A585" s="1" t="s">
        <v>931</v>
      </c>
      <c r="B585">
        <v>76924125000</v>
      </c>
      <c r="C585" t="s">
        <v>81</v>
      </c>
      <c r="D585" t="s">
        <v>127</v>
      </c>
      <c r="E585">
        <v>4443000000</v>
      </c>
      <c r="F585">
        <v>560000000</v>
      </c>
      <c r="G585">
        <v>5003000000</v>
      </c>
      <c r="H585">
        <v>7783000000</v>
      </c>
      <c r="I585">
        <v>1255000000</v>
      </c>
      <c r="J585">
        <v>177000000</v>
      </c>
      <c r="K585">
        <v>9311000000</v>
      </c>
      <c r="L585">
        <v>7684000000</v>
      </c>
      <c r="M585">
        <v>20507000000</v>
      </c>
      <c r="N585">
        <v>0</v>
      </c>
      <c r="O585">
        <v>1569000000</v>
      </c>
      <c r="P585">
        <v>14175000000</v>
      </c>
      <c r="Q585">
        <v>81409125000</v>
      </c>
      <c r="R585">
        <v>82978125000</v>
      </c>
    </row>
    <row r="586" spans="1:18" x14ac:dyDescent="0.25">
      <c r="A586" s="1" t="s">
        <v>930</v>
      </c>
      <c r="B586">
        <v>78401250000</v>
      </c>
      <c r="C586" t="s">
        <v>81</v>
      </c>
      <c r="D586" t="s">
        <v>127</v>
      </c>
      <c r="E586">
        <v>4443000000</v>
      </c>
      <c r="F586">
        <v>560000000</v>
      </c>
      <c r="G586">
        <v>5003000000</v>
      </c>
      <c r="H586">
        <v>7783000000</v>
      </c>
      <c r="I586">
        <v>1255000000</v>
      </c>
      <c r="J586">
        <v>177000000</v>
      </c>
      <c r="K586">
        <v>9311000000</v>
      </c>
      <c r="L586">
        <v>7684000000</v>
      </c>
      <c r="M586">
        <v>20507000000</v>
      </c>
      <c r="N586">
        <v>0</v>
      </c>
      <c r="O586">
        <v>1569000000</v>
      </c>
      <c r="P586">
        <v>14175000000</v>
      </c>
      <c r="Q586">
        <v>82886250000</v>
      </c>
      <c r="R586">
        <v>84455250000</v>
      </c>
    </row>
    <row r="587" spans="1:18" x14ac:dyDescent="0.25">
      <c r="A587" s="1" t="s">
        <v>929</v>
      </c>
      <c r="B587">
        <v>76356000000</v>
      </c>
      <c r="C587" t="s">
        <v>81</v>
      </c>
      <c r="D587" t="s">
        <v>127</v>
      </c>
      <c r="E587">
        <v>4443000000</v>
      </c>
      <c r="F587">
        <v>560000000</v>
      </c>
      <c r="G587">
        <v>5003000000</v>
      </c>
      <c r="H587">
        <v>7783000000</v>
      </c>
      <c r="I587">
        <v>1255000000</v>
      </c>
      <c r="J587">
        <v>177000000</v>
      </c>
      <c r="K587">
        <v>9311000000</v>
      </c>
      <c r="L587">
        <v>7684000000</v>
      </c>
      <c r="M587">
        <v>20507000000</v>
      </c>
      <c r="N587">
        <v>0</v>
      </c>
      <c r="O587">
        <v>1569000000</v>
      </c>
      <c r="P587">
        <v>14175000000</v>
      </c>
      <c r="Q587">
        <v>80841000000</v>
      </c>
      <c r="R587">
        <v>82410000000</v>
      </c>
    </row>
    <row r="588" spans="1:18" x14ac:dyDescent="0.25">
      <c r="A588" s="1" t="s">
        <v>928</v>
      </c>
      <c r="B588">
        <v>77549062500</v>
      </c>
      <c r="C588" t="s">
        <v>81</v>
      </c>
      <c r="D588" t="s">
        <v>127</v>
      </c>
      <c r="E588">
        <v>4443000000</v>
      </c>
      <c r="F588">
        <v>560000000</v>
      </c>
      <c r="G588">
        <v>5003000000</v>
      </c>
      <c r="H588">
        <v>7783000000</v>
      </c>
      <c r="I588">
        <v>1255000000</v>
      </c>
      <c r="J588">
        <v>177000000</v>
      </c>
      <c r="K588">
        <v>9311000000</v>
      </c>
      <c r="L588">
        <v>7684000000</v>
      </c>
      <c r="M588">
        <v>20507000000</v>
      </c>
      <c r="N588">
        <v>0</v>
      </c>
      <c r="O588">
        <v>1569000000</v>
      </c>
      <c r="P588">
        <v>14175000000</v>
      </c>
      <c r="Q588">
        <v>82034062500</v>
      </c>
      <c r="R588">
        <v>83603062500</v>
      </c>
    </row>
    <row r="589" spans="1:18" x14ac:dyDescent="0.25">
      <c r="A589" s="1" t="s">
        <v>927</v>
      </c>
      <c r="B589">
        <v>75882562500</v>
      </c>
      <c r="C589" t="s">
        <v>81</v>
      </c>
      <c r="D589" t="s">
        <v>127</v>
      </c>
      <c r="E589">
        <v>4443000000</v>
      </c>
      <c r="F589">
        <v>560000000</v>
      </c>
      <c r="G589">
        <v>5003000000</v>
      </c>
      <c r="H589">
        <v>7783000000</v>
      </c>
      <c r="I589">
        <v>1255000000</v>
      </c>
      <c r="J589">
        <v>177000000</v>
      </c>
      <c r="K589">
        <v>9311000000</v>
      </c>
      <c r="L589">
        <v>7684000000</v>
      </c>
      <c r="M589">
        <v>20507000000</v>
      </c>
      <c r="N589">
        <v>0</v>
      </c>
      <c r="O589">
        <v>1569000000</v>
      </c>
      <c r="P589">
        <v>14175000000</v>
      </c>
      <c r="Q589">
        <v>80367562500</v>
      </c>
      <c r="R589">
        <v>81936562500</v>
      </c>
    </row>
    <row r="590" spans="1:18" x14ac:dyDescent="0.25">
      <c r="A590" s="1" t="s">
        <v>926</v>
      </c>
      <c r="B590">
        <v>76412812500</v>
      </c>
      <c r="C590" t="s">
        <v>81</v>
      </c>
      <c r="D590" t="s">
        <v>127</v>
      </c>
      <c r="E590">
        <v>4443000000</v>
      </c>
      <c r="F590">
        <v>560000000</v>
      </c>
      <c r="G590">
        <v>5003000000</v>
      </c>
      <c r="H590">
        <v>7783000000</v>
      </c>
      <c r="I590">
        <v>1255000000</v>
      </c>
      <c r="J590">
        <v>177000000</v>
      </c>
      <c r="K590">
        <v>9311000000</v>
      </c>
      <c r="L590">
        <v>7684000000</v>
      </c>
      <c r="M590">
        <v>20507000000</v>
      </c>
      <c r="N590">
        <v>0</v>
      </c>
      <c r="O590">
        <v>1569000000</v>
      </c>
      <c r="P590">
        <v>14175000000</v>
      </c>
      <c r="Q590">
        <v>80897812500</v>
      </c>
      <c r="R590">
        <v>82466812500</v>
      </c>
    </row>
    <row r="591" spans="1:18" x14ac:dyDescent="0.25">
      <c r="A591" s="1" t="s">
        <v>925</v>
      </c>
      <c r="B591">
        <v>75541687500</v>
      </c>
      <c r="C591" t="s">
        <v>81</v>
      </c>
      <c r="D591" t="s">
        <v>127</v>
      </c>
      <c r="E591">
        <v>4443000000</v>
      </c>
      <c r="F591">
        <v>560000000</v>
      </c>
      <c r="G591">
        <v>5003000000</v>
      </c>
      <c r="H591">
        <v>7783000000</v>
      </c>
      <c r="I591">
        <v>1255000000</v>
      </c>
      <c r="J591">
        <v>177000000</v>
      </c>
      <c r="K591">
        <v>9311000000</v>
      </c>
      <c r="L591">
        <v>7684000000</v>
      </c>
      <c r="M591">
        <v>20507000000</v>
      </c>
      <c r="N591">
        <v>0</v>
      </c>
      <c r="O591">
        <v>1569000000</v>
      </c>
      <c r="P591">
        <v>14175000000</v>
      </c>
      <c r="Q591">
        <v>80026687500</v>
      </c>
      <c r="R591">
        <v>81595687500</v>
      </c>
    </row>
    <row r="592" spans="1:18" x14ac:dyDescent="0.25">
      <c r="A592" s="1" t="s">
        <v>924</v>
      </c>
      <c r="B592">
        <v>75882562500</v>
      </c>
      <c r="C592" t="s">
        <v>81</v>
      </c>
      <c r="D592" t="s">
        <v>127</v>
      </c>
      <c r="E592">
        <v>4443000000</v>
      </c>
      <c r="F592">
        <v>560000000</v>
      </c>
      <c r="G592">
        <v>5003000000</v>
      </c>
      <c r="H592">
        <v>7783000000</v>
      </c>
      <c r="I592">
        <v>1255000000</v>
      </c>
      <c r="J592">
        <v>177000000</v>
      </c>
      <c r="K592">
        <v>9311000000</v>
      </c>
      <c r="L592">
        <v>7684000000</v>
      </c>
      <c r="M592">
        <v>20507000000</v>
      </c>
      <c r="N592">
        <v>0</v>
      </c>
      <c r="O592">
        <v>1569000000</v>
      </c>
      <c r="P592">
        <v>14175000000</v>
      </c>
      <c r="Q592">
        <v>80367562500</v>
      </c>
      <c r="R592">
        <v>81936562500</v>
      </c>
    </row>
    <row r="593" spans="1:18" x14ac:dyDescent="0.25">
      <c r="A593" s="1" t="s">
        <v>923</v>
      </c>
      <c r="B593">
        <v>73875187500</v>
      </c>
      <c r="C593" t="s">
        <v>81</v>
      </c>
      <c r="D593" t="s">
        <v>127</v>
      </c>
      <c r="E593">
        <v>4443000000</v>
      </c>
      <c r="F593">
        <v>560000000</v>
      </c>
      <c r="G593">
        <v>5003000000</v>
      </c>
      <c r="H593">
        <v>7783000000</v>
      </c>
      <c r="I593">
        <v>1255000000</v>
      </c>
      <c r="J593">
        <v>177000000</v>
      </c>
      <c r="K593">
        <v>9311000000</v>
      </c>
      <c r="L593">
        <v>7684000000</v>
      </c>
      <c r="M593">
        <v>20507000000</v>
      </c>
      <c r="N593">
        <v>0</v>
      </c>
      <c r="O593">
        <v>1569000000</v>
      </c>
      <c r="P593">
        <v>14175000000</v>
      </c>
      <c r="Q593">
        <v>78360187500</v>
      </c>
      <c r="R593">
        <v>79929187500</v>
      </c>
    </row>
    <row r="594" spans="1:18" x14ac:dyDescent="0.25">
      <c r="A594" s="1" t="s">
        <v>922</v>
      </c>
      <c r="B594">
        <v>72871500000</v>
      </c>
      <c r="C594" t="s">
        <v>81</v>
      </c>
      <c r="D594" t="s">
        <v>127</v>
      </c>
      <c r="E594">
        <v>4443000000</v>
      </c>
      <c r="F594">
        <v>560000000</v>
      </c>
      <c r="G594">
        <v>5003000000</v>
      </c>
      <c r="H594">
        <v>7783000000</v>
      </c>
      <c r="I594">
        <v>1255000000</v>
      </c>
      <c r="J594">
        <v>177000000</v>
      </c>
      <c r="K594">
        <v>9311000000</v>
      </c>
      <c r="L594">
        <v>7684000000</v>
      </c>
      <c r="M594">
        <v>20507000000</v>
      </c>
      <c r="N594">
        <v>0</v>
      </c>
      <c r="O594">
        <v>1569000000</v>
      </c>
      <c r="P594">
        <v>14175000000</v>
      </c>
      <c r="Q594">
        <v>77356500000</v>
      </c>
      <c r="R594">
        <v>78925500000</v>
      </c>
    </row>
    <row r="595" spans="1:18" x14ac:dyDescent="0.25">
      <c r="A595" s="1" t="s">
        <v>921</v>
      </c>
      <c r="B595">
        <v>74841000000</v>
      </c>
      <c r="C595" t="s">
        <v>81</v>
      </c>
      <c r="D595" t="s">
        <v>127</v>
      </c>
      <c r="E595">
        <v>4443000000</v>
      </c>
      <c r="F595">
        <v>560000000</v>
      </c>
      <c r="G595">
        <v>5003000000</v>
      </c>
      <c r="H595">
        <v>7783000000</v>
      </c>
      <c r="I595">
        <v>1255000000</v>
      </c>
      <c r="J595">
        <v>177000000</v>
      </c>
      <c r="K595">
        <v>9311000000</v>
      </c>
      <c r="L595">
        <v>7684000000</v>
      </c>
      <c r="M595">
        <v>20507000000</v>
      </c>
      <c r="N595">
        <v>0</v>
      </c>
      <c r="O595">
        <v>1569000000</v>
      </c>
      <c r="P595">
        <v>14175000000</v>
      </c>
      <c r="Q595">
        <v>79326000000</v>
      </c>
      <c r="R595">
        <v>80895000000</v>
      </c>
    </row>
    <row r="596" spans="1:18" x14ac:dyDescent="0.25">
      <c r="A596" s="1" t="s">
        <v>920</v>
      </c>
      <c r="B596">
        <v>75276562500</v>
      </c>
      <c r="C596" t="s">
        <v>81</v>
      </c>
      <c r="D596" t="s">
        <v>127</v>
      </c>
      <c r="E596">
        <v>4443000000</v>
      </c>
      <c r="F596">
        <v>560000000</v>
      </c>
      <c r="G596">
        <v>5003000000</v>
      </c>
      <c r="H596">
        <v>7783000000</v>
      </c>
      <c r="I596">
        <v>1255000000</v>
      </c>
      <c r="J596">
        <v>177000000</v>
      </c>
      <c r="K596">
        <v>9311000000</v>
      </c>
      <c r="L596">
        <v>7684000000</v>
      </c>
      <c r="M596">
        <v>20507000000</v>
      </c>
      <c r="N596">
        <v>0</v>
      </c>
      <c r="O596">
        <v>1569000000</v>
      </c>
      <c r="P596">
        <v>14175000000</v>
      </c>
      <c r="Q596">
        <v>79761562500</v>
      </c>
      <c r="R596">
        <v>81330562500</v>
      </c>
    </row>
    <row r="597" spans="1:18" x14ac:dyDescent="0.25">
      <c r="A597" s="1" t="s">
        <v>919</v>
      </c>
      <c r="B597">
        <v>75352312500</v>
      </c>
      <c r="C597" t="s">
        <v>81</v>
      </c>
      <c r="D597" t="s">
        <v>127</v>
      </c>
      <c r="E597">
        <v>4443000000</v>
      </c>
      <c r="F597">
        <v>560000000</v>
      </c>
      <c r="G597">
        <v>5003000000</v>
      </c>
      <c r="H597">
        <v>7783000000</v>
      </c>
      <c r="I597">
        <v>1255000000</v>
      </c>
      <c r="J597">
        <v>177000000</v>
      </c>
      <c r="K597">
        <v>9311000000</v>
      </c>
      <c r="L597">
        <v>7684000000</v>
      </c>
      <c r="M597">
        <v>20507000000</v>
      </c>
      <c r="N597">
        <v>0</v>
      </c>
      <c r="O597">
        <v>1569000000</v>
      </c>
      <c r="P597">
        <v>14175000000</v>
      </c>
      <c r="Q597">
        <v>79837312500</v>
      </c>
      <c r="R597">
        <v>81406312500</v>
      </c>
    </row>
    <row r="598" spans="1:18" x14ac:dyDescent="0.25">
      <c r="A598" s="1" t="s">
        <v>918</v>
      </c>
      <c r="B598">
        <v>84006750000</v>
      </c>
      <c r="C598" t="s">
        <v>81</v>
      </c>
      <c r="D598" t="s">
        <v>127</v>
      </c>
      <c r="E598">
        <v>4443000000</v>
      </c>
      <c r="F598">
        <v>560000000</v>
      </c>
      <c r="G598">
        <v>5003000000</v>
      </c>
      <c r="H598">
        <v>7783000000</v>
      </c>
      <c r="I598">
        <v>1255000000</v>
      </c>
      <c r="J598">
        <v>177000000</v>
      </c>
      <c r="K598">
        <v>9311000000</v>
      </c>
      <c r="L598">
        <v>7684000000</v>
      </c>
      <c r="M598">
        <v>20507000000</v>
      </c>
      <c r="N598">
        <v>0</v>
      </c>
      <c r="O598">
        <v>1569000000</v>
      </c>
      <c r="P598">
        <v>14175000000</v>
      </c>
      <c r="Q598">
        <v>88491750000</v>
      </c>
      <c r="R598">
        <v>90060750000</v>
      </c>
    </row>
    <row r="599" spans="1:18" x14ac:dyDescent="0.25">
      <c r="A599" s="1" t="s">
        <v>917</v>
      </c>
      <c r="B599">
        <v>84972562500</v>
      </c>
      <c r="C599" t="s">
        <v>81</v>
      </c>
      <c r="D599" t="s">
        <v>127</v>
      </c>
      <c r="E599">
        <v>4443000000</v>
      </c>
      <c r="F599">
        <v>560000000</v>
      </c>
      <c r="G599">
        <v>5003000000</v>
      </c>
      <c r="H599">
        <v>7783000000</v>
      </c>
      <c r="I599">
        <v>1255000000</v>
      </c>
      <c r="J599">
        <v>177000000</v>
      </c>
      <c r="K599">
        <v>9311000000</v>
      </c>
      <c r="L599">
        <v>7684000000</v>
      </c>
      <c r="M599">
        <v>20507000000</v>
      </c>
      <c r="N599">
        <v>0</v>
      </c>
      <c r="O599">
        <v>1569000000</v>
      </c>
      <c r="P599">
        <v>14175000000</v>
      </c>
      <c r="Q599">
        <v>89457562500</v>
      </c>
      <c r="R599">
        <v>91026562500</v>
      </c>
    </row>
    <row r="600" spans="1:18" x14ac:dyDescent="0.25">
      <c r="A600" s="1" t="s">
        <v>916</v>
      </c>
      <c r="B600">
        <v>86127750000</v>
      </c>
      <c r="C600" t="s">
        <v>81</v>
      </c>
      <c r="D600" t="s">
        <v>127</v>
      </c>
      <c r="E600">
        <v>4443000000</v>
      </c>
      <c r="F600">
        <v>560000000</v>
      </c>
      <c r="G600">
        <v>5003000000</v>
      </c>
      <c r="H600">
        <v>7783000000</v>
      </c>
      <c r="I600">
        <v>1255000000</v>
      </c>
      <c r="J600">
        <v>177000000</v>
      </c>
      <c r="K600">
        <v>9311000000</v>
      </c>
      <c r="L600">
        <v>7684000000</v>
      </c>
      <c r="M600">
        <v>20507000000</v>
      </c>
      <c r="N600">
        <v>0</v>
      </c>
      <c r="O600">
        <v>1569000000</v>
      </c>
      <c r="P600">
        <v>14175000000</v>
      </c>
      <c r="Q600">
        <v>90612750000</v>
      </c>
      <c r="R600">
        <v>92181750000</v>
      </c>
    </row>
    <row r="601" spans="1:18" x14ac:dyDescent="0.25">
      <c r="A601" s="1" t="s">
        <v>915</v>
      </c>
      <c r="B601">
        <v>88305562500</v>
      </c>
      <c r="C601" t="s">
        <v>81</v>
      </c>
      <c r="D601" t="s">
        <v>127</v>
      </c>
      <c r="E601">
        <v>4443000000</v>
      </c>
      <c r="F601">
        <v>560000000</v>
      </c>
      <c r="G601">
        <v>5003000000</v>
      </c>
      <c r="H601">
        <v>7783000000</v>
      </c>
      <c r="I601">
        <v>1255000000</v>
      </c>
      <c r="J601">
        <v>177000000</v>
      </c>
      <c r="K601">
        <v>9311000000</v>
      </c>
      <c r="L601">
        <v>7684000000</v>
      </c>
      <c r="M601">
        <v>20507000000</v>
      </c>
      <c r="N601">
        <v>0</v>
      </c>
      <c r="O601">
        <v>1569000000</v>
      </c>
      <c r="P601">
        <v>14175000000</v>
      </c>
      <c r="Q601">
        <v>92790562500</v>
      </c>
      <c r="R601">
        <v>94359562500</v>
      </c>
    </row>
    <row r="602" spans="1:18" x14ac:dyDescent="0.25">
      <c r="A602" s="1" t="s">
        <v>914</v>
      </c>
      <c r="B602">
        <v>89479687500</v>
      </c>
      <c r="C602" t="s">
        <v>81</v>
      </c>
      <c r="D602" t="s">
        <v>127</v>
      </c>
      <c r="E602">
        <v>4443000000</v>
      </c>
      <c r="F602">
        <v>560000000</v>
      </c>
      <c r="G602">
        <v>5003000000</v>
      </c>
      <c r="H602">
        <v>7783000000</v>
      </c>
      <c r="I602">
        <v>1255000000</v>
      </c>
      <c r="J602">
        <v>177000000</v>
      </c>
      <c r="K602">
        <v>9311000000</v>
      </c>
      <c r="L602">
        <v>7684000000</v>
      </c>
      <c r="M602">
        <v>20507000000</v>
      </c>
      <c r="N602">
        <v>0</v>
      </c>
      <c r="O602">
        <v>1569000000</v>
      </c>
      <c r="P602">
        <v>14175000000</v>
      </c>
      <c r="Q602">
        <v>93964687500</v>
      </c>
      <c r="R602">
        <v>95533687500</v>
      </c>
    </row>
    <row r="603" spans="1:18" x14ac:dyDescent="0.25">
      <c r="A603" s="1" t="s">
        <v>913</v>
      </c>
      <c r="B603">
        <v>87074625000</v>
      </c>
      <c r="C603" t="s">
        <v>81</v>
      </c>
      <c r="D603" t="s">
        <v>127</v>
      </c>
      <c r="E603">
        <v>4443000000</v>
      </c>
      <c r="F603">
        <v>560000000</v>
      </c>
      <c r="G603">
        <v>5003000000</v>
      </c>
      <c r="H603">
        <v>7783000000</v>
      </c>
      <c r="I603">
        <v>1255000000</v>
      </c>
      <c r="J603">
        <v>177000000</v>
      </c>
      <c r="K603">
        <v>9311000000</v>
      </c>
      <c r="L603">
        <v>7684000000</v>
      </c>
      <c r="M603">
        <v>20507000000</v>
      </c>
      <c r="N603">
        <v>0</v>
      </c>
      <c r="O603">
        <v>1569000000</v>
      </c>
      <c r="P603">
        <v>14175000000</v>
      </c>
      <c r="Q603">
        <v>91559625000</v>
      </c>
      <c r="R603">
        <v>93128625000</v>
      </c>
    </row>
    <row r="604" spans="1:18" x14ac:dyDescent="0.25">
      <c r="A604" s="1" t="s">
        <v>912</v>
      </c>
      <c r="B604">
        <v>84309750000</v>
      </c>
      <c r="C604" t="s">
        <v>81</v>
      </c>
      <c r="D604" t="s">
        <v>127</v>
      </c>
      <c r="E604">
        <v>4443000000</v>
      </c>
      <c r="F604">
        <v>560000000</v>
      </c>
      <c r="G604">
        <v>5003000000</v>
      </c>
      <c r="H604">
        <v>7783000000</v>
      </c>
      <c r="I604">
        <v>1255000000</v>
      </c>
      <c r="J604">
        <v>177000000</v>
      </c>
      <c r="K604">
        <v>9311000000</v>
      </c>
      <c r="L604">
        <v>7684000000</v>
      </c>
      <c r="M604">
        <v>20507000000</v>
      </c>
      <c r="N604">
        <v>0</v>
      </c>
      <c r="O604">
        <v>1569000000</v>
      </c>
      <c r="P604">
        <v>14175000000</v>
      </c>
      <c r="Q604">
        <v>88794750000</v>
      </c>
      <c r="R604">
        <v>90363750000</v>
      </c>
    </row>
    <row r="605" spans="1:18" x14ac:dyDescent="0.25">
      <c r="A605" s="1" t="s">
        <v>80</v>
      </c>
      <c r="B605">
        <v>86765772800</v>
      </c>
      <c r="C605" t="s">
        <v>81</v>
      </c>
      <c r="D605" t="s">
        <v>127</v>
      </c>
      <c r="E605">
        <v>4443000000</v>
      </c>
      <c r="F605">
        <v>560000000</v>
      </c>
      <c r="G605">
        <v>5003000000</v>
      </c>
      <c r="H605">
        <v>7783000000</v>
      </c>
      <c r="I605">
        <v>1255000000</v>
      </c>
      <c r="J605">
        <v>177000000</v>
      </c>
      <c r="K605">
        <v>9311000000</v>
      </c>
      <c r="L605">
        <v>7684000000</v>
      </c>
      <c r="M605">
        <v>20507000000</v>
      </c>
      <c r="N605">
        <v>0</v>
      </c>
      <c r="O605">
        <v>1569000000</v>
      </c>
      <c r="P605">
        <v>14175000000</v>
      </c>
      <c r="Q605">
        <v>91250772800</v>
      </c>
      <c r="R605">
        <v>92819772800</v>
      </c>
    </row>
    <row r="606" spans="1:18" x14ac:dyDescent="0.25">
      <c r="A606" s="1" t="s">
        <v>911</v>
      </c>
      <c r="B606">
        <v>91123428800</v>
      </c>
      <c r="C606" t="s">
        <v>81</v>
      </c>
      <c r="D606" t="s">
        <v>127</v>
      </c>
      <c r="E606">
        <v>4443000000</v>
      </c>
      <c r="F606">
        <v>560000000</v>
      </c>
      <c r="G606">
        <v>5003000000</v>
      </c>
      <c r="H606">
        <v>7783000000</v>
      </c>
      <c r="I606">
        <v>1255000000</v>
      </c>
      <c r="J606">
        <v>177000000</v>
      </c>
      <c r="K606">
        <v>9311000000</v>
      </c>
      <c r="L606">
        <v>7684000000</v>
      </c>
      <c r="M606">
        <v>20507000000</v>
      </c>
      <c r="N606">
        <v>0</v>
      </c>
      <c r="O606">
        <v>1569000000</v>
      </c>
      <c r="P606">
        <v>14175000000</v>
      </c>
      <c r="Q606">
        <v>95608428800</v>
      </c>
      <c r="R606">
        <v>97177428800</v>
      </c>
    </row>
    <row r="607" spans="1:18" x14ac:dyDescent="0.25">
      <c r="A607" s="1" t="s">
        <v>910</v>
      </c>
      <c r="B607">
        <v>88547569920</v>
      </c>
      <c r="C607" t="s">
        <v>81</v>
      </c>
      <c r="D607" t="s">
        <v>127</v>
      </c>
      <c r="E607">
        <v>4443000000</v>
      </c>
      <c r="F607">
        <v>560000000</v>
      </c>
      <c r="G607">
        <v>5003000000</v>
      </c>
      <c r="H607">
        <v>7783000000</v>
      </c>
      <c r="I607">
        <v>1255000000</v>
      </c>
      <c r="J607">
        <v>177000000</v>
      </c>
      <c r="K607">
        <v>9311000000</v>
      </c>
      <c r="L607">
        <v>7684000000</v>
      </c>
      <c r="M607">
        <v>20507000000</v>
      </c>
      <c r="N607">
        <v>0</v>
      </c>
      <c r="O607">
        <v>1569000000</v>
      </c>
      <c r="P607">
        <v>14175000000</v>
      </c>
      <c r="Q607">
        <v>93032569920</v>
      </c>
      <c r="R607">
        <v>94601569920</v>
      </c>
    </row>
    <row r="608" spans="1:18" x14ac:dyDescent="0.25">
      <c r="A608" s="1" t="s">
        <v>909</v>
      </c>
      <c r="B608">
        <v>88334528960</v>
      </c>
      <c r="C608" t="s">
        <v>81</v>
      </c>
      <c r="D608" t="s">
        <v>127</v>
      </c>
      <c r="E608">
        <v>4443000000</v>
      </c>
      <c r="F608">
        <v>560000000</v>
      </c>
      <c r="G608">
        <v>5003000000</v>
      </c>
      <c r="H608">
        <v>7783000000</v>
      </c>
      <c r="I608">
        <v>1255000000</v>
      </c>
      <c r="J608">
        <v>177000000</v>
      </c>
      <c r="K608">
        <v>9311000000</v>
      </c>
      <c r="L608">
        <v>7684000000</v>
      </c>
      <c r="M608">
        <v>20507000000</v>
      </c>
      <c r="N608">
        <v>0</v>
      </c>
      <c r="O608">
        <v>1569000000</v>
      </c>
      <c r="P608">
        <v>14175000000</v>
      </c>
      <c r="Q608">
        <v>92819528960</v>
      </c>
      <c r="R608">
        <v>94388528960</v>
      </c>
    </row>
    <row r="609" spans="1:18" x14ac:dyDescent="0.25">
      <c r="A609" s="1" t="s">
        <v>908</v>
      </c>
      <c r="B609">
        <v>91045959360</v>
      </c>
      <c r="C609" t="s">
        <v>81</v>
      </c>
      <c r="D609" t="s">
        <v>127</v>
      </c>
      <c r="E609">
        <v>4443000000</v>
      </c>
      <c r="F609">
        <v>560000000</v>
      </c>
      <c r="G609">
        <v>5003000000</v>
      </c>
      <c r="H609">
        <v>7783000000</v>
      </c>
      <c r="I609">
        <v>1255000000</v>
      </c>
      <c r="J609">
        <v>177000000</v>
      </c>
      <c r="K609">
        <v>9311000000</v>
      </c>
      <c r="L609">
        <v>7684000000</v>
      </c>
      <c r="M609">
        <v>20507000000</v>
      </c>
      <c r="N609">
        <v>0</v>
      </c>
      <c r="O609">
        <v>1569000000</v>
      </c>
      <c r="P609">
        <v>14175000000</v>
      </c>
      <c r="Q609">
        <v>95530959360</v>
      </c>
      <c r="R609">
        <v>97099959360</v>
      </c>
    </row>
    <row r="610" spans="1:18" x14ac:dyDescent="0.25">
      <c r="A610" s="1" t="s">
        <v>907</v>
      </c>
      <c r="B610">
        <v>92789021760</v>
      </c>
      <c r="C610" t="s">
        <v>81</v>
      </c>
      <c r="D610" t="s">
        <v>127</v>
      </c>
      <c r="E610">
        <v>4443000000</v>
      </c>
      <c r="F610">
        <v>560000000</v>
      </c>
      <c r="G610">
        <v>5003000000</v>
      </c>
      <c r="H610">
        <v>7783000000</v>
      </c>
      <c r="I610">
        <v>1255000000</v>
      </c>
      <c r="J610">
        <v>177000000</v>
      </c>
      <c r="K610">
        <v>9311000000</v>
      </c>
      <c r="L610">
        <v>7684000000</v>
      </c>
      <c r="M610">
        <v>20507000000</v>
      </c>
      <c r="N610">
        <v>0</v>
      </c>
      <c r="O610">
        <v>1569000000</v>
      </c>
      <c r="P610">
        <v>14175000000</v>
      </c>
      <c r="Q610">
        <v>97274021760</v>
      </c>
      <c r="R610">
        <v>98843021760</v>
      </c>
    </row>
    <row r="611" spans="1:18" x14ac:dyDescent="0.25">
      <c r="A611" s="1" t="s">
        <v>906</v>
      </c>
      <c r="B611">
        <v>92517878720</v>
      </c>
      <c r="C611" t="s">
        <v>81</v>
      </c>
      <c r="D611" t="s">
        <v>127</v>
      </c>
      <c r="E611">
        <v>4443000000</v>
      </c>
      <c r="F611">
        <v>560000000</v>
      </c>
      <c r="G611">
        <v>5003000000</v>
      </c>
      <c r="H611">
        <v>7783000000</v>
      </c>
      <c r="I611">
        <v>1255000000</v>
      </c>
      <c r="J611">
        <v>177000000</v>
      </c>
      <c r="K611">
        <v>9311000000</v>
      </c>
      <c r="L611">
        <v>7684000000</v>
      </c>
      <c r="M611">
        <v>20507000000</v>
      </c>
      <c r="N611">
        <v>0</v>
      </c>
      <c r="O611">
        <v>1569000000</v>
      </c>
      <c r="P611">
        <v>14175000000</v>
      </c>
      <c r="Q611">
        <v>97002878720</v>
      </c>
      <c r="R611">
        <v>98571878720</v>
      </c>
    </row>
    <row r="612" spans="1:18" x14ac:dyDescent="0.25">
      <c r="A612" s="1" t="s">
        <v>905</v>
      </c>
      <c r="B612">
        <v>89651509440</v>
      </c>
      <c r="C612" t="s">
        <v>81</v>
      </c>
      <c r="D612" t="s">
        <v>127</v>
      </c>
      <c r="E612">
        <v>4443000000</v>
      </c>
      <c r="F612">
        <v>560000000</v>
      </c>
      <c r="G612">
        <v>5003000000</v>
      </c>
      <c r="H612">
        <v>7783000000</v>
      </c>
      <c r="I612">
        <v>1255000000</v>
      </c>
      <c r="J612">
        <v>177000000</v>
      </c>
      <c r="K612">
        <v>9311000000</v>
      </c>
      <c r="L612">
        <v>7684000000</v>
      </c>
      <c r="M612">
        <v>20507000000</v>
      </c>
      <c r="N612">
        <v>0</v>
      </c>
      <c r="O612">
        <v>1569000000</v>
      </c>
      <c r="P612">
        <v>14175000000</v>
      </c>
      <c r="Q612">
        <v>94136509440</v>
      </c>
      <c r="R612">
        <v>95705509440</v>
      </c>
    </row>
    <row r="613" spans="1:18" x14ac:dyDescent="0.25">
      <c r="A613" s="1" t="s">
        <v>904</v>
      </c>
      <c r="B613">
        <v>90484305920</v>
      </c>
      <c r="C613" t="s">
        <v>81</v>
      </c>
      <c r="D613" t="s">
        <v>127</v>
      </c>
      <c r="E613">
        <v>4443000000</v>
      </c>
      <c r="F613">
        <v>560000000</v>
      </c>
      <c r="G613">
        <v>5003000000</v>
      </c>
      <c r="H613">
        <v>7783000000</v>
      </c>
      <c r="I613">
        <v>1255000000</v>
      </c>
      <c r="J613">
        <v>177000000</v>
      </c>
      <c r="K613">
        <v>9311000000</v>
      </c>
      <c r="L613">
        <v>7684000000</v>
      </c>
      <c r="M613">
        <v>20507000000</v>
      </c>
      <c r="N613">
        <v>0</v>
      </c>
      <c r="O613">
        <v>1569000000</v>
      </c>
      <c r="P613">
        <v>14175000000</v>
      </c>
      <c r="Q613">
        <v>94969305920</v>
      </c>
      <c r="R613">
        <v>96538305920</v>
      </c>
    </row>
    <row r="614" spans="1:18" x14ac:dyDescent="0.25">
      <c r="A614" s="1" t="s">
        <v>903</v>
      </c>
      <c r="B614">
        <v>89883917760</v>
      </c>
      <c r="C614" t="s">
        <v>81</v>
      </c>
      <c r="D614" t="s">
        <v>127</v>
      </c>
      <c r="E614">
        <v>4443000000</v>
      </c>
      <c r="F614">
        <v>560000000</v>
      </c>
      <c r="G614">
        <v>5003000000</v>
      </c>
      <c r="H614">
        <v>7783000000</v>
      </c>
      <c r="I614">
        <v>1255000000</v>
      </c>
      <c r="J614">
        <v>177000000</v>
      </c>
      <c r="K614">
        <v>9311000000</v>
      </c>
      <c r="L614">
        <v>7684000000</v>
      </c>
      <c r="M614">
        <v>20507000000</v>
      </c>
      <c r="N614">
        <v>0</v>
      </c>
      <c r="O614">
        <v>1569000000</v>
      </c>
      <c r="P614">
        <v>14175000000</v>
      </c>
      <c r="Q614">
        <v>94368917760</v>
      </c>
      <c r="R614">
        <v>95937917760</v>
      </c>
    </row>
    <row r="615" spans="1:18" x14ac:dyDescent="0.25">
      <c r="A615" s="1" t="s">
        <v>902</v>
      </c>
      <c r="B615">
        <v>91568878080</v>
      </c>
      <c r="C615" t="s">
        <v>81</v>
      </c>
      <c r="D615" t="s">
        <v>127</v>
      </c>
      <c r="E615">
        <v>4443000000</v>
      </c>
      <c r="F615">
        <v>560000000</v>
      </c>
      <c r="G615">
        <v>5003000000</v>
      </c>
      <c r="H615">
        <v>7783000000</v>
      </c>
      <c r="I615">
        <v>1255000000</v>
      </c>
      <c r="J615">
        <v>177000000</v>
      </c>
      <c r="K615">
        <v>9311000000</v>
      </c>
      <c r="L615">
        <v>7684000000</v>
      </c>
      <c r="M615">
        <v>20507000000</v>
      </c>
      <c r="N615">
        <v>0</v>
      </c>
      <c r="O615">
        <v>1569000000</v>
      </c>
      <c r="P615">
        <v>14175000000</v>
      </c>
      <c r="Q615">
        <v>96053878080</v>
      </c>
      <c r="R615">
        <v>97622878080</v>
      </c>
    </row>
    <row r="616" spans="1:18" x14ac:dyDescent="0.25">
      <c r="A616" s="1" t="s">
        <v>901</v>
      </c>
      <c r="B616">
        <v>93660552960</v>
      </c>
      <c r="C616" t="s">
        <v>81</v>
      </c>
      <c r="D616" t="s">
        <v>127</v>
      </c>
      <c r="E616">
        <v>4443000000</v>
      </c>
      <c r="F616">
        <v>560000000</v>
      </c>
      <c r="G616">
        <v>5003000000</v>
      </c>
      <c r="H616">
        <v>7783000000</v>
      </c>
      <c r="I616">
        <v>1255000000</v>
      </c>
      <c r="J616">
        <v>177000000</v>
      </c>
      <c r="K616">
        <v>9311000000</v>
      </c>
      <c r="L616">
        <v>7684000000</v>
      </c>
      <c r="M616">
        <v>20507000000</v>
      </c>
      <c r="N616">
        <v>0</v>
      </c>
      <c r="O616">
        <v>1569000000</v>
      </c>
      <c r="P616">
        <v>14175000000</v>
      </c>
      <c r="Q616">
        <v>98145552960</v>
      </c>
      <c r="R616">
        <v>99714552960</v>
      </c>
    </row>
    <row r="617" spans="1:18" x14ac:dyDescent="0.25">
      <c r="A617" s="1" t="s">
        <v>900</v>
      </c>
      <c r="B617">
        <v>91162163520</v>
      </c>
      <c r="C617" t="s">
        <v>81</v>
      </c>
      <c r="D617" t="s">
        <v>127</v>
      </c>
      <c r="E617">
        <v>4443000000</v>
      </c>
      <c r="F617">
        <v>560000000</v>
      </c>
      <c r="G617">
        <v>5003000000</v>
      </c>
      <c r="H617">
        <v>7783000000</v>
      </c>
      <c r="I617">
        <v>1255000000</v>
      </c>
      <c r="J617">
        <v>177000000</v>
      </c>
      <c r="K617">
        <v>9311000000</v>
      </c>
      <c r="L617">
        <v>7684000000</v>
      </c>
      <c r="M617">
        <v>20507000000</v>
      </c>
      <c r="N617">
        <v>0</v>
      </c>
      <c r="O617">
        <v>1569000000</v>
      </c>
      <c r="P617">
        <v>14175000000</v>
      </c>
      <c r="Q617">
        <v>95647163520</v>
      </c>
      <c r="R617">
        <v>97216163520</v>
      </c>
    </row>
    <row r="618" spans="1:18" x14ac:dyDescent="0.25">
      <c r="A618" s="1" t="s">
        <v>899</v>
      </c>
      <c r="B618">
        <v>91123428800</v>
      </c>
      <c r="C618" t="s">
        <v>81</v>
      </c>
      <c r="D618" t="s">
        <v>127</v>
      </c>
      <c r="E618">
        <v>4443000000</v>
      </c>
      <c r="F618">
        <v>560000000</v>
      </c>
      <c r="G618">
        <v>5003000000</v>
      </c>
      <c r="H618">
        <v>7783000000</v>
      </c>
      <c r="I618">
        <v>1255000000</v>
      </c>
      <c r="J618">
        <v>177000000</v>
      </c>
      <c r="K618">
        <v>9311000000</v>
      </c>
      <c r="L618">
        <v>7684000000</v>
      </c>
      <c r="M618">
        <v>20507000000</v>
      </c>
      <c r="N618">
        <v>0</v>
      </c>
      <c r="O618">
        <v>1569000000</v>
      </c>
      <c r="P618">
        <v>14175000000</v>
      </c>
      <c r="Q618">
        <v>95608428800</v>
      </c>
      <c r="R618">
        <v>97177428800</v>
      </c>
    </row>
    <row r="619" spans="1:18" x14ac:dyDescent="0.25">
      <c r="A619" s="1" t="s">
        <v>898</v>
      </c>
      <c r="B619">
        <v>89089856000</v>
      </c>
      <c r="C619" t="s">
        <v>81</v>
      </c>
      <c r="D619" t="s">
        <v>127</v>
      </c>
      <c r="E619">
        <v>4443000000</v>
      </c>
      <c r="F619">
        <v>560000000</v>
      </c>
      <c r="G619">
        <v>5003000000</v>
      </c>
      <c r="H619">
        <v>7783000000</v>
      </c>
      <c r="I619">
        <v>1255000000</v>
      </c>
      <c r="J619">
        <v>177000000</v>
      </c>
      <c r="K619">
        <v>9311000000</v>
      </c>
      <c r="L619">
        <v>7684000000</v>
      </c>
      <c r="M619">
        <v>20507000000</v>
      </c>
      <c r="N619">
        <v>0</v>
      </c>
      <c r="O619">
        <v>1569000000</v>
      </c>
      <c r="P619">
        <v>14175000000</v>
      </c>
      <c r="Q619">
        <v>93574856000</v>
      </c>
      <c r="R619">
        <v>95143856000</v>
      </c>
    </row>
    <row r="620" spans="1:18" x14ac:dyDescent="0.25">
      <c r="A620" s="1" t="s">
        <v>897</v>
      </c>
      <c r="B620">
        <v>90000121920</v>
      </c>
      <c r="C620" t="s">
        <v>81</v>
      </c>
      <c r="D620" t="s">
        <v>127</v>
      </c>
      <c r="E620">
        <v>4443000000</v>
      </c>
      <c r="F620">
        <v>560000000</v>
      </c>
      <c r="G620">
        <v>5003000000</v>
      </c>
      <c r="H620">
        <v>7783000000</v>
      </c>
      <c r="I620">
        <v>1255000000</v>
      </c>
      <c r="J620">
        <v>177000000</v>
      </c>
      <c r="K620">
        <v>9311000000</v>
      </c>
      <c r="L620">
        <v>7684000000</v>
      </c>
      <c r="M620">
        <v>20507000000</v>
      </c>
      <c r="N620">
        <v>0</v>
      </c>
      <c r="O620">
        <v>1569000000</v>
      </c>
      <c r="P620">
        <v>14175000000</v>
      </c>
      <c r="Q620">
        <v>94485121920</v>
      </c>
      <c r="R620">
        <v>96054121920</v>
      </c>
    </row>
    <row r="621" spans="1:18" x14ac:dyDescent="0.25">
      <c r="A621" s="1" t="s">
        <v>896</v>
      </c>
      <c r="B621">
        <v>88140855360</v>
      </c>
      <c r="C621" t="s">
        <v>81</v>
      </c>
      <c r="D621" t="s">
        <v>127</v>
      </c>
      <c r="E621">
        <v>4443000000</v>
      </c>
      <c r="F621">
        <v>560000000</v>
      </c>
      <c r="G621">
        <v>5003000000</v>
      </c>
      <c r="H621">
        <v>7783000000</v>
      </c>
      <c r="I621">
        <v>1255000000</v>
      </c>
      <c r="J621">
        <v>177000000</v>
      </c>
      <c r="K621">
        <v>9311000000</v>
      </c>
      <c r="L621">
        <v>7684000000</v>
      </c>
      <c r="M621">
        <v>20507000000</v>
      </c>
      <c r="N621">
        <v>0</v>
      </c>
      <c r="O621">
        <v>1569000000</v>
      </c>
      <c r="P621">
        <v>14175000000</v>
      </c>
      <c r="Q621">
        <v>92625855360</v>
      </c>
      <c r="R621">
        <v>94194855360</v>
      </c>
    </row>
    <row r="622" spans="1:18" x14ac:dyDescent="0.25">
      <c r="A622" s="1" t="s">
        <v>895</v>
      </c>
      <c r="B622">
        <v>88547569920</v>
      </c>
      <c r="C622" t="s">
        <v>81</v>
      </c>
      <c r="D622" t="s">
        <v>127</v>
      </c>
      <c r="E622">
        <v>4443000000</v>
      </c>
      <c r="F622">
        <v>560000000</v>
      </c>
      <c r="G622">
        <v>5003000000</v>
      </c>
      <c r="H622">
        <v>7783000000</v>
      </c>
      <c r="I622">
        <v>1255000000</v>
      </c>
      <c r="J622">
        <v>177000000</v>
      </c>
      <c r="K622">
        <v>9311000000</v>
      </c>
      <c r="L622">
        <v>7684000000</v>
      </c>
      <c r="M622">
        <v>20507000000</v>
      </c>
      <c r="N622">
        <v>0</v>
      </c>
      <c r="O622">
        <v>1569000000</v>
      </c>
      <c r="P622">
        <v>14175000000</v>
      </c>
      <c r="Q622">
        <v>93032569920</v>
      </c>
      <c r="R622">
        <v>94601569920</v>
      </c>
    </row>
    <row r="623" spans="1:18" x14ac:dyDescent="0.25">
      <c r="A623" s="1" t="s">
        <v>894</v>
      </c>
      <c r="B623">
        <v>89128590720</v>
      </c>
      <c r="C623" t="s">
        <v>81</v>
      </c>
      <c r="D623" t="s">
        <v>127</v>
      </c>
      <c r="E623">
        <v>4443000000</v>
      </c>
      <c r="F623">
        <v>560000000</v>
      </c>
      <c r="G623">
        <v>5003000000</v>
      </c>
      <c r="H623">
        <v>7783000000</v>
      </c>
      <c r="I623">
        <v>1255000000</v>
      </c>
      <c r="J623">
        <v>177000000</v>
      </c>
      <c r="K623">
        <v>9311000000</v>
      </c>
      <c r="L623">
        <v>7684000000</v>
      </c>
      <c r="M623">
        <v>20507000000</v>
      </c>
      <c r="N623">
        <v>0</v>
      </c>
      <c r="O623">
        <v>1569000000</v>
      </c>
      <c r="P623">
        <v>14175000000</v>
      </c>
      <c r="Q623">
        <v>93613590720</v>
      </c>
      <c r="R623">
        <v>95182590720</v>
      </c>
    </row>
    <row r="624" spans="1:18" x14ac:dyDescent="0.25">
      <c r="A624" s="1" t="s">
        <v>893</v>
      </c>
      <c r="B624">
        <v>86630201280</v>
      </c>
      <c r="C624" t="s">
        <v>81</v>
      </c>
      <c r="D624" t="s">
        <v>127</v>
      </c>
      <c r="E624">
        <v>4443000000</v>
      </c>
      <c r="F624">
        <v>560000000</v>
      </c>
      <c r="G624">
        <v>5003000000</v>
      </c>
      <c r="H624">
        <v>7783000000</v>
      </c>
      <c r="I624">
        <v>1255000000</v>
      </c>
      <c r="J624">
        <v>177000000</v>
      </c>
      <c r="K624">
        <v>9311000000</v>
      </c>
      <c r="L624">
        <v>7684000000</v>
      </c>
      <c r="M624">
        <v>20507000000</v>
      </c>
      <c r="N624">
        <v>0</v>
      </c>
      <c r="O624">
        <v>1569000000</v>
      </c>
      <c r="P624">
        <v>14175000000</v>
      </c>
      <c r="Q624">
        <v>91115201280</v>
      </c>
      <c r="R624">
        <v>92684201280</v>
      </c>
    </row>
    <row r="625" spans="1:18" x14ac:dyDescent="0.25">
      <c r="A625" s="1" t="s">
        <v>892</v>
      </c>
      <c r="B625">
        <v>86417160320</v>
      </c>
      <c r="C625" t="s">
        <v>81</v>
      </c>
      <c r="D625" t="s">
        <v>127</v>
      </c>
      <c r="E625">
        <v>4443000000</v>
      </c>
      <c r="F625">
        <v>560000000</v>
      </c>
      <c r="G625">
        <v>5003000000</v>
      </c>
      <c r="H625">
        <v>7783000000</v>
      </c>
      <c r="I625">
        <v>1255000000</v>
      </c>
      <c r="J625">
        <v>177000000</v>
      </c>
      <c r="K625">
        <v>9311000000</v>
      </c>
      <c r="L625">
        <v>7684000000</v>
      </c>
      <c r="M625">
        <v>20507000000</v>
      </c>
      <c r="N625">
        <v>0</v>
      </c>
      <c r="O625">
        <v>1569000000</v>
      </c>
      <c r="P625">
        <v>14175000000</v>
      </c>
      <c r="Q625">
        <v>90902160320</v>
      </c>
      <c r="R625">
        <v>92471160320</v>
      </c>
    </row>
    <row r="626" spans="1:18" x14ac:dyDescent="0.25">
      <c r="A626" s="1" t="s">
        <v>891</v>
      </c>
      <c r="B626">
        <v>84867771520</v>
      </c>
      <c r="C626" t="s">
        <v>81</v>
      </c>
      <c r="D626" t="s">
        <v>127</v>
      </c>
      <c r="E626">
        <v>4443000000</v>
      </c>
      <c r="F626">
        <v>560000000</v>
      </c>
      <c r="G626">
        <v>5003000000</v>
      </c>
      <c r="H626">
        <v>7783000000</v>
      </c>
      <c r="I626">
        <v>1255000000</v>
      </c>
      <c r="J626">
        <v>177000000</v>
      </c>
      <c r="K626">
        <v>9311000000</v>
      </c>
      <c r="L626">
        <v>7684000000</v>
      </c>
      <c r="M626">
        <v>20507000000</v>
      </c>
      <c r="N626">
        <v>0</v>
      </c>
      <c r="O626">
        <v>1569000000</v>
      </c>
      <c r="P626">
        <v>14175000000</v>
      </c>
      <c r="Q626">
        <v>89352771520</v>
      </c>
      <c r="R626">
        <v>90921771520</v>
      </c>
    </row>
    <row r="627" spans="1:18" x14ac:dyDescent="0.25">
      <c r="A627" s="1" t="s">
        <v>890</v>
      </c>
      <c r="B627">
        <v>85913608960</v>
      </c>
      <c r="C627" t="s">
        <v>81</v>
      </c>
      <c r="D627" t="s">
        <v>127</v>
      </c>
      <c r="E627">
        <v>4443000000</v>
      </c>
      <c r="F627">
        <v>560000000</v>
      </c>
      <c r="G627">
        <v>5003000000</v>
      </c>
      <c r="H627">
        <v>7783000000</v>
      </c>
      <c r="I627">
        <v>1255000000</v>
      </c>
      <c r="J627">
        <v>177000000</v>
      </c>
      <c r="K627">
        <v>9311000000</v>
      </c>
      <c r="L627">
        <v>7684000000</v>
      </c>
      <c r="M627">
        <v>20507000000</v>
      </c>
      <c r="N627">
        <v>0</v>
      </c>
      <c r="O627">
        <v>1569000000</v>
      </c>
      <c r="P627">
        <v>14175000000</v>
      </c>
      <c r="Q627">
        <v>90398608960</v>
      </c>
      <c r="R627">
        <v>91967608960</v>
      </c>
    </row>
    <row r="628" spans="1:18" x14ac:dyDescent="0.25">
      <c r="A628" s="1" t="s">
        <v>889</v>
      </c>
      <c r="B628">
        <v>83066607040</v>
      </c>
      <c r="C628" t="s">
        <v>81</v>
      </c>
      <c r="D628" t="s">
        <v>127</v>
      </c>
      <c r="E628">
        <v>4443000000</v>
      </c>
      <c r="F628">
        <v>560000000</v>
      </c>
      <c r="G628">
        <v>5003000000</v>
      </c>
      <c r="H628">
        <v>7783000000</v>
      </c>
      <c r="I628">
        <v>1255000000</v>
      </c>
      <c r="J628">
        <v>177000000</v>
      </c>
      <c r="K628">
        <v>9311000000</v>
      </c>
      <c r="L628">
        <v>7684000000</v>
      </c>
      <c r="M628">
        <v>20507000000</v>
      </c>
      <c r="N628">
        <v>0</v>
      </c>
      <c r="O628">
        <v>1569000000</v>
      </c>
      <c r="P628">
        <v>14175000000</v>
      </c>
      <c r="Q628">
        <v>87551607040</v>
      </c>
      <c r="R628">
        <v>89120607040</v>
      </c>
    </row>
    <row r="629" spans="1:18" x14ac:dyDescent="0.25">
      <c r="A629" s="1" t="s">
        <v>888</v>
      </c>
      <c r="B629">
        <v>88547569920</v>
      </c>
      <c r="C629" t="s">
        <v>81</v>
      </c>
      <c r="D629" t="s">
        <v>127</v>
      </c>
      <c r="E629">
        <v>4443000000</v>
      </c>
      <c r="F629">
        <v>560000000</v>
      </c>
      <c r="G629">
        <v>5003000000</v>
      </c>
      <c r="H629">
        <v>7783000000</v>
      </c>
      <c r="I629">
        <v>1255000000</v>
      </c>
      <c r="J629">
        <v>177000000</v>
      </c>
      <c r="K629">
        <v>9311000000</v>
      </c>
      <c r="L629">
        <v>7684000000</v>
      </c>
      <c r="M629">
        <v>20507000000</v>
      </c>
      <c r="N629">
        <v>0</v>
      </c>
      <c r="O629">
        <v>1569000000</v>
      </c>
      <c r="P629">
        <v>14175000000</v>
      </c>
      <c r="Q629">
        <v>93032569920</v>
      </c>
      <c r="R629">
        <v>94601569920</v>
      </c>
    </row>
    <row r="630" spans="1:18" x14ac:dyDescent="0.25">
      <c r="A630" s="1" t="s">
        <v>129</v>
      </c>
      <c r="B630">
        <v>87676038720</v>
      </c>
      <c r="C630" t="s">
        <v>81</v>
      </c>
      <c r="D630" t="s">
        <v>127</v>
      </c>
      <c r="E630">
        <v>4443000000</v>
      </c>
      <c r="F630">
        <v>560000000</v>
      </c>
      <c r="G630">
        <v>5003000000</v>
      </c>
      <c r="H630">
        <v>7783000000</v>
      </c>
      <c r="I630">
        <v>1255000000</v>
      </c>
      <c r="J630">
        <v>177000000</v>
      </c>
      <c r="K630">
        <v>9311000000</v>
      </c>
      <c r="L630">
        <v>7684000000</v>
      </c>
      <c r="M630">
        <v>20507000000</v>
      </c>
      <c r="N630">
        <v>0</v>
      </c>
      <c r="O630">
        <v>1569000000</v>
      </c>
      <c r="P630">
        <v>14175000000</v>
      </c>
      <c r="Q630">
        <v>92161038720</v>
      </c>
      <c r="R630">
        <v>93730038720</v>
      </c>
    </row>
    <row r="631" spans="1:18" x14ac:dyDescent="0.25">
      <c r="A631" s="1" t="s">
        <v>887</v>
      </c>
      <c r="B631">
        <v>91394571840</v>
      </c>
      <c r="C631" t="s">
        <v>80</v>
      </c>
      <c r="D631" t="s">
        <v>127</v>
      </c>
      <c r="E631">
        <v>6482000000</v>
      </c>
      <c r="F631">
        <v>0</v>
      </c>
      <c r="G631">
        <v>6482000000</v>
      </c>
      <c r="H631">
        <v>9684000000</v>
      </c>
      <c r="I631">
        <v>1455000000</v>
      </c>
      <c r="J631">
        <v>168000000</v>
      </c>
      <c r="K631">
        <v>10767000000</v>
      </c>
      <c r="L631">
        <v>8126000000</v>
      </c>
      <c r="M631">
        <v>22599000000</v>
      </c>
      <c r="N631">
        <v>0</v>
      </c>
      <c r="O631">
        <v>354000000</v>
      </c>
      <c r="P631">
        <v>13931000000</v>
      </c>
      <c r="Q631">
        <v>95847571840</v>
      </c>
      <c r="R631">
        <v>96201571840</v>
      </c>
    </row>
    <row r="632" spans="1:18" x14ac:dyDescent="0.25">
      <c r="A632" s="1" t="s">
        <v>886</v>
      </c>
      <c r="B632">
        <v>88876815040</v>
      </c>
      <c r="C632" t="s">
        <v>80</v>
      </c>
      <c r="D632" t="s">
        <v>127</v>
      </c>
      <c r="E632">
        <v>6482000000</v>
      </c>
      <c r="F632">
        <v>0</v>
      </c>
      <c r="G632">
        <v>6482000000</v>
      </c>
      <c r="H632">
        <v>9684000000</v>
      </c>
      <c r="I632">
        <v>1455000000</v>
      </c>
      <c r="J632">
        <v>168000000</v>
      </c>
      <c r="K632">
        <v>10767000000</v>
      </c>
      <c r="L632">
        <v>8126000000</v>
      </c>
      <c r="M632">
        <v>22599000000</v>
      </c>
      <c r="N632">
        <v>0</v>
      </c>
      <c r="O632">
        <v>354000000</v>
      </c>
      <c r="P632">
        <v>13931000000</v>
      </c>
      <c r="Q632">
        <v>93329815040</v>
      </c>
      <c r="R632">
        <v>93683815040</v>
      </c>
    </row>
    <row r="633" spans="1:18" x14ac:dyDescent="0.25">
      <c r="A633" s="1" t="s">
        <v>885</v>
      </c>
      <c r="B633">
        <v>88140855360</v>
      </c>
      <c r="C633" t="s">
        <v>80</v>
      </c>
      <c r="D633" t="s">
        <v>127</v>
      </c>
      <c r="E633">
        <v>6482000000</v>
      </c>
      <c r="F633">
        <v>0</v>
      </c>
      <c r="G633">
        <v>6482000000</v>
      </c>
      <c r="H633">
        <v>9684000000</v>
      </c>
      <c r="I633">
        <v>1455000000</v>
      </c>
      <c r="J633">
        <v>168000000</v>
      </c>
      <c r="K633">
        <v>10767000000</v>
      </c>
      <c r="L633">
        <v>8126000000</v>
      </c>
      <c r="M633">
        <v>22599000000</v>
      </c>
      <c r="N633">
        <v>0</v>
      </c>
      <c r="O633">
        <v>354000000</v>
      </c>
      <c r="P633">
        <v>13931000000</v>
      </c>
      <c r="Q633">
        <v>92593855360</v>
      </c>
      <c r="R633">
        <v>92947855360</v>
      </c>
    </row>
    <row r="634" spans="1:18" x14ac:dyDescent="0.25">
      <c r="A634" s="1" t="s">
        <v>884</v>
      </c>
      <c r="B634">
        <v>84015607680</v>
      </c>
      <c r="C634" t="s">
        <v>80</v>
      </c>
      <c r="D634" t="s">
        <v>127</v>
      </c>
      <c r="E634">
        <v>6482000000</v>
      </c>
      <c r="F634">
        <v>0</v>
      </c>
      <c r="G634">
        <v>6482000000</v>
      </c>
      <c r="H634">
        <v>9684000000</v>
      </c>
      <c r="I634">
        <v>1455000000</v>
      </c>
      <c r="J634">
        <v>168000000</v>
      </c>
      <c r="K634">
        <v>10767000000</v>
      </c>
      <c r="L634">
        <v>8126000000</v>
      </c>
      <c r="M634">
        <v>22599000000</v>
      </c>
      <c r="N634">
        <v>0</v>
      </c>
      <c r="O634">
        <v>354000000</v>
      </c>
      <c r="P634">
        <v>13931000000</v>
      </c>
      <c r="Q634">
        <v>88468607680</v>
      </c>
      <c r="R634">
        <v>88822607680</v>
      </c>
    </row>
    <row r="635" spans="1:18" x14ac:dyDescent="0.25">
      <c r="A635" s="1" t="s">
        <v>883</v>
      </c>
      <c r="B635">
        <v>83821934080</v>
      </c>
      <c r="C635" t="s">
        <v>80</v>
      </c>
      <c r="D635" t="s">
        <v>127</v>
      </c>
      <c r="E635">
        <v>6482000000</v>
      </c>
      <c r="F635">
        <v>0</v>
      </c>
      <c r="G635">
        <v>6482000000</v>
      </c>
      <c r="H635">
        <v>9684000000</v>
      </c>
      <c r="I635">
        <v>1455000000</v>
      </c>
      <c r="J635">
        <v>168000000</v>
      </c>
      <c r="K635">
        <v>10767000000</v>
      </c>
      <c r="L635">
        <v>8126000000</v>
      </c>
      <c r="M635">
        <v>22599000000</v>
      </c>
      <c r="N635">
        <v>0</v>
      </c>
      <c r="O635">
        <v>354000000</v>
      </c>
      <c r="P635">
        <v>13931000000</v>
      </c>
      <c r="Q635">
        <v>88274934080</v>
      </c>
      <c r="R635">
        <v>88628934080</v>
      </c>
    </row>
    <row r="636" spans="1:18" x14ac:dyDescent="0.25">
      <c r="A636" s="1" t="s">
        <v>882</v>
      </c>
      <c r="B636">
        <v>87385528320</v>
      </c>
      <c r="C636" t="s">
        <v>80</v>
      </c>
      <c r="D636" t="s">
        <v>127</v>
      </c>
      <c r="E636">
        <v>6482000000</v>
      </c>
      <c r="F636">
        <v>0</v>
      </c>
      <c r="G636">
        <v>6482000000</v>
      </c>
      <c r="H636">
        <v>9684000000</v>
      </c>
      <c r="I636">
        <v>1455000000</v>
      </c>
      <c r="J636">
        <v>168000000</v>
      </c>
      <c r="K636">
        <v>10767000000</v>
      </c>
      <c r="L636">
        <v>8126000000</v>
      </c>
      <c r="M636">
        <v>22599000000</v>
      </c>
      <c r="N636">
        <v>0</v>
      </c>
      <c r="O636">
        <v>354000000</v>
      </c>
      <c r="P636">
        <v>13931000000</v>
      </c>
      <c r="Q636">
        <v>91838528320</v>
      </c>
      <c r="R636">
        <v>92192528320</v>
      </c>
    </row>
    <row r="637" spans="1:18" x14ac:dyDescent="0.25">
      <c r="A637" s="1" t="s">
        <v>881</v>
      </c>
      <c r="B637">
        <v>84461056960</v>
      </c>
      <c r="C637" t="s">
        <v>80</v>
      </c>
      <c r="D637" t="s">
        <v>127</v>
      </c>
      <c r="E637">
        <v>6482000000</v>
      </c>
      <c r="F637">
        <v>0</v>
      </c>
      <c r="G637">
        <v>6482000000</v>
      </c>
      <c r="H637">
        <v>9684000000</v>
      </c>
      <c r="I637">
        <v>1455000000</v>
      </c>
      <c r="J637">
        <v>168000000</v>
      </c>
      <c r="K637">
        <v>10767000000</v>
      </c>
      <c r="L637">
        <v>8126000000</v>
      </c>
      <c r="M637">
        <v>22599000000</v>
      </c>
      <c r="N637">
        <v>0</v>
      </c>
      <c r="O637">
        <v>354000000</v>
      </c>
      <c r="P637">
        <v>13931000000</v>
      </c>
      <c r="Q637">
        <v>88914056960</v>
      </c>
      <c r="R637">
        <v>89268056960</v>
      </c>
    </row>
    <row r="638" spans="1:18" x14ac:dyDescent="0.25">
      <c r="A638" s="1" t="s">
        <v>880</v>
      </c>
      <c r="B638">
        <v>88625039360</v>
      </c>
      <c r="C638" t="s">
        <v>80</v>
      </c>
      <c r="D638" t="s">
        <v>127</v>
      </c>
      <c r="E638">
        <v>6482000000</v>
      </c>
      <c r="F638">
        <v>0</v>
      </c>
      <c r="G638">
        <v>6482000000</v>
      </c>
      <c r="H638">
        <v>9684000000</v>
      </c>
      <c r="I638">
        <v>1455000000</v>
      </c>
      <c r="J638">
        <v>168000000</v>
      </c>
      <c r="K638">
        <v>10767000000</v>
      </c>
      <c r="L638">
        <v>8126000000</v>
      </c>
      <c r="M638">
        <v>22599000000</v>
      </c>
      <c r="N638">
        <v>0</v>
      </c>
      <c r="O638">
        <v>354000000</v>
      </c>
      <c r="P638">
        <v>13931000000</v>
      </c>
      <c r="Q638">
        <v>93078039360</v>
      </c>
      <c r="R638">
        <v>93432039360</v>
      </c>
    </row>
    <row r="639" spans="1:18" x14ac:dyDescent="0.25">
      <c r="A639" s="1" t="s">
        <v>879</v>
      </c>
      <c r="B639">
        <v>85429424960</v>
      </c>
      <c r="C639" t="s">
        <v>80</v>
      </c>
      <c r="D639" t="s">
        <v>127</v>
      </c>
      <c r="E639">
        <v>6482000000</v>
      </c>
      <c r="F639">
        <v>0</v>
      </c>
      <c r="G639">
        <v>6482000000</v>
      </c>
      <c r="H639">
        <v>9684000000</v>
      </c>
      <c r="I639">
        <v>1455000000</v>
      </c>
      <c r="J639">
        <v>168000000</v>
      </c>
      <c r="K639">
        <v>10767000000</v>
      </c>
      <c r="L639">
        <v>8126000000</v>
      </c>
      <c r="M639">
        <v>22599000000</v>
      </c>
      <c r="N639">
        <v>0</v>
      </c>
      <c r="O639">
        <v>354000000</v>
      </c>
      <c r="P639">
        <v>13931000000</v>
      </c>
      <c r="Q639">
        <v>89882424960</v>
      </c>
      <c r="R639">
        <v>90236424960</v>
      </c>
    </row>
    <row r="640" spans="1:18" x14ac:dyDescent="0.25">
      <c r="A640" s="1" t="s">
        <v>878</v>
      </c>
      <c r="B640">
        <v>87153120000</v>
      </c>
      <c r="C640" t="s">
        <v>80</v>
      </c>
      <c r="D640" t="s">
        <v>127</v>
      </c>
      <c r="E640">
        <v>6482000000</v>
      </c>
      <c r="F640">
        <v>0</v>
      </c>
      <c r="G640">
        <v>6482000000</v>
      </c>
      <c r="H640">
        <v>9684000000</v>
      </c>
      <c r="I640">
        <v>1455000000</v>
      </c>
      <c r="J640">
        <v>168000000</v>
      </c>
      <c r="K640">
        <v>10767000000</v>
      </c>
      <c r="L640">
        <v>8126000000</v>
      </c>
      <c r="M640">
        <v>22599000000</v>
      </c>
      <c r="N640">
        <v>0</v>
      </c>
      <c r="O640">
        <v>354000000</v>
      </c>
      <c r="P640">
        <v>13931000000</v>
      </c>
      <c r="Q640">
        <v>91606120000</v>
      </c>
      <c r="R640">
        <v>91960120000</v>
      </c>
    </row>
    <row r="641" spans="1:18" x14ac:dyDescent="0.25">
      <c r="A641" s="1" t="s">
        <v>877</v>
      </c>
      <c r="B641">
        <v>85661833280</v>
      </c>
      <c r="C641" t="s">
        <v>80</v>
      </c>
      <c r="D641" t="s">
        <v>127</v>
      </c>
      <c r="E641">
        <v>6482000000</v>
      </c>
      <c r="F641">
        <v>0</v>
      </c>
      <c r="G641">
        <v>6482000000</v>
      </c>
      <c r="H641">
        <v>9684000000</v>
      </c>
      <c r="I641">
        <v>1455000000</v>
      </c>
      <c r="J641">
        <v>168000000</v>
      </c>
      <c r="K641">
        <v>10767000000</v>
      </c>
      <c r="L641">
        <v>8126000000</v>
      </c>
      <c r="M641">
        <v>22599000000</v>
      </c>
      <c r="N641">
        <v>0</v>
      </c>
      <c r="O641">
        <v>354000000</v>
      </c>
      <c r="P641">
        <v>13931000000</v>
      </c>
      <c r="Q641">
        <v>90114833280</v>
      </c>
      <c r="R641">
        <v>90468833280</v>
      </c>
    </row>
    <row r="642" spans="1:18" x14ac:dyDescent="0.25">
      <c r="A642" s="1" t="s">
        <v>876</v>
      </c>
      <c r="B642">
        <v>82504953600</v>
      </c>
      <c r="C642" t="s">
        <v>80</v>
      </c>
      <c r="D642" t="s">
        <v>127</v>
      </c>
      <c r="E642">
        <v>6482000000</v>
      </c>
      <c r="F642">
        <v>0</v>
      </c>
      <c r="G642">
        <v>6482000000</v>
      </c>
      <c r="H642">
        <v>9684000000</v>
      </c>
      <c r="I642">
        <v>1455000000</v>
      </c>
      <c r="J642">
        <v>168000000</v>
      </c>
      <c r="K642">
        <v>10767000000</v>
      </c>
      <c r="L642">
        <v>8126000000</v>
      </c>
      <c r="M642">
        <v>22599000000</v>
      </c>
      <c r="N642">
        <v>0</v>
      </c>
      <c r="O642">
        <v>354000000</v>
      </c>
      <c r="P642">
        <v>13931000000</v>
      </c>
      <c r="Q642">
        <v>86957953600</v>
      </c>
      <c r="R642">
        <v>87311953600</v>
      </c>
    </row>
    <row r="643" spans="1:18" x14ac:dyDescent="0.25">
      <c r="A643" s="1" t="s">
        <v>875</v>
      </c>
      <c r="B643">
        <v>82659892480</v>
      </c>
      <c r="C643" t="s">
        <v>80</v>
      </c>
      <c r="D643" t="s">
        <v>127</v>
      </c>
      <c r="E643">
        <v>6482000000</v>
      </c>
      <c r="F643">
        <v>0</v>
      </c>
      <c r="G643">
        <v>6482000000</v>
      </c>
      <c r="H643">
        <v>9684000000</v>
      </c>
      <c r="I643">
        <v>1455000000</v>
      </c>
      <c r="J643">
        <v>168000000</v>
      </c>
      <c r="K643">
        <v>10767000000</v>
      </c>
      <c r="L643">
        <v>8126000000</v>
      </c>
      <c r="M643">
        <v>22599000000</v>
      </c>
      <c r="N643">
        <v>0</v>
      </c>
      <c r="O643">
        <v>354000000</v>
      </c>
      <c r="P643">
        <v>13931000000</v>
      </c>
      <c r="Q643">
        <v>87112892480</v>
      </c>
      <c r="R643">
        <v>87466892480</v>
      </c>
    </row>
    <row r="644" spans="1:18" x14ac:dyDescent="0.25">
      <c r="A644" s="1" t="s">
        <v>874</v>
      </c>
      <c r="B644">
        <v>81497850880</v>
      </c>
      <c r="C644" t="s">
        <v>80</v>
      </c>
      <c r="D644" t="s">
        <v>127</v>
      </c>
      <c r="E644">
        <v>6482000000</v>
      </c>
      <c r="F644">
        <v>0</v>
      </c>
      <c r="G644">
        <v>6482000000</v>
      </c>
      <c r="H644">
        <v>9684000000</v>
      </c>
      <c r="I644">
        <v>1455000000</v>
      </c>
      <c r="J644">
        <v>168000000</v>
      </c>
      <c r="K644">
        <v>10767000000</v>
      </c>
      <c r="L644">
        <v>8126000000</v>
      </c>
      <c r="M644">
        <v>22599000000</v>
      </c>
      <c r="N644">
        <v>0</v>
      </c>
      <c r="O644">
        <v>354000000</v>
      </c>
      <c r="P644">
        <v>13931000000</v>
      </c>
      <c r="Q644">
        <v>85950850880</v>
      </c>
      <c r="R644">
        <v>86304850880</v>
      </c>
    </row>
    <row r="645" spans="1:18" x14ac:dyDescent="0.25">
      <c r="A645" s="1" t="s">
        <v>873</v>
      </c>
      <c r="B645">
        <v>78476542720</v>
      </c>
      <c r="C645" t="s">
        <v>80</v>
      </c>
      <c r="D645" t="s">
        <v>127</v>
      </c>
      <c r="E645">
        <v>6482000000</v>
      </c>
      <c r="F645">
        <v>0</v>
      </c>
      <c r="G645">
        <v>6482000000</v>
      </c>
      <c r="H645">
        <v>9684000000</v>
      </c>
      <c r="I645">
        <v>1455000000</v>
      </c>
      <c r="J645">
        <v>168000000</v>
      </c>
      <c r="K645">
        <v>10767000000</v>
      </c>
      <c r="L645">
        <v>8126000000</v>
      </c>
      <c r="M645">
        <v>22599000000</v>
      </c>
      <c r="N645">
        <v>0</v>
      </c>
      <c r="O645">
        <v>354000000</v>
      </c>
      <c r="P645">
        <v>13931000000</v>
      </c>
      <c r="Q645">
        <v>82929542720</v>
      </c>
      <c r="R645">
        <v>83283542720</v>
      </c>
    </row>
    <row r="646" spans="1:18" x14ac:dyDescent="0.25">
      <c r="A646" s="1" t="s">
        <v>872</v>
      </c>
      <c r="B646">
        <v>76888419200</v>
      </c>
      <c r="C646" t="s">
        <v>80</v>
      </c>
      <c r="D646" t="s">
        <v>127</v>
      </c>
      <c r="E646">
        <v>6482000000</v>
      </c>
      <c r="F646">
        <v>0</v>
      </c>
      <c r="G646">
        <v>6482000000</v>
      </c>
      <c r="H646">
        <v>9684000000</v>
      </c>
      <c r="I646">
        <v>1455000000</v>
      </c>
      <c r="J646">
        <v>168000000</v>
      </c>
      <c r="K646">
        <v>10767000000</v>
      </c>
      <c r="L646">
        <v>8126000000</v>
      </c>
      <c r="M646">
        <v>22599000000</v>
      </c>
      <c r="N646">
        <v>0</v>
      </c>
      <c r="O646">
        <v>354000000</v>
      </c>
      <c r="P646">
        <v>13931000000</v>
      </c>
      <c r="Q646">
        <v>81341419200</v>
      </c>
      <c r="R646">
        <v>81695419200</v>
      </c>
    </row>
    <row r="647" spans="1:18" x14ac:dyDescent="0.25">
      <c r="A647" s="1" t="s">
        <v>871</v>
      </c>
      <c r="B647">
        <v>73595968000</v>
      </c>
      <c r="C647" t="s">
        <v>80</v>
      </c>
      <c r="D647" t="s">
        <v>127</v>
      </c>
      <c r="E647">
        <v>6482000000</v>
      </c>
      <c r="F647">
        <v>0</v>
      </c>
      <c r="G647">
        <v>6482000000</v>
      </c>
      <c r="H647">
        <v>9684000000</v>
      </c>
      <c r="I647">
        <v>1455000000</v>
      </c>
      <c r="J647">
        <v>168000000</v>
      </c>
      <c r="K647">
        <v>10767000000</v>
      </c>
      <c r="L647">
        <v>8126000000</v>
      </c>
      <c r="M647">
        <v>22599000000</v>
      </c>
      <c r="N647">
        <v>0</v>
      </c>
      <c r="O647">
        <v>354000000</v>
      </c>
      <c r="P647">
        <v>13931000000</v>
      </c>
      <c r="Q647">
        <v>78048968000</v>
      </c>
      <c r="R647">
        <v>78402968000</v>
      </c>
    </row>
    <row r="648" spans="1:18" x14ac:dyDescent="0.25">
      <c r="A648" s="1" t="s">
        <v>870</v>
      </c>
      <c r="B648">
        <v>69761230720</v>
      </c>
      <c r="C648" t="s">
        <v>80</v>
      </c>
      <c r="D648" t="s">
        <v>127</v>
      </c>
      <c r="E648">
        <v>6482000000</v>
      </c>
      <c r="F648">
        <v>0</v>
      </c>
      <c r="G648">
        <v>6482000000</v>
      </c>
      <c r="H648">
        <v>9684000000</v>
      </c>
      <c r="I648">
        <v>1455000000</v>
      </c>
      <c r="J648">
        <v>168000000</v>
      </c>
      <c r="K648">
        <v>10767000000</v>
      </c>
      <c r="L648">
        <v>8126000000</v>
      </c>
      <c r="M648">
        <v>22599000000</v>
      </c>
      <c r="N648">
        <v>0</v>
      </c>
      <c r="O648">
        <v>354000000</v>
      </c>
      <c r="P648">
        <v>13931000000</v>
      </c>
      <c r="Q648">
        <v>74214230720</v>
      </c>
      <c r="R648">
        <v>74568230720</v>
      </c>
    </row>
    <row r="649" spans="1:18" x14ac:dyDescent="0.25">
      <c r="A649" s="1" t="s">
        <v>869</v>
      </c>
      <c r="B649">
        <v>73828376320</v>
      </c>
      <c r="C649" t="s">
        <v>80</v>
      </c>
      <c r="D649" t="s">
        <v>127</v>
      </c>
      <c r="E649">
        <v>6482000000</v>
      </c>
      <c r="F649">
        <v>0</v>
      </c>
      <c r="G649">
        <v>6482000000</v>
      </c>
      <c r="H649">
        <v>9684000000</v>
      </c>
      <c r="I649">
        <v>1455000000</v>
      </c>
      <c r="J649">
        <v>168000000</v>
      </c>
      <c r="K649">
        <v>10767000000</v>
      </c>
      <c r="L649">
        <v>8126000000</v>
      </c>
      <c r="M649">
        <v>22599000000</v>
      </c>
      <c r="N649">
        <v>0</v>
      </c>
      <c r="O649">
        <v>354000000</v>
      </c>
      <c r="P649">
        <v>13931000000</v>
      </c>
      <c r="Q649">
        <v>78281376320</v>
      </c>
      <c r="R649">
        <v>78635376320</v>
      </c>
    </row>
    <row r="650" spans="1:18" x14ac:dyDescent="0.25">
      <c r="A650" s="1" t="s">
        <v>868</v>
      </c>
      <c r="B650">
        <v>69431985600</v>
      </c>
      <c r="C650" t="s">
        <v>80</v>
      </c>
      <c r="D650" t="s">
        <v>127</v>
      </c>
      <c r="E650">
        <v>6482000000</v>
      </c>
      <c r="F650">
        <v>0</v>
      </c>
      <c r="G650">
        <v>6482000000</v>
      </c>
      <c r="H650">
        <v>9684000000</v>
      </c>
      <c r="I650">
        <v>1455000000</v>
      </c>
      <c r="J650">
        <v>168000000</v>
      </c>
      <c r="K650">
        <v>10767000000</v>
      </c>
      <c r="L650">
        <v>8126000000</v>
      </c>
      <c r="M650">
        <v>22599000000</v>
      </c>
      <c r="N650">
        <v>0</v>
      </c>
      <c r="O650">
        <v>354000000</v>
      </c>
      <c r="P650">
        <v>13931000000</v>
      </c>
      <c r="Q650">
        <v>73884985600</v>
      </c>
      <c r="R650">
        <v>74238985600</v>
      </c>
    </row>
    <row r="651" spans="1:18" x14ac:dyDescent="0.25">
      <c r="A651" s="1" t="s">
        <v>867</v>
      </c>
      <c r="B651">
        <v>74544968640</v>
      </c>
      <c r="C651" t="s">
        <v>80</v>
      </c>
      <c r="D651" t="s">
        <v>127</v>
      </c>
      <c r="E651">
        <v>6482000000</v>
      </c>
      <c r="F651">
        <v>0</v>
      </c>
      <c r="G651">
        <v>6482000000</v>
      </c>
      <c r="H651">
        <v>9684000000</v>
      </c>
      <c r="I651">
        <v>1455000000</v>
      </c>
      <c r="J651">
        <v>168000000</v>
      </c>
      <c r="K651">
        <v>10767000000</v>
      </c>
      <c r="L651">
        <v>8126000000</v>
      </c>
      <c r="M651">
        <v>22599000000</v>
      </c>
      <c r="N651">
        <v>0</v>
      </c>
      <c r="O651">
        <v>354000000</v>
      </c>
      <c r="P651">
        <v>13931000000</v>
      </c>
      <c r="Q651">
        <v>78997968640</v>
      </c>
      <c r="R651">
        <v>79351968640</v>
      </c>
    </row>
    <row r="652" spans="1:18" x14ac:dyDescent="0.25">
      <c r="A652" s="1" t="s">
        <v>866</v>
      </c>
      <c r="B652">
        <v>73750906880</v>
      </c>
      <c r="C652" t="s">
        <v>80</v>
      </c>
      <c r="D652" t="s">
        <v>127</v>
      </c>
      <c r="E652">
        <v>6482000000</v>
      </c>
      <c r="F652">
        <v>0</v>
      </c>
      <c r="G652">
        <v>6482000000</v>
      </c>
      <c r="H652">
        <v>9684000000</v>
      </c>
      <c r="I652">
        <v>1455000000</v>
      </c>
      <c r="J652">
        <v>168000000</v>
      </c>
      <c r="K652">
        <v>10767000000</v>
      </c>
      <c r="L652">
        <v>8126000000</v>
      </c>
      <c r="M652">
        <v>22599000000</v>
      </c>
      <c r="N652">
        <v>0</v>
      </c>
      <c r="O652">
        <v>354000000</v>
      </c>
      <c r="P652">
        <v>13931000000</v>
      </c>
      <c r="Q652">
        <v>78203906880</v>
      </c>
      <c r="R652">
        <v>78557906880</v>
      </c>
    </row>
    <row r="653" spans="1:18" x14ac:dyDescent="0.25">
      <c r="A653" s="1" t="s">
        <v>865</v>
      </c>
      <c r="B653">
        <v>75164724160</v>
      </c>
      <c r="C653" t="s">
        <v>80</v>
      </c>
      <c r="D653" t="s">
        <v>127</v>
      </c>
      <c r="E653">
        <v>6482000000</v>
      </c>
      <c r="F653">
        <v>0</v>
      </c>
      <c r="G653">
        <v>6482000000</v>
      </c>
      <c r="H653">
        <v>9684000000</v>
      </c>
      <c r="I653">
        <v>1455000000</v>
      </c>
      <c r="J653">
        <v>168000000</v>
      </c>
      <c r="K653">
        <v>10767000000</v>
      </c>
      <c r="L653">
        <v>8126000000</v>
      </c>
      <c r="M653">
        <v>22599000000</v>
      </c>
      <c r="N653">
        <v>0</v>
      </c>
      <c r="O653">
        <v>354000000</v>
      </c>
      <c r="P653">
        <v>13931000000</v>
      </c>
      <c r="Q653">
        <v>79617724160</v>
      </c>
      <c r="R653">
        <v>79971724160</v>
      </c>
    </row>
    <row r="654" spans="1:18" x14ac:dyDescent="0.25">
      <c r="A654" s="1" t="s">
        <v>864</v>
      </c>
      <c r="B654">
        <v>72705069440</v>
      </c>
      <c r="C654" t="s">
        <v>80</v>
      </c>
      <c r="D654" t="s">
        <v>127</v>
      </c>
      <c r="E654">
        <v>6482000000</v>
      </c>
      <c r="F654">
        <v>0</v>
      </c>
      <c r="G654">
        <v>6482000000</v>
      </c>
      <c r="H654">
        <v>9684000000</v>
      </c>
      <c r="I654">
        <v>1455000000</v>
      </c>
      <c r="J654">
        <v>168000000</v>
      </c>
      <c r="K654">
        <v>10767000000</v>
      </c>
      <c r="L654">
        <v>8126000000</v>
      </c>
      <c r="M654">
        <v>22599000000</v>
      </c>
      <c r="N654">
        <v>0</v>
      </c>
      <c r="O654">
        <v>354000000</v>
      </c>
      <c r="P654">
        <v>13931000000</v>
      </c>
      <c r="Q654">
        <v>77158069440</v>
      </c>
      <c r="R654">
        <v>77512069440</v>
      </c>
    </row>
    <row r="655" spans="1:18" x14ac:dyDescent="0.25">
      <c r="A655" s="1" t="s">
        <v>863</v>
      </c>
      <c r="B655">
        <v>71020109120</v>
      </c>
      <c r="C655" t="s">
        <v>80</v>
      </c>
      <c r="D655" t="s">
        <v>127</v>
      </c>
      <c r="E655">
        <v>6482000000</v>
      </c>
      <c r="F655">
        <v>0</v>
      </c>
      <c r="G655">
        <v>6482000000</v>
      </c>
      <c r="H655">
        <v>9684000000</v>
      </c>
      <c r="I655">
        <v>1455000000</v>
      </c>
      <c r="J655">
        <v>168000000</v>
      </c>
      <c r="K655">
        <v>10767000000</v>
      </c>
      <c r="L655">
        <v>8126000000</v>
      </c>
      <c r="M655">
        <v>22599000000</v>
      </c>
      <c r="N655">
        <v>0</v>
      </c>
      <c r="O655">
        <v>354000000</v>
      </c>
      <c r="P655">
        <v>13931000000</v>
      </c>
      <c r="Q655">
        <v>75473109120</v>
      </c>
      <c r="R655">
        <v>75827109120</v>
      </c>
    </row>
    <row r="656" spans="1:18" x14ac:dyDescent="0.25">
      <c r="A656" s="1" t="s">
        <v>862</v>
      </c>
      <c r="B656">
        <v>69199577280</v>
      </c>
      <c r="C656" t="s">
        <v>80</v>
      </c>
      <c r="D656" t="s">
        <v>127</v>
      </c>
      <c r="E656">
        <v>6482000000</v>
      </c>
      <c r="F656">
        <v>0</v>
      </c>
      <c r="G656">
        <v>6482000000</v>
      </c>
      <c r="H656">
        <v>9684000000</v>
      </c>
      <c r="I656">
        <v>1455000000</v>
      </c>
      <c r="J656">
        <v>168000000</v>
      </c>
      <c r="K656">
        <v>10767000000</v>
      </c>
      <c r="L656">
        <v>8126000000</v>
      </c>
      <c r="M656">
        <v>22599000000</v>
      </c>
      <c r="N656">
        <v>0</v>
      </c>
      <c r="O656">
        <v>354000000</v>
      </c>
      <c r="P656">
        <v>13931000000</v>
      </c>
      <c r="Q656">
        <v>73652577280</v>
      </c>
      <c r="R656">
        <v>74006577280</v>
      </c>
    </row>
    <row r="657" spans="1:18" x14ac:dyDescent="0.25">
      <c r="A657" s="1" t="s">
        <v>861</v>
      </c>
      <c r="B657">
        <v>72162783360</v>
      </c>
      <c r="C657" t="s">
        <v>80</v>
      </c>
      <c r="D657" t="s">
        <v>127</v>
      </c>
      <c r="E657">
        <v>6482000000</v>
      </c>
      <c r="F657">
        <v>0</v>
      </c>
      <c r="G657">
        <v>6482000000</v>
      </c>
      <c r="H657">
        <v>9684000000</v>
      </c>
      <c r="I657">
        <v>1455000000</v>
      </c>
      <c r="J657">
        <v>168000000</v>
      </c>
      <c r="K657">
        <v>10767000000</v>
      </c>
      <c r="L657">
        <v>8126000000</v>
      </c>
      <c r="M657">
        <v>22599000000</v>
      </c>
      <c r="N657">
        <v>0</v>
      </c>
      <c r="O657">
        <v>354000000</v>
      </c>
      <c r="P657">
        <v>13931000000</v>
      </c>
      <c r="Q657">
        <v>76615783360</v>
      </c>
      <c r="R657">
        <v>76969783360</v>
      </c>
    </row>
    <row r="658" spans="1:18" x14ac:dyDescent="0.25">
      <c r="A658" s="1" t="s">
        <v>860</v>
      </c>
      <c r="B658">
        <v>73266722880</v>
      </c>
      <c r="C658" t="s">
        <v>80</v>
      </c>
      <c r="D658" t="s">
        <v>127</v>
      </c>
      <c r="E658">
        <v>6482000000</v>
      </c>
      <c r="F658">
        <v>0</v>
      </c>
      <c r="G658">
        <v>6482000000</v>
      </c>
      <c r="H658">
        <v>9684000000</v>
      </c>
      <c r="I658">
        <v>1455000000</v>
      </c>
      <c r="J658">
        <v>168000000</v>
      </c>
      <c r="K658">
        <v>10767000000</v>
      </c>
      <c r="L658">
        <v>8126000000</v>
      </c>
      <c r="M658">
        <v>22599000000</v>
      </c>
      <c r="N658">
        <v>0</v>
      </c>
      <c r="O658">
        <v>354000000</v>
      </c>
      <c r="P658">
        <v>13931000000</v>
      </c>
      <c r="Q658">
        <v>77719722880</v>
      </c>
      <c r="R658">
        <v>78073722880</v>
      </c>
    </row>
    <row r="659" spans="1:18" x14ac:dyDescent="0.25">
      <c r="A659" s="1" t="s">
        <v>859</v>
      </c>
      <c r="B659">
        <v>73014947200</v>
      </c>
      <c r="C659" t="s">
        <v>80</v>
      </c>
      <c r="D659" t="s">
        <v>127</v>
      </c>
      <c r="E659">
        <v>6482000000</v>
      </c>
      <c r="F659">
        <v>0</v>
      </c>
      <c r="G659">
        <v>6482000000</v>
      </c>
      <c r="H659">
        <v>9684000000</v>
      </c>
      <c r="I659">
        <v>1455000000</v>
      </c>
      <c r="J659">
        <v>168000000</v>
      </c>
      <c r="K659">
        <v>10767000000</v>
      </c>
      <c r="L659">
        <v>8126000000</v>
      </c>
      <c r="M659">
        <v>22599000000</v>
      </c>
      <c r="N659">
        <v>0</v>
      </c>
      <c r="O659">
        <v>354000000</v>
      </c>
      <c r="P659">
        <v>13931000000</v>
      </c>
      <c r="Q659">
        <v>77467947200</v>
      </c>
      <c r="R659">
        <v>77821947200</v>
      </c>
    </row>
    <row r="660" spans="1:18" x14ac:dyDescent="0.25">
      <c r="A660" s="1" t="s">
        <v>858</v>
      </c>
      <c r="B660">
        <v>76849684480</v>
      </c>
      <c r="C660" t="s">
        <v>80</v>
      </c>
      <c r="D660" t="s">
        <v>127</v>
      </c>
      <c r="E660">
        <v>6482000000</v>
      </c>
      <c r="F660">
        <v>0</v>
      </c>
      <c r="G660">
        <v>6482000000</v>
      </c>
      <c r="H660">
        <v>9684000000</v>
      </c>
      <c r="I660">
        <v>1455000000</v>
      </c>
      <c r="J660">
        <v>168000000</v>
      </c>
      <c r="K660">
        <v>10767000000</v>
      </c>
      <c r="L660">
        <v>8126000000</v>
      </c>
      <c r="M660">
        <v>22599000000</v>
      </c>
      <c r="N660">
        <v>0</v>
      </c>
      <c r="O660">
        <v>354000000</v>
      </c>
      <c r="P660">
        <v>13931000000</v>
      </c>
      <c r="Q660">
        <v>81302684480</v>
      </c>
      <c r="R660">
        <v>81656684480</v>
      </c>
    </row>
    <row r="661" spans="1:18" x14ac:dyDescent="0.25">
      <c r="A661" s="1" t="s">
        <v>857</v>
      </c>
      <c r="B661">
        <v>76888419200</v>
      </c>
      <c r="C661" t="s">
        <v>80</v>
      </c>
      <c r="D661" t="s">
        <v>127</v>
      </c>
      <c r="E661">
        <v>6482000000</v>
      </c>
      <c r="F661">
        <v>0</v>
      </c>
      <c r="G661">
        <v>6482000000</v>
      </c>
      <c r="H661">
        <v>9684000000</v>
      </c>
      <c r="I661">
        <v>1455000000</v>
      </c>
      <c r="J661">
        <v>168000000</v>
      </c>
      <c r="K661">
        <v>10767000000</v>
      </c>
      <c r="L661">
        <v>8126000000</v>
      </c>
      <c r="M661">
        <v>22599000000</v>
      </c>
      <c r="N661">
        <v>0</v>
      </c>
      <c r="O661">
        <v>354000000</v>
      </c>
      <c r="P661">
        <v>13931000000</v>
      </c>
      <c r="Q661">
        <v>81341419200</v>
      </c>
      <c r="R661">
        <v>81695419200</v>
      </c>
    </row>
    <row r="662" spans="1:18" x14ac:dyDescent="0.25">
      <c r="A662" s="1" t="s">
        <v>856</v>
      </c>
      <c r="B662">
        <v>81284809920</v>
      </c>
      <c r="C662" t="s">
        <v>80</v>
      </c>
      <c r="D662" t="s">
        <v>127</v>
      </c>
      <c r="E662">
        <v>6482000000</v>
      </c>
      <c r="F662">
        <v>0</v>
      </c>
      <c r="G662">
        <v>6482000000</v>
      </c>
      <c r="H662">
        <v>9684000000</v>
      </c>
      <c r="I662">
        <v>1455000000</v>
      </c>
      <c r="J662">
        <v>168000000</v>
      </c>
      <c r="K662">
        <v>10767000000</v>
      </c>
      <c r="L662">
        <v>8126000000</v>
      </c>
      <c r="M662">
        <v>22599000000</v>
      </c>
      <c r="N662">
        <v>0</v>
      </c>
      <c r="O662">
        <v>354000000</v>
      </c>
      <c r="P662">
        <v>13931000000</v>
      </c>
      <c r="Q662">
        <v>85737809920</v>
      </c>
      <c r="R662">
        <v>86091809920</v>
      </c>
    </row>
    <row r="663" spans="1:18" x14ac:dyDescent="0.25">
      <c r="A663" s="1" t="s">
        <v>855</v>
      </c>
      <c r="B663">
        <v>83318382720</v>
      </c>
      <c r="C663" t="s">
        <v>80</v>
      </c>
      <c r="D663" t="s">
        <v>127</v>
      </c>
      <c r="E663">
        <v>6482000000</v>
      </c>
      <c r="F663">
        <v>0</v>
      </c>
      <c r="G663">
        <v>6482000000</v>
      </c>
      <c r="H663">
        <v>9684000000</v>
      </c>
      <c r="I663">
        <v>1455000000</v>
      </c>
      <c r="J663">
        <v>168000000</v>
      </c>
      <c r="K663">
        <v>10767000000</v>
      </c>
      <c r="L663">
        <v>8126000000</v>
      </c>
      <c r="M663">
        <v>22599000000</v>
      </c>
      <c r="N663">
        <v>0</v>
      </c>
      <c r="O663">
        <v>354000000</v>
      </c>
      <c r="P663">
        <v>13931000000</v>
      </c>
      <c r="Q663">
        <v>87771382720</v>
      </c>
      <c r="R663">
        <v>88125382720</v>
      </c>
    </row>
    <row r="664" spans="1:18" x14ac:dyDescent="0.25">
      <c r="A664" s="1" t="s">
        <v>854</v>
      </c>
      <c r="B664">
        <v>85042077760</v>
      </c>
      <c r="C664" t="s">
        <v>80</v>
      </c>
      <c r="D664" t="s">
        <v>127</v>
      </c>
      <c r="E664">
        <v>6482000000</v>
      </c>
      <c r="F664">
        <v>0</v>
      </c>
      <c r="G664">
        <v>6482000000</v>
      </c>
      <c r="H664">
        <v>9684000000</v>
      </c>
      <c r="I664">
        <v>1455000000</v>
      </c>
      <c r="J664">
        <v>168000000</v>
      </c>
      <c r="K664">
        <v>10767000000</v>
      </c>
      <c r="L664">
        <v>8126000000</v>
      </c>
      <c r="M664">
        <v>22599000000</v>
      </c>
      <c r="N664">
        <v>0</v>
      </c>
      <c r="O664">
        <v>354000000</v>
      </c>
      <c r="P664">
        <v>13931000000</v>
      </c>
      <c r="Q664">
        <v>89495077760</v>
      </c>
      <c r="R664">
        <v>89849077760</v>
      </c>
    </row>
    <row r="665" spans="1:18" x14ac:dyDescent="0.25">
      <c r="A665" s="1" t="s">
        <v>853</v>
      </c>
      <c r="B665">
        <v>83202178560</v>
      </c>
      <c r="C665" t="s">
        <v>80</v>
      </c>
      <c r="D665" t="s">
        <v>127</v>
      </c>
      <c r="E665">
        <v>6482000000</v>
      </c>
      <c r="F665">
        <v>0</v>
      </c>
      <c r="G665">
        <v>6482000000</v>
      </c>
      <c r="H665">
        <v>9684000000</v>
      </c>
      <c r="I665">
        <v>1455000000</v>
      </c>
      <c r="J665">
        <v>168000000</v>
      </c>
      <c r="K665">
        <v>10767000000</v>
      </c>
      <c r="L665">
        <v>8126000000</v>
      </c>
      <c r="M665">
        <v>22599000000</v>
      </c>
      <c r="N665">
        <v>0</v>
      </c>
      <c r="O665">
        <v>354000000</v>
      </c>
      <c r="P665">
        <v>13931000000</v>
      </c>
      <c r="Q665">
        <v>87655178560</v>
      </c>
      <c r="R665">
        <v>88009178560</v>
      </c>
    </row>
    <row r="666" spans="1:18" x14ac:dyDescent="0.25">
      <c r="A666" s="1" t="s">
        <v>852</v>
      </c>
      <c r="B666">
        <v>82388749440</v>
      </c>
      <c r="C666" t="s">
        <v>80</v>
      </c>
      <c r="D666" t="s">
        <v>127</v>
      </c>
      <c r="E666">
        <v>6482000000</v>
      </c>
      <c r="F666">
        <v>0</v>
      </c>
      <c r="G666">
        <v>6482000000</v>
      </c>
      <c r="H666">
        <v>9684000000</v>
      </c>
      <c r="I666">
        <v>1455000000</v>
      </c>
      <c r="J666">
        <v>168000000</v>
      </c>
      <c r="K666">
        <v>10767000000</v>
      </c>
      <c r="L666">
        <v>8126000000</v>
      </c>
      <c r="M666">
        <v>22599000000</v>
      </c>
      <c r="N666">
        <v>0</v>
      </c>
      <c r="O666">
        <v>354000000</v>
      </c>
      <c r="P666">
        <v>13931000000</v>
      </c>
      <c r="Q666">
        <v>86841749440</v>
      </c>
      <c r="R666">
        <v>87195749440</v>
      </c>
    </row>
    <row r="667" spans="1:18" x14ac:dyDescent="0.25">
      <c r="A667" s="1" t="s">
        <v>851</v>
      </c>
      <c r="B667">
        <v>82233810560</v>
      </c>
      <c r="C667" t="s">
        <v>80</v>
      </c>
      <c r="D667" t="s">
        <v>127</v>
      </c>
      <c r="E667">
        <v>6482000000</v>
      </c>
      <c r="F667">
        <v>0</v>
      </c>
      <c r="G667">
        <v>6482000000</v>
      </c>
      <c r="H667">
        <v>9684000000</v>
      </c>
      <c r="I667">
        <v>1455000000</v>
      </c>
      <c r="J667">
        <v>168000000</v>
      </c>
      <c r="K667">
        <v>10767000000</v>
      </c>
      <c r="L667">
        <v>8126000000</v>
      </c>
      <c r="M667">
        <v>22599000000</v>
      </c>
      <c r="N667">
        <v>0</v>
      </c>
      <c r="O667">
        <v>354000000</v>
      </c>
      <c r="P667">
        <v>13931000000</v>
      </c>
      <c r="Q667">
        <v>86686810560</v>
      </c>
      <c r="R667">
        <v>87040810560</v>
      </c>
    </row>
    <row r="668" spans="1:18" x14ac:dyDescent="0.25">
      <c r="A668" s="1" t="s">
        <v>850</v>
      </c>
      <c r="B668">
        <v>82621157760</v>
      </c>
      <c r="C668" t="s">
        <v>80</v>
      </c>
      <c r="D668" t="s">
        <v>127</v>
      </c>
      <c r="E668">
        <v>6482000000</v>
      </c>
      <c r="F668">
        <v>0</v>
      </c>
      <c r="G668">
        <v>6482000000</v>
      </c>
      <c r="H668">
        <v>9684000000</v>
      </c>
      <c r="I668">
        <v>1455000000</v>
      </c>
      <c r="J668">
        <v>168000000</v>
      </c>
      <c r="K668">
        <v>10767000000</v>
      </c>
      <c r="L668">
        <v>8126000000</v>
      </c>
      <c r="M668">
        <v>22599000000</v>
      </c>
      <c r="N668">
        <v>0</v>
      </c>
      <c r="O668">
        <v>354000000</v>
      </c>
      <c r="P668">
        <v>13931000000</v>
      </c>
      <c r="Q668">
        <v>87074157760</v>
      </c>
      <c r="R668">
        <v>87428157760</v>
      </c>
    </row>
    <row r="669" spans="1:18" x14ac:dyDescent="0.25">
      <c r="A669" s="1" t="s">
        <v>79</v>
      </c>
      <c r="B669">
        <v>81930758770</v>
      </c>
      <c r="C669" t="s">
        <v>80</v>
      </c>
      <c r="D669" t="s">
        <v>127</v>
      </c>
      <c r="E669">
        <v>6482000000</v>
      </c>
      <c r="F669">
        <v>0</v>
      </c>
      <c r="G669">
        <v>6482000000</v>
      </c>
      <c r="H669">
        <v>9684000000</v>
      </c>
      <c r="I669">
        <v>1455000000</v>
      </c>
      <c r="J669">
        <v>168000000</v>
      </c>
      <c r="K669">
        <v>10767000000</v>
      </c>
      <c r="L669">
        <v>8126000000</v>
      </c>
      <c r="M669">
        <v>22599000000</v>
      </c>
      <c r="N669">
        <v>0</v>
      </c>
      <c r="O669">
        <v>354000000</v>
      </c>
      <c r="P669">
        <v>13931000000</v>
      </c>
      <c r="Q669">
        <v>86383758770</v>
      </c>
      <c r="R669">
        <v>86737758770</v>
      </c>
    </row>
    <row r="670" spans="1:18" x14ac:dyDescent="0.25">
      <c r="A670" s="1" t="s">
        <v>849</v>
      </c>
      <c r="B670">
        <v>85877816550</v>
      </c>
      <c r="C670" t="s">
        <v>80</v>
      </c>
      <c r="D670" t="s">
        <v>127</v>
      </c>
      <c r="E670">
        <v>6482000000</v>
      </c>
      <c r="F670">
        <v>0</v>
      </c>
      <c r="G670">
        <v>6482000000</v>
      </c>
      <c r="H670">
        <v>9684000000</v>
      </c>
      <c r="I670">
        <v>1455000000</v>
      </c>
      <c r="J670">
        <v>168000000</v>
      </c>
      <c r="K670">
        <v>10767000000</v>
      </c>
      <c r="L670">
        <v>8126000000</v>
      </c>
      <c r="M670">
        <v>22599000000</v>
      </c>
      <c r="N670">
        <v>0</v>
      </c>
      <c r="O670">
        <v>354000000</v>
      </c>
      <c r="P670">
        <v>13931000000</v>
      </c>
      <c r="Q670">
        <v>90330816550</v>
      </c>
      <c r="R670">
        <v>90684816550</v>
      </c>
    </row>
    <row r="671" spans="1:18" x14ac:dyDescent="0.25">
      <c r="A671" s="1" t="s">
        <v>848</v>
      </c>
      <c r="B671">
        <v>86796191380</v>
      </c>
      <c r="C671" t="s">
        <v>80</v>
      </c>
      <c r="D671" t="s">
        <v>127</v>
      </c>
      <c r="E671">
        <v>6482000000</v>
      </c>
      <c r="F671">
        <v>0</v>
      </c>
      <c r="G671">
        <v>6482000000</v>
      </c>
      <c r="H671">
        <v>9684000000</v>
      </c>
      <c r="I671">
        <v>1455000000</v>
      </c>
      <c r="J671">
        <v>168000000</v>
      </c>
      <c r="K671">
        <v>10767000000</v>
      </c>
      <c r="L671">
        <v>8126000000</v>
      </c>
      <c r="M671">
        <v>22599000000</v>
      </c>
      <c r="N671">
        <v>0</v>
      </c>
      <c r="O671">
        <v>354000000</v>
      </c>
      <c r="P671">
        <v>13931000000</v>
      </c>
      <c r="Q671">
        <v>91249191380</v>
      </c>
      <c r="R671">
        <v>91603191380</v>
      </c>
    </row>
    <row r="672" spans="1:18" x14ac:dyDescent="0.25">
      <c r="A672" s="1" t="s">
        <v>847</v>
      </c>
      <c r="B672">
        <v>84490484360</v>
      </c>
      <c r="C672" t="s">
        <v>80</v>
      </c>
      <c r="D672" t="s">
        <v>127</v>
      </c>
      <c r="E672">
        <v>6482000000</v>
      </c>
      <c r="F672">
        <v>0</v>
      </c>
      <c r="G672">
        <v>6482000000</v>
      </c>
      <c r="H672">
        <v>9684000000</v>
      </c>
      <c r="I672">
        <v>1455000000</v>
      </c>
      <c r="J672">
        <v>168000000</v>
      </c>
      <c r="K672">
        <v>10767000000</v>
      </c>
      <c r="L672">
        <v>8126000000</v>
      </c>
      <c r="M672">
        <v>22599000000</v>
      </c>
      <c r="N672">
        <v>0</v>
      </c>
      <c r="O672">
        <v>354000000</v>
      </c>
      <c r="P672">
        <v>13931000000</v>
      </c>
      <c r="Q672">
        <v>88943484360</v>
      </c>
      <c r="R672">
        <v>89297484360</v>
      </c>
    </row>
    <row r="673" spans="1:18" x14ac:dyDescent="0.25">
      <c r="A673" s="1" t="s">
        <v>846</v>
      </c>
      <c r="B673">
        <v>82126157670</v>
      </c>
      <c r="C673" t="s">
        <v>80</v>
      </c>
      <c r="D673" t="s">
        <v>127</v>
      </c>
      <c r="E673">
        <v>6482000000</v>
      </c>
      <c r="F673">
        <v>0</v>
      </c>
      <c r="G673">
        <v>6482000000</v>
      </c>
      <c r="H673">
        <v>9684000000</v>
      </c>
      <c r="I673">
        <v>1455000000</v>
      </c>
      <c r="J673">
        <v>168000000</v>
      </c>
      <c r="K673">
        <v>10767000000</v>
      </c>
      <c r="L673">
        <v>8126000000</v>
      </c>
      <c r="M673">
        <v>22599000000</v>
      </c>
      <c r="N673">
        <v>0</v>
      </c>
      <c r="O673">
        <v>354000000</v>
      </c>
      <c r="P673">
        <v>13931000000</v>
      </c>
      <c r="Q673">
        <v>86579157670</v>
      </c>
      <c r="R673">
        <v>86933157670</v>
      </c>
    </row>
    <row r="674" spans="1:18" x14ac:dyDescent="0.25">
      <c r="A674" s="1" t="s">
        <v>845</v>
      </c>
      <c r="B674">
        <v>81110083390</v>
      </c>
      <c r="C674" t="s">
        <v>80</v>
      </c>
      <c r="D674" t="s">
        <v>127</v>
      </c>
      <c r="E674">
        <v>6482000000</v>
      </c>
      <c r="F674">
        <v>0</v>
      </c>
      <c r="G674">
        <v>6482000000</v>
      </c>
      <c r="H674">
        <v>9684000000</v>
      </c>
      <c r="I674">
        <v>1455000000</v>
      </c>
      <c r="J674">
        <v>168000000</v>
      </c>
      <c r="K674">
        <v>10767000000</v>
      </c>
      <c r="L674">
        <v>8126000000</v>
      </c>
      <c r="M674">
        <v>22599000000</v>
      </c>
      <c r="N674">
        <v>0</v>
      </c>
      <c r="O674">
        <v>354000000</v>
      </c>
      <c r="P674">
        <v>13931000000</v>
      </c>
      <c r="Q674">
        <v>85563083390</v>
      </c>
      <c r="R674">
        <v>85917083390</v>
      </c>
    </row>
    <row r="675" spans="1:18" x14ac:dyDescent="0.25">
      <c r="A675" s="1" t="s">
        <v>844</v>
      </c>
      <c r="B675">
        <v>83239931400</v>
      </c>
      <c r="C675" t="s">
        <v>80</v>
      </c>
      <c r="D675" t="s">
        <v>127</v>
      </c>
      <c r="E675">
        <v>6482000000</v>
      </c>
      <c r="F675">
        <v>0</v>
      </c>
      <c r="G675">
        <v>6482000000</v>
      </c>
      <c r="H675">
        <v>9684000000</v>
      </c>
      <c r="I675">
        <v>1455000000</v>
      </c>
      <c r="J675">
        <v>168000000</v>
      </c>
      <c r="K675">
        <v>10767000000</v>
      </c>
      <c r="L675">
        <v>8126000000</v>
      </c>
      <c r="M675">
        <v>22599000000</v>
      </c>
      <c r="N675">
        <v>0</v>
      </c>
      <c r="O675">
        <v>354000000</v>
      </c>
      <c r="P675">
        <v>13931000000</v>
      </c>
      <c r="Q675">
        <v>87692931400</v>
      </c>
      <c r="R675">
        <v>88046931400</v>
      </c>
    </row>
    <row r="676" spans="1:18" x14ac:dyDescent="0.25">
      <c r="A676" s="1" t="s">
        <v>843</v>
      </c>
      <c r="B676">
        <v>85233000180</v>
      </c>
      <c r="C676" t="s">
        <v>80</v>
      </c>
      <c r="D676" t="s">
        <v>127</v>
      </c>
      <c r="E676">
        <v>6482000000</v>
      </c>
      <c r="F676">
        <v>0</v>
      </c>
      <c r="G676">
        <v>6482000000</v>
      </c>
      <c r="H676">
        <v>9684000000</v>
      </c>
      <c r="I676">
        <v>1455000000</v>
      </c>
      <c r="J676">
        <v>168000000</v>
      </c>
      <c r="K676">
        <v>10767000000</v>
      </c>
      <c r="L676">
        <v>8126000000</v>
      </c>
      <c r="M676">
        <v>22599000000</v>
      </c>
      <c r="N676">
        <v>0</v>
      </c>
      <c r="O676">
        <v>354000000</v>
      </c>
      <c r="P676">
        <v>13931000000</v>
      </c>
      <c r="Q676">
        <v>89686000180</v>
      </c>
      <c r="R676">
        <v>90040000180</v>
      </c>
    </row>
    <row r="677" spans="1:18" x14ac:dyDescent="0.25">
      <c r="A677" s="1" t="s">
        <v>842</v>
      </c>
      <c r="B677">
        <v>84099686560</v>
      </c>
      <c r="C677" t="s">
        <v>80</v>
      </c>
      <c r="D677" t="s">
        <v>127</v>
      </c>
      <c r="E677">
        <v>6482000000</v>
      </c>
      <c r="F677">
        <v>0</v>
      </c>
      <c r="G677">
        <v>6482000000</v>
      </c>
      <c r="H677">
        <v>9684000000</v>
      </c>
      <c r="I677">
        <v>1455000000</v>
      </c>
      <c r="J677">
        <v>168000000</v>
      </c>
      <c r="K677">
        <v>10767000000</v>
      </c>
      <c r="L677">
        <v>8126000000</v>
      </c>
      <c r="M677">
        <v>22599000000</v>
      </c>
      <c r="N677">
        <v>0</v>
      </c>
      <c r="O677">
        <v>354000000</v>
      </c>
      <c r="P677">
        <v>13931000000</v>
      </c>
      <c r="Q677">
        <v>88552686560</v>
      </c>
      <c r="R677">
        <v>88906686560</v>
      </c>
    </row>
    <row r="678" spans="1:18" x14ac:dyDescent="0.25">
      <c r="A678" s="1" t="s">
        <v>841</v>
      </c>
      <c r="B678">
        <v>83767508430</v>
      </c>
      <c r="C678" t="s">
        <v>80</v>
      </c>
      <c r="D678" t="s">
        <v>127</v>
      </c>
      <c r="E678">
        <v>6482000000</v>
      </c>
      <c r="F678">
        <v>0</v>
      </c>
      <c r="G678">
        <v>6482000000</v>
      </c>
      <c r="H678">
        <v>9684000000</v>
      </c>
      <c r="I678">
        <v>1455000000</v>
      </c>
      <c r="J678">
        <v>168000000</v>
      </c>
      <c r="K678">
        <v>10767000000</v>
      </c>
      <c r="L678">
        <v>8126000000</v>
      </c>
      <c r="M678">
        <v>22599000000</v>
      </c>
      <c r="N678">
        <v>0</v>
      </c>
      <c r="O678">
        <v>354000000</v>
      </c>
      <c r="P678">
        <v>13931000000</v>
      </c>
      <c r="Q678">
        <v>88220508430</v>
      </c>
      <c r="R678">
        <v>88574508430</v>
      </c>
    </row>
    <row r="679" spans="1:18" x14ac:dyDescent="0.25">
      <c r="A679" s="1" t="s">
        <v>840</v>
      </c>
      <c r="B679">
        <v>81110083390</v>
      </c>
      <c r="C679" t="s">
        <v>80</v>
      </c>
      <c r="D679" t="s">
        <v>127</v>
      </c>
      <c r="E679">
        <v>6482000000</v>
      </c>
      <c r="F679">
        <v>0</v>
      </c>
      <c r="G679">
        <v>6482000000</v>
      </c>
      <c r="H679">
        <v>9684000000</v>
      </c>
      <c r="I679">
        <v>1455000000</v>
      </c>
      <c r="J679">
        <v>168000000</v>
      </c>
      <c r="K679">
        <v>10767000000</v>
      </c>
      <c r="L679">
        <v>8126000000</v>
      </c>
      <c r="M679">
        <v>22599000000</v>
      </c>
      <c r="N679">
        <v>0</v>
      </c>
      <c r="O679">
        <v>354000000</v>
      </c>
      <c r="P679">
        <v>13931000000</v>
      </c>
      <c r="Q679">
        <v>85563083390</v>
      </c>
      <c r="R679">
        <v>85917083390</v>
      </c>
    </row>
    <row r="680" spans="1:18" x14ac:dyDescent="0.25">
      <c r="A680" s="1" t="s">
        <v>839</v>
      </c>
      <c r="B680">
        <v>75052717490</v>
      </c>
      <c r="C680" t="s">
        <v>80</v>
      </c>
      <c r="D680" t="s">
        <v>127</v>
      </c>
      <c r="E680">
        <v>6482000000</v>
      </c>
      <c r="F680">
        <v>0</v>
      </c>
      <c r="G680">
        <v>6482000000</v>
      </c>
      <c r="H680">
        <v>9684000000</v>
      </c>
      <c r="I680">
        <v>1455000000</v>
      </c>
      <c r="J680">
        <v>168000000</v>
      </c>
      <c r="K680">
        <v>10767000000</v>
      </c>
      <c r="L680">
        <v>8126000000</v>
      </c>
      <c r="M680">
        <v>22599000000</v>
      </c>
      <c r="N680">
        <v>0</v>
      </c>
      <c r="O680">
        <v>354000000</v>
      </c>
      <c r="P680">
        <v>13931000000</v>
      </c>
      <c r="Q680">
        <v>79505717490</v>
      </c>
      <c r="R680">
        <v>79859717490</v>
      </c>
    </row>
    <row r="681" spans="1:18" x14ac:dyDescent="0.25">
      <c r="A681" s="1" t="s">
        <v>838</v>
      </c>
      <c r="B681">
        <v>73978023540</v>
      </c>
      <c r="C681" t="s">
        <v>80</v>
      </c>
      <c r="D681" t="s">
        <v>127</v>
      </c>
      <c r="E681">
        <v>6482000000</v>
      </c>
      <c r="F681">
        <v>0</v>
      </c>
      <c r="G681">
        <v>6482000000</v>
      </c>
      <c r="H681">
        <v>9684000000</v>
      </c>
      <c r="I681">
        <v>1455000000</v>
      </c>
      <c r="J681">
        <v>168000000</v>
      </c>
      <c r="K681">
        <v>10767000000</v>
      </c>
      <c r="L681">
        <v>8126000000</v>
      </c>
      <c r="M681">
        <v>22599000000</v>
      </c>
      <c r="N681">
        <v>0</v>
      </c>
      <c r="O681">
        <v>354000000</v>
      </c>
      <c r="P681">
        <v>13931000000</v>
      </c>
      <c r="Q681">
        <v>78431023540</v>
      </c>
      <c r="R681">
        <v>78785023540</v>
      </c>
    </row>
    <row r="682" spans="1:18" x14ac:dyDescent="0.25">
      <c r="A682" s="1" t="s">
        <v>837</v>
      </c>
      <c r="B682">
        <v>73899863980</v>
      </c>
      <c r="C682" t="s">
        <v>80</v>
      </c>
      <c r="D682" t="s">
        <v>127</v>
      </c>
      <c r="E682">
        <v>6482000000</v>
      </c>
      <c r="F682">
        <v>0</v>
      </c>
      <c r="G682">
        <v>6482000000</v>
      </c>
      <c r="H682">
        <v>9684000000</v>
      </c>
      <c r="I682">
        <v>1455000000</v>
      </c>
      <c r="J682">
        <v>168000000</v>
      </c>
      <c r="K682">
        <v>10767000000</v>
      </c>
      <c r="L682">
        <v>8126000000</v>
      </c>
      <c r="M682">
        <v>22599000000</v>
      </c>
      <c r="N682">
        <v>0</v>
      </c>
      <c r="O682">
        <v>354000000</v>
      </c>
      <c r="P682">
        <v>13931000000</v>
      </c>
      <c r="Q682">
        <v>78352863980</v>
      </c>
      <c r="R682">
        <v>78706863980</v>
      </c>
    </row>
    <row r="683" spans="1:18" x14ac:dyDescent="0.25">
      <c r="A683" s="1" t="s">
        <v>836</v>
      </c>
      <c r="B683">
        <v>70226364660</v>
      </c>
      <c r="C683" t="s">
        <v>80</v>
      </c>
      <c r="D683" t="s">
        <v>127</v>
      </c>
      <c r="E683">
        <v>6482000000</v>
      </c>
      <c r="F683">
        <v>0</v>
      </c>
      <c r="G683">
        <v>6482000000</v>
      </c>
      <c r="H683">
        <v>9684000000</v>
      </c>
      <c r="I683">
        <v>1455000000</v>
      </c>
      <c r="J683">
        <v>168000000</v>
      </c>
      <c r="K683">
        <v>10767000000</v>
      </c>
      <c r="L683">
        <v>8126000000</v>
      </c>
      <c r="M683">
        <v>22599000000</v>
      </c>
      <c r="N683">
        <v>0</v>
      </c>
      <c r="O683">
        <v>354000000</v>
      </c>
      <c r="P683">
        <v>13931000000</v>
      </c>
      <c r="Q683">
        <v>74679364660</v>
      </c>
      <c r="R683">
        <v>75033364660</v>
      </c>
    </row>
    <row r="684" spans="1:18" x14ac:dyDescent="0.25">
      <c r="A684" s="1" t="s">
        <v>835</v>
      </c>
      <c r="B684">
        <v>70890720920</v>
      </c>
      <c r="C684" t="s">
        <v>80</v>
      </c>
      <c r="D684" t="s">
        <v>127</v>
      </c>
      <c r="E684">
        <v>6482000000</v>
      </c>
      <c r="F684">
        <v>0</v>
      </c>
      <c r="G684">
        <v>6482000000</v>
      </c>
      <c r="H684">
        <v>9684000000</v>
      </c>
      <c r="I684">
        <v>1455000000</v>
      </c>
      <c r="J684">
        <v>168000000</v>
      </c>
      <c r="K684">
        <v>10767000000</v>
      </c>
      <c r="L684">
        <v>8126000000</v>
      </c>
      <c r="M684">
        <v>22599000000</v>
      </c>
      <c r="N684">
        <v>0</v>
      </c>
      <c r="O684">
        <v>354000000</v>
      </c>
      <c r="P684">
        <v>13931000000</v>
      </c>
      <c r="Q684">
        <v>75343720920</v>
      </c>
      <c r="R684">
        <v>75697720920</v>
      </c>
    </row>
    <row r="685" spans="1:18" x14ac:dyDescent="0.25">
      <c r="A685" s="1" t="s">
        <v>834</v>
      </c>
      <c r="B685">
        <v>68037896980</v>
      </c>
      <c r="C685" t="s">
        <v>80</v>
      </c>
      <c r="D685" t="s">
        <v>127</v>
      </c>
      <c r="E685">
        <v>6482000000</v>
      </c>
      <c r="F685">
        <v>0</v>
      </c>
      <c r="G685">
        <v>6482000000</v>
      </c>
      <c r="H685">
        <v>9684000000</v>
      </c>
      <c r="I685">
        <v>1455000000</v>
      </c>
      <c r="J685">
        <v>168000000</v>
      </c>
      <c r="K685">
        <v>10767000000</v>
      </c>
      <c r="L685">
        <v>8126000000</v>
      </c>
      <c r="M685">
        <v>22599000000</v>
      </c>
      <c r="N685">
        <v>0</v>
      </c>
      <c r="O685">
        <v>354000000</v>
      </c>
      <c r="P685">
        <v>13931000000</v>
      </c>
      <c r="Q685">
        <v>72490896980</v>
      </c>
      <c r="R685">
        <v>72844896980</v>
      </c>
    </row>
    <row r="686" spans="1:18" x14ac:dyDescent="0.25">
      <c r="A686" s="1" t="s">
        <v>833</v>
      </c>
      <c r="B686">
        <v>67998817199</v>
      </c>
      <c r="C686" t="s">
        <v>80</v>
      </c>
      <c r="D686" t="s">
        <v>127</v>
      </c>
      <c r="E686">
        <v>6482000000</v>
      </c>
      <c r="F686">
        <v>0</v>
      </c>
      <c r="G686">
        <v>6482000000</v>
      </c>
      <c r="H686">
        <v>9684000000</v>
      </c>
      <c r="I686">
        <v>1455000000</v>
      </c>
      <c r="J686">
        <v>168000000</v>
      </c>
      <c r="K686">
        <v>10767000000</v>
      </c>
      <c r="L686">
        <v>8126000000</v>
      </c>
      <c r="M686">
        <v>22599000000</v>
      </c>
      <c r="N686">
        <v>0</v>
      </c>
      <c r="O686">
        <v>354000000</v>
      </c>
      <c r="P686">
        <v>13931000000</v>
      </c>
      <c r="Q686">
        <v>72451817199</v>
      </c>
      <c r="R686">
        <v>72805817199</v>
      </c>
    </row>
    <row r="687" spans="1:18" x14ac:dyDescent="0.25">
      <c r="A687" s="1" t="s">
        <v>832</v>
      </c>
      <c r="B687">
        <v>66611485010</v>
      </c>
      <c r="C687" t="s">
        <v>80</v>
      </c>
      <c r="D687" t="s">
        <v>127</v>
      </c>
      <c r="E687">
        <v>6482000000</v>
      </c>
      <c r="F687">
        <v>0</v>
      </c>
      <c r="G687">
        <v>6482000000</v>
      </c>
      <c r="H687">
        <v>9684000000</v>
      </c>
      <c r="I687">
        <v>1455000000</v>
      </c>
      <c r="J687">
        <v>168000000</v>
      </c>
      <c r="K687">
        <v>10767000000</v>
      </c>
      <c r="L687">
        <v>8126000000</v>
      </c>
      <c r="M687">
        <v>22599000000</v>
      </c>
      <c r="N687">
        <v>0</v>
      </c>
      <c r="O687">
        <v>354000000</v>
      </c>
      <c r="P687">
        <v>13931000000</v>
      </c>
      <c r="Q687">
        <v>71064485010</v>
      </c>
      <c r="R687">
        <v>71418485010</v>
      </c>
    </row>
    <row r="688" spans="1:18" x14ac:dyDescent="0.25">
      <c r="A688" s="1" t="s">
        <v>831</v>
      </c>
      <c r="B688">
        <v>68799952690</v>
      </c>
      <c r="C688" t="s">
        <v>80</v>
      </c>
      <c r="D688" t="s">
        <v>127</v>
      </c>
      <c r="E688">
        <v>6482000000</v>
      </c>
      <c r="F688">
        <v>0</v>
      </c>
      <c r="G688">
        <v>6482000000</v>
      </c>
      <c r="H688">
        <v>9684000000</v>
      </c>
      <c r="I688">
        <v>1455000000</v>
      </c>
      <c r="J688">
        <v>168000000</v>
      </c>
      <c r="K688">
        <v>10767000000</v>
      </c>
      <c r="L688">
        <v>8126000000</v>
      </c>
      <c r="M688">
        <v>22599000000</v>
      </c>
      <c r="N688">
        <v>0</v>
      </c>
      <c r="O688">
        <v>354000000</v>
      </c>
      <c r="P688">
        <v>13931000000</v>
      </c>
      <c r="Q688">
        <v>73252952690</v>
      </c>
      <c r="R688">
        <v>73606952690</v>
      </c>
    </row>
    <row r="689" spans="1:18" x14ac:dyDescent="0.25">
      <c r="A689" s="1" t="s">
        <v>830</v>
      </c>
      <c r="B689">
        <v>73079188600</v>
      </c>
      <c r="C689" t="s">
        <v>80</v>
      </c>
      <c r="D689" t="s">
        <v>127</v>
      </c>
      <c r="E689">
        <v>6482000000</v>
      </c>
      <c r="F689">
        <v>0</v>
      </c>
      <c r="G689">
        <v>6482000000</v>
      </c>
      <c r="H689">
        <v>9684000000</v>
      </c>
      <c r="I689">
        <v>1455000000</v>
      </c>
      <c r="J689">
        <v>168000000</v>
      </c>
      <c r="K689">
        <v>10767000000</v>
      </c>
      <c r="L689">
        <v>8126000000</v>
      </c>
      <c r="M689">
        <v>22599000000</v>
      </c>
      <c r="N689">
        <v>0</v>
      </c>
      <c r="O689">
        <v>354000000</v>
      </c>
      <c r="P689">
        <v>13931000000</v>
      </c>
      <c r="Q689">
        <v>77532188600</v>
      </c>
      <c r="R689">
        <v>77886188600</v>
      </c>
    </row>
    <row r="690" spans="1:18" x14ac:dyDescent="0.25">
      <c r="A690" s="1" t="s">
        <v>829</v>
      </c>
      <c r="B690">
        <v>75443515290</v>
      </c>
      <c r="C690" t="s">
        <v>80</v>
      </c>
      <c r="D690" t="s">
        <v>127</v>
      </c>
      <c r="E690">
        <v>6482000000</v>
      </c>
      <c r="F690">
        <v>0</v>
      </c>
      <c r="G690">
        <v>6482000000</v>
      </c>
      <c r="H690">
        <v>9684000000</v>
      </c>
      <c r="I690">
        <v>1455000000</v>
      </c>
      <c r="J690">
        <v>168000000</v>
      </c>
      <c r="K690">
        <v>10767000000</v>
      </c>
      <c r="L690">
        <v>8126000000</v>
      </c>
      <c r="M690">
        <v>22599000000</v>
      </c>
      <c r="N690">
        <v>0</v>
      </c>
      <c r="O690">
        <v>354000000</v>
      </c>
      <c r="P690">
        <v>13931000000</v>
      </c>
      <c r="Q690">
        <v>79896515290</v>
      </c>
      <c r="R690">
        <v>80250515290</v>
      </c>
    </row>
    <row r="691" spans="1:18" x14ac:dyDescent="0.25">
      <c r="A691" s="1" t="s">
        <v>828</v>
      </c>
      <c r="B691">
        <v>72629771130</v>
      </c>
      <c r="C691" t="s">
        <v>80</v>
      </c>
      <c r="D691" t="s">
        <v>127</v>
      </c>
      <c r="E691">
        <v>6482000000</v>
      </c>
      <c r="F691">
        <v>0</v>
      </c>
      <c r="G691">
        <v>6482000000</v>
      </c>
      <c r="H691">
        <v>9684000000</v>
      </c>
      <c r="I691">
        <v>1455000000</v>
      </c>
      <c r="J691">
        <v>168000000</v>
      </c>
      <c r="K691">
        <v>10767000000</v>
      </c>
      <c r="L691">
        <v>8126000000</v>
      </c>
      <c r="M691">
        <v>22599000000</v>
      </c>
      <c r="N691">
        <v>0</v>
      </c>
      <c r="O691">
        <v>354000000</v>
      </c>
      <c r="P691">
        <v>13931000000</v>
      </c>
      <c r="Q691">
        <v>77082771130</v>
      </c>
      <c r="R691">
        <v>77436771130</v>
      </c>
    </row>
    <row r="692" spans="1:18" x14ac:dyDescent="0.25">
      <c r="A692" s="1" t="s">
        <v>827</v>
      </c>
      <c r="B692">
        <v>67490780060</v>
      </c>
      <c r="C692" t="s">
        <v>80</v>
      </c>
      <c r="D692" t="s">
        <v>127</v>
      </c>
      <c r="E692">
        <v>6482000000</v>
      </c>
      <c r="F692">
        <v>0</v>
      </c>
      <c r="G692">
        <v>6482000000</v>
      </c>
      <c r="H692">
        <v>9684000000</v>
      </c>
      <c r="I692">
        <v>1455000000</v>
      </c>
      <c r="J692">
        <v>168000000</v>
      </c>
      <c r="K692">
        <v>10767000000</v>
      </c>
      <c r="L692">
        <v>8126000000</v>
      </c>
      <c r="M692">
        <v>22599000000</v>
      </c>
      <c r="N692">
        <v>0</v>
      </c>
      <c r="O692">
        <v>354000000</v>
      </c>
      <c r="P692">
        <v>13931000000</v>
      </c>
      <c r="Q692">
        <v>71943780060</v>
      </c>
      <c r="R692">
        <v>72297780060</v>
      </c>
    </row>
    <row r="693" spans="1:18" x14ac:dyDescent="0.25">
      <c r="A693" s="1" t="s">
        <v>826</v>
      </c>
      <c r="B693">
        <v>72395292450</v>
      </c>
      <c r="C693" t="s">
        <v>80</v>
      </c>
      <c r="D693" t="s">
        <v>127</v>
      </c>
      <c r="E693">
        <v>6482000000</v>
      </c>
      <c r="F693">
        <v>0</v>
      </c>
      <c r="G693">
        <v>6482000000</v>
      </c>
      <c r="H693">
        <v>9684000000</v>
      </c>
      <c r="I693">
        <v>1455000000</v>
      </c>
      <c r="J693">
        <v>168000000</v>
      </c>
      <c r="K693">
        <v>10767000000</v>
      </c>
      <c r="L693">
        <v>8126000000</v>
      </c>
      <c r="M693">
        <v>22599000000</v>
      </c>
      <c r="N693">
        <v>0</v>
      </c>
      <c r="O693">
        <v>354000000</v>
      </c>
      <c r="P693">
        <v>13931000000</v>
      </c>
      <c r="Q693">
        <v>76848292450</v>
      </c>
      <c r="R693">
        <v>77202292450</v>
      </c>
    </row>
    <row r="694" spans="1:18" x14ac:dyDescent="0.25">
      <c r="A694" s="1" t="s">
        <v>825</v>
      </c>
      <c r="B694">
        <v>73352747060</v>
      </c>
      <c r="C694" t="s">
        <v>80</v>
      </c>
      <c r="D694" t="s">
        <v>127</v>
      </c>
      <c r="E694">
        <v>6482000000</v>
      </c>
      <c r="F694">
        <v>0</v>
      </c>
      <c r="G694">
        <v>6482000000</v>
      </c>
      <c r="H694">
        <v>9684000000</v>
      </c>
      <c r="I694">
        <v>1455000000</v>
      </c>
      <c r="J694">
        <v>168000000</v>
      </c>
      <c r="K694">
        <v>10767000000</v>
      </c>
      <c r="L694">
        <v>8126000000</v>
      </c>
      <c r="M694">
        <v>22599000000</v>
      </c>
      <c r="N694">
        <v>0</v>
      </c>
      <c r="O694">
        <v>354000000</v>
      </c>
      <c r="P694">
        <v>13931000000</v>
      </c>
      <c r="Q694">
        <v>77805747060</v>
      </c>
      <c r="R694">
        <v>78159747060</v>
      </c>
    </row>
    <row r="695" spans="1:18" x14ac:dyDescent="0.25">
      <c r="A695" s="1" t="s">
        <v>824</v>
      </c>
      <c r="B695">
        <v>74915938260</v>
      </c>
      <c r="C695" t="s">
        <v>80</v>
      </c>
      <c r="D695" t="s">
        <v>127</v>
      </c>
      <c r="E695">
        <v>6482000000</v>
      </c>
      <c r="F695">
        <v>0</v>
      </c>
      <c r="G695">
        <v>6482000000</v>
      </c>
      <c r="H695">
        <v>9684000000</v>
      </c>
      <c r="I695">
        <v>1455000000</v>
      </c>
      <c r="J695">
        <v>168000000</v>
      </c>
      <c r="K695">
        <v>10767000000</v>
      </c>
      <c r="L695">
        <v>8126000000</v>
      </c>
      <c r="M695">
        <v>22599000000</v>
      </c>
      <c r="N695">
        <v>0</v>
      </c>
      <c r="O695">
        <v>354000000</v>
      </c>
      <c r="P695">
        <v>13931000000</v>
      </c>
      <c r="Q695">
        <v>79368938260</v>
      </c>
      <c r="R695">
        <v>79722938260</v>
      </c>
    </row>
    <row r="696" spans="1:18" x14ac:dyDescent="0.25">
      <c r="A696" s="1" t="s">
        <v>128</v>
      </c>
      <c r="B696">
        <v>78530817910</v>
      </c>
      <c r="C696" t="s">
        <v>80</v>
      </c>
      <c r="D696" t="s">
        <v>127</v>
      </c>
      <c r="E696">
        <v>6482000000</v>
      </c>
      <c r="F696">
        <v>0</v>
      </c>
      <c r="G696">
        <v>6482000000</v>
      </c>
      <c r="H696">
        <v>9684000000</v>
      </c>
      <c r="I696">
        <v>1455000000</v>
      </c>
      <c r="J696">
        <v>168000000</v>
      </c>
      <c r="K696">
        <v>10767000000</v>
      </c>
      <c r="L696">
        <v>8126000000</v>
      </c>
      <c r="M696">
        <v>22599000000</v>
      </c>
      <c r="N696">
        <v>0</v>
      </c>
      <c r="O696">
        <v>354000000</v>
      </c>
      <c r="P696">
        <v>13931000000</v>
      </c>
      <c r="Q696">
        <v>82983817910</v>
      </c>
      <c r="R696">
        <v>83337817910</v>
      </c>
    </row>
    <row r="697" spans="1:18" x14ac:dyDescent="0.25">
      <c r="A697" s="1" t="s">
        <v>823</v>
      </c>
      <c r="B697">
        <v>73763084750</v>
      </c>
      <c r="C697" t="s">
        <v>79</v>
      </c>
      <c r="D697" t="s">
        <v>127</v>
      </c>
      <c r="E697">
        <v>4295000000</v>
      </c>
      <c r="F697">
        <v>-132000000</v>
      </c>
      <c r="G697">
        <v>4295000000</v>
      </c>
      <c r="H697">
        <v>8819000000</v>
      </c>
      <c r="I697">
        <v>1454000000</v>
      </c>
      <c r="J697">
        <v>185000000</v>
      </c>
      <c r="K697">
        <v>10920000000</v>
      </c>
      <c r="L697">
        <v>9024000000</v>
      </c>
      <c r="M697">
        <v>23425000000</v>
      </c>
      <c r="N697">
        <v>0</v>
      </c>
      <c r="O697">
        <v>891000000</v>
      </c>
      <c r="P697">
        <v>14458000000</v>
      </c>
      <c r="Q697">
        <v>80573084750</v>
      </c>
      <c r="R697">
        <v>81464084750</v>
      </c>
    </row>
    <row r="698" spans="1:18" x14ac:dyDescent="0.25">
      <c r="A698" s="1" t="s">
        <v>822</v>
      </c>
      <c r="B698">
        <v>68956271810</v>
      </c>
      <c r="C698" t="s">
        <v>79</v>
      </c>
      <c r="D698" t="s">
        <v>127</v>
      </c>
      <c r="E698">
        <v>4295000000</v>
      </c>
      <c r="F698">
        <v>-132000000</v>
      </c>
      <c r="G698">
        <v>4295000000</v>
      </c>
      <c r="H698">
        <v>8819000000</v>
      </c>
      <c r="I698">
        <v>1454000000</v>
      </c>
      <c r="J698">
        <v>185000000</v>
      </c>
      <c r="K698">
        <v>10920000000</v>
      </c>
      <c r="L698">
        <v>9024000000</v>
      </c>
      <c r="M698">
        <v>23425000000</v>
      </c>
      <c r="N698">
        <v>0</v>
      </c>
      <c r="O698">
        <v>891000000</v>
      </c>
      <c r="P698">
        <v>14458000000</v>
      </c>
      <c r="Q698">
        <v>75766271810</v>
      </c>
      <c r="R698">
        <v>76657271810</v>
      </c>
    </row>
    <row r="699" spans="1:18" x14ac:dyDescent="0.25">
      <c r="A699" s="1" t="s">
        <v>821</v>
      </c>
      <c r="B699">
        <v>67588479510</v>
      </c>
      <c r="C699" t="s">
        <v>79</v>
      </c>
      <c r="D699" t="s">
        <v>127</v>
      </c>
      <c r="E699">
        <v>4295000000</v>
      </c>
      <c r="F699">
        <v>-132000000</v>
      </c>
      <c r="G699">
        <v>4295000000</v>
      </c>
      <c r="H699">
        <v>8819000000</v>
      </c>
      <c r="I699">
        <v>1454000000</v>
      </c>
      <c r="J699">
        <v>185000000</v>
      </c>
      <c r="K699">
        <v>10920000000</v>
      </c>
      <c r="L699">
        <v>9024000000</v>
      </c>
      <c r="M699">
        <v>23425000000</v>
      </c>
      <c r="N699">
        <v>0</v>
      </c>
      <c r="O699">
        <v>891000000</v>
      </c>
      <c r="P699">
        <v>14458000000</v>
      </c>
      <c r="Q699">
        <v>74398479510</v>
      </c>
      <c r="R699">
        <v>75289479510</v>
      </c>
    </row>
    <row r="700" spans="1:18" x14ac:dyDescent="0.25">
      <c r="A700" s="1" t="s">
        <v>820</v>
      </c>
      <c r="B700">
        <v>72473452010</v>
      </c>
      <c r="C700" t="s">
        <v>79</v>
      </c>
      <c r="D700" t="s">
        <v>127</v>
      </c>
      <c r="E700">
        <v>4295000000</v>
      </c>
      <c r="F700">
        <v>-132000000</v>
      </c>
      <c r="G700">
        <v>4295000000</v>
      </c>
      <c r="H700">
        <v>8819000000</v>
      </c>
      <c r="I700">
        <v>1454000000</v>
      </c>
      <c r="J700">
        <v>185000000</v>
      </c>
      <c r="K700">
        <v>10920000000</v>
      </c>
      <c r="L700">
        <v>9024000000</v>
      </c>
      <c r="M700">
        <v>23425000000</v>
      </c>
      <c r="N700">
        <v>0</v>
      </c>
      <c r="O700">
        <v>891000000</v>
      </c>
      <c r="P700">
        <v>14458000000</v>
      </c>
      <c r="Q700">
        <v>79283452010</v>
      </c>
      <c r="R700">
        <v>80174452010</v>
      </c>
    </row>
    <row r="701" spans="1:18" x14ac:dyDescent="0.25">
      <c r="A701" s="1" t="s">
        <v>819</v>
      </c>
      <c r="B701">
        <v>71476917620</v>
      </c>
      <c r="C701" t="s">
        <v>79</v>
      </c>
      <c r="D701" t="s">
        <v>127</v>
      </c>
      <c r="E701">
        <v>4295000000</v>
      </c>
      <c r="F701">
        <v>-132000000</v>
      </c>
      <c r="G701">
        <v>4295000000</v>
      </c>
      <c r="H701">
        <v>8819000000</v>
      </c>
      <c r="I701">
        <v>1454000000</v>
      </c>
      <c r="J701">
        <v>185000000</v>
      </c>
      <c r="K701">
        <v>10920000000</v>
      </c>
      <c r="L701">
        <v>9024000000</v>
      </c>
      <c r="M701">
        <v>23425000000</v>
      </c>
      <c r="N701">
        <v>0</v>
      </c>
      <c r="O701">
        <v>891000000</v>
      </c>
      <c r="P701">
        <v>14458000000</v>
      </c>
      <c r="Q701">
        <v>78286917620</v>
      </c>
      <c r="R701">
        <v>79177917620</v>
      </c>
    </row>
    <row r="702" spans="1:18" x14ac:dyDescent="0.25">
      <c r="A702" s="1" t="s">
        <v>818</v>
      </c>
      <c r="B702">
        <v>69776947190</v>
      </c>
      <c r="C702" t="s">
        <v>79</v>
      </c>
      <c r="D702" t="s">
        <v>127</v>
      </c>
      <c r="E702">
        <v>4295000000</v>
      </c>
      <c r="F702">
        <v>-132000000</v>
      </c>
      <c r="G702">
        <v>4295000000</v>
      </c>
      <c r="H702">
        <v>8819000000</v>
      </c>
      <c r="I702">
        <v>1454000000</v>
      </c>
      <c r="J702">
        <v>185000000</v>
      </c>
      <c r="K702">
        <v>10920000000</v>
      </c>
      <c r="L702">
        <v>9024000000</v>
      </c>
      <c r="M702">
        <v>23425000000</v>
      </c>
      <c r="N702">
        <v>0</v>
      </c>
      <c r="O702">
        <v>891000000</v>
      </c>
      <c r="P702">
        <v>14458000000</v>
      </c>
      <c r="Q702">
        <v>76586947190</v>
      </c>
      <c r="R702">
        <v>77477947190</v>
      </c>
    </row>
    <row r="703" spans="1:18" x14ac:dyDescent="0.25">
      <c r="A703" s="1" t="s">
        <v>817</v>
      </c>
      <c r="B703">
        <v>67764338520</v>
      </c>
      <c r="C703" t="s">
        <v>79</v>
      </c>
      <c r="D703" t="s">
        <v>127</v>
      </c>
      <c r="E703">
        <v>4295000000</v>
      </c>
      <c r="F703">
        <v>-132000000</v>
      </c>
      <c r="G703">
        <v>4295000000</v>
      </c>
      <c r="H703">
        <v>8819000000</v>
      </c>
      <c r="I703">
        <v>1454000000</v>
      </c>
      <c r="J703">
        <v>185000000</v>
      </c>
      <c r="K703">
        <v>10920000000</v>
      </c>
      <c r="L703">
        <v>9024000000</v>
      </c>
      <c r="M703">
        <v>23425000000</v>
      </c>
      <c r="N703">
        <v>0</v>
      </c>
      <c r="O703">
        <v>891000000</v>
      </c>
      <c r="P703">
        <v>14458000000</v>
      </c>
      <c r="Q703">
        <v>74574338520</v>
      </c>
      <c r="R703">
        <v>75465338520</v>
      </c>
    </row>
    <row r="704" spans="1:18" x14ac:dyDescent="0.25">
      <c r="A704" s="1" t="s">
        <v>816</v>
      </c>
      <c r="B704">
        <v>65810349520</v>
      </c>
      <c r="C704" t="s">
        <v>79</v>
      </c>
      <c r="D704" t="s">
        <v>127</v>
      </c>
      <c r="E704">
        <v>4295000000</v>
      </c>
      <c r="F704">
        <v>-132000000</v>
      </c>
      <c r="G704">
        <v>4295000000</v>
      </c>
      <c r="H704">
        <v>8819000000</v>
      </c>
      <c r="I704">
        <v>1454000000</v>
      </c>
      <c r="J704">
        <v>185000000</v>
      </c>
      <c r="K704">
        <v>10920000000</v>
      </c>
      <c r="L704">
        <v>9024000000</v>
      </c>
      <c r="M704">
        <v>23425000000</v>
      </c>
      <c r="N704">
        <v>0</v>
      </c>
      <c r="O704">
        <v>891000000</v>
      </c>
      <c r="P704">
        <v>14458000000</v>
      </c>
      <c r="Q704">
        <v>72620349520</v>
      </c>
      <c r="R704">
        <v>73511349520</v>
      </c>
    </row>
    <row r="705" spans="1:18" x14ac:dyDescent="0.25">
      <c r="A705" s="1" t="s">
        <v>815</v>
      </c>
      <c r="B705">
        <v>63289703710</v>
      </c>
      <c r="C705" t="s">
        <v>79</v>
      </c>
      <c r="D705" t="s">
        <v>127</v>
      </c>
      <c r="E705">
        <v>4295000000</v>
      </c>
      <c r="F705">
        <v>-132000000</v>
      </c>
      <c r="G705">
        <v>4295000000</v>
      </c>
      <c r="H705">
        <v>8819000000</v>
      </c>
      <c r="I705">
        <v>1454000000</v>
      </c>
      <c r="J705">
        <v>185000000</v>
      </c>
      <c r="K705">
        <v>10920000000</v>
      </c>
      <c r="L705">
        <v>9024000000</v>
      </c>
      <c r="M705">
        <v>23425000000</v>
      </c>
      <c r="N705">
        <v>0</v>
      </c>
      <c r="O705">
        <v>891000000</v>
      </c>
      <c r="P705">
        <v>14458000000</v>
      </c>
      <c r="Q705">
        <v>70099703710</v>
      </c>
      <c r="R705">
        <v>70990703710</v>
      </c>
    </row>
    <row r="706" spans="1:18" x14ac:dyDescent="0.25">
      <c r="A706" s="1" t="s">
        <v>153</v>
      </c>
      <c r="B706">
        <v>68135596429</v>
      </c>
      <c r="C706" t="s">
        <v>79</v>
      </c>
      <c r="D706" t="s">
        <v>127</v>
      </c>
      <c r="E706">
        <v>4295000000</v>
      </c>
      <c r="F706">
        <v>-132000000</v>
      </c>
      <c r="G706">
        <v>4295000000</v>
      </c>
      <c r="H706">
        <v>8819000000</v>
      </c>
      <c r="I706">
        <v>1454000000</v>
      </c>
      <c r="J706">
        <v>185000000</v>
      </c>
      <c r="K706">
        <v>10920000000</v>
      </c>
      <c r="L706">
        <v>9024000000</v>
      </c>
      <c r="M706">
        <v>23425000000</v>
      </c>
      <c r="N706">
        <v>0</v>
      </c>
      <c r="O706">
        <v>891000000</v>
      </c>
      <c r="P706">
        <v>14458000000</v>
      </c>
      <c r="Q706">
        <v>74945596429</v>
      </c>
      <c r="R706">
        <v>75836596429</v>
      </c>
    </row>
    <row r="707" spans="1:18" x14ac:dyDescent="0.25">
      <c r="A707" s="1" t="s">
        <v>814</v>
      </c>
      <c r="B707">
        <v>68350535219</v>
      </c>
      <c r="C707" t="s">
        <v>79</v>
      </c>
      <c r="D707" t="s">
        <v>127</v>
      </c>
      <c r="E707">
        <v>4295000000</v>
      </c>
      <c r="F707">
        <v>-132000000</v>
      </c>
      <c r="G707">
        <v>4295000000</v>
      </c>
      <c r="H707">
        <v>8819000000</v>
      </c>
      <c r="I707">
        <v>1454000000</v>
      </c>
      <c r="J707">
        <v>185000000</v>
      </c>
      <c r="K707">
        <v>10920000000</v>
      </c>
      <c r="L707">
        <v>9024000000</v>
      </c>
      <c r="M707">
        <v>23425000000</v>
      </c>
      <c r="N707">
        <v>0</v>
      </c>
      <c r="O707">
        <v>891000000</v>
      </c>
      <c r="P707">
        <v>14458000000</v>
      </c>
      <c r="Q707">
        <v>75160535219</v>
      </c>
      <c r="R707">
        <v>76051535219</v>
      </c>
    </row>
    <row r="708" spans="1:18" x14ac:dyDescent="0.25">
      <c r="A708" s="1" t="s">
        <v>813</v>
      </c>
      <c r="B708">
        <v>70402223670</v>
      </c>
      <c r="C708" t="s">
        <v>79</v>
      </c>
      <c r="D708" t="s">
        <v>127</v>
      </c>
      <c r="E708">
        <v>4295000000</v>
      </c>
      <c r="F708">
        <v>-132000000</v>
      </c>
      <c r="G708">
        <v>4295000000</v>
      </c>
      <c r="H708">
        <v>8819000000</v>
      </c>
      <c r="I708">
        <v>1454000000</v>
      </c>
      <c r="J708">
        <v>185000000</v>
      </c>
      <c r="K708">
        <v>10920000000</v>
      </c>
      <c r="L708">
        <v>9024000000</v>
      </c>
      <c r="M708">
        <v>23425000000</v>
      </c>
      <c r="N708">
        <v>0</v>
      </c>
      <c r="O708">
        <v>891000000</v>
      </c>
      <c r="P708">
        <v>14458000000</v>
      </c>
      <c r="Q708">
        <v>77212223670</v>
      </c>
      <c r="R708">
        <v>78103223670</v>
      </c>
    </row>
    <row r="709" spans="1:18" x14ac:dyDescent="0.25">
      <c r="A709" s="1" t="s">
        <v>812</v>
      </c>
      <c r="B709">
        <v>66220687210</v>
      </c>
      <c r="C709" t="s">
        <v>79</v>
      </c>
      <c r="D709" t="s">
        <v>127</v>
      </c>
      <c r="E709">
        <v>4295000000</v>
      </c>
      <c r="F709">
        <v>-132000000</v>
      </c>
      <c r="G709">
        <v>4295000000</v>
      </c>
      <c r="H709">
        <v>8819000000</v>
      </c>
      <c r="I709">
        <v>1454000000</v>
      </c>
      <c r="J709">
        <v>185000000</v>
      </c>
      <c r="K709">
        <v>10920000000</v>
      </c>
      <c r="L709">
        <v>9024000000</v>
      </c>
      <c r="M709">
        <v>23425000000</v>
      </c>
      <c r="N709">
        <v>0</v>
      </c>
      <c r="O709">
        <v>891000000</v>
      </c>
      <c r="P709">
        <v>14458000000</v>
      </c>
      <c r="Q709">
        <v>73030687210</v>
      </c>
      <c r="R709">
        <v>73921687210</v>
      </c>
    </row>
    <row r="710" spans="1:18" x14ac:dyDescent="0.25">
      <c r="A710" s="1" t="s">
        <v>811</v>
      </c>
      <c r="B710">
        <v>66513785560</v>
      </c>
      <c r="C710" t="s">
        <v>79</v>
      </c>
      <c r="D710" t="s">
        <v>127</v>
      </c>
      <c r="E710">
        <v>4295000000</v>
      </c>
      <c r="F710">
        <v>-132000000</v>
      </c>
      <c r="G710">
        <v>4295000000</v>
      </c>
      <c r="H710">
        <v>8819000000</v>
      </c>
      <c r="I710">
        <v>1454000000</v>
      </c>
      <c r="J710">
        <v>185000000</v>
      </c>
      <c r="K710">
        <v>10920000000</v>
      </c>
      <c r="L710">
        <v>9024000000</v>
      </c>
      <c r="M710">
        <v>23425000000</v>
      </c>
      <c r="N710">
        <v>0</v>
      </c>
      <c r="O710">
        <v>891000000</v>
      </c>
      <c r="P710">
        <v>14458000000</v>
      </c>
      <c r="Q710">
        <v>73323785560</v>
      </c>
      <c r="R710">
        <v>74214785560</v>
      </c>
    </row>
    <row r="711" spans="1:18" x14ac:dyDescent="0.25">
      <c r="A711" s="1" t="s">
        <v>810</v>
      </c>
      <c r="B711">
        <v>61980531080</v>
      </c>
      <c r="C711" t="s">
        <v>79</v>
      </c>
      <c r="D711" t="s">
        <v>127</v>
      </c>
      <c r="E711">
        <v>4295000000</v>
      </c>
      <c r="F711">
        <v>-132000000</v>
      </c>
      <c r="G711">
        <v>4295000000</v>
      </c>
      <c r="H711">
        <v>8819000000</v>
      </c>
      <c r="I711">
        <v>1454000000</v>
      </c>
      <c r="J711">
        <v>185000000</v>
      </c>
      <c r="K711">
        <v>10920000000</v>
      </c>
      <c r="L711">
        <v>9024000000</v>
      </c>
      <c r="M711">
        <v>23425000000</v>
      </c>
      <c r="N711">
        <v>0</v>
      </c>
      <c r="O711">
        <v>891000000</v>
      </c>
      <c r="P711">
        <v>14458000000</v>
      </c>
      <c r="Q711">
        <v>68790531080</v>
      </c>
      <c r="R711">
        <v>69681531080</v>
      </c>
    </row>
    <row r="712" spans="1:18" x14ac:dyDescent="0.25">
      <c r="A712" s="1" t="s">
        <v>809</v>
      </c>
      <c r="B712">
        <v>58287491870</v>
      </c>
      <c r="C712" t="s">
        <v>79</v>
      </c>
      <c r="D712" t="s">
        <v>127</v>
      </c>
      <c r="E712">
        <v>4295000000</v>
      </c>
      <c r="F712">
        <v>-132000000</v>
      </c>
      <c r="G712">
        <v>4295000000</v>
      </c>
      <c r="H712">
        <v>8819000000</v>
      </c>
      <c r="I712">
        <v>1454000000</v>
      </c>
      <c r="J712">
        <v>185000000</v>
      </c>
      <c r="K712">
        <v>10920000000</v>
      </c>
      <c r="L712">
        <v>9024000000</v>
      </c>
      <c r="M712">
        <v>23425000000</v>
      </c>
      <c r="N712">
        <v>0</v>
      </c>
      <c r="O712">
        <v>891000000</v>
      </c>
      <c r="P712">
        <v>14458000000</v>
      </c>
      <c r="Q712">
        <v>65097491870</v>
      </c>
      <c r="R712">
        <v>65988491870</v>
      </c>
    </row>
    <row r="713" spans="1:18" x14ac:dyDescent="0.25">
      <c r="A713" s="1" t="s">
        <v>808</v>
      </c>
      <c r="B713">
        <v>55825465730</v>
      </c>
      <c r="C713" t="s">
        <v>79</v>
      </c>
      <c r="D713" t="s">
        <v>127</v>
      </c>
      <c r="E713">
        <v>4295000000</v>
      </c>
      <c r="F713">
        <v>-132000000</v>
      </c>
      <c r="G713">
        <v>4295000000</v>
      </c>
      <c r="H713">
        <v>8819000000</v>
      </c>
      <c r="I713">
        <v>1454000000</v>
      </c>
      <c r="J713">
        <v>185000000</v>
      </c>
      <c r="K713">
        <v>10920000000</v>
      </c>
      <c r="L713">
        <v>9024000000</v>
      </c>
      <c r="M713">
        <v>23425000000</v>
      </c>
      <c r="N713">
        <v>0</v>
      </c>
      <c r="O713">
        <v>891000000</v>
      </c>
      <c r="P713">
        <v>14458000000</v>
      </c>
      <c r="Q713">
        <v>62635465730</v>
      </c>
      <c r="R713">
        <v>63526465730</v>
      </c>
    </row>
    <row r="714" spans="1:18" x14ac:dyDescent="0.25">
      <c r="A714" s="1" t="s">
        <v>807</v>
      </c>
      <c r="B714">
        <v>60065621860</v>
      </c>
      <c r="C714" t="s">
        <v>79</v>
      </c>
      <c r="D714" t="s">
        <v>127</v>
      </c>
      <c r="E714">
        <v>4295000000</v>
      </c>
      <c r="F714">
        <v>-132000000</v>
      </c>
      <c r="G714">
        <v>4295000000</v>
      </c>
      <c r="H714">
        <v>8819000000</v>
      </c>
      <c r="I714">
        <v>1454000000</v>
      </c>
      <c r="J714">
        <v>185000000</v>
      </c>
      <c r="K714">
        <v>10920000000</v>
      </c>
      <c r="L714">
        <v>9024000000</v>
      </c>
      <c r="M714">
        <v>23425000000</v>
      </c>
      <c r="N714">
        <v>0</v>
      </c>
      <c r="O714">
        <v>891000000</v>
      </c>
      <c r="P714">
        <v>14458000000</v>
      </c>
      <c r="Q714">
        <v>66875621860</v>
      </c>
      <c r="R714">
        <v>67766621860</v>
      </c>
    </row>
    <row r="715" spans="1:18" x14ac:dyDescent="0.25">
      <c r="A715" s="1" t="s">
        <v>806</v>
      </c>
      <c r="B715">
        <v>61550653500</v>
      </c>
      <c r="C715" t="s">
        <v>79</v>
      </c>
      <c r="D715" t="s">
        <v>127</v>
      </c>
      <c r="E715">
        <v>4295000000</v>
      </c>
      <c r="F715">
        <v>-132000000</v>
      </c>
      <c r="G715">
        <v>4295000000</v>
      </c>
      <c r="H715">
        <v>8819000000</v>
      </c>
      <c r="I715">
        <v>1454000000</v>
      </c>
      <c r="J715">
        <v>185000000</v>
      </c>
      <c r="K715">
        <v>10920000000</v>
      </c>
      <c r="L715">
        <v>9024000000</v>
      </c>
      <c r="M715">
        <v>23425000000</v>
      </c>
      <c r="N715">
        <v>0</v>
      </c>
      <c r="O715">
        <v>891000000</v>
      </c>
      <c r="P715">
        <v>14458000000</v>
      </c>
      <c r="Q715">
        <v>68360653500</v>
      </c>
      <c r="R715">
        <v>69251653500</v>
      </c>
    </row>
    <row r="716" spans="1:18" x14ac:dyDescent="0.25">
      <c r="A716" s="1" t="s">
        <v>805</v>
      </c>
      <c r="B716">
        <v>59420805490</v>
      </c>
      <c r="C716" t="s">
        <v>79</v>
      </c>
      <c r="D716" t="s">
        <v>127</v>
      </c>
      <c r="E716">
        <v>4295000000</v>
      </c>
      <c r="F716">
        <v>-132000000</v>
      </c>
      <c r="G716">
        <v>4295000000</v>
      </c>
      <c r="H716">
        <v>8819000000</v>
      </c>
      <c r="I716">
        <v>1454000000</v>
      </c>
      <c r="J716">
        <v>185000000</v>
      </c>
      <c r="K716">
        <v>10920000000</v>
      </c>
      <c r="L716">
        <v>9024000000</v>
      </c>
      <c r="M716">
        <v>23425000000</v>
      </c>
      <c r="N716">
        <v>0</v>
      </c>
      <c r="O716">
        <v>891000000</v>
      </c>
      <c r="P716">
        <v>14458000000</v>
      </c>
      <c r="Q716">
        <v>66230805490</v>
      </c>
      <c r="R716">
        <v>67121805490</v>
      </c>
    </row>
    <row r="717" spans="1:18" x14ac:dyDescent="0.25">
      <c r="A717" s="1" t="s">
        <v>804</v>
      </c>
      <c r="B717">
        <v>60104701640</v>
      </c>
      <c r="C717" t="s">
        <v>79</v>
      </c>
      <c r="D717" t="s">
        <v>127</v>
      </c>
      <c r="E717">
        <v>4295000000</v>
      </c>
      <c r="F717">
        <v>-132000000</v>
      </c>
      <c r="G717">
        <v>4295000000</v>
      </c>
      <c r="H717">
        <v>8819000000</v>
      </c>
      <c r="I717">
        <v>1454000000</v>
      </c>
      <c r="J717">
        <v>185000000</v>
      </c>
      <c r="K717">
        <v>10920000000</v>
      </c>
      <c r="L717">
        <v>9024000000</v>
      </c>
      <c r="M717">
        <v>23425000000</v>
      </c>
      <c r="N717">
        <v>0</v>
      </c>
      <c r="O717">
        <v>891000000</v>
      </c>
      <c r="P717">
        <v>14458000000</v>
      </c>
      <c r="Q717">
        <v>66914701640</v>
      </c>
      <c r="R717">
        <v>67805701640</v>
      </c>
    </row>
    <row r="718" spans="1:18" x14ac:dyDescent="0.25">
      <c r="A718" s="1" t="s">
        <v>803</v>
      </c>
      <c r="B718">
        <v>57193258030</v>
      </c>
      <c r="C718" t="s">
        <v>79</v>
      </c>
      <c r="D718" t="s">
        <v>127</v>
      </c>
      <c r="E718">
        <v>4295000000</v>
      </c>
      <c r="F718">
        <v>-132000000</v>
      </c>
      <c r="G718">
        <v>4295000000</v>
      </c>
      <c r="H718">
        <v>8819000000</v>
      </c>
      <c r="I718">
        <v>1454000000</v>
      </c>
      <c r="J718">
        <v>185000000</v>
      </c>
      <c r="K718">
        <v>10920000000</v>
      </c>
      <c r="L718">
        <v>9024000000</v>
      </c>
      <c r="M718">
        <v>23425000000</v>
      </c>
      <c r="N718">
        <v>0</v>
      </c>
      <c r="O718">
        <v>891000000</v>
      </c>
      <c r="P718">
        <v>14458000000</v>
      </c>
      <c r="Q718">
        <v>64003258030</v>
      </c>
      <c r="R718">
        <v>64894258030</v>
      </c>
    </row>
    <row r="719" spans="1:18" x14ac:dyDescent="0.25">
      <c r="A719" s="1" t="s">
        <v>802</v>
      </c>
      <c r="B719">
        <v>58228872200</v>
      </c>
      <c r="C719" t="s">
        <v>79</v>
      </c>
      <c r="D719" t="s">
        <v>127</v>
      </c>
      <c r="E719">
        <v>4295000000</v>
      </c>
      <c r="F719">
        <v>-132000000</v>
      </c>
      <c r="G719">
        <v>4295000000</v>
      </c>
      <c r="H719">
        <v>8819000000</v>
      </c>
      <c r="I719">
        <v>1454000000</v>
      </c>
      <c r="J719">
        <v>185000000</v>
      </c>
      <c r="K719">
        <v>10920000000</v>
      </c>
      <c r="L719">
        <v>9024000000</v>
      </c>
      <c r="M719">
        <v>23425000000</v>
      </c>
      <c r="N719">
        <v>0</v>
      </c>
      <c r="O719">
        <v>891000000</v>
      </c>
      <c r="P719">
        <v>14458000000</v>
      </c>
      <c r="Q719">
        <v>65038872200</v>
      </c>
      <c r="R719">
        <v>65929872200</v>
      </c>
    </row>
    <row r="720" spans="1:18" x14ac:dyDescent="0.25">
      <c r="A720" s="1" t="s">
        <v>801</v>
      </c>
      <c r="B720">
        <v>63719581290</v>
      </c>
      <c r="C720" t="s">
        <v>79</v>
      </c>
      <c r="D720" t="s">
        <v>127</v>
      </c>
      <c r="E720">
        <v>4295000000</v>
      </c>
      <c r="F720">
        <v>-132000000</v>
      </c>
      <c r="G720">
        <v>4295000000</v>
      </c>
      <c r="H720">
        <v>8819000000</v>
      </c>
      <c r="I720">
        <v>1454000000</v>
      </c>
      <c r="J720">
        <v>185000000</v>
      </c>
      <c r="K720">
        <v>10920000000</v>
      </c>
      <c r="L720">
        <v>9024000000</v>
      </c>
      <c r="M720">
        <v>23425000000</v>
      </c>
      <c r="N720">
        <v>0</v>
      </c>
      <c r="O720">
        <v>891000000</v>
      </c>
      <c r="P720">
        <v>14458000000</v>
      </c>
      <c r="Q720">
        <v>70529581290</v>
      </c>
      <c r="R720">
        <v>71420581290</v>
      </c>
    </row>
    <row r="721" spans="1:18" x14ac:dyDescent="0.25">
      <c r="A721" s="1" t="s">
        <v>800</v>
      </c>
      <c r="B721">
        <v>64188538650</v>
      </c>
      <c r="C721" t="s">
        <v>79</v>
      </c>
      <c r="D721" t="s">
        <v>127</v>
      </c>
      <c r="E721">
        <v>4295000000</v>
      </c>
      <c r="F721">
        <v>-132000000</v>
      </c>
      <c r="G721">
        <v>4295000000</v>
      </c>
      <c r="H721">
        <v>8819000000</v>
      </c>
      <c r="I721">
        <v>1454000000</v>
      </c>
      <c r="J721">
        <v>185000000</v>
      </c>
      <c r="K721">
        <v>10920000000</v>
      </c>
      <c r="L721">
        <v>9024000000</v>
      </c>
      <c r="M721">
        <v>23425000000</v>
      </c>
      <c r="N721">
        <v>0</v>
      </c>
      <c r="O721">
        <v>891000000</v>
      </c>
      <c r="P721">
        <v>14458000000</v>
      </c>
      <c r="Q721">
        <v>70998538650</v>
      </c>
      <c r="R721">
        <v>71889538650</v>
      </c>
    </row>
    <row r="722" spans="1:18" x14ac:dyDescent="0.25">
      <c r="A722" s="1" t="s">
        <v>799</v>
      </c>
      <c r="B722">
        <v>65185073040</v>
      </c>
      <c r="C722" t="s">
        <v>79</v>
      </c>
      <c r="D722" t="s">
        <v>127</v>
      </c>
      <c r="E722">
        <v>4295000000</v>
      </c>
      <c r="F722">
        <v>-132000000</v>
      </c>
      <c r="G722">
        <v>4295000000</v>
      </c>
      <c r="H722">
        <v>8819000000</v>
      </c>
      <c r="I722">
        <v>1454000000</v>
      </c>
      <c r="J722">
        <v>185000000</v>
      </c>
      <c r="K722">
        <v>10920000000</v>
      </c>
      <c r="L722">
        <v>9024000000</v>
      </c>
      <c r="M722">
        <v>23425000000</v>
      </c>
      <c r="N722">
        <v>0</v>
      </c>
      <c r="O722">
        <v>891000000</v>
      </c>
      <c r="P722">
        <v>14458000000</v>
      </c>
      <c r="Q722">
        <v>71995073040</v>
      </c>
      <c r="R722">
        <v>72886073040</v>
      </c>
    </row>
    <row r="723" spans="1:18" x14ac:dyDescent="0.25">
      <c r="A723" s="1" t="s">
        <v>798</v>
      </c>
      <c r="B723">
        <v>62488568220</v>
      </c>
      <c r="C723" t="s">
        <v>79</v>
      </c>
      <c r="D723" t="s">
        <v>127</v>
      </c>
      <c r="E723">
        <v>4295000000</v>
      </c>
      <c r="F723">
        <v>-132000000</v>
      </c>
      <c r="G723">
        <v>4295000000</v>
      </c>
      <c r="H723">
        <v>8819000000</v>
      </c>
      <c r="I723">
        <v>1454000000</v>
      </c>
      <c r="J723">
        <v>185000000</v>
      </c>
      <c r="K723">
        <v>10920000000</v>
      </c>
      <c r="L723">
        <v>9024000000</v>
      </c>
      <c r="M723">
        <v>23425000000</v>
      </c>
      <c r="N723">
        <v>0</v>
      </c>
      <c r="O723">
        <v>891000000</v>
      </c>
      <c r="P723">
        <v>14458000000</v>
      </c>
      <c r="Q723">
        <v>69298568220</v>
      </c>
      <c r="R723">
        <v>70189568220</v>
      </c>
    </row>
    <row r="724" spans="1:18" x14ac:dyDescent="0.25">
      <c r="A724" s="1" t="s">
        <v>797</v>
      </c>
      <c r="B724">
        <v>65165533150</v>
      </c>
      <c r="C724" t="s">
        <v>79</v>
      </c>
      <c r="D724" t="s">
        <v>127</v>
      </c>
      <c r="E724">
        <v>4295000000</v>
      </c>
      <c r="F724">
        <v>-132000000</v>
      </c>
      <c r="G724">
        <v>4295000000</v>
      </c>
      <c r="H724">
        <v>8819000000</v>
      </c>
      <c r="I724">
        <v>1454000000</v>
      </c>
      <c r="J724">
        <v>185000000</v>
      </c>
      <c r="K724">
        <v>10920000000</v>
      </c>
      <c r="L724">
        <v>9024000000</v>
      </c>
      <c r="M724">
        <v>23425000000</v>
      </c>
      <c r="N724">
        <v>0</v>
      </c>
      <c r="O724">
        <v>891000000</v>
      </c>
      <c r="P724">
        <v>14458000000</v>
      </c>
      <c r="Q724">
        <v>71975533150</v>
      </c>
      <c r="R724">
        <v>72866533150</v>
      </c>
    </row>
    <row r="725" spans="1:18" x14ac:dyDescent="0.25">
      <c r="A725" s="1" t="s">
        <v>796</v>
      </c>
      <c r="B725">
        <v>64598876340</v>
      </c>
      <c r="C725" t="s">
        <v>79</v>
      </c>
      <c r="D725" t="s">
        <v>127</v>
      </c>
      <c r="E725">
        <v>4295000000</v>
      </c>
      <c r="F725">
        <v>-132000000</v>
      </c>
      <c r="G725">
        <v>4295000000</v>
      </c>
      <c r="H725">
        <v>8819000000</v>
      </c>
      <c r="I725">
        <v>1454000000</v>
      </c>
      <c r="J725">
        <v>185000000</v>
      </c>
      <c r="K725">
        <v>10920000000</v>
      </c>
      <c r="L725">
        <v>9024000000</v>
      </c>
      <c r="M725">
        <v>23425000000</v>
      </c>
      <c r="N725">
        <v>0</v>
      </c>
      <c r="O725">
        <v>891000000</v>
      </c>
      <c r="P725">
        <v>14458000000</v>
      </c>
      <c r="Q725">
        <v>71408876340</v>
      </c>
      <c r="R725">
        <v>72299876340</v>
      </c>
    </row>
    <row r="726" spans="1:18" x14ac:dyDescent="0.25">
      <c r="A726" s="1" t="s">
        <v>795</v>
      </c>
      <c r="B726">
        <v>67803418300</v>
      </c>
      <c r="C726" t="s">
        <v>79</v>
      </c>
      <c r="D726" t="s">
        <v>127</v>
      </c>
      <c r="E726">
        <v>4295000000</v>
      </c>
      <c r="F726">
        <v>-132000000</v>
      </c>
      <c r="G726">
        <v>4295000000</v>
      </c>
      <c r="H726">
        <v>8819000000</v>
      </c>
      <c r="I726">
        <v>1454000000</v>
      </c>
      <c r="J726">
        <v>185000000</v>
      </c>
      <c r="K726">
        <v>10920000000</v>
      </c>
      <c r="L726">
        <v>9024000000</v>
      </c>
      <c r="M726">
        <v>23425000000</v>
      </c>
      <c r="N726">
        <v>0</v>
      </c>
      <c r="O726">
        <v>891000000</v>
      </c>
      <c r="P726">
        <v>14458000000</v>
      </c>
      <c r="Q726">
        <v>74613418300</v>
      </c>
      <c r="R726">
        <v>75504418300</v>
      </c>
    </row>
    <row r="727" spans="1:18" x14ac:dyDescent="0.25">
      <c r="A727" s="1" t="s">
        <v>794</v>
      </c>
      <c r="B727">
        <v>66552865340</v>
      </c>
      <c r="C727" t="s">
        <v>79</v>
      </c>
      <c r="D727" t="s">
        <v>127</v>
      </c>
      <c r="E727">
        <v>4295000000</v>
      </c>
      <c r="F727">
        <v>-132000000</v>
      </c>
      <c r="G727">
        <v>4295000000</v>
      </c>
      <c r="H727">
        <v>8819000000</v>
      </c>
      <c r="I727">
        <v>1454000000</v>
      </c>
      <c r="J727">
        <v>185000000</v>
      </c>
      <c r="K727">
        <v>10920000000</v>
      </c>
      <c r="L727">
        <v>9024000000</v>
      </c>
      <c r="M727">
        <v>23425000000</v>
      </c>
      <c r="N727">
        <v>0</v>
      </c>
      <c r="O727">
        <v>891000000</v>
      </c>
      <c r="P727">
        <v>14458000000</v>
      </c>
      <c r="Q727">
        <v>73362865340</v>
      </c>
      <c r="R727">
        <v>74253865340</v>
      </c>
    </row>
    <row r="728" spans="1:18" x14ac:dyDescent="0.25">
      <c r="A728" s="1" t="s">
        <v>793</v>
      </c>
      <c r="B728">
        <v>67940197530</v>
      </c>
      <c r="C728" t="s">
        <v>79</v>
      </c>
      <c r="D728" t="s">
        <v>127</v>
      </c>
      <c r="E728">
        <v>4295000000</v>
      </c>
      <c r="F728">
        <v>-132000000</v>
      </c>
      <c r="G728">
        <v>4295000000</v>
      </c>
      <c r="H728">
        <v>8819000000</v>
      </c>
      <c r="I728">
        <v>1454000000</v>
      </c>
      <c r="J728">
        <v>185000000</v>
      </c>
      <c r="K728">
        <v>10920000000</v>
      </c>
      <c r="L728">
        <v>9024000000</v>
      </c>
      <c r="M728">
        <v>23425000000</v>
      </c>
      <c r="N728">
        <v>0</v>
      </c>
      <c r="O728">
        <v>891000000</v>
      </c>
      <c r="P728">
        <v>14458000000</v>
      </c>
      <c r="Q728">
        <v>74750197530</v>
      </c>
      <c r="R728">
        <v>75641197530</v>
      </c>
    </row>
    <row r="729" spans="1:18" x14ac:dyDescent="0.25">
      <c r="A729" s="1" t="s">
        <v>792</v>
      </c>
      <c r="B729">
        <v>72668850910</v>
      </c>
      <c r="C729" t="s">
        <v>79</v>
      </c>
      <c r="D729" t="s">
        <v>127</v>
      </c>
      <c r="E729">
        <v>4295000000</v>
      </c>
      <c r="F729">
        <v>-132000000</v>
      </c>
      <c r="G729">
        <v>4295000000</v>
      </c>
      <c r="H729">
        <v>8819000000</v>
      </c>
      <c r="I729">
        <v>1454000000</v>
      </c>
      <c r="J729">
        <v>185000000</v>
      </c>
      <c r="K729">
        <v>10920000000</v>
      </c>
      <c r="L729">
        <v>9024000000</v>
      </c>
      <c r="M729">
        <v>23425000000</v>
      </c>
      <c r="N729">
        <v>0</v>
      </c>
      <c r="O729">
        <v>891000000</v>
      </c>
      <c r="P729">
        <v>14458000000</v>
      </c>
      <c r="Q729">
        <v>79478850910</v>
      </c>
      <c r="R729">
        <v>80369850910</v>
      </c>
    </row>
    <row r="730" spans="1:18" x14ac:dyDescent="0.25">
      <c r="A730" s="1" t="s">
        <v>791</v>
      </c>
      <c r="B730">
        <v>71476917620</v>
      </c>
      <c r="C730" t="s">
        <v>79</v>
      </c>
      <c r="D730" t="s">
        <v>127</v>
      </c>
      <c r="E730">
        <v>4295000000</v>
      </c>
      <c r="F730">
        <v>-132000000</v>
      </c>
      <c r="G730">
        <v>4295000000</v>
      </c>
      <c r="H730">
        <v>8819000000</v>
      </c>
      <c r="I730">
        <v>1454000000</v>
      </c>
      <c r="J730">
        <v>185000000</v>
      </c>
      <c r="K730">
        <v>10920000000</v>
      </c>
      <c r="L730">
        <v>9024000000</v>
      </c>
      <c r="M730">
        <v>23425000000</v>
      </c>
      <c r="N730">
        <v>0</v>
      </c>
      <c r="O730">
        <v>891000000</v>
      </c>
      <c r="P730">
        <v>14458000000</v>
      </c>
      <c r="Q730">
        <v>78286917620</v>
      </c>
      <c r="R730">
        <v>79177917620</v>
      </c>
    </row>
    <row r="731" spans="1:18" x14ac:dyDescent="0.25">
      <c r="A731" s="1" t="s">
        <v>78</v>
      </c>
      <c r="B731">
        <v>70086366720</v>
      </c>
      <c r="C731" t="s">
        <v>79</v>
      </c>
      <c r="D731" t="s">
        <v>127</v>
      </c>
      <c r="E731">
        <v>4295000000</v>
      </c>
      <c r="F731">
        <v>-132000000</v>
      </c>
      <c r="G731">
        <v>4295000000</v>
      </c>
      <c r="H731">
        <v>8819000000</v>
      </c>
      <c r="I731">
        <v>1454000000</v>
      </c>
      <c r="J731">
        <v>185000000</v>
      </c>
      <c r="K731">
        <v>10920000000</v>
      </c>
      <c r="L731">
        <v>9024000000</v>
      </c>
      <c r="M731">
        <v>23425000000</v>
      </c>
      <c r="N731">
        <v>0</v>
      </c>
      <c r="O731">
        <v>891000000</v>
      </c>
      <c r="P731">
        <v>14458000000</v>
      </c>
      <c r="Q731">
        <v>76896366720</v>
      </c>
      <c r="R731">
        <v>77787366720</v>
      </c>
    </row>
    <row r="732" spans="1:18" x14ac:dyDescent="0.25">
      <c r="A732" s="1" t="s">
        <v>790</v>
      </c>
      <c r="B732">
        <v>70675657920</v>
      </c>
      <c r="C732" t="s">
        <v>79</v>
      </c>
      <c r="D732" t="s">
        <v>127</v>
      </c>
      <c r="E732">
        <v>4295000000</v>
      </c>
      <c r="F732">
        <v>-132000000</v>
      </c>
      <c r="G732">
        <v>4295000000</v>
      </c>
      <c r="H732">
        <v>8819000000</v>
      </c>
      <c r="I732">
        <v>1454000000</v>
      </c>
      <c r="J732">
        <v>185000000</v>
      </c>
      <c r="K732">
        <v>10920000000</v>
      </c>
      <c r="L732">
        <v>9024000000</v>
      </c>
      <c r="M732">
        <v>23425000000</v>
      </c>
      <c r="N732">
        <v>0</v>
      </c>
      <c r="O732">
        <v>891000000</v>
      </c>
      <c r="P732">
        <v>14458000000</v>
      </c>
      <c r="Q732">
        <v>77485657920</v>
      </c>
      <c r="R732">
        <v>78376657920</v>
      </c>
    </row>
    <row r="733" spans="1:18" x14ac:dyDescent="0.25">
      <c r="A733" s="1" t="s">
        <v>789</v>
      </c>
      <c r="B733">
        <v>71716739040</v>
      </c>
      <c r="C733" t="s">
        <v>79</v>
      </c>
      <c r="D733" t="s">
        <v>127</v>
      </c>
      <c r="E733">
        <v>4295000000</v>
      </c>
      <c r="F733">
        <v>-132000000</v>
      </c>
      <c r="G733">
        <v>4295000000</v>
      </c>
      <c r="H733">
        <v>8819000000</v>
      </c>
      <c r="I733">
        <v>1454000000</v>
      </c>
      <c r="J733">
        <v>185000000</v>
      </c>
      <c r="K733">
        <v>10920000000</v>
      </c>
      <c r="L733">
        <v>9024000000</v>
      </c>
      <c r="M733">
        <v>23425000000</v>
      </c>
      <c r="N733">
        <v>0</v>
      </c>
      <c r="O733">
        <v>891000000</v>
      </c>
      <c r="P733">
        <v>14458000000</v>
      </c>
      <c r="Q733">
        <v>78526739040</v>
      </c>
      <c r="R733">
        <v>79417739040</v>
      </c>
    </row>
    <row r="734" spans="1:18" x14ac:dyDescent="0.25">
      <c r="A734" s="1" t="s">
        <v>788</v>
      </c>
      <c r="B734">
        <v>68672067840</v>
      </c>
      <c r="C734" t="s">
        <v>79</v>
      </c>
      <c r="D734" t="s">
        <v>127</v>
      </c>
      <c r="E734">
        <v>4295000000</v>
      </c>
      <c r="F734">
        <v>-132000000</v>
      </c>
      <c r="G734">
        <v>4295000000</v>
      </c>
      <c r="H734">
        <v>8819000000</v>
      </c>
      <c r="I734">
        <v>1454000000</v>
      </c>
      <c r="J734">
        <v>185000000</v>
      </c>
      <c r="K734">
        <v>10920000000</v>
      </c>
      <c r="L734">
        <v>9024000000</v>
      </c>
      <c r="M734">
        <v>23425000000</v>
      </c>
      <c r="N734">
        <v>0</v>
      </c>
      <c r="O734">
        <v>891000000</v>
      </c>
      <c r="P734">
        <v>14458000000</v>
      </c>
      <c r="Q734">
        <v>75482067840</v>
      </c>
      <c r="R734">
        <v>76373067840</v>
      </c>
    </row>
    <row r="735" spans="1:18" x14ac:dyDescent="0.25">
      <c r="A735" s="1" t="s">
        <v>787</v>
      </c>
      <c r="B735">
        <v>65627396639</v>
      </c>
      <c r="C735" t="s">
        <v>79</v>
      </c>
      <c r="D735" t="s">
        <v>127</v>
      </c>
      <c r="E735">
        <v>4295000000</v>
      </c>
      <c r="F735">
        <v>-132000000</v>
      </c>
      <c r="G735">
        <v>4295000000</v>
      </c>
      <c r="H735">
        <v>8819000000</v>
      </c>
      <c r="I735">
        <v>1454000000</v>
      </c>
      <c r="J735">
        <v>185000000</v>
      </c>
      <c r="K735">
        <v>10920000000</v>
      </c>
      <c r="L735">
        <v>9024000000</v>
      </c>
      <c r="M735">
        <v>23425000000</v>
      </c>
      <c r="N735">
        <v>0</v>
      </c>
      <c r="O735">
        <v>891000000</v>
      </c>
      <c r="P735">
        <v>14458000000</v>
      </c>
      <c r="Q735">
        <v>72437396639</v>
      </c>
      <c r="R735">
        <v>73328396639</v>
      </c>
    </row>
    <row r="736" spans="1:18" x14ac:dyDescent="0.25">
      <c r="A736" s="1" t="s">
        <v>786</v>
      </c>
      <c r="B736">
        <v>63388090080</v>
      </c>
      <c r="C736" t="s">
        <v>79</v>
      </c>
      <c r="D736" t="s">
        <v>127</v>
      </c>
      <c r="E736">
        <v>4295000000</v>
      </c>
      <c r="F736">
        <v>-132000000</v>
      </c>
      <c r="G736">
        <v>4295000000</v>
      </c>
      <c r="H736">
        <v>8819000000</v>
      </c>
      <c r="I736">
        <v>1454000000</v>
      </c>
      <c r="J736">
        <v>185000000</v>
      </c>
      <c r="K736">
        <v>10920000000</v>
      </c>
      <c r="L736">
        <v>9024000000</v>
      </c>
      <c r="M736">
        <v>23425000000</v>
      </c>
      <c r="N736">
        <v>0</v>
      </c>
      <c r="O736">
        <v>891000000</v>
      </c>
      <c r="P736">
        <v>14458000000</v>
      </c>
      <c r="Q736">
        <v>70198090080</v>
      </c>
      <c r="R736">
        <v>71089090080</v>
      </c>
    </row>
    <row r="737" spans="1:18" x14ac:dyDescent="0.25">
      <c r="A737" s="1" t="s">
        <v>785</v>
      </c>
      <c r="B737">
        <v>62955943199</v>
      </c>
      <c r="C737" t="s">
        <v>79</v>
      </c>
      <c r="D737" t="s">
        <v>127</v>
      </c>
      <c r="E737">
        <v>4295000000</v>
      </c>
      <c r="F737">
        <v>-132000000</v>
      </c>
      <c r="G737">
        <v>4295000000</v>
      </c>
      <c r="H737">
        <v>8819000000</v>
      </c>
      <c r="I737">
        <v>1454000000</v>
      </c>
      <c r="J737">
        <v>185000000</v>
      </c>
      <c r="K737">
        <v>10920000000</v>
      </c>
      <c r="L737">
        <v>9024000000</v>
      </c>
      <c r="M737">
        <v>23425000000</v>
      </c>
      <c r="N737">
        <v>0</v>
      </c>
      <c r="O737">
        <v>891000000</v>
      </c>
      <c r="P737">
        <v>14458000000</v>
      </c>
      <c r="Q737">
        <v>69765943199</v>
      </c>
      <c r="R737">
        <v>70656943199</v>
      </c>
    </row>
    <row r="738" spans="1:18" x14ac:dyDescent="0.25">
      <c r="A738" s="1" t="s">
        <v>784</v>
      </c>
      <c r="B738">
        <v>62936300160</v>
      </c>
      <c r="C738" t="s">
        <v>79</v>
      </c>
      <c r="D738" t="s">
        <v>127</v>
      </c>
      <c r="E738">
        <v>4295000000</v>
      </c>
      <c r="F738">
        <v>-132000000</v>
      </c>
      <c r="G738">
        <v>4295000000</v>
      </c>
      <c r="H738">
        <v>8819000000</v>
      </c>
      <c r="I738">
        <v>1454000000</v>
      </c>
      <c r="J738">
        <v>185000000</v>
      </c>
      <c r="K738">
        <v>10920000000</v>
      </c>
      <c r="L738">
        <v>9024000000</v>
      </c>
      <c r="M738">
        <v>23425000000</v>
      </c>
      <c r="N738">
        <v>0</v>
      </c>
      <c r="O738">
        <v>891000000</v>
      </c>
      <c r="P738">
        <v>14458000000</v>
      </c>
      <c r="Q738">
        <v>69746300160</v>
      </c>
      <c r="R738">
        <v>70637300160</v>
      </c>
    </row>
    <row r="739" spans="1:18" x14ac:dyDescent="0.25">
      <c r="A739" s="1" t="s">
        <v>783</v>
      </c>
      <c r="B739">
        <v>62838084960</v>
      </c>
      <c r="C739" t="s">
        <v>79</v>
      </c>
      <c r="D739" t="s">
        <v>127</v>
      </c>
      <c r="E739">
        <v>4295000000</v>
      </c>
      <c r="F739">
        <v>-132000000</v>
      </c>
      <c r="G739">
        <v>4295000000</v>
      </c>
      <c r="H739">
        <v>8819000000</v>
      </c>
      <c r="I739">
        <v>1454000000</v>
      </c>
      <c r="J739">
        <v>185000000</v>
      </c>
      <c r="K739">
        <v>10920000000</v>
      </c>
      <c r="L739">
        <v>9024000000</v>
      </c>
      <c r="M739">
        <v>23425000000</v>
      </c>
      <c r="N739">
        <v>0</v>
      </c>
      <c r="O739">
        <v>891000000</v>
      </c>
      <c r="P739">
        <v>14458000000</v>
      </c>
      <c r="Q739">
        <v>69648084960</v>
      </c>
      <c r="R739">
        <v>70539084960</v>
      </c>
    </row>
    <row r="740" spans="1:18" x14ac:dyDescent="0.25">
      <c r="A740" s="1" t="s">
        <v>782</v>
      </c>
      <c r="B740">
        <v>64095239520</v>
      </c>
      <c r="C740" t="s">
        <v>79</v>
      </c>
      <c r="D740" t="s">
        <v>127</v>
      </c>
      <c r="E740">
        <v>4295000000</v>
      </c>
      <c r="F740">
        <v>-132000000</v>
      </c>
      <c r="G740">
        <v>4295000000</v>
      </c>
      <c r="H740">
        <v>8819000000</v>
      </c>
      <c r="I740">
        <v>1454000000</v>
      </c>
      <c r="J740">
        <v>185000000</v>
      </c>
      <c r="K740">
        <v>10920000000</v>
      </c>
      <c r="L740">
        <v>9024000000</v>
      </c>
      <c r="M740">
        <v>23425000000</v>
      </c>
      <c r="N740">
        <v>0</v>
      </c>
      <c r="O740">
        <v>891000000</v>
      </c>
      <c r="P740">
        <v>14458000000</v>
      </c>
      <c r="Q740">
        <v>70905239520</v>
      </c>
      <c r="R740">
        <v>71796239520</v>
      </c>
    </row>
    <row r="741" spans="1:18" x14ac:dyDescent="0.25">
      <c r="A741" s="1" t="s">
        <v>781</v>
      </c>
      <c r="B741">
        <v>64193454720</v>
      </c>
      <c r="C741" t="s">
        <v>79</v>
      </c>
      <c r="D741" t="s">
        <v>127</v>
      </c>
      <c r="E741">
        <v>4295000000</v>
      </c>
      <c r="F741">
        <v>-132000000</v>
      </c>
      <c r="G741">
        <v>4295000000</v>
      </c>
      <c r="H741">
        <v>8819000000</v>
      </c>
      <c r="I741">
        <v>1454000000</v>
      </c>
      <c r="J741">
        <v>185000000</v>
      </c>
      <c r="K741">
        <v>10920000000</v>
      </c>
      <c r="L741">
        <v>9024000000</v>
      </c>
      <c r="M741">
        <v>23425000000</v>
      </c>
      <c r="N741">
        <v>0</v>
      </c>
      <c r="O741">
        <v>891000000</v>
      </c>
      <c r="P741">
        <v>14458000000</v>
      </c>
      <c r="Q741">
        <v>71003454720</v>
      </c>
      <c r="R741">
        <v>71894454720</v>
      </c>
    </row>
    <row r="742" spans="1:18" x14ac:dyDescent="0.25">
      <c r="A742" s="1" t="s">
        <v>780</v>
      </c>
      <c r="B742">
        <v>62445224160</v>
      </c>
      <c r="C742" t="s">
        <v>79</v>
      </c>
      <c r="D742" t="s">
        <v>127</v>
      </c>
      <c r="E742">
        <v>4295000000</v>
      </c>
      <c r="F742">
        <v>-132000000</v>
      </c>
      <c r="G742">
        <v>4295000000</v>
      </c>
      <c r="H742">
        <v>8819000000</v>
      </c>
      <c r="I742">
        <v>1454000000</v>
      </c>
      <c r="J742">
        <v>185000000</v>
      </c>
      <c r="K742">
        <v>10920000000</v>
      </c>
      <c r="L742">
        <v>9024000000</v>
      </c>
      <c r="M742">
        <v>23425000000</v>
      </c>
      <c r="N742">
        <v>0</v>
      </c>
      <c r="O742">
        <v>891000000</v>
      </c>
      <c r="P742">
        <v>14458000000</v>
      </c>
      <c r="Q742">
        <v>69255224160</v>
      </c>
      <c r="R742">
        <v>70146224160</v>
      </c>
    </row>
    <row r="743" spans="1:18" x14ac:dyDescent="0.25">
      <c r="A743" s="1" t="s">
        <v>779</v>
      </c>
      <c r="B743">
        <v>66393475199</v>
      </c>
      <c r="C743" t="s">
        <v>79</v>
      </c>
      <c r="D743" t="s">
        <v>127</v>
      </c>
      <c r="E743">
        <v>4295000000</v>
      </c>
      <c r="F743">
        <v>-132000000</v>
      </c>
      <c r="G743">
        <v>4295000000</v>
      </c>
      <c r="H743">
        <v>8819000000</v>
      </c>
      <c r="I743">
        <v>1454000000</v>
      </c>
      <c r="J743">
        <v>185000000</v>
      </c>
      <c r="K743">
        <v>10920000000</v>
      </c>
      <c r="L743">
        <v>9024000000</v>
      </c>
      <c r="M743">
        <v>23425000000</v>
      </c>
      <c r="N743">
        <v>0</v>
      </c>
      <c r="O743">
        <v>891000000</v>
      </c>
      <c r="P743">
        <v>14458000000</v>
      </c>
      <c r="Q743">
        <v>73203475199</v>
      </c>
      <c r="R743">
        <v>74094475199</v>
      </c>
    </row>
    <row r="744" spans="1:18" x14ac:dyDescent="0.25">
      <c r="A744" s="1" t="s">
        <v>778</v>
      </c>
      <c r="B744">
        <v>65234535840</v>
      </c>
      <c r="C744" t="s">
        <v>79</v>
      </c>
      <c r="D744" t="s">
        <v>127</v>
      </c>
      <c r="E744">
        <v>4295000000</v>
      </c>
      <c r="F744">
        <v>-132000000</v>
      </c>
      <c r="G744">
        <v>4295000000</v>
      </c>
      <c r="H744">
        <v>8819000000</v>
      </c>
      <c r="I744">
        <v>1454000000</v>
      </c>
      <c r="J744">
        <v>185000000</v>
      </c>
      <c r="K744">
        <v>10920000000</v>
      </c>
      <c r="L744">
        <v>9024000000</v>
      </c>
      <c r="M744">
        <v>23425000000</v>
      </c>
      <c r="N744">
        <v>0</v>
      </c>
      <c r="O744">
        <v>891000000</v>
      </c>
      <c r="P744">
        <v>14458000000</v>
      </c>
      <c r="Q744">
        <v>72044535840</v>
      </c>
      <c r="R744">
        <v>72935535840</v>
      </c>
    </row>
    <row r="745" spans="1:18" x14ac:dyDescent="0.25">
      <c r="A745" s="1" t="s">
        <v>777</v>
      </c>
      <c r="B745">
        <v>62229150720</v>
      </c>
      <c r="C745" t="s">
        <v>79</v>
      </c>
      <c r="D745" t="s">
        <v>127</v>
      </c>
      <c r="E745">
        <v>4295000000</v>
      </c>
      <c r="F745">
        <v>-132000000</v>
      </c>
      <c r="G745">
        <v>4295000000</v>
      </c>
      <c r="H745">
        <v>8819000000</v>
      </c>
      <c r="I745">
        <v>1454000000</v>
      </c>
      <c r="J745">
        <v>185000000</v>
      </c>
      <c r="K745">
        <v>10920000000</v>
      </c>
      <c r="L745">
        <v>9024000000</v>
      </c>
      <c r="M745">
        <v>23425000000</v>
      </c>
      <c r="N745">
        <v>0</v>
      </c>
      <c r="O745">
        <v>891000000</v>
      </c>
      <c r="P745">
        <v>14458000000</v>
      </c>
      <c r="Q745">
        <v>69039150720</v>
      </c>
      <c r="R745">
        <v>69930150720</v>
      </c>
    </row>
    <row r="746" spans="1:18" x14ac:dyDescent="0.25">
      <c r="A746" s="1" t="s">
        <v>776</v>
      </c>
      <c r="B746">
        <v>60559492320</v>
      </c>
      <c r="C746" t="s">
        <v>79</v>
      </c>
      <c r="D746" t="s">
        <v>127</v>
      </c>
      <c r="E746">
        <v>4295000000</v>
      </c>
      <c r="F746">
        <v>-132000000</v>
      </c>
      <c r="G746">
        <v>4295000000</v>
      </c>
      <c r="H746">
        <v>8819000000</v>
      </c>
      <c r="I746">
        <v>1454000000</v>
      </c>
      <c r="J746">
        <v>185000000</v>
      </c>
      <c r="K746">
        <v>10920000000</v>
      </c>
      <c r="L746">
        <v>9024000000</v>
      </c>
      <c r="M746">
        <v>23425000000</v>
      </c>
      <c r="N746">
        <v>0</v>
      </c>
      <c r="O746">
        <v>891000000</v>
      </c>
      <c r="P746">
        <v>14458000000</v>
      </c>
      <c r="Q746">
        <v>67369492320</v>
      </c>
      <c r="R746">
        <v>68260492320</v>
      </c>
    </row>
    <row r="747" spans="1:18" x14ac:dyDescent="0.25">
      <c r="A747" s="1" t="s">
        <v>775</v>
      </c>
      <c r="B747">
        <v>63722021759</v>
      </c>
      <c r="C747" t="s">
        <v>79</v>
      </c>
      <c r="D747" t="s">
        <v>127</v>
      </c>
      <c r="E747">
        <v>4295000000</v>
      </c>
      <c r="F747">
        <v>-132000000</v>
      </c>
      <c r="G747">
        <v>4295000000</v>
      </c>
      <c r="H747">
        <v>8819000000</v>
      </c>
      <c r="I747">
        <v>1454000000</v>
      </c>
      <c r="J747">
        <v>185000000</v>
      </c>
      <c r="K747">
        <v>10920000000</v>
      </c>
      <c r="L747">
        <v>9024000000</v>
      </c>
      <c r="M747">
        <v>23425000000</v>
      </c>
      <c r="N747">
        <v>0</v>
      </c>
      <c r="O747">
        <v>891000000</v>
      </c>
      <c r="P747">
        <v>14458000000</v>
      </c>
      <c r="Q747">
        <v>70532021759</v>
      </c>
      <c r="R747">
        <v>71423021759</v>
      </c>
    </row>
    <row r="748" spans="1:18" x14ac:dyDescent="0.25">
      <c r="A748" s="1" t="s">
        <v>774</v>
      </c>
      <c r="B748">
        <v>61541644320</v>
      </c>
      <c r="C748" t="s">
        <v>79</v>
      </c>
      <c r="D748" t="s">
        <v>127</v>
      </c>
      <c r="E748">
        <v>4295000000</v>
      </c>
      <c r="F748">
        <v>-132000000</v>
      </c>
      <c r="G748">
        <v>4295000000</v>
      </c>
      <c r="H748">
        <v>8819000000</v>
      </c>
      <c r="I748">
        <v>1454000000</v>
      </c>
      <c r="J748">
        <v>185000000</v>
      </c>
      <c r="K748">
        <v>10920000000</v>
      </c>
      <c r="L748">
        <v>9024000000</v>
      </c>
      <c r="M748">
        <v>23425000000</v>
      </c>
      <c r="N748">
        <v>0</v>
      </c>
      <c r="O748">
        <v>891000000</v>
      </c>
      <c r="P748">
        <v>14458000000</v>
      </c>
      <c r="Q748">
        <v>68351644320</v>
      </c>
      <c r="R748">
        <v>69242644320</v>
      </c>
    </row>
    <row r="749" spans="1:18" x14ac:dyDescent="0.25">
      <c r="A749" s="1" t="s">
        <v>773</v>
      </c>
      <c r="B749">
        <v>60264846720</v>
      </c>
      <c r="C749" t="s">
        <v>79</v>
      </c>
      <c r="D749" t="s">
        <v>127</v>
      </c>
      <c r="E749">
        <v>4295000000</v>
      </c>
      <c r="F749">
        <v>-132000000</v>
      </c>
      <c r="G749">
        <v>4295000000</v>
      </c>
      <c r="H749">
        <v>8819000000</v>
      </c>
      <c r="I749">
        <v>1454000000</v>
      </c>
      <c r="J749">
        <v>185000000</v>
      </c>
      <c r="K749">
        <v>10920000000</v>
      </c>
      <c r="L749">
        <v>9024000000</v>
      </c>
      <c r="M749">
        <v>23425000000</v>
      </c>
      <c r="N749">
        <v>0</v>
      </c>
      <c r="O749">
        <v>891000000</v>
      </c>
      <c r="P749">
        <v>14458000000</v>
      </c>
      <c r="Q749">
        <v>67074846720</v>
      </c>
      <c r="R749">
        <v>67965846720</v>
      </c>
    </row>
    <row r="750" spans="1:18" x14ac:dyDescent="0.25">
      <c r="A750" s="1" t="s">
        <v>772</v>
      </c>
      <c r="B750">
        <v>64468457280</v>
      </c>
      <c r="C750" t="s">
        <v>79</v>
      </c>
      <c r="D750" t="s">
        <v>127</v>
      </c>
      <c r="E750">
        <v>4295000000</v>
      </c>
      <c r="F750">
        <v>-132000000</v>
      </c>
      <c r="G750">
        <v>4295000000</v>
      </c>
      <c r="H750">
        <v>8819000000</v>
      </c>
      <c r="I750">
        <v>1454000000</v>
      </c>
      <c r="J750">
        <v>185000000</v>
      </c>
      <c r="K750">
        <v>10920000000</v>
      </c>
      <c r="L750">
        <v>9024000000</v>
      </c>
      <c r="M750">
        <v>23425000000</v>
      </c>
      <c r="N750">
        <v>0</v>
      </c>
      <c r="O750">
        <v>891000000</v>
      </c>
      <c r="P750">
        <v>14458000000</v>
      </c>
      <c r="Q750">
        <v>71278457280</v>
      </c>
      <c r="R750">
        <v>72169457280</v>
      </c>
    </row>
    <row r="751" spans="1:18" x14ac:dyDescent="0.25">
      <c r="A751" s="1" t="s">
        <v>771</v>
      </c>
      <c r="B751">
        <v>61836289920</v>
      </c>
      <c r="C751" t="s">
        <v>79</v>
      </c>
      <c r="D751" t="s">
        <v>127</v>
      </c>
      <c r="E751">
        <v>4295000000</v>
      </c>
      <c r="F751">
        <v>-132000000</v>
      </c>
      <c r="G751">
        <v>4295000000</v>
      </c>
      <c r="H751">
        <v>8819000000</v>
      </c>
      <c r="I751">
        <v>1454000000</v>
      </c>
      <c r="J751">
        <v>185000000</v>
      </c>
      <c r="K751">
        <v>10920000000</v>
      </c>
      <c r="L751">
        <v>9024000000</v>
      </c>
      <c r="M751">
        <v>23425000000</v>
      </c>
      <c r="N751">
        <v>0</v>
      </c>
      <c r="O751">
        <v>891000000</v>
      </c>
      <c r="P751">
        <v>14458000000</v>
      </c>
      <c r="Q751">
        <v>68646289920</v>
      </c>
      <c r="R751">
        <v>69537289920</v>
      </c>
    </row>
    <row r="752" spans="1:18" x14ac:dyDescent="0.25">
      <c r="A752" s="1" t="s">
        <v>770</v>
      </c>
      <c r="B752">
        <v>59695198560</v>
      </c>
      <c r="C752" t="s">
        <v>79</v>
      </c>
      <c r="D752" t="s">
        <v>127</v>
      </c>
      <c r="E752">
        <v>4295000000</v>
      </c>
      <c r="F752">
        <v>-132000000</v>
      </c>
      <c r="G752">
        <v>4295000000</v>
      </c>
      <c r="H752">
        <v>8819000000</v>
      </c>
      <c r="I752">
        <v>1454000000</v>
      </c>
      <c r="J752">
        <v>185000000</v>
      </c>
      <c r="K752">
        <v>10920000000</v>
      </c>
      <c r="L752">
        <v>9024000000</v>
      </c>
      <c r="M752">
        <v>23425000000</v>
      </c>
      <c r="N752">
        <v>0</v>
      </c>
      <c r="O752">
        <v>891000000</v>
      </c>
      <c r="P752">
        <v>14458000000</v>
      </c>
      <c r="Q752">
        <v>66505198560</v>
      </c>
      <c r="R752">
        <v>67396198560</v>
      </c>
    </row>
    <row r="753" spans="1:18" x14ac:dyDescent="0.25">
      <c r="A753" s="1" t="s">
        <v>769</v>
      </c>
      <c r="B753">
        <v>57888038880</v>
      </c>
      <c r="C753" t="s">
        <v>79</v>
      </c>
      <c r="D753" t="s">
        <v>127</v>
      </c>
      <c r="E753">
        <v>4295000000</v>
      </c>
      <c r="F753">
        <v>-132000000</v>
      </c>
      <c r="G753">
        <v>4295000000</v>
      </c>
      <c r="H753">
        <v>8819000000</v>
      </c>
      <c r="I753">
        <v>1454000000</v>
      </c>
      <c r="J753">
        <v>185000000</v>
      </c>
      <c r="K753">
        <v>10920000000</v>
      </c>
      <c r="L753">
        <v>9024000000</v>
      </c>
      <c r="M753">
        <v>23425000000</v>
      </c>
      <c r="N753">
        <v>0</v>
      </c>
      <c r="O753">
        <v>891000000</v>
      </c>
      <c r="P753">
        <v>14458000000</v>
      </c>
      <c r="Q753">
        <v>64698038880</v>
      </c>
      <c r="R753">
        <v>65589038880</v>
      </c>
    </row>
    <row r="754" spans="1:18" x14ac:dyDescent="0.25">
      <c r="A754" s="1" t="s">
        <v>126</v>
      </c>
      <c r="B754">
        <v>55196942400</v>
      </c>
      <c r="C754" t="s">
        <v>79</v>
      </c>
      <c r="D754" t="s">
        <v>127</v>
      </c>
      <c r="E754">
        <v>4295000000</v>
      </c>
      <c r="F754">
        <v>-132000000</v>
      </c>
      <c r="G754">
        <v>4295000000</v>
      </c>
      <c r="H754">
        <v>8819000000</v>
      </c>
      <c r="I754">
        <v>1454000000</v>
      </c>
      <c r="J754">
        <v>185000000</v>
      </c>
      <c r="K754">
        <v>10920000000</v>
      </c>
      <c r="L754">
        <v>9024000000</v>
      </c>
      <c r="M754">
        <v>23425000000</v>
      </c>
      <c r="N754">
        <v>0</v>
      </c>
      <c r="O754">
        <v>891000000</v>
      </c>
      <c r="P754">
        <v>14458000000</v>
      </c>
      <c r="Q754">
        <v>62006942400</v>
      </c>
      <c r="R754">
        <v>62897942400</v>
      </c>
    </row>
    <row r="755" spans="1:18" x14ac:dyDescent="0.25">
      <c r="A755" s="1" t="s">
        <v>768</v>
      </c>
      <c r="B755">
        <v>52702276320</v>
      </c>
      <c r="C755" t="s">
        <v>78</v>
      </c>
      <c r="D755" t="s">
        <v>127</v>
      </c>
      <c r="E755">
        <v>4184000000</v>
      </c>
      <c r="F755">
        <v>0</v>
      </c>
      <c r="G755">
        <v>4184000000</v>
      </c>
      <c r="H755">
        <v>8665000000</v>
      </c>
      <c r="I755">
        <v>492000000</v>
      </c>
      <c r="J755">
        <v>209000000</v>
      </c>
      <c r="K755">
        <v>10954000000</v>
      </c>
      <c r="L755">
        <v>8652000000</v>
      </c>
      <c r="M755">
        <v>22994000000</v>
      </c>
      <c r="N755">
        <v>0</v>
      </c>
      <c r="O755">
        <v>902000000</v>
      </c>
      <c r="P755">
        <v>9818000000</v>
      </c>
      <c r="Q755">
        <v>59681276320</v>
      </c>
      <c r="R755">
        <v>60583276320</v>
      </c>
    </row>
    <row r="756" spans="1:18" x14ac:dyDescent="0.25">
      <c r="A756" s="1" t="s">
        <v>767</v>
      </c>
      <c r="B756">
        <v>51209405280</v>
      </c>
      <c r="C756" t="s">
        <v>78</v>
      </c>
      <c r="D756" t="s">
        <v>127</v>
      </c>
      <c r="E756">
        <v>4184000000</v>
      </c>
      <c r="F756">
        <v>0</v>
      </c>
      <c r="G756">
        <v>4184000000</v>
      </c>
      <c r="H756">
        <v>8665000000</v>
      </c>
      <c r="I756">
        <v>492000000</v>
      </c>
      <c r="J756">
        <v>209000000</v>
      </c>
      <c r="K756">
        <v>10954000000</v>
      </c>
      <c r="L756">
        <v>8652000000</v>
      </c>
      <c r="M756">
        <v>22994000000</v>
      </c>
      <c r="N756">
        <v>0</v>
      </c>
      <c r="O756">
        <v>902000000</v>
      </c>
      <c r="P756">
        <v>9818000000</v>
      </c>
      <c r="Q756">
        <v>58188405280</v>
      </c>
      <c r="R756">
        <v>59090405280</v>
      </c>
    </row>
    <row r="757" spans="1:18" x14ac:dyDescent="0.25">
      <c r="A757" s="1" t="s">
        <v>766</v>
      </c>
      <c r="B757">
        <v>45277207200</v>
      </c>
      <c r="C757" t="s">
        <v>78</v>
      </c>
      <c r="D757" t="s">
        <v>127</v>
      </c>
      <c r="E757">
        <v>4184000000</v>
      </c>
      <c r="F757">
        <v>0</v>
      </c>
      <c r="G757">
        <v>4184000000</v>
      </c>
      <c r="H757">
        <v>8665000000</v>
      </c>
      <c r="I757">
        <v>492000000</v>
      </c>
      <c r="J757">
        <v>209000000</v>
      </c>
      <c r="K757">
        <v>10954000000</v>
      </c>
      <c r="L757">
        <v>8652000000</v>
      </c>
      <c r="M757">
        <v>22994000000</v>
      </c>
      <c r="N757">
        <v>0</v>
      </c>
      <c r="O757">
        <v>902000000</v>
      </c>
      <c r="P757">
        <v>9818000000</v>
      </c>
      <c r="Q757">
        <v>52256207200</v>
      </c>
      <c r="R757">
        <v>53158207200</v>
      </c>
    </row>
    <row r="758" spans="1:18" x14ac:dyDescent="0.25">
      <c r="A758" s="1" t="s">
        <v>765</v>
      </c>
      <c r="B758">
        <v>46495075680</v>
      </c>
      <c r="C758" t="s">
        <v>78</v>
      </c>
      <c r="D758" t="s">
        <v>127</v>
      </c>
      <c r="E758">
        <v>4184000000</v>
      </c>
      <c r="F758">
        <v>0</v>
      </c>
      <c r="G758">
        <v>4184000000</v>
      </c>
      <c r="H758">
        <v>8665000000</v>
      </c>
      <c r="I758">
        <v>492000000</v>
      </c>
      <c r="J758">
        <v>209000000</v>
      </c>
      <c r="K758">
        <v>10954000000</v>
      </c>
      <c r="L758">
        <v>8652000000</v>
      </c>
      <c r="M758">
        <v>22994000000</v>
      </c>
      <c r="N758">
        <v>0</v>
      </c>
      <c r="O758">
        <v>902000000</v>
      </c>
      <c r="P758">
        <v>9818000000</v>
      </c>
      <c r="Q758">
        <v>53474075680</v>
      </c>
      <c r="R758">
        <v>54376075680</v>
      </c>
    </row>
    <row r="759" spans="1:18" x14ac:dyDescent="0.25">
      <c r="A759" s="1" t="s">
        <v>764</v>
      </c>
      <c r="B759">
        <v>44334341280</v>
      </c>
      <c r="C759" t="s">
        <v>78</v>
      </c>
      <c r="D759" t="s">
        <v>127</v>
      </c>
      <c r="E759">
        <v>4184000000</v>
      </c>
      <c r="F759">
        <v>0</v>
      </c>
      <c r="G759">
        <v>4184000000</v>
      </c>
      <c r="H759">
        <v>8665000000</v>
      </c>
      <c r="I759">
        <v>492000000</v>
      </c>
      <c r="J759">
        <v>209000000</v>
      </c>
      <c r="K759">
        <v>10954000000</v>
      </c>
      <c r="L759">
        <v>8652000000</v>
      </c>
      <c r="M759">
        <v>22994000000</v>
      </c>
      <c r="N759">
        <v>0</v>
      </c>
      <c r="O759">
        <v>902000000</v>
      </c>
      <c r="P759">
        <v>9818000000</v>
      </c>
      <c r="Q759">
        <v>51313341280</v>
      </c>
      <c r="R759">
        <v>52215341280</v>
      </c>
    </row>
    <row r="760" spans="1:18" x14ac:dyDescent="0.25">
      <c r="A760" s="1" t="s">
        <v>763</v>
      </c>
      <c r="B760">
        <v>45748640160</v>
      </c>
      <c r="C760" t="s">
        <v>78</v>
      </c>
      <c r="D760" t="s">
        <v>127</v>
      </c>
      <c r="E760">
        <v>4184000000</v>
      </c>
      <c r="F760">
        <v>0</v>
      </c>
      <c r="G760">
        <v>4184000000</v>
      </c>
      <c r="H760">
        <v>8665000000</v>
      </c>
      <c r="I760">
        <v>492000000</v>
      </c>
      <c r="J760">
        <v>209000000</v>
      </c>
      <c r="K760">
        <v>10954000000</v>
      </c>
      <c r="L760">
        <v>8652000000</v>
      </c>
      <c r="M760">
        <v>22994000000</v>
      </c>
      <c r="N760">
        <v>0</v>
      </c>
      <c r="O760">
        <v>902000000</v>
      </c>
      <c r="P760">
        <v>9818000000</v>
      </c>
      <c r="Q760">
        <v>52727640160</v>
      </c>
      <c r="R760">
        <v>53629640160</v>
      </c>
    </row>
    <row r="761" spans="1:18" x14ac:dyDescent="0.25">
      <c r="A761" s="1" t="s">
        <v>762</v>
      </c>
      <c r="B761">
        <v>47909374560</v>
      </c>
      <c r="C761" t="s">
        <v>78</v>
      </c>
      <c r="D761" t="s">
        <v>127</v>
      </c>
      <c r="E761">
        <v>4184000000</v>
      </c>
      <c r="F761">
        <v>0</v>
      </c>
      <c r="G761">
        <v>4184000000</v>
      </c>
      <c r="H761">
        <v>8665000000</v>
      </c>
      <c r="I761">
        <v>492000000</v>
      </c>
      <c r="J761">
        <v>209000000</v>
      </c>
      <c r="K761">
        <v>10954000000</v>
      </c>
      <c r="L761">
        <v>8652000000</v>
      </c>
      <c r="M761">
        <v>22994000000</v>
      </c>
      <c r="N761">
        <v>0</v>
      </c>
      <c r="O761">
        <v>902000000</v>
      </c>
      <c r="P761">
        <v>9818000000</v>
      </c>
      <c r="Q761">
        <v>54888374560</v>
      </c>
      <c r="R761">
        <v>55790374560</v>
      </c>
    </row>
    <row r="762" spans="1:18" x14ac:dyDescent="0.25">
      <c r="A762" s="1" t="s">
        <v>761</v>
      </c>
      <c r="B762">
        <v>46337931360</v>
      </c>
      <c r="C762" t="s">
        <v>78</v>
      </c>
      <c r="D762" t="s">
        <v>127</v>
      </c>
      <c r="E762">
        <v>4184000000</v>
      </c>
      <c r="F762">
        <v>0</v>
      </c>
      <c r="G762">
        <v>4184000000</v>
      </c>
      <c r="H762">
        <v>8665000000</v>
      </c>
      <c r="I762">
        <v>492000000</v>
      </c>
      <c r="J762">
        <v>209000000</v>
      </c>
      <c r="K762">
        <v>10954000000</v>
      </c>
      <c r="L762">
        <v>8652000000</v>
      </c>
      <c r="M762">
        <v>22994000000</v>
      </c>
      <c r="N762">
        <v>0</v>
      </c>
      <c r="O762">
        <v>902000000</v>
      </c>
      <c r="P762">
        <v>9818000000</v>
      </c>
      <c r="Q762">
        <v>53316931360</v>
      </c>
      <c r="R762">
        <v>54218931360</v>
      </c>
    </row>
    <row r="763" spans="1:18" x14ac:dyDescent="0.25">
      <c r="A763" s="1" t="s">
        <v>760</v>
      </c>
      <c r="B763">
        <v>47536156800</v>
      </c>
      <c r="C763" t="s">
        <v>78</v>
      </c>
      <c r="D763" t="s">
        <v>127</v>
      </c>
      <c r="E763">
        <v>4184000000</v>
      </c>
      <c r="F763">
        <v>0</v>
      </c>
      <c r="G763">
        <v>4184000000</v>
      </c>
      <c r="H763">
        <v>8665000000</v>
      </c>
      <c r="I763">
        <v>492000000</v>
      </c>
      <c r="J763">
        <v>209000000</v>
      </c>
      <c r="K763">
        <v>10954000000</v>
      </c>
      <c r="L763">
        <v>8652000000</v>
      </c>
      <c r="M763">
        <v>22994000000</v>
      </c>
      <c r="N763">
        <v>0</v>
      </c>
      <c r="O763">
        <v>902000000</v>
      </c>
      <c r="P763">
        <v>9818000000</v>
      </c>
      <c r="Q763">
        <v>54515156800</v>
      </c>
      <c r="R763">
        <v>55417156800</v>
      </c>
    </row>
    <row r="764" spans="1:18" x14ac:dyDescent="0.25">
      <c r="A764" s="1" t="s">
        <v>759</v>
      </c>
      <c r="B764">
        <v>44118267840</v>
      </c>
      <c r="C764" t="s">
        <v>78</v>
      </c>
      <c r="D764" t="s">
        <v>127</v>
      </c>
      <c r="E764">
        <v>4184000000</v>
      </c>
      <c r="F764">
        <v>0</v>
      </c>
      <c r="G764">
        <v>4184000000</v>
      </c>
      <c r="H764">
        <v>8665000000</v>
      </c>
      <c r="I764">
        <v>492000000</v>
      </c>
      <c r="J764">
        <v>209000000</v>
      </c>
      <c r="K764">
        <v>10954000000</v>
      </c>
      <c r="L764">
        <v>8652000000</v>
      </c>
      <c r="M764">
        <v>22994000000</v>
      </c>
      <c r="N764">
        <v>0</v>
      </c>
      <c r="O764">
        <v>902000000</v>
      </c>
      <c r="P764">
        <v>9818000000</v>
      </c>
      <c r="Q764">
        <v>51097267840</v>
      </c>
      <c r="R764">
        <v>51999267840</v>
      </c>
    </row>
    <row r="765" spans="1:18" x14ac:dyDescent="0.25">
      <c r="A765" s="1" t="s">
        <v>758</v>
      </c>
      <c r="B765">
        <v>45650424960</v>
      </c>
      <c r="C765" t="s">
        <v>78</v>
      </c>
      <c r="D765" t="s">
        <v>127</v>
      </c>
      <c r="E765">
        <v>4184000000</v>
      </c>
      <c r="F765">
        <v>0</v>
      </c>
      <c r="G765">
        <v>4184000000</v>
      </c>
      <c r="H765">
        <v>8665000000</v>
      </c>
      <c r="I765">
        <v>492000000</v>
      </c>
      <c r="J765">
        <v>209000000</v>
      </c>
      <c r="K765">
        <v>10954000000</v>
      </c>
      <c r="L765">
        <v>8652000000</v>
      </c>
      <c r="M765">
        <v>22994000000</v>
      </c>
      <c r="N765">
        <v>0</v>
      </c>
      <c r="O765">
        <v>902000000</v>
      </c>
      <c r="P765">
        <v>9818000000</v>
      </c>
      <c r="Q765">
        <v>52629424960</v>
      </c>
      <c r="R765">
        <v>53531424960</v>
      </c>
    </row>
    <row r="766" spans="1:18" x14ac:dyDescent="0.25">
      <c r="A766" s="1" t="s">
        <v>757</v>
      </c>
      <c r="B766">
        <v>45866498400</v>
      </c>
      <c r="C766" t="s">
        <v>78</v>
      </c>
      <c r="D766" t="s">
        <v>127</v>
      </c>
      <c r="E766">
        <v>4184000000</v>
      </c>
      <c r="F766">
        <v>0</v>
      </c>
      <c r="G766">
        <v>4184000000</v>
      </c>
      <c r="H766">
        <v>8665000000</v>
      </c>
      <c r="I766">
        <v>492000000</v>
      </c>
      <c r="J766">
        <v>209000000</v>
      </c>
      <c r="K766">
        <v>10954000000</v>
      </c>
      <c r="L766">
        <v>8652000000</v>
      </c>
      <c r="M766">
        <v>22994000000</v>
      </c>
      <c r="N766">
        <v>0</v>
      </c>
      <c r="O766">
        <v>902000000</v>
      </c>
      <c r="P766">
        <v>9818000000</v>
      </c>
      <c r="Q766">
        <v>52845498400</v>
      </c>
      <c r="R766">
        <v>53747498400</v>
      </c>
    </row>
    <row r="767" spans="1:18" x14ac:dyDescent="0.25">
      <c r="A767" s="1" t="s">
        <v>756</v>
      </c>
      <c r="B767">
        <v>46711149120</v>
      </c>
      <c r="C767" t="s">
        <v>78</v>
      </c>
      <c r="D767" t="s">
        <v>127</v>
      </c>
      <c r="E767">
        <v>4184000000</v>
      </c>
      <c r="F767">
        <v>0</v>
      </c>
      <c r="G767">
        <v>4184000000</v>
      </c>
      <c r="H767">
        <v>8665000000</v>
      </c>
      <c r="I767">
        <v>492000000</v>
      </c>
      <c r="J767">
        <v>209000000</v>
      </c>
      <c r="K767">
        <v>10954000000</v>
      </c>
      <c r="L767">
        <v>8652000000</v>
      </c>
      <c r="M767">
        <v>22994000000</v>
      </c>
      <c r="N767">
        <v>0</v>
      </c>
      <c r="O767">
        <v>902000000</v>
      </c>
      <c r="P767">
        <v>9818000000</v>
      </c>
      <c r="Q767">
        <v>53690149120</v>
      </c>
      <c r="R767">
        <v>54592149120</v>
      </c>
    </row>
    <row r="768" spans="1:18" x14ac:dyDescent="0.25">
      <c r="A768" s="1" t="s">
        <v>755</v>
      </c>
      <c r="B768">
        <v>42330751200</v>
      </c>
      <c r="C768" t="s">
        <v>78</v>
      </c>
      <c r="D768" t="s">
        <v>127</v>
      </c>
      <c r="E768">
        <v>4184000000</v>
      </c>
      <c r="F768">
        <v>0</v>
      </c>
      <c r="G768">
        <v>4184000000</v>
      </c>
      <c r="H768">
        <v>8665000000</v>
      </c>
      <c r="I768">
        <v>492000000</v>
      </c>
      <c r="J768">
        <v>209000000</v>
      </c>
      <c r="K768">
        <v>10954000000</v>
      </c>
      <c r="L768">
        <v>8652000000</v>
      </c>
      <c r="M768">
        <v>22994000000</v>
      </c>
      <c r="N768">
        <v>0</v>
      </c>
      <c r="O768">
        <v>902000000</v>
      </c>
      <c r="P768">
        <v>9818000000</v>
      </c>
      <c r="Q768">
        <v>49309751200</v>
      </c>
      <c r="R768">
        <v>50211751200</v>
      </c>
    </row>
    <row r="769" spans="1:18" x14ac:dyDescent="0.25">
      <c r="A769" s="1" t="s">
        <v>754</v>
      </c>
      <c r="B769">
        <v>43293260160</v>
      </c>
      <c r="C769" t="s">
        <v>78</v>
      </c>
      <c r="D769" t="s">
        <v>127</v>
      </c>
      <c r="E769">
        <v>4184000000</v>
      </c>
      <c r="F769">
        <v>0</v>
      </c>
      <c r="G769">
        <v>4184000000</v>
      </c>
      <c r="H769">
        <v>8665000000</v>
      </c>
      <c r="I769">
        <v>492000000</v>
      </c>
      <c r="J769">
        <v>209000000</v>
      </c>
      <c r="K769">
        <v>10954000000</v>
      </c>
      <c r="L769">
        <v>8652000000</v>
      </c>
      <c r="M769">
        <v>22994000000</v>
      </c>
      <c r="N769">
        <v>0</v>
      </c>
      <c r="O769">
        <v>902000000</v>
      </c>
      <c r="P769">
        <v>9818000000</v>
      </c>
      <c r="Q769">
        <v>50272260160</v>
      </c>
      <c r="R769">
        <v>51174260160</v>
      </c>
    </row>
    <row r="770" spans="1:18" x14ac:dyDescent="0.25">
      <c r="A770" s="1" t="s">
        <v>753</v>
      </c>
      <c r="B770">
        <v>45375422400</v>
      </c>
      <c r="C770" t="s">
        <v>78</v>
      </c>
      <c r="D770" t="s">
        <v>127</v>
      </c>
      <c r="E770">
        <v>4184000000</v>
      </c>
      <c r="F770">
        <v>0</v>
      </c>
      <c r="G770">
        <v>4184000000</v>
      </c>
      <c r="H770">
        <v>8665000000</v>
      </c>
      <c r="I770">
        <v>492000000</v>
      </c>
      <c r="J770">
        <v>209000000</v>
      </c>
      <c r="K770">
        <v>10954000000</v>
      </c>
      <c r="L770">
        <v>8652000000</v>
      </c>
      <c r="M770">
        <v>22994000000</v>
      </c>
      <c r="N770">
        <v>0</v>
      </c>
      <c r="O770">
        <v>902000000</v>
      </c>
      <c r="P770">
        <v>9818000000</v>
      </c>
      <c r="Q770">
        <v>52354422400</v>
      </c>
      <c r="R770">
        <v>53256422400</v>
      </c>
    </row>
    <row r="771" spans="1:18" x14ac:dyDescent="0.25">
      <c r="A771" s="1" t="s">
        <v>752</v>
      </c>
      <c r="B771">
        <v>46495075680</v>
      </c>
      <c r="C771" t="s">
        <v>78</v>
      </c>
      <c r="D771" t="s">
        <v>127</v>
      </c>
      <c r="E771">
        <v>4184000000</v>
      </c>
      <c r="F771">
        <v>0</v>
      </c>
      <c r="G771">
        <v>4184000000</v>
      </c>
      <c r="H771">
        <v>8665000000</v>
      </c>
      <c r="I771">
        <v>492000000</v>
      </c>
      <c r="J771">
        <v>209000000</v>
      </c>
      <c r="K771">
        <v>10954000000</v>
      </c>
      <c r="L771">
        <v>8652000000</v>
      </c>
      <c r="M771">
        <v>22994000000</v>
      </c>
      <c r="N771">
        <v>0</v>
      </c>
      <c r="O771">
        <v>902000000</v>
      </c>
      <c r="P771">
        <v>9818000000</v>
      </c>
      <c r="Q771">
        <v>53474075680</v>
      </c>
      <c r="R771">
        <v>54376075680</v>
      </c>
    </row>
    <row r="772" spans="1:18" x14ac:dyDescent="0.25">
      <c r="A772" s="1" t="s">
        <v>751</v>
      </c>
      <c r="B772">
        <v>45571852800</v>
      </c>
      <c r="C772" t="s">
        <v>78</v>
      </c>
      <c r="D772" t="s">
        <v>127</v>
      </c>
      <c r="E772">
        <v>4184000000</v>
      </c>
      <c r="F772">
        <v>0</v>
      </c>
      <c r="G772">
        <v>4184000000</v>
      </c>
      <c r="H772">
        <v>8665000000</v>
      </c>
      <c r="I772">
        <v>492000000</v>
      </c>
      <c r="J772">
        <v>209000000</v>
      </c>
      <c r="K772">
        <v>10954000000</v>
      </c>
      <c r="L772">
        <v>8652000000</v>
      </c>
      <c r="M772">
        <v>22994000000</v>
      </c>
      <c r="N772">
        <v>0</v>
      </c>
      <c r="O772">
        <v>902000000</v>
      </c>
      <c r="P772">
        <v>9818000000</v>
      </c>
      <c r="Q772">
        <v>52550852800</v>
      </c>
      <c r="R772">
        <v>53452852800</v>
      </c>
    </row>
    <row r="773" spans="1:18" x14ac:dyDescent="0.25">
      <c r="A773" s="1" t="s">
        <v>750</v>
      </c>
      <c r="B773">
        <v>45061133760</v>
      </c>
      <c r="C773" t="s">
        <v>78</v>
      </c>
      <c r="D773" t="s">
        <v>127</v>
      </c>
      <c r="E773">
        <v>4184000000</v>
      </c>
      <c r="F773">
        <v>0</v>
      </c>
      <c r="G773">
        <v>4184000000</v>
      </c>
      <c r="H773">
        <v>8665000000</v>
      </c>
      <c r="I773">
        <v>492000000</v>
      </c>
      <c r="J773">
        <v>209000000</v>
      </c>
      <c r="K773">
        <v>10954000000</v>
      </c>
      <c r="L773">
        <v>8652000000</v>
      </c>
      <c r="M773">
        <v>22994000000</v>
      </c>
      <c r="N773">
        <v>0</v>
      </c>
      <c r="O773">
        <v>902000000</v>
      </c>
      <c r="P773">
        <v>9818000000</v>
      </c>
      <c r="Q773">
        <v>52040133760</v>
      </c>
      <c r="R773">
        <v>52942133760</v>
      </c>
    </row>
    <row r="774" spans="1:18" x14ac:dyDescent="0.25">
      <c r="A774" s="1" t="s">
        <v>749</v>
      </c>
      <c r="B774">
        <v>48596880960</v>
      </c>
      <c r="C774" t="s">
        <v>78</v>
      </c>
      <c r="D774" t="s">
        <v>127</v>
      </c>
      <c r="E774">
        <v>4184000000</v>
      </c>
      <c r="F774">
        <v>0</v>
      </c>
      <c r="G774">
        <v>4184000000</v>
      </c>
      <c r="H774">
        <v>8665000000</v>
      </c>
      <c r="I774">
        <v>492000000</v>
      </c>
      <c r="J774">
        <v>209000000</v>
      </c>
      <c r="K774">
        <v>10954000000</v>
      </c>
      <c r="L774">
        <v>8652000000</v>
      </c>
      <c r="M774">
        <v>22994000000</v>
      </c>
      <c r="N774">
        <v>0</v>
      </c>
      <c r="O774">
        <v>902000000</v>
      </c>
      <c r="P774">
        <v>9818000000</v>
      </c>
      <c r="Q774">
        <v>55575880960</v>
      </c>
      <c r="R774">
        <v>56477880960</v>
      </c>
    </row>
    <row r="775" spans="1:18" x14ac:dyDescent="0.25">
      <c r="A775" s="1" t="s">
        <v>748</v>
      </c>
      <c r="B775">
        <v>47437941600</v>
      </c>
      <c r="C775" t="s">
        <v>78</v>
      </c>
      <c r="D775" t="s">
        <v>127</v>
      </c>
      <c r="E775">
        <v>4184000000</v>
      </c>
      <c r="F775">
        <v>0</v>
      </c>
      <c r="G775">
        <v>4184000000</v>
      </c>
      <c r="H775">
        <v>8665000000</v>
      </c>
      <c r="I775">
        <v>492000000</v>
      </c>
      <c r="J775">
        <v>209000000</v>
      </c>
      <c r="K775">
        <v>10954000000</v>
      </c>
      <c r="L775">
        <v>8652000000</v>
      </c>
      <c r="M775">
        <v>22994000000</v>
      </c>
      <c r="N775">
        <v>0</v>
      </c>
      <c r="O775">
        <v>902000000</v>
      </c>
      <c r="P775">
        <v>9818000000</v>
      </c>
      <c r="Q775">
        <v>54416941600</v>
      </c>
      <c r="R775">
        <v>55318941600</v>
      </c>
    </row>
    <row r="776" spans="1:18" x14ac:dyDescent="0.25">
      <c r="A776" s="1" t="s">
        <v>747</v>
      </c>
      <c r="B776">
        <v>48577237920</v>
      </c>
      <c r="C776" t="s">
        <v>78</v>
      </c>
      <c r="D776" t="s">
        <v>127</v>
      </c>
      <c r="E776">
        <v>4184000000</v>
      </c>
      <c r="F776">
        <v>0</v>
      </c>
      <c r="G776">
        <v>4184000000</v>
      </c>
      <c r="H776">
        <v>8665000000</v>
      </c>
      <c r="I776">
        <v>492000000</v>
      </c>
      <c r="J776">
        <v>209000000</v>
      </c>
      <c r="K776">
        <v>10954000000</v>
      </c>
      <c r="L776">
        <v>8652000000</v>
      </c>
      <c r="M776">
        <v>22994000000</v>
      </c>
      <c r="N776">
        <v>0</v>
      </c>
      <c r="O776">
        <v>902000000</v>
      </c>
      <c r="P776">
        <v>9818000000</v>
      </c>
      <c r="Q776">
        <v>55556237920</v>
      </c>
      <c r="R776">
        <v>56458237920</v>
      </c>
    </row>
    <row r="777" spans="1:18" x14ac:dyDescent="0.25">
      <c r="A777" s="1" t="s">
        <v>746</v>
      </c>
      <c r="B777">
        <v>49696891200</v>
      </c>
      <c r="C777" t="s">
        <v>78</v>
      </c>
      <c r="D777" t="s">
        <v>127</v>
      </c>
      <c r="E777">
        <v>4184000000</v>
      </c>
      <c r="F777">
        <v>0</v>
      </c>
      <c r="G777">
        <v>4184000000</v>
      </c>
      <c r="H777">
        <v>8665000000</v>
      </c>
      <c r="I777">
        <v>492000000</v>
      </c>
      <c r="J777">
        <v>209000000</v>
      </c>
      <c r="K777">
        <v>10954000000</v>
      </c>
      <c r="L777">
        <v>8652000000</v>
      </c>
      <c r="M777">
        <v>22994000000</v>
      </c>
      <c r="N777">
        <v>0</v>
      </c>
      <c r="O777">
        <v>902000000</v>
      </c>
      <c r="P777">
        <v>9818000000</v>
      </c>
      <c r="Q777">
        <v>56675891200</v>
      </c>
      <c r="R777">
        <v>57577891200</v>
      </c>
    </row>
    <row r="778" spans="1:18" x14ac:dyDescent="0.25">
      <c r="A778" s="1" t="s">
        <v>745</v>
      </c>
      <c r="B778">
        <v>50737972320</v>
      </c>
      <c r="C778" t="s">
        <v>78</v>
      </c>
      <c r="D778" t="s">
        <v>127</v>
      </c>
      <c r="E778">
        <v>4184000000</v>
      </c>
      <c r="F778">
        <v>0</v>
      </c>
      <c r="G778">
        <v>4184000000</v>
      </c>
      <c r="H778">
        <v>8665000000</v>
      </c>
      <c r="I778">
        <v>492000000</v>
      </c>
      <c r="J778">
        <v>209000000</v>
      </c>
      <c r="K778">
        <v>10954000000</v>
      </c>
      <c r="L778">
        <v>8652000000</v>
      </c>
      <c r="M778">
        <v>22994000000</v>
      </c>
      <c r="N778">
        <v>0</v>
      </c>
      <c r="O778">
        <v>902000000</v>
      </c>
      <c r="P778">
        <v>9818000000</v>
      </c>
      <c r="Q778">
        <v>57716972320</v>
      </c>
      <c r="R778">
        <v>58618972320</v>
      </c>
    </row>
    <row r="779" spans="1:18" x14ac:dyDescent="0.25">
      <c r="A779" s="1" t="s">
        <v>744</v>
      </c>
      <c r="B779">
        <v>49971893760</v>
      </c>
      <c r="C779" t="s">
        <v>78</v>
      </c>
      <c r="D779" t="s">
        <v>127</v>
      </c>
      <c r="E779">
        <v>4184000000</v>
      </c>
      <c r="F779">
        <v>0</v>
      </c>
      <c r="G779">
        <v>4184000000</v>
      </c>
      <c r="H779">
        <v>8665000000</v>
      </c>
      <c r="I779">
        <v>492000000</v>
      </c>
      <c r="J779">
        <v>209000000</v>
      </c>
      <c r="K779">
        <v>10954000000</v>
      </c>
      <c r="L779">
        <v>8652000000</v>
      </c>
      <c r="M779">
        <v>22994000000</v>
      </c>
      <c r="N779">
        <v>0</v>
      </c>
      <c r="O779">
        <v>902000000</v>
      </c>
      <c r="P779">
        <v>9818000000</v>
      </c>
      <c r="Q779">
        <v>56950893760</v>
      </c>
      <c r="R779">
        <v>57852893760</v>
      </c>
    </row>
    <row r="780" spans="1:18" x14ac:dyDescent="0.25">
      <c r="A780" s="1" t="s">
        <v>743</v>
      </c>
      <c r="B780">
        <v>46593290880</v>
      </c>
      <c r="C780" t="s">
        <v>78</v>
      </c>
      <c r="D780" t="s">
        <v>127</v>
      </c>
      <c r="E780">
        <v>4184000000</v>
      </c>
      <c r="F780">
        <v>0</v>
      </c>
      <c r="G780">
        <v>4184000000</v>
      </c>
      <c r="H780">
        <v>8665000000</v>
      </c>
      <c r="I780">
        <v>492000000</v>
      </c>
      <c r="J780">
        <v>209000000</v>
      </c>
      <c r="K780">
        <v>10954000000</v>
      </c>
      <c r="L780">
        <v>8652000000</v>
      </c>
      <c r="M780">
        <v>22994000000</v>
      </c>
      <c r="N780">
        <v>0</v>
      </c>
      <c r="O780">
        <v>902000000</v>
      </c>
      <c r="P780">
        <v>9818000000</v>
      </c>
      <c r="Q780">
        <v>53572290880</v>
      </c>
      <c r="R780">
        <v>54474290880</v>
      </c>
    </row>
    <row r="781" spans="1:18" x14ac:dyDescent="0.25">
      <c r="A781" s="1" t="s">
        <v>742</v>
      </c>
      <c r="B781">
        <v>42370037280</v>
      </c>
      <c r="C781" t="s">
        <v>78</v>
      </c>
      <c r="D781" t="s">
        <v>127</v>
      </c>
      <c r="E781">
        <v>4184000000</v>
      </c>
      <c r="F781">
        <v>0</v>
      </c>
      <c r="G781">
        <v>4184000000</v>
      </c>
      <c r="H781">
        <v>8665000000</v>
      </c>
      <c r="I781">
        <v>492000000</v>
      </c>
      <c r="J781">
        <v>209000000</v>
      </c>
      <c r="K781">
        <v>10954000000</v>
      </c>
      <c r="L781">
        <v>8652000000</v>
      </c>
      <c r="M781">
        <v>22994000000</v>
      </c>
      <c r="N781">
        <v>0</v>
      </c>
      <c r="O781">
        <v>902000000</v>
      </c>
      <c r="P781">
        <v>9818000000</v>
      </c>
      <c r="Q781">
        <v>49349037280</v>
      </c>
      <c r="R781">
        <v>50251037280</v>
      </c>
    </row>
    <row r="782" spans="1:18" x14ac:dyDescent="0.25">
      <c r="A782" s="1" t="s">
        <v>741</v>
      </c>
      <c r="B782">
        <v>41427171360</v>
      </c>
      <c r="C782" t="s">
        <v>78</v>
      </c>
      <c r="D782" t="s">
        <v>127</v>
      </c>
      <c r="E782">
        <v>4184000000</v>
      </c>
      <c r="F782">
        <v>0</v>
      </c>
      <c r="G782">
        <v>4184000000</v>
      </c>
      <c r="H782">
        <v>8665000000</v>
      </c>
      <c r="I782">
        <v>492000000</v>
      </c>
      <c r="J782">
        <v>209000000</v>
      </c>
      <c r="K782">
        <v>10954000000</v>
      </c>
      <c r="L782">
        <v>8652000000</v>
      </c>
      <c r="M782">
        <v>22994000000</v>
      </c>
      <c r="N782">
        <v>0</v>
      </c>
      <c r="O782">
        <v>902000000</v>
      </c>
      <c r="P782">
        <v>9818000000</v>
      </c>
      <c r="Q782">
        <v>48406171360</v>
      </c>
      <c r="R782">
        <v>49308171360</v>
      </c>
    </row>
    <row r="783" spans="1:18" x14ac:dyDescent="0.25">
      <c r="A783" s="1" t="s">
        <v>740</v>
      </c>
      <c r="B783">
        <v>43273617120</v>
      </c>
      <c r="C783" t="s">
        <v>78</v>
      </c>
      <c r="D783" t="s">
        <v>127</v>
      </c>
      <c r="E783">
        <v>4184000000</v>
      </c>
      <c r="F783">
        <v>0</v>
      </c>
      <c r="G783">
        <v>4184000000</v>
      </c>
      <c r="H783">
        <v>8665000000</v>
      </c>
      <c r="I783">
        <v>492000000</v>
      </c>
      <c r="J783">
        <v>209000000</v>
      </c>
      <c r="K783">
        <v>10954000000</v>
      </c>
      <c r="L783">
        <v>8652000000</v>
      </c>
      <c r="M783">
        <v>22994000000</v>
      </c>
      <c r="N783">
        <v>0</v>
      </c>
      <c r="O783">
        <v>902000000</v>
      </c>
      <c r="P783">
        <v>9818000000</v>
      </c>
      <c r="Q783">
        <v>50252617120</v>
      </c>
      <c r="R783">
        <v>51154617120</v>
      </c>
    </row>
    <row r="784" spans="1:18" x14ac:dyDescent="0.25">
      <c r="A784" s="1" t="s">
        <v>739</v>
      </c>
      <c r="B784">
        <v>40209302880</v>
      </c>
      <c r="C784" t="s">
        <v>78</v>
      </c>
      <c r="D784" t="s">
        <v>127</v>
      </c>
      <c r="E784">
        <v>4184000000</v>
      </c>
      <c r="F784">
        <v>0</v>
      </c>
      <c r="G784">
        <v>4184000000</v>
      </c>
      <c r="H784">
        <v>8665000000</v>
      </c>
      <c r="I784">
        <v>492000000</v>
      </c>
      <c r="J784">
        <v>209000000</v>
      </c>
      <c r="K784">
        <v>10954000000</v>
      </c>
      <c r="L784">
        <v>8652000000</v>
      </c>
      <c r="M784">
        <v>22994000000</v>
      </c>
      <c r="N784">
        <v>0</v>
      </c>
      <c r="O784">
        <v>902000000</v>
      </c>
      <c r="P784">
        <v>9818000000</v>
      </c>
      <c r="Q784">
        <v>47188302880</v>
      </c>
      <c r="R784">
        <v>48090302880</v>
      </c>
    </row>
    <row r="785" spans="1:18" x14ac:dyDescent="0.25">
      <c r="A785" s="1" t="s">
        <v>738</v>
      </c>
      <c r="B785">
        <v>42841470240</v>
      </c>
      <c r="C785" t="s">
        <v>78</v>
      </c>
      <c r="D785" t="s">
        <v>127</v>
      </c>
      <c r="E785">
        <v>4184000000</v>
      </c>
      <c r="F785">
        <v>0</v>
      </c>
      <c r="G785">
        <v>4184000000</v>
      </c>
      <c r="H785">
        <v>8665000000</v>
      </c>
      <c r="I785">
        <v>492000000</v>
      </c>
      <c r="J785">
        <v>209000000</v>
      </c>
      <c r="K785">
        <v>10954000000</v>
      </c>
      <c r="L785">
        <v>8652000000</v>
      </c>
      <c r="M785">
        <v>22994000000</v>
      </c>
      <c r="N785">
        <v>0</v>
      </c>
      <c r="O785">
        <v>902000000</v>
      </c>
      <c r="P785">
        <v>9818000000</v>
      </c>
      <c r="Q785">
        <v>49820470240</v>
      </c>
      <c r="R785">
        <v>50722470240</v>
      </c>
    </row>
    <row r="786" spans="1:18" x14ac:dyDescent="0.25">
      <c r="A786" s="1" t="s">
        <v>737</v>
      </c>
      <c r="B786">
        <v>42743255040</v>
      </c>
      <c r="C786" t="s">
        <v>78</v>
      </c>
      <c r="D786" t="s">
        <v>127</v>
      </c>
      <c r="E786">
        <v>4184000000</v>
      </c>
      <c r="F786">
        <v>0</v>
      </c>
      <c r="G786">
        <v>4184000000</v>
      </c>
      <c r="H786">
        <v>8665000000</v>
      </c>
      <c r="I786">
        <v>492000000</v>
      </c>
      <c r="J786">
        <v>209000000</v>
      </c>
      <c r="K786">
        <v>10954000000</v>
      </c>
      <c r="L786">
        <v>8652000000</v>
      </c>
      <c r="M786">
        <v>22994000000</v>
      </c>
      <c r="N786">
        <v>0</v>
      </c>
      <c r="O786">
        <v>902000000</v>
      </c>
      <c r="P786">
        <v>9818000000</v>
      </c>
      <c r="Q786">
        <v>49722255040</v>
      </c>
      <c r="R786">
        <v>50624255040</v>
      </c>
    </row>
    <row r="787" spans="1:18" x14ac:dyDescent="0.25">
      <c r="A787" s="1" t="s">
        <v>736</v>
      </c>
      <c r="B787">
        <v>42232536000</v>
      </c>
      <c r="C787" t="s">
        <v>78</v>
      </c>
      <c r="D787" t="s">
        <v>127</v>
      </c>
      <c r="E787">
        <v>4184000000</v>
      </c>
      <c r="F787">
        <v>0</v>
      </c>
      <c r="G787">
        <v>4184000000</v>
      </c>
      <c r="H787">
        <v>8665000000</v>
      </c>
      <c r="I787">
        <v>492000000</v>
      </c>
      <c r="J787">
        <v>209000000</v>
      </c>
      <c r="K787">
        <v>10954000000</v>
      </c>
      <c r="L787">
        <v>8652000000</v>
      </c>
      <c r="M787">
        <v>22994000000</v>
      </c>
      <c r="N787">
        <v>0</v>
      </c>
      <c r="O787">
        <v>902000000</v>
      </c>
      <c r="P787">
        <v>9818000000</v>
      </c>
      <c r="Q787">
        <v>49211536000</v>
      </c>
      <c r="R787">
        <v>50113536000</v>
      </c>
    </row>
    <row r="788" spans="1:18" x14ac:dyDescent="0.25">
      <c r="A788" s="1" t="s">
        <v>735</v>
      </c>
      <c r="B788">
        <v>43941480480</v>
      </c>
      <c r="C788" t="s">
        <v>78</v>
      </c>
      <c r="D788" t="s">
        <v>127</v>
      </c>
      <c r="E788">
        <v>4184000000</v>
      </c>
      <c r="F788">
        <v>0</v>
      </c>
      <c r="G788">
        <v>4184000000</v>
      </c>
      <c r="H788">
        <v>8665000000</v>
      </c>
      <c r="I788">
        <v>492000000</v>
      </c>
      <c r="J788">
        <v>209000000</v>
      </c>
      <c r="K788">
        <v>10954000000</v>
      </c>
      <c r="L788">
        <v>8652000000</v>
      </c>
      <c r="M788">
        <v>22994000000</v>
      </c>
      <c r="N788">
        <v>0</v>
      </c>
      <c r="O788">
        <v>902000000</v>
      </c>
      <c r="P788">
        <v>9818000000</v>
      </c>
      <c r="Q788">
        <v>50920480480</v>
      </c>
      <c r="R788">
        <v>51822480480</v>
      </c>
    </row>
    <row r="789" spans="1:18" x14ac:dyDescent="0.25">
      <c r="A789" s="1" t="s">
        <v>734</v>
      </c>
      <c r="B789">
        <v>45237921120</v>
      </c>
      <c r="C789" t="s">
        <v>78</v>
      </c>
      <c r="D789" t="s">
        <v>127</v>
      </c>
      <c r="E789">
        <v>4184000000</v>
      </c>
      <c r="F789">
        <v>0</v>
      </c>
      <c r="G789">
        <v>4184000000</v>
      </c>
      <c r="H789">
        <v>8665000000</v>
      </c>
      <c r="I789">
        <v>492000000</v>
      </c>
      <c r="J789">
        <v>209000000</v>
      </c>
      <c r="K789">
        <v>10954000000</v>
      </c>
      <c r="L789">
        <v>8652000000</v>
      </c>
      <c r="M789">
        <v>22994000000</v>
      </c>
      <c r="N789">
        <v>0</v>
      </c>
      <c r="O789">
        <v>902000000</v>
      </c>
      <c r="P789">
        <v>9818000000</v>
      </c>
      <c r="Q789">
        <v>52216921120</v>
      </c>
      <c r="R789">
        <v>53118921120</v>
      </c>
    </row>
    <row r="790" spans="1:18" x14ac:dyDescent="0.25">
      <c r="A790" s="1" t="s">
        <v>733</v>
      </c>
      <c r="B790">
        <v>44903989440</v>
      </c>
      <c r="C790" t="s">
        <v>78</v>
      </c>
      <c r="D790" t="s">
        <v>127</v>
      </c>
      <c r="E790">
        <v>4184000000</v>
      </c>
      <c r="F790">
        <v>0</v>
      </c>
      <c r="G790">
        <v>4184000000</v>
      </c>
      <c r="H790">
        <v>8665000000</v>
      </c>
      <c r="I790">
        <v>492000000</v>
      </c>
      <c r="J790">
        <v>209000000</v>
      </c>
      <c r="K790">
        <v>10954000000</v>
      </c>
      <c r="L790">
        <v>8652000000</v>
      </c>
      <c r="M790">
        <v>22994000000</v>
      </c>
      <c r="N790">
        <v>0</v>
      </c>
      <c r="O790">
        <v>902000000</v>
      </c>
      <c r="P790">
        <v>9818000000</v>
      </c>
      <c r="Q790">
        <v>51882989440</v>
      </c>
      <c r="R790">
        <v>52784989440</v>
      </c>
    </row>
    <row r="791" spans="1:18" x14ac:dyDescent="0.25">
      <c r="A791" s="1" t="s">
        <v>732</v>
      </c>
      <c r="B791">
        <v>43371832320</v>
      </c>
      <c r="C791" t="s">
        <v>78</v>
      </c>
      <c r="D791" t="s">
        <v>127</v>
      </c>
      <c r="E791">
        <v>4184000000</v>
      </c>
      <c r="F791">
        <v>0</v>
      </c>
      <c r="G791">
        <v>4184000000</v>
      </c>
      <c r="H791">
        <v>8665000000</v>
      </c>
      <c r="I791">
        <v>492000000</v>
      </c>
      <c r="J791">
        <v>209000000</v>
      </c>
      <c r="K791">
        <v>10954000000</v>
      </c>
      <c r="L791">
        <v>8652000000</v>
      </c>
      <c r="M791">
        <v>22994000000</v>
      </c>
      <c r="N791">
        <v>0</v>
      </c>
      <c r="O791">
        <v>902000000</v>
      </c>
      <c r="P791">
        <v>9818000000</v>
      </c>
      <c r="Q791">
        <v>50350832320</v>
      </c>
      <c r="R791">
        <v>51252832320</v>
      </c>
    </row>
    <row r="792" spans="1:18" x14ac:dyDescent="0.25">
      <c r="A792" s="1" t="s">
        <v>731</v>
      </c>
      <c r="B792">
        <v>42173606880</v>
      </c>
      <c r="C792" t="s">
        <v>78</v>
      </c>
      <c r="D792" t="s">
        <v>127</v>
      </c>
      <c r="E792">
        <v>4184000000</v>
      </c>
      <c r="F792">
        <v>0</v>
      </c>
      <c r="G792">
        <v>4184000000</v>
      </c>
      <c r="H792">
        <v>8665000000</v>
      </c>
      <c r="I792">
        <v>492000000</v>
      </c>
      <c r="J792">
        <v>209000000</v>
      </c>
      <c r="K792">
        <v>10954000000</v>
      </c>
      <c r="L792">
        <v>8652000000</v>
      </c>
      <c r="M792">
        <v>22994000000</v>
      </c>
      <c r="N792">
        <v>0</v>
      </c>
      <c r="O792">
        <v>902000000</v>
      </c>
      <c r="P792">
        <v>9818000000</v>
      </c>
      <c r="Q792">
        <v>49152606880</v>
      </c>
      <c r="R792">
        <v>50054606880</v>
      </c>
    </row>
    <row r="793" spans="1:18" x14ac:dyDescent="0.25">
      <c r="A793" s="1" t="s">
        <v>77</v>
      </c>
      <c r="B793">
        <v>40450426222</v>
      </c>
      <c r="C793" t="s">
        <v>78</v>
      </c>
      <c r="D793" t="s">
        <v>127</v>
      </c>
      <c r="E793">
        <v>4184000000</v>
      </c>
      <c r="F793">
        <v>0</v>
      </c>
      <c r="G793">
        <v>4184000000</v>
      </c>
      <c r="H793">
        <v>8665000000</v>
      </c>
      <c r="I793">
        <v>492000000</v>
      </c>
      <c r="J793">
        <v>209000000</v>
      </c>
      <c r="K793">
        <v>10954000000</v>
      </c>
      <c r="L793">
        <v>8652000000</v>
      </c>
      <c r="M793">
        <v>22994000000</v>
      </c>
      <c r="N793">
        <v>0</v>
      </c>
      <c r="O793">
        <v>902000000</v>
      </c>
      <c r="P793">
        <v>9818000000</v>
      </c>
      <c r="Q793">
        <v>47429426222</v>
      </c>
      <c r="R793">
        <v>48331426222</v>
      </c>
    </row>
    <row r="794" spans="1:18" x14ac:dyDescent="0.25">
      <c r="A794" s="1" t="s">
        <v>730</v>
      </c>
      <c r="B794">
        <v>42190229501</v>
      </c>
      <c r="C794" t="s">
        <v>78</v>
      </c>
      <c r="D794" t="s">
        <v>127</v>
      </c>
      <c r="E794">
        <v>4184000000</v>
      </c>
      <c r="F794">
        <v>0</v>
      </c>
      <c r="G794">
        <v>4184000000</v>
      </c>
      <c r="H794">
        <v>8665000000</v>
      </c>
      <c r="I794">
        <v>492000000</v>
      </c>
      <c r="J794">
        <v>209000000</v>
      </c>
      <c r="K794">
        <v>10954000000</v>
      </c>
      <c r="L794">
        <v>8652000000</v>
      </c>
      <c r="M794">
        <v>22994000000</v>
      </c>
      <c r="N794">
        <v>0</v>
      </c>
      <c r="O794">
        <v>902000000</v>
      </c>
      <c r="P794">
        <v>9818000000</v>
      </c>
      <c r="Q794">
        <v>49169229501</v>
      </c>
      <c r="R794">
        <v>50071229501</v>
      </c>
    </row>
    <row r="795" spans="1:18" x14ac:dyDescent="0.25">
      <c r="A795" s="1" t="s">
        <v>729</v>
      </c>
      <c r="B795">
        <v>44523147533</v>
      </c>
      <c r="C795" t="s">
        <v>78</v>
      </c>
      <c r="D795" t="s">
        <v>127</v>
      </c>
      <c r="E795">
        <v>4184000000</v>
      </c>
      <c r="F795">
        <v>0</v>
      </c>
      <c r="G795">
        <v>4184000000</v>
      </c>
      <c r="H795">
        <v>8665000000</v>
      </c>
      <c r="I795">
        <v>492000000</v>
      </c>
      <c r="J795">
        <v>209000000</v>
      </c>
      <c r="K795">
        <v>10954000000</v>
      </c>
      <c r="L795">
        <v>8652000000</v>
      </c>
      <c r="M795">
        <v>22994000000</v>
      </c>
      <c r="N795">
        <v>0</v>
      </c>
      <c r="O795">
        <v>902000000</v>
      </c>
      <c r="P795">
        <v>9818000000</v>
      </c>
      <c r="Q795">
        <v>51502147533</v>
      </c>
      <c r="R795">
        <v>52404147533</v>
      </c>
    </row>
    <row r="796" spans="1:18" x14ac:dyDescent="0.25">
      <c r="A796" s="1" t="s">
        <v>728</v>
      </c>
      <c r="B796">
        <v>42506557370</v>
      </c>
      <c r="C796" t="s">
        <v>78</v>
      </c>
      <c r="D796" t="s">
        <v>127</v>
      </c>
      <c r="E796">
        <v>4184000000</v>
      </c>
      <c r="F796">
        <v>0</v>
      </c>
      <c r="G796">
        <v>4184000000</v>
      </c>
      <c r="H796">
        <v>8665000000</v>
      </c>
      <c r="I796">
        <v>492000000</v>
      </c>
      <c r="J796">
        <v>209000000</v>
      </c>
      <c r="K796">
        <v>10954000000</v>
      </c>
      <c r="L796">
        <v>8652000000</v>
      </c>
      <c r="M796">
        <v>22994000000</v>
      </c>
      <c r="N796">
        <v>0</v>
      </c>
      <c r="O796">
        <v>902000000</v>
      </c>
      <c r="P796">
        <v>9818000000</v>
      </c>
      <c r="Q796">
        <v>49485557370</v>
      </c>
      <c r="R796">
        <v>50387557370</v>
      </c>
    </row>
    <row r="797" spans="1:18" x14ac:dyDescent="0.25">
      <c r="A797" s="1" t="s">
        <v>727</v>
      </c>
      <c r="B797">
        <v>44958098353</v>
      </c>
      <c r="C797" t="s">
        <v>78</v>
      </c>
      <c r="D797" t="s">
        <v>127</v>
      </c>
      <c r="E797">
        <v>4184000000</v>
      </c>
      <c r="F797">
        <v>0</v>
      </c>
      <c r="G797">
        <v>4184000000</v>
      </c>
      <c r="H797">
        <v>8665000000</v>
      </c>
      <c r="I797">
        <v>492000000</v>
      </c>
      <c r="J797">
        <v>209000000</v>
      </c>
      <c r="K797">
        <v>10954000000</v>
      </c>
      <c r="L797">
        <v>8652000000</v>
      </c>
      <c r="M797">
        <v>22994000000</v>
      </c>
      <c r="N797">
        <v>0</v>
      </c>
      <c r="O797">
        <v>902000000</v>
      </c>
      <c r="P797">
        <v>9818000000</v>
      </c>
      <c r="Q797">
        <v>51937098353</v>
      </c>
      <c r="R797">
        <v>52839098353</v>
      </c>
    </row>
    <row r="798" spans="1:18" x14ac:dyDescent="0.25">
      <c r="A798" s="1" t="s">
        <v>726</v>
      </c>
      <c r="B798">
        <v>44167278681</v>
      </c>
      <c r="C798" t="s">
        <v>78</v>
      </c>
      <c r="D798" t="s">
        <v>127</v>
      </c>
      <c r="E798">
        <v>4184000000</v>
      </c>
      <c r="F798">
        <v>0</v>
      </c>
      <c r="G798">
        <v>4184000000</v>
      </c>
      <c r="H798">
        <v>8665000000</v>
      </c>
      <c r="I798">
        <v>492000000</v>
      </c>
      <c r="J798">
        <v>209000000</v>
      </c>
      <c r="K798">
        <v>10954000000</v>
      </c>
      <c r="L798">
        <v>8652000000</v>
      </c>
      <c r="M798">
        <v>22994000000</v>
      </c>
      <c r="N798">
        <v>0</v>
      </c>
      <c r="O798">
        <v>902000000</v>
      </c>
      <c r="P798">
        <v>9818000000</v>
      </c>
      <c r="Q798">
        <v>51146278681</v>
      </c>
      <c r="R798">
        <v>52048278681</v>
      </c>
    </row>
    <row r="799" spans="1:18" x14ac:dyDescent="0.25">
      <c r="A799" s="1" t="s">
        <v>725</v>
      </c>
      <c r="B799">
        <v>41893672124</v>
      </c>
      <c r="C799" t="s">
        <v>78</v>
      </c>
      <c r="D799" t="s">
        <v>127</v>
      </c>
      <c r="E799">
        <v>4184000000</v>
      </c>
      <c r="F799">
        <v>0</v>
      </c>
      <c r="G799">
        <v>4184000000</v>
      </c>
      <c r="H799">
        <v>8665000000</v>
      </c>
      <c r="I799">
        <v>492000000</v>
      </c>
      <c r="J799">
        <v>209000000</v>
      </c>
      <c r="K799">
        <v>10954000000</v>
      </c>
      <c r="L799">
        <v>8652000000</v>
      </c>
      <c r="M799">
        <v>22994000000</v>
      </c>
      <c r="N799">
        <v>0</v>
      </c>
      <c r="O799">
        <v>902000000</v>
      </c>
      <c r="P799">
        <v>9818000000</v>
      </c>
      <c r="Q799">
        <v>48872672124</v>
      </c>
      <c r="R799">
        <v>49774672124</v>
      </c>
    </row>
    <row r="800" spans="1:18" x14ac:dyDescent="0.25">
      <c r="A800" s="1" t="s">
        <v>724</v>
      </c>
      <c r="B800">
        <v>42644950812</v>
      </c>
      <c r="C800" t="s">
        <v>78</v>
      </c>
      <c r="D800" t="s">
        <v>127</v>
      </c>
      <c r="E800">
        <v>4184000000</v>
      </c>
      <c r="F800">
        <v>0</v>
      </c>
      <c r="G800">
        <v>4184000000</v>
      </c>
      <c r="H800">
        <v>8665000000</v>
      </c>
      <c r="I800">
        <v>492000000</v>
      </c>
      <c r="J800">
        <v>209000000</v>
      </c>
      <c r="K800">
        <v>10954000000</v>
      </c>
      <c r="L800">
        <v>8652000000</v>
      </c>
      <c r="M800">
        <v>22994000000</v>
      </c>
      <c r="N800">
        <v>0</v>
      </c>
      <c r="O800">
        <v>902000000</v>
      </c>
      <c r="P800">
        <v>9818000000</v>
      </c>
      <c r="Q800">
        <v>49623950812</v>
      </c>
      <c r="R800">
        <v>50525950812</v>
      </c>
    </row>
    <row r="801" spans="1:18" x14ac:dyDescent="0.25">
      <c r="A801" s="1" t="s">
        <v>723</v>
      </c>
      <c r="B801">
        <v>42506557370</v>
      </c>
      <c r="C801" t="s">
        <v>78</v>
      </c>
      <c r="D801" t="s">
        <v>127</v>
      </c>
      <c r="E801">
        <v>4184000000</v>
      </c>
      <c r="F801">
        <v>0</v>
      </c>
      <c r="G801">
        <v>4184000000</v>
      </c>
      <c r="H801">
        <v>8665000000</v>
      </c>
      <c r="I801">
        <v>492000000</v>
      </c>
      <c r="J801">
        <v>209000000</v>
      </c>
      <c r="K801">
        <v>10954000000</v>
      </c>
      <c r="L801">
        <v>8652000000</v>
      </c>
      <c r="M801">
        <v>22994000000</v>
      </c>
      <c r="N801">
        <v>0</v>
      </c>
      <c r="O801">
        <v>902000000</v>
      </c>
      <c r="P801">
        <v>9818000000</v>
      </c>
      <c r="Q801">
        <v>49485557370</v>
      </c>
      <c r="R801">
        <v>50387557370</v>
      </c>
    </row>
    <row r="802" spans="1:18" x14ac:dyDescent="0.25">
      <c r="A802" s="1" t="s">
        <v>722</v>
      </c>
      <c r="B802">
        <v>40826065567</v>
      </c>
      <c r="C802" t="s">
        <v>78</v>
      </c>
      <c r="D802" t="s">
        <v>127</v>
      </c>
      <c r="E802">
        <v>4184000000</v>
      </c>
      <c r="F802">
        <v>0</v>
      </c>
      <c r="G802">
        <v>4184000000</v>
      </c>
      <c r="H802">
        <v>8665000000</v>
      </c>
      <c r="I802">
        <v>492000000</v>
      </c>
      <c r="J802">
        <v>209000000</v>
      </c>
      <c r="K802">
        <v>10954000000</v>
      </c>
      <c r="L802">
        <v>8652000000</v>
      </c>
      <c r="M802">
        <v>22994000000</v>
      </c>
      <c r="N802">
        <v>0</v>
      </c>
      <c r="O802">
        <v>902000000</v>
      </c>
      <c r="P802">
        <v>9818000000</v>
      </c>
      <c r="Q802">
        <v>47805065567</v>
      </c>
      <c r="R802">
        <v>48707065567</v>
      </c>
    </row>
    <row r="803" spans="1:18" x14ac:dyDescent="0.25">
      <c r="A803" s="1" t="s">
        <v>721</v>
      </c>
      <c r="B803">
        <v>42842655730</v>
      </c>
      <c r="C803" t="s">
        <v>78</v>
      </c>
      <c r="D803" t="s">
        <v>127</v>
      </c>
      <c r="E803">
        <v>4184000000</v>
      </c>
      <c r="F803">
        <v>0</v>
      </c>
      <c r="G803">
        <v>4184000000</v>
      </c>
      <c r="H803">
        <v>8665000000</v>
      </c>
      <c r="I803">
        <v>492000000</v>
      </c>
      <c r="J803">
        <v>209000000</v>
      </c>
      <c r="K803">
        <v>10954000000</v>
      </c>
      <c r="L803">
        <v>8652000000</v>
      </c>
      <c r="M803">
        <v>22994000000</v>
      </c>
      <c r="N803">
        <v>0</v>
      </c>
      <c r="O803">
        <v>902000000</v>
      </c>
      <c r="P803">
        <v>9818000000</v>
      </c>
      <c r="Q803">
        <v>49821655730</v>
      </c>
      <c r="R803">
        <v>50723655730</v>
      </c>
    </row>
    <row r="804" spans="1:18" x14ac:dyDescent="0.25">
      <c r="A804" s="1" t="s">
        <v>720</v>
      </c>
      <c r="B804">
        <v>44641770484</v>
      </c>
      <c r="C804" t="s">
        <v>78</v>
      </c>
      <c r="D804" t="s">
        <v>127</v>
      </c>
      <c r="E804">
        <v>4184000000</v>
      </c>
      <c r="F804">
        <v>0</v>
      </c>
      <c r="G804">
        <v>4184000000</v>
      </c>
      <c r="H804">
        <v>8665000000</v>
      </c>
      <c r="I804">
        <v>492000000</v>
      </c>
      <c r="J804">
        <v>209000000</v>
      </c>
      <c r="K804">
        <v>10954000000</v>
      </c>
      <c r="L804">
        <v>8652000000</v>
      </c>
      <c r="M804">
        <v>22994000000</v>
      </c>
      <c r="N804">
        <v>0</v>
      </c>
      <c r="O804">
        <v>902000000</v>
      </c>
      <c r="P804">
        <v>9818000000</v>
      </c>
      <c r="Q804">
        <v>51620770484</v>
      </c>
      <c r="R804">
        <v>52522770484</v>
      </c>
    </row>
    <row r="805" spans="1:18" x14ac:dyDescent="0.25">
      <c r="A805" s="1" t="s">
        <v>719</v>
      </c>
      <c r="B805">
        <v>44819704910</v>
      </c>
      <c r="C805" t="s">
        <v>78</v>
      </c>
      <c r="D805" t="s">
        <v>127</v>
      </c>
      <c r="E805">
        <v>4184000000</v>
      </c>
      <c r="F805">
        <v>0</v>
      </c>
      <c r="G805">
        <v>4184000000</v>
      </c>
      <c r="H805">
        <v>8665000000</v>
      </c>
      <c r="I805">
        <v>492000000</v>
      </c>
      <c r="J805">
        <v>209000000</v>
      </c>
      <c r="K805">
        <v>10954000000</v>
      </c>
      <c r="L805">
        <v>8652000000</v>
      </c>
      <c r="M805">
        <v>22994000000</v>
      </c>
      <c r="N805">
        <v>0</v>
      </c>
      <c r="O805">
        <v>902000000</v>
      </c>
      <c r="P805">
        <v>9818000000</v>
      </c>
      <c r="Q805">
        <v>51798704910</v>
      </c>
      <c r="R805">
        <v>52700704910</v>
      </c>
    </row>
    <row r="806" spans="1:18" x14ac:dyDescent="0.25">
      <c r="A806" s="1" t="s">
        <v>718</v>
      </c>
      <c r="B806">
        <v>47686426221</v>
      </c>
      <c r="C806" t="s">
        <v>78</v>
      </c>
      <c r="D806" t="s">
        <v>127</v>
      </c>
      <c r="E806">
        <v>4184000000</v>
      </c>
      <c r="F806">
        <v>0</v>
      </c>
      <c r="G806">
        <v>4184000000</v>
      </c>
      <c r="H806">
        <v>8665000000</v>
      </c>
      <c r="I806">
        <v>492000000</v>
      </c>
      <c r="J806">
        <v>209000000</v>
      </c>
      <c r="K806">
        <v>10954000000</v>
      </c>
      <c r="L806">
        <v>8652000000</v>
      </c>
      <c r="M806">
        <v>22994000000</v>
      </c>
      <c r="N806">
        <v>0</v>
      </c>
      <c r="O806">
        <v>902000000</v>
      </c>
      <c r="P806">
        <v>9818000000</v>
      </c>
      <c r="Q806">
        <v>54665426221</v>
      </c>
      <c r="R806">
        <v>55567426221</v>
      </c>
    </row>
    <row r="807" spans="1:18" x14ac:dyDescent="0.25">
      <c r="A807" s="1" t="s">
        <v>717</v>
      </c>
      <c r="B807">
        <v>47903901631</v>
      </c>
      <c r="C807" t="s">
        <v>78</v>
      </c>
      <c r="D807" t="s">
        <v>127</v>
      </c>
      <c r="E807">
        <v>4184000000</v>
      </c>
      <c r="F807">
        <v>0</v>
      </c>
      <c r="G807">
        <v>4184000000</v>
      </c>
      <c r="H807">
        <v>8665000000</v>
      </c>
      <c r="I807">
        <v>492000000</v>
      </c>
      <c r="J807">
        <v>209000000</v>
      </c>
      <c r="K807">
        <v>10954000000</v>
      </c>
      <c r="L807">
        <v>8652000000</v>
      </c>
      <c r="M807">
        <v>22994000000</v>
      </c>
      <c r="N807">
        <v>0</v>
      </c>
      <c r="O807">
        <v>902000000</v>
      </c>
      <c r="P807">
        <v>9818000000</v>
      </c>
      <c r="Q807">
        <v>54882901631</v>
      </c>
      <c r="R807">
        <v>55784901631</v>
      </c>
    </row>
    <row r="808" spans="1:18" x14ac:dyDescent="0.25">
      <c r="A808" s="1" t="s">
        <v>716</v>
      </c>
      <c r="B808">
        <v>46065245894</v>
      </c>
      <c r="C808" t="s">
        <v>78</v>
      </c>
      <c r="D808" t="s">
        <v>127</v>
      </c>
      <c r="E808">
        <v>4184000000</v>
      </c>
      <c r="F808">
        <v>0</v>
      </c>
      <c r="G808">
        <v>4184000000</v>
      </c>
      <c r="H808">
        <v>8665000000</v>
      </c>
      <c r="I808">
        <v>492000000</v>
      </c>
      <c r="J808">
        <v>209000000</v>
      </c>
      <c r="K808">
        <v>10954000000</v>
      </c>
      <c r="L808">
        <v>8652000000</v>
      </c>
      <c r="M808">
        <v>22994000000</v>
      </c>
      <c r="N808">
        <v>0</v>
      </c>
      <c r="O808">
        <v>902000000</v>
      </c>
      <c r="P808">
        <v>9818000000</v>
      </c>
      <c r="Q808">
        <v>53044245894</v>
      </c>
      <c r="R808">
        <v>53946245894</v>
      </c>
    </row>
    <row r="809" spans="1:18" x14ac:dyDescent="0.25">
      <c r="A809" s="1" t="s">
        <v>715</v>
      </c>
      <c r="B809">
        <v>46164098353</v>
      </c>
      <c r="C809" t="s">
        <v>78</v>
      </c>
      <c r="D809" t="s">
        <v>127</v>
      </c>
      <c r="E809">
        <v>4184000000</v>
      </c>
      <c r="F809">
        <v>0</v>
      </c>
      <c r="G809">
        <v>4184000000</v>
      </c>
      <c r="H809">
        <v>8665000000</v>
      </c>
      <c r="I809">
        <v>492000000</v>
      </c>
      <c r="J809">
        <v>209000000</v>
      </c>
      <c r="K809">
        <v>10954000000</v>
      </c>
      <c r="L809">
        <v>8652000000</v>
      </c>
      <c r="M809">
        <v>22994000000</v>
      </c>
      <c r="N809">
        <v>0</v>
      </c>
      <c r="O809">
        <v>902000000</v>
      </c>
      <c r="P809">
        <v>9818000000</v>
      </c>
      <c r="Q809">
        <v>53143098353</v>
      </c>
      <c r="R809">
        <v>54045098353</v>
      </c>
    </row>
    <row r="810" spans="1:18" x14ac:dyDescent="0.25">
      <c r="A810" s="1" t="s">
        <v>714</v>
      </c>
      <c r="B810">
        <v>44582459009</v>
      </c>
      <c r="C810" t="s">
        <v>78</v>
      </c>
      <c r="D810" t="s">
        <v>127</v>
      </c>
      <c r="E810">
        <v>4184000000</v>
      </c>
      <c r="F810">
        <v>0</v>
      </c>
      <c r="G810">
        <v>4184000000</v>
      </c>
      <c r="H810">
        <v>8665000000</v>
      </c>
      <c r="I810">
        <v>492000000</v>
      </c>
      <c r="J810">
        <v>209000000</v>
      </c>
      <c r="K810">
        <v>10954000000</v>
      </c>
      <c r="L810">
        <v>8652000000</v>
      </c>
      <c r="M810">
        <v>22994000000</v>
      </c>
      <c r="N810">
        <v>0</v>
      </c>
      <c r="O810">
        <v>902000000</v>
      </c>
      <c r="P810">
        <v>9818000000</v>
      </c>
      <c r="Q810">
        <v>51561459009</v>
      </c>
      <c r="R810">
        <v>52463459009</v>
      </c>
    </row>
    <row r="811" spans="1:18" x14ac:dyDescent="0.25">
      <c r="A811" s="1" t="s">
        <v>713</v>
      </c>
      <c r="B811">
        <v>45650065566</v>
      </c>
      <c r="C811" t="s">
        <v>78</v>
      </c>
      <c r="D811" t="s">
        <v>127</v>
      </c>
      <c r="E811">
        <v>4184000000</v>
      </c>
      <c r="F811">
        <v>0</v>
      </c>
      <c r="G811">
        <v>4184000000</v>
      </c>
      <c r="H811">
        <v>8665000000</v>
      </c>
      <c r="I811">
        <v>492000000</v>
      </c>
      <c r="J811">
        <v>209000000</v>
      </c>
      <c r="K811">
        <v>10954000000</v>
      </c>
      <c r="L811">
        <v>8652000000</v>
      </c>
      <c r="M811">
        <v>22994000000</v>
      </c>
      <c r="N811">
        <v>0</v>
      </c>
      <c r="O811">
        <v>902000000</v>
      </c>
      <c r="P811">
        <v>9818000000</v>
      </c>
      <c r="Q811">
        <v>52629065566</v>
      </c>
      <c r="R811">
        <v>53531065566</v>
      </c>
    </row>
    <row r="812" spans="1:18" x14ac:dyDescent="0.25">
      <c r="A812" s="1" t="s">
        <v>712</v>
      </c>
      <c r="B812">
        <v>46085016385</v>
      </c>
      <c r="C812" t="s">
        <v>78</v>
      </c>
      <c r="D812" t="s">
        <v>127</v>
      </c>
      <c r="E812">
        <v>4184000000</v>
      </c>
      <c r="F812">
        <v>0</v>
      </c>
      <c r="G812">
        <v>4184000000</v>
      </c>
      <c r="H812">
        <v>8665000000</v>
      </c>
      <c r="I812">
        <v>492000000</v>
      </c>
      <c r="J812">
        <v>209000000</v>
      </c>
      <c r="K812">
        <v>10954000000</v>
      </c>
      <c r="L812">
        <v>8652000000</v>
      </c>
      <c r="M812">
        <v>22994000000</v>
      </c>
      <c r="N812">
        <v>0</v>
      </c>
      <c r="O812">
        <v>902000000</v>
      </c>
      <c r="P812">
        <v>9818000000</v>
      </c>
      <c r="Q812">
        <v>53064016385</v>
      </c>
      <c r="R812">
        <v>53966016385</v>
      </c>
    </row>
    <row r="813" spans="1:18" x14ac:dyDescent="0.25">
      <c r="A813" s="1" t="s">
        <v>711</v>
      </c>
      <c r="B813">
        <v>46361803271</v>
      </c>
      <c r="C813" t="s">
        <v>78</v>
      </c>
      <c r="D813" t="s">
        <v>127</v>
      </c>
      <c r="E813">
        <v>4184000000</v>
      </c>
      <c r="F813">
        <v>0</v>
      </c>
      <c r="G813">
        <v>4184000000</v>
      </c>
      <c r="H813">
        <v>8665000000</v>
      </c>
      <c r="I813">
        <v>492000000</v>
      </c>
      <c r="J813">
        <v>209000000</v>
      </c>
      <c r="K813">
        <v>10954000000</v>
      </c>
      <c r="L813">
        <v>8652000000</v>
      </c>
      <c r="M813">
        <v>22994000000</v>
      </c>
      <c r="N813">
        <v>0</v>
      </c>
      <c r="O813">
        <v>902000000</v>
      </c>
      <c r="P813">
        <v>9818000000</v>
      </c>
      <c r="Q813">
        <v>53340803271</v>
      </c>
      <c r="R813">
        <v>54242803271</v>
      </c>
    </row>
    <row r="814" spans="1:18" x14ac:dyDescent="0.25">
      <c r="A814" s="1" t="s">
        <v>710</v>
      </c>
      <c r="B814">
        <v>48635409828</v>
      </c>
      <c r="C814" t="s">
        <v>78</v>
      </c>
      <c r="D814" t="s">
        <v>127</v>
      </c>
      <c r="E814">
        <v>4184000000</v>
      </c>
      <c r="F814">
        <v>0</v>
      </c>
      <c r="G814">
        <v>4184000000</v>
      </c>
      <c r="H814">
        <v>8665000000</v>
      </c>
      <c r="I814">
        <v>492000000</v>
      </c>
      <c r="J814">
        <v>209000000</v>
      </c>
      <c r="K814">
        <v>10954000000</v>
      </c>
      <c r="L814">
        <v>8652000000</v>
      </c>
      <c r="M814">
        <v>22994000000</v>
      </c>
      <c r="N814">
        <v>0</v>
      </c>
      <c r="O814">
        <v>902000000</v>
      </c>
      <c r="P814">
        <v>9818000000</v>
      </c>
      <c r="Q814">
        <v>55614409828</v>
      </c>
      <c r="R814">
        <v>56516409828</v>
      </c>
    </row>
    <row r="815" spans="1:18" x14ac:dyDescent="0.25">
      <c r="A815" s="1" t="s">
        <v>125</v>
      </c>
      <c r="B815">
        <v>57828688515</v>
      </c>
      <c r="C815" t="s">
        <v>77</v>
      </c>
      <c r="D815" t="s">
        <v>105</v>
      </c>
      <c r="E815">
        <v>4397000000</v>
      </c>
      <c r="F815">
        <v>0</v>
      </c>
      <c r="G815">
        <v>4397000000</v>
      </c>
      <c r="H815">
        <v>8751000000</v>
      </c>
      <c r="I815">
        <v>504000000</v>
      </c>
      <c r="J815">
        <v>215000000</v>
      </c>
      <c r="K815">
        <v>10982000000</v>
      </c>
      <c r="L815">
        <v>8945000000</v>
      </c>
      <c r="M815">
        <v>23451000000</v>
      </c>
      <c r="N815">
        <v>0</v>
      </c>
      <c r="O815">
        <v>902000000</v>
      </c>
      <c r="P815">
        <v>7563000000</v>
      </c>
      <c r="Q815">
        <v>64628688515</v>
      </c>
      <c r="R815">
        <v>65530688515</v>
      </c>
    </row>
    <row r="816" spans="1:18" x14ac:dyDescent="0.25">
      <c r="A816" s="1" t="s">
        <v>709</v>
      </c>
      <c r="B816">
        <v>59687114744</v>
      </c>
      <c r="C816" t="s">
        <v>77</v>
      </c>
      <c r="D816" t="s">
        <v>105</v>
      </c>
      <c r="E816">
        <v>4397000000</v>
      </c>
      <c r="F816">
        <v>0</v>
      </c>
      <c r="G816">
        <v>4397000000</v>
      </c>
      <c r="H816">
        <v>8751000000</v>
      </c>
      <c r="I816">
        <v>504000000</v>
      </c>
      <c r="J816">
        <v>215000000</v>
      </c>
      <c r="K816">
        <v>10982000000</v>
      </c>
      <c r="L816">
        <v>8945000000</v>
      </c>
      <c r="M816">
        <v>23451000000</v>
      </c>
      <c r="N816">
        <v>0</v>
      </c>
      <c r="O816">
        <v>902000000</v>
      </c>
      <c r="P816">
        <v>7563000000</v>
      </c>
      <c r="Q816">
        <v>66487114744</v>
      </c>
      <c r="R816">
        <v>67389114744</v>
      </c>
    </row>
    <row r="817" spans="1:18" x14ac:dyDescent="0.25">
      <c r="A817" s="1" t="s">
        <v>708</v>
      </c>
      <c r="B817">
        <v>62969016383</v>
      </c>
      <c r="C817" t="s">
        <v>77</v>
      </c>
      <c r="D817" t="s">
        <v>105</v>
      </c>
      <c r="E817">
        <v>4397000000</v>
      </c>
      <c r="F817">
        <v>0</v>
      </c>
      <c r="G817">
        <v>4397000000</v>
      </c>
      <c r="H817">
        <v>8751000000</v>
      </c>
      <c r="I817">
        <v>504000000</v>
      </c>
      <c r="J817">
        <v>215000000</v>
      </c>
      <c r="K817">
        <v>10982000000</v>
      </c>
      <c r="L817">
        <v>8945000000</v>
      </c>
      <c r="M817">
        <v>23451000000</v>
      </c>
      <c r="N817">
        <v>0</v>
      </c>
      <c r="O817">
        <v>902000000</v>
      </c>
      <c r="P817">
        <v>7563000000</v>
      </c>
      <c r="Q817">
        <v>69769016383</v>
      </c>
      <c r="R817">
        <v>70671016383</v>
      </c>
    </row>
    <row r="818" spans="1:18" x14ac:dyDescent="0.25">
      <c r="A818" s="1" t="s">
        <v>707</v>
      </c>
      <c r="B818">
        <v>63285344251</v>
      </c>
      <c r="C818" t="s">
        <v>77</v>
      </c>
      <c r="D818" t="s">
        <v>105</v>
      </c>
      <c r="E818">
        <v>4397000000</v>
      </c>
      <c r="F818">
        <v>0</v>
      </c>
      <c r="G818">
        <v>4397000000</v>
      </c>
      <c r="H818">
        <v>8751000000</v>
      </c>
      <c r="I818">
        <v>504000000</v>
      </c>
      <c r="J818">
        <v>215000000</v>
      </c>
      <c r="K818">
        <v>10982000000</v>
      </c>
      <c r="L818">
        <v>8945000000</v>
      </c>
      <c r="M818">
        <v>23451000000</v>
      </c>
      <c r="N818">
        <v>0</v>
      </c>
      <c r="O818">
        <v>902000000</v>
      </c>
      <c r="P818">
        <v>7563000000</v>
      </c>
      <c r="Q818">
        <v>70085344251</v>
      </c>
      <c r="R818">
        <v>70987344251</v>
      </c>
    </row>
    <row r="819" spans="1:18" x14ac:dyDescent="0.25">
      <c r="A819" s="1" t="s">
        <v>706</v>
      </c>
      <c r="B819">
        <v>62969016383</v>
      </c>
      <c r="C819" t="s">
        <v>77</v>
      </c>
      <c r="D819" t="s">
        <v>105</v>
      </c>
      <c r="E819">
        <v>4397000000</v>
      </c>
      <c r="F819">
        <v>0</v>
      </c>
      <c r="G819">
        <v>4397000000</v>
      </c>
      <c r="H819">
        <v>8751000000</v>
      </c>
      <c r="I819">
        <v>504000000</v>
      </c>
      <c r="J819">
        <v>215000000</v>
      </c>
      <c r="K819">
        <v>10982000000</v>
      </c>
      <c r="L819">
        <v>8945000000</v>
      </c>
      <c r="M819">
        <v>23451000000</v>
      </c>
      <c r="N819">
        <v>0</v>
      </c>
      <c r="O819">
        <v>902000000</v>
      </c>
      <c r="P819">
        <v>7563000000</v>
      </c>
      <c r="Q819">
        <v>69769016383</v>
      </c>
      <c r="R819">
        <v>70671016383</v>
      </c>
    </row>
    <row r="820" spans="1:18" x14ac:dyDescent="0.25">
      <c r="A820" s="1" t="s">
        <v>705</v>
      </c>
      <c r="B820">
        <v>61407147530</v>
      </c>
      <c r="C820" t="s">
        <v>77</v>
      </c>
      <c r="D820" t="s">
        <v>105</v>
      </c>
      <c r="E820">
        <v>4397000000</v>
      </c>
      <c r="F820">
        <v>0</v>
      </c>
      <c r="G820">
        <v>4397000000</v>
      </c>
      <c r="H820">
        <v>8751000000</v>
      </c>
      <c r="I820">
        <v>504000000</v>
      </c>
      <c r="J820">
        <v>215000000</v>
      </c>
      <c r="K820">
        <v>10982000000</v>
      </c>
      <c r="L820">
        <v>8945000000</v>
      </c>
      <c r="M820">
        <v>23451000000</v>
      </c>
      <c r="N820">
        <v>0</v>
      </c>
      <c r="O820">
        <v>902000000</v>
      </c>
      <c r="P820">
        <v>7563000000</v>
      </c>
      <c r="Q820">
        <v>68207147530</v>
      </c>
      <c r="R820">
        <v>69109147530</v>
      </c>
    </row>
    <row r="821" spans="1:18" x14ac:dyDescent="0.25">
      <c r="A821" s="1" t="s">
        <v>704</v>
      </c>
      <c r="B821">
        <v>64847213103</v>
      </c>
      <c r="C821" t="s">
        <v>77</v>
      </c>
      <c r="D821" t="s">
        <v>105</v>
      </c>
      <c r="E821">
        <v>4397000000</v>
      </c>
      <c r="F821">
        <v>0</v>
      </c>
      <c r="G821">
        <v>4397000000</v>
      </c>
      <c r="H821">
        <v>8751000000</v>
      </c>
      <c r="I821">
        <v>504000000</v>
      </c>
      <c r="J821">
        <v>215000000</v>
      </c>
      <c r="K821">
        <v>10982000000</v>
      </c>
      <c r="L821">
        <v>8945000000</v>
      </c>
      <c r="M821">
        <v>23451000000</v>
      </c>
      <c r="N821">
        <v>0</v>
      </c>
      <c r="O821">
        <v>902000000</v>
      </c>
      <c r="P821">
        <v>7563000000</v>
      </c>
      <c r="Q821">
        <v>71647213103</v>
      </c>
      <c r="R821">
        <v>72549213103</v>
      </c>
    </row>
    <row r="822" spans="1:18" x14ac:dyDescent="0.25">
      <c r="A822" s="1" t="s">
        <v>703</v>
      </c>
      <c r="B822">
        <v>63740065563</v>
      </c>
      <c r="C822" t="s">
        <v>77</v>
      </c>
      <c r="D822" t="s">
        <v>105</v>
      </c>
      <c r="E822">
        <v>4397000000</v>
      </c>
      <c r="F822">
        <v>0</v>
      </c>
      <c r="G822">
        <v>4397000000</v>
      </c>
      <c r="H822">
        <v>8751000000</v>
      </c>
      <c r="I822">
        <v>504000000</v>
      </c>
      <c r="J822">
        <v>215000000</v>
      </c>
      <c r="K822">
        <v>10982000000</v>
      </c>
      <c r="L822">
        <v>8945000000</v>
      </c>
      <c r="M822">
        <v>23451000000</v>
      </c>
      <c r="N822">
        <v>0</v>
      </c>
      <c r="O822">
        <v>902000000</v>
      </c>
      <c r="P822">
        <v>7563000000</v>
      </c>
      <c r="Q822">
        <v>70540065563</v>
      </c>
      <c r="R822">
        <v>71442065563</v>
      </c>
    </row>
    <row r="823" spans="1:18" x14ac:dyDescent="0.25">
      <c r="A823" s="1" t="s">
        <v>702</v>
      </c>
      <c r="B823">
        <v>64194786874</v>
      </c>
      <c r="C823" t="s">
        <v>77</v>
      </c>
      <c r="D823" t="s">
        <v>105</v>
      </c>
      <c r="E823">
        <v>4397000000</v>
      </c>
      <c r="F823">
        <v>0</v>
      </c>
      <c r="G823">
        <v>4397000000</v>
      </c>
      <c r="H823">
        <v>8751000000</v>
      </c>
      <c r="I823">
        <v>504000000</v>
      </c>
      <c r="J823">
        <v>215000000</v>
      </c>
      <c r="K823">
        <v>10982000000</v>
      </c>
      <c r="L823">
        <v>8945000000</v>
      </c>
      <c r="M823">
        <v>23451000000</v>
      </c>
      <c r="N823">
        <v>0</v>
      </c>
      <c r="O823">
        <v>902000000</v>
      </c>
      <c r="P823">
        <v>7563000000</v>
      </c>
      <c r="Q823">
        <v>70994786874</v>
      </c>
      <c r="R823">
        <v>71896786874</v>
      </c>
    </row>
    <row r="824" spans="1:18" x14ac:dyDescent="0.25">
      <c r="A824" s="1" t="s">
        <v>701</v>
      </c>
      <c r="B824">
        <v>64234327858</v>
      </c>
      <c r="C824" t="s">
        <v>77</v>
      </c>
      <c r="D824" t="s">
        <v>105</v>
      </c>
      <c r="E824">
        <v>4397000000</v>
      </c>
      <c r="F824">
        <v>0</v>
      </c>
      <c r="G824">
        <v>4397000000</v>
      </c>
      <c r="H824">
        <v>8751000000</v>
      </c>
      <c r="I824">
        <v>504000000</v>
      </c>
      <c r="J824">
        <v>215000000</v>
      </c>
      <c r="K824">
        <v>10982000000</v>
      </c>
      <c r="L824">
        <v>8945000000</v>
      </c>
      <c r="M824">
        <v>23451000000</v>
      </c>
      <c r="N824">
        <v>0</v>
      </c>
      <c r="O824">
        <v>902000000</v>
      </c>
      <c r="P824">
        <v>7563000000</v>
      </c>
      <c r="Q824">
        <v>71034327858</v>
      </c>
      <c r="R824">
        <v>71936327858</v>
      </c>
    </row>
    <row r="825" spans="1:18" x14ac:dyDescent="0.25">
      <c r="A825" s="1" t="s">
        <v>700</v>
      </c>
      <c r="B825">
        <v>64016852448</v>
      </c>
      <c r="C825" t="s">
        <v>77</v>
      </c>
      <c r="D825" t="s">
        <v>105</v>
      </c>
      <c r="E825">
        <v>4397000000</v>
      </c>
      <c r="F825">
        <v>0</v>
      </c>
      <c r="G825">
        <v>4397000000</v>
      </c>
      <c r="H825">
        <v>8751000000</v>
      </c>
      <c r="I825">
        <v>504000000</v>
      </c>
      <c r="J825">
        <v>215000000</v>
      </c>
      <c r="K825">
        <v>10982000000</v>
      </c>
      <c r="L825">
        <v>8945000000</v>
      </c>
      <c r="M825">
        <v>23451000000</v>
      </c>
      <c r="N825">
        <v>0</v>
      </c>
      <c r="O825">
        <v>902000000</v>
      </c>
      <c r="P825">
        <v>7563000000</v>
      </c>
      <c r="Q825">
        <v>70816852448</v>
      </c>
      <c r="R825">
        <v>71718852448</v>
      </c>
    </row>
    <row r="826" spans="1:18" x14ac:dyDescent="0.25">
      <c r="A826" s="1" t="s">
        <v>699</v>
      </c>
      <c r="B826">
        <v>60734950809</v>
      </c>
      <c r="C826" t="s">
        <v>77</v>
      </c>
      <c r="D826" t="s">
        <v>105</v>
      </c>
      <c r="E826">
        <v>4397000000</v>
      </c>
      <c r="F826">
        <v>0</v>
      </c>
      <c r="G826">
        <v>4397000000</v>
      </c>
      <c r="H826">
        <v>8751000000</v>
      </c>
      <c r="I826">
        <v>504000000</v>
      </c>
      <c r="J826">
        <v>215000000</v>
      </c>
      <c r="K826">
        <v>10982000000</v>
      </c>
      <c r="L826">
        <v>8945000000</v>
      </c>
      <c r="M826">
        <v>23451000000</v>
      </c>
      <c r="N826">
        <v>0</v>
      </c>
      <c r="O826">
        <v>902000000</v>
      </c>
      <c r="P826">
        <v>7563000000</v>
      </c>
      <c r="Q826">
        <v>67534950809</v>
      </c>
      <c r="R826">
        <v>68436950809</v>
      </c>
    </row>
    <row r="827" spans="1:18" x14ac:dyDescent="0.25">
      <c r="A827" s="1" t="s">
        <v>698</v>
      </c>
      <c r="B827">
        <v>59608032777</v>
      </c>
      <c r="C827" t="s">
        <v>77</v>
      </c>
      <c r="D827" t="s">
        <v>105</v>
      </c>
      <c r="E827">
        <v>4397000000</v>
      </c>
      <c r="F827">
        <v>0</v>
      </c>
      <c r="G827">
        <v>4397000000</v>
      </c>
      <c r="H827">
        <v>8751000000</v>
      </c>
      <c r="I827">
        <v>504000000</v>
      </c>
      <c r="J827">
        <v>215000000</v>
      </c>
      <c r="K827">
        <v>10982000000</v>
      </c>
      <c r="L827">
        <v>8945000000</v>
      </c>
      <c r="M827">
        <v>23451000000</v>
      </c>
      <c r="N827">
        <v>0</v>
      </c>
      <c r="O827">
        <v>902000000</v>
      </c>
      <c r="P827">
        <v>7563000000</v>
      </c>
      <c r="Q827">
        <v>66408032777</v>
      </c>
      <c r="R827">
        <v>67310032777</v>
      </c>
    </row>
    <row r="828" spans="1:18" x14ac:dyDescent="0.25">
      <c r="A828" s="1" t="s">
        <v>697</v>
      </c>
      <c r="B828">
        <v>57354196711</v>
      </c>
      <c r="C828" t="s">
        <v>77</v>
      </c>
      <c r="D828" t="s">
        <v>105</v>
      </c>
      <c r="E828">
        <v>4397000000</v>
      </c>
      <c r="F828">
        <v>0</v>
      </c>
      <c r="G828">
        <v>4397000000</v>
      </c>
      <c r="H828">
        <v>8751000000</v>
      </c>
      <c r="I828">
        <v>504000000</v>
      </c>
      <c r="J828">
        <v>215000000</v>
      </c>
      <c r="K828">
        <v>10982000000</v>
      </c>
      <c r="L828">
        <v>8945000000</v>
      </c>
      <c r="M828">
        <v>23451000000</v>
      </c>
      <c r="N828">
        <v>0</v>
      </c>
      <c r="O828">
        <v>902000000</v>
      </c>
      <c r="P828">
        <v>7563000000</v>
      </c>
      <c r="Q828">
        <v>64154196711</v>
      </c>
      <c r="R828">
        <v>65056196711</v>
      </c>
    </row>
    <row r="829" spans="1:18" x14ac:dyDescent="0.25">
      <c r="A829" s="1" t="s">
        <v>696</v>
      </c>
      <c r="B829">
        <v>55357377040</v>
      </c>
      <c r="C829" t="s">
        <v>77</v>
      </c>
      <c r="D829" t="s">
        <v>105</v>
      </c>
      <c r="E829">
        <v>4397000000</v>
      </c>
      <c r="F829">
        <v>0</v>
      </c>
      <c r="G829">
        <v>4397000000</v>
      </c>
      <c r="H829">
        <v>8751000000</v>
      </c>
      <c r="I829">
        <v>504000000</v>
      </c>
      <c r="J829">
        <v>215000000</v>
      </c>
      <c r="K829">
        <v>10982000000</v>
      </c>
      <c r="L829">
        <v>8945000000</v>
      </c>
      <c r="M829">
        <v>23451000000</v>
      </c>
      <c r="N829">
        <v>0</v>
      </c>
      <c r="O829">
        <v>902000000</v>
      </c>
      <c r="P829">
        <v>7563000000</v>
      </c>
      <c r="Q829">
        <v>62157377040</v>
      </c>
      <c r="R829">
        <v>63059377040</v>
      </c>
    </row>
    <row r="830" spans="1:18" x14ac:dyDescent="0.25">
      <c r="A830" s="1" t="s">
        <v>695</v>
      </c>
      <c r="B830">
        <v>54981737695</v>
      </c>
      <c r="C830" t="s">
        <v>77</v>
      </c>
      <c r="D830" t="s">
        <v>105</v>
      </c>
      <c r="E830">
        <v>4397000000</v>
      </c>
      <c r="F830">
        <v>0</v>
      </c>
      <c r="G830">
        <v>4397000000</v>
      </c>
      <c r="H830">
        <v>8751000000</v>
      </c>
      <c r="I830">
        <v>504000000</v>
      </c>
      <c r="J830">
        <v>215000000</v>
      </c>
      <c r="K830">
        <v>10982000000</v>
      </c>
      <c r="L830">
        <v>8945000000</v>
      </c>
      <c r="M830">
        <v>23451000000</v>
      </c>
      <c r="N830">
        <v>0</v>
      </c>
      <c r="O830">
        <v>902000000</v>
      </c>
      <c r="P830">
        <v>7563000000</v>
      </c>
      <c r="Q830">
        <v>61781737695</v>
      </c>
      <c r="R830">
        <v>62683737695</v>
      </c>
    </row>
    <row r="831" spans="1:18" x14ac:dyDescent="0.25">
      <c r="A831" s="1" t="s">
        <v>694</v>
      </c>
      <c r="B831">
        <v>56761081957</v>
      </c>
      <c r="C831" t="s">
        <v>77</v>
      </c>
      <c r="D831" t="s">
        <v>105</v>
      </c>
      <c r="E831">
        <v>4397000000</v>
      </c>
      <c r="F831">
        <v>0</v>
      </c>
      <c r="G831">
        <v>4397000000</v>
      </c>
      <c r="H831">
        <v>8751000000</v>
      </c>
      <c r="I831">
        <v>504000000</v>
      </c>
      <c r="J831">
        <v>215000000</v>
      </c>
      <c r="K831">
        <v>10982000000</v>
      </c>
      <c r="L831">
        <v>8945000000</v>
      </c>
      <c r="M831">
        <v>23451000000</v>
      </c>
      <c r="N831">
        <v>0</v>
      </c>
      <c r="O831">
        <v>902000000</v>
      </c>
      <c r="P831">
        <v>7563000000</v>
      </c>
      <c r="Q831">
        <v>63561081957</v>
      </c>
      <c r="R831">
        <v>64463081957</v>
      </c>
    </row>
    <row r="832" spans="1:18" x14ac:dyDescent="0.25">
      <c r="A832" s="1" t="s">
        <v>693</v>
      </c>
      <c r="B832">
        <v>58560196711</v>
      </c>
      <c r="C832" t="s">
        <v>77</v>
      </c>
      <c r="D832" t="s">
        <v>105</v>
      </c>
      <c r="E832">
        <v>4397000000</v>
      </c>
      <c r="F832">
        <v>0</v>
      </c>
      <c r="G832">
        <v>4397000000</v>
      </c>
      <c r="H832">
        <v>8751000000</v>
      </c>
      <c r="I832">
        <v>504000000</v>
      </c>
      <c r="J832">
        <v>215000000</v>
      </c>
      <c r="K832">
        <v>10982000000</v>
      </c>
      <c r="L832">
        <v>8945000000</v>
      </c>
      <c r="M832">
        <v>23451000000</v>
      </c>
      <c r="N832">
        <v>0</v>
      </c>
      <c r="O832">
        <v>902000000</v>
      </c>
      <c r="P832">
        <v>7563000000</v>
      </c>
      <c r="Q832">
        <v>65360196711</v>
      </c>
      <c r="R832">
        <v>66262196711</v>
      </c>
    </row>
    <row r="833" spans="1:18" x14ac:dyDescent="0.25">
      <c r="A833" s="1" t="s">
        <v>692</v>
      </c>
      <c r="B833">
        <v>56504065564</v>
      </c>
      <c r="C833" t="s">
        <v>77</v>
      </c>
      <c r="D833" t="s">
        <v>105</v>
      </c>
      <c r="E833">
        <v>4397000000</v>
      </c>
      <c r="F833">
        <v>0</v>
      </c>
      <c r="G833">
        <v>4397000000</v>
      </c>
      <c r="H833">
        <v>8751000000</v>
      </c>
      <c r="I833">
        <v>504000000</v>
      </c>
      <c r="J833">
        <v>215000000</v>
      </c>
      <c r="K833">
        <v>10982000000</v>
      </c>
      <c r="L833">
        <v>8945000000</v>
      </c>
      <c r="M833">
        <v>23451000000</v>
      </c>
      <c r="N833">
        <v>0</v>
      </c>
      <c r="O833">
        <v>902000000</v>
      </c>
      <c r="P833">
        <v>7563000000</v>
      </c>
      <c r="Q833">
        <v>63304065564</v>
      </c>
      <c r="R833">
        <v>64206065564</v>
      </c>
    </row>
    <row r="834" spans="1:18" x14ac:dyDescent="0.25">
      <c r="A834" s="1" t="s">
        <v>691</v>
      </c>
      <c r="B834">
        <v>56820393433</v>
      </c>
      <c r="C834" t="s">
        <v>77</v>
      </c>
      <c r="D834" t="s">
        <v>105</v>
      </c>
      <c r="E834">
        <v>4397000000</v>
      </c>
      <c r="F834">
        <v>0</v>
      </c>
      <c r="G834">
        <v>4397000000</v>
      </c>
      <c r="H834">
        <v>8751000000</v>
      </c>
      <c r="I834">
        <v>504000000</v>
      </c>
      <c r="J834">
        <v>215000000</v>
      </c>
      <c r="K834">
        <v>10982000000</v>
      </c>
      <c r="L834">
        <v>8945000000</v>
      </c>
      <c r="M834">
        <v>23451000000</v>
      </c>
      <c r="N834">
        <v>0</v>
      </c>
      <c r="O834">
        <v>902000000</v>
      </c>
      <c r="P834">
        <v>7563000000</v>
      </c>
      <c r="Q834">
        <v>63620393433</v>
      </c>
      <c r="R834">
        <v>64522393433</v>
      </c>
    </row>
    <row r="835" spans="1:18" x14ac:dyDescent="0.25">
      <c r="A835" s="1" t="s">
        <v>690</v>
      </c>
      <c r="B835">
        <v>56761081957</v>
      </c>
      <c r="C835" t="s">
        <v>77</v>
      </c>
      <c r="D835" t="s">
        <v>105</v>
      </c>
      <c r="E835">
        <v>4397000000</v>
      </c>
      <c r="F835">
        <v>0</v>
      </c>
      <c r="G835">
        <v>4397000000</v>
      </c>
      <c r="H835">
        <v>8751000000</v>
      </c>
      <c r="I835">
        <v>504000000</v>
      </c>
      <c r="J835">
        <v>215000000</v>
      </c>
      <c r="K835">
        <v>10982000000</v>
      </c>
      <c r="L835">
        <v>8945000000</v>
      </c>
      <c r="M835">
        <v>23451000000</v>
      </c>
      <c r="N835">
        <v>0</v>
      </c>
      <c r="O835">
        <v>902000000</v>
      </c>
      <c r="P835">
        <v>7563000000</v>
      </c>
      <c r="Q835">
        <v>63561081957</v>
      </c>
      <c r="R835">
        <v>64463081957</v>
      </c>
    </row>
    <row r="836" spans="1:18" x14ac:dyDescent="0.25">
      <c r="A836" s="1" t="s">
        <v>689</v>
      </c>
      <c r="B836">
        <v>56859934416</v>
      </c>
      <c r="C836" t="s">
        <v>77</v>
      </c>
      <c r="D836" t="s">
        <v>105</v>
      </c>
      <c r="E836">
        <v>4397000000</v>
      </c>
      <c r="F836">
        <v>0</v>
      </c>
      <c r="G836">
        <v>4397000000</v>
      </c>
      <c r="H836">
        <v>8751000000</v>
      </c>
      <c r="I836">
        <v>504000000</v>
      </c>
      <c r="J836">
        <v>215000000</v>
      </c>
      <c r="K836">
        <v>10982000000</v>
      </c>
      <c r="L836">
        <v>8945000000</v>
      </c>
      <c r="M836">
        <v>23451000000</v>
      </c>
      <c r="N836">
        <v>0</v>
      </c>
      <c r="O836">
        <v>902000000</v>
      </c>
      <c r="P836">
        <v>7563000000</v>
      </c>
      <c r="Q836">
        <v>63659934416</v>
      </c>
      <c r="R836">
        <v>64561934416</v>
      </c>
    </row>
    <row r="837" spans="1:18" x14ac:dyDescent="0.25">
      <c r="A837" s="1" t="s">
        <v>688</v>
      </c>
      <c r="B837">
        <v>57176262285</v>
      </c>
      <c r="C837" t="s">
        <v>77</v>
      </c>
      <c r="D837" t="s">
        <v>105</v>
      </c>
      <c r="E837">
        <v>4397000000</v>
      </c>
      <c r="F837">
        <v>0</v>
      </c>
      <c r="G837">
        <v>4397000000</v>
      </c>
      <c r="H837">
        <v>8751000000</v>
      </c>
      <c r="I837">
        <v>504000000</v>
      </c>
      <c r="J837">
        <v>215000000</v>
      </c>
      <c r="K837">
        <v>10982000000</v>
      </c>
      <c r="L837">
        <v>8945000000</v>
      </c>
      <c r="M837">
        <v>23451000000</v>
      </c>
      <c r="N837">
        <v>0</v>
      </c>
      <c r="O837">
        <v>902000000</v>
      </c>
      <c r="P837">
        <v>7563000000</v>
      </c>
      <c r="Q837">
        <v>63976262285</v>
      </c>
      <c r="R837">
        <v>64878262285</v>
      </c>
    </row>
    <row r="838" spans="1:18" x14ac:dyDescent="0.25">
      <c r="A838" s="1" t="s">
        <v>687</v>
      </c>
      <c r="B838">
        <v>57433278679</v>
      </c>
      <c r="C838" t="s">
        <v>77</v>
      </c>
      <c r="D838" t="s">
        <v>105</v>
      </c>
      <c r="E838">
        <v>4397000000</v>
      </c>
      <c r="F838">
        <v>0</v>
      </c>
      <c r="G838">
        <v>4397000000</v>
      </c>
      <c r="H838">
        <v>8751000000</v>
      </c>
      <c r="I838">
        <v>504000000</v>
      </c>
      <c r="J838">
        <v>215000000</v>
      </c>
      <c r="K838">
        <v>10982000000</v>
      </c>
      <c r="L838">
        <v>8945000000</v>
      </c>
      <c r="M838">
        <v>23451000000</v>
      </c>
      <c r="N838">
        <v>0</v>
      </c>
      <c r="O838">
        <v>902000000</v>
      </c>
      <c r="P838">
        <v>7563000000</v>
      </c>
      <c r="Q838">
        <v>64233278679</v>
      </c>
      <c r="R838">
        <v>65135278679</v>
      </c>
    </row>
    <row r="839" spans="1:18" x14ac:dyDescent="0.25">
      <c r="A839" s="1" t="s">
        <v>686</v>
      </c>
      <c r="B839">
        <v>57116950810</v>
      </c>
      <c r="C839" t="s">
        <v>77</v>
      </c>
      <c r="D839" t="s">
        <v>105</v>
      </c>
      <c r="E839">
        <v>4397000000</v>
      </c>
      <c r="F839">
        <v>0</v>
      </c>
      <c r="G839">
        <v>4397000000</v>
      </c>
      <c r="H839">
        <v>8751000000</v>
      </c>
      <c r="I839">
        <v>504000000</v>
      </c>
      <c r="J839">
        <v>215000000</v>
      </c>
      <c r="K839">
        <v>10982000000</v>
      </c>
      <c r="L839">
        <v>8945000000</v>
      </c>
      <c r="M839">
        <v>23451000000</v>
      </c>
      <c r="N839">
        <v>0</v>
      </c>
      <c r="O839">
        <v>902000000</v>
      </c>
      <c r="P839">
        <v>7563000000</v>
      </c>
      <c r="Q839">
        <v>63916950810</v>
      </c>
      <c r="R839">
        <v>64818950810</v>
      </c>
    </row>
    <row r="840" spans="1:18" x14ac:dyDescent="0.25">
      <c r="A840" s="1" t="s">
        <v>685</v>
      </c>
      <c r="B840">
        <v>59370786875</v>
      </c>
      <c r="C840" t="s">
        <v>77</v>
      </c>
      <c r="D840" t="s">
        <v>105</v>
      </c>
      <c r="E840">
        <v>4397000000</v>
      </c>
      <c r="F840">
        <v>0</v>
      </c>
      <c r="G840">
        <v>4397000000</v>
      </c>
      <c r="H840">
        <v>8751000000</v>
      </c>
      <c r="I840">
        <v>504000000</v>
      </c>
      <c r="J840">
        <v>215000000</v>
      </c>
      <c r="K840">
        <v>10982000000</v>
      </c>
      <c r="L840">
        <v>8945000000</v>
      </c>
      <c r="M840">
        <v>23451000000</v>
      </c>
      <c r="N840">
        <v>0</v>
      </c>
      <c r="O840">
        <v>902000000</v>
      </c>
      <c r="P840">
        <v>7563000000</v>
      </c>
      <c r="Q840">
        <v>66170786875</v>
      </c>
      <c r="R840">
        <v>67072786875</v>
      </c>
    </row>
    <row r="841" spans="1:18" x14ac:dyDescent="0.25">
      <c r="A841" s="1" t="s">
        <v>684</v>
      </c>
      <c r="B841">
        <v>60655868842</v>
      </c>
      <c r="C841" t="s">
        <v>77</v>
      </c>
      <c r="D841" t="s">
        <v>105</v>
      </c>
      <c r="E841">
        <v>4397000000</v>
      </c>
      <c r="F841">
        <v>0</v>
      </c>
      <c r="G841">
        <v>4397000000</v>
      </c>
      <c r="H841">
        <v>8751000000</v>
      </c>
      <c r="I841">
        <v>504000000</v>
      </c>
      <c r="J841">
        <v>215000000</v>
      </c>
      <c r="K841">
        <v>10982000000</v>
      </c>
      <c r="L841">
        <v>8945000000</v>
      </c>
      <c r="M841">
        <v>23451000000</v>
      </c>
      <c r="N841">
        <v>0</v>
      </c>
      <c r="O841">
        <v>902000000</v>
      </c>
      <c r="P841">
        <v>7563000000</v>
      </c>
      <c r="Q841">
        <v>67455868842</v>
      </c>
      <c r="R841">
        <v>68357868842</v>
      </c>
    </row>
    <row r="842" spans="1:18" x14ac:dyDescent="0.25">
      <c r="A842" s="1" t="s">
        <v>683</v>
      </c>
      <c r="B842">
        <v>62830622940</v>
      </c>
      <c r="C842" t="s">
        <v>77</v>
      </c>
      <c r="D842" t="s">
        <v>105</v>
      </c>
      <c r="E842">
        <v>4397000000</v>
      </c>
      <c r="F842">
        <v>0</v>
      </c>
      <c r="G842">
        <v>4397000000</v>
      </c>
      <c r="H842">
        <v>8751000000</v>
      </c>
      <c r="I842">
        <v>504000000</v>
      </c>
      <c r="J842">
        <v>215000000</v>
      </c>
      <c r="K842">
        <v>10982000000</v>
      </c>
      <c r="L842">
        <v>8945000000</v>
      </c>
      <c r="M842">
        <v>23451000000</v>
      </c>
      <c r="N842">
        <v>0</v>
      </c>
      <c r="O842">
        <v>902000000</v>
      </c>
      <c r="P842">
        <v>7563000000</v>
      </c>
      <c r="Q842">
        <v>69630622940</v>
      </c>
      <c r="R842">
        <v>70532622940</v>
      </c>
    </row>
    <row r="843" spans="1:18" x14ac:dyDescent="0.25">
      <c r="A843" s="1" t="s">
        <v>682</v>
      </c>
      <c r="B843">
        <v>64254098350</v>
      </c>
      <c r="C843" t="s">
        <v>77</v>
      </c>
      <c r="D843" t="s">
        <v>105</v>
      </c>
      <c r="E843">
        <v>4397000000</v>
      </c>
      <c r="F843">
        <v>0</v>
      </c>
      <c r="G843">
        <v>4397000000</v>
      </c>
      <c r="H843">
        <v>8751000000</v>
      </c>
      <c r="I843">
        <v>504000000</v>
      </c>
      <c r="J843">
        <v>215000000</v>
      </c>
      <c r="K843">
        <v>10982000000</v>
      </c>
      <c r="L843">
        <v>8945000000</v>
      </c>
      <c r="M843">
        <v>23451000000</v>
      </c>
      <c r="N843">
        <v>0</v>
      </c>
      <c r="O843">
        <v>902000000</v>
      </c>
      <c r="P843">
        <v>7563000000</v>
      </c>
      <c r="Q843">
        <v>71054098350</v>
      </c>
      <c r="R843">
        <v>71956098350</v>
      </c>
    </row>
    <row r="844" spans="1:18" x14ac:dyDescent="0.25">
      <c r="A844" s="1" t="s">
        <v>681</v>
      </c>
      <c r="B844">
        <v>61921180317</v>
      </c>
      <c r="C844" t="s">
        <v>77</v>
      </c>
      <c r="D844" t="s">
        <v>105</v>
      </c>
      <c r="E844">
        <v>4397000000</v>
      </c>
      <c r="F844">
        <v>0</v>
      </c>
      <c r="G844">
        <v>4397000000</v>
      </c>
      <c r="H844">
        <v>8751000000</v>
      </c>
      <c r="I844">
        <v>504000000</v>
      </c>
      <c r="J844">
        <v>215000000</v>
      </c>
      <c r="K844">
        <v>10982000000</v>
      </c>
      <c r="L844">
        <v>8945000000</v>
      </c>
      <c r="M844">
        <v>23451000000</v>
      </c>
      <c r="N844">
        <v>0</v>
      </c>
      <c r="O844">
        <v>902000000</v>
      </c>
      <c r="P844">
        <v>7563000000</v>
      </c>
      <c r="Q844">
        <v>68721180317</v>
      </c>
      <c r="R844">
        <v>69623180317</v>
      </c>
    </row>
    <row r="845" spans="1:18" x14ac:dyDescent="0.25">
      <c r="A845" s="1" t="s">
        <v>680</v>
      </c>
      <c r="B845">
        <v>65341475398</v>
      </c>
      <c r="C845" t="s">
        <v>77</v>
      </c>
      <c r="D845" t="s">
        <v>105</v>
      </c>
      <c r="E845">
        <v>4397000000</v>
      </c>
      <c r="F845">
        <v>0</v>
      </c>
      <c r="G845">
        <v>4397000000</v>
      </c>
      <c r="H845">
        <v>8751000000</v>
      </c>
      <c r="I845">
        <v>504000000</v>
      </c>
      <c r="J845">
        <v>215000000</v>
      </c>
      <c r="K845">
        <v>10982000000</v>
      </c>
      <c r="L845">
        <v>8945000000</v>
      </c>
      <c r="M845">
        <v>23451000000</v>
      </c>
      <c r="N845">
        <v>0</v>
      </c>
      <c r="O845">
        <v>902000000</v>
      </c>
      <c r="P845">
        <v>7563000000</v>
      </c>
      <c r="Q845">
        <v>72141475398</v>
      </c>
      <c r="R845">
        <v>73043475398</v>
      </c>
    </row>
    <row r="846" spans="1:18" x14ac:dyDescent="0.25">
      <c r="A846" s="1" t="s">
        <v>679</v>
      </c>
      <c r="B846">
        <v>65499639333</v>
      </c>
      <c r="C846" t="s">
        <v>77</v>
      </c>
      <c r="D846" t="s">
        <v>105</v>
      </c>
      <c r="E846">
        <v>4397000000</v>
      </c>
      <c r="F846">
        <v>0</v>
      </c>
      <c r="G846">
        <v>4397000000</v>
      </c>
      <c r="H846">
        <v>8751000000</v>
      </c>
      <c r="I846">
        <v>504000000</v>
      </c>
      <c r="J846">
        <v>215000000</v>
      </c>
      <c r="K846">
        <v>10982000000</v>
      </c>
      <c r="L846">
        <v>8945000000</v>
      </c>
      <c r="M846">
        <v>23451000000</v>
      </c>
      <c r="N846">
        <v>0</v>
      </c>
      <c r="O846">
        <v>902000000</v>
      </c>
      <c r="P846">
        <v>7563000000</v>
      </c>
      <c r="Q846">
        <v>72299639333</v>
      </c>
      <c r="R846">
        <v>73201639333</v>
      </c>
    </row>
    <row r="847" spans="1:18" x14ac:dyDescent="0.25">
      <c r="A847" s="1" t="s">
        <v>678</v>
      </c>
      <c r="B847">
        <v>63127180317</v>
      </c>
      <c r="C847" t="s">
        <v>77</v>
      </c>
      <c r="D847" t="s">
        <v>105</v>
      </c>
      <c r="E847">
        <v>4397000000</v>
      </c>
      <c r="F847">
        <v>0</v>
      </c>
      <c r="G847">
        <v>4397000000</v>
      </c>
      <c r="H847">
        <v>8751000000</v>
      </c>
      <c r="I847">
        <v>504000000</v>
      </c>
      <c r="J847">
        <v>215000000</v>
      </c>
      <c r="K847">
        <v>10982000000</v>
      </c>
      <c r="L847">
        <v>8945000000</v>
      </c>
      <c r="M847">
        <v>23451000000</v>
      </c>
      <c r="N847">
        <v>0</v>
      </c>
      <c r="O847">
        <v>902000000</v>
      </c>
      <c r="P847">
        <v>7563000000</v>
      </c>
      <c r="Q847">
        <v>69927180317</v>
      </c>
      <c r="R847">
        <v>70829180317</v>
      </c>
    </row>
    <row r="848" spans="1:18" x14ac:dyDescent="0.25">
      <c r="A848" s="1" t="s">
        <v>677</v>
      </c>
      <c r="B848">
        <v>62257278678</v>
      </c>
      <c r="C848" t="s">
        <v>77</v>
      </c>
      <c r="D848" t="s">
        <v>105</v>
      </c>
      <c r="E848">
        <v>4397000000</v>
      </c>
      <c r="F848">
        <v>0</v>
      </c>
      <c r="G848">
        <v>4397000000</v>
      </c>
      <c r="H848">
        <v>8751000000</v>
      </c>
      <c r="I848">
        <v>504000000</v>
      </c>
      <c r="J848">
        <v>215000000</v>
      </c>
      <c r="K848">
        <v>10982000000</v>
      </c>
      <c r="L848">
        <v>8945000000</v>
      </c>
      <c r="M848">
        <v>23451000000</v>
      </c>
      <c r="N848">
        <v>0</v>
      </c>
      <c r="O848">
        <v>902000000</v>
      </c>
      <c r="P848">
        <v>7563000000</v>
      </c>
      <c r="Q848">
        <v>69057278678</v>
      </c>
      <c r="R848">
        <v>69959278678</v>
      </c>
    </row>
    <row r="849" spans="1:18" x14ac:dyDescent="0.25">
      <c r="A849" s="1" t="s">
        <v>676</v>
      </c>
      <c r="B849">
        <v>62257278678</v>
      </c>
      <c r="C849" t="s">
        <v>77</v>
      </c>
      <c r="D849" t="s">
        <v>105</v>
      </c>
      <c r="E849">
        <v>4397000000</v>
      </c>
      <c r="F849">
        <v>0</v>
      </c>
      <c r="G849">
        <v>4397000000</v>
      </c>
      <c r="H849">
        <v>8751000000</v>
      </c>
      <c r="I849">
        <v>504000000</v>
      </c>
      <c r="J849">
        <v>215000000</v>
      </c>
      <c r="K849">
        <v>10982000000</v>
      </c>
      <c r="L849">
        <v>8945000000</v>
      </c>
      <c r="M849">
        <v>23451000000</v>
      </c>
      <c r="N849">
        <v>0</v>
      </c>
      <c r="O849">
        <v>902000000</v>
      </c>
      <c r="P849">
        <v>7563000000</v>
      </c>
      <c r="Q849">
        <v>69057278678</v>
      </c>
      <c r="R849">
        <v>69959278678</v>
      </c>
    </row>
    <row r="850" spans="1:18" x14ac:dyDescent="0.25">
      <c r="A850" s="1" t="s">
        <v>675</v>
      </c>
      <c r="B850">
        <v>60240688514</v>
      </c>
      <c r="C850" t="s">
        <v>77</v>
      </c>
      <c r="D850" t="s">
        <v>105</v>
      </c>
      <c r="E850">
        <v>4397000000</v>
      </c>
      <c r="F850">
        <v>0</v>
      </c>
      <c r="G850">
        <v>4397000000</v>
      </c>
      <c r="H850">
        <v>8751000000</v>
      </c>
      <c r="I850">
        <v>504000000</v>
      </c>
      <c r="J850">
        <v>215000000</v>
      </c>
      <c r="K850">
        <v>10982000000</v>
      </c>
      <c r="L850">
        <v>8945000000</v>
      </c>
      <c r="M850">
        <v>23451000000</v>
      </c>
      <c r="N850">
        <v>0</v>
      </c>
      <c r="O850">
        <v>902000000</v>
      </c>
      <c r="P850">
        <v>7563000000</v>
      </c>
      <c r="Q850">
        <v>67040688514</v>
      </c>
      <c r="R850">
        <v>67942688514</v>
      </c>
    </row>
    <row r="851" spans="1:18" x14ac:dyDescent="0.25">
      <c r="A851" s="1" t="s">
        <v>674</v>
      </c>
      <c r="B851">
        <v>56504065564</v>
      </c>
      <c r="C851" t="s">
        <v>77</v>
      </c>
      <c r="D851" t="s">
        <v>105</v>
      </c>
      <c r="E851">
        <v>4397000000</v>
      </c>
      <c r="F851">
        <v>0</v>
      </c>
      <c r="G851">
        <v>4397000000</v>
      </c>
      <c r="H851">
        <v>8751000000</v>
      </c>
      <c r="I851">
        <v>504000000</v>
      </c>
      <c r="J851">
        <v>215000000</v>
      </c>
      <c r="K851">
        <v>10982000000</v>
      </c>
      <c r="L851">
        <v>8945000000</v>
      </c>
      <c r="M851">
        <v>23451000000</v>
      </c>
      <c r="N851">
        <v>0</v>
      </c>
      <c r="O851">
        <v>902000000</v>
      </c>
      <c r="P851">
        <v>7563000000</v>
      </c>
      <c r="Q851">
        <v>63304065564</v>
      </c>
      <c r="R851">
        <v>64206065564</v>
      </c>
    </row>
    <row r="852" spans="1:18" x14ac:dyDescent="0.25">
      <c r="A852" s="1" t="s">
        <v>673</v>
      </c>
      <c r="B852">
        <v>55001508187</v>
      </c>
      <c r="C852" t="s">
        <v>77</v>
      </c>
      <c r="D852" t="s">
        <v>105</v>
      </c>
      <c r="E852">
        <v>4397000000</v>
      </c>
      <c r="F852">
        <v>0</v>
      </c>
      <c r="G852">
        <v>4397000000</v>
      </c>
      <c r="H852">
        <v>8751000000</v>
      </c>
      <c r="I852">
        <v>504000000</v>
      </c>
      <c r="J852">
        <v>215000000</v>
      </c>
      <c r="K852">
        <v>10982000000</v>
      </c>
      <c r="L852">
        <v>8945000000</v>
      </c>
      <c r="M852">
        <v>23451000000</v>
      </c>
      <c r="N852">
        <v>0</v>
      </c>
      <c r="O852">
        <v>902000000</v>
      </c>
      <c r="P852">
        <v>7563000000</v>
      </c>
      <c r="Q852">
        <v>61801508187</v>
      </c>
      <c r="R852">
        <v>62703508187</v>
      </c>
    </row>
    <row r="853" spans="1:18" x14ac:dyDescent="0.25">
      <c r="A853" s="1" t="s">
        <v>672</v>
      </c>
      <c r="B853">
        <v>53162852450</v>
      </c>
      <c r="C853" t="s">
        <v>77</v>
      </c>
      <c r="D853" t="s">
        <v>105</v>
      </c>
      <c r="E853">
        <v>4397000000</v>
      </c>
      <c r="F853">
        <v>0</v>
      </c>
      <c r="G853">
        <v>4397000000</v>
      </c>
      <c r="H853">
        <v>8751000000</v>
      </c>
      <c r="I853">
        <v>504000000</v>
      </c>
      <c r="J853">
        <v>215000000</v>
      </c>
      <c r="K853">
        <v>10982000000</v>
      </c>
      <c r="L853">
        <v>8945000000</v>
      </c>
      <c r="M853">
        <v>23451000000</v>
      </c>
      <c r="N853">
        <v>0</v>
      </c>
      <c r="O853">
        <v>902000000</v>
      </c>
      <c r="P853">
        <v>7563000000</v>
      </c>
      <c r="Q853">
        <v>59962852450</v>
      </c>
      <c r="R853">
        <v>60864852450</v>
      </c>
    </row>
    <row r="854" spans="1:18" x14ac:dyDescent="0.25">
      <c r="A854" s="1" t="s">
        <v>671</v>
      </c>
      <c r="B854">
        <v>54507245892</v>
      </c>
      <c r="C854" t="s">
        <v>77</v>
      </c>
      <c r="D854" t="s">
        <v>105</v>
      </c>
      <c r="E854">
        <v>4397000000</v>
      </c>
      <c r="F854">
        <v>0</v>
      </c>
      <c r="G854">
        <v>4397000000</v>
      </c>
      <c r="H854">
        <v>8751000000</v>
      </c>
      <c r="I854">
        <v>504000000</v>
      </c>
      <c r="J854">
        <v>215000000</v>
      </c>
      <c r="K854">
        <v>10982000000</v>
      </c>
      <c r="L854">
        <v>8945000000</v>
      </c>
      <c r="M854">
        <v>23451000000</v>
      </c>
      <c r="N854">
        <v>0</v>
      </c>
      <c r="O854">
        <v>902000000</v>
      </c>
      <c r="P854">
        <v>7563000000</v>
      </c>
      <c r="Q854">
        <v>61307245892</v>
      </c>
      <c r="R854">
        <v>62209245892</v>
      </c>
    </row>
    <row r="855" spans="1:18" x14ac:dyDescent="0.25">
      <c r="A855" s="1" t="s">
        <v>670</v>
      </c>
      <c r="B855">
        <v>55436459007</v>
      </c>
      <c r="C855" t="s">
        <v>77</v>
      </c>
      <c r="D855" t="s">
        <v>105</v>
      </c>
      <c r="E855">
        <v>4397000000</v>
      </c>
      <c r="F855">
        <v>0</v>
      </c>
      <c r="G855">
        <v>4397000000</v>
      </c>
      <c r="H855">
        <v>8751000000</v>
      </c>
      <c r="I855">
        <v>504000000</v>
      </c>
      <c r="J855">
        <v>215000000</v>
      </c>
      <c r="K855">
        <v>10982000000</v>
      </c>
      <c r="L855">
        <v>8945000000</v>
      </c>
      <c r="M855">
        <v>23451000000</v>
      </c>
      <c r="N855">
        <v>0</v>
      </c>
      <c r="O855">
        <v>902000000</v>
      </c>
      <c r="P855">
        <v>7563000000</v>
      </c>
      <c r="Q855">
        <v>62236459007</v>
      </c>
      <c r="R855">
        <v>63138459007</v>
      </c>
    </row>
    <row r="856" spans="1:18" x14ac:dyDescent="0.25">
      <c r="A856" s="1" t="s">
        <v>669</v>
      </c>
      <c r="B856">
        <v>52233639335</v>
      </c>
      <c r="C856" t="s">
        <v>77</v>
      </c>
      <c r="D856" t="s">
        <v>105</v>
      </c>
      <c r="E856">
        <v>4397000000</v>
      </c>
      <c r="F856">
        <v>0</v>
      </c>
      <c r="G856">
        <v>4397000000</v>
      </c>
      <c r="H856">
        <v>8751000000</v>
      </c>
      <c r="I856">
        <v>504000000</v>
      </c>
      <c r="J856">
        <v>215000000</v>
      </c>
      <c r="K856">
        <v>10982000000</v>
      </c>
      <c r="L856">
        <v>8945000000</v>
      </c>
      <c r="M856">
        <v>23451000000</v>
      </c>
      <c r="N856">
        <v>0</v>
      </c>
      <c r="O856">
        <v>902000000</v>
      </c>
      <c r="P856">
        <v>7563000000</v>
      </c>
      <c r="Q856">
        <v>59033639335</v>
      </c>
      <c r="R856">
        <v>59935639335</v>
      </c>
    </row>
    <row r="857" spans="1:18" x14ac:dyDescent="0.25">
      <c r="A857" s="1" t="s">
        <v>76</v>
      </c>
      <c r="B857">
        <v>52862200000</v>
      </c>
      <c r="C857" t="s">
        <v>77</v>
      </c>
      <c r="D857" t="s">
        <v>105</v>
      </c>
      <c r="E857">
        <v>4397000000</v>
      </c>
      <c r="F857">
        <v>0</v>
      </c>
      <c r="G857">
        <v>4397000000</v>
      </c>
      <c r="H857">
        <v>8751000000</v>
      </c>
      <c r="I857">
        <v>504000000</v>
      </c>
      <c r="J857">
        <v>215000000</v>
      </c>
      <c r="K857">
        <v>10982000000</v>
      </c>
      <c r="L857">
        <v>8945000000</v>
      </c>
      <c r="M857">
        <v>23451000000</v>
      </c>
      <c r="N857">
        <v>0</v>
      </c>
      <c r="O857">
        <v>902000000</v>
      </c>
      <c r="P857">
        <v>7563000000</v>
      </c>
      <c r="Q857">
        <v>59662200000</v>
      </c>
      <c r="R857">
        <v>60564200000</v>
      </c>
    </row>
    <row r="858" spans="1:18" x14ac:dyDescent="0.25">
      <c r="A858" s="1" t="s">
        <v>668</v>
      </c>
      <c r="B858">
        <v>53301056000</v>
      </c>
      <c r="C858" t="s">
        <v>77</v>
      </c>
      <c r="D858" t="s">
        <v>105</v>
      </c>
      <c r="E858">
        <v>4397000000</v>
      </c>
      <c r="F858">
        <v>0</v>
      </c>
      <c r="G858">
        <v>4397000000</v>
      </c>
      <c r="H858">
        <v>8751000000</v>
      </c>
      <c r="I858">
        <v>504000000</v>
      </c>
      <c r="J858">
        <v>215000000</v>
      </c>
      <c r="K858">
        <v>10982000000</v>
      </c>
      <c r="L858">
        <v>8945000000</v>
      </c>
      <c r="M858">
        <v>23451000000</v>
      </c>
      <c r="N858">
        <v>0</v>
      </c>
      <c r="O858">
        <v>902000000</v>
      </c>
      <c r="P858">
        <v>7563000000</v>
      </c>
      <c r="Q858">
        <v>60101056000</v>
      </c>
      <c r="R858">
        <v>61003056000</v>
      </c>
    </row>
    <row r="859" spans="1:18" x14ac:dyDescent="0.25">
      <c r="A859" s="1" t="s">
        <v>667</v>
      </c>
      <c r="B859">
        <v>58228212000</v>
      </c>
      <c r="C859" t="s">
        <v>77</v>
      </c>
      <c r="D859" t="s">
        <v>105</v>
      </c>
      <c r="E859">
        <v>4397000000</v>
      </c>
      <c r="F859">
        <v>0</v>
      </c>
      <c r="G859">
        <v>4397000000</v>
      </c>
      <c r="H859">
        <v>8751000000</v>
      </c>
      <c r="I859">
        <v>504000000</v>
      </c>
      <c r="J859">
        <v>215000000</v>
      </c>
      <c r="K859">
        <v>10982000000</v>
      </c>
      <c r="L859">
        <v>8945000000</v>
      </c>
      <c r="M859">
        <v>23451000000</v>
      </c>
      <c r="N859">
        <v>0</v>
      </c>
      <c r="O859">
        <v>902000000</v>
      </c>
      <c r="P859">
        <v>7563000000</v>
      </c>
      <c r="Q859">
        <v>65028212000</v>
      </c>
      <c r="R859">
        <v>65930212000</v>
      </c>
    </row>
    <row r="860" spans="1:18" x14ac:dyDescent="0.25">
      <c r="A860" s="1" t="s">
        <v>666</v>
      </c>
      <c r="B860">
        <v>58208264000</v>
      </c>
      <c r="C860" t="s">
        <v>77</v>
      </c>
      <c r="D860" t="s">
        <v>105</v>
      </c>
      <c r="E860">
        <v>4397000000</v>
      </c>
      <c r="F860">
        <v>0</v>
      </c>
      <c r="G860">
        <v>4397000000</v>
      </c>
      <c r="H860">
        <v>8751000000</v>
      </c>
      <c r="I860">
        <v>504000000</v>
      </c>
      <c r="J860">
        <v>215000000</v>
      </c>
      <c r="K860">
        <v>10982000000</v>
      </c>
      <c r="L860">
        <v>8945000000</v>
      </c>
      <c r="M860">
        <v>23451000000</v>
      </c>
      <c r="N860">
        <v>0</v>
      </c>
      <c r="O860">
        <v>902000000</v>
      </c>
      <c r="P860">
        <v>7563000000</v>
      </c>
      <c r="Q860">
        <v>65008264000</v>
      </c>
      <c r="R860">
        <v>65910264000</v>
      </c>
    </row>
    <row r="861" spans="1:18" x14ac:dyDescent="0.25">
      <c r="A861" s="1" t="s">
        <v>665</v>
      </c>
      <c r="B861">
        <v>59305404000</v>
      </c>
      <c r="C861" t="s">
        <v>77</v>
      </c>
      <c r="D861" t="s">
        <v>105</v>
      </c>
      <c r="E861">
        <v>4397000000</v>
      </c>
      <c r="F861">
        <v>0</v>
      </c>
      <c r="G861">
        <v>4397000000</v>
      </c>
      <c r="H861">
        <v>8751000000</v>
      </c>
      <c r="I861">
        <v>504000000</v>
      </c>
      <c r="J861">
        <v>215000000</v>
      </c>
      <c r="K861">
        <v>10982000000</v>
      </c>
      <c r="L861">
        <v>8945000000</v>
      </c>
      <c r="M861">
        <v>23451000000</v>
      </c>
      <c r="N861">
        <v>0</v>
      </c>
      <c r="O861">
        <v>902000000</v>
      </c>
      <c r="P861">
        <v>7563000000</v>
      </c>
      <c r="Q861">
        <v>66105404000</v>
      </c>
      <c r="R861">
        <v>67007404000</v>
      </c>
    </row>
    <row r="862" spans="1:18" x14ac:dyDescent="0.25">
      <c r="A862" s="1" t="s">
        <v>664</v>
      </c>
      <c r="B862">
        <v>55994036000</v>
      </c>
      <c r="C862" t="s">
        <v>77</v>
      </c>
      <c r="D862" t="s">
        <v>105</v>
      </c>
      <c r="E862">
        <v>4397000000</v>
      </c>
      <c r="F862">
        <v>0</v>
      </c>
      <c r="G862">
        <v>4397000000</v>
      </c>
      <c r="H862">
        <v>8751000000</v>
      </c>
      <c r="I862">
        <v>504000000</v>
      </c>
      <c r="J862">
        <v>215000000</v>
      </c>
      <c r="K862">
        <v>10982000000</v>
      </c>
      <c r="L862">
        <v>8945000000</v>
      </c>
      <c r="M862">
        <v>23451000000</v>
      </c>
      <c r="N862">
        <v>0</v>
      </c>
      <c r="O862">
        <v>902000000</v>
      </c>
      <c r="P862">
        <v>7563000000</v>
      </c>
      <c r="Q862">
        <v>62794036000</v>
      </c>
      <c r="R862">
        <v>63696036000</v>
      </c>
    </row>
    <row r="863" spans="1:18" x14ac:dyDescent="0.25">
      <c r="A863" s="1" t="s">
        <v>663</v>
      </c>
      <c r="B863">
        <v>54916844000</v>
      </c>
      <c r="C863" t="s">
        <v>77</v>
      </c>
      <c r="D863" t="s">
        <v>105</v>
      </c>
      <c r="E863">
        <v>4397000000</v>
      </c>
      <c r="F863">
        <v>0</v>
      </c>
      <c r="G863">
        <v>4397000000</v>
      </c>
      <c r="H863">
        <v>8751000000</v>
      </c>
      <c r="I863">
        <v>504000000</v>
      </c>
      <c r="J863">
        <v>215000000</v>
      </c>
      <c r="K863">
        <v>10982000000</v>
      </c>
      <c r="L863">
        <v>8945000000</v>
      </c>
      <c r="M863">
        <v>23451000000</v>
      </c>
      <c r="N863">
        <v>0</v>
      </c>
      <c r="O863">
        <v>902000000</v>
      </c>
      <c r="P863">
        <v>7563000000</v>
      </c>
      <c r="Q863">
        <v>61716844000</v>
      </c>
      <c r="R863">
        <v>62618844000</v>
      </c>
    </row>
    <row r="864" spans="1:18" x14ac:dyDescent="0.25">
      <c r="A864" s="1" t="s">
        <v>662</v>
      </c>
      <c r="B864">
        <v>49191768000</v>
      </c>
      <c r="C864" t="s">
        <v>77</v>
      </c>
      <c r="D864" t="s">
        <v>105</v>
      </c>
      <c r="E864">
        <v>4397000000</v>
      </c>
      <c r="F864">
        <v>0</v>
      </c>
      <c r="G864">
        <v>4397000000</v>
      </c>
      <c r="H864">
        <v>8751000000</v>
      </c>
      <c r="I864">
        <v>504000000</v>
      </c>
      <c r="J864">
        <v>215000000</v>
      </c>
      <c r="K864">
        <v>10982000000</v>
      </c>
      <c r="L864">
        <v>8945000000</v>
      </c>
      <c r="M864">
        <v>23451000000</v>
      </c>
      <c r="N864">
        <v>0</v>
      </c>
      <c r="O864">
        <v>902000000</v>
      </c>
      <c r="P864">
        <v>7563000000</v>
      </c>
      <c r="Q864">
        <v>55991768000</v>
      </c>
      <c r="R864">
        <v>56893768000</v>
      </c>
    </row>
    <row r="865" spans="1:18" x14ac:dyDescent="0.25">
      <c r="A865" s="1" t="s">
        <v>661</v>
      </c>
      <c r="B865">
        <v>51824904000</v>
      </c>
      <c r="C865" t="s">
        <v>77</v>
      </c>
      <c r="D865" t="s">
        <v>105</v>
      </c>
      <c r="E865">
        <v>4397000000</v>
      </c>
      <c r="F865">
        <v>0</v>
      </c>
      <c r="G865">
        <v>4397000000</v>
      </c>
      <c r="H865">
        <v>8751000000</v>
      </c>
      <c r="I865">
        <v>504000000</v>
      </c>
      <c r="J865">
        <v>215000000</v>
      </c>
      <c r="K865">
        <v>10982000000</v>
      </c>
      <c r="L865">
        <v>8945000000</v>
      </c>
      <c r="M865">
        <v>23451000000</v>
      </c>
      <c r="N865">
        <v>0</v>
      </c>
      <c r="O865">
        <v>902000000</v>
      </c>
      <c r="P865">
        <v>7563000000</v>
      </c>
      <c r="Q865">
        <v>58624904000</v>
      </c>
      <c r="R865">
        <v>59526904000</v>
      </c>
    </row>
    <row r="866" spans="1:18" x14ac:dyDescent="0.25">
      <c r="A866" s="1" t="s">
        <v>660</v>
      </c>
      <c r="B866">
        <v>49870000000</v>
      </c>
      <c r="C866" t="s">
        <v>77</v>
      </c>
      <c r="D866" t="s">
        <v>105</v>
      </c>
      <c r="E866">
        <v>4397000000</v>
      </c>
      <c r="F866">
        <v>0</v>
      </c>
      <c r="G866">
        <v>4397000000</v>
      </c>
      <c r="H866">
        <v>8751000000</v>
      </c>
      <c r="I866">
        <v>504000000</v>
      </c>
      <c r="J866">
        <v>215000000</v>
      </c>
      <c r="K866">
        <v>10982000000</v>
      </c>
      <c r="L866">
        <v>8945000000</v>
      </c>
      <c r="M866">
        <v>23451000000</v>
      </c>
      <c r="N866">
        <v>0</v>
      </c>
      <c r="O866">
        <v>902000000</v>
      </c>
      <c r="P866">
        <v>7563000000</v>
      </c>
      <c r="Q866">
        <v>56670000000</v>
      </c>
      <c r="R866">
        <v>57572000000</v>
      </c>
    </row>
    <row r="867" spans="1:18" x14ac:dyDescent="0.25">
      <c r="A867" s="1" t="s">
        <v>659</v>
      </c>
      <c r="B867">
        <v>49291508000</v>
      </c>
      <c r="C867" t="s">
        <v>77</v>
      </c>
      <c r="D867" t="s">
        <v>105</v>
      </c>
      <c r="E867">
        <v>4397000000</v>
      </c>
      <c r="F867">
        <v>0</v>
      </c>
      <c r="G867">
        <v>4397000000</v>
      </c>
      <c r="H867">
        <v>8751000000</v>
      </c>
      <c r="I867">
        <v>504000000</v>
      </c>
      <c r="J867">
        <v>215000000</v>
      </c>
      <c r="K867">
        <v>10982000000</v>
      </c>
      <c r="L867">
        <v>8945000000</v>
      </c>
      <c r="M867">
        <v>23451000000</v>
      </c>
      <c r="N867">
        <v>0</v>
      </c>
      <c r="O867">
        <v>902000000</v>
      </c>
      <c r="P867">
        <v>7563000000</v>
      </c>
      <c r="Q867">
        <v>56091508000</v>
      </c>
      <c r="R867">
        <v>56993508000</v>
      </c>
    </row>
    <row r="868" spans="1:18" x14ac:dyDescent="0.25">
      <c r="A868" s="1" t="s">
        <v>658</v>
      </c>
      <c r="B868">
        <v>51745112000</v>
      </c>
      <c r="C868" t="s">
        <v>77</v>
      </c>
      <c r="D868" t="s">
        <v>105</v>
      </c>
      <c r="E868">
        <v>4397000000</v>
      </c>
      <c r="F868">
        <v>0</v>
      </c>
      <c r="G868">
        <v>4397000000</v>
      </c>
      <c r="H868">
        <v>8751000000</v>
      </c>
      <c r="I868">
        <v>504000000</v>
      </c>
      <c r="J868">
        <v>215000000</v>
      </c>
      <c r="K868">
        <v>10982000000</v>
      </c>
      <c r="L868">
        <v>8945000000</v>
      </c>
      <c r="M868">
        <v>23451000000</v>
      </c>
      <c r="N868">
        <v>0</v>
      </c>
      <c r="O868">
        <v>902000000</v>
      </c>
      <c r="P868">
        <v>7563000000</v>
      </c>
      <c r="Q868">
        <v>58545112000</v>
      </c>
      <c r="R868">
        <v>59447112000</v>
      </c>
    </row>
    <row r="869" spans="1:18" x14ac:dyDescent="0.25">
      <c r="A869" s="1" t="s">
        <v>657</v>
      </c>
      <c r="B869">
        <v>55076428000</v>
      </c>
      <c r="C869" t="s">
        <v>77</v>
      </c>
      <c r="D869" t="s">
        <v>105</v>
      </c>
      <c r="E869">
        <v>4397000000</v>
      </c>
      <c r="F869">
        <v>0</v>
      </c>
      <c r="G869">
        <v>4397000000</v>
      </c>
      <c r="H869">
        <v>8751000000</v>
      </c>
      <c r="I869">
        <v>504000000</v>
      </c>
      <c r="J869">
        <v>215000000</v>
      </c>
      <c r="K869">
        <v>10982000000</v>
      </c>
      <c r="L869">
        <v>8945000000</v>
      </c>
      <c r="M869">
        <v>23451000000</v>
      </c>
      <c r="N869">
        <v>0</v>
      </c>
      <c r="O869">
        <v>902000000</v>
      </c>
      <c r="P869">
        <v>7563000000</v>
      </c>
      <c r="Q869">
        <v>61876428000</v>
      </c>
      <c r="R869">
        <v>62778428000</v>
      </c>
    </row>
    <row r="870" spans="1:18" x14ac:dyDescent="0.25">
      <c r="A870" s="1" t="s">
        <v>656</v>
      </c>
      <c r="B870">
        <v>54916844000</v>
      </c>
      <c r="C870" t="s">
        <v>77</v>
      </c>
      <c r="D870" t="s">
        <v>105</v>
      </c>
      <c r="E870">
        <v>4397000000</v>
      </c>
      <c r="F870">
        <v>0</v>
      </c>
      <c r="G870">
        <v>4397000000</v>
      </c>
      <c r="H870">
        <v>8751000000</v>
      </c>
      <c r="I870">
        <v>504000000</v>
      </c>
      <c r="J870">
        <v>215000000</v>
      </c>
      <c r="K870">
        <v>10982000000</v>
      </c>
      <c r="L870">
        <v>8945000000</v>
      </c>
      <c r="M870">
        <v>23451000000</v>
      </c>
      <c r="N870">
        <v>0</v>
      </c>
      <c r="O870">
        <v>902000000</v>
      </c>
      <c r="P870">
        <v>7563000000</v>
      </c>
      <c r="Q870">
        <v>61716844000</v>
      </c>
      <c r="R870">
        <v>62618844000</v>
      </c>
    </row>
    <row r="871" spans="1:18" x14ac:dyDescent="0.25">
      <c r="A871" s="1" t="s">
        <v>655</v>
      </c>
      <c r="B871">
        <v>55595076000</v>
      </c>
      <c r="C871" t="s">
        <v>77</v>
      </c>
      <c r="D871" t="s">
        <v>105</v>
      </c>
      <c r="E871">
        <v>4397000000</v>
      </c>
      <c r="F871">
        <v>0</v>
      </c>
      <c r="G871">
        <v>4397000000</v>
      </c>
      <c r="H871">
        <v>8751000000</v>
      </c>
      <c r="I871">
        <v>504000000</v>
      </c>
      <c r="J871">
        <v>215000000</v>
      </c>
      <c r="K871">
        <v>10982000000</v>
      </c>
      <c r="L871">
        <v>8945000000</v>
      </c>
      <c r="M871">
        <v>23451000000</v>
      </c>
      <c r="N871">
        <v>0</v>
      </c>
      <c r="O871">
        <v>902000000</v>
      </c>
      <c r="P871">
        <v>7563000000</v>
      </c>
      <c r="Q871">
        <v>62395076000</v>
      </c>
      <c r="R871">
        <v>63297076000</v>
      </c>
    </row>
    <row r="872" spans="1:18" x14ac:dyDescent="0.25">
      <c r="A872" s="1" t="s">
        <v>654</v>
      </c>
      <c r="B872">
        <v>55894296000</v>
      </c>
      <c r="C872" t="s">
        <v>77</v>
      </c>
      <c r="D872" t="s">
        <v>105</v>
      </c>
      <c r="E872">
        <v>4397000000</v>
      </c>
      <c r="F872">
        <v>0</v>
      </c>
      <c r="G872">
        <v>4397000000</v>
      </c>
      <c r="H872">
        <v>8751000000</v>
      </c>
      <c r="I872">
        <v>504000000</v>
      </c>
      <c r="J872">
        <v>215000000</v>
      </c>
      <c r="K872">
        <v>10982000000</v>
      </c>
      <c r="L872">
        <v>8945000000</v>
      </c>
      <c r="M872">
        <v>23451000000</v>
      </c>
      <c r="N872">
        <v>0</v>
      </c>
      <c r="O872">
        <v>902000000</v>
      </c>
      <c r="P872">
        <v>7563000000</v>
      </c>
      <c r="Q872">
        <v>62694296000</v>
      </c>
      <c r="R872">
        <v>63596296000</v>
      </c>
    </row>
    <row r="873" spans="1:18" x14ac:dyDescent="0.25">
      <c r="A873" s="1" t="s">
        <v>653</v>
      </c>
      <c r="B873">
        <v>55156220000</v>
      </c>
      <c r="C873" t="s">
        <v>77</v>
      </c>
      <c r="D873" t="s">
        <v>105</v>
      </c>
      <c r="E873">
        <v>4397000000</v>
      </c>
      <c r="F873">
        <v>0</v>
      </c>
      <c r="G873">
        <v>4397000000</v>
      </c>
      <c r="H873">
        <v>8751000000</v>
      </c>
      <c r="I873">
        <v>504000000</v>
      </c>
      <c r="J873">
        <v>215000000</v>
      </c>
      <c r="K873">
        <v>10982000000</v>
      </c>
      <c r="L873">
        <v>8945000000</v>
      </c>
      <c r="M873">
        <v>23451000000</v>
      </c>
      <c r="N873">
        <v>0</v>
      </c>
      <c r="O873">
        <v>902000000</v>
      </c>
      <c r="P873">
        <v>7563000000</v>
      </c>
      <c r="Q873">
        <v>61956220000</v>
      </c>
      <c r="R873">
        <v>62858220000</v>
      </c>
    </row>
    <row r="874" spans="1:18" x14ac:dyDescent="0.25">
      <c r="A874" s="1" t="s">
        <v>652</v>
      </c>
      <c r="B874">
        <v>56572528000</v>
      </c>
      <c r="C874" t="s">
        <v>77</v>
      </c>
      <c r="D874" t="s">
        <v>105</v>
      </c>
      <c r="E874">
        <v>4397000000</v>
      </c>
      <c r="F874">
        <v>0</v>
      </c>
      <c r="G874">
        <v>4397000000</v>
      </c>
      <c r="H874">
        <v>8751000000</v>
      </c>
      <c r="I874">
        <v>504000000</v>
      </c>
      <c r="J874">
        <v>215000000</v>
      </c>
      <c r="K874">
        <v>10982000000</v>
      </c>
      <c r="L874">
        <v>8945000000</v>
      </c>
      <c r="M874">
        <v>23451000000</v>
      </c>
      <c r="N874">
        <v>0</v>
      </c>
      <c r="O874">
        <v>902000000</v>
      </c>
      <c r="P874">
        <v>7563000000</v>
      </c>
      <c r="Q874">
        <v>63372528000</v>
      </c>
      <c r="R874">
        <v>64274528000</v>
      </c>
    </row>
    <row r="875" spans="1:18" x14ac:dyDescent="0.25">
      <c r="A875" s="1" t="s">
        <v>651</v>
      </c>
      <c r="B875">
        <v>56253360000</v>
      </c>
      <c r="C875" t="s">
        <v>77</v>
      </c>
      <c r="D875" t="s">
        <v>105</v>
      </c>
      <c r="E875">
        <v>4397000000</v>
      </c>
      <c r="F875">
        <v>0</v>
      </c>
      <c r="G875">
        <v>4397000000</v>
      </c>
      <c r="H875">
        <v>8751000000</v>
      </c>
      <c r="I875">
        <v>504000000</v>
      </c>
      <c r="J875">
        <v>215000000</v>
      </c>
      <c r="K875">
        <v>10982000000</v>
      </c>
      <c r="L875">
        <v>8945000000</v>
      </c>
      <c r="M875">
        <v>23451000000</v>
      </c>
      <c r="N875">
        <v>0</v>
      </c>
      <c r="O875">
        <v>902000000</v>
      </c>
      <c r="P875">
        <v>7563000000</v>
      </c>
      <c r="Q875">
        <v>63053360000</v>
      </c>
      <c r="R875">
        <v>63955360000</v>
      </c>
    </row>
    <row r="876" spans="1:18" x14ac:dyDescent="0.25">
      <c r="A876" s="1" t="s">
        <v>650</v>
      </c>
      <c r="B876">
        <v>55495336000</v>
      </c>
      <c r="C876" t="s">
        <v>77</v>
      </c>
      <c r="D876" t="s">
        <v>105</v>
      </c>
      <c r="E876">
        <v>4397000000</v>
      </c>
      <c r="F876">
        <v>0</v>
      </c>
      <c r="G876">
        <v>4397000000</v>
      </c>
      <c r="H876">
        <v>8751000000</v>
      </c>
      <c r="I876">
        <v>504000000</v>
      </c>
      <c r="J876">
        <v>215000000</v>
      </c>
      <c r="K876">
        <v>10982000000</v>
      </c>
      <c r="L876">
        <v>8945000000</v>
      </c>
      <c r="M876">
        <v>23451000000</v>
      </c>
      <c r="N876">
        <v>0</v>
      </c>
      <c r="O876">
        <v>902000000</v>
      </c>
      <c r="P876">
        <v>7563000000</v>
      </c>
      <c r="Q876">
        <v>62295336000</v>
      </c>
      <c r="R876">
        <v>63197336000</v>
      </c>
    </row>
    <row r="877" spans="1:18" x14ac:dyDescent="0.25">
      <c r="A877" s="1" t="s">
        <v>649</v>
      </c>
      <c r="B877">
        <v>54857000000</v>
      </c>
      <c r="C877" t="s">
        <v>77</v>
      </c>
      <c r="D877" t="s">
        <v>105</v>
      </c>
      <c r="E877">
        <v>4397000000</v>
      </c>
      <c r="F877">
        <v>0</v>
      </c>
      <c r="G877">
        <v>4397000000</v>
      </c>
      <c r="H877">
        <v>8751000000</v>
      </c>
      <c r="I877">
        <v>504000000</v>
      </c>
      <c r="J877">
        <v>215000000</v>
      </c>
      <c r="K877">
        <v>10982000000</v>
      </c>
      <c r="L877">
        <v>8945000000</v>
      </c>
      <c r="M877">
        <v>23451000000</v>
      </c>
      <c r="N877">
        <v>0</v>
      </c>
      <c r="O877">
        <v>902000000</v>
      </c>
      <c r="P877">
        <v>7563000000</v>
      </c>
      <c r="Q877">
        <v>61657000000</v>
      </c>
      <c r="R877">
        <v>62559000000</v>
      </c>
    </row>
    <row r="878" spans="1:18" x14ac:dyDescent="0.25">
      <c r="A878" s="1" t="s">
        <v>648</v>
      </c>
      <c r="B878">
        <v>53001836000</v>
      </c>
      <c r="C878" t="s">
        <v>77</v>
      </c>
      <c r="D878" t="s">
        <v>105</v>
      </c>
      <c r="E878">
        <v>4397000000</v>
      </c>
      <c r="F878">
        <v>0</v>
      </c>
      <c r="G878">
        <v>4397000000</v>
      </c>
      <c r="H878">
        <v>8751000000</v>
      </c>
      <c r="I878">
        <v>504000000</v>
      </c>
      <c r="J878">
        <v>215000000</v>
      </c>
      <c r="K878">
        <v>10982000000</v>
      </c>
      <c r="L878">
        <v>8945000000</v>
      </c>
      <c r="M878">
        <v>23451000000</v>
      </c>
      <c r="N878">
        <v>0</v>
      </c>
      <c r="O878">
        <v>902000000</v>
      </c>
      <c r="P878">
        <v>7563000000</v>
      </c>
      <c r="Q878">
        <v>59801836000</v>
      </c>
      <c r="R878">
        <v>60703836000</v>
      </c>
    </row>
    <row r="879" spans="1:18" x14ac:dyDescent="0.25">
      <c r="A879" s="1" t="s">
        <v>124</v>
      </c>
      <c r="B879">
        <v>59345300000</v>
      </c>
      <c r="C879" t="s">
        <v>76</v>
      </c>
      <c r="D879" t="s">
        <v>105</v>
      </c>
      <c r="E879">
        <v>4865000000</v>
      </c>
      <c r="F879">
        <v>0</v>
      </c>
      <c r="G879">
        <v>4865000000</v>
      </c>
      <c r="H879">
        <v>9368000000</v>
      </c>
      <c r="I879">
        <v>1442000000</v>
      </c>
      <c r="J879">
        <v>189000000</v>
      </c>
      <c r="K879">
        <v>10894000000</v>
      </c>
      <c r="L879">
        <v>9020000000</v>
      </c>
      <c r="M879">
        <v>23712000000</v>
      </c>
      <c r="N879">
        <v>0</v>
      </c>
      <c r="O879">
        <v>1153000000</v>
      </c>
      <c r="P879">
        <v>7400000000</v>
      </c>
      <c r="Q879">
        <v>65563300000</v>
      </c>
      <c r="R879">
        <v>66716300000</v>
      </c>
    </row>
    <row r="880" spans="1:18" x14ac:dyDescent="0.25">
      <c r="A880" s="1" t="s">
        <v>647</v>
      </c>
      <c r="B880">
        <v>57470188000</v>
      </c>
      <c r="C880" t="s">
        <v>76</v>
      </c>
      <c r="D880" t="s">
        <v>105</v>
      </c>
      <c r="E880">
        <v>4865000000</v>
      </c>
      <c r="F880">
        <v>0</v>
      </c>
      <c r="G880">
        <v>4865000000</v>
      </c>
      <c r="H880">
        <v>9368000000</v>
      </c>
      <c r="I880">
        <v>1442000000</v>
      </c>
      <c r="J880">
        <v>189000000</v>
      </c>
      <c r="K880">
        <v>10894000000</v>
      </c>
      <c r="L880">
        <v>9020000000</v>
      </c>
      <c r="M880">
        <v>23712000000</v>
      </c>
      <c r="N880">
        <v>0</v>
      </c>
      <c r="O880">
        <v>1153000000</v>
      </c>
      <c r="P880">
        <v>7400000000</v>
      </c>
      <c r="Q880">
        <v>63688188000</v>
      </c>
      <c r="R880">
        <v>64841188000</v>
      </c>
    </row>
    <row r="881" spans="1:18" x14ac:dyDescent="0.25">
      <c r="A881" s="1" t="s">
        <v>646</v>
      </c>
      <c r="B881">
        <v>57310604000</v>
      </c>
      <c r="C881" t="s">
        <v>76</v>
      </c>
      <c r="D881" t="s">
        <v>105</v>
      </c>
      <c r="E881">
        <v>4865000000</v>
      </c>
      <c r="F881">
        <v>0</v>
      </c>
      <c r="G881">
        <v>4865000000</v>
      </c>
      <c r="H881">
        <v>9368000000</v>
      </c>
      <c r="I881">
        <v>1442000000</v>
      </c>
      <c r="J881">
        <v>189000000</v>
      </c>
      <c r="K881">
        <v>10894000000</v>
      </c>
      <c r="L881">
        <v>9020000000</v>
      </c>
      <c r="M881">
        <v>23712000000</v>
      </c>
      <c r="N881">
        <v>0</v>
      </c>
      <c r="O881">
        <v>1153000000</v>
      </c>
      <c r="P881">
        <v>7400000000</v>
      </c>
      <c r="Q881">
        <v>63528604000</v>
      </c>
      <c r="R881">
        <v>64681604000</v>
      </c>
    </row>
    <row r="882" spans="1:18" x14ac:dyDescent="0.25">
      <c r="A882" s="1" t="s">
        <v>645</v>
      </c>
      <c r="B882">
        <v>56632372000</v>
      </c>
      <c r="C882" t="s">
        <v>76</v>
      </c>
      <c r="D882" t="s">
        <v>105</v>
      </c>
      <c r="E882">
        <v>4865000000</v>
      </c>
      <c r="F882">
        <v>0</v>
      </c>
      <c r="G882">
        <v>4865000000</v>
      </c>
      <c r="H882">
        <v>9368000000</v>
      </c>
      <c r="I882">
        <v>1442000000</v>
      </c>
      <c r="J882">
        <v>189000000</v>
      </c>
      <c r="K882">
        <v>10894000000</v>
      </c>
      <c r="L882">
        <v>9020000000</v>
      </c>
      <c r="M882">
        <v>23712000000</v>
      </c>
      <c r="N882">
        <v>0</v>
      </c>
      <c r="O882">
        <v>1153000000</v>
      </c>
      <c r="P882">
        <v>7400000000</v>
      </c>
      <c r="Q882">
        <v>62850372000</v>
      </c>
      <c r="R882">
        <v>64003372000</v>
      </c>
    </row>
    <row r="883" spans="1:18" x14ac:dyDescent="0.25">
      <c r="A883" s="1" t="s">
        <v>644</v>
      </c>
      <c r="B883">
        <v>55236012000</v>
      </c>
      <c r="C883" t="s">
        <v>76</v>
      </c>
      <c r="D883" t="s">
        <v>105</v>
      </c>
      <c r="E883">
        <v>4865000000</v>
      </c>
      <c r="F883">
        <v>0</v>
      </c>
      <c r="G883">
        <v>4865000000</v>
      </c>
      <c r="H883">
        <v>9368000000</v>
      </c>
      <c r="I883">
        <v>1442000000</v>
      </c>
      <c r="J883">
        <v>189000000</v>
      </c>
      <c r="K883">
        <v>10894000000</v>
      </c>
      <c r="L883">
        <v>9020000000</v>
      </c>
      <c r="M883">
        <v>23712000000</v>
      </c>
      <c r="N883">
        <v>0</v>
      </c>
      <c r="O883">
        <v>1153000000</v>
      </c>
      <c r="P883">
        <v>7400000000</v>
      </c>
      <c r="Q883">
        <v>61454012000</v>
      </c>
      <c r="R883">
        <v>62607012000</v>
      </c>
    </row>
    <row r="884" spans="1:18" x14ac:dyDescent="0.25">
      <c r="A884" s="1" t="s">
        <v>643</v>
      </c>
      <c r="B884">
        <v>54737312000</v>
      </c>
      <c r="C884" t="s">
        <v>76</v>
      </c>
      <c r="D884" t="s">
        <v>105</v>
      </c>
      <c r="E884">
        <v>4865000000</v>
      </c>
      <c r="F884">
        <v>0</v>
      </c>
      <c r="G884">
        <v>4865000000</v>
      </c>
      <c r="H884">
        <v>9368000000</v>
      </c>
      <c r="I884">
        <v>1442000000</v>
      </c>
      <c r="J884">
        <v>189000000</v>
      </c>
      <c r="K884">
        <v>10894000000</v>
      </c>
      <c r="L884">
        <v>9020000000</v>
      </c>
      <c r="M884">
        <v>23712000000</v>
      </c>
      <c r="N884">
        <v>0</v>
      </c>
      <c r="O884">
        <v>1153000000</v>
      </c>
      <c r="P884">
        <v>7400000000</v>
      </c>
      <c r="Q884">
        <v>60955312000</v>
      </c>
      <c r="R884">
        <v>62108312000</v>
      </c>
    </row>
    <row r="885" spans="1:18" x14ac:dyDescent="0.25">
      <c r="A885" s="1" t="s">
        <v>642</v>
      </c>
      <c r="B885">
        <v>52961940000</v>
      </c>
      <c r="C885" t="s">
        <v>76</v>
      </c>
      <c r="D885" t="s">
        <v>105</v>
      </c>
      <c r="E885">
        <v>4865000000</v>
      </c>
      <c r="F885">
        <v>0</v>
      </c>
      <c r="G885">
        <v>4865000000</v>
      </c>
      <c r="H885">
        <v>9368000000</v>
      </c>
      <c r="I885">
        <v>1442000000</v>
      </c>
      <c r="J885">
        <v>189000000</v>
      </c>
      <c r="K885">
        <v>10894000000</v>
      </c>
      <c r="L885">
        <v>9020000000</v>
      </c>
      <c r="M885">
        <v>23712000000</v>
      </c>
      <c r="N885">
        <v>0</v>
      </c>
      <c r="O885">
        <v>1153000000</v>
      </c>
      <c r="P885">
        <v>7400000000</v>
      </c>
      <c r="Q885">
        <v>59179940000</v>
      </c>
      <c r="R885">
        <v>60332940000</v>
      </c>
    </row>
    <row r="886" spans="1:18" x14ac:dyDescent="0.25">
      <c r="A886" s="1" t="s">
        <v>641</v>
      </c>
      <c r="B886">
        <v>57549980000</v>
      </c>
      <c r="C886" t="s">
        <v>76</v>
      </c>
      <c r="D886" t="s">
        <v>105</v>
      </c>
      <c r="E886">
        <v>4865000000</v>
      </c>
      <c r="F886">
        <v>0</v>
      </c>
      <c r="G886">
        <v>4865000000</v>
      </c>
      <c r="H886">
        <v>9368000000</v>
      </c>
      <c r="I886">
        <v>1442000000</v>
      </c>
      <c r="J886">
        <v>189000000</v>
      </c>
      <c r="K886">
        <v>10894000000</v>
      </c>
      <c r="L886">
        <v>9020000000</v>
      </c>
      <c r="M886">
        <v>23712000000</v>
      </c>
      <c r="N886">
        <v>0</v>
      </c>
      <c r="O886">
        <v>1153000000</v>
      </c>
      <c r="P886">
        <v>7400000000</v>
      </c>
      <c r="Q886">
        <v>63767980000</v>
      </c>
      <c r="R886">
        <v>64920980000</v>
      </c>
    </row>
    <row r="887" spans="1:18" x14ac:dyDescent="0.25">
      <c r="A887" s="1" t="s">
        <v>640</v>
      </c>
      <c r="B887">
        <v>58148420000</v>
      </c>
      <c r="C887" t="s">
        <v>76</v>
      </c>
      <c r="D887" t="s">
        <v>105</v>
      </c>
      <c r="E887">
        <v>4865000000</v>
      </c>
      <c r="F887">
        <v>0</v>
      </c>
      <c r="G887">
        <v>4865000000</v>
      </c>
      <c r="H887">
        <v>9368000000</v>
      </c>
      <c r="I887">
        <v>1442000000</v>
      </c>
      <c r="J887">
        <v>189000000</v>
      </c>
      <c r="K887">
        <v>10894000000</v>
      </c>
      <c r="L887">
        <v>9020000000</v>
      </c>
      <c r="M887">
        <v>23712000000</v>
      </c>
      <c r="N887">
        <v>0</v>
      </c>
      <c r="O887">
        <v>1153000000</v>
      </c>
      <c r="P887">
        <v>7400000000</v>
      </c>
      <c r="Q887">
        <v>64366420000</v>
      </c>
      <c r="R887">
        <v>65519420000</v>
      </c>
    </row>
    <row r="888" spans="1:18" x14ac:dyDescent="0.25">
      <c r="A888" s="1" t="s">
        <v>639</v>
      </c>
      <c r="B888">
        <v>57988836000</v>
      </c>
      <c r="C888" t="s">
        <v>76</v>
      </c>
      <c r="D888" t="s">
        <v>105</v>
      </c>
      <c r="E888">
        <v>4865000000</v>
      </c>
      <c r="F888">
        <v>0</v>
      </c>
      <c r="G888">
        <v>4865000000</v>
      </c>
      <c r="H888">
        <v>9368000000</v>
      </c>
      <c r="I888">
        <v>1442000000</v>
      </c>
      <c r="J888">
        <v>189000000</v>
      </c>
      <c r="K888">
        <v>10894000000</v>
      </c>
      <c r="L888">
        <v>9020000000</v>
      </c>
      <c r="M888">
        <v>23712000000</v>
      </c>
      <c r="N888">
        <v>0</v>
      </c>
      <c r="O888">
        <v>1153000000</v>
      </c>
      <c r="P888">
        <v>7400000000</v>
      </c>
      <c r="Q888">
        <v>64206836000</v>
      </c>
      <c r="R888">
        <v>65359836000</v>
      </c>
    </row>
    <row r="889" spans="1:18" x14ac:dyDescent="0.25">
      <c r="A889" s="1" t="s">
        <v>638</v>
      </c>
      <c r="B889">
        <v>62975836000</v>
      </c>
      <c r="C889" t="s">
        <v>76</v>
      </c>
      <c r="D889" t="s">
        <v>105</v>
      </c>
      <c r="E889">
        <v>4865000000</v>
      </c>
      <c r="F889">
        <v>0</v>
      </c>
      <c r="G889">
        <v>4865000000</v>
      </c>
      <c r="H889">
        <v>9368000000</v>
      </c>
      <c r="I889">
        <v>1442000000</v>
      </c>
      <c r="J889">
        <v>189000000</v>
      </c>
      <c r="K889">
        <v>10894000000</v>
      </c>
      <c r="L889">
        <v>9020000000</v>
      </c>
      <c r="M889">
        <v>23712000000</v>
      </c>
      <c r="N889">
        <v>0</v>
      </c>
      <c r="O889">
        <v>1153000000</v>
      </c>
      <c r="P889">
        <v>7400000000</v>
      </c>
      <c r="Q889">
        <v>69193836000</v>
      </c>
      <c r="R889">
        <v>70346836000</v>
      </c>
    </row>
    <row r="890" spans="1:18" x14ac:dyDescent="0.25">
      <c r="A890" s="1" t="s">
        <v>637</v>
      </c>
      <c r="B890">
        <v>59923792000</v>
      </c>
      <c r="C890" t="s">
        <v>76</v>
      </c>
      <c r="D890" t="s">
        <v>105</v>
      </c>
      <c r="E890">
        <v>4865000000</v>
      </c>
      <c r="F890">
        <v>0</v>
      </c>
      <c r="G890">
        <v>4865000000</v>
      </c>
      <c r="H890">
        <v>9368000000</v>
      </c>
      <c r="I890">
        <v>1442000000</v>
      </c>
      <c r="J890">
        <v>189000000</v>
      </c>
      <c r="K890">
        <v>10894000000</v>
      </c>
      <c r="L890">
        <v>9020000000</v>
      </c>
      <c r="M890">
        <v>23712000000</v>
      </c>
      <c r="N890">
        <v>0</v>
      </c>
      <c r="O890">
        <v>1153000000</v>
      </c>
      <c r="P890">
        <v>7400000000</v>
      </c>
      <c r="Q890">
        <v>66141792000</v>
      </c>
      <c r="R890">
        <v>67294792000</v>
      </c>
    </row>
    <row r="891" spans="1:18" x14ac:dyDescent="0.25">
      <c r="A891" s="1" t="s">
        <v>636</v>
      </c>
      <c r="B891">
        <v>57609824000</v>
      </c>
      <c r="C891" t="s">
        <v>76</v>
      </c>
      <c r="D891" t="s">
        <v>105</v>
      </c>
      <c r="E891">
        <v>4865000000</v>
      </c>
      <c r="F891">
        <v>0</v>
      </c>
      <c r="G891">
        <v>4865000000</v>
      </c>
      <c r="H891">
        <v>9368000000</v>
      </c>
      <c r="I891">
        <v>1442000000</v>
      </c>
      <c r="J891">
        <v>189000000</v>
      </c>
      <c r="K891">
        <v>10894000000</v>
      </c>
      <c r="L891">
        <v>9020000000</v>
      </c>
      <c r="M891">
        <v>23712000000</v>
      </c>
      <c r="N891">
        <v>0</v>
      </c>
      <c r="O891">
        <v>1153000000</v>
      </c>
      <c r="P891">
        <v>7400000000</v>
      </c>
      <c r="Q891">
        <v>63827824000</v>
      </c>
      <c r="R891">
        <v>64980824000</v>
      </c>
    </row>
    <row r="892" spans="1:18" x14ac:dyDescent="0.25">
      <c r="A892" s="1" t="s">
        <v>635</v>
      </c>
      <c r="B892">
        <v>57769408000</v>
      </c>
      <c r="C892" t="s">
        <v>76</v>
      </c>
      <c r="D892" t="s">
        <v>105</v>
      </c>
      <c r="E892">
        <v>4865000000</v>
      </c>
      <c r="F892">
        <v>0</v>
      </c>
      <c r="G892">
        <v>4865000000</v>
      </c>
      <c r="H892">
        <v>9368000000</v>
      </c>
      <c r="I892">
        <v>1442000000</v>
      </c>
      <c r="J892">
        <v>189000000</v>
      </c>
      <c r="K892">
        <v>10894000000</v>
      </c>
      <c r="L892">
        <v>9020000000</v>
      </c>
      <c r="M892">
        <v>23712000000</v>
      </c>
      <c r="N892">
        <v>0</v>
      </c>
      <c r="O892">
        <v>1153000000</v>
      </c>
      <c r="P892">
        <v>7400000000</v>
      </c>
      <c r="Q892">
        <v>63987408000</v>
      </c>
      <c r="R892">
        <v>65140408000</v>
      </c>
    </row>
    <row r="893" spans="1:18" x14ac:dyDescent="0.25">
      <c r="A893" s="1" t="s">
        <v>634</v>
      </c>
      <c r="B893">
        <v>56353100000</v>
      </c>
      <c r="C893" t="s">
        <v>76</v>
      </c>
      <c r="D893" t="s">
        <v>105</v>
      </c>
      <c r="E893">
        <v>4865000000</v>
      </c>
      <c r="F893">
        <v>0</v>
      </c>
      <c r="G893">
        <v>4865000000</v>
      </c>
      <c r="H893">
        <v>9368000000</v>
      </c>
      <c r="I893">
        <v>1442000000</v>
      </c>
      <c r="J893">
        <v>189000000</v>
      </c>
      <c r="K893">
        <v>10894000000</v>
      </c>
      <c r="L893">
        <v>9020000000</v>
      </c>
      <c r="M893">
        <v>23712000000</v>
      </c>
      <c r="N893">
        <v>0</v>
      </c>
      <c r="O893">
        <v>1153000000</v>
      </c>
      <c r="P893">
        <v>7400000000</v>
      </c>
      <c r="Q893">
        <v>62571100000</v>
      </c>
      <c r="R893">
        <v>63724100000</v>
      </c>
    </row>
    <row r="894" spans="1:18" x14ac:dyDescent="0.25">
      <c r="A894" s="1" t="s">
        <v>633</v>
      </c>
      <c r="B894">
        <v>56013984000</v>
      </c>
      <c r="C894" t="s">
        <v>76</v>
      </c>
      <c r="D894" t="s">
        <v>105</v>
      </c>
      <c r="E894">
        <v>4865000000</v>
      </c>
      <c r="F894">
        <v>0</v>
      </c>
      <c r="G894">
        <v>4865000000</v>
      </c>
      <c r="H894">
        <v>9368000000</v>
      </c>
      <c r="I894">
        <v>1442000000</v>
      </c>
      <c r="J894">
        <v>189000000</v>
      </c>
      <c r="K894">
        <v>10894000000</v>
      </c>
      <c r="L894">
        <v>9020000000</v>
      </c>
      <c r="M894">
        <v>23712000000</v>
      </c>
      <c r="N894">
        <v>0</v>
      </c>
      <c r="O894">
        <v>1153000000</v>
      </c>
      <c r="P894">
        <v>7400000000</v>
      </c>
      <c r="Q894">
        <v>62231984000</v>
      </c>
      <c r="R894">
        <v>63384984000</v>
      </c>
    </row>
    <row r="895" spans="1:18" x14ac:dyDescent="0.25">
      <c r="A895" s="1" t="s">
        <v>632</v>
      </c>
      <c r="B895">
        <v>57430292000</v>
      </c>
      <c r="C895" t="s">
        <v>76</v>
      </c>
      <c r="D895" t="s">
        <v>105</v>
      </c>
      <c r="E895">
        <v>4865000000</v>
      </c>
      <c r="F895">
        <v>0</v>
      </c>
      <c r="G895">
        <v>4865000000</v>
      </c>
      <c r="H895">
        <v>9368000000</v>
      </c>
      <c r="I895">
        <v>1442000000</v>
      </c>
      <c r="J895">
        <v>189000000</v>
      </c>
      <c r="K895">
        <v>10894000000</v>
      </c>
      <c r="L895">
        <v>9020000000</v>
      </c>
      <c r="M895">
        <v>23712000000</v>
      </c>
      <c r="N895">
        <v>0</v>
      </c>
      <c r="O895">
        <v>1153000000</v>
      </c>
      <c r="P895">
        <v>7400000000</v>
      </c>
      <c r="Q895">
        <v>63648292000</v>
      </c>
      <c r="R895">
        <v>64801292000</v>
      </c>
    </row>
    <row r="896" spans="1:18" x14ac:dyDescent="0.25">
      <c r="A896" s="1" t="s">
        <v>631</v>
      </c>
      <c r="B896">
        <v>56851800000</v>
      </c>
      <c r="C896" t="s">
        <v>76</v>
      </c>
      <c r="D896" t="s">
        <v>105</v>
      </c>
      <c r="E896">
        <v>4865000000</v>
      </c>
      <c r="F896">
        <v>0</v>
      </c>
      <c r="G896">
        <v>4865000000</v>
      </c>
      <c r="H896">
        <v>9368000000</v>
      </c>
      <c r="I896">
        <v>1442000000</v>
      </c>
      <c r="J896">
        <v>189000000</v>
      </c>
      <c r="K896">
        <v>10894000000</v>
      </c>
      <c r="L896">
        <v>9020000000</v>
      </c>
      <c r="M896">
        <v>23712000000</v>
      </c>
      <c r="N896">
        <v>0</v>
      </c>
      <c r="O896">
        <v>1153000000</v>
      </c>
      <c r="P896">
        <v>7400000000</v>
      </c>
      <c r="Q896">
        <v>63069800000</v>
      </c>
      <c r="R896">
        <v>64222800000</v>
      </c>
    </row>
    <row r="897" spans="1:18" x14ac:dyDescent="0.25">
      <c r="A897" s="1" t="s">
        <v>630</v>
      </c>
      <c r="B897">
        <v>55375648000</v>
      </c>
      <c r="C897" t="s">
        <v>76</v>
      </c>
      <c r="D897" t="s">
        <v>105</v>
      </c>
      <c r="E897">
        <v>4865000000</v>
      </c>
      <c r="F897">
        <v>0</v>
      </c>
      <c r="G897">
        <v>4865000000</v>
      </c>
      <c r="H897">
        <v>9368000000</v>
      </c>
      <c r="I897">
        <v>1442000000</v>
      </c>
      <c r="J897">
        <v>189000000</v>
      </c>
      <c r="K897">
        <v>10894000000</v>
      </c>
      <c r="L897">
        <v>9020000000</v>
      </c>
      <c r="M897">
        <v>23712000000</v>
      </c>
      <c r="N897">
        <v>0</v>
      </c>
      <c r="O897">
        <v>1153000000</v>
      </c>
      <c r="P897">
        <v>7400000000</v>
      </c>
      <c r="Q897">
        <v>61593648000</v>
      </c>
      <c r="R897">
        <v>62746648000</v>
      </c>
    </row>
    <row r="898" spans="1:18" x14ac:dyDescent="0.25">
      <c r="A898" s="1" t="s">
        <v>629</v>
      </c>
      <c r="B898">
        <v>55375648000</v>
      </c>
      <c r="C898" t="s">
        <v>76</v>
      </c>
      <c r="D898" t="s">
        <v>105</v>
      </c>
      <c r="E898">
        <v>4865000000</v>
      </c>
      <c r="F898">
        <v>0</v>
      </c>
      <c r="G898">
        <v>4865000000</v>
      </c>
      <c r="H898">
        <v>9368000000</v>
      </c>
      <c r="I898">
        <v>1442000000</v>
      </c>
      <c r="J898">
        <v>189000000</v>
      </c>
      <c r="K898">
        <v>10894000000</v>
      </c>
      <c r="L898">
        <v>9020000000</v>
      </c>
      <c r="M898">
        <v>23712000000</v>
      </c>
      <c r="N898">
        <v>0</v>
      </c>
      <c r="O898">
        <v>1153000000</v>
      </c>
      <c r="P898">
        <v>7400000000</v>
      </c>
      <c r="Q898">
        <v>61593648000</v>
      </c>
      <c r="R898">
        <v>62746648000</v>
      </c>
    </row>
    <row r="899" spans="1:18" x14ac:dyDescent="0.25">
      <c r="A899" s="1" t="s">
        <v>628</v>
      </c>
      <c r="B899">
        <v>58128472000</v>
      </c>
      <c r="C899" t="s">
        <v>76</v>
      </c>
      <c r="D899" t="s">
        <v>105</v>
      </c>
      <c r="E899">
        <v>4865000000</v>
      </c>
      <c r="F899">
        <v>0</v>
      </c>
      <c r="G899">
        <v>4865000000</v>
      </c>
      <c r="H899">
        <v>9368000000</v>
      </c>
      <c r="I899">
        <v>1442000000</v>
      </c>
      <c r="J899">
        <v>189000000</v>
      </c>
      <c r="K899">
        <v>10894000000</v>
      </c>
      <c r="L899">
        <v>9020000000</v>
      </c>
      <c r="M899">
        <v>23712000000</v>
      </c>
      <c r="N899">
        <v>0</v>
      </c>
      <c r="O899">
        <v>1153000000</v>
      </c>
      <c r="P899">
        <v>7400000000</v>
      </c>
      <c r="Q899">
        <v>64346472000</v>
      </c>
      <c r="R899">
        <v>65499472000</v>
      </c>
    </row>
    <row r="900" spans="1:18" x14ac:dyDescent="0.25">
      <c r="A900" s="1" t="s">
        <v>627</v>
      </c>
      <c r="B900">
        <v>56532632000</v>
      </c>
      <c r="C900" t="s">
        <v>76</v>
      </c>
      <c r="D900" t="s">
        <v>105</v>
      </c>
      <c r="E900">
        <v>4865000000</v>
      </c>
      <c r="F900">
        <v>0</v>
      </c>
      <c r="G900">
        <v>4865000000</v>
      </c>
      <c r="H900">
        <v>9368000000</v>
      </c>
      <c r="I900">
        <v>1442000000</v>
      </c>
      <c r="J900">
        <v>189000000</v>
      </c>
      <c r="K900">
        <v>10894000000</v>
      </c>
      <c r="L900">
        <v>9020000000</v>
      </c>
      <c r="M900">
        <v>23712000000</v>
      </c>
      <c r="N900">
        <v>0</v>
      </c>
      <c r="O900">
        <v>1153000000</v>
      </c>
      <c r="P900">
        <v>7400000000</v>
      </c>
      <c r="Q900">
        <v>62750632000</v>
      </c>
      <c r="R900">
        <v>63903632000</v>
      </c>
    </row>
    <row r="901" spans="1:18" x14ac:dyDescent="0.25">
      <c r="A901" s="1" t="s">
        <v>626</v>
      </c>
      <c r="B901">
        <v>57350500000</v>
      </c>
      <c r="C901" t="s">
        <v>76</v>
      </c>
      <c r="D901" t="s">
        <v>105</v>
      </c>
      <c r="E901">
        <v>4865000000</v>
      </c>
      <c r="F901">
        <v>0</v>
      </c>
      <c r="G901">
        <v>4865000000</v>
      </c>
      <c r="H901">
        <v>9368000000</v>
      </c>
      <c r="I901">
        <v>1442000000</v>
      </c>
      <c r="J901">
        <v>189000000</v>
      </c>
      <c r="K901">
        <v>10894000000</v>
      </c>
      <c r="L901">
        <v>9020000000</v>
      </c>
      <c r="M901">
        <v>23712000000</v>
      </c>
      <c r="N901">
        <v>0</v>
      </c>
      <c r="O901">
        <v>1153000000</v>
      </c>
      <c r="P901">
        <v>7400000000</v>
      </c>
      <c r="Q901">
        <v>63568500000</v>
      </c>
      <c r="R901">
        <v>64721500000</v>
      </c>
    </row>
    <row r="902" spans="1:18" x14ac:dyDescent="0.25">
      <c r="A902" s="1" t="s">
        <v>625</v>
      </c>
      <c r="B902">
        <v>55255960000</v>
      </c>
      <c r="C902" t="s">
        <v>76</v>
      </c>
      <c r="D902" t="s">
        <v>105</v>
      </c>
      <c r="E902">
        <v>4865000000</v>
      </c>
      <c r="F902">
        <v>0</v>
      </c>
      <c r="G902">
        <v>4865000000</v>
      </c>
      <c r="H902">
        <v>9368000000</v>
      </c>
      <c r="I902">
        <v>1442000000</v>
      </c>
      <c r="J902">
        <v>189000000</v>
      </c>
      <c r="K902">
        <v>10894000000</v>
      </c>
      <c r="L902">
        <v>9020000000</v>
      </c>
      <c r="M902">
        <v>23712000000</v>
      </c>
      <c r="N902">
        <v>0</v>
      </c>
      <c r="O902">
        <v>1153000000</v>
      </c>
      <c r="P902">
        <v>7400000000</v>
      </c>
      <c r="Q902">
        <v>61473960000</v>
      </c>
      <c r="R902">
        <v>62626960000</v>
      </c>
    </row>
    <row r="903" spans="1:18" x14ac:dyDescent="0.25">
      <c r="A903" s="1" t="s">
        <v>624</v>
      </c>
      <c r="B903">
        <v>53700016000</v>
      </c>
      <c r="C903" t="s">
        <v>76</v>
      </c>
      <c r="D903" t="s">
        <v>105</v>
      </c>
      <c r="E903">
        <v>4865000000</v>
      </c>
      <c r="F903">
        <v>0</v>
      </c>
      <c r="G903">
        <v>4865000000</v>
      </c>
      <c r="H903">
        <v>9368000000</v>
      </c>
      <c r="I903">
        <v>1442000000</v>
      </c>
      <c r="J903">
        <v>189000000</v>
      </c>
      <c r="K903">
        <v>10894000000</v>
      </c>
      <c r="L903">
        <v>9020000000</v>
      </c>
      <c r="M903">
        <v>23712000000</v>
      </c>
      <c r="N903">
        <v>0</v>
      </c>
      <c r="O903">
        <v>1153000000</v>
      </c>
      <c r="P903">
        <v>7400000000</v>
      </c>
      <c r="Q903">
        <v>59918016000</v>
      </c>
      <c r="R903">
        <v>61071016000</v>
      </c>
    </row>
    <row r="904" spans="1:18" x14ac:dyDescent="0.25">
      <c r="A904" s="1" t="s">
        <v>623</v>
      </c>
      <c r="B904">
        <v>52662720000</v>
      </c>
      <c r="C904" t="s">
        <v>76</v>
      </c>
      <c r="D904" t="s">
        <v>105</v>
      </c>
      <c r="E904">
        <v>4865000000</v>
      </c>
      <c r="F904">
        <v>0</v>
      </c>
      <c r="G904">
        <v>4865000000</v>
      </c>
      <c r="H904">
        <v>9368000000</v>
      </c>
      <c r="I904">
        <v>1442000000</v>
      </c>
      <c r="J904">
        <v>189000000</v>
      </c>
      <c r="K904">
        <v>10894000000</v>
      </c>
      <c r="L904">
        <v>9020000000</v>
      </c>
      <c r="M904">
        <v>23712000000</v>
      </c>
      <c r="N904">
        <v>0</v>
      </c>
      <c r="O904">
        <v>1153000000</v>
      </c>
      <c r="P904">
        <v>7400000000</v>
      </c>
      <c r="Q904">
        <v>58880720000</v>
      </c>
      <c r="R904">
        <v>60033720000</v>
      </c>
    </row>
    <row r="905" spans="1:18" x14ac:dyDescent="0.25">
      <c r="A905" s="1" t="s">
        <v>622</v>
      </c>
      <c r="B905">
        <v>52762460000</v>
      </c>
      <c r="C905" t="s">
        <v>76</v>
      </c>
      <c r="D905" t="s">
        <v>105</v>
      </c>
      <c r="E905">
        <v>4865000000</v>
      </c>
      <c r="F905">
        <v>0</v>
      </c>
      <c r="G905">
        <v>4865000000</v>
      </c>
      <c r="H905">
        <v>9368000000</v>
      </c>
      <c r="I905">
        <v>1442000000</v>
      </c>
      <c r="J905">
        <v>189000000</v>
      </c>
      <c r="K905">
        <v>10894000000</v>
      </c>
      <c r="L905">
        <v>9020000000</v>
      </c>
      <c r="M905">
        <v>23712000000</v>
      </c>
      <c r="N905">
        <v>0</v>
      </c>
      <c r="O905">
        <v>1153000000</v>
      </c>
      <c r="P905">
        <v>7400000000</v>
      </c>
      <c r="Q905">
        <v>58980460000</v>
      </c>
      <c r="R905">
        <v>60133460000</v>
      </c>
    </row>
    <row r="906" spans="1:18" x14ac:dyDescent="0.25">
      <c r="A906" s="1" t="s">
        <v>621</v>
      </c>
      <c r="B906">
        <v>52961940000</v>
      </c>
      <c r="C906" t="s">
        <v>76</v>
      </c>
      <c r="D906" t="s">
        <v>105</v>
      </c>
      <c r="E906">
        <v>4865000000</v>
      </c>
      <c r="F906">
        <v>0</v>
      </c>
      <c r="G906">
        <v>4865000000</v>
      </c>
      <c r="H906">
        <v>9368000000</v>
      </c>
      <c r="I906">
        <v>1442000000</v>
      </c>
      <c r="J906">
        <v>189000000</v>
      </c>
      <c r="K906">
        <v>10894000000</v>
      </c>
      <c r="L906">
        <v>9020000000</v>
      </c>
      <c r="M906">
        <v>23712000000</v>
      </c>
      <c r="N906">
        <v>0</v>
      </c>
      <c r="O906">
        <v>1153000000</v>
      </c>
      <c r="P906">
        <v>7400000000</v>
      </c>
      <c r="Q906">
        <v>59179940000</v>
      </c>
      <c r="R906">
        <v>60332940000</v>
      </c>
    </row>
    <row r="907" spans="1:18" x14ac:dyDescent="0.25">
      <c r="A907" s="1" t="s">
        <v>620</v>
      </c>
      <c r="B907">
        <v>53919444000</v>
      </c>
      <c r="C907" t="s">
        <v>76</v>
      </c>
      <c r="D907" t="s">
        <v>105</v>
      </c>
      <c r="E907">
        <v>4865000000</v>
      </c>
      <c r="F907">
        <v>0</v>
      </c>
      <c r="G907">
        <v>4865000000</v>
      </c>
      <c r="H907">
        <v>9368000000</v>
      </c>
      <c r="I907">
        <v>1442000000</v>
      </c>
      <c r="J907">
        <v>189000000</v>
      </c>
      <c r="K907">
        <v>10894000000</v>
      </c>
      <c r="L907">
        <v>9020000000</v>
      </c>
      <c r="M907">
        <v>23712000000</v>
      </c>
      <c r="N907">
        <v>0</v>
      </c>
      <c r="O907">
        <v>1153000000</v>
      </c>
      <c r="P907">
        <v>7400000000</v>
      </c>
      <c r="Q907">
        <v>60137444000</v>
      </c>
      <c r="R907">
        <v>61290444000</v>
      </c>
    </row>
    <row r="908" spans="1:18" x14ac:dyDescent="0.25">
      <c r="A908" s="1" t="s">
        <v>619</v>
      </c>
      <c r="B908">
        <v>53819704000</v>
      </c>
      <c r="C908" t="s">
        <v>76</v>
      </c>
      <c r="D908" t="s">
        <v>105</v>
      </c>
      <c r="E908">
        <v>4865000000</v>
      </c>
      <c r="F908">
        <v>0</v>
      </c>
      <c r="G908">
        <v>4865000000</v>
      </c>
      <c r="H908">
        <v>9368000000</v>
      </c>
      <c r="I908">
        <v>1442000000</v>
      </c>
      <c r="J908">
        <v>189000000</v>
      </c>
      <c r="K908">
        <v>10894000000</v>
      </c>
      <c r="L908">
        <v>9020000000</v>
      </c>
      <c r="M908">
        <v>23712000000</v>
      </c>
      <c r="N908">
        <v>0</v>
      </c>
      <c r="O908">
        <v>1153000000</v>
      </c>
      <c r="P908">
        <v>7400000000</v>
      </c>
      <c r="Q908">
        <v>60037704000</v>
      </c>
      <c r="R908">
        <v>61190704000</v>
      </c>
    </row>
    <row r="909" spans="1:18" x14ac:dyDescent="0.25">
      <c r="A909" s="1" t="s">
        <v>618</v>
      </c>
      <c r="B909">
        <v>54797156000</v>
      </c>
      <c r="C909" t="s">
        <v>76</v>
      </c>
      <c r="D909" t="s">
        <v>105</v>
      </c>
      <c r="E909">
        <v>4865000000</v>
      </c>
      <c r="F909">
        <v>0</v>
      </c>
      <c r="G909">
        <v>4865000000</v>
      </c>
      <c r="H909">
        <v>9368000000</v>
      </c>
      <c r="I909">
        <v>1442000000</v>
      </c>
      <c r="J909">
        <v>189000000</v>
      </c>
      <c r="K909">
        <v>10894000000</v>
      </c>
      <c r="L909">
        <v>9020000000</v>
      </c>
      <c r="M909">
        <v>23712000000</v>
      </c>
      <c r="N909">
        <v>0</v>
      </c>
      <c r="O909">
        <v>1153000000</v>
      </c>
      <c r="P909">
        <v>7400000000</v>
      </c>
      <c r="Q909">
        <v>61015156000</v>
      </c>
      <c r="R909">
        <v>62168156000</v>
      </c>
    </row>
    <row r="910" spans="1:18" x14ac:dyDescent="0.25">
      <c r="A910" s="1" t="s">
        <v>617</v>
      </c>
      <c r="B910">
        <v>52343552000</v>
      </c>
      <c r="C910" t="s">
        <v>76</v>
      </c>
      <c r="D910" t="s">
        <v>105</v>
      </c>
      <c r="E910">
        <v>4865000000</v>
      </c>
      <c r="F910">
        <v>0</v>
      </c>
      <c r="G910">
        <v>4865000000</v>
      </c>
      <c r="H910">
        <v>9368000000</v>
      </c>
      <c r="I910">
        <v>1442000000</v>
      </c>
      <c r="J910">
        <v>189000000</v>
      </c>
      <c r="K910">
        <v>10894000000</v>
      </c>
      <c r="L910">
        <v>9020000000</v>
      </c>
      <c r="M910">
        <v>23712000000</v>
      </c>
      <c r="N910">
        <v>0</v>
      </c>
      <c r="O910">
        <v>1153000000</v>
      </c>
      <c r="P910">
        <v>7400000000</v>
      </c>
      <c r="Q910">
        <v>58561552000</v>
      </c>
      <c r="R910">
        <v>59714552000</v>
      </c>
    </row>
    <row r="911" spans="1:18" x14ac:dyDescent="0.25">
      <c r="A911" s="1" t="s">
        <v>616</v>
      </c>
      <c r="B911">
        <v>51804956000</v>
      </c>
      <c r="C911" t="s">
        <v>76</v>
      </c>
      <c r="D911" t="s">
        <v>105</v>
      </c>
      <c r="E911">
        <v>4865000000</v>
      </c>
      <c r="F911">
        <v>0</v>
      </c>
      <c r="G911">
        <v>4865000000</v>
      </c>
      <c r="H911">
        <v>9368000000</v>
      </c>
      <c r="I911">
        <v>1442000000</v>
      </c>
      <c r="J911">
        <v>189000000</v>
      </c>
      <c r="K911">
        <v>10894000000</v>
      </c>
      <c r="L911">
        <v>9020000000</v>
      </c>
      <c r="M911">
        <v>23712000000</v>
      </c>
      <c r="N911">
        <v>0</v>
      </c>
      <c r="O911">
        <v>1153000000</v>
      </c>
      <c r="P911">
        <v>7400000000</v>
      </c>
      <c r="Q911">
        <v>58022956000</v>
      </c>
      <c r="R911">
        <v>59175956000</v>
      </c>
    </row>
    <row r="912" spans="1:18" x14ac:dyDescent="0.25">
      <c r="A912" s="1" t="s">
        <v>615</v>
      </c>
      <c r="B912">
        <v>49770260000</v>
      </c>
      <c r="C912" t="s">
        <v>76</v>
      </c>
      <c r="D912" t="s">
        <v>105</v>
      </c>
      <c r="E912">
        <v>4865000000</v>
      </c>
      <c r="F912">
        <v>0</v>
      </c>
      <c r="G912">
        <v>4865000000</v>
      </c>
      <c r="H912">
        <v>9368000000</v>
      </c>
      <c r="I912">
        <v>1442000000</v>
      </c>
      <c r="J912">
        <v>189000000</v>
      </c>
      <c r="K912">
        <v>10894000000</v>
      </c>
      <c r="L912">
        <v>9020000000</v>
      </c>
      <c r="M912">
        <v>23712000000</v>
      </c>
      <c r="N912">
        <v>0</v>
      </c>
      <c r="O912">
        <v>1153000000</v>
      </c>
      <c r="P912">
        <v>7400000000</v>
      </c>
      <c r="Q912">
        <v>55988260000</v>
      </c>
      <c r="R912">
        <v>57141260000</v>
      </c>
    </row>
    <row r="913" spans="1:18" x14ac:dyDescent="0.25">
      <c r="A913" s="1" t="s">
        <v>614</v>
      </c>
      <c r="B913">
        <v>49790208000</v>
      </c>
      <c r="C913" t="s">
        <v>76</v>
      </c>
      <c r="D913" t="s">
        <v>105</v>
      </c>
      <c r="E913">
        <v>4865000000</v>
      </c>
      <c r="F913">
        <v>0</v>
      </c>
      <c r="G913">
        <v>4865000000</v>
      </c>
      <c r="H913">
        <v>9368000000</v>
      </c>
      <c r="I913">
        <v>1442000000</v>
      </c>
      <c r="J913">
        <v>189000000</v>
      </c>
      <c r="K913">
        <v>10894000000</v>
      </c>
      <c r="L913">
        <v>9020000000</v>
      </c>
      <c r="M913">
        <v>23712000000</v>
      </c>
      <c r="N913">
        <v>0</v>
      </c>
      <c r="O913">
        <v>1153000000</v>
      </c>
      <c r="P913">
        <v>7400000000</v>
      </c>
      <c r="Q913">
        <v>56008208000</v>
      </c>
      <c r="R913">
        <v>57161208000</v>
      </c>
    </row>
    <row r="914" spans="1:18" x14ac:dyDescent="0.25">
      <c r="A914" s="1" t="s">
        <v>613</v>
      </c>
      <c r="B914">
        <v>50588128000</v>
      </c>
      <c r="C914" t="s">
        <v>76</v>
      </c>
      <c r="D914" t="s">
        <v>105</v>
      </c>
      <c r="E914">
        <v>4865000000</v>
      </c>
      <c r="F914">
        <v>0</v>
      </c>
      <c r="G914">
        <v>4865000000</v>
      </c>
      <c r="H914">
        <v>9368000000</v>
      </c>
      <c r="I914">
        <v>1442000000</v>
      </c>
      <c r="J914">
        <v>189000000</v>
      </c>
      <c r="K914">
        <v>10894000000</v>
      </c>
      <c r="L914">
        <v>9020000000</v>
      </c>
      <c r="M914">
        <v>23712000000</v>
      </c>
      <c r="N914">
        <v>0</v>
      </c>
      <c r="O914">
        <v>1153000000</v>
      </c>
      <c r="P914">
        <v>7400000000</v>
      </c>
      <c r="Q914">
        <v>56806128000</v>
      </c>
      <c r="R914">
        <v>57959128000</v>
      </c>
    </row>
    <row r="915" spans="1:18" x14ac:dyDescent="0.25">
      <c r="A915" s="1" t="s">
        <v>612</v>
      </c>
      <c r="B915">
        <v>49151872000</v>
      </c>
      <c r="C915" t="s">
        <v>76</v>
      </c>
      <c r="D915" t="s">
        <v>105</v>
      </c>
      <c r="E915">
        <v>4865000000</v>
      </c>
      <c r="F915">
        <v>0</v>
      </c>
      <c r="G915">
        <v>4865000000</v>
      </c>
      <c r="H915">
        <v>9368000000</v>
      </c>
      <c r="I915">
        <v>1442000000</v>
      </c>
      <c r="J915">
        <v>189000000</v>
      </c>
      <c r="K915">
        <v>10894000000</v>
      </c>
      <c r="L915">
        <v>9020000000</v>
      </c>
      <c r="M915">
        <v>23712000000</v>
      </c>
      <c r="N915">
        <v>0</v>
      </c>
      <c r="O915">
        <v>1153000000</v>
      </c>
      <c r="P915">
        <v>7400000000</v>
      </c>
      <c r="Q915">
        <v>55369872000</v>
      </c>
      <c r="R915">
        <v>56522872000</v>
      </c>
    </row>
    <row r="916" spans="1:18" x14ac:dyDescent="0.25">
      <c r="A916" s="1" t="s">
        <v>611</v>
      </c>
      <c r="B916">
        <v>49151872000</v>
      </c>
      <c r="C916" t="s">
        <v>76</v>
      </c>
      <c r="D916" t="s">
        <v>105</v>
      </c>
      <c r="E916">
        <v>4865000000</v>
      </c>
      <c r="F916">
        <v>0</v>
      </c>
      <c r="G916">
        <v>4865000000</v>
      </c>
      <c r="H916">
        <v>9368000000</v>
      </c>
      <c r="I916">
        <v>1442000000</v>
      </c>
      <c r="J916">
        <v>189000000</v>
      </c>
      <c r="K916">
        <v>10894000000</v>
      </c>
      <c r="L916">
        <v>9020000000</v>
      </c>
      <c r="M916">
        <v>23712000000</v>
      </c>
      <c r="N916">
        <v>0</v>
      </c>
      <c r="O916">
        <v>1153000000</v>
      </c>
      <c r="P916">
        <v>7400000000</v>
      </c>
      <c r="Q916">
        <v>55369872000</v>
      </c>
      <c r="R916">
        <v>56522872000</v>
      </c>
    </row>
    <row r="917" spans="1:18" x14ac:dyDescent="0.25">
      <c r="A917" s="1" t="s">
        <v>610</v>
      </c>
      <c r="B917">
        <v>48673120000</v>
      </c>
      <c r="C917" t="s">
        <v>76</v>
      </c>
      <c r="D917" t="s">
        <v>105</v>
      </c>
      <c r="E917">
        <v>4865000000</v>
      </c>
      <c r="F917">
        <v>0</v>
      </c>
      <c r="G917">
        <v>4865000000</v>
      </c>
      <c r="H917">
        <v>9368000000</v>
      </c>
      <c r="I917">
        <v>1442000000</v>
      </c>
      <c r="J917">
        <v>189000000</v>
      </c>
      <c r="K917">
        <v>10894000000</v>
      </c>
      <c r="L917">
        <v>9020000000</v>
      </c>
      <c r="M917">
        <v>23712000000</v>
      </c>
      <c r="N917">
        <v>0</v>
      </c>
      <c r="O917">
        <v>1153000000</v>
      </c>
      <c r="P917">
        <v>7400000000</v>
      </c>
      <c r="Q917">
        <v>54891120000</v>
      </c>
      <c r="R917">
        <v>56044120000</v>
      </c>
    </row>
    <row r="918" spans="1:18" x14ac:dyDescent="0.25">
      <c r="A918" s="1" t="s">
        <v>609</v>
      </c>
      <c r="B918">
        <v>49052132000</v>
      </c>
      <c r="C918" t="s">
        <v>76</v>
      </c>
      <c r="D918" t="s">
        <v>105</v>
      </c>
      <c r="E918">
        <v>4865000000</v>
      </c>
      <c r="F918">
        <v>0</v>
      </c>
      <c r="G918">
        <v>4865000000</v>
      </c>
      <c r="H918">
        <v>9368000000</v>
      </c>
      <c r="I918">
        <v>1442000000</v>
      </c>
      <c r="J918">
        <v>189000000</v>
      </c>
      <c r="K918">
        <v>10894000000</v>
      </c>
      <c r="L918">
        <v>9020000000</v>
      </c>
      <c r="M918">
        <v>23712000000</v>
      </c>
      <c r="N918">
        <v>0</v>
      </c>
      <c r="O918">
        <v>1153000000</v>
      </c>
      <c r="P918">
        <v>7400000000</v>
      </c>
      <c r="Q918">
        <v>55270132000</v>
      </c>
      <c r="R918">
        <v>56423132000</v>
      </c>
    </row>
    <row r="919" spans="1:18" x14ac:dyDescent="0.25">
      <c r="A919" s="1" t="s">
        <v>608</v>
      </c>
      <c r="B919">
        <v>49690468000</v>
      </c>
      <c r="C919" t="s">
        <v>76</v>
      </c>
      <c r="D919" t="s">
        <v>105</v>
      </c>
      <c r="E919">
        <v>4865000000</v>
      </c>
      <c r="F919">
        <v>0</v>
      </c>
      <c r="G919">
        <v>4865000000</v>
      </c>
      <c r="H919">
        <v>9368000000</v>
      </c>
      <c r="I919">
        <v>1442000000</v>
      </c>
      <c r="J919">
        <v>189000000</v>
      </c>
      <c r="K919">
        <v>10894000000</v>
      </c>
      <c r="L919">
        <v>9020000000</v>
      </c>
      <c r="M919">
        <v>23712000000</v>
      </c>
      <c r="N919">
        <v>0</v>
      </c>
      <c r="O919">
        <v>1153000000</v>
      </c>
      <c r="P919">
        <v>7400000000</v>
      </c>
      <c r="Q919">
        <v>55908468000</v>
      </c>
      <c r="R919">
        <v>57061468000</v>
      </c>
    </row>
    <row r="920" spans="1:18" x14ac:dyDescent="0.25">
      <c r="A920" s="1" t="s">
        <v>607</v>
      </c>
      <c r="B920">
        <v>49331404000</v>
      </c>
      <c r="C920" t="s">
        <v>76</v>
      </c>
      <c r="D920" t="s">
        <v>105</v>
      </c>
      <c r="E920">
        <v>4865000000</v>
      </c>
      <c r="F920">
        <v>0</v>
      </c>
      <c r="G920">
        <v>4865000000</v>
      </c>
      <c r="H920">
        <v>9368000000</v>
      </c>
      <c r="I920">
        <v>1442000000</v>
      </c>
      <c r="J920">
        <v>189000000</v>
      </c>
      <c r="K920">
        <v>10894000000</v>
      </c>
      <c r="L920">
        <v>9020000000</v>
      </c>
      <c r="M920">
        <v>23712000000</v>
      </c>
      <c r="N920">
        <v>0</v>
      </c>
      <c r="O920">
        <v>1153000000</v>
      </c>
      <c r="P920">
        <v>7400000000</v>
      </c>
      <c r="Q920">
        <v>55549404000</v>
      </c>
      <c r="R920">
        <v>56702404000</v>
      </c>
    </row>
    <row r="921" spans="1:18" x14ac:dyDescent="0.25">
      <c r="A921" s="1" t="s">
        <v>606</v>
      </c>
      <c r="B921">
        <v>50962365520</v>
      </c>
      <c r="C921" t="s">
        <v>76</v>
      </c>
      <c r="D921" t="s">
        <v>105</v>
      </c>
      <c r="E921">
        <v>4865000000</v>
      </c>
      <c r="F921">
        <v>0</v>
      </c>
      <c r="G921">
        <v>4865000000</v>
      </c>
      <c r="H921">
        <v>9368000000</v>
      </c>
      <c r="I921">
        <v>1442000000</v>
      </c>
      <c r="J921">
        <v>189000000</v>
      </c>
      <c r="K921">
        <v>10894000000</v>
      </c>
      <c r="L921">
        <v>9020000000</v>
      </c>
      <c r="M921">
        <v>23712000000</v>
      </c>
      <c r="N921">
        <v>0</v>
      </c>
      <c r="O921">
        <v>1153000000</v>
      </c>
      <c r="P921">
        <v>7400000000</v>
      </c>
      <c r="Q921">
        <v>57180365520</v>
      </c>
      <c r="R921">
        <v>58333365520</v>
      </c>
    </row>
    <row r="922" spans="1:18" x14ac:dyDescent="0.25">
      <c r="A922" s="1" t="s">
        <v>605</v>
      </c>
      <c r="B922">
        <v>52067621870</v>
      </c>
      <c r="C922" t="s">
        <v>76</v>
      </c>
      <c r="D922" t="s">
        <v>105</v>
      </c>
      <c r="E922">
        <v>4865000000</v>
      </c>
      <c r="F922">
        <v>0</v>
      </c>
      <c r="G922">
        <v>4865000000</v>
      </c>
      <c r="H922">
        <v>9368000000</v>
      </c>
      <c r="I922">
        <v>1442000000</v>
      </c>
      <c r="J922">
        <v>189000000</v>
      </c>
      <c r="K922">
        <v>10894000000</v>
      </c>
      <c r="L922">
        <v>9020000000</v>
      </c>
      <c r="M922">
        <v>23712000000</v>
      </c>
      <c r="N922">
        <v>0</v>
      </c>
      <c r="O922">
        <v>1153000000</v>
      </c>
      <c r="P922">
        <v>7400000000</v>
      </c>
      <c r="Q922">
        <v>58285621870</v>
      </c>
      <c r="R922">
        <v>59438621870</v>
      </c>
    </row>
    <row r="923" spans="1:18" x14ac:dyDescent="0.25">
      <c r="A923" s="1" t="s">
        <v>604</v>
      </c>
      <c r="B923">
        <v>51344181350</v>
      </c>
      <c r="C923" t="s">
        <v>76</v>
      </c>
      <c r="D923" t="s">
        <v>105</v>
      </c>
      <c r="E923">
        <v>4865000000</v>
      </c>
      <c r="F923">
        <v>0</v>
      </c>
      <c r="G923">
        <v>4865000000</v>
      </c>
      <c r="H923">
        <v>9368000000</v>
      </c>
      <c r="I923">
        <v>1442000000</v>
      </c>
      <c r="J923">
        <v>189000000</v>
      </c>
      <c r="K923">
        <v>10894000000</v>
      </c>
      <c r="L923">
        <v>9020000000</v>
      </c>
      <c r="M923">
        <v>23712000000</v>
      </c>
      <c r="N923">
        <v>0</v>
      </c>
      <c r="O923">
        <v>1153000000</v>
      </c>
      <c r="P923">
        <v>7400000000</v>
      </c>
      <c r="Q923">
        <v>57562181350</v>
      </c>
      <c r="R923">
        <v>58715181350</v>
      </c>
    </row>
    <row r="924" spans="1:18" x14ac:dyDescent="0.25">
      <c r="A924" s="1" t="s">
        <v>603</v>
      </c>
      <c r="B924">
        <v>53052304800</v>
      </c>
      <c r="C924" t="s">
        <v>76</v>
      </c>
      <c r="D924" t="s">
        <v>105</v>
      </c>
      <c r="E924">
        <v>4865000000</v>
      </c>
      <c r="F924">
        <v>0</v>
      </c>
      <c r="G924">
        <v>4865000000</v>
      </c>
      <c r="H924">
        <v>9368000000</v>
      </c>
      <c r="I924">
        <v>1442000000</v>
      </c>
      <c r="J924">
        <v>189000000</v>
      </c>
      <c r="K924">
        <v>10894000000</v>
      </c>
      <c r="L924">
        <v>9020000000</v>
      </c>
      <c r="M924">
        <v>23712000000</v>
      </c>
      <c r="N924">
        <v>0</v>
      </c>
      <c r="O924">
        <v>1153000000</v>
      </c>
      <c r="P924">
        <v>7400000000</v>
      </c>
      <c r="Q924">
        <v>59270304800</v>
      </c>
      <c r="R924">
        <v>60423304800</v>
      </c>
    </row>
    <row r="925" spans="1:18" x14ac:dyDescent="0.25">
      <c r="A925" s="1" t="s">
        <v>602</v>
      </c>
      <c r="B925">
        <v>55061861800</v>
      </c>
      <c r="C925" t="s">
        <v>76</v>
      </c>
      <c r="D925" t="s">
        <v>105</v>
      </c>
      <c r="E925">
        <v>4865000000</v>
      </c>
      <c r="F925">
        <v>0</v>
      </c>
      <c r="G925">
        <v>4865000000</v>
      </c>
      <c r="H925">
        <v>9368000000</v>
      </c>
      <c r="I925">
        <v>1442000000</v>
      </c>
      <c r="J925">
        <v>189000000</v>
      </c>
      <c r="K925">
        <v>10894000000</v>
      </c>
      <c r="L925">
        <v>9020000000</v>
      </c>
      <c r="M925">
        <v>23712000000</v>
      </c>
      <c r="N925">
        <v>0</v>
      </c>
      <c r="O925">
        <v>1153000000</v>
      </c>
      <c r="P925">
        <v>7400000000</v>
      </c>
      <c r="Q925">
        <v>61279861800</v>
      </c>
      <c r="R925">
        <v>62432861800</v>
      </c>
    </row>
    <row r="926" spans="1:18" x14ac:dyDescent="0.25">
      <c r="A926" s="1" t="s">
        <v>601</v>
      </c>
      <c r="B926">
        <v>56347978280</v>
      </c>
      <c r="C926" t="s">
        <v>76</v>
      </c>
      <c r="D926" t="s">
        <v>105</v>
      </c>
      <c r="E926">
        <v>4865000000</v>
      </c>
      <c r="F926">
        <v>0</v>
      </c>
      <c r="G926">
        <v>4865000000</v>
      </c>
      <c r="H926">
        <v>9368000000</v>
      </c>
      <c r="I926">
        <v>1442000000</v>
      </c>
      <c r="J926">
        <v>189000000</v>
      </c>
      <c r="K926">
        <v>10894000000</v>
      </c>
      <c r="L926">
        <v>9020000000</v>
      </c>
      <c r="M926">
        <v>23712000000</v>
      </c>
      <c r="N926">
        <v>0</v>
      </c>
      <c r="O926">
        <v>1153000000</v>
      </c>
      <c r="P926">
        <v>7400000000</v>
      </c>
      <c r="Q926">
        <v>62565978280</v>
      </c>
      <c r="R926">
        <v>63718978280</v>
      </c>
    </row>
    <row r="927" spans="1:18" x14ac:dyDescent="0.25">
      <c r="A927" s="1" t="s">
        <v>600</v>
      </c>
      <c r="B927">
        <v>56970940950</v>
      </c>
      <c r="C927" t="s">
        <v>76</v>
      </c>
      <c r="D927" t="s">
        <v>105</v>
      </c>
      <c r="E927">
        <v>4865000000</v>
      </c>
      <c r="F927">
        <v>0</v>
      </c>
      <c r="G927">
        <v>4865000000</v>
      </c>
      <c r="H927">
        <v>9368000000</v>
      </c>
      <c r="I927">
        <v>1442000000</v>
      </c>
      <c r="J927">
        <v>189000000</v>
      </c>
      <c r="K927">
        <v>10894000000</v>
      </c>
      <c r="L927">
        <v>9020000000</v>
      </c>
      <c r="M927">
        <v>23712000000</v>
      </c>
      <c r="N927">
        <v>0</v>
      </c>
      <c r="O927">
        <v>1153000000</v>
      </c>
      <c r="P927">
        <v>7400000000</v>
      </c>
      <c r="Q927">
        <v>63188940950</v>
      </c>
      <c r="R927">
        <v>64341940950</v>
      </c>
    </row>
    <row r="928" spans="1:18" x14ac:dyDescent="0.25">
      <c r="A928" s="1" t="s">
        <v>599</v>
      </c>
      <c r="B928">
        <v>58337439710</v>
      </c>
      <c r="C928" t="s">
        <v>76</v>
      </c>
      <c r="D928" t="s">
        <v>105</v>
      </c>
      <c r="E928">
        <v>4865000000</v>
      </c>
      <c r="F928">
        <v>0</v>
      </c>
      <c r="G928">
        <v>4865000000</v>
      </c>
      <c r="H928">
        <v>9368000000</v>
      </c>
      <c r="I928">
        <v>1442000000</v>
      </c>
      <c r="J928">
        <v>189000000</v>
      </c>
      <c r="K928">
        <v>10894000000</v>
      </c>
      <c r="L928">
        <v>9020000000</v>
      </c>
      <c r="M928">
        <v>23712000000</v>
      </c>
      <c r="N928">
        <v>0</v>
      </c>
      <c r="O928">
        <v>1153000000</v>
      </c>
      <c r="P928">
        <v>7400000000</v>
      </c>
      <c r="Q928">
        <v>64555439710</v>
      </c>
      <c r="R928">
        <v>65708439710</v>
      </c>
    </row>
    <row r="929" spans="1:18" x14ac:dyDescent="0.25">
      <c r="A929" s="1" t="s">
        <v>598</v>
      </c>
      <c r="B929">
        <v>59161358080</v>
      </c>
      <c r="C929" t="s">
        <v>76</v>
      </c>
      <c r="D929" t="s">
        <v>105</v>
      </c>
      <c r="E929">
        <v>4865000000</v>
      </c>
      <c r="F929">
        <v>0</v>
      </c>
      <c r="G929">
        <v>4865000000</v>
      </c>
      <c r="H929">
        <v>9368000000</v>
      </c>
      <c r="I929">
        <v>1442000000</v>
      </c>
      <c r="J929">
        <v>189000000</v>
      </c>
      <c r="K929">
        <v>10894000000</v>
      </c>
      <c r="L929">
        <v>9020000000</v>
      </c>
      <c r="M929">
        <v>23712000000</v>
      </c>
      <c r="N929">
        <v>0</v>
      </c>
      <c r="O929">
        <v>1153000000</v>
      </c>
      <c r="P929">
        <v>7400000000</v>
      </c>
      <c r="Q929">
        <v>65379358080</v>
      </c>
      <c r="R929">
        <v>66532358080</v>
      </c>
    </row>
    <row r="930" spans="1:18" x14ac:dyDescent="0.25">
      <c r="A930" s="1" t="s">
        <v>597</v>
      </c>
      <c r="B930">
        <v>58679064400</v>
      </c>
      <c r="C930" t="s">
        <v>76</v>
      </c>
      <c r="D930" t="s">
        <v>105</v>
      </c>
      <c r="E930">
        <v>4865000000</v>
      </c>
      <c r="F930">
        <v>0</v>
      </c>
      <c r="G930">
        <v>4865000000</v>
      </c>
      <c r="H930">
        <v>9368000000</v>
      </c>
      <c r="I930">
        <v>1442000000</v>
      </c>
      <c r="J930">
        <v>189000000</v>
      </c>
      <c r="K930">
        <v>10894000000</v>
      </c>
      <c r="L930">
        <v>9020000000</v>
      </c>
      <c r="M930">
        <v>23712000000</v>
      </c>
      <c r="N930">
        <v>0</v>
      </c>
      <c r="O930">
        <v>1153000000</v>
      </c>
      <c r="P930">
        <v>7400000000</v>
      </c>
      <c r="Q930">
        <v>64897064400</v>
      </c>
      <c r="R930">
        <v>66050064400</v>
      </c>
    </row>
    <row r="931" spans="1:18" x14ac:dyDescent="0.25">
      <c r="A931" s="1" t="s">
        <v>596</v>
      </c>
      <c r="B931">
        <v>58196770720</v>
      </c>
      <c r="C931" t="s">
        <v>76</v>
      </c>
      <c r="D931" t="s">
        <v>105</v>
      </c>
      <c r="E931">
        <v>4865000000</v>
      </c>
      <c r="F931">
        <v>0</v>
      </c>
      <c r="G931">
        <v>4865000000</v>
      </c>
      <c r="H931">
        <v>9368000000</v>
      </c>
      <c r="I931">
        <v>1442000000</v>
      </c>
      <c r="J931">
        <v>189000000</v>
      </c>
      <c r="K931">
        <v>10894000000</v>
      </c>
      <c r="L931">
        <v>9020000000</v>
      </c>
      <c r="M931">
        <v>23712000000</v>
      </c>
      <c r="N931">
        <v>0</v>
      </c>
      <c r="O931">
        <v>1153000000</v>
      </c>
      <c r="P931">
        <v>7400000000</v>
      </c>
      <c r="Q931">
        <v>64414770720</v>
      </c>
      <c r="R931">
        <v>65567770720</v>
      </c>
    </row>
    <row r="932" spans="1:18" x14ac:dyDescent="0.25">
      <c r="A932" s="1" t="s">
        <v>595</v>
      </c>
      <c r="B932">
        <v>58337439710</v>
      </c>
      <c r="C932" t="s">
        <v>76</v>
      </c>
      <c r="D932" t="s">
        <v>105</v>
      </c>
      <c r="E932">
        <v>4865000000</v>
      </c>
      <c r="F932">
        <v>0</v>
      </c>
      <c r="G932">
        <v>4865000000</v>
      </c>
      <c r="H932">
        <v>9368000000</v>
      </c>
      <c r="I932">
        <v>1442000000</v>
      </c>
      <c r="J932">
        <v>189000000</v>
      </c>
      <c r="K932">
        <v>10894000000</v>
      </c>
      <c r="L932">
        <v>9020000000</v>
      </c>
      <c r="M932">
        <v>23712000000</v>
      </c>
      <c r="N932">
        <v>0</v>
      </c>
      <c r="O932">
        <v>1153000000</v>
      </c>
      <c r="P932">
        <v>7400000000</v>
      </c>
      <c r="Q932">
        <v>64555439710</v>
      </c>
      <c r="R932">
        <v>65708439710</v>
      </c>
    </row>
    <row r="933" spans="1:18" x14ac:dyDescent="0.25">
      <c r="A933" s="1" t="s">
        <v>594</v>
      </c>
      <c r="B933">
        <v>61010150520</v>
      </c>
      <c r="C933" t="s">
        <v>76</v>
      </c>
      <c r="D933" t="s">
        <v>105</v>
      </c>
      <c r="E933">
        <v>4865000000</v>
      </c>
      <c r="F933">
        <v>0</v>
      </c>
      <c r="G933">
        <v>4865000000</v>
      </c>
      <c r="H933">
        <v>9368000000</v>
      </c>
      <c r="I933">
        <v>1442000000</v>
      </c>
      <c r="J933">
        <v>189000000</v>
      </c>
      <c r="K933">
        <v>10894000000</v>
      </c>
      <c r="L933">
        <v>9020000000</v>
      </c>
      <c r="M933">
        <v>23712000000</v>
      </c>
      <c r="N933">
        <v>0</v>
      </c>
      <c r="O933">
        <v>1153000000</v>
      </c>
      <c r="P933">
        <v>7400000000</v>
      </c>
      <c r="Q933">
        <v>67228150520</v>
      </c>
      <c r="R933">
        <v>68381150520</v>
      </c>
    </row>
    <row r="934" spans="1:18" x14ac:dyDescent="0.25">
      <c r="A934" s="1" t="s">
        <v>593</v>
      </c>
      <c r="B934">
        <v>61351775210</v>
      </c>
      <c r="C934" t="s">
        <v>76</v>
      </c>
      <c r="D934" t="s">
        <v>105</v>
      </c>
      <c r="E934">
        <v>4865000000</v>
      </c>
      <c r="F934">
        <v>0</v>
      </c>
      <c r="G934">
        <v>4865000000</v>
      </c>
      <c r="H934">
        <v>9368000000</v>
      </c>
      <c r="I934">
        <v>1442000000</v>
      </c>
      <c r="J934">
        <v>189000000</v>
      </c>
      <c r="K934">
        <v>10894000000</v>
      </c>
      <c r="L934">
        <v>9020000000</v>
      </c>
      <c r="M934">
        <v>23712000000</v>
      </c>
      <c r="N934">
        <v>0</v>
      </c>
      <c r="O934">
        <v>1153000000</v>
      </c>
      <c r="P934">
        <v>7400000000</v>
      </c>
      <c r="Q934">
        <v>67569775210</v>
      </c>
      <c r="R934">
        <v>68722775210</v>
      </c>
    </row>
    <row r="935" spans="1:18" x14ac:dyDescent="0.25">
      <c r="A935" s="1" t="s">
        <v>592</v>
      </c>
      <c r="B935">
        <v>60146041010</v>
      </c>
      <c r="C935" t="s">
        <v>76</v>
      </c>
      <c r="D935" t="s">
        <v>105</v>
      </c>
      <c r="E935">
        <v>4865000000</v>
      </c>
      <c r="F935">
        <v>0</v>
      </c>
      <c r="G935">
        <v>4865000000</v>
      </c>
      <c r="H935">
        <v>9368000000</v>
      </c>
      <c r="I935">
        <v>1442000000</v>
      </c>
      <c r="J935">
        <v>189000000</v>
      </c>
      <c r="K935">
        <v>10894000000</v>
      </c>
      <c r="L935">
        <v>9020000000</v>
      </c>
      <c r="M935">
        <v>23712000000</v>
      </c>
      <c r="N935">
        <v>0</v>
      </c>
      <c r="O935">
        <v>1153000000</v>
      </c>
      <c r="P935">
        <v>7400000000</v>
      </c>
      <c r="Q935">
        <v>66364041010</v>
      </c>
      <c r="R935">
        <v>67517041010</v>
      </c>
    </row>
    <row r="936" spans="1:18" x14ac:dyDescent="0.25">
      <c r="A936" s="1" t="s">
        <v>591</v>
      </c>
      <c r="B936">
        <v>60869481530</v>
      </c>
      <c r="C936" t="s">
        <v>76</v>
      </c>
      <c r="D936" t="s">
        <v>105</v>
      </c>
      <c r="E936">
        <v>4865000000</v>
      </c>
      <c r="F936">
        <v>0</v>
      </c>
      <c r="G936">
        <v>4865000000</v>
      </c>
      <c r="H936">
        <v>9368000000</v>
      </c>
      <c r="I936">
        <v>1442000000</v>
      </c>
      <c r="J936">
        <v>189000000</v>
      </c>
      <c r="K936">
        <v>10894000000</v>
      </c>
      <c r="L936">
        <v>9020000000</v>
      </c>
      <c r="M936">
        <v>23712000000</v>
      </c>
      <c r="N936">
        <v>0</v>
      </c>
      <c r="O936">
        <v>1153000000</v>
      </c>
      <c r="P936">
        <v>7400000000</v>
      </c>
      <c r="Q936">
        <v>67087481530</v>
      </c>
      <c r="R936">
        <v>68240481530</v>
      </c>
    </row>
    <row r="937" spans="1:18" x14ac:dyDescent="0.25">
      <c r="A937" s="1" t="s">
        <v>590</v>
      </c>
      <c r="B937">
        <v>60326901140</v>
      </c>
      <c r="C937" t="s">
        <v>76</v>
      </c>
      <c r="D937" t="s">
        <v>105</v>
      </c>
      <c r="E937">
        <v>4865000000</v>
      </c>
      <c r="F937">
        <v>0</v>
      </c>
      <c r="G937">
        <v>4865000000</v>
      </c>
      <c r="H937">
        <v>9368000000</v>
      </c>
      <c r="I937">
        <v>1442000000</v>
      </c>
      <c r="J937">
        <v>189000000</v>
      </c>
      <c r="K937">
        <v>10894000000</v>
      </c>
      <c r="L937">
        <v>9020000000</v>
      </c>
      <c r="M937">
        <v>23712000000</v>
      </c>
      <c r="N937">
        <v>0</v>
      </c>
      <c r="O937">
        <v>1153000000</v>
      </c>
      <c r="P937">
        <v>7400000000</v>
      </c>
      <c r="Q937">
        <v>66544901140</v>
      </c>
      <c r="R937">
        <v>67697901140</v>
      </c>
    </row>
    <row r="938" spans="1:18" x14ac:dyDescent="0.25">
      <c r="A938" s="1" t="s">
        <v>589</v>
      </c>
      <c r="B938">
        <v>61010150520</v>
      </c>
      <c r="C938" t="s">
        <v>76</v>
      </c>
      <c r="D938" t="s">
        <v>105</v>
      </c>
      <c r="E938">
        <v>4865000000</v>
      </c>
      <c r="F938">
        <v>0</v>
      </c>
      <c r="G938">
        <v>4865000000</v>
      </c>
      <c r="H938">
        <v>9368000000</v>
      </c>
      <c r="I938">
        <v>1442000000</v>
      </c>
      <c r="J938">
        <v>189000000</v>
      </c>
      <c r="K938">
        <v>10894000000</v>
      </c>
      <c r="L938">
        <v>9020000000</v>
      </c>
      <c r="M938">
        <v>23712000000</v>
      </c>
      <c r="N938">
        <v>0</v>
      </c>
      <c r="O938">
        <v>1153000000</v>
      </c>
      <c r="P938">
        <v>7400000000</v>
      </c>
      <c r="Q938">
        <v>67228150520</v>
      </c>
      <c r="R938">
        <v>68381150520</v>
      </c>
    </row>
    <row r="939" spans="1:18" x14ac:dyDescent="0.25">
      <c r="A939" s="1" t="s">
        <v>588</v>
      </c>
      <c r="B939">
        <v>59543173910</v>
      </c>
      <c r="C939" t="s">
        <v>76</v>
      </c>
      <c r="D939" t="s">
        <v>105</v>
      </c>
      <c r="E939">
        <v>4865000000</v>
      </c>
      <c r="F939">
        <v>0</v>
      </c>
      <c r="G939">
        <v>4865000000</v>
      </c>
      <c r="H939">
        <v>9368000000</v>
      </c>
      <c r="I939">
        <v>1442000000</v>
      </c>
      <c r="J939">
        <v>189000000</v>
      </c>
      <c r="K939">
        <v>10894000000</v>
      </c>
      <c r="L939">
        <v>9020000000</v>
      </c>
      <c r="M939">
        <v>23712000000</v>
      </c>
      <c r="N939">
        <v>0</v>
      </c>
      <c r="O939">
        <v>1153000000</v>
      </c>
      <c r="P939">
        <v>7400000000</v>
      </c>
      <c r="Q939">
        <v>65761173910</v>
      </c>
      <c r="R939">
        <v>66914173910</v>
      </c>
    </row>
    <row r="940" spans="1:18" x14ac:dyDescent="0.25">
      <c r="A940" s="1" t="s">
        <v>587</v>
      </c>
      <c r="B940">
        <v>62155598010</v>
      </c>
      <c r="C940" t="s">
        <v>76</v>
      </c>
      <c r="D940" t="s">
        <v>105</v>
      </c>
      <c r="E940">
        <v>4865000000</v>
      </c>
      <c r="F940">
        <v>0</v>
      </c>
      <c r="G940">
        <v>4865000000</v>
      </c>
      <c r="H940">
        <v>9368000000</v>
      </c>
      <c r="I940">
        <v>1442000000</v>
      </c>
      <c r="J940">
        <v>189000000</v>
      </c>
      <c r="K940">
        <v>10894000000</v>
      </c>
      <c r="L940">
        <v>9020000000</v>
      </c>
      <c r="M940">
        <v>23712000000</v>
      </c>
      <c r="N940">
        <v>0</v>
      </c>
      <c r="O940">
        <v>1153000000</v>
      </c>
      <c r="P940">
        <v>7400000000</v>
      </c>
      <c r="Q940">
        <v>68373598010</v>
      </c>
      <c r="R940">
        <v>69526598010</v>
      </c>
    </row>
    <row r="941" spans="1:18" x14ac:dyDescent="0.25">
      <c r="A941" s="1" t="s">
        <v>586</v>
      </c>
      <c r="B941">
        <v>63280949930</v>
      </c>
      <c r="C941" t="s">
        <v>76</v>
      </c>
      <c r="D941" t="s">
        <v>105</v>
      </c>
      <c r="E941">
        <v>4865000000</v>
      </c>
      <c r="F941">
        <v>0</v>
      </c>
      <c r="G941">
        <v>4865000000</v>
      </c>
      <c r="H941">
        <v>9368000000</v>
      </c>
      <c r="I941">
        <v>1442000000</v>
      </c>
      <c r="J941">
        <v>189000000</v>
      </c>
      <c r="K941">
        <v>10894000000</v>
      </c>
      <c r="L941">
        <v>9020000000</v>
      </c>
      <c r="M941">
        <v>23712000000</v>
      </c>
      <c r="N941">
        <v>0</v>
      </c>
      <c r="O941">
        <v>1153000000</v>
      </c>
      <c r="P941">
        <v>7400000000</v>
      </c>
      <c r="Q941">
        <v>69498949930</v>
      </c>
      <c r="R941">
        <v>70651949930</v>
      </c>
    </row>
    <row r="942" spans="1:18" x14ac:dyDescent="0.25">
      <c r="A942" s="1" t="s">
        <v>585</v>
      </c>
      <c r="B942">
        <v>66415858849</v>
      </c>
      <c r="C942" t="s">
        <v>76</v>
      </c>
      <c r="D942" t="s">
        <v>105</v>
      </c>
      <c r="E942">
        <v>4865000000</v>
      </c>
      <c r="F942">
        <v>0</v>
      </c>
      <c r="G942">
        <v>4865000000</v>
      </c>
      <c r="H942">
        <v>9368000000</v>
      </c>
      <c r="I942">
        <v>1442000000</v>
      </c>
      <c r="J942">
        <v>189000000</v>
      </c>
      <c r="K942">
        <v>10894000000</v>
      </c>
      <c r="L942">
        <v>9020000000</v>
      </c>
      <c r="M942">
        <v>23712000000</v>
      </c>
      <c r="N942">
        <v>0</v>
      </c>
      <c r="O942">
        <v>1153000000</v>
      </c>
      <c r="P942">
        <v>7400000000</v>
      </c>
      <c r="Q942">
        <v>72633858849</v>
      </c>
      <c r="R942">
        <v>73786858849</v>
      </c>
    </row>
    <row r="943" spans="1:18" x14ac:dyDescent="0.25">
      <c r="A943" s="1" t="s">
        <v>584</v>
      </c>
      <c r="B943">
        <v>66496241130</v>
      </c>
      <c r="C943" t="s">
        <v>76</v>
      </c>
      <c r="D943" t="s">
        <v>105</v>
      </c>
      <c r="E943">
        <v>4865000000</v>
      </c>
      <c r="F943">
        <v>0</v>
      </c>
      <c r="G943">
        <v>4865000000</v>
      </c>
      <c r="H943">
        <v>9368000000</v>
      </c>
      <c r="I943">
        <v>1442000000</v>
      </c>
      <c r="J943">
        <v>189000000</v>
      </c>
      <c r="K943">
        <v>10894000000</v>
      </c>
      <c r="L943">
        <v>9020000000</v>
      </c>
      <c r="M943">
        <v>23712000000</v>
      </c>
      <c r="N943">
        <v>0</v>
      </c>
      <c r="O943">
        <v>1153000000</v>
      </c>
      <c r="P943">
        <v>7400000000</v>
      </c>
      <c r="Q943">
        <v>72714241130</v>
      </c>
      <c r="R943">
        <v>73867241130</v>
      </c>
    </row>
    <row r="944" spans="1:18" x14ac:dyDescent="0.25">
      <c r="A944" s="1" t="s">
        <v>583</v>
      </c>
      <c r="B944">
        <v>68123982300</v>
      </c>
      <c r="C944" t="s">
        <v>76</v>
      </c>
      <c r="D944" t="s">
        <v>105</v>
      </c>
      <c r="E944">
        <v>4865000000</v>
      </c>
      <c r="F944">
        <v>0</v>
      </c>
      <c r="G944">
        <v>4865000000</v>
      </c>
      <c r="H944">
        <v>9368000000</v>
      </c>
      <c r="I944">
        <v>1442000000</v>
      </c>
      <c r="J944">
        <v>189000000</v>
      </c>
      <c r="K944">
        <v>10894000000</v>
      </c>
      <c r="L944">
        <v>9020000000</v>
      </c>
      <c r="M944">
        <v>23712000000</v>
      </c>
      <c r="N944">
        <v>0</v>
      </c>
      <c r="O944">
        <v>1153000000</v>
      </c>
      <c r="P944">
        <v>7400000000</v>
      </c>
      <c r="Q944">
        <v>74341982300</v>
      </c>
      <c r="R944">
        <v>75494982300</v>
      </c>
    </row>
    <row r="945" spans="1:18" x14ac:dyDescent="0.25">
      <c r="A945" s="1" t="s">
        <v>582</v>
      </c>
      <c r="B945">
        <v>70133539300</v>
      </c>
      <c r="C945" t="s">
        <v>76</v>
      </c>
      <c r="D945" t="s">
        <v>105</v>
      </c>
      <c r="E945">
        <v>4865000000</v>
      </c>
      <c r="F945">
        <v>0</v>
      </c>
      <c r="G945">
        <v>4865000000</v>
      </c>
      <c r="H945">
        <v>9368000000</v>
      </c>
      <c r="I945">
        <v>1442000000</v>
      </c>
      <c r="J945">
        <v>189000000</v>
      </c>
      <c r="K945">
        <v>10894000000</v>
      </c>
      <c r="L945">
        <v>9020000000</v>
      </c>
      <c r="M945">
        <v>23712000000</v>
      </c>
      <c r="N945">
        <v>0</v>
      </c>
      <c r="O945">
        <v>1153000000</v>
      </c>
      <c r="P945">
        <v>7400000000</v>
      </c>
      <c r="Q945">
        <v>76351539300</v>
      </c>
      <c r="R945">
        <v>77504539300</v>
      </c>
    </row>
    <row r="946" spans="1:18" x14ac:dyDescent="0.25">
      <c r="A946" s="1" t="s">
        <v>123</v>
      </c>
      <c r="B946">
        <v>74011984310</v>
      </c>
      <c r="C946" t="s">
        <v>75</v>
      </c>
      <c r="D946" t="s">
        <v>105</v>
      </c>
      <c r="E946">
        <v>4208000000</v>
      </c>
      <c r="F946">
        <v>103000000</v>
      </c>
      <c r="G946">
        <v>4311000000</v>
      </c>
      <c r="H946">
        <v>9249000000</v>
      </c>
      <c r="I946">
        <v>1479000000</v>
      </c>
      <c r="J946">
        <v>201000000</v>
      </c>
      <c r="K946">
        <v>10938000000</v>
      </c>
      <c r="L946">
        <v>8853000000</v>
      </c>
      <c r="M946">
        <v>23605000000</v>
      </c>
      <c r="N946">
        <v>0</v>
      </c>
      <c r="O946">
        <v>1164000000</v>
      </c>
      <c r="P946">
        <v>8504000000</v>
      </c>
      <c r="Q946">
        <v>80839984310</v>
      </c>
      <c r="R946">
        <v>82003984310</v>
      </c>
    </row>
    <row r="947" spans="1:18" x14ac:dyDescent="0.25">
      <c r="A947" s="1" t="s">
        <v>581</v>
      </c>
      <c r="B947">
        <v>72123000730</v>
      </c>
      <c r="C947" t="s">
        <v>75</v>
      </c>
      <c r="D947" t="s">
        <v>105</v>
      </c>
      <c r="E947">
        <v>4208000000</v>
      </c>
      <c r="F947">
        <v>103000000</v>
      </c>
      <c r="G947">
        <v>4311000000</v>
      </c>
      <c r="H947">
        <v>9249000000</v>
      </c>
      <c r="I947">
        <v>1479000000</v>
      </c>
      <c r="J947">
        <v>201000000</v>
      </c>
      <c r="K947">
        <v>10938000000</v>
      </c>
      <c r="L947">
        <v>8853000000</v>
      </c>
      <c r="M947">
        <v>23605000000</v>
      </c>
      <c r="N947">
        <v>0</v>
      </c>
      <c r="O947">
        <v>1164000000</v>
      </c>
      <c r="P947">
        <v>8504000000</v>
      </c>
      <c r="Q947">
        <v>78951000730</v>
      </c>
      <c r="R947">
        <v>80115000730</v>
      </c>
    </row>
    <row r="948" spans="1:18" x14ac:dyDescent="0.25">
      <c r="A948" s="1" t="s">
        <v>580</v>
      </c>
      <c r="B948">
        <v>68927805100</v>
      </c>
      <c r="C948" t="s">
        <v>75</v>
      </c>
      <c r="D948" t="s">
        <v>105</v>
      </c>
      <c r="E948">
        <v>4208000000</v>
      </c>
      <c r="F948">
        <v>103000000</v>
      </c>
      <c r="G948">
        <v>4311000000</v>
      </c>
      <c r="H948">
        <v>9249000000</v>
      </c>
      <c r="I948">
        <v>1479000000</v>
      </c>
      <c r="J948">
        <v>201000000</v>
      </c>
      <c r="K948">
        <v>10938000000</v>
      </c>
      <c r="L948">
        <v>8853000000</v>
      </c>
      <c r="M948">
        <v>23605000000</v>
      </c>
      <c r="N948">
        <v>0</v>
      </c>
      <c r="O948">
        <v>1164000000</v>
      </c>
      <c r="P948">
        <v>8504000000</v>
      </c>
      <c r="Q948">
        <v>75755805100</v>
      </c>
      <c r="R948">
        <v>76919805100</v>
      </c>
    </row>
    <row r="949" spans="1:18" x14ac:dyDescent="0.25">
      <c r="A949" s="1" t="s">
        <v>579</v>
      </c>
      <c r="B949">
        <v>67199586079</v>
      </c>
      <c r="C949" t="s">
        <v>75</v>
      </c>
      <c r="D949" t="s">
        <v>105</v>
      </c>
      <c r="E949">
        <v>4208000000</v>
      </c>
      <c r="F949">
        <v>103000000</v>
      </c>
      <c r="G949">
        <v>4311000000</v>
      </c>
      <c r="H949">
        <v>9249000000</v>
      </c>
      <c r="I949">
        <v>1479000000</v>
      </c>
      <c r="J949">
        <v>201000000</v>
      </c>
      <c r="K949">
        <v>10938000000</v>
      </c>
      <c r="L949">
        <v>8853000000</v>
      </c>
      <c r="M949">
        <v>23605000000</v>
      </c>
      <c r="N949">
        <v>0</v>
      </c>
      <c r="O949">
        <v>1164000000</v>
      </c>
      <c r="P949">
        <v>8504000000</v>
      </c>
      <c r="Q949">
        <v>74027586079</v>
      </c>
      <c r="R949">
        <v>75191586079</v>
      </c>
    </row>
    <row r="950" spans="1:18" x14ac:dyDescent="0.25">
      <c r="A950" s="1" t="s">
        <v>578</v>
      </c>
      <c r="B950">
        <v>70796693110</v>
      </c>
      <c r="C950" t="s">
        <v>75</v>
      </c>
      <c r="D950" t="s">
        <v>105</v>
      </c>
      <c r="E950">
        <v>4208000000</v>
      </c>
      <c r="F950">
        <v>103000000</v>
      </c>
      <c r="G950">
        <v>4311000000</v>
      </c>
      <c r="H950">
        <v>9249000000</v>
      </c>
      <c r="I950">
        <v>1479000000</v>
      </c>
      <c r="J950">
        <v>201000000</v>
      </c>
      <c r="K950">
        <v>10938000000</v>
      </c>
      <c r="L950">
        <v>8853000000</v>
      </c>
      <c r="M950">
        <v>23605000000</v>
      </c>
      <c r="N950">
        <v>0</v>
      </c>
      <c r="O950">
        <v>1164000000</v>
      </c>
      <c r="P950">
        <v>8504000000</v>
      </c>
      <c r="Q950">
        <v>77624693110</v>
      </c>
      <c r="R950">
        <v>78788693110</v>
      </c>
    </row>
    <row r="951" spans="1:18" x14ac:dyDescent="0.25">
      <c r="A951" s="1" t="s">
        <v>577</v>
      </c>
      <c r="B951">
        <v>72806250110</v>
      </c>
      <c r="C951" t="s">
        <v>75</v>
      </c>
      <c r="D951" t="s">
        <v>105</v>
      </c>
      <c r="E951">
        <v>4208000000</v>
      </c>
      <c r="F951">
        <v>103000000</v>
      </c>
      <c r="G951">
        <v>4311000000</v>
      </c>
      <c r="H951">
        <v>9249000000</v>
      </c>
      <c r="I951">
        <v>1479000000</v>
      </c>
      <c r="J951">
        <v>201000000</v>
      </c>
      <c r="K951">
        <v>10938000000</v>
      </c>
      <c r="L951">
        <v>8853000000</v>
      </c>
      <c r="M951">
        <v>23605000000</v>
      </c>
      <c r="N951">
        <v>0</v>
      </c>
      <c r="O951">
        <v>1164000000</v>
      </c>
      <c r="P951">
        <v>8504000000</v>
      </c>
      <c r="Q951">
        <v>79634250110</v>
      </c>
      <c r="R951">
        <v>80798250110</v>
      </c>
    </row>
    <row r="952" spans="1:18" x14ac:dyDescent="0.25">
      <c r="A952" s="1" t="s">
        <v>576</v>
      </c>
      <c r="B952">
        <v>72786154540</v>
      </c>
      <c r="C952" t="s">
        <v>75</v>
      </c>
      <c r="D952" t="s">
        <v>105</v>
      </c>
      <c r="E952">
        <v>4208000000</v>
      </c>
      <c r="F952">
        <v>103000000</v>
      </c>
      <c r="G952">
        <v>4311000000</v>
      </c>
      <c r="H952">
        <v>9249000000</v>
      </c>
      <c r="I952">
        <v>1479000000</v>
      </c>
      <c r="J952">
        <v>201000000</v>
      </c>
      <c r="K952">
        <v>10938000000</v>
      </c>
      <c r="L952">
        <v>8853000000</v>
      </c>
      <c r="M952">
        <v>23605000000</v>
      </c>
      <c r="N952">
        <v>0</v>
      </c>
      <c r="O952">
        <v>1164000000</v>
      </c>
      <c r="P952">
        <v>8504000000</v>
      </c>
      <c r="Q952">
        <v>79614154540</v>
      </c>
      <c r="R952">
        <v>80778154540</v>
      </c>
    </row>
    <row r="953" spans="1:18" x14ac:dyDescent="0.25">
      <c r="A953" s="1" t="s">
        <v>575</v>
      </c>
      <c r="B953">
        <v>69872296890</v>
      </c>
      <c r="C953" t="s">
        <v>75</v>
      </c>
      <c r="D953" t="s">
        <v>105</v>
      </c>
      <c r="E953">
        <v>4208000000</v>
      </c>
      <c r="F953">
        <v>103000000</v>
      </c>
      <c r="G953">
        <v>4311000000</v>
      </c>
      <c r="H953">
        <v>9249000000</v>
      </c>
      <c r="I953">
        <v>1479000000</v>
      </c>
      <c r="J953">
        <v>201000000</v>
      </c>
      <c r="K953">
        <v>10938000000</v>
      </c>
      <c r="L953">
        <v>8853000000</v>
      </c>
      <c r="M953">
        <v>23605000000</v>
      </c>
      <c r="N953">
        <v>0</v>
      </c>
      <c r="O953">
        <v>1164000000</v>
      </c>
      <c r="P953">
        <v>8504000000</v>
      </c>
      <c r="Q953">
        <v>76700296890</v>
      </c>
      <c r="R953">
        <v>77864296890</v>
      </c>
    </row>
    <row r="954" spans="1:18" x14ac:dyDescent="0.25">
      <c r="A954" s="1" t="s">
        <v>151</v>
      </c>
      <c r="B954">
        <v>68726849400</v>
      </c>
      <c r="C954" t="s">
        <v>75</v>
      </c>
      <c r="D954" t="s">
        <v>105</v>
      </c>
      <c r="E954">
        <v>4208000000</v>
      </c>
      <c r="F954">
        <v>103000000</v>
      </c>
      <c r="G954">
        <v>4311000000</v>
      </c>
      <c r="H954">
        <v>9249000000</v>
      </c>
      <c r="I954">
        <v>1479000000</v>
      </c>
      <c r="J954">
        <v>201000000</v>
      </c>
      <c r="K954">
        <v>10938000000</v>
      </c>
      <c r="L954">
        <v>8853000000</v>
      </c>
      <c r="M954">
        <v>23605000000</v>
      </c>
      <c r="N954">
        <v>0</v>
      </c>
      <c r="O954">
        <v>1164000000</v>
      </c>
      <c r="P954">
        <v>8504000000</v>
      </c>
      <c r="Q954">
        <v>75554849400</v>
      </c>
      <c r="R954">
        <v>76718849400</v>
      </c>
    </row>
    <row r="955" spans="1:18" x14ac:dyDescent="0.25">
      <c r="A955" s="1" t="s">
        <v>574</v>
      </c>
      <c r="B955">
        <v>69410098780</v>
      </c>
      <c r="C955" t="s">
        <v>75</v>
      </c>
      <c r="D955" t="s">
        <v>105</v>
      </c>
      <c r="E955">
        <v>4208000000</v>
      </c>
      <c r="F955">
        <v>103000000</v>
      </c>
      <c r="G955">
        <v>4311000000</v>
      </c>
      <c r="H955">
        <v>9249000000</v>
      </c>
      <c r="I955">
        <v>1479000000</v>
      </c>
      <c r="J955">
        <v>201000000</v>
      </c>
      <c r="K955">
        <v>10938000000</v>
      </c>
      <c r="L955">
        <v>8853000000</v>
      </c>
      <c r="M955">
        <v>23605000000</v>
      </c>
      <c r="N955">
        <v>0</v>
      </c>
      <c r="O955">
        <v>1164000000</v>
      </c>
      <c r="P955">
        <v>8504000000</v>
      </c>
      <c r="Q955">
        <v>76238098780</v>
      </c>
      <c r="R955">
        <v>77402098780</v>
      </c>
    </row>
    <row r="956" spans="1:18" x14ac:dyDescent="0.25">
      <c r="A956" s="1" t="s">
        <v>573</v>
      </c>
      <c r="B956">
        <v>69269429790</v>
      </c>
      <c r="C956" t="s">
        <v>75</v>
      </c>
      <c r="D956" t="s">
        <v>105</v>
      </c>
      <c r="E956">
        <v>4208000000</v>
      </c>
      <c r="F956">
        <v>103000000</v>
      </c>
      <c r="G956">
        <v>4311000000</v>
      </c>
      <c r="H956">
        <v>9249000000</v>
      </c>
      <c r="I956">
        <v>1479000000</v>
      </c>
      <c r="J956">
        <v>201000000</v>
      </c>
      <c r="K956">
        <v>10938000000</v>
      </c>
      <c r="L956">
        <v>8853000000</v>
      </c>
      <c r="M956">
        <v>23605000000</v>
      </c>
      <c r="N956">
        <v>0</v>
      </c>
      <c r="O956">
        <v>1164000000</v>
      </c>
      <c r="P956">
        <v>8504000000</v>
      </c>
      <c r="Q956">
        <v>76097429790</v>
      </c>
      <c r="R956">
        <v>77261429790</v>
      </c>
    </row>
    <row r="957" spans="1:18" x14ac:dyDescent="0.25">
      <c r="A957" s="1" t="s">
        <v>572</v>
      </c>
      <c r="B957">
        <v>67119203800</v>
      </c>
      <c r="C957" t="s">
        <v>75</v>
      </c>
      <c r="D957" t="s">
        <v>105</v>
      </c>
      <c r="E957">
        <v>4208000000</v>
      </c>
      <c r="F957">
        <v>103000000</v>
      </c>
      <c r="G957">
        <v>4311000000</v>
      </c>
      <c r="H957">
        <v>9249000000</v>
      </c>
      <c r="I957">
        <v>1479000000</v>
      </c>
      <c r="J957">
        <v>201000000</v>
      </c>
      <c r="K957">
        <v>10938000000</v>
      </c>
      <c r="L957">
        <v>8853000000</v>
      </c>
      <c r="M957">
        <v>23605000000</v>
      </c>
      <c r="N957">
        <v>0</v>
      </c>
      <c r="O957">
        <v>1164000000</v>
      </c>
      <c r="P957">
        <v>8504000000</v>
      </c>
      <c r="Q957">
        <v>73947203800</v>
      </c>
      <c r="R957">
        <v>75111203800</v>
      </c>
    </row>
    <row r="958" spans="1:18" x14ac:dyDescent="0.25">
      <c r="A958" s="1" t="s">
        <v>571</v>
      </c>
      <c r="B958">
        <v>67420637349</v>
      </c>
      <c r="C958" t="s">
        <v>75</v>
      </c>
      <c r="D958" t="s">
        <v>105</v>
      </c>
      <c r="E958">
        <v>4208000000</v>
      </c>
      <c r="F958">
        <v>103000000</v>
      </c>
      <c r="G958">
        <v>4311000000</v>
      </c>
      <c r="H958">
        <v>9249000000</v>
      </c>
      <c r="I958">
        <v>1479000000</v>
      </c>
      <c r="J958">
        <v>201000000</v>
      </c>
      <c r="K958">
        <v>10938000000</v>
      </c>
      <c r="L958">
        <v>8853000000</v>
      </c>
      <c r="M958">
        <v>23605000000</v>
      </c>
      <c r="N958">
        <v>0</v>
      </c>
      <c r="O958">
        <v>1164000000</v>
      </c>
      <c r="P958">
        <v>8504000000</v>
      </c>
      <c r="Q958">
        <v>74248637349</v>
      </c>
      <c r="R958">
        <v>75412637349</v>
      </c>
    </row>
    <row r="959" spans="1:18" x14ac:dyDescent="0.25">
      <c r="A959" s="1" t="s">
        <v>570</v>
      </c>
      <c r="B959">
        <v>66837865819</v>
      </c>
      <c r="C959" t="s">
        <v>75</v>
      </c>
      <c r="D959" t="s">
        <v>105</v>
      </c>
      <c r="E959">
        <v>4208000000</v>
      </c>
      <c r="F959">
        <v>103000000</v>
      </c>
      <c r="G959">
        <v>4311000000</v>
      </c>
      <c r="H959">
        <v>9249000000</v>
      </c>
      <c r="I959">
        <v>1479000000</v>
      </c>
      <c r="J959">
        <v>201000000</v>
      </c>
      <c r="K959">
        <v>10938000000</v>
      </c>
      <c r="L959">
        <v>8853000000</v>
      </c>
      <c r="M959">
        <v>23605000000</v>
      </c>
      <c r="N959">
        <v>0</v>
      </c>
      <c r="O959">
        <v>1164000000</v>
      </c>
      <c r="P959">
        <v>8504000000</v>
      </c>
      <c r="Q959">
        <v>73665865819</v>
      </c>
      <c r="R959">
        <v>74829865819</v>
      </c>
    </row>
    <row r="960" spans="1:18" x14ac:dyDescent="0.25">
      <c r="A960" s="1" t="s">
        <v>569</v>
      </c>
      <c r="B960">
        <v>66295285430</v>
      </c>
      <c r="C960" t="s">
        <v>75</v>
      </c>
      <c r="D960" t="s">
        <v>105</v>
      </c>
      <c r="E960">
        <v>4208000000</v>
      </c>
      <c r="F960">
        <v>103000000</v>
      </c>
      <c r="G960">
        <v>4311000000</v>
      </c>
      <c r="H960">
        <v>9249000000</v>
      </c>
      <c r="I960">
        <v>1479000000</v>
      </c>
      <c r="J960">
        <v>201000000</v>
      </c>
      <c r="K960">
        <v>10938000000</v>
      </c>
      <c r="L960">
        <v>8853000000</v>
      </c>
      <c r="M960">
        <v>23605000000</v>
      </c>
      <c r="N960">
        <v>0</v>
      </c>
      <c r="O960">
        <v>1164000000</v>
      </c>
      <c r="P960">
        <v>8504000000</v>
      </c>
      <c r="Q960">
        <v>73123285430</v>
      </c>
      <c r="R960">
        <v>74287285430</v>
      </c>
    </row>
    <row r="961" spans="1:18" x14ac:dyDescent="0.25">
      <c r="A961" s="1" t="s">
        <v>568</v>
      </c>
      <c r="B961">
        <v>67701975329</v>
      </c>
      <c r="C961" t="s">
        <v>75</v>
      </c>
      <c r="D961" t="s">
        <v>105</v>
      </c>
      <c r="E961">
        <v>4208000000</v>
      </c>
      <c r="F961">
        <v>103000000</v>
      </c>
      <c r="G961">
        <v>4311000000</v>
      </c>
      <c r="H961">
        <v>9249000000</v>
      </c>
      <c r="I961">
        <v>1479000000</v>
      </c>
      <c r="J961">
        <v>201000000</v>
      </c>
      <c r="K961">
        <v>10938000000</v>
      </c>
      <c r="L961">
        <v>8853000000</v>
      </c>
      <c r="M961">
        <v>23605000000</v>
      </c>
      <c r="N961">
        <v>0</v>
      </c>
      <c r="O961">
        <v>1164000000</v>
      </c>
      <c r="P961">
        <v>8504000000</v>
      </c>
      <c r="Q961">
        <v>74529975329</v>
      </c>
      <c r="R961">
        <v>75693975329</v>
      </c>
    </row>
    <row r="962" spans="1:18" x14ac:dyDescent="0.25">
      <c r="A962" s="1" t="s">
        <v>567</v>
      </c>
      <c r="B962">
        <v>69470385490</v>
      </c>
      <c r="C962" t="s">
        <v>75</v>
      </c>
      <c r="D962" t="s">
        <v>105</v>
      </c>
      <c r="E962">
        <v>4208000000</v>
      </c>
      <c r="F962">
        <v>103000000</v>
      </c>
      <c r="G962">
        <v>4311000000</v>
      </c>
      <c r="H962">
        <v>9249000000</v>
      </c>
      <c r="I962">
        <v>1479000000</v>
      </c>
      <c r="J962">
        <v>201000000</v>
      </c>
      <c r="K962">
        <v>10938000000</v>
      </c>
      <c r="L962">
        <v>8853000000</v>
      </c>
      <c r="M962">
        <v>23605000000</v>
      </c>
      <c r="N962">
        <v>0</v>
      </c>
      <c r="O962">
        <v>1164000000</v>
      </c>
      <c r="P962">
        <v>8504000000</v>
      </c>
      <c r="Q962">
        <v>76298385490</v>
      </c>
      <c r="R962">
        <v>77462385490</v>
      </c>
    </row>
    <row r="963" spans="1:18" x14ac:dyDescent="0.25">
      <c r="A963" s="1" t="s">
        <v>566</v>
      </c>
      <c r="B963">
        <v>68083791160</v>
      </c>
      <c r="C963" t="s">
        <v>75</v>
      </c>
      <c r="D963" t="s">
        <v>105</v>
      </c>
      <c r="E963">
        <v>4208000000</v>
      </c>
      <c r="F963">
        <v>103000000</v>
      </c>
      <c r="G963">
        <v>4311000000</v>
      </c>
      <c r="H963">
        <v>9249000000</v>
      </c>
      <c r="I963">
        <v>1479000000</v>
      </c>
      <c r="J963">
        <v>201000000</v>
      </c>
      <c r="K963">
        <v>10938000000</v>
      </c>
      <c r="L963">
        <v>8853000000</v>
      </c>
      <c r="M963">
        <v>23605000000</v>
      </c>
      <c r="N963">
        <v>0</v>
      </c>
      <c r="O963">
        <v>1164000000</v>
      </c>
      <c r="P963">
        <v>8504000000</v>
      </c>
      <c r="Q963">
        <v>74911791160</v>
      </c>
      <c r="R963">
        <v>76075791160</v>
      </c>
    </row>
    <row r="964" spans="1:18" x14ac:dyDescent="0.25">
      <c r="A964" s="1" t="s">
        <v>565</v>
      </c>
      <c r="B964">
        <v>68606275980</v>
      </c>
      <c r="C964" t="s">
        <v>75</v>
      </c>
      <c r="D964" t="s">
        <v>105</v>
      </c>
      <c r="E964">
        <v>4208000000</v>
      </c>
      <c r="F964">
        <v>103000000</v>
      </c>
      <c r="G964">
        <v>4311000000</v>
      </c>
      <c r="H964">
        <v>9249000000</v>
      </c>
      <c r="I964">
        <v>1479000000</v>
      </c>
      <c r="J964">
        <v>201000000</v>
      </c>
      <c r="K964">
        <v>10938000000</v>
      </c>
      <c r="L964">
        <v>8853000000</v>
      </c>
      <c r="M964">
        <v>23605000000</v>
      </c>
      <c r="N964">
        <v>0</v>
      </c>
      <c r="O964">
        <v>1164000000</v>
      </c>
      <c r="P964">
        <v>8504000000</v>
      </c>
      <c r="Q964">
        <v>75434275980</v>
      </c>
      <c r="R964">
        <v>76598275980</v>
      </c>
    </row>
    <row r="965" spans="1:18" x14ac:dyDescent="0.25">
      <c r="A965" s="1" t="s">
        <v>564</v>
      </c>
      <c r="B965">
        <v>68345033569</v>
      </c>
      <c r="C965" t="s">
        <v>75</v>
      </c>
      <c r="D965" t="s">
        <v>105</v>
      </c>
      <c r="E965">
        <v>4208000000</v>
      </c>
      <c r="F965">
        <v>103000000</v>
      </c>
      <c r="G965">
        <v>4311000000</v>
      </c>
      <c r="H965">
        <v>9249000000</v>
      </c>
      <c r="I965">
        <v>1479000000</v>
      </c>
      <c r="J965">
        <v>201000000</v>
      </c>
      <c r="K965">
        <v>10938000000</v>
      </c>
      <c r="L965">
        <v>8853000000</v>
      </c>
      <c r="M965">
        <v>23605000000</v>
      </c>
      <c r="N965">
        <v>0</v>
      </c>
      <c r="O965">
        <v>1164000000</v>
      </c>
      <c r="P965">
        <v>8504000000</v>
      </c>
      <c r="Q965">
        <v>75173033569</v>
      </c>
      <c r="R965">
        <v>76337033569</v>
      </c>
    </row>
    <row r="966" spans="1:18" x14ac:dyDescent="0.25">
      <c r="A966" s="1" t="s">
        <v>563</v>
      </c>
      <c r="B966">
        <v>64948882240</v>
      </c>
      <c r="C966" t="s">
        <v>75</v>
      </c>
      <c r="D966" t="s">
        <v>105</v>
      </c>
      <c r="E966">
        <v>4208000000</v>
      </c>
      <c r="F966">
        <v>103000000</v>
      </c>
      <c r="G966">
        <v>4311000000</v>
      </c>
      <c r="H966">
        <v>9249000000</v>
      </c>
      <c r="I966">
        <v>1479000000</v>
      </c>
      <c r="J966">
        <v>201000000</v>
      </c>
      <c r="K966">
        <v>10938000000</v>
      </c>
      <c r="L966">
        <v>8853000000</v>
      </c>
      <c r="M966">
        <v>23605000000</v>
      </c>
      <c r="N966">
        <v>0</v>
      </c>
      <c r="O966">
        <v>1164000000</v>
      </c>
      <c r="P966">
        <v>8504000000</v>
      </c>
      <c r="Q966">
        <v>71776882240</v>
      </c>
      <c r="R966">
        <v>72940882240</v>
      </c>
    </row>
    <row r="967" spans="1:18" x14ac:dyDescent="0.25">
      <c r="A967" s="1" t="s">
        <v>562</v>
      </c>
      <c r="B967">
        <v>62517318270</v>
      </c>
      <c r="C967" t="s">
        <v>75</v>
      </c>
      <c r="D967" t="s">
        <v>105</v>
      </c>
      <c r="E967">
        <v>4208000000</v>
      </c>
      <c r="F967">
        <v>103000000</v>
      </c>
      <c r="G967">
        <v>4311000000</v>
      </c>
      <c r="H967">
        <v>9249000000</v>
      </c>
      <c r="I967">
        <v>1479000000</v>
      </c>
      <c r="J967">
        <v>201000000</v>
      </c>
      <c r="K967">
        <v>10938000000</v>
      </c>
      <c r="L967">
        <v>8853000000</v>
      </c>
      <c r="M967">
        <v>23605000000</v>
      </c>
      <c r="N967">
        <v>0</v>
      </c>
      <c r="O967">
        <v>1164000000</v>
      </c>
      <c r="P967">
        <v>8504000000</v>
      </c>
      <c r="Q967">
        <v>69345318270</v>
      </c>
      <c r="R967">
        <v>70509318270</v>
      </c>
    </row>
    <row r="968" spans="1:18" x14ac:dyDescent="0.25">
      <c r="A968" s="1" t="s">
        <v>561</v>
      </c>
      <c r="B968">
        <v>61934546740</v>
      </c>
      <c r="C968" t="s">
        <v>75</v>
      </c>
      <c r="D968" t="s">
        <v>105</v>
      </c>
      <c r="E968">
        <v>4208000000</v>
      </c>
      <c r="F968">
        <v>103000000</v>
      </c>
      <c r="G968">
        <v>4311000000</v>
      </c>
      <c r="H968">
        <v>9249000000</v>
      </c>
      <c r="I968">
        <v>1479000000</v>
      </c>
      <c r="J968">
        <v>201000000</v>
      </c>
      <c r="K968">
        <v>10938000000</v>
      </c>
      <c r="L968">
        <v>8853000000</v>
      </c>
      <c r="M968">
        <v>23605000000</v>
      </c>
      <c r="N968">
        <v>0</v>
      </c>
      <c r="O968">
        <v>1164000000</v>
      </c>
      <c r="P968">
        <v>8504000000</v>
      </c>
      <c r="Q968">
        <v>68762546740</v>
      </c>
      <c r="R968">
        <v>69926546740</v>
      </c>
    </row>
    <row r="969" spans="1:18" x14ac:dyDescent="0.25">
      <c r="A969" s="1" t="s">
        <v>560</v>
      </c>
      <c r="B969">
        <v>65029264520</v>
      </c>
      <c r="C969" t="s">
        <v>75</v>
      </c>
      <c r="D969" t="s">
        <v>105</v>
      </c>
      <c r="E969">
        <v>4208000000</v>
      </c>
      <c r="F969">
        <v>103000000</v>
      </c>
      <c r="G969">
        <v>4311000000</v>
      </c>
      <c r="H969">
        <v>9249000000</v>
      </c>
      <c r="I969">
        <v>1479000000</v>
      </c>
      <c r="J969">
        <v>201000000</v>
      </c>
      <c r="K969">
        <v>10938000000</v>
      </c>
      <c r="L969">
        <v>8853000000</v>
      </c>
      <c r="M969">
        <v>23605000000</v>
      </c>
      <c r="N969">
        <v>0</v>
      </c>
      <c r="O969">
        <v>1164000000</v>
      </c>
      <c r="P969">
        <v>8504000000</v>
      </c>
      <c r="Q969">
        <v>71857264520</v>
      </c>
      <c r="R969">
        <v>73021264520</v>
      </c>
    </row>
    <row r="970" spans="1:18" x14ac:dyDescent="0.25">
      <c r="A970" s="1" t="s">
        <v>559</v>
      </c>
      <c r="B970">
        <v>64245537290</v>
      </c>
      <c r="C970" t="s">
        <v>75</v>
      </c>
      <c r="D970" t="s">
        <v>105</v>
      </c>
      <c r="E970">
        <v>4208000000</v>
      </c>
      <c r="F970">
        <v>103000000</v>
      </c>
      <c r="G970">
        <v>4311000000</v>
      </c>
      <c r="H970">
        <v>9249000000</v>
      </c>
      <c r="I970">
        <v>1479000000</v>
      </c>
      <c r="J970">
        <v>201000000</v>
      </c>
      <c r="K970">
        <v>10938000000</v>
      </c>
      <c r="L970">
        <v>8853000000</v>
      </c>
      <c r="M970">
        <v>23605000000</v>
      </c>
      <c r="N970">
        <v>0</v>
      </c>
      <c r="O970">
        <v>1164000000</v>
      </c>
      <c r="P970">
        <v>8504000000</v>
      </c>
      <c r="Q970">
        <v>71073537290</v>
      </c>
      <c r="R970">
        <v>72237537290</v>
      </c>
    </row>
    <row r="971" spans="1:18" x14ac:dyDescent="0.25">
      <c r="A971" s="1" t="s">
        <v>558</v>
      </c>
      <c r="B971">
        <v>65772800609</v>
      </c>
      <c r="C971" t="s">
        <v>75</v>
      </c>
      <c r="D971" t="s">
        <v>105</v>
      </c>
      <c r="E971">
        <v>4208000000</v>
      </c>
      <c r="F971">
        <v>103000000</v>
      </c>
      <c r="G971">
        <v>4311000000</v>
      </c>
      <c r="H971">
        <v>9249000000</v>
      </c>
      <c r="I971">
        <v>1479000000</v>
      </c>
      <c r="J971">
        <v>201000000</v>
      </c>
      <c r="K971">
        <v>10938000000</v>
      </c>
      <c r="L971">
        <v>8853000000</v>
      </c>
      <c r="M971">
        <v>23605000000</v>
      </c>
      <c r="N971">
        <v>0</v>
      </c>
      <c r="O971">
        <v>1164000000</v>
      </c>
      <c r="P971">
        <v>8504000000</v>
      </c>
      <c r="Q971">
        <v>72600800609</v>
      </c>
      <c r="R971">
        <v>73764800609</v>
      </c>
    </row>
    <row r="972" spans="1:18" x14ac:dyDescent="0.25">
      <c r="A972" s="1" t="s">
        <v>557</v>
      </c>
      <c r="B972">
        <v>63863721460</v>
      </c>
      <c r="C972" t="s">
        <v>75</v>
      </c>
      <c r="D972" t="s">
        <v>105</v>
      </c>
      <c r="E972">
        <v>4208000000</v>
      </c>
      <c r="F972">
        <v>103000000</v>
      </c>
      <c r="G972">
        <v>4311000000</v>
      </c>
      <c r="H972">
        <v>9249000000</v>
      </c>
      <c r="I972">
        <v>1479000000</v>
      </c>
      <c r="J972">
        <v>201000000</v>
      </c>
      <c r="K972">
        <v>10938000000</v>
      </c>
      <c r="L972">
        <v>8853000000</v>
      </c>
      <c r="M972">
        <v>23605000000</v>
      </c>
      <c r="N972">
        <v>0</v>
      </c>
      <c r="O972">
        <v>1164000000</v>
      </c>
      <c r="P972">
        <v>8504000000</v>
      </c>
      <c r="Q972">
        <v>70691721460</v>
      </c>
      <c r="R972">
        <v>71855721460</v>
      </c>
    </row>
    <row r="973" spans="1:18" x14ac:dyDescent="0.25">
      <c r="A973" s="1" t="s">
        <v>556</v>
      </c>
      <c r="B973">
        <v>64165155010</v>
      </c>
      <c r="C973" t="s">
        <v>75</v>
      </c>
      <c r="D973" t="s">
        <v>105</v>
      </c>
      <c r="E973">
        <v>4208000000</v>
      </c>
      <c r="F973">
        <v>103000000</v>
      </c>
      <c r="G973">
        <v>4311000000</v>
      </c>
      <c r="H973">
        <v>9249000000</v>
      </c>
      <c r="I973">
        <v>1479000000</v>
      </c>
      <c r="J973">
        <v>201000000</v>
      </c>
      <c r="K973">
        <v>10938000000</v>
      </c>
      <c r="L973">
        <v>8853000000</v>
      </c>
      <c r="M973">
        <v>23605000000</v>
      </c>
      <c r="N973">
        <v>0</v>
      </c>
      <c r="O973">
        <v>1164000000</v>
      </c>
      <c r="P973">
        <v>8504000000</v>
      </c>
      <c r="Q973">
        <v>70993155010</v>
      </c>
      <c r="R973">
        <v>72157155010</v>
      </c>
    </row>
    <row r="974" spans="1:18" x14ac:dyDescent="0.25">
      <c r="A974" s="1" t="s">
        <v>555</v>
      </c>
      <c r="B974">
        <v>66034043020</v>
      </c>
      <c r="C974" t="s">
        <v>75</v>
      </c>
      <c r="D974" t="s">
        <v>105</v>
      </c>
      <c r="E974">
        <v>4208000000</v>
      </c>
      <c r="F974">
        <v>103000000</v>
      </c>
      <c r="G974">
        <v>4311000000</v>
      </c>
      <c r="H974">
        <v>9249000000</v>
      </c>
      <c r="I974">
        <v>1479000000</v>
      </c>
      <c r="J974">
        <v>201000000</v>
      </c>
      <c r="K974">
        <v>10938000000</v>
      </c>
      <c r="L974">
        <v>8853000000</v>
      </c>
      <c r="M974">
        <v>23605000000</v>
      </c>
      <c r="N974">
        <v>0</v>
      </c>
      <c r="O974">
        <v>1164000000</v>
      </c>
      <c r="P974">
        <v>8504000000</v>
      </c>
      <c r="Q974">
        <v>72862043020</v>
      </c>
      <c r="R974">
        <v>74026043020</v>
      </c>
    </row>
    <row r="975" spans="1:18" x14ac:dyDescent="0.25">
      <c r="A975" s="1" t="s">
        <v>554</v>
      </c>
      <c r="B975">
        <v>63341236640</v>
      </c>
      <c r="C975" t="s">
        <v>75</v>
      </c>
      <c r="D975" t="s">
        <v>105</v>
      </c>
      <c r="E975">
        <v>4208000000</v>
      </c>
      <c r="F975">
        <v>103000000</v>
      </c>
      <c r="G975">
        <v>4311000000</v>
      </c>
      <c r="H975">
        <v>9249000000</v>
      </c>
      <c r="I975">
        <v>1479000000</v>
      </c>
      <c r="J975">
        <v>201000000</v>
      </c>
      <c r="K975">
        <v>10938000000</v>
      </c>
      <c r="L975">
        <v>8853000000</v>
      </c>
      <c r="M975">
        <v>23605000000</v>
      </c>
      <c r="N975">
        <v>0</v>
      </c>
      <c r="O975">
        <v>1164000000</v>
      </c>
      <c r="P975">
        <v>8504000000</v>
      </c>
      <c r="Q975">
        <v>70169236640</v>
      </c>
      <c r="R975">
        <v>71333236640</v>
      </c>
    </row>
    <row r="976" spans="1:18" x14ac:dyDescent="0.25">
      <c r="A976" s="1" t="s">
        <v>553</v>
      </c>
      <c r="B976">
        <v>62657987260</v>
      </c>
      <c r="C976" t="s">
        <v>75</v>
      </c>
      <c r="D976" t="s">
        <v>105</v>
      </c>
      <c r="E976">
        <v>4208000000</v>
      </c>
      <c r="F976">
        <v>103000000</v>
      </c>
      <c r="G976">
        <v>4311000000</v>
      </c>
      <c r="H976">
        <v>9249000000</v>
      </c>
      <c r="I976">
        <v>1479000000</v>
      </c>
      <c r="J976">
        <v>201000000</v>
      </c>
      <c r="K976">
        <v>10938000000</v>
      </c>
      <c r="L976">
        <v>8853000000</v>
      </c>
      <c r="M976">
        <v>23605000000</v>
      </c>
      <c r="N976">
        <v>0</v>
      </c>
      <c r="O976">
        <v>1164000000</v>
      </c>
      <c r="P976">
        <v>8504000000</v>
      </c>
      <c r="Q976">
        <v>69485987260</v>
      </c>
      <c r="R976">
        <v>70649987260</v>
      </c>
    </row>
    <row r="977" spans="1:18" x14ac:dyDescent="0.25">
      <c r="A977" s="1" t="s">
        <v>552</v>
      </c>
      <c r="B977">
        <v>61793877750</v>
      </c>
      <c r="C977" t="s">
        <v>75</v>
      </c>
      <c r="D977" t="s">
        <v>105</v>
      </c>
      <c r="E977">
        <v>4208000000</v>
      </c>
      <c r="F977">
        <v>103000000</v>
      </c>
      <c r="G977">
        <v>4311000000</v>
      </c>
      <c r="H977">
        <v>9249000000</v>
      </c>
      <c r="I977">
        <v>1479000000</v>
      </c>
      <c r="J977">
        <v>201000000</v>
      </c>
      <c r="K977">
        <v>10938000000</v>
      </c>
      <c r="L977">
        <v>8853000000</v>
      </c>
      <c r="M977">
        <v>23605000000</v>
      </c>
      <c r="N977">
        <v>0</v>
      </c>
      <c r="O977">
        <v>1164000000</v>
      </c>
      <c r="P977">
        <v>8504000000</v>
      </c>
      <c r="Q977">
        <v>68621877750</v>
      </c>
      <c r="R977">
        <v>69785877750</v>
      </c>
    </row>
    <row r="978" spans="1:18" x14ac:dyDescent="0.25">
      <c r="A978" s="1" t="s">
        <v>551</v>
      </c>
      <c r="B978">
        <v>61532635340</v>
      </c>
      <c r="C978" t="s">
        <v>75</v>
      </c>
      <c r="D978" t="s">
        <v>105</v>
      </c>
      <c r="E978">
        <v>4208000000</v>
      </c>
      <c r="F978">
        <v>103000000</v>
      </c>
      <c r="G978">
        <v>4311000000</v>
      </c>
      <c r="H978">
        <v>9249000000</v>
      </c>
      <c r="I978">
        <v>1479000000</v>
      </c>
      <c r="J978">
        <v>201000000</v>
      </c>
      <c r="K978">
        <v>10938000000</v>
      </c>
      <c r="L978">
        <v>8853000000</v>
      </c>
      <c r="M978">
        <v>23605000000</v>
      </c>
      <c r="N978">
        <v>0</v>
      </c>
      <c r="O978">
        <v>1164000000</v>
      </c>
      <c r="P978">
        <v>8504000000</v>
      </c>
      <c r="Q978">
        <v>68360635340</v>
      </c>
      <c r="R978">
        <v>69524635340</v>
      </c>
    </row>
    <row r="979" spans="1:18" x14ac:dyDescent="0.25">
      <c r="A979" s="1" t="s">
        <v>550</v>
      </c>
      <c r="B979">
        <v>60427378990</v>
      </c>
      <c r="C979" t="s">
        <v>75</v>
      </c>
      <c r="D979" t="s">
        <v>105</v>
      </c>
      <c r="E979">
        <v>4208000000</v>
      </c>
      <c r="F979">
        <v>103000000</v>
      </c>
      <c r="G979">
        <v>4311000000</v>
      </c>
      <c r="H979">
        <v>9249000000</v>
      </c>
      <c r="I979">
        <v>1479000000</v>
      </c>
      <c r="J979">
        <v>201000000</v>
      </c>
      <c r="K979">
        <v>10938000000</v>
      </c>
      <c r="L979">
        <v>8853000000</v>
      </c>
      <c r="M979">
        <v>23605000000</v>
      </c>
      <c r="N979">
        <v>0</v>
      </c>
      <c r="O979">
        <v>1164000000</v>
      </c>
      <c r="P979">
        <v>8504000000</v>
      </c>
      <c r="Q979">
        <v>67255378990</v>
      </c>
      <c r="R979">
        <v>68419378990</v>
      </c>
    </row>
    <row r="980" spans="1:18" x14ac:dyDescent="0.25">
      <c r="A980" s="1" t="s">
        <v>549</v>
      </c>
      <c r="B980">
        <v>62035024590</v>
      </c>
      <c r="C980" t="s">
        <v>75</v>
      </c>
      <c r="D980" t="s">
        <v>105</v>
      </c>
      <c r="E980">
        <v>4208000000</v>
      </c>
      <c r="F980">
        <v>103000000</v>
      </c>
      <c r="G980">
        <v>4311000000</v>
      </c>
      <c r="H980">
        <v>9249000000</v>
      </c>
      <c r="I980">
        <v>1479000000</v>
      </c>
      <c r="J980">
        <v>201000000</v>
      </c>
      <c r="K980">
        <v>10938000000</v>
      </c>
      <c r="L980">
        <v>8853000000</v>
      </c>
      <c r="M980">
        <v>23605000000</v>
      </c>
      <c r="N980">
        <v>0</v>
      </c>
      <c r="O980">
        <v>1164000000</v>
      </c>
      <c r="P980">
        <v>8504000000</v>
      </c>
      <c r="Q980">
        <v>68863024590</v>
      </c>
      <c r="R980">
        <v>70027024590</v>
      </c>
    </row>
    <row r="981" spans="1:18" x14ac:dyDescent="0.25">
      <c r="A981" s="1" t="s">
        <v>548</v>
      </c>
      <c r="B981">
        <v>62678082830</v>
      </c>
      <c r="C981" t="s">
        <v>75</v>
      </c>
      <c r="D981" t="s">
        <v>105</v>
      </c>
      <c r="E981">
        <v>4208000000</v>
      </c>
      <c r="F981">
        <v>103000000</v>
      </c>
      <c r="G981">
        <v>4311000000</v>
      </c>
      <c r="H981">
        <v>9249000000</v>
      </c>
      <c r="I981">
        <v>1479000000</v>
      </c>
      <c r="J981">
        <v>201000000</v>
      </c>
      <c r="K981">
        <v>10938000000</v>
      </c>
      <c r="L981">
        <v>8853000000</v>
      </c>
      <c r="M981">
        <v>23605000000</v>
      </c>
      <c r="N981">
        <v>0</v>
      </c>
      <c r="O981">
        <v>1164000000</v>
      </c>
      <c r="P981">
        <v>8504000000</v>
      </c>
      <c r="Q981">
        <v>69506082830</v>
      </c>
      <c r="R981">
        <v>70670082830</v>
      </c>
    </row>
    <row r="982" spans="1:18" x14ac:dyDescent="0.25">
      <c r="A982" s="1" t="s">
        <v>74</v>
      </c>
      <c r="B982">
        <v>64249972100</v>
      </c>
      <c r="C982" t="s">
        <v>75</v>
      </c>
      <c r="D982" t="s">
        <v>105</v>
      </c>
      <c r="E982">
        <v>4208000000</v>
      </c>
      <c r="F982">
        <v>103000000</v>
      </c>
      <c r="G982">
        <v>4311000000</v>
      </c>
      <c r="H982">
        <v>9249000000</v>
      </c>
      <c r="I982">
        <v>1479000000</v>
      </c>
      <c r="J982">
        <v>201000000</v>
      </c>
      <c r="K982">
        <v>10938000000</v>
      </c>
      <c r="L982">
        <v>8853000000</v>
      </c>
      <c r="M982">
        <v>23605000000</v>
      </c>
      <c r="N982">
        <v>0</v>
      </c>
      <c r="O982">
        <v>1164000000</v>
      </c>
      <c r="P982">
        <v>8504000000</v>
      </c>
      <c r="Q982">
        <v>71077972100</v>
      </c>
      <c r="R982">
        <v>72241972100</v>
      </c>
    </row>
    <row r="983" spans="1:18" x14ac:dyDescent="0.25">
      <c r="A983" s="1" t="s">
        <v>547</v>
      </c>
      <c r="B983">
        <v>63763536980</v>
      </c>
      <c r="C983" t="s">
        <v>75</v>
      </c>
      <c r="D983" t="s">
        <v>105</v>
      </c>
      <c r="E983">
        <v>4208000000</v>
      </c>
      <c r="F983">
        <v>103000000</v>
      </c>
      <c r="G983">
        <v>4311000000</v>
      </c>
      <c r="H983">
        <v>9249000000</v>
      </c>
      <c r="I983">
        <v>1479000000</v>
      </c>
      <c r="J983">
        <v>201000000</v>
      </c>
      <c r="K983">
        <v>10938000000</v>
      </c>
      <c r="L983">
        <v>8853000000</v>
      </c>
      <c r="M983">
        <v>23605000000</v>
      </c>
      <c r="N983">
        <v>0</v>
      </c>
      <c r="O983">
        <v>1164000000</v>
      </c>
      <c r="P983">
        <v>8504000000</v>
      </c>
      <c r="Q983">
        <v>70591536980</v>
      </c>
      <c r="R983">
        <v>71755536980</v>
      </c>
    </row>
    <row r="984" spans="1:18" x14ac:dyDescent="0.25">
      <c r="A984" s="1" t="s">
        <v>546</v>
      </c>
      <c r="B984">
        <v>63621660070</v>
      </c>
      <c r="C984" t="s">
        <v>75</v>
      </c>
      <c r="D984" t="s">
        <v>105</v>
      </c>
      <c r="E984">
        <v>4208000000</v>
      </c>
      <c r="F984">
        <v>103000000</v>
      </c>
      <c r="G984">
        <v>4311000000</v>
      </c>
      <c r="H984">
        <v>9249000000</v>
      </c>
      <c r="I984">
        <v>1479000000</v>
      </c>
      <c r="J984">
        <v>201000000</v>
      </c>
      <c r="K984">
        <v>10938000000</v>
      </c>
      <c r="L984">
        <v>8853000000</v>
      </c>
      <c r="M984">
        <v>23605000000</v>
      </c>
      <c r="N984">
        <v>0</v>
      </c>
      <c r="O984">
        <v>1164000000</v>
      </c>
      <c r="P984">
        <v>8504000000</v>
      </c>
      <c r="Q984">
        <v>70449660070</v>
      </c>
      <c r="R984">
        <v>71613660070</v>
      </c>
    </row>
    <row r="985" spans="1:18" x14ac:dyDescent="0.25">
      <c r="A985" s="1" t="s">
        <v>545</v>
      </c>
      <c r="B985">
        <v>63074420560</v>
      </c>
      <c r="C985" t="s">
        <v>75</v>
      </c>
      <c r="D985" t="s">
        <v>105</v>
      </c>
      <c r="E985">
        <v>4208000000</v>
      </c>
      <c r="F985">
        <v>103000000</v>
      </c>
      <c r="G985">
        <v>4311000000</v>
      </c>
      <c r="H985">
        <v>9249000000</v>
      </c>
      <c r="I985">
        <v>1479000000</v>
      </c>
      <c r="J985">
        <v>201000000</v>
      </c>
      <c r="K985">
        <v>10938000000</v>
      </c>
      <c r="L985">
        <v>8853000000</v>
      </c>
      <c r="M985">
        <v>23605000000</v>
      </c>
      <c r="N985">
        <v>0</v>
      </c>
      <c r="O985">
        <v>1164000000</v>
      </c>
      <c r="P985">
        <v>8504000000</v>
      </c>
      <c r="Q985">
        <v>69902420560</v>
      </c>
      <c r="R985">
        <v>71066420560</v>
      </c>
    </row>
    <row r="986" spans="1:18" x14ac:dyDescent="0.25">
      <c r="A986" s="1" t="s">
        <v>544</v>
      </c>
      <c r="B986">
        <v>63196029340</v>
      </c>
      <c r="C986" t="s">
        <v>75</v>
      </c>
      <c r="D986" t="s">
        <v>105</v>
      </c>
      <c r="E986">
        <v>4208000000</v>
      </c>
      <c r="F986">
        <v>103000000</v>
      </c>
      <c r="G986">
        <v>4311000000</v>
      </c>
      <c r="H986">
        <v>9249000000</v>
      </c>
      <c r="I986">
        <v>1479000000</v>
      </c>
      <c r="J986">
        <v>201000000</v>
      </c>
      <c r="K986">
        <v>10938000000</v>
      </c>
      <c r="L986">
        <v>8853000000</v>
      </c>
      <c r="M986">
        <v>23605000000</v>
      </c>
      <c r="N986">
        <v>0</v>
      </c>
      <c r="O986">
        <v>1164000000</v>
      </c>
      <c r="P986">
        <v>8504000000</v>
      </c>
      <c r="Q986">
        <v>70024029340</v>
      </c>
      <c r="R986">
        <v>71188029340</v>
      </c>
    </row>
    <row r="987" spans="1:18" x14ac:dyDescent="0.25">
      <c r="A987" s="1" t="s">
        <v>543</v>
      </c>
      <c r="B987">
        <v>64331044620</v>
      </c>
      <c r="C987" t="s">
        <v>75</v>
      </c>
      <c r="D987" t="s">
        <v>105</v>
      </c>
      <c r="E987">
        <v>4208000000</v>
      </c>
      <c r="F987">
        <v>103000000</v>
      </c>
      <c r="G987">
        <v>4311000000</v>
      </c>
      <c r="H987">
        <v>9249000000</v>
      </c>
      <c r="I987">
        <v>1479000000</v>
      </c>
      <c r="J987">
        <v>201000000</v>
      </c>
      <c r="K987">
        <v>10938000000</v>
      </c>
      <c r="L987">
        <v>8853000000</v>
      </c>
      <c r="M987">
        <v>23605000000</v>
      </c>
      <c r="N987">
        <v>0</v>
      </c>
      <c r="O987">
        <v>1164000000</v>
      </c>
      <c r="P987">
        <v>8504000000</v>
      </c>
      <c r="Q987">
        <v>71159044620</v>
      </c>
      <c r="R987">
        <v>72323044620</v>
      </c>
    </row>
    <row r="988" spans="1:18" x14ac:dyDescent="0.25">
      <c r="A988" s="1" t="s">
        <v>542</v>
      </c>
      <c r="B988">
        <v>63074420560</v>
      </c>
      <c r="C988" t="s">
        <v>75</v>
      </c>
      <c r="D988" t="s">
        <v>105</v>
      </c>
      <c r="E988">
        <v>4208000000</v>
      </c>
      <c r="F988">
        <v>103000000</v>
      </c>
      <c r="G988">
        <v>4311000000</v>
      </c>
      <c r="H988">
        <v>9249000000</v>
      </c>
      <c r="I988">
        <v>1479000000</v>
      </c>
      <c r="J988">
        <v>201000000</v>
      </c>
      <c r="K988">
        <v>10938000000</v>
      </c>
      <c r="L988">
        <v>8853000000</v>
      </c>
      <c r="M988">
        <v>23605000000</v>
      </c>
      <c r="N988">
        <v>0</v>
      </c>
      <c r="O988">
        <v>1164000000</v>
      </c>
      <c r="P988">
        <v>8504000000</v>
      </c>
      <c r="Q988">
        <v>69902420560</v>
      </c>
      <c r="R988">
        <v>71066420560</v>
      </c>
    </row>
    <row r="989" spans="1:18" x14ac:dyDescent="0.25">
      <c r="A989" s="1" t="s">
        <v>541</v>
      </c>
      <c r="B989">
        <v>62000209670</v>
      </c>
      <c r="C989" t="s">
        <v>75</v>
      </c>
      <c r="D989" t="s">
        <v>105</v>
      </c>
      <c r="E989">
        <v>4208000000</v>
      </c>
      <c r="F989">
        <v>103000000</v>
      </c>
      <c r="G989">
        <v>4311000000</v>
      </c>
      <c r="H989">
        <v>9249000000</v>
      </c>
      <c r="I989">
        <v>1479000000</v>
      </c>
      <c r="J989">
        <v>201000000</v>
      </c>
      <c r="K989">
        <v>10938000000</v>
      </c>
      <c r="L989">
        <v>8853000000</v>
      </c>
      <c r="M989">
        <v>23605000000</v>
      </c>
      <c r="N989">
        <v>0</v>
      </c>
      <c r="O989">
        <v>1164000000</v>
      </c>
      <c r="P989">
        <v>8504000000</v>
      </c>
      <c r="Q989">
        <v>68828209670</v>
      </c>
      <c r="R989">
        <v>69992209670</v>
      </c>
    </row>
    <row r="990" spans="1:18" x14ac:dyDescent="0.25">
      <c r="A990" s="1" t="s">
        <v>540</v>
      </c>
      <c r="B990">
        <v>63723000720</v>
      </c>
      <c r="C990" t="s">
        <v>75</v>
      </c>
      <c r="D990" t="s">
        <v>105</v>
      </c>
      <c r="E990">
        <v>4208000000</v>
      </c>
      <c r="F990">
        <v>103000000</v>
      </c>
      <c r="G990">
        <v>4311000000</v>
      </c>
      <c r="H990">
        <v>9249000000</v>
      </c>
      <c r="I990">
        <v>1479000000</v>
      </c>
      <c r="J990">
        <v>201000000</v>
      </c>
      <c r="K990">
        <v>10938000000</v>
      </c>
      <c r="L990">
        <v>8853000000</v>
      </c>
      <c r="M990">
        <v>23605000000</v>
      </c>
      <c r="N990">
        <v>0</v>
      </c>
      <c r="O990">
        <v>1164000000</v>
      </c>
      <c r="P990">
        <v>8504000000</v>
      </c>
      <c r="Q990">
        <v>70551000720</v>
      </c>
      <c r="R990">
        <v>71715000720</v>
      </c>
    </row>
    <row r="991" spans="1:18" x14ac:dyDescent="0.25">
      <c r="A991" s="1" t="s">
        <v>539</v>
      </c>
      <c r="B991">
        <v>63804073240</v>
      </c>
      <c r="C991" t="s">
        <v>75</v>
      </c>
      <c r="D991" t="s">
        <v>105</v>
      </c>
      <c r="E991">
        <v>4208000000</v>
      </c>
      <c r="F991">
        <v>103000000</v>
      </c>
      <c r="G991">
        <v>4311000000</v>
      </c>
      <c r="H991">
        <v>9249000000</v>
      </c>
      <c r="I991">
        <v>1479000000</v>
      </c>
      <c r="J991">
        <v>201000000</v>
      </c>
      <c r="K991">
        <v>10938000000</v>
      </c>
      <c r="L991">
        <v>8853000000</v>
      </c>
      <c r="M991">
        <v>23605000000</v>
      </c>
      <c r="N991">
        <v>0</v>
      </c>
      <c r="O991">
        <v>1164000000</v>
      </c>
      <c r="P991">
        <v>8504000000</v>
      </c>
      <c r="Q991">
        <v>70632073240</v>
      </c>
      <c r="R991">
        <v>71796073240</v>
      </c>
    </row>
    <row r="992" spans="1:18" x14ac:dyDescent="0.25">
      <c r="A992" s="1" t="s">
        <v>538</v>
      </c>
      <c r="B992">
        <v>65020161040</v>
      </c>
      <c r="C992" t="s">
        <v>75</v>
      </c>
      <c r="D992" t="s">
        <v>105</v>
      </c>
      <c r="E992">
        <v>4208000000</v>
      </c>
      <c r="F992">
        <v>103000000</v>
      </c>
      <c r="G992">
        <v>4311000000</v>
      </c>
      <c r="H992">
        <v>9249000000</v>
      </c>
      <c r="I992">
        <v>1479000000</v>
      </c>
      <c r="J992">
        <v>201000000</v>
      </c>
      <c r="K992">
        <v>10938000000</v>
      </c>
      <c r="L992">
        <v>8853000000</v>
      </c>
      <c r="M992">
        <v>23605000000</v>
      </c>
      <c r="N992">
        <v>0</v>
      </c>
      <c r="O992">
        <v>1164000000</v>
      </c>
      <c r="P992">
        <v>8504000000</v>
      </c>
      <c r="Q992">
        <v>71848161040</v>
      </c>
      <c r="R992">
        <v>73012161040</v>
      </c>
    </row>
    <row r="993" spans="1:18" x14ac:dyDescent="0.25">
      <c r="A993" s="1" t="s">
        <v>537</v>
      </c>
      <c r="B993">
        <v>64310776490</v>
      </c>
      <c r="C993" t="s">
        <v>75</v>
      </c>
      <c r="D993" t="s">
        <v>105</v>
      </c>
      <c r="E993">
        <v>4208000000</v>
      </c>
      <c r="F993">
        <v>103000000</v>
      </c>
      <c r="G993">
        <v>4311000000</v>
      </c>
      <c r="H993">
        <v>9249000000</v>
      </c>
      <c r="I993">
        <v>1479000000</v>
      </c>
      <c r="J993">
        <v>201000000</v>
      </c>
      <c r="K993">
        <v>10938000000</v>
      </c>
      <c r="L993">
        <v>8853000000</v>
      </c>
      <c r="M993">
        <v>23605000000</v>
      </c>
      <c r="N993">
        <v>0</v>
      </c>
      <c r="O993">
        <v>1164000000</v>
      </c>
      <c r="P993">
        <v>8504000000</v>
      </c>
      <c r="Q993">
        <v>71138776490</v>
      </c>
      <c r="R993">
        <v>72302776490</v>
      </c>
    </row>
    <row r="994" spans="1:18" x14ac:dyDescent="0.25">
      <c r="A994" s="1" t="s">
        <v>536</v>
      </c>
      <c r="B994">
        <v>64939088520</v>
      </c>
      <c r="C994" t="s">
        <v>75</v>
      </c>
      <c r="D994" t="s">
        <v>105</v>
      </c>
      <c r="E994">
        <v>4208000000</v>
      </c>
      <c r="F994">
        <v>103000000</v>
      </c>
      <c r="G994">
        <v>4311000000</v>
      </c>
      <c r="H994">
        <v>9249000000</v>
      </c>
      <c r="I994">
        <v>1479000000</v>
      </c>
      <c r="J994">
        <v>201000000</v>
      </c>
      <c r="K994">
        <v>10938000000</v>
      </c>
      <c r="L994">
        <v>8853000000</v>
      </c>
      <c r="M994">
        <v>23605000000</v>
      </c>
      <c r="N994">
        <v>0</v>
      </c>
      <c r="O994">
        <v>1164000000</v>
      </c>
      <c r="P994">
        <v>8504000000</v>
      </c>
      <c r="Q994">
        <v>71767088520</v>
      </c>
      <c r="R994">
        <v>72931088520</v>
      </c>
    </row>
    <row r="995" spans="1:18" x14ac:dyDescent="0.25">
      <c r="A995" s="1" t="s">
        <v>535</v>
      </c>
      <c r="B995">
        <v>63844609500</v>
      </c>
      <c r="C995" t="s">
        <v>75</v>
      </c>
      <c r="D995" t="s">
        <v>105</v>
      </c>
      <c r="E995">
        <v>4208000000</v>
      </c>
      <c r="F995">
        <v>103000000</v>
      </c>
      <c r="G995">
        <v>4311000000</v>
      </c>
      <c r="H995">
        <v>9249000000</v>
      </c>
      <c r="I995">
        <v>1479000000</v>
      </c>
      <c r="J995">
        <v>201000000</v>
      </c>
      <c r="K995">
        <v>10938000000</v>
      </c>
      <c r="L995">
        <v>8853000000</v>
      </c>
      <c r="M995">
        <v>23605000000</v>
      </c>
      <c r="N995">
        <v>0</v>
      </c>
      <c r="O995">
        <v>1164000000</v>
      </c>
      <c r="P995">
        <v>8504000000</v>
      </c>
      <c r="Q995">
        <v>70672609500</v>
      </c>
      <c r="R995">
        <v>71836609500</v>
      </c>
    </row>
    <row r="996" spans="1:18" x14ac:dyDescent="0.25">
      <c r="A996" s="1" t="s">
        <v>534</v>
      </c>
      <c r="B996">
        <v>62486644790</v>
      </c>
      <c r="C996" t="s">
        <v>75</v>
      </c>
      <c r="D996" t="s">
        <v>105</v>
      </c>
      <c r="E996">
        <v>4208000000</v>
      </c>
      <c r="F996">
        <v>103000000</v>
      </c>
      <c r="G996">
        <v>4311000000</v>
      </c>
      <c r="H996">
        <v>9249000000</v>
      </c>
      <c r="I996">
        <v>1479000000</v>
      </c>
      <c r="J996">
        <v>201000000</v>
      </c>
      <c r="K996">
        <v>10938000000</v>
      </c>
      <c r="L996">
        <v>8853000000</v>
      </c>
      <c r="M996">
        <v>23605000000</v>
      </c>
      <c r="N996">
        <v>0</v>
      </c>
      <c r="O996">
        <v>1164000000</v>
      </c>
      <c r="P996">
        <v>8504000000</v>
      </c>
      <c r="Q996">
        <v>69314644790</v>
      </c>
      <c r="R996">
        <v>70478644790</v>
      </c>
    </row>
    <row r="997" spans="1:18" x14ac:dyDescent="0.25">
      <c r="A997" s="1" t="s">
        <v>533</v>
      </c>
      <c r="B997">
        <v>62182622840</v>
      </c>
      <c r="C997" t="s">
        <v>75</v>
      </c>
      <c r="D997" t="s">
        <v>105</v>
      </c>
      <c r="E997">
        <v>4208000000</v>
      </c>
      <c r="F997">
        <v>103000000</v>
      </c>
      <c r="G997">
        <v>4311000000</v>
      </c>
      <c r="H997">
        <v>9249000000</v>
      </c>
      <c r="I997">
        <v>1479000000</v>
      </c>
      <c r="J997">
        <v>201000000</v>
      </c>
      <c r="K997">
        <v>10938000000</v>
      </c>
      <c r="L997">
        <v>8853000000</v>
      </c>
      <c r="M997">
        <v>23605000000</v>
      </c>
      <c r="N997">
        <v>0</v>
      </c>
      <c r="O997">
        <v>1164000000</v>
      </c>
      <c r="P997">
        <v>8504000000</v>
      </c>
      <c r="Q997">
        <v>69010622840</v>
      </c>
      <c r="R997">
        <v>70174622840</v>
      </c>
    </row>
    <row r="998" spans="1:18" x14ac:dyDescent="0.25">
      <c r="A998" s="1" t="s">
        <v>532</v>
      </c>
      <c r="B998">
        <v>59973396670</v>
      </c>
      <c r="C998" t="s">
        <v>75</v>
      </c>
      <c r="D998" t="s">
        <v>105</v>
      </c>
      <c r="E998">
        <v>4208000000</v>
      </c>
      <c r="F998">
        <v>103000000</v>
      </c>
      <c r="G998">
        <v>4311000000</v>
      </c>
      <c r="H998">
        <v>9249000000</v>
      </c>
      <c r="I998">
        <v>1479000000</v>
      </c>
      <c r="J998">
        <v>201000000</v>
      </c>
      <c r="K998">
        <v>10938000000</v>
      </c>
      <c r="L998">
        <v>8853000000</v>
      </c>
      <c r="M998">
        <v>23605000000</v>
      </c>
      <c r="N998">
        <v>0</v>
      </c>
      <c r="O998">
        <v>1164000000</v>
      </c>
      <c r="P998">
        <v>8504000000</v>
      </c>
      <c r="Q998">
        <v>66801396670</v>
      </c>
      <c r="R998">
        <v>67965396670</v>
      </c>
    </row>
    <row r="999" spans="1:18" x14ac:dyDescent="0.25">
      <c r="A999" s="1" t="s">
        <v>531</v>
      </c>
      <c r="B999">
        <v>60155809840</v>
      </c>
      <c r="C999" t="s">
        <v>75</v>
      </c>
      <c r="D999" t="s">
        <v>105</v>
      </c>
      <c r="E999">
        <v>4208000000</v>
      </c>
      <c r="F999">
        <v>103000000</v>
      </c>
      <c r="G999">
        <v>4311000000</v>
      </c>
      <c r="H999">
        <v>9249000000</v>
      </c>
      <c r="I999">
        <v>1479000000</v>
      </c>
      <c r="J999">
        <v>201000000</v>
      </c>
      <c r="K999">
        <v>10938000000</v>
      </c>
      <c r="L999">
        <v>8853000000</v>
      </c>
      <c r="M999">
        <v>23605000000</v>
      </c>
      <c r="N999">
        <v>0</v>
      </c>
      <c r="O999">
        <v>1164000000</v>
      </c>
      <c r="P999">
        <v>8504000000</v>
      </c>
      <c r="Q999">
        <v>66983809840</v>
      </c>
      <c r="R999">
        <v>68147809840</v>
      </c>
    </row>
    <row r="1000" spans="1:18" x14ac:dyDescent="0.25">
      <c r="A1000" s="1" t="s">
        <v>530</v>
      </c>
      <c r="B1000">
        <v>60196346100</v>
      </c>
      <c r="C1000" t="s">
        <v>75</v>
      </c>
      <c r="D1000" t="s">
        <v>105</v>
      </c>
      <c r="E1000">
        <v>4208000000</v>
      </c>
      <c r="F1000">
        <v>103000000</v>
      </c>
      <c r="G1000">
        <v>4311000000</v>
      </c>
      <c r="H1000">
        <v>9249000000</v>
      </c>
      <c r="I1000">
        <v>1479000000</v>
      </c>
      <c r="J1000">
        <v>201000000</v>
      </c>
      <c r="K1000">
        <v>10938000000</v>
      </c>
      <c r="L1000">
        <v>8853000000</v>
      </c>
      <c r="M1000">
        <v>23605000000</v>
      </c>
      <c r="N1000">
        <v>0</v>
      </c>
      <c r="O1000">
        <v>1164000000</v>
      </c>
      <c r="P1000">
        <v>8504000000</v>
      </c>
      <c r="Q1000">
        <v>67024346100</v>
      </c>
      <c r="R1000">
        <v>68188346100</v>
      </c>
    </row>
    <row r="1001" spans="1:18" x14ac:dyDescent="0.25">
      <c r="A1001" s="1" t="s">
        <v>529</v>
      </c>
      <c r="B1001">
        <v>62932543650</v>
      </c>
      <c r="C1001" t="s">
        <v>75</v>
      </c>
      <c r="D1001" t="s">
        <v>105</v>
      </c>
      <c r="E1001">
        <v>4208000000</v>
      </c>
      <c r="F1001">
        <v>103000000</v>
      </c>
      <c r="G1001">
        <v>4311000000</v>
      </c>
      <c r="H1001">
        <v>9249000000</v>
      </c>
      <c r="I1001">
        <v>1479000000</v>
      </c>
      <c r="J1001">
        <v>201000000</v>
      </c>
      <c r="K1001">
        <v>10938000000</v>
      </c>
      <c r="L1001">
        <v>8853000000</v>
      </c>
      <c r="M1001">
        <v>23605000000</v>
      </c>
      <c r="N1001">
        <v>0</v>
      </c>
      <c r="O1001">
        <v>1164000000</v>
      </c>
      <c r="P1001">
        <v>8504000000</v>
      </c>
      <c r="Q1001">
        <v>69760543650</v>
      </c>
      <c r="R1001">
        <v>70924543650</v>
      </c>
    </row>
    <row r="1002" spans="1:18" x14ac:dyDescent="0.25">
      <c r="A1002" s="1" t="s">
        <v>528</v>
      </c>
      <c r="B1002">
        <v>66357857620</v>
      </c>
      <c r="C1002" t="s">
        <v>75</v>
      </c>
      <c r="D1002" t="s">
        <v>105</v>
      </c>
      <c r="E1002">
        <v>4208000000</v>
      </c>
      <c r="F1002">
        <v>103000000</v>
      </c>
      <c r="G1002">
        <v>4311000000</v>
      </c>
      <c r="H1002">
        <v>9249000000</v>
      </c>
      <c r="I1002">
        <v>1479000000</v>
      </c>
      <c r="J1002">
        <v>201000000</v>
      </c>
      <c r="K1002">
        <v>10938000000</v>
      </c>
      <c r="L1002">
        <v>8853000000</v>
      </c>
      <c r="M1002">
        <v>23605000000</v>
      </c>
      <c r="N1002">
        <v>0</v>
      </c>
      <c r="O1002">
        <v>1164000000</v>
      </c>
      <c r="P1002">
        <v>8504000000</v>
      </c>
      <c r="Q1002">
        <v>73185857620</v>
      </c>
      <c r="R1002">
        <v>74349857620</v>
      </c>
    </row>
    <row r="1003" spans="1:18" x14ac:dyDescent="0.25">
      <c r="A1003" s="1" t="s">
        <v>122</v>
      </c>
      <c r="B1003">
        <v>74019210760</v>
      </c>
      <c r="C1003" t="s">
        <v>74</v>
      </c>
      <c r="D1003" t="s">
        <v>105</v>
      </c>
      <c r="E1003">
        <v>4045000000</v>
      </c>
      <c r="F1003">
        <v>121000000</v>
      </c>
      <c r="G1003">
        <v>4166000000</v>
      </c>
      <c r="H1003">
        <v>9196000000</v>
      </c>
      <c r="I1003">
        <v>1562000000</v>
      </c>
      <c r="J1003">
        <v>193000000</v>
      </c>
      <c r="K1003">
        <v>10886000000</v>
      </c>
      <c r="L1003">
        <v>8683000000</v>
      </c>
      <c r="M1003">
        <v>23779000000</v>
      </c>
      <c r="N1003">
        <v>0</v>
      </c>
      <c r="O1003">
        <v>1164000000</v>
      </c>
      <c r="P1003">
        <v>8672000000</v>
      </c>
      <c r="Q1003">
        <v>80932210760</v>
      </c>
      <c r="R1003">
        <v>82096210760</v>
      </c>
    </row>
    <row r="1004" spans="1:18" x14ac:dyDescent="0.25">
      <c r="A1004" s="1" t="s">
        <v>527</v>
      </c>
      <c r="B1004">
        <v>76694603920</v>
      </c>
      <c r="C1004" t="s">
        <v>74</v>
      </c>
      <c r="D1004" t="s">
        <v>105</v>
      </c>
      <c r="E1004">
        <v>4045000000</v>
      </c>
      <c r="F1004">
        <v>121000000</v>
      </c>
      <c r="G1004">
        <v>4166000000</v>
      </c>
      <c r="H1004">
        <v>9196000000</v>
      </c>
      <c r="I1004">
        <v>1562000000</v>
      </c>
      <c r="J1004">
        <v>193000000</v>
      </c>
      <c r="K1004">
        <v>10886000000</v>
      </c>
      <c r="L1004">
        <v>8683000000</v>
      </c>
      <c r="M1004">
        <v>23779000000</v>
      </c>
      <c r="N1004">
        <v>0</v>
      </c>
      <c r="O1004">
        <v>1164000000</v>
      </c>
      <c r="P1004">
        <v>8672000000</v>
      </c>
      <c r="Q1004">
        <v>83607603920</v>
      </c>
      <c r="R1004">
        <v>84771603920</v>
      </c>
    </row>
    <row r="1005" spans="1:18" x14ac:dyDescent="0.25">
      <c r="A1005" s="1" t="s">
        <v>526</v>
      </c>
      <c r="B1005">
        <v>75985219370</v>
      </c>
      <c r="C1005" t="s">
        <v>74</v>
      </c>
      <c r="D1005" t="s">
        <v>105</v>
      </c>
      <c r="E1005">
        <v>4045000000</v>
      </c>
      <c r="F1005">
        <v>121000000</v>
      </c>
      <c r="G1005">
        <v>4166000000</v>
      </c>
      <c r="H1005">
        <v>9196000000</v>
      </c>
      <c r="I1005">
        <v>1562000000</v>
      </c>
      <c r="J1005">
        <v>193000000</v>
      </c>
      <c r="K1005">
        <v>10886000000</v>
      </c>
      <c r="L1005">
        <v>8683000000</v>
      </c>
      <c r="M1005">
        <v>23779000000</v>
      </c>
      <c r="N1005">
        <v>0</v>
      </c>
      <c r="O1005">
        <v>1164000000</v>
      </c>
      <c r="P1005">
        <v>8672000000</v>
      </c>
      <c r="Q1005">
        <v>82898219370</v>
      </c>
      <c r="R1005">
        <v>84062219370</v>
      </c>
    </row>
    <row r="1006" spans="1:18" x14ac:dyDescent="0.25">
      <c r="A1006" s="1" t="s">
        <v>525</v>
      </c>
      <c r="B1006">
        <v>76512190750</v>
      </c>
      <c r="C1006" t="s">
        <v>74</v>
      </c>
      <c r="D1006" t="s">
        <v>105</v>
      </c>
      <c r="E1006">
        <v>4045000000</v>
      </c>
      <c r="F1006">
        <v>121000000</v>
      </c>
      <c r="G1006">
        <v>4166000000</v>
      </c>
      <c r="H1006">
        <v>9196000000</v>
      </c>
      <c r="I1006">
        <v>1562000000</v>
      </c>
      <c r="J1006">
        <v>193000000</v>
      </c>
      <c r="K1006">
        <v>10886000000</v>
      </c>
      <c r="L1006">
        <v>8683000000</v>
      </c>
      <c r="M1006">
        <v>23779000000</v>
      </c>
      <c r="N1006">
        <v>0</v>
      </c>
      <c r="O1006">
        <v>1164000000</v>
      </c>
      <c r="P1006">
        <v>8672000000</v>
      </c>
      <c r="Q1006">
        <v>83425190750</v>
      </c>
      <c r="R1006">
        <v>84589190750</v>
      </c>
    </row>
    <row r="1007" spans="1:18" x14ac:dyDescent="0.25">
      <c r="A1007" s="1" t="s">
        <v>524</v>
      </c>
      <c r="B1007">
        <v>78701148790</v>
      </c>
      <c r="C1007" t="s">
        <v>74</v>
      </c>
      <c r="D1007" t="s">
        <v>105</v>
      </c>
      <c r="E1007">
        <v>4045000000</v>
      </c>
      <c r="F1007">
        <v>121000000</v>
      </c>
      <c r="G1007">
        <v>4166000000</v>
      </c>
      <c r="H1007">
        <v>9196000000</v>
      </c>
      <c r="I1007">
        <v>1562000000</v>
      </c>
      <c r="J1007">
        <v>193000000</v>
      </c>
      <c r="K1007">
        <v>10886000000</v>
      </c>
      <c r="L1007">
        <v>8683000000</v>
      </c>
      <c r="M1007">
        <v>23779000000</v>
      </c>
      <c r="N1007">
        <v>0</v>
      </c>
      <c r="O1007">
        <v>1164000000</v>
      </c>
      <c r="P1007">
        <v>8672000000</v>
      </c>
      <c r="Q1007">
        <v>85614148790</v>
      </c>
      <c r="R1007">
        <v>86778148790</v>
      </c>
    </row>
    <row r="1008" spans="1:18" x14ac:dyDescent="0.25">
      <c r="A1008" s="1" t="s">
        <v>523</v>
      </c>
      <c r="B1008">
        <v>77403988470</v>
      </c>
      <c r="C1008" t="s">
        <v>74</v>
      </c>
      <c r="D1008" t="s">
        <v>105</v>
      </c>
      <c r="E1008">
        <v>4045000000</v>
      </c>
      <c r="F1008">
        <v>121000000</v>
      </c>
      <c r="G1008">
        <v>4166000000</v>
      </c>
      <c r="H1008">
        <v>9196000000</v>
      </c>
      <c r="I1008">
        <v>1562000000</v>
      </c>
      <c r="J1008">
        <v>193000000</v>
      </c>
      <c r="K1008">
        <v>10886000000</v>
      </c>
      <c r="L1008">
        <v>8683000000</v>
      </c>
      <c r="M1008">
        <v>23779000000</v>
      </c>
      <c r="N1008">
        <v>0</v>
      </c>
      <c r="O1008">
        <v>1164000000</v>
      </c>
      <c r="P1008">
        <v>8672000000</v>
      </c>
      <c r="Q1008">
        <v>84316988470</v>
      </c>
      <c r="R1008">
        <v>85480988470</v>
      </c>
    </row>
    <row r="1009" spans="1:18" x14ac:dyDescent="0.25">
      <c r="A1009" s="1" t="s">
        <v>522</v>
      </c>
      <c r="B1009">
        <v>78620076270</v>
      </c>
      <c r="C1009" t="s">
        <v>74</v>
      </c>
      <c r="D1009" t="s">
        <v>105</v>
      </c>
      <c r="E1009">
        <v>4045000000</v>
      </c>
      <c r="F1009">
        <v>121000000</v>
      </c>
      <c r="G1009">
        <v>4166000000</v>
      </c>
      <c r="H1009">
        <v>9196000000</v>
      </c>
      <c r="I1009">
        <v>1562000000</v>
      </c>
      <c r="J1009">
        <v>193000000</v>
      </c>
      <c r="K1009">
        <v>10886000000</v>
      </c>
      <c r="L1009">
        <v>8683000000</v>
      </c>
      <c r="M1009">
        <v>23779000000</v>
      </c>
      <c r="N1009">
        <v>0</v>
      </c>
      <c r="O1009">
        <v>1164000000</v>
      </c>
      <c r="P1009">
        <v>8672000000</v>
      </c>
      <c r="Q1009">
        <v>85533076270</v>
      </c>
      <c r="R1009">
        <v>86697076270</v>
      </c>
    </row>
    <row r="1010" spans="1:18" x14ac:dyDescent="0.25">
      <c r="A1010" s="1" t="s">
        <v>521</v>
      </c>
      <c r="B1010">
        <v>77870155460</v>
      </c>
      <c r="C1010" t="s">
        <v>74</v>
      </c>
      <c r="D1010" t="s">
        <v>105</v>
      </c>
      <c r="E1010">
        <v>4045000000</v>
      </c>
      <c r="F1010">
        <v>121000000</v>
      </c>
      <c r="G1010">
        <v>4166000000</v>
      </c>
      <c r="H1010">
        <v>9196000000</v>
      </c>
      <c r="I1010">
        <v>1562000000</v>
      </c>
      <c r="J1010">
        <v>193000000</v>
      </c>
      <c r="K1010">
        <v>10886000000</v>
      </c>
      <c r="L1010">
        <v>8683000000</v>
      </c>
      <c r="M1010">
        <v>23779000000</v>
      </c>
      <c r="N1010">
        <v>0</v>
      </c>
      <c r="O1010">
        <v>1164000000</v>
      </c>
      <c r="P1010">
        <v>8672000000</v>
      </c>
      <c r="Q1010">
        <v>84783155460</v>
      </c>
      <c r="R1010">
        <v>85947155460</v>
      </c>
    </row>
    <row r="1011" spans="1:18" x14ac:dyDescent="0.25">
      <c r="A1011" s="1" t="s">
        <v>520</v>
      </c>
      <c r="B1011">
        <v>77930959850</v>
      </c>
      <c r="C1011" t="s">
        <v>74</v>
      </c>
      <c r="D1011" t="s">
        <v>105</v>
      </c>
      <c r="E1011">
        <v>4045000000</v>
      </c>
      <c r="F1011">
        <v>121000000</v>
      </c>
      <c r="G1011">
        <v>4166000000</v>
      </c>
      <c r="H1011">
        <v>9196000000</v>
      </c>
      <c r="I1011">
        <v>1562000000</v>
      </c>
      <c r="J1011">
        <v>193000000</v>
      </c>
      <c r="K1011">
        <v>10886000000</v>
      </c>
      <c r="L1011">
        <v>8683000000</v>
      </c>
      <c r="M1011">
        <v>23779000000</v>
      </c>
      <c r="N1011">
        <v>0</v>
      </c>
      <c r="O1011">
        <v>1164000000</v>
      </c>
      <c r="P1011">
        <v>8672000000</v>
      </c>
      <c r="Q1011">
        <v>84843959850</v>
      </c>
      <c r="R1011">
        <v>86007959850</v>
      </c>
    </row>
    <row r="1012" spans="1:18" x14ac:dyDescent="0.25">
      <c r="A1012" s="1" t="s">
        <v>519</v>
      </c>
      <c r="B1012">
        <v>77302647820</v>
      </c>
      <c r="C1012" t="s">
        <v>74</v>
      </c>
      <c r="D1012" t="s">
        <v>105</v>
      </c>
      <c r="E1012">
        <v>4045000000</v>
      </c>
      <c r="F1012">
        <v>121000000</v>
      </c>
      <c r="G1012">
        <v>4166000000</v>
      </c>
      <c r="H1012">
        <v>9196000000</v>
      </c>
      <c r="I1012">
        <v>1562000000</v>
      </c>
      <c r="J1012">
        <v>193000000</v>
      </c>
      <c r="K1012">
        <v>10886000000</v>
      </c>
      <c r="L1012">
        <v>8683000000</v>
      </c>
      <c r="M1012">
        <v>23779000000</v>
      </c>
      <c r="N1012">
        <v>0</v>
      </c>
      <c r="O1012">
        <v>1164000000</v>
      </c>
      <c r="P1012">
        <v>8672000000</v>
      </c>
      <c r="Q1012">
        <v>84215647820</v>
      </c>
      <c r="R1012">
        <v>85379647820</v>
      </c>
    </row>
    <row r="1013" spans="1:18" x14ac:dyDescent="0.25">
      <c r="A1013" s="1" t="s">
        <v>518</v>
      </c>
      <c r="B1013">
        <v>75883878720</v>
      </c>
      <c r="C1013" t="s">
        <v>74</v>
      </c>
      <c r="D1013" t="s">
        <v>105</v>
      </c>
      <c r="E1013">
        <v>4045000000</v>
      </c>
      <c r="F1013">
        <v>121000000</v>
      </c>
      <c r="G1013">
        <v>4166000000</v>
      </c>
      <c r="H1013">
        <v>9196000000</v>
      </c>
      <c r="I1013">
        <v>1562000000</v>
      </c>
      <c r="J1013">
        <v>193000000</v>
      </c>
      <c r="K1013">
        <v>10886000000</v>
      </c>
      <c r="L1013">
        <v>8683000000</v>
      </c>
      <c r="M1013">
        <v>23779000000</v>
      </c>
      <c r="N1013">
        <v>0</v>
      </c>
      <c r="O1013">
        <v>1164000000</v>
      </c>
      <c r="P1013">
        <v>8672000000</v>
      </c>
      <c r="Q1013">
        <v>82796878720</v>
      </c>
      <c r="R1013">
        <v>83960878720</v>
      </c>
    </row>
    <row r="1014" spans="1:18" x14ac:dyDescent="0.25">
      <c r="A1014" s="1" t="s">
        <v>517</v>
      </c>
      <c r="B1014">
        <v>76694603920</v>
      </c>
      <c r="C1014" t="s">
        <v>74</v>
      </c>
      <c r="D1014" t="s">
        <v>105</v>
      </c>
      <c r="E1014">
        <v>4045000000</v>
      </c>
      <c r="F1014">
        <v>121000000</v>
      </c>
      <c r="G1014">
        <v>4166000000</v>
      </c>
      <c r="H1014">
        <v>9196000000</v>
      </c>
      <c r="I1014">
        <v>1562000000</v>
      </c>
      <c r="J1014">
        <v>193000000</v>
      </c>
      <c r="K1014">
        <v>10886000000</v>
      </c>
      <c r="L1014">
        <v>8683000000</v>
      </c>
      <c r="M1014">
        <v>23779000000</v>
      </c>
      <c r="N1014">
        <v>0</v>
      </c>
      <c r="O1014">
        <v>1164000000</v>
      </c>
      <c r="P1014">
        <v>8672000000</v>
      </c>
      <c r="Q1014">
        <v>83607603920</v>
      </c>
      <c r="R1014">
        <v>84771603920</v>
      </c>
    </row>
    <row r="1015" spans="1:18" x14ac:dyDescent="0.25">
      <c r="A1015" s="1" t="s">
        <v>516</v>
      </c>
      <c r="B1015">
        <v>79552410250</v>
      </c>
      <c r="C1015" t="s">
        <v>74</v>
      </c>
      <c r="D1015" t="s">
        <v>105</v>
      </c>
      <c r="E1015">
        <v>4045000000</v>
      </c>
      <c r="F1015">
        <v>121000000</v>
      </c>
      <c r="G1015">
        <v>4166000000</v>
      </c>
      <c r="H1015">
        <v>9196000000</v>
      </c>
      <c r="I1015">
        <v>1562000000</v>
      </c>
      <c r="J1015">
        <v>193000000</v>
      </c>
      <c r="K1015">
        <v>10886000000</v>
      </c>
      <c r="L1015">
        <v>8683000000</v>
      </c>
      <c r="M1015">
        <v>23779000000</v>
      </c>
      <c r="N1015">
        <v>0</v>
      </c>
      <c r="O1015">
        <v>1164000000</v>
      </c>
      <c r="P1015">
        <v>8672000000</v>
      </c>
      <c r="Q1015">
        <v>86465410250</v>
      </c>
      <c r="R1015">
        <v>87629410250</v>
      </c>
    </row>
    <row r="1016" spans="1:18" x14ac:dyDescent="0.25">
      <c r="A1016" s="1" t="s">
        <v>515</v>
      </c>
      <c r="B1016">
        <v>79410533340</v>
      </c>
      <c r="C1016" t="s">
        <v>74</v>
      </c>
      <c r="D1016" t="s">
        <v>105</v>
      </c>
      <c r="E1016">
        <v>4045000000</v>
      </c>
      <c r="F1016">
        <v>121000000</v>
      </c>
      <c r="G1016">
        <v>4166000000</v>
      </c>
      <c r="H1016">
        <v>9196000000</v>
      </c>
      <c r="I1016">
        <v>1562000000</v>
      </c>
      <c r="J1016">
        <v>193000000</v>
      </c>
      <c r="K1016">
        <v>10886000000</v>
      </c>
      <c r="L1016">
        <v>8683000000</v>
      </c>
      <c r="M1016">
        <v>23779000000</v>
      </c>
      <c r="N1016">
        <v>0</v>
      </c>
      <c r="O1016">
        <v>1164000000</v>
      </c>
      <c r="P1016">
        <v>8672000000</v>
      </c>
      <c r="Q1016">
        <v>86323533340</v>
      </c>
      <c r="R1016">
        <v>87487533340</v>
      </c>
    </row>
    <row r="1017" spans="1:18" x14ac:dyDescent="0.25">
      <c r="A1017" s="1" t="s">
        <v>514</v>
      </c>
      <c r="B1017">
        <v>79390265210</v>
      </c>
      <c r="C1017" t="s">
        <v>74</v>
      </c>
      <c r="D1017" t="s">
        <v>105</v>
      </c>
      <c r="E1017">
        <v>4045000000</v>
      </c>
      <c r="F1017">
        <v>121000000</v>
      </c>
      <c r="G1017">
        <v>4166000000</v>
      </c>
      <c r="H1017">
        <v>9196000000</v>
      </c>
      <c r="I1017">
        <v>1562000000</v>
      </c>
      <c r="J1017">
        <v>193000000</v>
      </c>
      <c r="K1017">
        <v>10886000000</v>
      </c>
      <c r="L1017">
        <v>8683000000</v>
      </c>
      <c r="M1017">
        <v>23779000000</v>
      </c>
      <c r="N1017">
        <v>0</v>
      </c>
      <c r="O1017">
        <v>1164000000</v>
      </c>
      <c r="P1017">
        <v>8672000000</v>
      </c>
      <c r="Q1017">
        <v>86303265210</v>
      </c>
      <c r="R1017">
        <v>87467265210</v>
      </c>
    </row>
    <row r="1018" spans="1:18" x14ac:dyDescent="0.25">
      <c r="A1018" s="1" t="s">
        <v>513</v>
      </c>
      <c r="B1018">
        <v>78356590580</v>
      </c>
      <c r="C1018" t="s">
        <v>74</v>
      </c>
      <c r="D1018" t="s">
        <v>105</v>
      </c>
      <c r="E1018">
        <v>4045000000</v>
      </c>
      <c r="F1018">
        <v>121000000</v>
      </c>
      <c r="G1018">
        <v>4166000000</v>
      </c>
      <c r="H1018">
        <v>9196000000</v>
      </c>
      <c r="I1018">
        <v>1562000000</v>
      </c>
      <c r="J1018">
        <v>193000000</v>
      </c>
      <c r="K1018">
        <v>10886000000</v>
      </c>
      <c r="L1018">
        <v>8683000000</v>
      </c>
      <c r="M1018">
        <v>23779000000</v>
      </c>
      <c r="N1018">
        <v>0</v>
      </c>
      <c r="O1018">
        <v>1164000000</v>
      </c>
      <c r="P1018">
        <v>8672000000</v>
      </c>
      <c r="Q1018">
        <v>85269590580</v>
      </c>
      <c r="R1018">
        <v>86433590580</v>
      </c>
    </row>
    <row r="1019" spans="1:18" x14ac:dyDescent="0.25">
      <c r="A1019" s="1" t="s">
        <v>512</v>
      </c>
      <c r="B1019">
        <v>76937821480</v>
      </c>
      <c r="C1019" t="s">
        <v>74</v>
      </c>
      <c r="D1019" t="s">
        <v>105</v>
      </c>
      <c r="E1019">
        <v>4045000000</v>
      </c>
      <c r="F1019">
        <v>121000000</v>
      </c>
      <c r="G1019">
        <v>4166000000</v>
      </c>
      <c r="H1019">
        <v>9196000000</v>
      </c>
      <c r="I1019">
        <v>1562000000</v>
      </c>
      <c r="J1019">
        <v>193000000</v>
      </c>
      <c r="K1019">
        <v>10886000000</v>
      </c>
      <c r="L1019">
        <v>8683000000</v>
      </c>
      <c r="M1019">
        <v>23779000000</v>
      </c>
      <c r="N1019">
        <v>0</v>
      </c>
      <c r="O1019">
        <v>1164000000</v>
      </c>
      <c r="P1019">
        <v>8672000000</v>
      </c>
      <c r="Q1019">
        <v>83850821480</v>
      </c>
      <c r="R1019">
        <v>85014821480</v>
      </c>
    </row>
    <row r="1020" spans="1:18" x14ac:dyDescent="0.25">
      <c r="A1020" s="1" t="s">
        <v>511</v>
      </c>
      <c r="B1020">
        <v>76917553350</v>
      </c>
      <c r="C1020" t="s">
        <v>74</v>
      </c>
      <c r="D1020" t="s">
        <v>105</v>
      </c>
      <c r="E1020">
        <v>4045000000</v>
      </c>
      <c r="F1020">
        <v>121000000</v>
      </c>
      <c r="G1020">
        <v>4166000000</v>
      </c>
      <c r="H1020">
        <v>9196000000</v>
      </c>
      <c r="I1020">
        <v>1562000000</v>
      </c>
      <c r="J1020">
        <v>193000000</v>
      </c>
      <c r="K1020">
        <v>10886000000</v>
      </c>
      <c r="L1020">
        <v>8683000000</v>
      </c>
      <c r="M1020">
        <v>23779000000</v>
      </c>
      <c r="N1020">
        <v>0</v>
      </c>
      <c r="O1020">
        <v>1164000000</v>
      </c>
      <c r="P1020">
        <v>8672000000</v>
      </c>
      <c r="Q1020">
        <v>83830553350</v>
      </c>
      <c r="R1020">
        <v>84994553350</v>
      </c>
    </row>
    <row r="1021" spans="1:18" x14ac:dyDescent="0.25">
      <c r="A1021" s="1" t="s">
        <v>510</v>
      </c>
      <c r="B1021">
        <v>77930959850</v>
      </c>
      <c r="C1021" t="s">
        <v>74</v>
      </c>
      <c r="D1021" t="s">
        <v>105</v>
      </c>
      <c r="E1021">
        <v>4045000000</v>
      </c>
      <c r="F1021">
        <v>121000000</v>
      </c>
      <c r="G1021">
        <v>4166000000</v>
      </c>
      <c r="H1021">
        <v>9196000000</v>
      </c>
      <c r="I1021">
        <v>1562000000</v>
      </c>
      <c r="J1021">
        <v>193000000</v>
      </c>
      <c r="K1021">
        <v>10886000000</v>
      </c>
      <c r="L1021">
        <v>8683000000</v>
      </c>
      <c r="M1021">
        <v>23779000000</v>
      </c>
      <c r="N1021">
        <v>0</v>
      </c>
      <c r="O1021">
        <v>1164000000</v>
      </c>
      <c r="P1021">
        <v>8672000000</v>
      </c>
      <c r="Q1021">
        <v>84843959850</v>
      </c>
      <c r="R1021">
        <v>86007959850</v>
      </c>
    </row>
    <row r="1022" spans="1:18" x14ac:dyDescent="0.25">
      <c r="A1022" s="1" t="s">
        <v>509</v>
      </c>
      <c r="B1022">
        <v>76127096280</v>
      </c>
      <c r="C1022" t="s">
        <v>74</v>
      </c>
      <c r="D1022" t="s">
        <v>105</v>
      </c>
      <c r="E1022">
        <v>4045000000</v>
      </c>
      <c r="F1022">
        <v>121000000</v>
      </c>
      <c r="G1022">
        <v>4166000000</v>
      </c>
      <c r="H1022">
        <v>9196000000</v>
      </c>
      <c r="I1022">
        <v>1562000000</v>
      </c>
      <c r="J1022">
        <v>193000000</v>
      </c>
      <c r="K1022">
        <v>10886000000</v>
      </c>
      <c r="L1022">
        <v>8683000000</v>
      </c>
      <c r="M1022">
        <v>23779000000</v>
      </c>
      <c r="N1022">
        <v>0</v>
      </c>
      <c r="O1022">
        <v>1164000000</v>
      </c>
      <c r="P1022">
        <v>8672000000</v>
      </c>
      <c r="Q1022">
        <v>83040096280</v>
      </c>
      <c r="R1022">
        <v>84204096280</v>
      </c>
    </row>
    <row r="1023" spans="1:18" x14ac:dyDescent="0.25">
      <c r="A1023" s="1" t="s">
        <v>508</v>
      </c>
      <c r="B1023">
        <v>76877017090</v>
      </c>
      <c r="C1023" t="s">
        <v>74</v>
      </c>
      <c r="D1023" t="s">
        <v>105</v>
      </c>
      <c r="E1023">
        <v>4045000000</v>
      </c>
      <c r="F1023">
        <v>121000000</v>
      </c>
      <c r="G1023">
        <v>4166000000</v>
      </c>
      <c r="H1023">
        <v>9196000000</v>
      </c>
      <c r="I1023">
        <v>1562000000</v>
      </c>
      <c r="J1023">
        <v>193000000</v>
      </c>
      <c r="K1023">
        <v>10886000000</v>
      </c>
      <c r="L1023">
        <v>8683000000</v>
      </c>
      <c r="M1023">
        <v>23779000000</v>
      </c>
      <c r="N1023">
        <v>0</v>
      </c>
      <c r="O1023">
        <v>1164000000</v>
      </c>
      <c r="P1023">
        <v>8672000000</v>
      </c>
      <c r="Q1023">
        <v>83790017090</v>
      </c>
      <c r="R1023">
        <v>84954017090</v>
      </c>
    </row>
    <row r="1024" spans="1:18" x14ac:dyDescent="0.25">
      <c r="A1024" s="1" t="s">
        <v>507</v>
      </c>
      <c r="B1024">
        <v>77991764240</v>
      </c>
      <c r="C1024" t="s">
        <v>74</v>
      </c>
      <c r="D1024" t="s">
        <v>105</v>
      </c>
      <c r="E1024">
        <v>4045000000</v>
      </c>
      <c r="F1024">
        <v>121000000</v>
      </c>
      <c r="G1024">
        <v>4166000000</v>
      </c>
      <c r="H1024">
        <v>9196000000</v>
      </c>
      <c r="I1024">
        <v>1562000000</v>
      </c>
      <c r="J1024">
        <v>193000000</v>
      </c>
      <c r="K1024">
        <v>10886000000</v>
      </c>
      <c r="L1024">
        <v>8683000000</v>
      </c>
      <c r="M1024">
        <v>23779000000</v>
      </c>
      <c r="N1024">
        <v>0</v>
      </c>
      <c r="O1024">
        <v>1164000000</v>
      </c>
      <c r="P1024">
        <v>8672000000</v>
      </c>
      <c r="Q1024">
        <v>84904764240</v>
      </c>
      <c r="R1024">
        <v>86068764240</v>
      </c>
    </row>
    <row r="1025" spans="1:18" x14ac:dyDescent="0.25">
      <c r="A1025" s="1" t="s">
        <v>506</v>
      </c>
      <c r="B1025">
        <v>80525280490</v>
      </c>
      <c r="C1025" t="s">
        <v>74</v>
      </c>
      <c r="D1025" t="s">
        <v>105</v>
      </c>
      <c r="E1025">
        <v>4045000000</v>
      </c>
      <c r="F1025">
        <v>121000000</v>
      </c>
      <c r="G1025">
        <v>4166000000</v>
      </c>
      <c r="H1025">
        <v>9196000000</v>
      </c>
      <c r="I1025">
        <v>1562000000</v>
      </c>
      <c r="J1025">
        <v>193000000</v>
      </c>
      <c r="K1025">
        <v>10886000000</v>
      </c>
      <c r="L1025">
        <v>8683000000</v>
      </c>
      <c r="M1025">
        <v>23779000000</v>
      </c>
      <c r="N1025">
        <v>0</v>
      </c>
      <c r="O1025">
        <v>1164000000</v>
      </c>
      <c r="P1025">
        <v>8672000000</v>
      </c>
      <c r="Q1025">
        <v>87438280490</v>
      </c>
      <c r="R1025">
        <v>88602280490</v>
      </c>
    </row>
    <row r="1026" spans="1:18" x14ac:dyDescent="0.25">
      <c r="A1026" s="1" t="s">
        <v>505</v>
      </c>
      <c r="B1026">
        <v>81923781460</v>
      </c>
      <c r="C1026" t="s">
        <v>74</v>
      </c>
      <c r="D1026" t="s">
        <v>105</v>
      </c>
      <c r="E1026">
        <v>4045000000</v>
      </c>
      <c r="F1026">
        <v>121000000</v>
      </c>
      <c r="G1026">
        <v>4166000000</v>
      </c>
      <c r="H1026">
        <v>9196000000</v>
      </c>
      <c r="I1026">
        <v>1562000000</v>
      </c>
      <c r="J1026">
        <v>193000000</v>
      </c>
      <c r="K1026">
        <v>10886000000</v>
      </c>
      <c r="L1026">
        <v>8683000000</v>
      </c>
      <c r="M1026">
        <v>23779000000</v>
      </c>
      <c r="N1026">
        <v>0</v>
      </c>
      <c r="O1026">
        <v>1164000000</v>
      </c>
      <c r="P1026">
        <v>8672000000</v>
      </c>
      <c r="Q1026">
        <v>88836781460</v>
      </c>
      <c r="R1026">
        <v>90000781460</v>
      </c>
    </row>
    <row r="1027" spans="1:18" x14ac:dyDescent="0.25">
      <c r="A1027" s="1" t="s">
        <v>504</v>
      </c>
      <c r="B1027">
        <v>81579223250</v>
      </c>
      <c r="C1027" t="s">
        <v>74</v>
      </c>
      <c r="D1027" t="s">
        <v>105</v>
      </c>
      <c r="E1027">
        <v>4045000000</v>
      </c>
      <c r="F1027">
        <v>121000000</v>
      </c>
      <c r="G1027">
        <v>4166000000</v>
      </c>
      <c r="H1027">
        <v>9196000000</v>
      </c>
      <c r="I1027">
        <v>1562000000</v>
      </c>
      <c r="J1027">
        <v>193000000</v>
      </c>
      <c r="K1027">
        <v>10886000000</v>
      </c>
      <c r="L1027">
        <v>8683000000</v>
      </c>
      <c r="M1027">
        <v>23779000000</v>
      </c>
      <c r="N1027">
        <v>0</v>
      </c>
      <c r="O1027">
        <v>1164000000</v>
      </c>
      <c r="P1027">
        <v>8672000000</v>
      </c>
      <c r="Q1027">
        <v>88492223250</v>
      </c>
      <c r="R1027">
        <v>89656223250</v>
      </c>
    </row>
    <row r="1028" spans="1:18" x14ac:dyDescent="0.25">
      <c r="A1028" s="1" t="s">
        <v>503</v>
      </c>
      <c r="B1028">
        <v>79025438870</v>
      </c>
      <c r="C1028" t="s">
        <v>74</v>
      </c>
      <c r="D1028" t="s">
        <v>105</v>
      </c>
      <c r="E1028">
        <v>4045000000</v>
      </c>
      <c r="F1028">
        <v>121000000</v>
      </c>
      <c r="G1028">
        <v>4166000000</v>
      </c>
      <c r="H1028">
        <v>9196000000</v>
      </c>
      <c r="I1028">
        <v>1562000000</v>
      </c>
      <c r="J1028">
        <v>193000000</v>
      </c>
      <c r="K1028">
        <v>10886000000</v>
      </c>
      <c r="L1028">
        <v>8683000000</v>
      </c>
      <c r="M1028">
        <v>23779000000</v>
      </c>
      <c r="N1028">
        <v>0</v>
      </c>
      <c r="O1028">
        <v>1164000000</v>
      </c>
      <c r="P1028">
        <v>8672000000</v>
      </c>
      <c r="Q1028">
        <v>85938438870</v>
      </c>
      <c r="R1028">
        <v>87102438870</v>
      </c>
    </row>
    <row r="1029" spans="1:18" x14ac:dyDescent="0.25">
      <c r="A1029" s="1" t="s">
        <v>502</v>
      </c>
      <c r="B1029">
        <v>81599491380</v>
      </c>
      <c r="C1029" t="s">
        <v>74</v>
      </c>
      <c r="D1029" t="s">
        <v>105</v>
      </c>
      <c r="E1029">
        <v>4045000000</v>
      </c>
      <c r="F1029">
        <v>121000000</v>
      </c>
      <c r="G1029">
        <v>4166000000</v>
      </c>
      <c r="H1029">
        <v>9196000000</v>
      </c>
      <c r="I1029">
        <v>1562000000</v>
      </c>
      <c r="J1029">
        <v>193000000</v>
      </c>
      <c r="K1029">
        <v>10886000000</v>
      </c>
      <c r="L1029">
        <v>8683000000</v>
      </c>
      <c r="M1029">
        <v>23779000000</v>
      </c>
      <c r="N1029">
        <v>0</v>
      </c>
      <c r="O1029">
        <v>1164000000</v>
      </c>
      <c r="P1029">
        <v>8672000000</v>
      </c>
      <c r="Q1029">
        <v>88512491380</v>
      </c>
      <c r="R1029">
        <v>89676491380</v>
      </c>
    </row>
    <row r="1030" spans="1:18" x14ac:dyDescent="0.25">
      <c r="A1030" s="1" t="s">
        <v>501</v>
      </c>
      <c r="B1030">
        <v>83079064870</v>
      </c>
      <c r="C1030" t="s">
        <v>74</v>
      </c>
      <c r="D1030" t="s">
        <v>105</v>
      </c>
      <c r="E1030">
        <v>4045000000</v>
      </c>
      <c r="F1030">
        <v>121000000</v>
      </c>
      <c r="G1030">
        <v>4166000000</v>
      </c>
      <c r="H1030">
        <v>9196000000</v>
      </c>
      <c r="I1030">
        <v>1562000000</v>
      </c>
      <c r="J1030">
        <v>193000000</v>
      </c>
      <c r="K1030">
        <v>10886000000</v>
      </c>
      <c r="L1030">
        <v>8683000000</v>
      </c>
      <c r="M1030">
        <v>23779000000</v>
      </c>
      <c r="N1030">
        <v>0</v>
      </c>
      <c r="O1030">
        <v>1164000000</v>
      </c>
      <c r="P1030">
        <v>8672000000</v>
      </c>
      <c r="Q1030">
        <v>89992064870</v>
      </c>
      <c r="R1030">
        <v>91156064870</v>
      </c>
    </row>
    <row r="1031" spans="1:18" x14ac:dyDescent="0.25">
      <c r="A1031" s="1" t="s">
        <v>500</v>
      </c>
      <c r="B1031">
        <v>84599174620</v>
      </c>
      <c r="C1031" t="s">
        <v>74</v>
      </c>
      <c r="D1031" t="s">
        <v>105</v>
      </c>
      <c r="E1031">
        <v>4045000000</v>
      </c>
      <c r="F1031">
        <v>121000000</v>
      </c>
      <c r="G1031">
        <v>4166000000</v>
      </c>
      <c r="H1031">
        <v>9196000000</v>
      </c>
      <c r="I1031">
        <v>1562000000</v>
      </c>
      <c r="J1031">
        <v>193000000</v>
      </c>
      <c r="K1031">
        <v>10886000000</v>
      </c>
      <c r="L1031">
        <v>8683000000</v>
      </c>
      <c r="M1031">
        <v>23779000000</v>
      </c>
      <c r="N1031">
        <v>0</v>
      </c>
      <c r="O1031">
        <v>1164000000</v>
      </c>
      <c r="P1031">
        <v>8672000000</v>
      </c>
      <c r="Q1031">
        <v>91512174620</v>
      </c>
      <c r="R1031">
        <v>92676174620</v>
      </c>
    </row>
    <row r="1032" spans="1:18" x14ac:dyDescent="0.25">
      <c r="A1032" s="1" t="s">
        <v>499</v>
      </c>
      <c r="B1032">
        <v>83930326330</v>
      </c>
      <c r="C1032" t="s">
        <v>74</v>
      </c>
      <c r="D1032" t="s">
        <v>105</v>
      </c>
      <c r="E1032">
        <v>4045000000</v>
      </c>
      <c r="F1032">
        <v>121000000</v>
      </c>
      <c r="G1032">
        <v>4166000000</v>
      </c>
      <c r="H1032">
        <v>9196000000</v>
      </c>
      <c r="I1032">
        <v>1562000000</v>
      </c>
      <c r="J1032">
        <v>193000000</v>
      </c>
      <c r="K1032">
        <v>10886000000</v>
      </c>
      <c r="L1032">
        <v>8683000000</v>
      </c>
      <c r="M1032">
        <v>23779000000</v>
      </c>
      <c r="N1032">
        <v>0</v>
      </c>
      <c r="O1032">
        <v>1164000000</v>
      </c>
      <c r="P1032">
        <v>8672000000</v>
      </c>
      <c r="Q1032">
        <v>90843326330</v>
      </c>
      <c r="R1032">
        <v>92007326330</v>
      </c>
    </row>
    <row r="1033" spans="1:18" x14ac:dyDescent="0.25">
      <c r="A1033" s="1" t="s">
        <v>498</v>
      </c>
      <c r="B1033">
        <v>83646572510</v>
      </c>
      <c r="C1033" t="s">
        <v>74</v>
      </c>
      <c r="D1033" t="s">
        <v>105</v>
      </c>
      <c r="E1033">
        <v>4045000000</v>
      </c>
      <c r="F1033">
        <v>121000000</v>
      </c>
      <c r="G1033">
        <v>4166000000</v>
      </c>
      <c r="H1033">
        <v>9196000000</v>
      </c>
      <c r="I1033">
        <v>1562000000</v>
      </c>
      <c r="J1033">
        <v>193000000</v>
      </c>
      <c r="K1033">
        <v>10886000000</v>
      </c>
      <c r="L1033">
        <v>8683000000</v>
      </c>
      <c r="M1033">
        <v>23779000000</v>
      </c>
      <c r="N1033">
        <v>0</v>
      </c>
      <c r="O1033">
        <v>1164000000</v>
      </c>
      <c r="P1033">
        <v>8672000000</v>
      </c>
      <c r="Q1033">
        <v>90559572510</v>
      </c>
      <c r="R1033">
        <v>91723572510</v>
      </c>
    </row>
    <row r="1034" spans="1:18" x14ac:dyDescent="0.25">
      <c r="A1034" s="1" t="s">
        <v>497</v>
      </c>
      <c r="B1034">
        <v>87882611680</v>
      </c>
      <c r="C1034" t="s">
        <v>74</v>
      </c>
      <c r="D1034" t="s">
        <v>105</v>
      </c>
      <c r="E1034">
        <v>4045000000</v>
      </c>
      <c r="F1034">
        <v>121000000</v>
      </c>
      <c r="G1034">
        <v>4166000000</v>
      </c>
      <c r="H1034">
        <v>9196000000</v>
      </c>
      <c r="I1034">
        <v>1562000000</v>
      </c>
      <c r="J1034">
        <v>193000000</v>
      </c>
      <c r="K1034">
        <v>10886000000</v>
      </c>
      <c r="L1034">
        <v>8683000000</v>
      </c>
      <c r="M1034">
        <v>23779000000</v>
      </c>
      <c r="N1034">
        <v>0</v>
      </c>
      <c r="O1034">
        <v>1164000000</v>
      </c>
      <c r="P1034">
        <v>8672000000</v>
      </c>
      <c r="Q1034">
        <v>94795611680</v>
      </c>
      <c r="R1034">
        <v>95959611680</v>
      </c>
    </row>
    <row r="1035" spans="1:18" x14ac:dyDescent="0.25">
      <c r="A1035" s="1" t="s">
        <v>496</v>
      </c>
      <c r="B1035">
        <v>88206901760</v>
      </c>
      <c r="C1035" t="s">
        <v>74</v>
      </c>
      <c r="D1035" t="s">
        <v>105</v>
      </c>
      <c r="E1035">
        <v>4045000000</v>
      </c>
      <c r="F1035">
        <v>121000000</v>
      </c>
      <c r="G1035">
        <v>4166000000</v>
      </c>
      <c r="H1035">
        <v>9196000000</v>
      </c>
      <c r="I1035">
        <v>1562000000</v>
      </c>
      <c r="J1035">
        <v>193000000</v>
      </c>
      <c r="K1035">
        <v>10886000000</v>
      </c>
      <c r="L1035">
        <v>8683000000</v>
      </c>
      <c r="M1035">
        <v>23779000000</v>
      </c>
      <c r="N1035">
        <v>0</v>
      </c>
      <c r="O1035">
        <v>1164000000</v>
      </c>
      <c r="P1035">
        <v>8672000000</v>
      </c>
      <c r="Q1035">
        <v>95119901760</v>
      </c>
      <c r="R1035">
        <v>96283901760</v>
      </c>
    </row>
    <row r="1036" spans="1:18" x14ac:dyDescent="0.25">
      <c r="A1036" s="1" t="s">
        <v>495</v>
      </c>
      <c r="B1036">
        <v>85470704210</v>
      </c>
      <c r="C1036" t="s">
        <v>74</v>
      </c>
      <c r="D1036" t="s">
        <v>105</v>
      </c>
      <c r="E1036">
        <v>4045000000</v>
      </c>
      <c r="F1036">
        <v>121000000</v>
      </c>
      <c r="G1036">
        <v>4166000000</v>
      </c>
      <c r="H1036">
        <v>9196000000</v>
      </c>
      <c r="I1036">
        <v>1562000000</v>
      </c>
      <c r="J1036">
        <v>193000000</v>
      </c>
      <c r="K1036">
        <v>10886000000</v>
      </c>
      <c r="L1036">
        <v>8683000000</v>
      </c>
      <c r="M1036">
        <v>23779000000</v>
      </c>
      <c r="N1036">
        <v>0</v>
      </c>
      <c r="O1036">
        <v>1164000000</v>
      </c>
      <c r="P1036">
        <v>8672000000</v>
      </c>
      <c r="Q1036">
        <v>92383704210</v>
      </c>
      <c r="R1036">
        <v>93547704210</v>
      </c>
    </row>
    <row r="1037" spans="1:18" x14ac:dyDescent="0.25">
      <c r="A1037" s="1" t="s">
        <v>494</v>
      </c>
      <c r="B1037">
        <v>86463842580</v>
      </c>
      <c r="C1037" t="s">
        <v>74</v>
      </c>
      <c r="D1037" t="s">
        <v>105</v>
      </c>
      <c r="E1037">
        <v>4045000000</v>
      </c>
      <c r="F1037">
        <v>121000000</v>
      </c>
      <c r="G1037">
        <v>4166000000</v>
      </c>
      <c r="H1037">
        <v>9196000000</v>
      </c>
      <c r="I1037">
        <v>1562000000</v>
      </c>
      <c r="J1037">
        <v>193000000</v>
      </c>
      <c r="K1037">
        <v>10886000000</v>
      </c>
      <c r="L1037">
        <v>8683000000</v>
      </c>
      <c r="M1037">
        <v>23779000000</v>
      </c>
      <c r="N1037">
        <v>0</v>
      </c>
      <c r="O1037">
        <v>1164000000</v>
      </c>
      <c r="P1037">
        <v>8672000000</v>
      </c>
      <c r="Q1037">
        <v>93376842580</v>
      </c>
      <c r="R1037">
        <v>94540842580</v>
      </c>
    </row>
    <row r="1038" spans="1:18" x14ac:dyDescent="0.25">
      <c r="A1038" s="1" t="s">
        <v>493</v>
      </c>
      <c r="B1038">
        <v>86767864530</v>
      </c>
      <c r="C1038" t="s">
        <v>74</v>
      </c>
      <c r="D1038" t="s">
        <v>105</v>
      </c>
      <c r="E1038">
        <v>4045000000</v>
      </c>
      <c r="F1038">
        <v>121000000</v>
      </c>
      <c r="G1038">
        <v>4166000000</v>
      </c>
      <c r="H1038">
        <v>9196000000</v>
      </c>
      <c r="I1038">
        <v>1562000000</v>
      </c>
      <c r="J1038">
        <v>193000000</v>
      </c>
      <c r="K1038">
        <v>10886000000</v>
      </c>
      <c r="L1038">
        <v>8683000000</v>
      </c>
      <c r="M1038">
        <v>23779000000</v>
      </c>
      <c r="N1038">
        <v>0</v>
      </c>
      <c r="O1038">
        <v>1164000000</v>
      </c>
      <c r="P1038">
        <v>8672000000</v>
      </c>
      <c r="Q1038">
        <v>93680864530</v>
      </c>
      <c r="R1038">
        <v>94844864530</v>
      </c>
    </row>
    <row r="1039" spans="1:18" x14ac:dyDescent="0.25">
      <c r="A1039" s="1" t="s">
        <v>492</v>
      </c>
      <c r="B1039">
        <v>87842075420</v>
      </c>
      <c r="C1039" t="s">
        <v>74</v>
      </c>
      <c r="D1039" t="s">
        <v>105</v>
      </c>
      <c r="E1039">
        <v>4045000000</v>
      </c>
      <c r="F1039">
        <v>121000000</v>
      </c>
      <c r="G1039">
        <v>4166000000</v>
      </c>
      <c r="H1039">
        <v>9196000000</v>
      </c>
      <c r="I1039">
        <v>1562000000</v>
      </c>
      <c r="J1039">
        <v>193000000</v>
      </c>
      <c r="K1039">
        <v>10886000000</v>
      </c>
      <c r="L1039">
        <v>8683000000</v>
      </c>
      <c r="M1039">
        <v>23779000000</v>
      </c>
      <c r="N1039">
        <v>0</v>
      </c>
      <c r="O1039">
        <v>1164000000</v>
      </c>
      <c r="P1039">
        <v>8672000000</v>
      </c>
      <c r="Q1039">
        <v>94755075420</v>
      </c>
      <c r="R1039">
        <v>95919075420</v>
      </c>
    </row>
    <row r="1040" spans="1:18" x14ac:dyDescent="0.25">
      <c r="A1040" s="1" t="s">
        <v>491</v>
      </c>
      <c r="B1040">
        <v>90031033460</v>
      </c>
      <c r="C1040" t="s">
        <v>74</v>
      </c>
      <c r="D1040" t="s">
        <v>105</v>
      </c>
      <c r="E1040">
        <v>4045000000</v>
      </c>
      <c r="F1040">
        <v>121000000</v>
      </c>
      <c r="G1040">
        <v>4166000000</v>
      </c>
      <c r="H1040">
        <v>9196000000</v>
      </c>
      <c r="I1040">
        <v>1562000000</v>
      </c>
      <c r="J1040">
        <v>193000000</v>
      </c>
      <c r="K1040">
        <v>10886000000</v>
      </c>
      <c r="L1040">
        <v>8683000000</v>
      </c>
      <c r="M1040">
        <v>23779000000</v>
      </c>
      <c r="N1040">
        <v>0</v>
      </c>
      <c r="O1040">
        <v>1164000000</v>
      </c>
      <c r="P1040">
        <v>8672000000</v>
      </c>
      <c r="Q1040">
        <v>96944033460</v>
      </c>
      <c r="R1040">
        <v>98108033460</v>
      </c>
    </row>
    <row r="1041" spans="1:18" x14ac:dyDescent="0.25">
      <c r="A1041" s="1" t="s">
        <v>490</v>
      </c>
      <c r="B1041">
        <v>88835213790</v>
      </c>
      <c r="C1041" t="s">
        <v>74</v>
      </c>
      <c r="D1041" t="s">
        <v>105</v>
      </c>
      <c r="E1041">
        <v>4045000000</v>
      </c>
      <c r="F1041">
        <v>121000000</v>
      </c>
      <c r="G1041">
        <v>4166000000</v>
      </c>
      <c r="H1041">
        <v>9196000000</v>
      </c>
      <c r="I1041">
        <v>1562000000</v>
      </c>
      <c r="J1041">
        <v>193000000</v>
      </c>
      <c r="K1041">
        <v>10886000000</v>
      </c>
      <c r="L1041">
        <v>8683000000</v>
      </c>
      <c r="M1041">
        <v>23779000000</v>
      </c>
      <c r="N1041">
        <v>0</v>
      </c>
      <c r="O1041">
        <v>1164000000</v>
      </c>
      <c r="P1041">
        <v>8672000000</v>
      </c>
      <c r="Q1041">
        <v>95748213790</v>
      </c>
      <c r="R1041">
        <v>96912213790</v>
      </c>
    </row>
    <row r="1042" spans="1:18" x14ac:dyDescent="0.25">
      <c r="A1042" s="1" t="s">
        <v>489</v>
      </c>
      <c r="B1042">
        <v>89666207120</v>
      </c>
      <c r="C1042" t="s">
        <v>74</v>
      </c>
      <c r="D1042" t="s">
        <v>105</v>
      </c>
      <c r="E1042">
        <v>4045000000</v>
      </c>
      <c r="F1042">
        <v>121000000</v>
      </c>
      <c r="G1042">
        <v>4166000000</v>
      </c>
      <c r="H1042">
        <v>9196000000</v>
      </c>
      <c r="I1042">
        <v>1562000000</v>
      </c>
      <c r="J1042">
        <v>193000000</v>
      </c>
      <c r="K1042">
        <v>10886000000</v>
      </c>
      <c r="L1042">
        <v>8683000000</v>
      </c>
      <c r="M1042">
        <v>23779000000</v>
      </c>
      <c r="N1042">
        <v>0</v>
      </c>
      <c r="O1042">
        <v>1164000000</v>
      </c>
      <c r="P1042">
        <v>8672000000</v>
      </c>
      <c r="Q1042">
        <v>96579207120</v>
      </c>
      <c r="R1042">
        <v>97743207120</v>
      </c>
    </row>
    <row r="1043" spans="1:18" x14ac:dyDescent="0.25">
      <c r="A1043" s="1" t="s">
        <v>488</v>
      </c>
      <c r="B1043">
        <v>86301697540</v>
      </c>
      <c r="C1043" t="s">
        <v>74</v>
      </c>
      <c r="D1043" t="s">
        <v>105</v>
      </c>
      <c r="E1043">
        <v>4045000000</v>
      </c>
      <c r="F1043">
        <v>121000000</v>
      </c>
      <c r="G1043">
        <v>4166000000</v>
      </c>
      <c r="H1043">
        <v>9196000000</v>
      </c>
      <c r="I1043">
        <v>1562000000</v>
      </c>
      <c r="J1043">
        <v>193000000</v>
      </c>
      <c r="K1043">
        <v>10886000000</v>
      </c>
      <c r="L1043">
        <v>8683000000</v>
      </c>
      <c r="M1043">
        <v>23779000000</v>
      </c>
      <c r="N1043">
        <v>0</v>
      </c>
      <c r="O1043">
        <v>1164000000</v>
      </c>
      <c r="P1043">
        <v>8672000000</v>
      </c>
      <c r="Q1043">
        <v>93214697540</v>
      </c>
      <c r="R1043">
        <v>94378697540</v>
      </c>
    </row>
    <row r="1044" spans="1:18" x14ac:dyDescent="0.25">
      <c r="A1044" s="1" t="s">
        <v>73</v>
      </c>
      <c r="B1044">
        <v>88269180960</v>
      </c>
      <c r="C1044" t="s">
        <v>74</v>
      </c>
      <c r="D1044" t="s">
        <v>105</v>
      </c>
      <c r="E1044">
        <v>4045000000</v>
      </c>
      <c r="F1044">
        <v>121000000</v>
      </c>
      <c r="G1044">
        <v>4166000000</v>
      </c>
      <c r="H1044">
        <v>9196000000</v>
      </c>
      <c r="I1044">
        <v>1562000000</v>
      </c>
      <c r="J1044">
        <v>193000000</v>
      </c>
      <c r="K1044">
        <v>10886000000</v>
      </c>
      <c r="L1044">
        <v>8683000000</v>
      </c>
      <c r="M1044">
        <v>23779000000</v>
      </c>
      <c r="N1044">
        <v>0</v>
      </c>
      <c r="O1044">
        <v>1164000000</v>
      </c>
      <c r="P1044">
        <v>8672000000</v>
      </c>
      <c r="Q1044">
        <v>95182180960</v>
      </c>
      <c r="R1044">
        <v>96346180960</v>
      </c>
    </row>
    <row r="1045" spans="1:18" x14ac:dyDescent="0.25">
      <c r="A1045" s="1" t="s">
        <v>487</v>
      </c>
      <c r="B1045">
        <v>88105605920</v>
      </c>
      <c r="C1045" t="s">
        <v>74</v>
      </c>
      <c r="D1045" t="s">
        <v>105</v>
      </c>
      <c r="E1045">
        <v>4045000000</v>
      </c>
      <c r="F1045">
        <v>121000000</v>
      </c>
      <c r="G1045">
        <v>4166000000</v>
      </c>
      <c r="H1045">
        <v>9196000000</v>
      </c>
      <c r="I1045">
        <v>1562000000</v>
      </c>
      <c r="J1045">
        <v>193000000</v>
      </c>
      <c r="K1045">
        <v>10886000000</v>
      </c>
      <c r="L1045">
        <v>8683000000</v>
      </c>
      <c r="M1045">
        <v>23779000000</v>
      </c>
      <c r="N1045">
        <v>0</v>
      </c>
      <c r="O1045">
        <v>1164000000</v>
      </c>
      <c r="P1045">
        <v>8672000000</v>
      </c>
      <c r="Q1045">
        <v>95018605920</v>
      </c>
      <c r="R1045">
        <v>96182605920</v>
      </c>
    </row>
    <row r="1046" spans="1:18" x14ac:dyDescent="0.25">
      <c r="A1046" s="1" t="s">
        <v>486</v>
      </c>
      <c r="B1046">
        <v>89271078080</v>
      </c>
      <c r="C1046" t="s">
        <v>74</v>
      </c>
      <c r="D1046" t="s">
        <v>105</v>
      </c>
      <c r="E1046">
        <v>4045000000</v>
      </c>
      <c r="F1046">
        <v>121000000</v>
      </c>
      <c r="G1046">
        <v>4166000000</v>
      </c>
      <c r="H1046">
        <v>9196000000</v>
      </c>
      <c r="I1046">
        <v>1562000000</v>
      </c>
      <c r="J1046">
        <v>193000000</v>
      </c>
      <c r="K1046">
        <v>10886000000</v>
      </c>
      <c r="L1046">
        <v>8683000000</v>
      </c>
      <c r="M1046">
        <v>23779000000</v>
      </c>
      <c r="N1046">
        <v>0</v>
      </c>
      <c r="O1046">
        <v>1164000000</v>
      </c>
      <c r="P1046">
        <v>8672000000</v>
      </c>
      <c r="Q1046">
        <v>96184078080</v>
      </c>
      <c r="R1046">
        <v>97348078080</v>
      </c>
    </row>
    <row r="1047" spans="1:18" x14ac:dyDescent="0.25">
      <c r="A1047" s="1" t="s">
        <v>485</v>
      </c>
      <c r="B1047">
        <v>86101811680</v>
      </c>
      <c r="C1047" t="s">
        <v>74</v>
      </c>
      <c r="D1047" t="s">
        <v>105</v>
      </c>
      <c r="E1047">
        <v>4045000000</v>
      </c>
      <c r="F1047">
        <v>121000000</v>
      </c>
      <c r="G1047">
        <v>4166000000</v>
      </c>
      <c r="H1047">
        <v>9196000000</v>
      </c>
      <c r="I1047">
        <v>1562000000</v>
      </c>
      <c r="J1047">
        <v>193000000</v>
      </c>
      <c r="K1047">
        <v>10886000000</v>
      </c>
      <c r="L1047">
        <v>8683000000</v>
      </c>
      <c r="M1047">
        <v>23779000000</v>
      </c>
      <c r="N1047">
        <v>0</v>
      </c>
      <c r="O1047">
        <v>1164000000</v>
      </c>
      <c r="P1047">
        <v>8672000000</v>
      </c>
      <c r="Q1047">
        <v>93014811680</v>
      </c>
      <c r="R1047">
        <v>94178811680</v>
      </c>
    </row>
    <row r="1048" spans="1:18" x14ac:dyDescent="0.25">
      <c r="A1048" s="1" t="s">
        <v>484</v>
      </c>
      <c r="B1048">
        <v>87737562080</v>
      </c>
      <c r="C1048" t="s">
        <v>74</v>
      </c>
      <c r="D1048" t="s">
        <v>105</v>
      </c>
      <c r="E1048">
        <v>4045000000</v>
      </c>
      <c r="F1048">
        <v>121000000</v>
      </c>
      <c r="G1048">
        <v>4166000000</v>
      </c>
      <c r="H1048">
        <v>9196000000</v>
      </c>
      <c r="I1048">
        <v>1562000000</v>
      </c>
      <c r="J1048">
        <v>193000000</v>
      </c>
      <c r="K1048">
        <v>10886000000</v>
      </c>
      <c r="L1048">
        <v>8683000000</v>
      </c>
      <c r="M1048">
        <v>23779000000</v>
      </c>
      <c r="N1048">
        <v>0</v>
      </c>
      <c r="O1048">
        <v>1164000000</v>
      </c>
      <c r="P1048">
        <v>8672000000</v>
      </c>
      <c r="Q1048">
        <v>94650562080</v>
      </c>
      <c r="R1048">
        <v>95814562080</v>
      </c>
    </row>
    <row r="1049" spans="1:18" x14ac:dyDescent="0.25">
      <c r="A1049" s="1" t="s">
        <v>483</v>
      </c>
      <c r="B1049">
        <v>87471752640</v>
      </c>
      <c r="C1049" t="s">
        <v>74</v>
      </c>
      <c r="D1049" t="s">
        <v>105</v>
      </c>
      <c r="E1049">
        <v>4045000000</v>
      </c>
      <c r="F1049">
        <v>121000000</v>
      </c>
      <c r="G1049">
        <v>4166000000</v>
      </c>
      <c r="H1049">
        <v>9196000000</v>
      </c>
      <c r="I1049">
        <v>1562000000</v>
      </c>
      <c r="J1049">
        <v>193000000</v>
      </c>
      <c r="K1049">
        <v>10886000000</v>
      </c>
      <c r="L1049">
        <v>8683000000</v>
      </c>
      <c r="M1049">
        <v>23779000000</v>
      </c>
      <c r="N1049">
        <v>0</v>
      </c>
      <c r="O1049">
        <v>1164000000</v>
      </c>
      <c r="P1049">
        <v>8672000000</v>
      </c>
      <c r="Q1049">
        <v>94384752640</v>
      </c>
      <c r="R1049">
        <v>95548752640</v>
      </c>
    </row>
    <row r="1050" spans="1:18" x14ac:dyDescent="0.25">
      <c r="A1050" s="1" t="s">
        <v>482</v>
      </c>
      <c r="B1050">
        <v>90702359680</v>
      </c>
      <c r="C1050" t="s">
        <v>74</v>
      </c>
      <c r="D1050" t="s">
        <v>105</v>
      </c>
      <c r="E1050">
        <v>4045000000</v>
      </c>
      <c r="F1050">
        <v>121000000</v>
      </c>
      <c r="G1050">
        <v>4166000000</v>
      </c>
      <c r="H1050">
        <v>9196000000</v>
      </c>
      <c r="I1050">
        <v>1562000000</v>
      </c>
      <c r="J1050">
        <v>193000000</v>
      </c>
      <c r="K1050">
        <v>10886000000</v>
      </c>
      <c r="L1050">
        <v>8683000000</v>
      </c>
      <c r="M1050">
        <v>23779000000</v>
      </c>
      <c r="N1050">
        <v>0</v>
      </c>
      <c r="O1050">
        <v>1164000000</v>
      </c>
      <c r="P1050">
        <v>8672000000</v>
      </c>
      <c r="Q1050">
        <v>97615359680</v>
      </c>
      <c r="R1050">
        <v>98779359680</v>
      </c>
    </row>
    <row r="1051" spans="1:18" x14ac:dyDescent="0.25">
      <c r="A1051" s="1" t="s">
        <v>481</v>
      </c>
      <c r="B1051">
        <v>91029509760</v>
      </c>
      <c r="C1051" t="s">
        <v>74</v>
      </c>
      <c r="D1051" t="s">
        <v>105</v>
      </c>
      <c r="E1051">
        <v>4045000000</v>
      </c>
      <c r="F1051">
        <v>121000000</v>
      </c>
      <c r="G1051">
        <v>4166000000</v>
      </c>
      <c r="H1051">
        <v>9196000000</v>
      </c>
      <c r="I1051">
        <v>1562000000</v>
      </c>
      <c r="J1051">
        <v>193000000</v>
      </c>
      <c r="K1051">
        <v>10886000000</v>
      </c>
      <c r="L1051">
        <v>8683000000</v>
      </c>
      <c r="M1051">
        <v>23779000000</v>
      </c>
      <c r="N1051">
        <v>0</v>
      </c>
      <c r="O1051">
        <v>1164000000</v>
      </c>
      <c r="P1051">
        <v>8672000000</v>
      </c>
      <c r="Q1051">
        <v>97942509760</v>
      </c>
      <c r="R1051">
        <v>99106509760</v>
      </c>
    </row>
    <row r="1052" spans="1:18" x14ac:dyDescent="0.25">
      <c r="A1052" s="1" t="s">
        <v>480</v>
      </c>
      <c r="B1052">
        <v>93319560320</v>
      </c>
      <c r="C1052" t="s">
        <v>74</v>
      </c>
      <c r="D1052" t="s">
        <v>105</v>
      </c>
      <c r="E1052">
        <v>4045000000</v>
      </c>
      <c r="F1052">
        <v>121000000</v>
      </c>
      <c r="G1052">
        <v>4166000000</v>
      </c>
      <c r="H1052">
        <v>9196000000</v>
      </c>
      <c r="I1052">
        <v>1562000000</v>
      </c>
      <c r="J1052">
        <v>193000000</v>
      </c>
      <c r="K1052">
        <v>10886000000</v>
      </c>
      <c r="L1052">
        <v>8683000000</v>
      </c>
      <c r="M1052">
        <v>23779000000</v>
      </c>
      <c r="N1052">
        <v>0</v>
      </c>
      <c r="O1052">
        <v>1164000000</v>
      </c>
      <c r="P1052">
        <v>8672000000</v>
      </c>
      <c r="Q1052">
        <v>100232560320</v>
      </c>
      <c r="R1052">
        <v>101396560320</v>
      </c>
    </row>
    <row r="1053" spans="1:18" x14ac:dyDescent="0.25">
      <c r="A1053" s="1" t="s">
        <v>479</v>
      </c>
      <c r="B1053">
        <v>91499788000</v>
      </c>
      <c r="C1053" t="s">
        <v>74</v>
      </c>
      <c r="D1053" t="s">
        <v>105</v>
      </c>
      <c r="E1053">
        <v>4045000000</v>
      </c>
      <c r="F1053">
        <v>121000000</v>
      </c>
      <c r="G1053">
        <v>4166000000</v>
      </c>
      <c r="H1053">
        <v>9196000000</v>
      </c>
      <c r="I1053">
        <v>1562000000</v>
      </c>
      <c r="J1053">
        <v>193000000</v>
      </c>
      <c r="K1053">
        <v>10886000000</v>
      </c>
      <c r="L1053">
        <v>8683000000</v>
      </c>
      <c r="M1053">
        <v>23779000000</v>
      </c>
      <c r="N1053">
        <v>0</v>
      </c>
      <c r="O1053">
        <v>1164000000</v>
      </c>
      <c r="P1053">
        <v>8672000000</v>
      </c>
      <c r="Q1053">
        <v>98412788000</v>
      </c>
      <c r="R1053">
        <v>99576788000</v>
      </c>
    </row>
    <row r="1054" spans="1:18" x14ac:dyDescent="0.25">
      <c r="A1054" s="1" t="s">
        <v>478</v>
      </c>
      <c r="B1054">
        <v>93053750880</v>
      </c>
      <c r="C1054" t="s">
        <v>74</v>
      </c>
      <c r="D1054" t="s">
        <v>105</v>
      </c>
      <c r="E1054">
        <v>4045000000</v>
      </c>
      <c r="F1054">
        <v>121000000</v>
      </c>
      <c r="G1054">
        <v>4166000000</v>
      </c>
      <c r="H1054">
        <v>9196000000</v>
      </c>
      <c r="I1054">
        <v>1562000000</v>
      </c>
      <c r="J1054">
        <v>193000000</v>
      </c>
      <c r="K1054">
        <v>10886000000</v>
      </c>
      <c r="L1054">
        <v>8683000000</v>
      </c>
      <c r="M1054">
        <v>23779000000</v>
      </c>
      <c r="N1054">
        <v>0</v>
      </c>
      <c r="O1054">
        <v>1164000000</v>
      </c>
      <c r="P1054">
        <v>8672000000</v>
      </c>
      <c r="Q1054">
        <v>99966750880</v>
      </c>
      <c r="R1054">
        <v>101130750880</v>
      </c>
    </row>
    <row r="1055" spans="1:18" x14ac:dyDescent="0.25">
      <c r="A1055" s="1" t="s">
        <v>477</v>
      </c>
      <c r="B1055">
        <v>96938658080</v>
      </c>
      <c r="C1055" t="s">
        <v>74</v>
      </c>
      <c r="D1055" t="s">
        <v>105</v>
      </c>
      <c r="E1055">
        <v>4045000000</v>
      </c>
      <c r="F1055">
        <v>121000000</v>
      </c>
      <c r="G1055">
        <v>4166000000</v>
      </c>
      <c r="H1055">
        <v>9196000000</v>
      </c>
      <c r="I1055">
        <v>1562000000</v>
      </c>
      <c r="J1055">
        <v>193000000</v>
      </c>
      <c r="K1055">
        <v>10886000000</v>
      </c>
      <c r="L1055">
        <v>8683000000</v>
      </c>
      <c r="M1055">
        <v>23779000000</v>
      </c>
      <c r="N1055">
        <v>0</v>
      </c>
      <c r="O1055">
        <v>1164000000</v>
      </c>
      <c r="P1055">
        <v>8672000000</v>
      </c>
      <c r="Q1055">
        <v>103851658080</v>
      </c>
      <c r="R1055">
        <v>105015658080</v>
      </c>
    </row>
    <row r="1056" spans="1:18" x14ac:dyDescent="0.25">
      <c r="A1056" s="1" t="s">
        <v>476</v>
      </c>
      <c r="B1056">
        <v>96345698560</v>
      </c>
      <c r="C1056" t="s">
        <v>74</v>
      </c>
      <c r="D1056" t="s">
        <v>105</v>
      </c>
      <c r="E1056">
        <v>4045000000</v>
      </c>
      <c r="F1056">
        <v>121000000</v>
      </c>
      <c r="G1056">
        <v>4166000000</v>
      </c>
      <c r="H1056">
        <v>9196000000</v>
      </c>
      <c r="I1056">
        <v>1562000000</v>
      </c>
      <c r="J1056">
        <v>193000000</v>
      </c>
      <c r="K1056">
        <v>10886000000</v>
      </c>
      <c r="L1056">
        <v>8683000000</v>
      </c>
      <c r="M1056">
        <v>23779000000</v>
      </c>
      <c r="N1056">
        <v>0</v>
      </c>
      <c r="O1056">
        <v>1164000000</v>
      </c>
      <c r="P1056">
        <v>8672000000</v>
      </c>
      <c r="Q1056">
        <v>103258698560</v>
      </c>
      <c r="R1056">
        <v>104422698560</v>
      </c>
    </row>
    <row r="1057" spans="1:18" x14ac:dyDescent="0.25">
      <c r="A1057" s="1" t="s">
        <v>475</v>
      </c>
      <c r="B1057">
        <v>95221120160</v>
      </c>
      <c r="C1057" t="s">
        <v>74</v>
      </c>
      <c r="D1057" t="s">
        <v>105</v>
      </c>
      <c r="E1057">
        <v>4045000000</v>
      </c>
      <c r="F1057">
        <v>121000000</v>
      </c>
      <c r="G1057">
        <v>4166000000</v>
      </c>
      <c r="H1057">
        <v>9196000000</v>
      </c>
      <c r="I1057">
        <v>1562000000</v>
      </c>
      <c r="J1057">
        <v>193000000</v>
      </c>
      <c r="K1057">
        <v>10886000000</v>
      </c>
      <c r="L1057">
        <v>8683000000</v>
      </c>
      <c r="M1057">
        <v>23779000000</v>
      </c>
      <c r="N1057">
        <v>0</v>
      </c>
      <c r="O1057">
        <v>1164000000</v>
      </c>
      <c r="P1057">
        <v>8672000000</v>
      </c>
      <c r="Q1057">
        <v>102134120160</v>
      </c>
      <c r="R1057">
        <v>103298120160</v>
      </c>
    </row>
    <row r="1058" spans="1:18" x14ac:dyDescent="0.25">
      <c r="A1058" s="1" t="s">
        <v>474</v>
      </c>
      <c r="B1058">
        <v>96570614240</v>
      </c>
      <c r="C1058" t="s">
        <v>74</v>
      </c>
      <c r="D1058" t="s">
        <v>105</v>
      </c>
      <c r="E1058">
        <v>4045000000</v>
      </c>
      <c r="F1058">
        <v>121000000</v>
      </c>
      <c r="G1058">
        <v>4166000000</v>
      </c>
      <c r="H1058">
        <v>9196000000</v>
      </c>
      <c r="I1058">
        <v>1562000000</v>
      </c>
      <c r="J1058">
        <v>193000000</v>
      </c>
      <c r="K1058">
        <v>10886000000</v>
      </c>
      <c r="L1058">
        <v>8683000000</v>
      </c>
      <c r="M1058">
        <v>23779000000</v>
      </c>
      <c r="N1058">
        <v>0</v>
      </c>
      <c r="O1058">
        <v>1164000000</v>
      </c>
      <c r="P1058">
        <v>8672000000</v>
      </c>
      <c r="Q1058">
        <v>103483614240</v>
      </c>
      <c r="R1058">
        <v>104647614240</v>
      </c>
    </row>
    <row r="1059" spans="1:18" x14ac:dyDescent="0.25">
      <c r="A1059" s="1" t="s">
        <v>473</v>
      </c>
      <c r="B1059">
        <v>96754636160</v>
      </c>
      <c r="C1059" t="s">
        <v>74</v>
      </c>
      <c r="D1059" t="s">
        <v>105</v>
      </c>
      <c r="E1059">
        <v>4045000000</v>
      </c>
      <c r="F1059">
        <v>121000000</v>
      </c>
      <c r="G1059">
        <v>4166000000</v>
      </c>
      <c r="H1059">
        <v>9196000000</v>
      </c>
      <c r="I1059">
        <v>1562000000</v>
      </c>
      <c r="J1059">
        <v>193000000</v>
      </c>
      <c r="K1059">
        <v>10886000000</v>
      </c>
      <c r="L1059">
        <v>8683000000</v>
      </c>
      <c r="M1059">
        <v>23779000000</v>
      </c>
      <c r="N1059">
        <v>0</v>
      </c>
      <c r="O1059">
        <v>1164000000</v>
      </c>
      <c r="P1059">
        <v>8672000000</v>
      </c>
      <c r="Q1059">
        <v>103667636160</v>
      </c>
      <c r="R1059">
        <v>104831636160</v>
      </c>
    </row>
    <row r="1060" spans="1:18" x14ac:dyDescent="0.25">
      <c r="A1060" s="1" t="s">
        <v>472</v>
      </c>
      <c r="B1060">
        <v>96447932960</v>
      </c>
      <c r="C1060" t="s">
        <v>74</v>
      </c>
      <c r="D1060" t="s">
        <v>105</v>
      </c>
      <c r="E1060">
        <v>4045000000</v>
      </c>
      <c r="F1060">
        <v>121000000</v>
      </c>
      <c r="G1060">
        <v>4166000000</v>
      </c>
      <c r="H1060">
        <v>9196000000</v>
      </c>
      <c r="I1060">
        <v>1562000000</v>
      </c>
      <c r="J1060">
        <v>193000000</v>
      </c>
      <c r="K1060">
        <v>10886000000</v>
      </c>
      <c r="L1060">
        <v>8683000000</v>
      </c>
      <c r="M1060">
        <v>23779000000</v>
      </c>
      <c r="N1060">
        <v>0</v>
      </c>
      <c r="O1060">
        <v>1164000000</v>
      </c>
      <c r="P1060">
        <v>8672000000</v>
      </c>
      <c r="Q1060">
        <v>103360932960</v>
      </c>
      <c r="R1060">
        <v>104524932960</v>
      </c>
    </row>
    <row r="1061" spans="1:18" x14ac:dyDescent="0.25">
      <c r="A1061" s="1" t="s">
        <v>471</v>
      </c>
      <c r="B1061">
        <v>96734189280</v>
      </c>
      <c r="C1061" t="s">
        <v>74</v>
      </c>
      <c r="D1061" t="s">
        <v>105</v>
      </c>
      <c r="E1061">
        <v>4045000000</v>
      </c>
      <c r="F1061">
        <v>121000000</v>
      </c>
      <c r="G1061">
        <v>4166000000</v>
      </c>
      <c r="H1061">
        <v>9196000000</v>
      </c>
      <c r="I1061">
        <v>1562000000</v>
      </c>
      <c r="J1061">
        <v>193000000</v>
      </c>
      <c r="K1061">
        <v>10886000000</v>
      </c>
      <c r="L1061">
        <v>8683000000</v>
      </c>
      <c r="M1061">
        <v>23779000000</v>
      </c>
      <c r="N1061">
        <v>0</v>
      </c>
      <c r="O1061">
        <v>1164000000</v>
      </c>
      <c r="P1061">
        <v>8672000000</v>
      </c>
      <c r="Q1061">
        <v>103647189280</v>
      </c>
      <c r="R1061">
        <v>104811189280</v>
      </c>
    </row>
    <row r="1062" spans="1:18" x14ac:dyDescent="0.25">
      <c r="A1062" s="1" t="s">
        <v>470</v>
      </c>
      <c r="B1062">
        <v>95302907680</v>
      </c>
      <c r="C1062" t="s">
        <v>74</v>
      </c>
      <c r="D1062" t="s">
        <v>105</v>
      </c>
      <c r="E1062">
        <v>4045000000</v>
      </c>
      <c r="F1062">
        <v>121000000</v>
      </c>
      <c r="G1062">
        <v>4166000000</v>
      </c>
      <c r="H1062">
        <v>9196000000</v>
      </c>
      <c r="I1062">
        <v>1562000000</v>
      </c>
      <c r="J1062">
        <v>193000000</v>
      </c>
      <c r="K1062">
        <v>10886000000</v>
      </c>
      <c r="L1062">
        <v>8683000000</v>
      </c>
      <c r="M1062">
        <v>23779000000</v>
      </c>
      <c r="N1062">
        <v>0</v>
      </c>
      <c r="O1062">
        <v>1164000000</v>
      </c>
      <c r="P1062">
        <v>8672000000</v>
      </c>
      <c r="Q1062">
        <v>102215907680</v>
      </c>
      <c r="R1062">
        <v>103379907680</v>
      </c>
    </row>
    <row r="1063" spans="1:18" x14ac:dyDescent="0.25">
      <c r="A1063" s="1" t="s">
        <v>469</v>
      </c>
      <c r="B1063">
        <v>98431280320</v>
      </c>
      <c r="C1063" t="s">
        <v>74</v>
      </c>
      <c r="D1063" t="s">
        <v>105</v>
      </c>
      <c r="E1063">
        <v>4045000000</v>
      </c>
      <c r="F1063">
        <v>121000000</v>
      </c>
      <c r="G1063">
        <v>4166000000</v>
      </c>
      <c r="H1063">
        <v>9196000000</v>
      </c>
      <c r="I1063">
        <v>1562000000</v>
      </c>
      <c r="J1063">
        <v>193000000</v>
      </c>
      <c r="K1063">
        <v>10886000000</v>
      </c>
      <c r="L1063">
        <v>8683000000</v>
      </c>
      <c r="M1063">
        <v>23779000000</v>
      </c>
      <c r="N1063">
        <v>0</v>
      </c>
      <c r="O1063">
        <v>1164000000</v>
      </c>
      <c r="P1063">
        <v>8672000000</v>
      </c>
      <c r="Q1063">
        <v>105344280320</v>
      </c>
      <c r="R1063">
        <v>106508280320</v>
      </c>
    </row>
    <row r="1064" spans="1:18" x14ac:dyDescent="0.25">
      <c r="A1064" s="1" t="s">
        <v>468</v>
      </c>
      <c r="B1064">
        <v>101130268480</v>
      </c>
      <c r="C1064" t="s">
        <v>74</v>
      </c>
      <c r="D1064" t="s">
        <v>105</v>
      </c>
      <c r="E1064">
        <v>4045000000</v>
      </c>
      <c r="F1064">
        <v>121000000</v>
      </c>
      <c r="G1064">
        <v>4166000000</v>
      </c>
      <c r="H1064">
        <v>9196000000</v>
      </c>
      <c r="I1064">
        <v>1562000000</v>
      </c>
      <c r="J1064">
        <v>193000000</v>
      </c>
      <c r="K1064">
        <v>10886000000</v>
      </c>
      <c r="L1064">
        <v>8683000000</v>
      </c>
      <c r="M1064">
        <v>23779000000</v>
      </c>
      <c r="N1064">
        <v>0</v>
      </c>
      <c r="O1064">
        <v>1164000000</v>
      </c>
      <c r="P1064">
        <v>8672000000</v>
      </c>
      <c r="Q1064">
        <v>108043268480</v>
      </c>
      <c r="R1064">
        <v>109207268480</v>
      </c>
    </row>
    <row r="1065" spans="1:18" x14ac:dyDescent="0.25">
      <c r="A1065" s="1" t="s">
        <v>121</v>
      </c>
      <c r="B1065">
        <v>95384695200</v>
      </c>
      <c r="C1065" t="s">
        <v>73</v>
      </c>
      <c r="D1065" t="s">
        <v>105</v>
      </c>
      <c r="E1065">
        <v>4995000000</v>
      </c>
      <c r="F1065">
        <v>538000000</v>
      </c>
      <c r="G1065">
        <v>5533000000</v>
      </c>
      <c r="H1065">
        <v>10664000000</v>
      </c>
      <c r="I1065">
        <v>1646000000</v>
      </c>
      <c r="J1065">
        <v>179000000</v>
      </c>
      <c r="K1065">
        <v>10852000000</v>
      </c>
      <c r="L1065">
        <v>8635000000</v>
      </c>
      <c r="M1065">
        <v>24240000000</v>
      </c>
      <c r="N1065">
        <v>0</v>
      </c>
      <c r="O1065">
        <v>1164000000</v>
      </c>
      <c r="P1065">
        <v>9828000000</v>
      </c>
      <c r="Q1065">
        <v>100882695200</v>
      </c>
      <c r="R1065">
        <v>102046695200</v>
      </c>
    </row>
    <row r="1066" spans="1:18" x14ac:dyDescent="0.25">
      <c r="A1066" s="1" t="s">
        <v>467</v>
      </c>
      <c r="B1066">
        <v>96018548480</v>
      </c>
      <c r="C1066" t="s">
        <v>73</v>
      </c>
      <c r="D1066" t="s">
        <v>105</v>
      </c>
      <c r="E1066">
        <v>4995000000</v>
      </c>
      <c r="F1066">
        <v>538000000</v>
      </c>
      <c r="G1066">
        <v>5533000000</v>
      </c>
      <c r="H1066">
        <v>10664000000</v>
      </c>
      <c r="I1066">
        <v>1646000000</v>
      </c>
      <c r="J1066">
        <v>179000000</v>
      </c>
      <c r="K1066">
        <v>10852000000</v>
      </c>
      <c r="L1066">
        <v>8635000000</v>
      </c>
      <c r="M1066">
        <v>24240000000</v>
      </c>
      <c r="N1066">
        <v>0</v>
      </c>
      <c r="O1066">
        <v>1164000000</v>
      </c>
      <c r="P1066">
        <v>9828000000</v>
      </c>
      <c r="Q1066">
        <v>101516548480</v>
      </c>
      <c r="R1066">
        <v>102680548480</v>
      </c>
    </row>
    <row r="1067" spans="1:18" x14ac:dyDescent="0.25">
      <c r="A1067" s="1" t="s">
        <v>466</v>
      </c>
      <c r="B1067">
        <v>93871626080</v>
      </c>
      <c r="C1067" t="s">
        <v>73</v>
      </c>
      <c r="D1067" t="s">
        <v>105</v>
      </c>
      <c r="E1067">
        <v>4995000000</v>
      </c>
      <c r="F1067">
        <v>538000000</v>
      </c>
      <c r="G1067">
        <v>5533000000</v>
      </c>
      <c r="H1067">
        <v>10664000000</v>
      </c>
      <c r="I1067">
        <v>1646000000</v>
      </c>
      <c r="J1067">
        <v>179000000</v>
      </c>
      <c r="K1067">
        <v>10852000000</v>
      </c>
      <c r="L1067">
        <v>8635000000</v>
      </c>
      <c r="M1067">
        <v>24240000000</v>
      </c>
      <c r="N1067">
        <v>0</v>
      </c>
      <c r="O1067">
        <v>1164000000</v>
      </c>
      <c r="P1067">
        <v>9828000000</v>
      </c>
      <c r="Q1067">
        <v>99369626080</v>
      </c>
      <c r="R1067">
        <v>100533626080</v>
      </c>
    </row>
    <row r="1068" spans="1:18" x14ac:dyDescent="0.25">
      <c r="A1068" s="1" t="s">
        <v>465</v>
      </c>
      <c r="B1068">
        <v>92419897600</v>
      </c>
      <c r="C1068" t="s">
        <v>73</v>
      </c>
      <c r="D1068" t="s">
        <v>105</v>
      </c>
      <c r="E1068">
        <v>4995000000</v>
      </c>
      <c r="F1068">
        <v>538000000</v>
      </c>
      <c r="G1068">
        <v>5533000000</v>
      </c>
      <c r="H1068">
        <v>10664000000</v>
      </c>
      <c r="I1068">
        <v>1646000000</v>
      </c>
      <c r="J1068">
        <v>179000000</v>
      </c>
      <c r="K1068">
        <v>10852000000</v>
      </c>
      <c r="L1068">
        <v>8635000000</v>
      </c>
      <c r="M1068">
        <v>24240000000</v>
      </c>
      <c r="N1068">
        <v>0</v>
      </c>
      <c r="O1068">
        <v>1164000000</v>
      </c>
      <c r="P1068">
        <v>9828000000</v>
      </c>
      <c r="Q1068">
        <v>97917897600</v>
      </c>
      <c r="R1068">
        <v>99081897600</v>
      </c>
    </row>
    <row r="1069" spans="1:18" x14ac:dyDescent="0.25">
      <c r="A1069" s="1" t="s">
        <v>464</v>
      </c>
      <c r="B1069">
        <v>91908725600</v>
      </c>
      <c r="C1069" t="s">
        <v>73</v>
      </c>
      <c r="D1069" t="s">
        <v>105</v>
      </c>
      <c r="E1069">
        <v>4995000000</v>
      </c>
      <c r="F1069">
        <v>538000000</v>
      </c>
      <c r="G1069">
        <v>5533000000</v>
      </c>
      <c r="H1069">
        <v>10664000000</v>
      </c>
      <c r="I1069">
        <v>1646000000</v>
      </c>
      <c r="J1069">
        <v>179000000</v>
      </c>
      <c r="K1069">
        <v>10852000000</v>
      </c>
      <c r="L1069">
        <v>8635000000</v>
      </c>
      <c r="M1069">
        <v>24240000000</v>
      </c>
      <c r="N1069">
        <v>0</v>
      </c>
      <c r="O1069">
        <v>1164000000</v>
      </c>
      <c r="P1069">
        <v>9828000000</v>
      </c>
      <c r="Q1069">
        <v>97406725600</v>
      </c>
      <c r="R1069">
        <v>98570725600</v>
      </c>
    </row>
    <row r="1070" spans="1:18" x14ac:dyDescent="0.25">
      <c r="A1070" s="1" t="s">
        <v>463</v>
      </c>
      <c r="B1070">
        <v>92338110080</v>
      </c>
      <c r="C1070" t="s">
        <v>73</v>
      </c>
      <c r="D1070" t="s">
        <v>105</v>
      </c>
      <c r="E1070">
        <v>4995000000</v>
      </c>
      <c r="F1070">
        <v>538000000</v>
      </c>
      <c r="G1070">
        <v>5533000000</v>
      </c>
      <c r="H1070">
        <v>10664000000</v>
      </c>
      <c r="I1070">
        <v>1646000000</v>
      </c>
      <c r="J1070">
        <v>179000000</v>
      </c>
      <c r="K1070">
        <v>10852000000</v>
      </c>
      <c r="L1070">
        <v>8635000000</v>
      </c>
      <c r="M1070">
        <v>24240000000</v>
      </c>
      <c r="N1070">
        <v>0</v>
      </c>
      <c r="O1070">
        <v>1164000000</v>
      </c>
      <c r="P1070">
        <v>9828000000</v>
      </c>
      <c r="Q1070">
        <v>97836110080</v>
      </c>
      <c r="R1070">
        <v>99000110080</v>
      </c>
    </row>
    <row r="1071" spans="1:18" x14ac:dyDescent="0.25">
      <c r="A1071" s="1" t="s">
        <v>462</v>
      </c>
      <c r="B1071">
        <v>90191187680</v>
      </c>
      <c r="C1071" t="s">
        <v>73</v>
      </c>
      <c r="D1071" t="s">
        <v>105</v>
      </c>
      <c r="E1071">
        <v>4995000000</v>
      </c>
      <c r="F1071">
        <v>538000000</v>
      </c>
      <c r="G1071">
        <v>5533000000</v>
      </c>
      <c r="H1071">
        <v>10664000000</v>
      </c>
      <c r="I1071">
        <v>1646000000</v>
      </c>
      <c r="J1071">
        <v>179000000</v>
      </c>
      <c r="K1071">
        <v>10852000000</v>
      </c>
      <c r="L1071">
        <v>8635000000</v>
      </c>
      <c r="M1071">
        <v>24240000000</v>
      </c>
      <c r="N1071">
        <v>0</v>
      </c>
      <c r="O1071">
        <v>1164000000</v>
      </c>
      <c r="P1071">
        <v>9828000000</v>
      </c>
      <c r="Q1071">
        <v>95689187680</v>
      </c>
      <c r="R1071">
        <v>96853187680</v>
      </c>
    </row>
    <row r="1072" spans="1:18" x14ac:dyDescent="0.25">
      <c r="A1072" s="1" t="s">
        <v>461</v>
      </c>
      <c r="B1072">
        <v>91193084800</v>
      </c>
      <c r="C1072" t="s">
        <v>73</v>
      </c>
      <c r="D1072" t="s">
        <v>105</v>
      </c>
      <c r="E1072">
        <v>4995000000</v>
      </c>
      <c r="F1072">
        <v>538000000</v>
      </c>
      <c r="G1072">
        <v>5533000000</v>
      </c>
      <c r="H1072">
        <v>10664000000</v>
      </c>
      <c r="I1072">
        <v>1646000000</v>
      </c>
      <c r="J1072">
        <v>179000000</v>
      </c>
      <c r="K1072">
        <v>10852000000</v>
      </c>
      <c r="L1072">
        <v>8635000000</v>
      </c>
      <c r="M1072">
        <v>24240000000</v>
      </c>
      <c r="N1072">
        <v>0</v>
      </c>
      <c r="O1072">
        <v>1164000000</v>
      </c>
      <c r="P1072">
        <v>9828000000</v>
      </c>
      <c r="Q1072">
        <v>96691084800</v>
      </c>
      <c r="R1072">
        <v>97855084800</v>
      </c>
    </row>
    <row r="1073" spans="1:18" x14ac:dyDescent="0.25">
      <c r="A1073" s="1" t="s">
        <v>460</v>
      </c>
      <c r="B1073">
        <v>89373312480</v>
      </c>
      <c r="C1073" t="s">
        <v>73</v>
      </c>
      <c r="D1073" t="s">
        <v>105</v>
      </c>
      <c r="E1073">
        <v>4995000000</v>
      </c>
      <c r="F1073">
        <v>538000000</v>
      </c>
      <c r="G1073">
        <v>5533000000</v>
      </c>
      <c r="H1073">
        <v>10664000000</v>
      </c>
      <c r="I1073">
        <v>1646000000</v>
      </c>
      <c r="J1073">
        <v>179000000</v>
      </c>
      <c r="K1073">
        <v>10852000000</v>
      </c>
      <c r="L1073">
        <v>8635000000</v>
      </c>
      <c r="M1073">
        <v>24240000000</v>
      </c>
      <c r="N1073">
        <v>0</v>
      </c>
      <c r="O1073">
        <v>1164000000</v>
      </c>
      <c r="P1073">
        <v>9828000000</v>
      </c>
      <c r="Q1073">
        <v>94871312480</v>
      </c>
      <c r="R1073">
        <v>96035312480</v>
      </c>
    </row>
    <row r="1074" spans="1:18" x14ac:dyDescent="0.25">
      <c r="A1074" s="1" t="s">
        <v>459</v>
      </c>
      <c r="B1074">
        <v>91704256800</v>
      </c>
      <c r="C1074" t="s">
        <v>73</v>
      </c>
      <c r="D1074" t="s">
        <v>105</v>
      </c>
      <c r="E1074">
        <v>4995000000</v>
      </c>
      <c r="F1074">
        <v>538000000</v>
      </c>
      <c r="G1074">
        <v>5533000000</v>
      </c>
      <c r="H1074">
        <v>10664000000</v>
      </c>
      <c r="I1074">
        <v>1646000000</v>
      </c>
      <c r="J1074">
        <v>179000000</v>
      </c>
      <c r="K1074">
        <v>10852000000</v>
      </c>
      <c r="L1074">
        <v>8635000000</v>
      </c>
      <c r="M1074">
        <v>24240000000</v>
      </c>
      <c r="N1074">
        <v>0</v>
      </c>
      <c r="O1074">
        <v>1164000000</v>
      </c>
      <c r="P1074">
        <v>9828000000</v>
      </c>
      <c r="Q1074">
        <v>97202256800</v>
      </c>
      <c r="R1074">
        <v>98366256800</v>
      </c>
    </row>
    <row r="1075" spans="1:18" x14ac:dyDescent="0.25">
      <c r="A1075" s="1" t="s">
        <v>458</v>
      </c>
      <c r="B1075">
        <v>90129847040</v>
      </c>
      <c r="C1075" t="s">
        <v>73</v>
      </c>
      <c r="D1075" t="s">
        <v>105</v>
      </c>
      <c r="E1075">
        <v>4995000000</v>
      </c>
      <c r="F1075">
        <v>538000000</v>
      </c>
      <c r="G1075">
        <v>5533000000</v>
      </c>
      <c r="H1075">
        <v>10664000000</v>
      </c>
      <c r="I1075">
        <v>1646000000</v>
      </c>
      <c r="J1075">
        <v>179000000</v>
      </c>
      <c r="K1075">
        <v>10852000000</v>
      </c>
      <c r="L1075">
        <v>8635000000</v>
      </c>
      <c r="M1075">
        <v>24240000000</v>
      </c>
      <c r="N1075">
        <v>0</v>
      </c>
      <c r="O1075">
        <v>1164000000</v>
      </c>
      <c r="P1075">
        <v>9828000000</v>
      </c>
      <c r="Q1075">
        <v>95627847040</v>
      </c>
      <c r="R1075">
        <v>96791847040</v>
      </c>
    </row>
    <row r="1076" spans="1:18" x14ac:dyDescent="0.25">
      <c r="A1076" s="1" t="s">
        <v>457</v>
      </c>
      <c r="B1076">
        <v>89250631200</v>
      </c>
      <c r="C1076" t="s">
        <v>73</v>
      </c>
      <c r="D1076" t="s">
        <v>105</v>
      </c>
      <c r="E1076">
        <v>4995000000</v>
      </c>
      <c r="F1076">
        <v>538000000</v>
      </c>
      <c r="G1076">
        <v>5533000000</v>
      </c>
      <c r="H1076">
        <v>10664000000</v>
      </c>
      <c r="I1076">
        <v>1646000000</v>
      </c>
      <c r="J1076">
        <v>179000000</v>
      </c>
      <c r="K1076">
        <v>10852000000</v>
      </c>
      <c r="L1076">
        <v>8635000000</v>
      </c>
      <c r="M1076">
        <v>24240000000</v>
      </c>
      <c r="N1076">
        <v>0</v>
      </c>
      <c r="O1076">
        <v>1164000000</v>
      </c>
      <c r="P1076">
        <v>9828000000</v>
      </c>
      <c r="Q1076">
        <v>94748631200</v>
      </c>
      <c r="R1076">
        <v>95912631200</v>
      </c>
    </row>
    <row r="1077" spans="1:18" x14ac:dyDescent="0.25">
      <c r="A1077" s="1" t="s">
        <v>456</v>
      </c>
      <c r="B1077">
        <v>89904931360</v>
      </c>
      <c r="C1077" t="s">
        <v>73</v>
      </c>
      <c r="D1077" t="s">
        <v>105</v>
      </c>
      <c r="E1077">
        <v>4995000000</v>
      </c>
      <c r="F1077">
        <v>538000000</v>
      </c>
      <c r="G1077">
        <v>5533000000</v>
      </c>
      <c r="H1077">
        <v>10664000000</v>
      </c>
      <c r="I1077">
        <v>1646000000</v>
      </c>
      <c r="J1077">
        <v>179000000</v>
      </c>
      <c r="K1077">
        <v>10852000000</v>
      </c>
      <c r="L1077">
        <v>8635000000</v>
      </c>
      <c r="M1077">
        <v>24240000000</v>
      </c>
      <c r="N1077">
        <v>0</v>
      </c>
      <c r="O1077">
        <v>1164000000</v>
      </c>
      <c r="P1077">
        <v>9828000000</v>
      </c>
      <c r="Q1077">
        <v>95402931360</v>
      </c>
      <c r="R1077">
        <v>96566931360</v>
      </c>
    </row>
    <row r="1078" spans="1:18" x14ac:dyDescent="0.25">
      <c r="A1078" s="1" t="s">
        <v>455</v>
      </c>
      <c r="B1078">
        <v>91377106720</v>
      </c>
      <c r="C1078" t="s">
        <v>73</v>
      </c>
      <c r="D1078" t="s">
        <v>105</v>
      </c>
      <c r="E1078">
        <v>4995000000</v>
      </c>
      <c r="F1078">
        <v>538000000</v>
      </c>
      <c r="G1078">
        <v>5533000000</v>
      </c>
      <c r="H1078">
        <v>10664000000</v>
      </c>
      <c r="I1078">
        <v>1646000000</v>
      </c>
      <c r="J1078">
        <v>179000000</v>
      </c>
      <c r="K1078">
        <v>10852000000</v>
      </c>
      <c r="L1078">
        <v>8635000000</v>
      </c>
      <c r="M1078">
        <v>24240000000</v>
      </c>
      <c r="N1078">
        <v>0</v>
      </c>
      <c r="O1078">
        <v>1164000000</v>
      </c>
      <c r="P1078">
        <v>9828000000</v>
      </c>
      <c r="Q1078">
        <v>96875106720</v>
      </c>
      <c r="R1078">
        <v>98039106720</v>
      </c>
    </row>
    <row r="1079" spans="1:18" x14ac:dyDescent="0.25">
      <c r="A1079" s="1" t="s">
        <v>454</v>
      </c>
      <c r="B1079">
        <v>91254425440</v>
      </c>
      <c r="C1079" t="s">
        <v>73</v>
      </c>
      <c r="D1079" t="s">
        <v>105</v>
      </c>
      <c r="E1079">
        <v>4995000000</v>
      </c>
      <c r="F1079">
        <v>538000000</v>
      </c>
      <c r="G1079">
        <v>5533000000</v>
      </c>
      <c r="H1079">
        <v>10664000000</v>
      </c>
      <c r="I1079">
        <v>1646000000</v>
      </c>
      <c r="J1079">
        <v>179000000</v>
      </c>
      <c r="K1079">
        <v>10852000000</v>
      </c>
      <c r="L1079">
        <v>8635000000</v>
      </c>
      <c r="M1079">
        <v>24240000000</v>
      </c>
      <c r="N1079">
        <v>0</v>
      </c>
      <c r="O1079">
        <v>1164000000</v>
      </c>
      <c r="P1079">
        <v>9828000000</v>
      </c>
      <c r="Q1079">
        <v>96752425440</v>
      </c>
      <c r="R1079">
        <v>97916425440</v>
      </c>
    </row>
    <row r="1080" spans="1:18" x14ac:dyDescent="0.25">
      <c r="A1080" s="1" t="s">
        <v>453</v>
      </c>
      <c r="B1080">
        <v>90681912800</v>
      </c>
      <c r="C1080" t="s">
        <v>73</v>
      </c>
      <c r="D1080" t="s">
        <v>105</v>
      </c>
      <c r="E1080">
        <v>4995000000</v>
      </c>
      <c r="F1080">
        <v>538000000</v>
      </c>
      <c r="G1080">
        <v>5533000000</v>
      </c>
      <c r="H1080">
        <v>10664000000</v>
      </c>
      <c r="I1080">
        <v>1646000000</v>
      </c>
      <c r="J1080">
        <v>179000000</v>
      </c>
      <c r="K1080">
        <v>10852000000</v>
      </c>
      <c r="L1080">
        <v>8635000000</v>
      </c>
      <c r="M1080">
        <v>24240000000</v>
      </c>
      <c r="N1080">
        <v>0</v>
      </c>
      <c r="O1080">
        <v>1164000000</v>
      </c>
      <c r="P1080">
        <v>9828000000</v>
      </c>
      <c r="Q1080">
        <v>96179912800</v>
      </c>
      <c r="R1080">
        <v>97343912800</v>
      </c>
    </row>
    <row r="1081" spans="1:18" x14ac:dyDescent="0.25">
      <c r="A1081" s="1" t="s">
        <v>452</v>
      </c>
      <c r="B1081">
        <v>92297216320</v>
      </c>
      <c r="C1081" t="s">
        <v>73</v>
      </c>
      <c r="D1081" t="s">
        <v>105</v>
      </c>
      <c r="E1081">
        <v>4995000000</v>
      </c>
      <c r="F1081">
        <v>538000000</v>
      </c>
      <c r="G1081">
        <v>5533000000</v>
      </c>
      <c r="H1081">
        <v>10664000000</v>
      </c>
      <c r="I1081">
        <v>1646000000</v>
      </c>
      <c r="J1081">
        <v>179000000</v>
      </c>
      <c r="K1081">
        <v>10852000000</v>
      </c>
      <c r="L1081">
        <v>8635000000</v>
      </c>
      <c r="M1081">
        <v>24240000000</v>
      </c>
      <c r="N1081">
        <v>0</v>
      </c>
      <c r="O1081">
        <v>1164000000</v>
      </c>
      <c r="P1081">
        <v>9828000000</v>
      </c>
      <c r="Q1081">
        <v>97795216320</v>
      </c>
      <c r="R1081">
        <v>98959216320</v>
      </c>
    </row>
    <row r="1082" spans="1:18" x14ac:dyDescent="0.25">
      <c r="A1082" s="1" t="s">
        <v>451</v>
      </c>
      <c r="B1082">
        <v>91356659840</v>
      </c>
      <c r="C1082" t="s">
        <v>73</v>
      </c>
      <c r="D1082" t="s">
        <v>105</v>
      </c>
      <c r="E1082">
        <v>4995000000</v>
      </c>
      <c r="F1082">
        <v>538000000</v>
      </c>
      <c r="G1082">
        <v>5533000000</v>
      </c>
      <c r="H1082">
        <v>10664000000</v>
      </c>
      <c r="I1082">
        <v>1646000000</v>
      </c>
      <c r="J1082">
        <v>179000000</v>
      </c>
      <c r="K1082">
        <v>10852000000</v>
      </c>
      <c r="L1082">
        <v>8635000000</v>
      </c>
      <c r="M1082">
        <v>24240000000</v>
      </c>
      <c r="N1082">
        <v>0</v>
      </c>
      <c r="O1082">
        <v>1164000000</v>
      </c>
      <c r="P1082">
        <v>9828000000</v>
      </c>
      <c r="Q1082">
        <v>96854659840</v>
      </c>
      <c r="R1082">
        <v>98018659840</v>
      </c>
    </row>
    <row r="1083" spans="1:18" x14ac:dyDescent="0.25">
      <c r="A1083" s="1" t="s">
        <v>450</v>
      </c>
      <c r="B1083">
        <v>89884484480</v>
      </c>
      <c r="C1083" t="s">
        <v>73</v>
      </c>
      <c r="D1083" t="s">
        <v>105</v>
      </c>
      <c r="E1083">
        <v>4995000000</v>
      </c>
      <c r="F1083">
        <v>538000000</v>
      </c>
      <c r="G1083">
        <v>5533000000</v>
      </c>
      <c r="H1083">
        <v>10664000000</v>
      </c>
      <c r="I1083">
        <v>1646000000</v>
      </c>
      <c r="J1083">
        <v>179000000</v>
      </c>
      <c r="K1083">
        <v>10852000000</v>
      </c>
      <c r="L1083">
        <v>8635000000</v>
      </c>
      <c r="M1083">
        <v>24240000000</v>
      </c>
      <c r="N1083">
        <v>0</v>
      </c>
      <c r="O1083">
        <v>1164000000</v>
      </c>
      <c r="P1083">
        <v>9828000000</v>
      </c>
      <c r="Q1083">
        <v>95382484480</v>
      </c>
      <c r="R1083">
        <v>96546484480</v>
      </c>
    </row>
    <row r="1084" spans="1:18" x14ac:dyDescent="0.25">
      <c r="A1084" s="1" t="s">
        <v>449</v>
      </c>
      <c r="B1084">
        <v>90272975200</v>
      </c>
      <c r="C1084" t="s">
        <v>73</v>
      </c>
      <c r="D1084" t="s">
        <v>105</v>
      </c>
      <c r="E1084">
        <v>4995000000</v>
      </c>
      <c r="F1084">
        <v>538000000</v>
      </c>
      <c r="G1084">
        <v>5533000000</v>
      </c>
      <c r="H1084">
        <v>10664000000</v>
      </c>
      <c r="I1084">
        <v>1646000000</v>
      </c>
      <c r="J1084">
        <v>179000000</v>
      </c>
      <c r="K1084">
        <v>10852000000</v>
      </c>
      <c r="L1084">
        <v>8635000000</v>
      </c>
      <c r="M1084">
        <v>24240000000</v>
      </c>
      <c r="N1084">
        <v>0</v>
      </c>
      <c r="O1084">
        <v>1164000000</v>
      </c>
      <c r="P1084">
        <v>9828000000</v>
      </c>
      <c r="Q1084">
        <v>95770975200</v>
      </c>
      <c r="R1084">
        <v>96934975200</v>
      </c>
    </row>
    <row r="1085" spans="1:18" x14ac:dyDescent="0.25">
      <c r="A1085" s="1" t="s">
        <v>448</v>
      </c>
      <c r="B1085">
        <v>92726600800</v>
      </c>
      <c r="C1085" t="s">
        <v>73</v>
      </c>
      <c r="D1085" t="s">
        <v>105</v>
      </c>
      <c r="E1085">
        <v>4995000000</v>
      </c>
      <c r="F1085">
        <v>538000000</v>
      </c>
      <c r="G1085">
        <v>5533000000</v>
      </c>
      <c r="H1085">
        <v>10664000000</v>
      </c>
      <c r="I1085">
        <v>1646000000</v>
      </c>
      <c r="J1085">
        <v>179000000</v>
      </c>
      <c r="K1085">
        <v>10852000000</v>
      </c>
      <c r="L1085">
        <v>8635000000</v>
      </c>
      <c r="M1085">
        <v>24240000000</v>
      </c>
      <c r="N1085">
        <v>0</v>
      </c>
      <c r="O1085">
        <v>1164000000</v>
      </c>
      <c r="P1085">
        <v>9828000000</v>
      </c>
      <c r="Q1085">
        <v>98224600800</v>
      </c>
      <c r="R1085">
        <v>99388600800</v>
      </c>
    </row>
    <row r="1086" spans="1:18" x14ac:dyDescent="0.25">
      <c r="A1086" s="1" t="s">
        <v>447</v>
      </c>
      <c r="B1086">
        <v>95098438880</v>
      </c>
      <c r="C1086" t="s">
        <v>73</v>
      </c>
      <c r="D1086" t="s">
        <v>105</v>
      </c>
      <c r="E1086">
        <v>4995000000</v>
      </c>
      <c r="F1086">
        <v>538000000</v>
      </c>
      <c r="G1086">
        <v>5533000000</v>
      </c>
      <c r="H1086">
        <v>10664000000</v>
      </c>
      <c r="I1086">
        <v>1646000000</v>
      </c>
      <c r="J1086">
        <v>179000000</v>
      </c>
      <c r="K1086">
        <v>10852000000</v>
      </c>
      <c r="L1086">
        <v>8635000000</v>
      </c>
      <c r="M1086">
        <v>24240000000</v>
      </c>
      <c r="N1086">
        <v>0</v>
      </c>
      <c r="O1086">
        <v>1164000000</v>
      </c>
      <c r="P1086">
        <v>9828000000</v>
      </c>
      <c r="Q1086">
        <v>100596438880</v>
      </c>
      <c r="R1086">
        <v>101760438880</v>
      </c>
    </row>
    <row r="1087" spans="1:18" x14ac:dyDescent="0.25">
      <c r="A1087" s="1" t="s">
        <v>446</v>
      </c>
      <c r="B1087">
        <v>96570614240</v>
      </c>
      <c r="C1087" t="s">
        <v>73</v>
      </c>
      <c r="D1087" t="s">
        <v>105</v>
      </c>
      <c r="E1087">
        <v>4995000000</v>
      </c>
      <c r="F1087">
        <v>538000000</v>
      </c>
      <c r="G1087">
        <v>5533000000</v>
      </c>
      <c r="H1087">
        <v>10664000000</v>
      </c>
      <c r="I1087">
        <v>1646000000</v>
      </c>
      <c r="J1087">
        <v>179000000</v>
      </c>
      <c r="K1087">
        <v>10852000000</v>
      </c>
      <c r="L1087">
        <v>8635000000</v>
      </c>
      <c r="M1087">
        <v>24240000000</v>
      </c>
      <c r="N1087">
        <v>0</v>
      </c>
      <c r="O1087">
        <v>1164000000</v>
      </c>
      <c r="P1087">
        <v>9828000000</v>
      </c>
      <c r="Q1087">
        <v>102068614240</v>
      </c>
      <c r="R1087">
        <v>103232614240</v>
      </c>
    </row>
    <row r="1088" spans="1:18" x14ac:dyDescent="0.25">
      <c r="A1088" s="1" t="s">
        <v>445</v>
      </c>
      <c r="B1088">
        <v>96182123520</v>
      </c>
      <c r="C1088" t="s">
        <v>73</v>
      </c>
      <c r="D1088" t="s">
        <v>105</v>
      </c>
      <c r="E1088">
        <v>4995000000</v>
      </c>
      <c r="F1088">
        <v>538000000</v>
      </c>
      <c r="G1088">
        <v>5533000000</v>
      </c>
      <c r="H1088">
        <v>10664000000</v>
      </c>
      <c r="I1088">
        <v>1646000000</v>
      </c>
      <c r="J1088">
        <v>179000000</v>
      </c>
      <c r="K1088">
        <v>10852000000</v>
      </c>
      <c r="L1088">
        <v>8635000000</v>
      </c>
      <c r="M1088">
        <v>24240000000</v>
      </c>
      <c r="N1088">
        <v>0</v>
      </c>
      <c r="O1088">
        <v>1164000000</v>
      </c>
      <c r="P1088">
        <v>9828000000</v>
      </c>
      <c r="Q1088">
        <v>101680123520</v>
      </c>
      <c r="R1088">
        <v>102844123520</v>
      </c>
    </row>
    <row r="1089" spans="1:18" x14ac:dyDescent="0.25">
      <c r="A1089" s="1" t="s">
        <v>444</v>
      </c>
      <c r="B1089">
        <v>95180226400</v>
      </c>
      <c r="C1089" t="s">
        <v>73</v>
      </c>
      <c r="D1089" t="s">
        <v>105</v>
      </c>
      <c r="E1089">
        <v>4995000000</v>
      </c>
      <c r="F1089">
        <v>538000000</v>
      </c>
      <c r="G1089">
        <v>5533000000</v>
      </c>
      <c r="H1089">
        <v>10664000000</v>
      </c>
      <c r="I1089">
        <v>1646000000</v>
      </c>
      <c r="J1089">
        <v>179000000</v>
      </c>
      <c r="K1089">
        <v>10852000000</v>
      </c>
      <c r="L1089">
        <v>8635000000</v>
      </c>
      <c r="M1089">
        <v>24240000000</v>
      </c>
      <c r="N1089">
        <v>0</v>
      </c>
      <c r="O1089">
        <v>1164000000</v>
      </c>
      <c r="P1089">
        <v>9828000000</v>
      </c>
      <c r="Q1089">
        <v>100678226400</v>
      </c>
      <c r="R1089">
        <v>101842226400</v>
      </c>
    </row>
    <row r="1090" spans="1:18" x14ac:dyDescent="0.25">
      <c r="A1090" s="1" t="s">
        <v>443</v>
      </c>
      <c r="B1090">
        <v>93851179200</v>
      </c>
      <c r="C1090" t="s">
        <v>73</v>
      </c>
      <c r="D1090" t="s">
        <v>105</v>
      </c>
      <c r="E1090">
        <v>4995000000</v>
      </c>
      <c r="F1090">
        <v>538000000</v>
      </c>
      <c r="G1090">
        <v>5533000000</v>
      </c>
      <c r="H1090">
        <v>10664000000</v>
      </c>
      <c r="I1090">
        <v>1646000000</v>
      </c>
      <c r="J1090">
        <v>179000000</v>
      </c>
      <c r="K1090">
        <v>10852000000</v>
      </c>
      <c r="L1090">
        <v>8635000000</v>
      </c>
      <c r="M1090">
        <v>24240000000</v>
      </c>
      <c r="N1090">
        <v>0</v>
      </c>
      <c r="O1090">
        <v>1164000000</v>
      </c>
      <c r="P1090">
        <v>9828000000</v>
      </c>
      <c r="Q1090">
        <v>99349179200</v>
      </c>
      <c r="R1090">
        <v>100513179200</v>
      </c>
    </row>
    <row r="1091" spans="1:18" x14ac:dyDescent="0.25">
      <c r="A1091" s="1" t="s">
        <v>442</v>
      </c>
      <c r="B1091">
        <v>94607713760</v>
      </c>
      <c r="C1091" t="s">
        <v>73</v>
      </c>
      <c r="D1091" t="s">
        <v>105</v>
      </c>
      <c r="E1091">
        <v>4995000000</v>
      </c>
      <c r="F1091">
        <v>538000000</v>
      </c>
      <c r="G1091">
        <v>5533000000</v>
      </c>
      <c r="H1091">
        <v>10664000000</v>
      </c>
      <c r="I1091">
        <v>1646000000</v>
      </c>
      <c r="J1091">
        <v>179000000</v>
      </c>
      <c r="K1091">
        <v>10852000000</v>
      </c>
      <c r="L1091">
        <v>8635000000</v>
      </c>
      <c r="M1091">
        <v>24240000000</v>
      </c>
      <c r="N1091">
        <v>0</v>
      </c>
      <c r="O1091">
        <v>1164000000</v>
      </c>
      <c r="P1091">
        <v>9828000000</v>
      </c>
      <c r="Q1091">
        <v>100105713760</v>
      </c>
      <c r="R1091">
        <v>101269713760</v>
      </c>
    </row>
    <row r="1092" spans="1:18" x14ac:dyDescent="0.25">
      <c r="A1092" s="1" t="s">
        <v>441</v>
      </c>
      <c r="B1092">
        <v>96591061120</v>
      </c>
      <c r="C1092" t="s">
        <v>73</v>
      </c>
      <c r="D1092" t="s">
        <v>105</v>
      </c>
      <c r="E1092">
        <v>4995000000</v>
      </c>
      <c r="F1092">
        <v>538000000</v>
      </c>
      <c r="G1092">
        <v>5533000000</v>
      </c>
      <c r="H1092">
        <v>10664000000</v>
      </c>
      <c r="I1092">
        <v>1646000000</v>
      </c>
      <c r="J1092">
        <v>179000000</v>
      </c>
      <c r="K1092">
        <v>10852000000</v>
      </c>
      <c r="L1092">
        <v>8635000000</v>
      </c>
      <c r="M1092">
        <v>24240000000</v>
      </c>
      <c r="N1092">
        <v>0</v>
      </c>
      <c r="O1092">
        <v>1164000000</v>
      </c>
      <c r="P1092">
        <v>9828000000</v>
      </c>
      <c r="Q1092">
        <v>102089061120</v>
      </c>
      <c r="R1092">
        <v>103253061120</v>
      </c>
    </row>
    <row r="1093" spans="1:18" x14ac:dyDescent="0.25">
      <c r="A1093" s="1" t="s">
        <v>440</v>
      </c>
      <c r="B1093">
        <v>100067030720</v>
      </c>
      <c r="C1093" t="s">
        <v>73</v>
      </c>
      <c r="D1093" t="s">
        <v>105</v>
      </c>
      <c r="E1093">
        <v>4995000000</v>
      </c>
      <c r="F1093">
        <v>538000000</v>
      </c>
      <c r="G1093">
        <v>5533000000</v>
      </c>
      <c r="H1093">
        <v>10664000000</v>
      </c>
      <c r="I1093">
        <v>1646000000</v>
      </c>
      <c r="J1093">
        <v>179000000</v>
      </c>
      <c r="K1093">
        <v>10852000000</v>
      </c>
      <c r="L1093">
        <v>8635000000</v>
      </c>
      <c r="M1093">
        <v>24240000000</v>
      </c>
      <c r="N1093">
        <v>0</v>
      </c>
      <c r="O1093">
        <v>1164000000</v>
      </c>
      <c r="P1093">
        <v>9828000000</v>
      </c>
      <c r="Q1093">
        <v>105565030720</v>
      </c>
      <c r="R1093">
        <v>106729030720</v>
      </c>
    </row>
    <row r="1094" spans="1:18" x14ac:dyDescent="0.25">
      <c r="A1094" s="1" t="s">
        <v>439</v>
      </c>
      <c r="B1094">
        <v>97981448960</v>
      </c>
      <c r="C1094" t="s">
        <v>73</v>
      </c>
      <c r="D1094" t="s">
        <v>105</v>
      </c>
      <c r="E1094">
        <v>4995000000</v>
      </c>
      <c r="F1094">
        <v>538000000</v>
      </c>
      <c r="G1094">
        <v>5533000000</v>
      </c>
      <c r="H1094">
        <v>10664000000</v>
      </c>
      <c r="I1094">
        <v>1646000000</v>
      </c>
      <c r="J1094">
        <v>179000000</v>
      </c>
      <c r="K1094">
        <v>10852000000</v>
      </c>
      <c r="L1094">
        <v>8635000000</v>
      </c>
      <c r="M1094">
        <v>24240000000</v>
      </c>
      <c r="N1094">
        <v>0</v>
      </c>
      <c r="O1094">
        <v>1164000000</v>
      </c>
      <c r="P1094">
        <v>9828000000</v>
      </c>
      <c r="Q1094">
        <v>103479448960</v>
      </c>
      <c r="R1094">
        <v>104643448960</v>
      </c>
    </row>
    <row r="1095" spans="1:18" x14ac:dyDescent="0.25">
      <c r="A1095" s="1" t="s">
        <v>438</v>
      </c>
      <c r="B1095">
        <v>98472174080</v>
      </c>
      <c r="C1095" t="s">
        <v>73</v>
      </c>
      <c r="D1095" t="s">
        <v>105</v>
      </c>
      <c r="E1095">
        <v>4995000000</v>
      </c>
      <c r="F1095">
        <v>538000000</v>
      </c>
      <c r="G1095">
        <v>5533000000</v>
      </c>
      <c r="H1095">
        <v>10664000000</v>
      </c>
      <c r="I1095">
        <v>1646000000</v>
      </c>
      <c r="J1095">
        <v>179000000</v>
      </c>
      <c r="K1095">
        <v>10852000000</v>
      </c>
      <c r="L1095">
        <v>8635000000</v>
      </c>
      <c r="M1095">
        <v>24240000000</v>
      </c>
      <c r="N1095">
        <v>0</v>
      </c>
      <c r="O1095">
        <v>1164000000</v>
      </c>
      <c r="P1095">
        <v>9828000000</v>
      </c>
      <c r="Q1095">
        <v>103970174080</v>
      </c>
      <c r="R1095">
        <v>105134174080</v>
      </c>
    </row>
    <row r="1096" spans="1:18" x14ac:dyDescent="0.25">
      <c r="A1096" s="1" t="s">
        <v>437</v>
      </c>
      <c r="B1096">
        <v>98799324160</v>
      </c>
      <c r="C1096" t="s">
        <v>73</v>
      </c>
      <c r="D1096" t="s">
        <v>105</v>
      </c>
      <c r="E1096">
        <v>4995000000</v>
      </c>
      <c r="F1096">
        <v>538000000</v>
      </c>
      <c r="G1096">
        <v>5533000000</v>
      </c>
      <c r="H1096">
        <v>10664000000</v>
      </c>
      <c r="I1096">
        <v>1646000000</v>
      </c>
      <c r="J1096">
        <v>179000000</v>
      </c>
      <c r="K1096">
        <v>10852000000</v>
      </c>
      <c r="L1096">
        <v>8635000000</v>
      </c>
      <c r="M1096">
        <v>24240000000</v>
      </c>
      <c r="N1096">
        <v>0</v>
      </c>
      <c r="O1096">
        <v>1164000000</v>
      </c>
      <c r="P1096">
        <v>9828000000</v>
      </c>
      <c r="Q1096">
        <v>104297324160</v>
      </c>
      <c r="R1096">
        <v>105461324160</v>
      </c>
    </row>
    <row r="1097" spans="1:18" x14ac:dyDescent="0.25">
      <c r="A1097" s="1" t="s">
        <v>436</v>
      </c>
      <c r="B1097">
        <v>97163573760</v>
      </c>
      <c r="C1097" t="s">
        <v>73</v>
      </c>
      <c r="D1097" t="s">
        <v>105</v>
      </c>
      <c r="E1097">
        <v>4995000000</v>
      </c>
      <c r="F1097">
        <v>538000000</v>
      </c>
      <c r="G1097">
        <v>5533000000</v>
      </c>
      <c r="H1097">
        <v>10664000000</v>
      </c>
      <c r="I1097">
        <v>1646000000</v>
      </c>
      <c r="J1097">
        <v>179000000</v>
      </c>
      <c r="K1097">
        <v>10852000000</v>
      </c>
      <c r="L1097">
        <v>8635000000</v>
      </c>
      <c r="M1097">
        <v>24240000000</v>
      </c>
      <c r="N1097">
        <v>0</v>
      </c>
      <c r="O1097">
        <v>1164000000</v>
      </c>
      <c r="P1097">
        <v>9828000000</v>
      </c>
      <c r="Q1097">
        <v>102661573760</v>
      </c>
      <c r="R1097">
        <v>103825573760</v>
      </c>
    </row>
    <row r="1098" spans="1:18" x14ac:dyDescent="0.25">
      <c r="A1098" s="1" t="s">
        <v>435</v>
      </c>
      <c r="B1098">
        <v>95098438880</v>
      </c>
      <c r="C1098" t="s">
        <v>73</v>
      </c>
      <c r="D1098" t="s">
        <v>105</v>
      </c>
      <c r="E1098">
        <v>4995000000</v>
      </c>
      <c r="F1098">
        <v>538000000</v>
      </c>
      <c r="G1098">
        <v>5533000000</v>
      </c>
      <c r="H1098">
        <v>10664000000</v>
      </c>
      <c r="I1098">
        <v>1646000000</v>
      </c>
      <c r="J1098">
        <v>179000000</v>
      </c>
      <c r="K1098">
        <v>10852000000</v>
      </c>
      <c r="L1098">
        <v>8635000000</v>
      </c>
      <c r="M1098">
        <v>24240000000</v>
      </c>
      <c r="N1098">
        <v>0</v>
      </c>
      <c r="O1098">
        <v>1164000000</v>
      </c>
      <c r="P1098">
        <v>9828000000</v>
      </c>
      <c r="Q1098">
        <v>100596438880</v>
      </c>
      <c r="R1098">
        <v>101760438880</v>
      </c>
    </row>
    <row r="1099" spans="1:18" x14ac:dyDescent="0.25">
      <c r="A1099" s="1" t="s">
        <v>434</v>
      </c>
      <c r="B1099">
        <v>97306701920</v>
      </c>
      <c r="C1099" t="s">
        <v>73</v>
      </c>
      <c r="D1099" t="s">
        <v>105</v>
      </c>
      <c r="E1099">
        <v>4995000000</v>
      </c>
      <c r="F1099">
        <v>538000000</v>
      </c>
      <c r="G1099">
        <v>5533000000</v>
      </c>
      <c r="H1099">
        <v>10664000000</v>
      </c>
      <c r="I1099">
        <v>1646000000</v>
      </c>
      <c r="J1099">
        <v>179000000</v>
      </c>
      <c r="K1099">
        <v>10852000000</v>
      </c>
      <c r="L1099">
        <v>8635000000</v>
      </c>
      <c r="M1099">
        <v>24240000000</v>
      </c>
      <c r="N1099">
        <v>0</v>
      </c>
      <c r="O1099">
        <v>1164000000</v>
      </c>
      <c r="P1099">
        <v>9828000000</v>
      </c>
      <c r="Q1099">
        <v>102804701920</v>
      </c>
      <c r="R1099">
        <v>103968701920</v>
      </c>
    </row>
    <row r="1100" spans="1:18" x14ac:dyDescent="0.25">
      <c r="A1100" s="1" t="s">
        <v>433</v>
      </c>
      <c r="B1100">
        <v>95180226400</v>
      </c>
      <c r="C1100" t="s">
        <v>73</v>
      </c>
      <c r="D1100" t="s">
        <v>105</v>
      </c>
      <c r="E1100">
        <v>4995000000</v>
      </c>
      <c r="F1100">
        <v>538000000</v>
      </c>
      <c r="G1100">
        <v>5533000000</v>
      </c>
      <c r="H1100">
        <v>10664000000</v>
      </c>
      <c r="I1100">
        <v>1646000000</v>
      </c>
      <c r="J1100">
        <v>179000000</v>
      </c>
      <c r="K1100">
        <v>10852000000</v>
      </c>
      <c r="L1100">
        <v>8635000000</v>
      </c>
      <c r="M1100">
        <v>24240000000</v>
      </c>
      <c r="N1100">
        <v>0</v>
      </c>
      <c r="O1100">
        <v>1164000000</v>
      </c>
      <c r="P1100">
        <v>9828000000</v>
      </c>
      <c r="Q1100">
        <v>100678226400</v>
      </c>
      <c r="R1100">
        <v>101842226400</v>
      </c>
    </row>
    <row r="1101" spans="1:18" x14ac:dyDescent="0.25">
      <c r="A1101" s="1" t="s">
        <v>432</v>
      </c>
      <c r="B1101">
        <v>91193084800</v>
      </c>
      <c r="C1101" t="s">
        <v>73</v>
      </c>
      <c r="D1101" t="s">
        <v>105</v>
      </c>
      <c r="E1101">
        <v>4995000000</v>
      </c>
      <c r="F1101">
        <v>538000000</v>
      </c>
      <c r="G1101">
        <v>5533000000</v>
      </c>
      <c r="H1101">
        <v>10664000000</v>
      </c>
      <c r="I1101">
        <v>1646000000</v>
      </c>
      <c r="J1101">
        <v>179000000</v>
      </c>
      <c r="K1101">
        <v>10852000000</v>
      </c>
      <c r="L1101">
        <v>8635000000</v>
      </c>
      <c r="M1101">
        <v>24240000000</v>
      </c>
      <c r="N1101">
        <v>0</v>
      </c>
      <c r="O1101">
        <v>1164000000</v>
      </c>
      <c r="P1101">
        <v>9828000000</v>
      </c>
      <c r="Q1101">
        <v>96691084800</v>
      </c>
      <c r="R1101">
        <v>97855084800</v>
      </c>
    </row>
    <row r="1102" spans="1:18" x14ac:dyDescent="0.25">
      <c r="A1102" s="1" t="s">
        <v>431</v>
      </c>
      <c r="B1102">
        <v>90804594080</v>
      </c>
      <c r="C1102" t="s">
        <v>73</v>
      </c>
      <c r="D1102" t="s">
        <v>105</v>
      </c>
      <c r="E1102">
        <v>4995000000</v>
      </c>
      <c r="F1102">
        <v>538000000</v>
      </c>
      <c r="G1102">
        <v>5533000000</v>
      </c>
      <c r="H1102">
        <v>10664000000</v>
      </c>
      <c r="I1102">
        <v>1646000000</v>
      </c>
      <c r="J1102">
        <v>179000000</v>
      </c>
      <c r="K1102">
        <v>10852000000</v>
      </c>
      <c r="L1102">
        <v>8635000000</v>
      </c>
      <c r="M1102">
        <v>24240000000</v>
      </c>
      <c r="N1102">
        <v>0</v>
      </c>
      <c r="O1102">
        <v>1164000000</v>
      </c>
      <c r="P1102">
        <v>9828000000</v>
      </c>
      <c r="Q1102">
        <v>96302594080</v>
      </c>
      <c r="R1102">
        <v>97466594080</v>
      </c>
    </row>
    <row r="1103" spans="1:18" x14ac:dyDescent="0.25">
      <c r="A1103" s="1" t="s">
        <v>430</v>
      </c>
      <c r="B1103">
        <v>91826938080</v>
      </c>
      <c r="C1103" t="s">
        <v>73</v>
      </c>
      <c r="D1103" t="s">
        <v>105</v>
      </c>
      <c r="E1103">
        <v>4995000000</v>
      </c>
      <c r="F1103">
        <v>538000000</v>
      </c>
      <c r="G1103">
        <v>5533000000</v>
      </c>
      <c r="H1103">
        <v>10664000000</v>
      </c>
      <c r="I1103">
        <v>1646000000</v>
      </c>
      <c r="J1103">
        <v>179000000</v>
      </c>
      <c r="K1103">
        <v>10852000000</v>
      </c>
      <c r="L1103">
        <v>8635000000</v>
      </c>
      <c r="M1103">
        <v>24240000000</v>
      </c>
      <c r="N1103">
        <v>0</v>
      </c>
      <c r="O1103">
        <v>1164000000</v>
      </c>
      <c r="P1103">
        <v>9828000000</v>
      </c>
      <c r="Q1103">
        <v>97324938080</v>
      </c>
      <c r="R1103">
        <v>98488938080</v>
      </c>
    </row>
    <row r="1104" spans="1:18" x14ac:dyDescent="0.25">
      <c r="A1104" s="1" t="s">
        <v>429</v>
      </c>
      <c r="B1104">
        <v>90518337760</v>
      </c>
      <c r="C1104" t="s">
        <v>73</v>
      </c>
      <c r="D1104" t="s">
        <v>105</v>
      </c>
      <c r="E1104">
        <v>4995000000</v>
      </c>
      <c r="F1104">
        <v>538000000</v>
      </c>
      <c r="G1104">
        <v>5533000000</v>
      </c>
      <c r="H1104">
        <v>10664000000</v>
      </c>
      <c r="I1104">
        <v>1646000000</v>
      </c>
      <c r="J1104">
        <v>179000000</v>
      </c>
      <c r="K1104">
        <v>10852000000</v>
      </c>
      <c r="L1104">
        <v>8635000000</v>
      </c>
      <c r="M1104">
        <v>24240000000</v>
      </c>
      <c r="N1104">
        <v>0</v>
      </c>
      <c r="O1104">
        <v>1164000000</v>
      </c>
      <c r="P1104">
        <v>9828000000</v>
      </c>
      <c r="Q1104">
        <v>96016337760</v>
      </c>
      <c r="R1104">
        <v>97180337760</v>
      </c>
    </row>
    <row r="1105" spans="1:18" x14ac:dyDescent="0.25">
      <c r="A1105" s="1" t="s">
        <v>428</v>
      </c>
      <c r="B1105">
        <v>92297216320</v>
      </c>
      <c r="C1105" t="s">
        <v>73</v>
      </c>
      <c r="D1105" t="s">
        <v>105</v>
      </c>
      <c r="E1105">
        <v>4995000000</v>
      </c>
      <c r="F1105">
        <v>538000000</v>
      </c>
      <c r="G1105">
        <v>5533000000</v>
      </c>
      <c r="H1105">
        <v>10664000000</v>
      </c>
      <c r="I1105">
        <v>1646000000</v>
      </c>
      <c r="J1105">
        <v>179000000</v>
      </c>
      <c r="K1105">
        <v>10852000000</v>
      </c>
      <c r="L1105">
        <v>8635000000</v>
      </c>
      <c r="M1105">
        <v>24240000000</v>
      </c>
      <c r="N1105">
        <v>0</v>
      </c>
      <c r="O1105">
        <v>1164000000</v>
      </c>
      <c r="P1105">
        <v>9828000000</v>
      </c>
      <c r="Q1105">
        <v>97795216320</v>
      </c>
      <c r="R1105">
        <v>98959216320</v>
      </c>
    </row>
    <row r="1106" spans="1:18" x14ac:dyDescent="0.25">
      <c r="A1106" s="1" t="s">
        <v>427</v>
      </c>
      <c r="B1106">
        <v>94341904320</v>
      </c>
      <c r="C1106" t="s">
        <v>73</v>
      </c>
      <c r="D1106" t="s">
        <v>105</v>
      </c>
      <c r="E1106">
        <v>4995000000</v>
      </c>
      <c r="F1106">
        <v>538000000</v>
      </c>
      <c r="G1106">
        <v>5533000000</v>
      </c>
      <c r="H1106">
        <v>10664000000</v>
      </c>
      <c r="I1106">
        <v>1646000000</v>
      </c>
      <c r="J1106">
        <v>179000000</v>
      </c>
      <c r="K1106">
        <v>10852000000</v>
      </c>
      <c r="L1106">
        <v>8635000000</v>
      </c>
      <c r="M1106">
        <v>24240000000</v>
      </c>
      <c r="N1106">
        <v>0</v>
      </c>
      <c r="O1106">
        <v>1164000000</v>
      </c>
      <c r="P1106">
        <v>9828000000</v>
      </c>
      <c r="Q1106">
        <v>99839904320</v>
      </c>
      <c r="R1106">
        <v>101003904320</v>
      </c>
    </row>
    <row r="1107" spans="1:18" x14ac:dyDescent="0.25">
      <c r="A1107" s="1" t="s">
        <v>426</v>
      </c>
      <c r="B1107">
        <v>94035201120</v>
      </c>
      <c r="C1107" t="s">
        <v>73</v>
      </c>
      <c r="D1107" t="s">
        <v>105</v>
      </c>
      <c r="E1107">
        <v>4995000000</v>
      </c>
      <c r="F1107">
        <v>538000000</v>
      </c>
      <c r="G1107">
        <v>5533000000</v>
      </c>
      <c r="H1107">
        <v>10664000000</v>
      </c>
      <c r="I1107">
        <v>1646000000</v>
      </c>
      <c r="J1107">
        <v>179000000</v>
      </c>
      <c r="K1107">
        <v>10852000000</v>
      </c>
      <c r="L1107">
        <v>8635000000</v>
      </c>
      <c r="M1107">
        <v>24240000000</v>
      </c>
      <c r="N1107">
        <v>0</v>
      </c>
      <c r="O1107">
        <v>1164000000</v>
      </c>
      <c r="P1107">
        <v>9828000000</v>
      </c>
      <c r="Q1107">
        <v>99533201120</v>
      </c>
      <c r="R1107">
        <v>100697201120</v>
      </c>
    </row>
    <row r="1108" spans="1:18" x14ac:dyDescent="0.25">
      <c r="A1108" s="1" t="s">
        <v>425</v>
      </c>
      <c r="B1108">
        <v>94141226800</v>
      </c>
      <c r="C1108" t="s">
        <v>73</v>
      </c>
      <c r="D1108" t="s">
        <v>105</v>
      </c>
      <c r="E1108">
        <v>4995000000</v>
      </c>
      <c r="F1108">
        <v>538000000</v>
      </c>
      <c r="G1108">
        <v>5533000000</v>
      </c>
      <c r="H1108">
        <v>10664000000</v>
      </c>
      <c r="I1108">
        <v>1646000000</v>
      </c>
      <c r="J1108">
        <v>179000000</v>
      </c>
      <c r="K1108">
        <v>10852000000</v>
      </c>
      <c r="L1108">
        <v>8635000000</v>
      </c>
      <c r="M1108">
        <v>24240000000</v>
      </c>
      <c r="N1108">
        <v>0</v>
      </c>
      <c r="O1108">
        <v>1164000000</v>
      </c>
      <c r="P1108">
        <v>9828000000</v>
      </c>
      <c r="Q1108">
        <v>99639226800</v>
      </c>
      <c r="R1108">
        <v>100803226800</v>
      </c>
    </row>
    <row r="1109" spans="1:18" x14ac:dyDescent="0.25">
      <c r="A1109" s="1" t="s">
        <v>424</v>
      </c>
      <c r="B1109">
        <v>91729991350</v>
      </c>
      <c r="C1109" t="s">
        <v>73</v>
      </c>
      <c r="D1109" t="s">
        <v>105</v>
      </c>
      <c r="E1109">
        <v>4995000000</v>
      </c>
      <c r="F1109">
        <v>538000000</v>
      </c>
      <c r="G1109">
        <v>5533000000</v>
      </c>
      <c r="H1109">
        <v>10664000000</v>
      </c>
      <c r="I1109">
        <v>1646000000</v>
      </c>
      <c r="J1109">
        <v>179000000</v>
      </c>
      <c r="K1109">
        <v>10852000000</v>
      </c>
      <c r="L1109">
        <v>8635000000</v>
      </c>
      <c r="M1109">
        <v>24240000000</v>
      </c>
      <c r="N1109">
        <v>0</v>
      </c>
      <c r="O1109">
        <v>1164000000</v>
      </c>
      <c r="P1109">
        <v>9828000000</v>
      </c>
      <c r="Q1109">
        <v>97227991350</v>
      </c>
      <c r="R1109">
        <v>98391991350</v>
      </c>
    </row>
    <row r="1110" spans="1:18" x14ac:dyDescent="0.25">
      <c r="A1110" s="1" t="s">
        <v>423</v>
      </c>
      <c r="B1110">
        <v>92616171900</v>
      </c>
      <c r="C1110" t="s">
        <v>73</v>
      </c>
      <c r="D1110" t="s">
        <v>105</v>
      </c>
      <c r="E1110">
        <v>4995000000</v>
      </c>
      <c r="F1110">
        <v>538000000</v>
      </c>
      <c r="G1110">
        <v>5533000000</v>
      </c>
      <c r="H1110">
        <v>10664000000</v>
      </c>
      <c r="I1110">
        <v>1646000000</v>
      </c>
      <c r="J1110">
        <v>179000000</v>
      </c>
      <c r="K1110">
        <v>10852000000</v>
      </c>
      <c r="L1110">
        <v>8635000000</v>
      </c>
      <c r="M1110">
        <v>24240000000</v>
      </c>
      <c r="N1110">
        <v>0</v>
      </c>
      <c r="O1110">
        <v>1164000000</v>
      </c>
      <c r="P1110">
        <v>9828000000</v>
      </c>
      <c r="Q1110">
        <v>98114171900</v>
      </c>
      <c r="R1110">
        <v>99278171900</v>
      </c>
    </row>
    <row r="1111" spans="1:18" x14ac:dyDescent="0.25">
      <c r="A1111" s="1" t="s">
        <v>422</v>
      </c>
      <c r="B1111">
        <v>91936079850</v>
      </c>
      <c r="C1111" t="s">
        <v>73</v>
      </c>
      <c r="D1111" t="s">
        <v>105</v>
      </c>
      <c r="E1111">
        <v>4995000000</v>
      </c>
      <c r="F1111">
        <v>538000000</v>
      </c>
      <c r="G1111">
        <v>5533000000</v>
      </c>
      <c r="H1111">
        <v>10664000000</v>
      </c>
      <c r="I1111">
        <v>1646000000</v>
      </c>
      <c r="J1111">
        <v>179000000</v>
      </c>
      <c r="K1111">
        <v>10852000000</v>
      </c>
      <c r="L1111">
        <v>8635000000</v>
      </c>
      <c r="M1111">
        <v>24240000000</v>
      </c>
      <c r="N1111">
        <v>0</v>
      </c>
      <c r="O1111">
        <v>1164000000</v>
      </c>
      <c r="P1111">
        <v>9828000000</v>
      </c>
      <c r="Q1111">
        <v>97434079850</v>
      </c>
      <c r="R1111">
        <v>98598079850</v>
      </c>
    </row>
    <row r="1112" spans="1:18" x14ac:dyDescent="0.25">
      <c r="A1112" s="1" t="s">
        <v>421</v>
      </c>
      <c r="B1112">
        <v>94347315300</v>
      </c>
      <c r="C1112" t="s">
        <v>73</v>
      </c>
      <c r="D1112" t="s">
        <v>105</v>
      </c>
      <c r="E1112">
        <v>4995000000</v>
      </c>
      <c r="F1112">
        <v>538000000</v>
      </c>
      <c r="G1112">
        <v>5533000000</v>
      </c>
      <c r="H1112">
        <v>10664000000</v>
      </c>
      <c r="I1112">
        <v>1646000000</v>
      </c>
      <c r="J1112">
        <v>179000000</v>
      </c>
      <c r="K1112">
        <v>10852000000</v>
      </c>
      <c r="L1112">
        <v>8635000000</v>
      </c>
      <c r="M1112">
        <v>24240000000</v>
      </c>
      <c r="N1112">
        <v>0</v>
      </c>
      <c r="O1112">
        <v>1164000000</v>
      </c>
      <c r="P1112">
        <v>9828000000</v>
      </c>
      <c r="Q1112">
        <v>99845315300</v>
      </c>
      <c r="R1112">
        <v>101009315300</v>
      </c>
    </row>
    <row r="1113" spans="1:18" x14ac:dyDescent="0.25">
      <c r="A1113" s="1" t="s">
        <v>420</v>
      </c>
      <c r="B1113">
        <v>93667223250</v>
      </c>
      <c r="C1113" t="s">
        <v>73</v>
      </c>
      <c r="D1113" t="s">
        <v>105</v>
      </c>
      <c r="E1113">
        <v>4995000000</v>
      </c>
      <c r="F1113">
        <v>538000000</v>
      </c>
      <c r="G1113">
        <v>5533000000</v>
      </c>
      <c r="H1113">
        <v>10664000000</v>
      </c>
      <c r="I1113">
        <v>1646000000</v>
      </c>
      <c r="J1113">
        <v>179000000</v>
      </c>
      <c r="K1113">
        <v>10852000000</v>
      </c>
      <c r="L1113">
        <v>8635000000</v>
      </c>
      <c r="M1113">
        <v>24240000000</v>
      </c>
      <c r="N1113">
        <v>0</v>
      </c>
      <c r="O1113">
        <v>1164000000</v>
      </c>
      <c r="P1113">
        <v>9828000000</v>
      </c>
      <c r="Q1113">
        <v>99165223250</v>
      </c>
      <c r="R1113">
        <v>100329223250</v>
      </c>
    </row>
    <row r="1114" spans="1:18" x14ac:dyDescent="0.25">
      <c r="A1114" s="1" t="s">
        <v>419</v>
      </c>
      <c r="B1114">
        <v>96099067550</v>
      </c>
      <c r="C1114" t="s">
        <v>73</v>
      </c>
      <c r="D1114" t="s">
        <v>105</v>
      </c>
      <c r="E1114">
        <v>4995000000</v>
      </c>
      <c r="F1114">
        <v>538000000</v>
      </c>
      <c r="G1114">
        <v>5533000000</v>
      </c>
      <c r="H1114">
        <v>10664000000</v>
      </c>
      <c r="I1114">
        <v>1646000000</v>
      </c>
      <c r="J1114">
        <v>179000000</v>
      </c>
      <c r="K1114">
        <v>10852000000</v>
      </c>
      <c r="L1114">
        <v>8635000000</v>
      </c>
      <c r="M1114">
        <v>24240000000</v>
      </c>
      <c r="N1114">
        <v>0</v>
      </c>
      <c r="O1114">
        <v>1164000000</v>
      </c>
      <c r="P1114">
        <v>9828000000</v>
      </c>
      <c r="Q1114">
        <v>101597067550</v>
      </c>
      <c r="R1114">
        <v>102761067550</v>
      </c>
    </row>
    <row r="1115" spans="1:18" x14ac:dyDescent="0.25">
      <c r="A1115" s="1" t="s">
        <v>418</v>
      </c>
      <c r="B1115">
        <v>96119676400</v>
      </c>
      <c r="C1115" t="s">
        <v>73</v>
      </c>
      <c r="D1115" t="s">
        <v>105</v>
      </c>
      <c r="E1115">
        <v>4995000000</v>
      </c>
      <c r="F1115">
        <v>538000000</v>
      </c>
      <c r="G1115">
        <v>5533000000</v>
      </c>
      <c r="H1115">
        <v>10664000000</v>
      </c>
      <c r="I1115">
        <v>1646000000</v>
      </c>
      <c r="J1115">
        <v>179000000</v>
      </c>
      <c r="K1115">
        <v>10852000000</v>
      </c>
      <c r="L1115">
        <v>8635000000</v>
      </c>
      <c r="M1115">
        <v>24240000000</v>
      </c>
      <c r="N1115">
        <v>0</v>
      </c>
      <c r="O1115">
        <v>1164000000</v>
      </c>
      <c r="P1115">
        <v>9828000000</v>
      </c>
      <c r="Q1115">
        <v>101617676400</v>
      </c>
      <c r="R1115">
        <v>102781676400</v>
      </c>
    </row>
    <row r="1116" spans="1:18" x14ac:dyDescent="0.25">
      <c r="A1116" s="1" t="s">
        <v>417</v>
      </c>
      <c r="B1116">
        <v>94697665750</v>
      </c>
      <c r="C1116" t="s">
        <v>73</v>
      </c>
      <c r="D1116" t="s">
        <v>105</v>
      </c>
      <c r="E1116">
        <v>4995000000</v>
      </c>
      <c r="F1116">
        <v>538000000</v>
      </c>
      <c r="G1116">
        <v>5533000000</v>
      </c>
      <c r="H1116">
        <v>10664000000</v>
      </c>
      <c r="I1116">
        <v>1646000000</v>
      </c>
      <c r="J1116">
        <v>179000000</v>
      </c>
      <c r="K1116">
        <v>10852000000</v>
      </c>
      <c r="L1116">
        <v>8635000000</v>
      </c>
      <c r="M1116">
        <v>24240000000</v>
      </c>
      <c r="N1116">
        <v>0</v>
      </c>
      <c r="O1116">
        <v>1164000000</v>
      </c>
      <c r="P1116">
        <v>9828000000</v>
      </c>
      <c r="Q1116">
        <v>100195665750</v>
      </c>
      <c r="R1116">
        <v>101359665750</v>
      </c>
    </row>
    <row r="1117" spans="1:18" x14ac:dyDescent="0.25">
      <c r="A1117" s="1" t="s">
        <v>416</v>
      </c>
      <c r="B1117">
        <v>89607279800</v>
      </c>
      <c r="C1117" t="s">
        <v>73</v>
      </c>
      <c r="D1117" t="s">
        <v>105</v>
      </c>
      <c r="E1117">
        <v>4995000000</v>
      </c>
      <c r="F1117">
        <v>538000000</v>
      </c>
      <c r="G1117">
        <v>5533000000</v>
      </c>
      <c r="H1117">
        <v>10664000000</v>
      </c>
      <c r="I1117">
        <v>1646000000</v>
      </c>
      <c r="J1117">
        <v>179000000</v>
      </c>
      <c r="K1117">
        <v>10852000000</v>
      </c>
      <c r="L1117">
        <v>8635000000</v>
      </c>
      <c r="M1117">
        <v>24240000000</v>
      </c>
      <c r="N1117">
        <v>0</v>
      </c>
      <c r="O1117">
        <v>1164000000</v>
      </c>
      <c r="P1117">
        <v>9828000000</v>
      </c>
      <c r="Q1117">
        <v>95105279800</v>
      </c>
      <c r="R1117">
        <v>96269279800</v>
      </c>
    </row>
    <row r="1118" spans="1:18" x14ac:dyDescent="0.25">
      <c r="A1118" s="1" t="s">
        <v>415</v>
      </c>
      <c r="B1118">
        <v>92142168350</v>
      </c>
      <c r="C1118" t="s">
        <v>73</v>
      </c>
      <c r="D1118" t="s">
        <v>105</v>
      </c>
      <c r="E1118">
        <v>4995000000</v>
      </c>
      <c r="F1118">
        <v>538000000</v>
      </c>
      <c r="G1118">
        <v>5533000000</v>
      </c>
      <c r="H1118">
        <v>10664000000</v>
      </c>
      <c r="I1118">
        <v>1646000000</v>
      </c>
      <c r="J1118">
        <v>179000000</v>
      </c>
      <c r="K1118">
        <v>10852000000</v>
      </c>
      <c r="L1118">
        <v>8635000000</v>
      </c>
      <c r="M1118">
        <v>24240000000</v>
      </c>
      <c r="N1118">
        <v>0</v>
      </c>
      <c r="O1118">
        <v>1164000000</v>
      </c>
      <c r="P1118">
        <v>9828000000</v>
      </c>
      <c r="Q1118">
        <v>97640168350</v>
      </c>
      <c r="R1118">
        <v>98804168350</v>
      </c>
    </row>
    <row r="1119" spans="1:18" x14ac:dyDescent="0.25">
      <c r="A1119" s="1" t="s">
        <v>414</v>
      </c>
      <c r="B1119">
        <v>91462076300</v>
      </c>
      <c r="C1119" t="s">
        <v>73</v>
      </c>
      <c r="D1119" t="s">
        <v>105</v>
      </c>
      <c r="E1119">
        <v>4995000000</v>
      </c>
      <c r="F1119">
        <v>538000000</v>
      </c>
      <c r="G1119">
        <v>5533000000</v>
      </c>
      <c r="H1119">
        <v>10664000000</v>
      </c>
      <c r="I1119">
        <v>1646000000</v>
      </c>
      <c r="J1119">
        <v>179000000</v>
      </c>
      <c r="K1119">
        <v>10852000000</v>
      </c>
      <c r="L1119">
        <v>8635000000</v>
      </c>
      <c r="M1119">
        <v>24240000000</v>
      </c>
      <c r="N1119">
        <v>0</v>
      </c>
      <c r="O1119">
        <v>1164000000</v>
      </c>
      <c r="P1119">
        <v>9828000000</v>
      </c>
      <c r="Q1119">
        <v>96960076300</v>
      </c>
      <c r="R1119">
        <v>98124076300</v>
      </c>
    </row>
    <row r="1120" spans="1:18" x14ac:dyDescent="0.25">
      <c r="A1120" s="1" t="s">
        <v>413</v>
      </c>
      <c r="B1120">
        <v>88618055000</v>
      </c>
      <c r="C1120" t="s">
        <v>73</v>
      </c>
      <c r="D1120" t="s">
        <v>105</v>
      </c>
      <c r="E1120">
        <v>4995000000</v>
      </c>
      <c r="F1120">
        <v>538000000</v>
      </c>
      <c r="G1120">
        <v>5533000000</v>
      </c>
      <c r="H1120">
        <v>10664000000</v>
      </c>
      <c r="I1120">
        <v>1646000000</v>
      </c>
      <c r="J1120">
        <v>179000000</v>
      </c>
      <c r="K1120">
        <v>10852000000</v>
      </c>
      <c r="L1120">
        <v>8635000000</v>
      </c>
      <c r="M1120">
        <v>24240000000</v>
      </c>
      <c r="N1120">
        <v>0</v>
      </c>
      <c r="O1120">
        <v>1164000000</v>
      </c>
      <c r="P1120">
        <v>9828000000</v>
      </c>
      <c r="Q1120">
        <v>94116055000</v>
      </c>
      <c r="R1120">
        <v>95280055000</v>
      </c>
    </row>
    <row r="1121" spans="1:18" x14ac:dyDescent="0.25">
      <c r="A1121" s="1" t="s">
        <v>412</v>
      </c>
      <c r="B1121">
        <v>88041007200</v>
      </c>
      <c r="C1121" t="s">
        <v>73</v>
      </c>
      <c r="D1121" t="s">
        <v>105</v>
      </c>
      <c r="E1121">
        <v>4995000000</v>
      </c>
      <c r="F1121">
        <v>538000000</v>
      </c>
      <c r="G1121">
        <v>5533000000</v>
      </c>
      <c r="H1121">
        <v>10664000000</v>
      </c>
      <c r="I1121">
        <v>1646000000</v>
      </c>
      <c r="J1121">
        <v>179000000</v>
      </c>
      <c r="K1121">
        <v>10852000000</v>
      </c>
      <c r="L1121">
        <v>8635000000</v>
      </c>
      <c r="M1121">
        <v>24240000000</v>
      </c>
      <c r="N1121">
        <v>0</v>
      </c>
      <c r="O1121">
        <v>1164000000</v>
      </c>
      <c r="P1121">
        <v>9828000000</v>
      </c>
      <c r="Q1121">
        <v>93539007200</v>
      </c>
      <c r="R1121">
        <v>94703007200</v>
      </c>
    </row>
    <row r="1122" spans="1:18" x14ac:dyDescent="0.25">
      <c r="A1122" s="1" t="s">
        <v>411</v>
      </c>
      <c r="B1122">
        <v>88535619600</v>
      </c>
      <c r="C1122" t="s">
        <v>73</v>
      </c>
      <c r="D1122" t="s">
        <v>105</v>
      </c>
      <c r="E1122">
        <v>4995000000</v>
      </c>
      <c r="F1122">
        <v>538000000</v>
      </c>
      <c r="G1122">
        <v>5533000000</v>
      </c>
      <c r="H1122">
        <v>10664000000</v>
      </c>
      <c r="I1122">
        <v>1646000000</v>
      </c>
      <c r="J1122">
        <v>179000000</v>
      </c>
      <c r="K1122">
        <v>10852000000</v>
      </c>
      <c r="L1122">
        <v>8635000000</v>
      </c>
      <c r="M1122">
        <v>24240000000</v>
      </c>
      <c r="N1122">
        <v>0</v>
      </c>
      <c r="O1122">
        <v>1164000000</v>
      </c>
      <c r="P1122">
        <v>9828000000</v>
      </c>
      <c r="Q1122">
        <v>94033619600</v>
      </c>
      <c r="R1122">
        <v>95197619600</v>
      </c>
    </row>
    <row r="1123" spans="1:18" x14ac:dyDescent="0.25">
      <c r="A1123" s="1" t="s">
        <v>410</v>
      </c>
      <c r="B1123">
        <v>88700490400</v>
      </c>
      <c r="C1123" t="s">
        <v>73</v>
      </c>
      <c r="D1123" t="s">
        <v>105</v>
      </c>
      <c r="E1123">
        <v>4995000000</v>
      </c>
      <c r="F1123">
        <v>538000000</v>
      </c>
      <c r="G1123">
        <v>5533000000</v>
      </c>
      <c r="H1123">
        <v>10664000000</v>
      </c>
      <c r="I1123">
        <v>1646000000</v>
      </c>
      <c r="J1123">
        <v>179000000</v>
      </c>
      <c r="K1123">
        <v>10852000000</v>
      </c>
      <c r="L1123">
        <v>8635000000</v>
      </c>
      <c r="M1123">
        <v>24240000000</v>
      </c>
      <c r="N1123">
        <v>0</v>
      </c>
      <c r="O1123">
        <v>1164000000</v>
      </c>
      <c r="P1123">
        <v>9828000000</v>
      </c>
      <c r="Q1123">
        <v>94198490400</v>
      </c>
      <c r="R1123">
        <v>95362490400</v>
      </c>
    </row>
    <row r="1124" spans="1:18" x14ac:dyDescent="0.25">
      <c r="A1124" s="1" t="s">
        <v>409</v>
      </c>
      <c r="B1124">
        <v>91070508150</v>
      </c>
      <c r="C1124" t="s">
        <v>73</v>
      </c>
      <c r="D1124" t="s">
        <v>105</v>
      </c>
      <c r="E1124">
        <v>4995000000</v>
      </c>
      <c r="F1124">
        <v>538000000</v>
      </c>
      <c r="G1124">
        <v>5533000000</v>
      </c>
      <c r="H1124">
        <v>10664000000</v>
      </c>
      <c r="I1124">
        <v>1646000000</v>
      </c>
      <c r="J1124">
        <v>179000000</v>
      </c>
      <c r="K1124">
        <v>10852000000</v>
      </c>
      <c r="L1124">
        <v>8635000000</v>
      </c>
      <c r="M1124">
        <v>24240000000</v>
      </c>
      <c r="N1124">
        <v>0</v>
      </c>
      <c r="O1124">
        <v>1164000000</v>
      </c>
      <c r="P1124">
        <v>9828000000</v>
      </c>
      <c r="Q1124">
        <v>96568508150</v>
      </c>
      <c r="R1124">
        <v>97732508150</v>
      </c>
    </row>
    <row r="1125" spans="1:18" x14ac:dyDescent="0.25">
      <c r="A1125" s="1" t="s">
        <v>408</v>
      </c>
      <c r="B1125">
        <v>87278479750</v>
      </c>
      <c r="C1125" t="s">
        <v>73</v>
      </c>
      <c r="D1125" t="s">
        <v>105</v>
      </c>
      <c r="E1125">
        <v>4995000000</v>
      </c>
      <c r="F1125">
        <v>538000000</v>
      </c>
      <c r="G1125">
        <v>5533000000</v>
      </c>
      <c r="H1125">
        <v>10664000000</v>
      </c>
      <c r="I1125">
        <v>1646000000</v>
      </c>
      <c r="J1125">
        <v>179000000</v>
      </c>
      <c r="K1125">
        <v>10852000000</v>
      </c>
      <c r="L1125">
        <v>8635000000</v>
      </c>
      <c r="M1125">
        <v>24240000000</v>
      </c>
      <c r="N1125">
        <v>0</v>
      </c>
      <c r="O1125">
        <v>1164000000</v>
      </c>
      <c r="P1125">
        <v>9828000000</v>
      </c>
      <c r="Q1125">
        <v>92776479750</v>
      </c>
      <c r="R1125">
        <v>93940479750</v>
      </c>
    </row>
    <row r="1126" spans="1:18" x14ac:dyDescent="0.25">
      <c r="A1126" s="1" t="s">
        <v>407</v>
      </c>
      <c r="B1126">
        <v>83713148700</v>
      </c>
      <c r="C1126" t="s">
        <v>73</v>
      </c>
      <c r="D1126" t="s">
        <v>105</v>
      </c>
      <c r="E1126">
        <v>4995000000</v>
      </c>
      <c r="F1126">
        <v>538000000</v>
      </c>
      <c r="G1126">
        <v>5533000000</v>
      </c>
      <c r="H1126">
        <v>10664000000</v>
      </c>
      <c r="I1126">
        <v>1646000000</v>
      </c>
      <c r="J1126">
        <v>179000000</v>
      </c>
      <c r="K1126">
        <v>10852000000</v>
      </c>
      <c r="L1126">
        <v>8635000000</v>
      </c>
      <c r="M1126">
        <v>24240000000</v>
      </c>
      <c r="N1126">
        <v>0</v>
      </c>
      <c r="O1126">
        <v>1164000000</v>
      </c>
      <c r="P1126">
        <v>9828000000</v>
      </c>
      <c r="Q1126">
        <v>89211148700</v>
      </c>
      <c r="R1126">
        <v>90375148700</v>
      </c>
    </row>
    <row r="1127" spans="1:18" x14ac:dyDescent="0.25">
      <c r="A1127" s="1" t="s">
        <v>406</v>
      </c>
      <c r="B1127">
        <v>84970288550</v>
      </c>
      <c r="C1127" t="s">
        <v>73</v>
      </c>
      <c r="D1127" t="s">
        <v>105</v>
      </c>
      <c r="E1127">
        <v>4995000000</v>
      </c>
      <c r="F1127">
        <v>538000000</v>
      </c>
      <c r="G1127">
        <v>5533000000</v>
      </c>
      <c r="H1127">
        <v>10664000000</v>
      </c>
      <c r="I1127">
        <v>1646000000</v>
      </c>
      <c r="J1127">
        <v>179000000</v>
      </c>
      <c r="K1127">
        <v>10852000000</v>
      </c>
      <c r="L1127">
        <v>8635000000</v>
      </c>
      <c r="M1127">
        <v>24240000000</v>
      </c>
      <c r="N1127">
        <v>0</v>
      </c>
      <c r="O1127">
        <v>1164000000</v>
      </c>
      <c r="P1127">
        <v>9828000000</v>
      </c>
      <c r="Q1127">
        <v>90468288550</v>
      </c>
      <c r="R1127">
        <v>91632288550</v>
      </c>
    </row>
    <row r="1128" spans="1:18" x14ac:dyDescent="0.25">
      <c r="A1128" s="1" t="s">
        <v>405</v>
      </c>
      <c r="B1128">
        <v>88061616050</v>
      </c>
      <c r="C1128" t="s">
        <v>73</v>
      </c>
      <c r="D1128" t="s">
        <v>105</v>
      </c>
      <c r="E1128">
        <v>4995000000</v>
      </c>
      <c r="F1128">
        <v>538000000</v>
      </c>
      <c r="G1128">
        <v>5533000000</v>
      </c>
      <c r="H1128">
        <v>10664000000</v>
      </c>
      <c r="I1128">
        <v>1646000000</v>
      </c>
      <c r="J1128">
        <v>179000000</v>
      </c>
      <c r="K1128">
        <v>10852000000</v>
      </c>
      <c r="L1128">
        <v>8635000000</v>
      </c>
      <c r="M1128">
        <v>24240000000</v>
      </c>
      <c r="N1128">
        <v>0</v>
      </c>
      <c r="O1128">
        <v>1164000000</v>
      </c>
      <c r="P1128">
        <v>9828000000</v>
      </c>
      <c r="Q1128">
        <v>93559616050</v>
      </c>
      <c r="R1128">
        <v>94723616050</v>
      </c>
    </row>
    <row r="1129" spans="1:18" x14ac:dyDescent="0.25">
      <c r="A1129" s="1" t="s">
        <v>404</v>
      </c>
      <c r="B1129">
        <v>89195102800</v>
      </c>
      <c r="C1129" t="s">
        <v>73</v>
      </c>
      <c r="D1129" t="s">
        <v>105</v>
      </c>
      <c r="E1129">
        <v>4995000000</v>
      </c>
      <c r="F1129">
        <v>538000000</v>
      </c>
      <c r="G1129">
        <v>5533000000</v>
      </c>
      <c r="H1129">
        <v>10664000000</v>
      </c>
      <c r="I1129">
        <v>1646000000</v>
      </c>
      <c r="J1129">
        <v>179000000</v>
      </c>
      <c r="K1129">
        <v>10852000000</v>
      </c>
      <c r="L1129">
        <v>8635000000</v>
      </c>
      <c r="M1129">
        <v>24240000000</v>
      </c>
      <c r="N1129">
        <v>0</v>
      </c>
      <c r="O1129">
        <v>1164000000</v>
      </c>
      <c r="P1129">
        <v>9828000000</v>
      </c>
      <c r="Q1129">
        <v>94693102800</v>
      </c>
      <c r="R1129">
        <v>95857102800</v>
      </c>
    </row>
    <row r="1130" spans="1:18" x14ac:dyDescent="0.25">
      <c r="A1130" s="1" t="s">
        <v>403</v>
      </c>
      <c r="B1130">
        <v>90328589550</v>
      </c>
      <c r="C1130" t="s">
        <v>73</v>
      </c>
      <c r="D1130" t="s">
        <v>105</v>
      </c>
      <c r="E1130">
        <v>4995000000</v>
      </c>
      <c r="F1130">
        <v>538000000</v>
      </c>
      <c r="G1130">
        <v>5533000000</v>
      </c>
      <c r="H1130">
        <v>10664000000</v>
      </c>
      <c r="I1130">
        <v>1646000000</v>
      </c>
      <c r="J1130">
        <v>179000000</v>
      </c>
      <c r="K1130">
        <v>10852000000</v>
      </c>
      <c r="L1130">
        <v>8635000000</v>
      </c>
      <c r="M1130">
        <v>24240000000</v>
      </c>
      <c r="N1130">
        <v>0</v>
      </c>
      <c r="O1130">
        <v>1164000000</v>
      </c>
      <c r="P1130">
        <v>9828000000</v>
      </c>
      <c r="Q1130">
        <v>95826589550</v>
      </c>
      <c r="R1130">
        <v>96990589550</v>
      </c>
    </row>
    <row r="1131" spans="1:18" x14ac:dyDescent="0.25">
      <c r="A1131" s="1" t="s">
        <v>402</v>
      </c>
      <c r="B1131">
        <v>95789934800</v>
      </c>
      <c r="C1131" t="s">
        <v>73</v>
      </c>
      <c r="D1131" t="s">
        <v>105</v>
      </c>
      <c r="E1131">
        <v>4995000000</v>
      </c>
      <c r="F1131">
        <v>538000000</v>
      </c>
      <c r="G1131">
        <v>5533000000</v>
      </c>
      <c r="H1131">
        <v>10664000000</v>
      </c>
      <c r="I1131">
        <v>1646000000</v>
      </c>
      <c r="J1131">
        <v>179000000</v>
      </c>
      <c r="K1131">
        <v>10852000000</v>
      </c>
      <c r="L1131">
        <v>8635000000</v>
      </c>
      <c r="M1131">
        <v>24240000000</v>
      </c>
      <c r="N1131">
        <v>0</v>
      </c>
      <c r="O1131">
        <v>1164000000</v>
      </c>
      <c r="P1131">
        <v>9828000000</v>
      </c>
      <c r="Q1131">
        <v>101287934800</v>
      </c>
      <c r="R1131">
        <v>102451934800</v>
      </c>
    </row>
    <row r="1132" spans="1:18" x14ac:dyDescent="0.25">
      <c r="A1132" s="1" t="s">
        <v>401</v>
      </c>
      <c r="B1132">
        <v>98407258750</v>
      </c>
      <c r="C1132" t="s">
        <v>73</v>
      </c>
      <c r="D1132" t="s">
        <v>105</v>
      </c>
      <c r="E1132">
        <v>4995000000</v>
      </c>
      <c r="F1132">
        <v>538000000</v>
      </c>
      <c r="G1132">
        <v>5533000000</v>
      </c>
      <c r="H1132">
        <v>10664000000</v>
      </c>
      <c r="I1132">
        <v>1646000000</v>
      </c>
      <c r="J1132">
        <v>179000000</v>
      </c>
      <c r="K1132">
        <v>10852000000</v>
      </c>
      <c r="L1132">
        <v>8635000000</v>
      </c>
      <c r="M1132">
        <v>24240000000</v>
      </c>
      <c r="N1132">
        <v>0</v>
      </c>
      <c r="O1132">
        <v>1164000000</v>
      </c>
      <c r="P1132">
        <v>9828000000</v>
      </c>
      <c r="Q1132">
        <v>103905258750</v>
      </c>
      <c r="R1132">
        <v>105069258750</v>
      </c>
    </row>
    <row r="1133" spans="1:18" x14ac:dyDescent="0.25">
      <c r="A1133" s="1" t="s">
        <v>400</v>
      </c>
      <c r="B1133">
        <v>99211003900</v>
      </c>
      <c r="C1133" t="s">
        <v>73</v>
      </c>
      <c r="D1133" t="s">
        <v>105</v>
      </c>
      <c r="E1133">
        <v>4995000000</v>
      </c>
      <c r="F1133">
        <v>538000000</v>
      </c>
      <c r="G1133">
        <v>5533000000</v>
      </c>
      <c r="H1133">
        <v>10664000000</v>
      </c>
      <c r="I1133">
        <v>1646000000</v>
      </c>
      <c r="J1133">
        <v>179000000</v>
      </c>
      <c r="K1133">
        <v>10852000000</v>
      </c>
      <c r="L1133">
        <v>8635000000</v>
      </c>
      <c r="M1133">
        <v>24240000000</v>
      </c>
      <c r="N1133">
        <v>0</v>
      </c>
      <c r="O1133">
        <v>1164000000</v>
      </c>
      <c r="P1133">
        <v>9828000000</v>
      </c>
      <c r="Q1133">
        <v>104709003900</v>
      </c>
      <c r="R1133">
        <v>105873003900</v>
      </c>
    </row>
    <row r="1134" spans="1:18" x14ac:dyDescent="0.25">
      <c r="A1134" s="1" t="s">
        <v>119</v>
      </c>
      <c r="B1134">
        <v>102879379200</v>
      </c>
      <c r="C1134" t="s">
        <v>72</v>
      </c>
      <c r="D1134" t="s">
        <v>105</v>
      </c>
      <c r="E1134">
        <v>4448000000</v>
      </c>
      <c r="F1134">
        <v>725000000</v>
      </c>
      <c r="G1134">
        <v>5173000000</v>
      </c>
      <c r="H1134">
        <v>10679000000</v>
      </c>
      <c r="I1134">
        <v>1673000000</v>
      </c>
      <c r="J1134">
        <v>174000000</v>
      </c>
      <c r="K1134">
        <v>10817000000</v>
      </c>
      <c r="L1134">
        <v>9405000000</v>
      </c>
      <c r="M1134">
        <v>25430000000</v>
      </c>
      <c r="N1134">
        <v>0</v>
      </c>
      <c r="O1134">
        <v>1161000000</v>
      </c>
      <c r="P1134">
        <v>10519000000</v>
      </c>
      <c r="Q1134">
        <v>108697379200</v>
      </c>
      <c r="R1134">
        <v>109858379200</v>
      </c>
    </row>
    <row r="1135" spans="1:18" x14ac:dyDescent="0.25">
      <c r="A1135" s="1" t="s">
        <v>399</v>
      </c>
      <c r="B1135">
        <v>102013807500</v>
      </c>
      <c r="C1135" t="s">
        <v>72</v>
      </c>
      <c r="D1135" t="s">
        <v>105</v>
      </c>
      <c r="E1135">
        <v>4448000000</v>
      </c>
      <c r="F1135">
        <v>725000000</v>
      </c>
      <c r="G1135">
        <v>5173000000</v>
      </c>
      <c r="H1135">
        <v>10679000000</v>
      </c>
      <c r="I1135">
        <v>1673000000</v>
      </c>
      <c r="J1135">
        <v>174000000</v>
      </c>
      <c r="K1135">
        <v>10817000000</v>
      </c>
      <c r="L1135">
        <v>9405000000</v>
      </c>
      <c r="M1135">
        <v>25430000000</v>
      </c>
      <c r="N1135">
        <v>0</v>
      </c>
      <c r="O1135">
        <v>1161000000</v>
      </c>
      <c r="P1135">
        <v>10519000000</v>
      </c>
      <c r="Q1135">
        <v>107831807500</v>
      </c>
      <c r="R1135">
        <v>108992807500</v>
      </c>
    </row>
    <row r="1136" spans="1:18" x14ac:dyDescent="0.25">
      <c r="A1136" s="1" t="s">
        <v>398</v>
      </c>
      <c r="B1136">
        <v>103147294250</v>
      </c>
      <c r="C1136" t="s">
        <v>72</v>
      </c>
      <c r="D1136" t="s">
        <v>105</v>
      </c>
      <c r="E1136">
        <v>4448000000</v>
      </c>
      <c r="F1136">
        <v>725000000</v>
      </c>
      <c r="G1136">
        <v>5173000000</v>
      </c>
      <c r="H1136">
        <v>10679000000</v>
      </c>
      <c r="I1136">
        <v>1673000000</v>
      </c>
      <c r="J1136">
        <v>174000000</v>
      </c>
      <c r="K1136">
        <v>10817000000</v>
      </c>
      <c r="L1136">
        <v>9405000000</v>
      </c>
      <c r="M1136">
        <v>25430000000</v>
      </c>
      <c r="N1136">
        <v>0</v>
      </c>
      <c r="O1136">
        <v>1161000000</v>
      </c>
      <c r="P1136">
        <v>10519000000</v>
      </c>
      <c r="Q1136">
        <v>108965294250</v>
      </c>
      <c r="R1136">
        <v>110126294250</v>
      </c>
    </row>
    <row r="1137" spans="1:18" x14ac:dyDescent="0.25">
      <c r="A1137" s="1" t="s">
        <v>397</v>
      </c>
      <c r="B1137">
        <v>106300448300</v>
      </c>
      <c r="C1137" t="s">
        <v>72</v>
      </c>
      <c r="D1137" t="s">
        <v>105</v>
      </c>
      <c r="E1137">
        <v>4448000000</v>
      </c>
      <c r="F1137">
        <v>725000000</v>
      </c>
      <c r="G1137">
        <v>5173000000</v>
      </c>
      <c r="H1137">
        <v>10679000000</v>
      </c>
      <c r="I1137">
        <v>1673000000</v>
      </c>
      <c r="J1137">
        <v>174000000</v>
      </c>
      <c r="K1137">
        <v>10817000000</v>
      </c>
      <c r="L1137">
        <v>9405000000</v>
      </c>
      <c r="M1137">
        <v>25430000000</v>
      </c>
      <c r="N1137">
        <v>0</v>
      </c>
      <c r="O1137">
        <v>1161000000</v>
      </c>
      <c r="P1137">
        <v>10519000000</v>
      </c>
      <c r="Q1137">
        <v>112118448300</v>
      </c>
      <c r="R1137">
        <v>113279448300</v>
      </c>
    </row>
    <row r="1138" spans="1:18" x14ac:dyDescent="0.25">
      <c r="A1138" s="1" t="s">
        <v>396</v>
      </c>
      <c r="B1138">
        <v>107660632400</v>
      </c>
      <c r="C1138" t="s">
        <v>72</v>
      </c>
      <c r="D1138" t="s">
        <v>105</v>
      </c>
      <c r="E1138">
        <v>4448000000</v>
      </c>
      <c r="F1138">
        <v>725000000</v>
      </c>
      <c r="G1138">
        <v>5173000000</v>
      </c>
      <c r="H1138">
        <v>10679000000</v>
      </c>
      <c r="I1138">
        <v>1673000000</v>
      </c>
      <c r="J1138">
        <v>174000000</v>
      </c>
      <c r="K1138">
        <v>10817000000</v>
      </c>
      <c r="L1138">
        <v>9405000000</v>
      </c>
      <c r="M1138">
        <v>25430000000</v>
      </c>
      <c r="N1138">
        <v>0</v>
      </c>
      <c r="O1138">
        <v>1161000000</v>
      </c>
      <c r="P1138">
        <v>10519000000</v>
      </c>
      <c r="Q1138">
        <v>113478632400</v>
      </c>
      <c r="R1138">
        <v>114639632400</v>
      </c>
    </row>
    <row r="1139" spans="1:18" x14ac:dyDescent="0.25">
      <c r="A1139" s="1" t="s">
        <v>395</v>
      </c>
      <c r="B1139">
        <v>111040483800</v>
      </c>
      <c r="C1139" t="s">
        <v>72</v>
      </c>
      <c r="D1139" t="s">
        <v>105</v>
      </c>
      <c r="E1139">
        <v>4448000000</v>
      </c>
      <c r="F1139">
        <v>725000000</v>
      </c>
      <c r="G1139">
        <v>5173000000</v>
      </c>
      <c r="H1139">
        <v>10679000000</v>
      </c>
      <c r="I1139">
        <v>1673000000</v>
      </c>
      <c r="J1139">
        <v>174000000</v>
      </c>
      <c r="K1139">
        <v>10817000000</v>
      </c>
      <c r="L1139">
        <v>9405000000</v>
      </c>
      <c r="M1139">
        <v>25430000000</v>
      </c>
      <c r="N1139">
        <v>0</v>
      </c>
      <c r="O1139">
        <v>1161000000</v>
      </c>
      <c r="P1139">
        <v>10519000000</v>
      </c>
      <c r="Q1139">
        <v>116858483800</v>
      </c>
      <c r="R1139">
        <v>118019483800</v>
      </c>
    </row>
    <row r="1140" spans="1:18" x14ac:dyDescent="0.25">
      <c r="A1140" s="1" t="s">
        <v>394</v>
      </c>
      <c r="B1140">
        <v>110793177600</v>
      </c>
      <c r="C1140" t="s">
        <v>72</v>
      </c>
      <c r="D1140" t="s">
        <v>105</v>
      </c>
      <c r="E1140">
        <v>4448000000</v>
      </c>
      <c r="F1140">
        <v>725000000</v>
      </c>
      <c r="G1140">
        <v>5173000000</v>
      </c>
      <c r="H1140">
        <v>10679000000</v>
      </c>
      <c r="I1140">
        <v>1673000000</v>
      </c>
      <c r="J1140">
        <v>174000000</v>
      </c>
      <c r="K1140">
        <v>10817000000</v>
      </c>
      <c r="L1140">
        <v>9405000000</v>
      </c>
      <c r="M1140">
        <v>25430000000</v>
      </c>
      <c r="N1140">
        <v>0</v>
      </c>
      <c r="O1140">
        <v>1161000000</v>
      </c>
      <c r="P1140">
        <v>10519000000</v>
      </c>
      <c r="Q1140">
        <v>116611177600</v>
      </c>
      <c r="R1140">
        <v>117772177600</v>
      </c>
    </row>
    <row r="1141" spans="1:18" x14ac:dyDescent="0.25">
      <c r="A1141" s="1" t="s">
        <v>393</v>
      </c>
      <c r="B1141">
        <v>112153361700</v>
      </c>
      <c r="C1141" t="s">
        <v>72</v>
      </c>
      <c r="D1141" t="s">
        <v>105</v>
      </c>
      <c r="E1141">
        <v>4448000000</v>
      </c>
      <c r="F1141">
        <v>725000000</v>
      </c>
      <c r="G1141">
        <v>5173000000</v>
      </c>
      <c r="H1141">
        <v>10679000000</v>
      </c>
      <c r="I1141">
        <v>1673000000</v>
      </c>
      <c r="J1141">
        <v>174000000</v>
      </c>
      <c r="K1141">
        <v>10817000000</v>
      </c>
      <c r="L1141">
        <v>9405000000</v>
      </c>
      <c r="M1141">
        <v>25430000000</v>
      </c>
      <c r="N1141">
        <v>0</v>
      </c>
      <c r="O1141">
        <v>1161000000</v>
      </c>
      <c r="P1141">
        <v>10519000000</v>
      </c>
      <c r="Q1141">
        <v>117971361700</v>
      </c>
      <c r="R1141">
        <v>119132361700</v>
      </c>
    </row>
    <row r="1142" spans="1:18" x14ac:dyDescent="0.25">
      <c r="A1142" s="1" t="s">
        <v>392</v>
      </c>
      <c r="B1142">
        <v>112194579400</v>
      </c>
      <c r="C1142" t="s">
        <v>72</v>
      </c>
      <c r="D1142" t="s">
        <v>105</v>
      </c>
      <c r="E1142">
        <v>4448000000</v>
      </c>
      <c r="F1142">
        <v>725000000</v>
      </c>
      <c r="G1142">
        <v>5173000000</v>
      </c>
      <c r="H1142">
        <v>10679000000</v>
      </c>
      <c r="I1142">
        <v>1673000000</v>
      </c>
      <c r="J1142">
        <v>174000000</v>
      </c>
      <c r="K1142">
        <v>10817000000</v>
      </c>
      <c r="L1142">
        <v>9405000000</v>
      </c>
      <c r="M1142">
        <v>25430000000</v>
      </c>
      <c r="N1142">
        <v>0</v>
      </c>
      <c r="O1142">
        <v>1161000000</v>
      </c>
      <c r="P1142">
        <v>10519000000</v>
      </c>
      <c r="Q1142">
        <v>118012579400</v>
      </c>
      <c r="R1142">
        <v>119173579400</v>
      </c>
    </row>
    <row r="1143" spans="1:18" x14ac:dyDescent="0.25">
      <c r="A1143" s="1" t="s">
        <v>391</v>
      </c>
      <c r="B1143">
        <v>112833453750</v>
      </c>
      <c r="C1143" t="s">
        <v>72</v>
      </c>
      <c r="D1143" t="s">
        <v>105</v>
      </c>
      <c r="E1143">
        <v>4448000000</v>
      </c>
      <c r="F1143">
        <v>725000000</v>
      </c>
      <c r="G1143">
        <v>5173000000</v>
      </c>
      <c r="H1143">
        <v>10679000000</v>
      </c>
      <c r="I1143">
        <v>1673000000</v>
      </c>
      <c r="J1143">
        <v>174000000</v>
      </c>
      <c r="K1143">
        <v>10817000000</v>
      </c>
      <c r="L1143">
        <v>9405000000</v>
      </c>
      <c r="M1143">
        <v>25430000000</v>
      </c>
      <c r="N1143">
        <v>0</v>
      </c>
      <c r="O1143">
        <v>1161000000</v>
      </c>
      <c r="P1143">
        <v>10519000000</v>
      </c>
      <c r="Q1143">
        <v>118651453750</v>
      </c>
      <c r="R1143">
        <v>119812453750</v>
      </c>
    </row>
    <row r="1144" spans="1:18" x14ac:dyDescent="0.25">
      <c r="A1144" s="1" t="s">
        <v>390</v>
      </c>
      <c r="B1144">
        <v>113039542250</v>
      </c>
      <c r="C1144" t="s">
        <v>72</v>
      </c>
      <c r="D1144" t="s">
        <v>105</v>
      </c>
      <c r="E1144">
        <v>4448000000</v>
      </c>
      <c r="F1144">
        <v>725000000</v>
      </c>
      <c r="G1144">
        <v>5173000000</v>
      </c>
      <c r="H1144">
        <v>10679000000</v>
      </c>
      <c r="I1144">
        <v>1673000000</v>
      </c>
      <c r="J1144">
        <v>174000000</v>
      </c>
      <c r="K1144">
        <v>10817000000</v>
      </c>
      <c r="L1144">
        <v>9405000000</v>
      </c>
      <c r="M1144">
        <v>25430000000</v>
      </c>
      <c r="N1144">
        <v>0</v>
      </c>
      <c r="O1144">
        <v>1161000000</v>
      </c>
      <c r="P1144">
        <v>10519000000</v>
      </c>
      <c r="Q1144">
        <v>118857542250</v>
      </c>
      <c r="R1144">
        <v>120018542250</v>
      </c>
    </row>
    <row r="1145" spans="1:18" x14ac:dyDescent="0.25">
      <c r="A1145" s="1" t="s">
        <v>389</v>
      </c>
      <c r="B1145">
        <v>114111202450</v>
      </c>
      <c r="C1145" t="s">
        <v>72</v>
      </c>
      <c r="D1145" t="s">
        <v>105</v>
      </c>
      <c r="E1145">
        <v>4448000000</v>
      </c>
      <c r="F1145">
        <v>725000000</v>
      </c>
      <c r="G1145">
        <v>5173000000</v>
      </c>
      <c r="H1145">
        <v>10679000000</v>
      </c>
      <c r="I1145">
        <v>1673000000</v>
      </c>
      <c r="J1145">
        <v>174000000</v>
      </c>
      <c r="K1145">
        <v>10817000000</v>
      </c>
      <c r="L1145">
        <v>9405000000</v>
      </c>
      <c r="M1145">
        <v>25430000000</v>
      </c>
      <c r="N1145">
        <v>0</v>
      </c>
      <c r="O1145">
        <v>1161000000</v>
      </c>
      <c r="P1145">
        <v>10519000000</v>
      </c>
      <c r="Q1145">
        <v>119929202450</v>
      </c>
      <c r="R1145">
        <v>121090202450</v>
      </c>
    </row>
    <row r="1146" spans="1:18" x14ac:dyDescent="0.25">
      <c r="A1146" s="1" t="s">
        <v>388</v>
      </c>
      <c r="B1146">
        <v>114008158200</v>
      </c>
      <c r="C1146" t="s">
        <v>72</v>
      </c>
      <c r="D1146" t="s">
        <v>105</v>
      </c>
      <c r="E1146">
        <v>4448000000</v>
      </c>
      <c r="F1146">
        <v>725000000</v>
      </c>
      <c r="G1146">
        <v>5173000000</v>
      </c>
      <c r="H1146">
        <v>10679000000</v>
      </c>
      <c r="I1146">
        <v>1673000000</v>
      </c>
      <c r="J1146">
        <v>174000000</v>
      </c>
      <c r="K1146">
        <v>10817000000</v>
      </c>
      <c r="L1146">
        <v>9405000000</v>
      </c>
      <c r="M1146">
        <v>25430000000</v>
      </c>
      <c r="N1146">
        <v>0</v>
      </c>
      <c r="O1146">
        <v>1161000000</v>
      </c>
      <c r="P1146">
        <v>10519000000</v>
      </c>
      <c r="Q1146">
        <v>119826158200</v>
      </c>
      <c r="R1146">
        <v>120987158200</v>
      </c>
    </row>
    <row r="1147" spans="1:18" x14ac:dyDescent="0.25">
      <c r="A1147" s="1" t="s">
        <v>387</v>
      </c>
      <c r="B1147">
        <v>115533213100</v>
      </c>
      <c r="C1147" t="s">
        <v>72</v>
      </c>
      <c r="D1147" t="s">
        <v>105</v>
      </c>
      <c r="E1147">
        <v>4448000000</v>
      </c>
      <c r="F1147">
        <v>725000000</v>
      </c>
      <c r="G1147">
        <v>5173000000</v>
      </c>
      <c r="H1147">
        <v>10679000000</v>
      </c>
      <c r="I1147">
        <v>1673000000</v>
      </c>
      <c r="J1147">
        <v>174000000</v>
      </c>
      <c r="K1147">
        <v>10817000000</v>
      </c>
      <c r="L1147">
        <v>9405000000</v>
      </c>
      <c r="M1147">
        <v>25430000000</v>
      </c>
      <c r="N1147">
        <v>0</v>
      </c>
      <c r="O1147">
        <v>1161000000</v>
      </c>
      <c r="P1147">
        <v>10519000000</v>
      </c>
      <c r="Q1147">
        <v>121351213100</v>
      </c>
      <c r="R1147">
        <v>122512213100</v>
      </c>
    </row>
    <row r="1148" spans="1:18" x14ac:dyDescent="0.25">
      <c r="A1148" s="1" t="s">
        <v>386</v>
      </c>
      <c r="B1148">
        <v>115842345850</v>
      </c>
      <c r="C1148" t="s">
        <v>72</v>
      </c>
      <c r="D1148" t="s">
        <v>105</v>
      </c>
      <c r="E1148">
        <v>4448000000</v>
      </c>
      <c r="F1148">
        <v>725000000</v>
      </c>
      <c r="G1148">
        <v>5173000000</v>
      </c>
      <c r="H1148">
        <v>10679000000</v>
      </c>
      <c r="I1148">
        <v>1673000000</v>
      </c>
      <c r="J1148">
        <v>174000000</v>
      </c>
      <c r="K1148">
        <v>10817000000</v>
      </c>
      <c r="L1148">
        <v>9405000000</v>
      </c>
      <c r="M1148">
        <v>25430000000</v>
      </c>
      <c r="N1148">
        <v>0</v>
      </c>
      <c r="O1148">
        <v>1161000000</v>
      </c>
      <c r="P1148">
        <v>10519000000</v>
      </c>
      <c r="Q1148">
        <v>121660345850</v>
      </c>
      <c r="R1148">
        <v>122821345850</v>
      </c>
    </row>
    <row r="1149" spans="1:18" x14ac:dyDescent="0.25">
      <c r="A1149" s="1" t="s">
        <v>385</v>
      </c>
      <c r="B1149">
        <v>116233914000</v>
      </c>
      <c r="C1149" t="s">
        <v>72</v>
      </c>
      <c r="D1149" t="s">
        <v>105</v>
      </c>
      <c r="E1149">
        <v>4448000000</v>
      </c>
      <c r="F1149">
        <v>725000000</v>
      </c>
      <c r="G1149">
        <v>5173000000</v>
      </c>
      <c r="H1149">
        <v>10679000000</v>
      </c>
      <c r="I1149">
        <v>1673000000</v>
      </c>
      <c r="J1149">
        <v>174000000</v>
      </c>
      <c r="K1149">
        <v>10817000000</v>
      </c>
      <c r="L1149">
        <v>9405000000</v>
      </c>
      <c r="M1149">
        <v>25430000000</v>
      </c>
      <c r="N1149">
        <v>0</v>
      </c>
      <c r="O1149">
        <v>1161000000</v>
      </c>
      <c r="P1149">
        <v>10519000000</v>
      </c>
      <c r="Q1149">
        <v>122051914000</v>
      </c>
      <c r="R1149">
        <v>123212914000</v>
      </c>
    </row>
    <row r="1150" spans="1:18" x14ac:dyDescent="0.25">
      <c r="A1150" s="1" t="s">
        <v>384</v>
      </c>
      <c r="B1150">
        <v>116192696300</v>
      </c>
      <c r="C1150" t="s">
        <v>72</v>
      </c>
      <c r="D1150" t="s">
        <v>105</v>
      </c>
      <c r="E1150">
        <v>4448000000</v>
      </c>
      <c r="F1150">
        <v>725000000</v>
      </c>
      <c r="G1150">
        <v>5173000000</v>
      </c>
      <c r="H1150">
        <v>10679000000</v>
      </c>
      <c r="I1150">
        <v>1673000000</v>
      </c>
      <c r="J1150">
        <v>174000000</v>
      </c>
      <c r="K1150">
        <v>10817000000</v>
      </c>
      <c r="L1150">
        <v>9405000000</v>
      </c>
      <c r="M1150">
        <v>25430000000</v>
      </c>
      <c r="N1150">
        <v>0</v>
      </c>
      <c r="O1150">
        <v>1161000000</v>
      </c>
      <c r="P1150">
        <v>10519000000</v>
      </c>
      <c r="Q1150">
        <v>122010696300</v>
      </c>
      <c r="R1150">
        <v>123171696300</v>
      </c>
    </row>
    <row r="1151" spans="1:18" x14ac:dyDescent="0.25">
      <c r="A1151" s="1" t="s">
        <v>383</v>
      </c>
      <c r="B1151">
        <v>118191754750</v>
      </c>
      <c r="C1151" t="s">
        <v>72</v>
      </c>
      <c r="D1151" t="s">
        <v>105</v>
      </c>
      <c r="E1151">
        <v>4448000000</v>
      </c>
      <c r="F1151">
        <v>725000000</v>
      </c>
      <c r="G1151">
        <v>5173000000</v>
      </c>
      <c r="H1151">
        <v>10679000000</v>
      </c>
      <c r="I1151">
        <v>1673000000</v>
      </c>
      <c r="J1151">
        <v>174000000</v>
      </c>
      <c r="K1151">
        <v>10817000000</v>
      </c>
      <c r="L1151">
        <v>9405000000</v>
      </c>
      <c r="M1151">
        <v>25430000000</v>
      </c>
      <c r="N1151">
        <v>0</v>
      </c>
      <c r="O1151">
        <v>1161000000</v>
      </c>
      <c r="P1151">
        <v>10519000000</v>
      </c>
      <c r="Q1151">
        <v>124009754750</v>
      </c>
      <c r="R1151">
        <v>125170754750</v>
      </c>
    </row>
    <row r="1152" spans="1:18" x14ac:dyDescent="0.25">
      <c r="A1152" s="1" t="s">
        <v>382</v>
      </c>
      <c r="B1152">
        <v>120829687550</v>
      </c>
      <c r="C1152" t="s">
        <v>72</v>
      </c>
      <c r="D1152" t="s">
        <v>105</v>
      </c>
      <c r="E1152">
        <v>4448000000</v>
      </c>
      <c r="F1152">
        <v>725000000</v>
      </c>
      <c r="G1152">
        <v>5173000000</v>
      </c>
      <c r="H1152">
        <v>10679000000</v>
      </c>
      <c r="I1152">
        <v>1673000000</v>
      </c>
      <c r="J1152">
        <v>174000000</v>
      </c>
      <c r="K1152">
        <v>10817000000</v>
      </c>
      <c r="L1152">
        <v>9405000000</v>
      </c>
      <c r="M1152">
        <v>25430000000</v>
      </c>
      <c r="N1152">
        <v>0</v>
      </c>
      <c r="O1152">
        <v>1161000000</v>
      </c>
      <c r="P1152">
        <v>10519000000</v>
      </c>
      <c r="Q1152">
        <v>126647687550</v>
      </c>
      <c r="R1152">
        <v>127808687550</v>
      </c>
    </row>
    <row r="1153" spans="1:18" x14ac:dyDescent="0.25">
      <c r="A1153" s="1" t="s">
        <v>381</v>
      </c>
      <c r="B1153">
        <v>119469503450</v>
      </c>
      <c r="C1153" t="s">
        <v>72</v>
      </c>
      <c r="D1153" t="s">
        <v>105</v>
      </c>
      <c r="E1153">
        <v>4448000000</v>
      </c>
      <c r="F1153">
        <v>725000000</v>
      </c>
      <c r="G1153">
        <v>5173000000</v>
      </c>
      <c r="H1153">
        <v>10679000000</v>
      </c>
      <c r="I1153">
        <v>1673000000</v>
      </c>
      <c r="J1153">
        <v>174000000</v>
      </c>
      <c r="K1153">
        <v>10817000000</v>
      </c>
      <c r="L1153">
        <v>9405000000</v>
      </c>
      <c r="M1153">
        <v>25430000000</v>
      </c>
      <c r="N1153">
        <v>0</v>
      </c>
      <c r="O1153">
        <v>1161000000</v>
      </c>
      <c r="P1153">
        <v>10519000000</v>
      </c>
      <c r="Q1153">
        <v>125287503450</v>
      </c>
      <c r="R1153">
        <v>126448503450</v>
      </c>
    </row>
    <row r="1154" spans="1:18" x14ac:dyDescent="0.25">
      <c r="A1154" s="1" t="s">
        <v>380</v>
      </c>
      <c r="B1154">
        <v>123137878750</v>
      </c>
      <c r="C1154" t="s">
        <v>72</v>
      </c>
      <c r="D1154" t="s">
        <v>105</v>
      </c>
      <c r="E1154">
        <v>4448000000</v>
      </c>
      <c r="F1154">
        <v>725000000</v>
      </c>
      <c r="G1154">
        <v>5173000000</v>
      </c>
      <c r="H1154">
        <v>10679000000</v>
      </c>
      <c r="I1154">
        <v>1673000000</v>
      </c>
      <c r="J1154">
        <v>174000000</v>
      </c>
      <c r="K1154">
        <v>10817000000</v>
      </c>
      <c r="L1154">
        <v>9405000000</v>
      </c>
      <c r="M1154">
        <v>25430000000</v>
      </c>
      <c r="N1154">
        <v>0</v>
      </c>
      <c r="O1154">
        <v>1161000000</v>
      </c>
      <c r="P1154">
        <v>10519000000</v>
      </c>
      <c r="Q1154">
        <v>128955878750</v>
      </c>
      <c r="R1154">
        <v>130116878750</v>
      </c>
    </row>
    <row r="1155" spans="1:18" x14ac:dyDescent="0.25">
      <c r="A1155" s="1" t="s">
        <v>379</v>
      </c>
      <c r="B1155">
        <v>125672767300</v>
      </c>
      <c r="C1155" t="s">
        <v>72</v>
      </c>
      <c r="D1155" t="s">
        <v>105</v>
      </c>
      <c r="E1155">
        <v>4448000000</v>
      </c>
      <c r="F1155">
        <v>725000000</v>
      </c>
      <c r="G1155">
        <v>5173000000</v>
      </c>
      <c r="H1155">
        <v>10679000000</v>
      </c>
      <c r="I1155">
        <v>1673000000</v>
      </c>
      <c r="J1155">
        <v>174000000</v>
      </c>
      <c r="K1155">
        <v>10817000000</v>
      </c>
      <c r="L1155">
        <v>9405000000</v>
      </c>
      <c r="M1155">
        <v>25430000000</v>
      </c>
      <c r="N1155">
        <v>0</v>
      </c>
      <c r="O1155">
        <v>1161000000</v>
      </c>
      <c r="P1155">
        <v>10519000000</v>
      </c>
      <c r="Q1155">
        <v>131490767300</v>
      </c>
      <c r="R1155">
        <v>132651767300</v>
      </c>
    </row>
    <row r="1156" spans="1:18" x14ac:dyDescent="0.25">
      <c r="A1156" s="1" t="s">
        <v>378</v>
      </c>
      <c r="B1156">
        <v>127156604500</v>
      </c>
      <c r="C1156" t="s">
        <v>72</v>
      </c>
      <c r="D1156" t="s">
        <v>105</v>
      </c>
      <c r="E1156">
        <v>4448000000</v>
      </c>
      <c r="F1156">
        <v>725000000</v>
      </c>
      <c r="G1156">
        <v>5173000000</v>
      </c>
      <c r="H1156">
        <v>10679000000</v>
      </c>
      <c r="I1156">
        <v>1673000000</v>
      </c>
      <c r="J1156">
        <v>174000000</v>
      </c>
      <c r="K1156">
        <v>10817000000</v>
      </c>
      <c r="L1156">
        <v>9405000000</v>
      </c>
      <c r="M1156">
        <v>25430000000</v>
      </c>
      <c r="N1156">
        <v>0</v>
      </c>
      <c r="O1156">
        <v>1161000000</v>
      </c>
      <c r="P1156">
        <v>10519000000</v>
      </c>
      <c r="Q1156">
        <v>132974604500</v>
      </c>
      <c r="R1156">
        <v>134135604500</v>
      </c>
    </row>
    <row r="1157" spans="1:18" x14ac:dyDescent="0.25">
      <c r="A1157" s="1" t="s">
        <v>377</v>
      </c>
      <c r="B1157">
        <v>128722877100</v>
      </c>
      <c r="C1157" t="s">
        <v>72</v>
      </c>
      <c r="D1157" t="s">
        <v>105</v>
      </c>
      <c r="E1157">
        <v>4448000000</v>
      </c>
      <c r="F1157">
        <v>725000000</v>
      </c>
      <c r="G1157">
        <v>5173000000</v>
      </c>
      <c r="H1157">
        <v>10679000000</v>
      </c>
      <c r="I1157">
        <v>1673000000</v>
      </c>
      <c r="J1157">
        <v>174000000</v>
      </c>
      <c r="K1157">
        <v>10817000000</v>
      </c>
      <c r="L1157">
        <v>9405000000</v>
      </c>
      <c r="M1157">
        <v>25430000000</v>
      </c>
      <c r="N1157">
        <v>0</v>
      </c>
      <c r="O1157">
        <v>1161000000</v>
      </c>
      <c r="P1157">
        <v>10519000000</v>
      </c>
      <c r="Q1157">
        <v>134540877100</v>
      </c>
      <c r="R1157">
        <v>135701877100</v>
      </c>
    </row>
    <row r="1158" spans="1:18" x14ac:dyDescent="0.25">
      <c r="A1158" s="1" t="s">
        <v>376</v>
      </c>
      <c r="B1158">
        <v>129258707200</v>
      </c>
      <c r="C1158" t="s">
        <v>72</v>
      </c>
      <c r="D1158" t="s">
        <v>105</v>
      </c>
      <c r="E1158">
        <v>4448000000</v>
      </c>
      <c r="F1158">
        <v>725000000</v>
      </c>
      <c r="G1158">
        <v>5173000000</v>
      </c>
      <c r="H1158">
        <v>10679000000</v>
      </c>
      <c r="I1158">
        <v>1673000000</v>
      </c>
      <c r="J1158">
        <v>174000000</v>
      </c>
      <c r="K1158">
        <v>10817000000</v>
      </c>
      <c r="L1158">
        <v>9405000000</v>
      </c>
      <c r="M1158">
        <v>25430000000</v>
      </c>
      <c r="N1158">
        <v>0</v>
      </c>
      <c r="O1158">
        <v>1161000000</v>
      </c>
      <c r="P1158">
        <v>10519000000</v>
      </c>
      <c r="Q1158">
        <v>135076707200</v>
      </c>
      <c r="R1158">
        <v>136237707200</v>
      </c>
    </row>
    <row r="1159" spans="1:18" x14ac:dyDescent="0.25">
      <c r="A1159" s="1" t="s">
        <v>375</v>
      </c>
      <c r="B1159">
        <v>127713043450</v>
      </c>
      <c r="C1159" t="s">
        <v>72</v>
      </c>
      <c r="D1159" t="s">
        <v>105</v>
      </c>
      <c r="E1159">
        <v>4448000000</v>
      </c>
      <c r="F1159">
        <v>725000000</v>
      </c>
      <c r="G1159">
        <v>5173000000</v>
      </c>
      <c r="H1159">
        <v>10679000000</v>
      </c>
      <c r="I1159">
        <v>1673000000</v>
      </c>
      <c r="J1159">
        <v>174000000</v>
      </c>
      <c r="K1159">
        <v>10817000000</v>
      </c>
      <c r="L1159">
        <v>9405000000</v>
      </c>
      <c r="M1159">
        <v>25430000000</v>
      </c>
      <c r="N1159">
        <v>0</v>
      </c>
      <c r="O1159">
        <v>1161000000</v>
      </c>
      <c r="P1159">
        <v>10519000000</v>
      </c>
      <c r="Q1159">
        <v>133531043450</v>
      </c>
      <c r="R1159">
        <v>134692043450</v>
      </c>
    </row>
    <row r="1160" spans="1:18" x14ac:dyDescent="0.25">
      <c r="A1160" s="1" t="s">
        <v>374</v>
      </c>
      <c r="B1160">
        <v>128805312500</v>
      </c>
      <c r="C1160" t="s">
        <v>72</v>
      </c>
      <c r="D1160" t="s">
        <v>105</v>
      </c>
      <c r="E1160">
        <v>4448000000</v>
      </c>
      <c r="F1160">
        <v>725000000</v>
      </c>
      <c r="G1160">
        <v>5173000000</v>
      </c>
      <c r="H1160">
        <v>10679000000</v>
      </c>
      <c r="I1160">
        <v>1673000000</v>
      </c>
      <c r="J1160">
        <v>174000000</v>
      </c>
      <c r="K1160">
        <v>10817000000</v>
      </c>
      <c r="L1160">
        <v>9405000000</v>
      </c>
      <c r="M1160">
        <v>25430000000</v>
      </c>
      <c r="N1160">
        <v>0</v>
      </c>
      <c r="O1160">
        <v>1161000000</v>
      </c>
      <c r="P1160">
        <v>10519000000</v>
      </c>
      <c r="Q1160">
        <v>134623312500</v>
      </c>
      <c r="R1160">
        <v>135784312500</v>
      </c>
    </row>
    <row r="1161" spans="1:18" x14ac:dyDescent="0.25">
      <c r="A1161" s="1" t="s">
        <v>373</v>
      </c>
      <c r="B1161">
        <v>127486346100</v>
      </c>
      <c r="C1161" t="s">
        <v>72</v>
      </c>
      <c r="D1161" t="s">
        <v>105</v>
      </c>
      <c r="E1161">
        <v>4448000000</v>
      </c>
      <c r="F1161">
        <v>725000000</v>
      </c>
      <c r="G1161">
        <v>5173000000</v>
      </c>
      <c r="H1161">
        <v>10679000000</v>
      </c>
      <c r="I1161">
        <v>1673000000</v>
      </c>
      <c r="J1161">
        <v>174000000</v>
      </c>
      <c r="K1161">
        <v>10817000000</v>
      </c>
      <c r="L1161">
        <v>9405000000</v>
      </c>
      <c r="M1161">
        <v>25430000000</v>
      </c>
      <c r="N1161">
        <v>0</v>
      </c>
      <c r="O1161">
        <v>1161000000</v>
      </c>
      <c r="P1161">
        <v>10519000000</v>
      </c>
      <c r="Q1161">
        <v>133304346100</v>
      </c>
      <c r="R1161">
        <v>134465346100</v>
      </c>
    </row>
    <row r="1162" spans="1:18" x14ac:dyDescent="0.25">
      <c r="A1162" s="1" t="s">
        <v>372</v>
      </c>
      <c r="B1162">
        <v>127218431050</v>
      </c>
      <c r="C1162" t="s">
        <v>72</v>
      </c>
      <c r="D1162" t="s">
        <v>105</v>
      </c>
      <c r="E1162">
        <v>4448000000</v>
      </c>
      <c r="F1162">
        <v>725000000</v>
      </c>
      <c r="G1162">
        <v>5173000000</v>
      </c>
      <c r="H1162">
        <v>10679000000</v>
      </c>
      <c r="I1162">
        <v>1673000000</v>
      </c>
      <c r="J1162">
        <v>174000000</v>
      </c>
      <c r="K1162">
        <v>10817000000</v>
      </c>
      <c r="L1162">
        <v>9405000000</v>
      </c>
      <c r="M1162">
        <v>25430000000</v>
      </c>
      <c r="N1162">
        <v>0</v>
      </c>
      <c r="O1162">
        <v>1161000000</v>
      </c>
      <c r="P1162">
        <v>10519000000</v>
      </c>
      <c r="Q1162">
        <v>133036431050</v>
      </c>
      <c r="R1162">
        <v>134197431050</v>
      </c>
    </row>
    <row r="1163" spans="1:18" x14ac:dyDescent="0.25">
      <c r="A1163" s="1" t="s">
        <v>371</v>
      </c>
      <c r="B1163">
        <v>128022176200</v>
      </c>
      <c r="C1163" t="s">
        <v>72</v>
      </c>
      <c r="D1163" t="s">
        <v>105</v>
      </c>
      <c r="E1163">
        <v>4448000000</v>
      </c>
      <c r="F1163">
        <v>725000000</v>
      </c>
      <c r="G1163">
        <v>5173000000</v>
      </c>
      <c r="H1163">
        <v>10679000000</v>
      </c>
      <c r="I1163">
        <v>1673000000</v>
      </c>
      <c r="J1163">
        <v>174000000</v>
      </c>
      <c r="K1163">
        <v>10817000000</v>
      </c>
      <c r="L1163">
        <v>9405000000</v>
      </c>
      <c r="M1163">
        <v>25430000000</v>
      </c>
      <c r="N1163">
        <v>0</v>
      </c>
      <c r="O1163">
        <v>1161000000</v>
      </c>
      <c r="P1163">
        <v>10519000000</v>
      </c>
      <c r="Q1163">
        <v>133840176200</v>
      </c>
      <c r="R1163">
        <v>135001176200</v>
      </c>
    </row>
    <row r="1164" spans="1:18" x14ac:dyDescent="0.25">
      <c r="A1164" s="1" t="s">
        <v>370</v>
      </c>
      <c r="B1164">
        <v>125054501800</v>
      </c>
      <c r="C1164" t="s">
        <v>72</v>
      </c>
      <c r="D1164" t="s">
        <v>105</v>
      </c>
      <c r="E1164">
        <v>4448000000</v>
      </c>
      <c r="F1164">
        <v>725000000</v>
      </c>
      <c r="G1164">
        <v>5173000000</v>
      </c>
      <c r="H1164">
        <v>10679000000</v>
      </c>
      <c r="I1164">
        <v>1673000000</v>
      </c>
      <c r="J1164">
        <v>174000000</v>
      </c>
      <c r="K1164">
        <v>10817000000</v>
      </c>
      <c r="L1164">
        <v>9405000000</v>
      </c>
      <c r="M1164">
        <v>25430000000</v>
      </c>
      <c r="N1164">
        <v>0</v>
      </c>
      <c r="O1164">
        <v>1161000000</v>
      </c>
      <c r="P1164">
        <v>10519000000</v>
      </c>
      <c r="Q1164">
        <v>130872501800</v>
      </c>
      <c r="R1164">
        <v>132033501800</v>
      </c>
    </row>
    <row r="1165" spans="1:18" x14ac:dyDescent="0.25">
      <c r="A1165" s="1" t="s">
        <v>369</v>
      </c>
      <c r="B1165">
        <v>126661992100</v>
      </c>
      <c r="C1165" t="s">
        <v>72</v>
      </c>
      <c r="D1165" t="s">
        <v>105</v>
      </c>
      <c r="E1165">
        <v>4448000000</v>
      </c>
      <c r="F1165">
        <v>725000000</v>
      </c>
      <c r="G1165">
        <v>5173000000</v>
      </c>
      <c r="H1165">
        <v>10679000000</v>
      </c>
      <c r="I1165">
        <v>1673000000</v>
      </c>
      <c r="J1165">
        <v>174000000</v>
      </c>
      <c r="K1165">
        <v>10817000000</v>
      </c>
      <c r="L1165">
        <v>9405000000</v>
      </c>
      <c r="M1165">
        <v>25430000000</v>
      </c>
      <c r="N1165">
        <v>0</v>
      </c>
      <c r="O1165">
        <v>1161000000</v>
      </c>
      <c r="P1165">
        <v>10519000000</v>
      </c>
      <c r="Q1165">
        <v>132479992100</v>
      </c>
      <c r="R1165">
        <v>133640992100</v>
      </c>
    </row>
    <row r="1166" spans="1:18" x14ac:dyDescent="0.25">
      <c r="A1166" s="1" t="s">
        <v>368</v>
      </c>
      <c r="B1166">
        <v>127177213350</v>
      </c>
      <c r="C1166" t="s">
        <v>72</v>
      </c>
      <c r="D1166" t="s">
        <v>105</v>
      </c>
      <c r="E1166">
        <v>4448000000</v>
      </c>
      <c r="F1166">
        <v>725000000</v>
      </c>
      <c r="G1166">
        <v>5173000000</v>
      </c>
      <c r="H1166">
        <v>10679000000</v>
      </c>
      <c r="I1166">
        <v>1673000000</v>
      </c>
      <c r="J1166">
        <v>174000000</v>
      </c>
      <c r="K1166">
        <v>10817000000</v>
      </c>
      <c r="L1166">
        <v>9405000000</v>
      </c>
      <c r="M1166">
        <v>25430000000</v>
      </c>
      <c r="N1166">
        <v>0</v>
      </c>
      <c r="O1166">
        <v>1161000000</v>
      </c>
      <c r="P1166">
        <v>10519000000</v>
      </c>
      <c r="Q1166">
        <v>132995213350</v>
      </c>
      <c r="R1166">
        <v>134156213350</v>
      </c>
    </row>
    <row r="1167" spans="1:18" x14ac:dyDescent="0.25">
      <c r="A1167" s="1" t="s">
        <v>367</v>
      </c>
      <c r="B1167">
        <v>127733652300</v>
      </c>
      <c r="C1167" t="s">
        <v>72</v>
      </c>
      <c r="D1167" t="s">
        <v>105</v>
      </c>
      <c r="E1167">
        <v>4448000000</v>
      </c>
      <c r="F1167">
        <v>725000000</v>
      </c>
      <c r="G1167">
        <v>5173000000</v>
      </c>
      <c r="H1167">
        <v>10679000000</v>
      </c>
      <c r="I1167">
        <v>1673000000</v>
      </c>
      <c r="J1167">
        <v>174000000</v>
      </c>
      <c r="K1167">
        <v>10817000000</v>
      </c>
      <c r="L1167">
        <v>9405000000</v>
      </c>
      <c r="M1167">
        <v>25430000000</v>
      </c>
      <c r="N1167">
        <v>0</v>
      </c>
      <c r="O1167">
        <v>1161000000</v>
      </c>
      <c r="P1167">
        <v>10519000000</v>
      </c>
      <c r="Q1167">
        <v>133551652300</v>
      </c>
      <c r="R1167">
        <v>134712652300</v>
      </c>
    </row>
    <row r="1168" spans="1:18" x14ac:dyDescent="0.25">
      <c r="A1168" s="1" t="s">
        <v>366</v>
      </c>
      <c r="B1168">
        <v>130412802800</v>
      </c>
      <c r="C1168" t="s">
        <v>72</v>
      </c>
      <c r="D1168" t="s">
        <v>105</v>
      </c>
      <c r="E1168">
        <v>4448000000</v>
      </c>
      <c r="F1168">
        <v>725000000</v>
      </c>
      <c r="G1168">
        <v>5173000000</v>
      </c>
      <c r="H1168">
        <v>10679000000</v>
      </c>
      <c r="I1168">
        <v>1673000000</v>
      </c>
      <c r="J1168">
        <v>174000000</v>
      </c>
      <c r="K1168">
        <v>10817000000</v>
      </c>
      <c r="L1168">
        <v>9405000000</v>
      </c>
      <c r="M1168">
        <v>25430000000</v>
      </c>
      <c r="N1168">
        <v>0</v>
      </c>
      <c r="O1168">
        <v>1161000000</v>
      </c>
      <c r="P1168">
        <v>10519000000</v>
      </c>
      <c r="Q1168">
        <v>136230802800</v>
      </c>
      <c r="R1168">
        <v>137391802800</v>
      </c>
    </row>
    <row r="1169" spans="1:18" x14ac:dyDescent="0.25">
      <c r="A1169" s="1" t="s">
        <v>365</v>
      </c>
      <c r="B1169">
        <v>130124278900</v>
      </c>
      <c r="C1169" t="s">
        <v>72</v>
      </c>
      <c r="D1169" t="s">
        <v>105</v>
      </c>
      <c r="E1169">
        <v>4448000000</v>
      </c>
      <c r="F1169">
        <v>725000000</v>
      </c>
      <c r="G1169">
        <v>5173000000</v>
      </c>
      <c r="H1169">
        <v>10679000000</v>
      </c>
      <c r="I1169">
        <v>1673000000</v>
      </c>
      <c r="J1169">
        <v>174000000</v>
      </c>
      <c r="K1169">
        <v>10817000000</v>
      </c>
      <c r="L1169">
        <v>9405000000</v>
      </c>
      <c r="M1169">
        <v>25430000000</v>
      </c>
      <c r="N1169">
        <v>0</v>
      </c>
      <c r="O1169">
        <v>1161000000</v>
      </c>
      <c r="P1169">
        <v>10519000000</v>
      </c>
      <c r="Q1169">
        <v>135942278900</v>
      </c>
      <c r="R1169">
        <v>137103278900</v>
      </c>
    </row>
    <row r="1170" spans="1:18" x14ac:dyDescent="0.25">
      <c r="A1170" s="1" t="s">
        <v>364</v>
      </c>
      <c r="B1170">
        <v>126888689450</v>
      </c>
      <c r="C1170" t="s">
        <v>72</v>
      </c>
      <c r="D1170" t="s">
        <v>105</v>
      </c>
      <c r="E1170">
        <v>4448000000</v>
      </c>
      <c r="F1170">
        <v>725000000</v>
      </c>
      <c r="G1170">
        <v>5173000000</v>
      </c>
      <c r="H1170">
        <v>10679000000</v>
      </c>
      <c r="I1170">
        <v>1673000000</v>
      </c>
      <c r="J1170">
        <v>174000000</v>
      </c>
      <c r="K1170">
        <v>10817000000</v>
      </c>
      <c r="L1170">
        <v>9405000000</v>
      </c>
      <c r="M1170">
        <v>25430000000</v>
      </c>
      <c r="N1170">
        <v>0</v>
      </c>
      <c r="O1170">
        <v>1161000000</v>
      </c>
      <c r="P1170">
        <v>10519000000</v>
      </c>
      <c r="Q1170">
        <v>132706689450</v>
      </c>
      <c r="R1170">
        <v>133867689450</v>
      </c>
    </row>
    <row r="1171" spans="1:18" x14ac:dyDescent="0.25">
      <c r="A1171" s="1" t="s">
        <v>363</v>
      </c>
      <c r="B1171">
        <v>121340903460</v>
      </c>
      <c r="C1171" t="s">
        <v>72</v>
      </c>
      <c r="D1171" t="s">
        <v>105</v>
      </c>
      <c r="E1171">
        <v>4448000000</v>
      </c>
      <c r="F1171">
        <v>725000000</v>
      </c>
      <c r="G1171">
        <v>5173000000</v>
      </c>
      <c r="H1171">
        <v>10679000000</v>
      </c>
      <c r="I1171">
        <v>1673000000</v>
      </c>
      <c r="J1171">
        <v>174000000</v>
      </c>
      <c r="K1171">
        <v>10817000000</v>
      </c>
      <c r="L1171">
        <v>9405000000</v>
      </c>
      <c r="M1171">
        <v>25430000000</v>
      </c>
      <c r="N1171">
        <v>0</v>
      </c>
      <c r="O1171">
        <v>1161000000</v>
      </c>
      <c r="P1171">
        <v>10519000000</v>
      </c>
      <c r="Q1171">
        <v>127158903460</v>
      </c>
      <c r="R1171">
        <v>128319903460</v>
      </c>
    </row>
    <row r="1172" spans="1:18" x14ac:dyDescent="0.25">
      <c r="A1172" s="1" t="s">
        <v>362</v>
      </c>
      <c r="B1172">
        <v>121070702750</v>
      </c>
      <c r="C1172" t="s">
        <v>72</v>
      </c>
      <c r="D1172" t="s">
        <v>105</v>
      </c>
      <c r="E1172">
        <v>4448000000</v>
      </c>
      <c r="F1172">
        <v>725000000</v>
      </c>
      <c r="G1172">
        <v>5173000000</v>
      </c>
      <c r="H1172">
        <v>10679000000</v>
      </c>
      <c r="I1172">
        <v>1673000000</v>
      </c>
      <c r="J1172">
        <v>174000000</v>
      </c>
      <c r="K1172">
        <v>10817000000</v>
      </c>
      <c r="L1172">
        <v>9405000000</v>
      </c>
      <c r="M1172">
        <v>25430000000</v>
      </c>
      <c r="N1172">
        <v>0</v>
      </c>
      <c r="O1172">
        <v>1161000000</v>
      </c>
      <c r="P1172">
        <v>10519000000</v>
      </c>
      <c r="Q1172">
        <v>126888702750</v>
      </c>
      <c r="R1172">
        <v>128049702750</v>
      </c>
    </row>
    <row r="1173" spans="1:18" x14ac:dyDescent="0.25">
      <c r="A1173" s="1" t="s">
        <v>361</v>
      </c>
      <c r="B1173">
        <v>120135392600</v>
      </c>
      <c r="C1173" t="s">
        <v>72</v>
      </c>
      <c r="D1173" t="s">
        <v>105</v>
      </c>
      <c r="E1173">
        <v>4448000000</v>
      </c>
      <c r="F1173">
        <v>725000000</v>
      </c>
      <c r="G1173">
        <v>5173000000</v>
      </c>
      <c r="H1173">
        <v>10679000000</v>
      </c>
      <c r="I1173">
        <v>1673000000</v>
      </c>
      <c r="J1173">
        <v>174000000</v>
      </c>
      <c r="K1173">
        <v>10817000000</v>
      </c>
      <c r="L1173">
        <v>9405000000</v>
      </c>
      <c r="M1173">
        <v>25430000000</v>
      </c>
      <c r="N1173">
        <v>0</v>
      </c>
      <c r="O1173">
        <v>1161000000</v>
      </c>
      <c r="P1173">
        <v>10519000000</v>
      </c>
      <c r="Q1173">
        <v>125953392600</v>
      </c>
      <c r="R1173">
        <v>127114392600</v>
      </c>
    </row>
    <row r="1174" spans="1:18" x14ac:dyDescent="0.25">
      <c r="A1174" s="1" t="s">
        <v>360</v>
      </c>
      <c r="B1174">
        <v>119678129860</v>
      </c>
      <c r="C1174" t="s">
        <v>72</v>
      </c>
      <c r="D1174" t="s">
        <v>105</v>
      </c>
      <c r="E1174">
        <v>4448000000</v>
      </c>
      <c r="F1174">
        <v>725000000</v>
      </c>
      <c r="G1174">
        <v>5173000000</v>
      </c>
      <c r="H1174">
        <v>10679000000</v>
      </c>
      <c r="I1174">
        <v>1673000000</v>
      </c>
      <c r="J1174">
        <v>174000000</v>
      </c>
      <c r="K1174">
        <v>10817000000</v>
      </c>
      <c r="L1174">
        <v>9405000000</v>
      </c>
      <c r="M1174">
        <v>25430000000</v>
      </c>
      <c r="N1174">
        <v>0</v>
      </c>
      <c r="O1174">
        <v>1161000000</v>
      </c>
      <c r="P1174">
        <v>10519000000</v>
      </c>
      <c r="Q1174">
        <v>125496129860</v>
      </c>
      <c r="R1174">
        <v>126657129860</v>
      </c>
    </row>
    <row r="1175" spans="1:18" x14ac:dyDescent="0.25">
      <c r="A1175" s="1" t="s">
        <v>359</v>
      </c>
      <c r="B1175">
        <v>122650337670</v>
      </c>
      <c r="C1175" t="s">
        <v>72</v>
      </c>
      <c r="D1175" t="s">
        <v>105</v>
      </c>
      <c r="E1175">
        <v>4448000000</v>
      </c>
      <c r="F1175">
        <v>725000000</v>
      </c>
      <c r="G1175">
        <v>5173000000</v>
      </c>
      <c r="H1175">
        <v>10679000000</v>
      </c>
      <c r="I1175">
        <v>1673000000</v>
      </c>
      <c r="J1175">
        <v>174000000</v>
      </c>
      <c r="K1175">
        <v>10817000000</v>
      </c>
      <c r="L1175">
        <v>9405000000</v>
      </c>
      <c r="M1175">
        <v>25430000000</v>
      </c>
      <c r="N1175">
        <v>0</v>
      </c>
      <c r="O1175">
        <v>1161000000</v>
      </c>
      <c r="P1175">
        <v>10519000000</v>
      </c>
      <c r="Q1175">
        <v>128468337670</v>
      </c>
      <c r="R1175">
        <v>129629337670</v>
      </c>
    </row>
    <row r="1176" spans="1:18" x14ac:dyDescent="0.25">
      <c r="A1176" s="1" t="s">
        <v>358</v>
      </c>
      <c r="B1176">
        <v>125331560100</v>
      </c>
      <c r="C1176" t="s">
        <v>72</v>
      </c>
      <c r="D1176" t="s">
        <v>105</v>
      </c>
      <c r="E1176">
        <v>4448000000</v>
      </c>
      <c r="F1176">
        <v>725000000</v>
      </c>
      <c r="G1176">
        <v>5173000000</v>
      </c>
      <c r="H1176">
        <v>10679000000</v>
      </c>
      <c r="I1176">
        <v>1673000000</v>
      </c>
      <c r="J1176">
        <v>174000000</v>
      </c>
      <c r="K1176">
        <v>10817000000</v>
      </c>
      <c r="L1176">
        <v>9405000000</v>
      </c>
      <c r="M1176">
        <v>25430000000</v>
      </c>
      <c r="N1176">
        <v>0</v>
      </c>
      <c r="O1176">
        <v>1161000000</v>
      </c>
      <c r="P1176">
        <v>10519000000</v>
      </c>
      <c r="Q1176">
        <v>131149560100</v>
      </c>
      <c r="R1176">
        <v>132310560100</v>
      </c>
    </row>
    <row r="1177" spans="1:18" x14ac:dyDescent="0.25">
      <c r="A1177" s="1" t="s">
        <v>357</v>
      </c>
      <c r="B1177">
        <v>129717125470</v>
      </c>
      <c r="C1177" t="s">
        <v>72</v>
      </c>
      <c r="D1177" t="s">
        <v>105</v>
      </c>
      <c r="E1177">
        <v>4448000000</v>
      </c>
      <c r="F1177">
        <v>725000000</v>
      </c>
      <c r="G1177">
        <v>5173000000</v>
      </c>
      <c r="H1177">
        <v>10679000000</v>
      </c>
      <c r="I1177">
        <v>1673000000</v>
      </c>
      <c r="J1177">
        <v>174000000</v>
      </c>
      <c r="K1177">
        <v>10817000000</v>
      </c>
      <c r="L1177">
        <v>9405000000</v>
      </c>
      <c r="M1177">
        <v>25430000000</v>
      </c>
      <c r="N1177">
        <v>0</v>
      </c>
      <c r="O1177">
        <v>1161000000</v>
      </c>
      <c r="P1177">
        <v>10519000000</v>
      </c>
      <c r="Q1177">
        <v>135535125470</v>
      </c>
      <c r="R1177">
        <v>136696125470</v>
      </c>
    </row>
    <row r="1178" spans="1:18" x14ac:dyDescent="0.25">
      <c r="A1178" s="1" t="s">
        <v>356</v>
      </c>
      <c r="B1178">
        <v>131920300490</v>
      </c>
      <c r="C1178" t="s">
        <v>72</v>
      </c>
      <c r="D1178" t="s">
        <v>105</v>
      </c>
      <c r="E1178">
        <v>4448000000</v>
      </c>
      <c r="F1178">
        <v>725000000</v>
      </c>
      <c r="G1178">
        <v>5173000000</v>
      </c>
      <c r="H1178">
        <v>10679000000</v>
      </c>
      <c r="I1178">
        <v>1673000000</v>
      </c>
      <c r="J1178">
        <v>174000000</v>
      </c>
      <c r="K1178">
        <v>10817000000</v>
      </c>
      <c r="L1178">
        <v>9405000000</v>
      </c>
      <c r="M1178">
        <v>25430000000</v>
      </c>
      <c r="N1178">
        <v>0</v>
      </c>
      <c r="O1178">
        <v>1161000000</v>
      </c>
      <c r="P1178">
        <v>10519000000</v>
      </c>
      <c r="Q1178">
        <v>137738300490</v>
      </c>
      <c r="R1178">
        <v>138899300490</v>
      </c>
    </row>
    <row r="1179" spans="1:18" x14ac:dyDescent="0.25">
      <c r="A1179" s="1" t="s">
        <v>355</v>
      </c>
      <c r="B1179">
        <v>131359114400</v>
      </c>
      <c r="C1179" t="s">
        <v>72</v>
      </c>
      <c r="D1179" t="s">
        <v>105</v>
      </c>
      <c r="E1179">
        <v>4448000000</v>
      </c>
      <c r="F1179">
        <v>725000000</v>
      </c>
      <c r="G1179">
        <v>5173000000</v>
      </c>
      <c r="H1179">
        <v>10679000000</v>
      </c>
      <c r="I1179">
        <v>1673000000</v>
      </c>
      <c r="J1179">
        <v>174000000</v>
      </c>
      <c r="K1179">
        <v>10817000000</v>
      </c>
      <c r="L1179">
        <v>9405000000</v>
      </c>
      <c r="M1179">
        <v>25430000000</v>
      </c>
      <c r="N1179">
        <v>0</v>
      </c>
      <c r="O1179">
        <v>1161000000</v>
      </c>
      <c r="P1179">
        <v>10519000000</v>
      </c>
      <c r="Q1179">
        <v>137177114400</v>
      </c>
      <c r="R1179">
        <v>138338114400</v>
      </c>
    </row>
    <row r="1180" spans="1:18" x14ac:dyDescent="0.25">
      <c r="A1180" s="1" t="s">
        <v>354</v>
      </c>
      <c r="B1180">
        <v>132294424550</v>
      </c>
      <c r="C1180" t="s">
        <v>72</v>
      </c>
      <c r="D1180" t="s">
        <v>105</v>
      </c>
      <c r="E1180">
        <v>4448000000</v>
      </c>
      <c r="F1180">
        <v>725000000</v>
      </c>
      <c r="G1180">
        <v>5173000000</v>
      </c>
      <c r="H1180">
        <v>10679000000</v>
      </c>
      <c r="I1180">
        <v>1673000000</v>
      </c>
      <c r="J1180">
        <v>174000000</v>
      </c>
      <c r="K1180">
        <v>10817000000</v>
      </c>
      <c r="L1180">
        <v>9405000000</v>
      </c>
      <c r="M1180">
        <v>25430000000</v>
      </c>
      <c r="N1180">
        <v>0</v>
      </c>
      <c r="O1180">
        <v>1161000000</v>
      </c>
      <c r="P1180">
        <v>10519000000</v>
      </c>
      <c r="Q1180">
        <v>138112424550</v>
      </c>
      <c r="R1180">
        <v>139273424550</v>
      </c>
    </row>
    <row r="1181" spans="1:18" x14ac:dyDescent="0.25">
      <c r="A1181" s="1" t="s">
        <v>353</v>
      </c>
      <c r="B1181">
        <v>131192837040</v>
      </c>
      <c r="C1181" t="s">
        <v>72</v>
      </c>
      <c r="D1181" t="s">
        <v>105</v>
      </c>
      <c r="E1181">
        <v>4448000000</v>
      </c>
      <c r="F1181">
        <v>725000000</v>
      </c>
      <c r="G1181">
        <v>5173000000</v>
      </c>
      <c r="H1181">
        <v>10679000000</v>
      </c>
      <c r="I1181">
        <v>1673000000</v>
      </c>
      <c r="J1181">
        <v>174000000</v>
      </c>
      <c r="K1181">
        <v>10817000000</v>
      </c>
      <c r="L1181">
        <v>9405000000</v>
      </c>
      <c r="M1181">
        <v>25430000000</v>
      </c>
      <c r="N1181">
        <v>0</v>
      </c>
      <c r="O1181">
        <v>1161000000</v>
      </c>
      <c r="P1181">
        <v>10519000000</v>
      </c>
      <c r="Q1181">
        <v>137010837040</v>
      </c>
      <c r="R1181">
        <v>138171837040</v>
      </c>
    </row>
    <row r="1182" spans="1:18" x14ac:dyDescent="0.25">
      <c r="A1182" s="1" t="s">
        <v>352</v>
      </c>
      <c r="B1182">
        <v>134850938959</v>
      </c>
      <c r="C1182" t="s">
        <v>72</v>
      </c>
      <c r="D1182" t="s">
        <v>105</v>
      </c>
      <c r="E1182">
        <v>4448000000</v>
      </c>
      <c r="F1182">
        <v>725000000</v>
      </c>
      <c r="G1182">
        <v>5173000000</v>
      </c>
      <c r="H1182">
        <v>10679000000</v>
      </c>
      <c r="I1182">
        <v>1673000000</v>
      </c>
      <c r="J1182">
        <v>174000000</v>
      </c>
      <c r="K1182">
        <v>10817000000</v>
      </c>
      <c r="L1182">
        <v>9405000000</v>
      </c>
      <c r="M1182">
        <v>25430000000</v>
      </c>
      <c r="N1182">
        <v>0</v>
      </c>
      <c r="O1182">
        <v>1161000000</v>
      </c>
      <c r="P1182">
        <v>10519000000</v>
      </c>
      <c r="Q1182">
        <v>140668938959</v>
      </c>
      <c r="R1182">
        <v>141829938959</v>
      </c>
    </row>
    <row r="1183" spans="1:18" x14ac:dyDescent="0.25">
      <c r="A1183" s="1" t="s">
        <v>351</v>
      </c>
      <c r="B1183">
        <v>135328986370</v>
      </c>
      <c r="C1183" t="s">
        <v>72</v>
      </c>
      <c r="D1183" t="s">
        <v>105</v>
      </c>
      <c r="E1183">
        <v>4448000000</v>
      </c>
      <c r="F1183">
        <v>725000000</v>
      </c>
      <c r="G1183">
        <v>5173000000</v>
      </c>
      <c r="H1183">
        <v>10679000000</v>
      </c>
      <c r="I1183">
        <v>1673000000</v>
      </c>
      <c r="J1183">
        <v>174000000</v>
      </c>
      <c r="K1183">
        <v>10817000000</v>
      </c>
      <c r="L1183">
        <v>9405000000</v>
      </c>
      <c r="M1183">
        <v>25430000000</v>
      </c>
      <c r="N1183">
        <v>0</v>
      </c>
      <c r="O1183">
        <v>1161000000</v>
      </c>
      <c r="P1183">
        <v>10519000000</v>
      </c>
      <c r="Q1183">
        <v>141146986370</v>
      </c>
      <c r="R1183">
        <v>142307986370</v>
      </c>
    </row>
    <row r="1184" spans="1:18" x14ac:dyDescent="0.25">
      <c r="A1184" s="1" t="s">
        <v>350</v>
      </c>
      <c r="B1184">
        <v>134165044850</v>
      </c>
      <c r="C1184" t="s">
        <v>72</v>
      </c>
      <c r="D1184" t="s">
        <v>105</v>
      </c>
      <c r="E1184">
        <v>4448000000</v>
      </c>
      <c r="F1184">
        <v>725000000</v>
      </c>
      <c r="G1184">
        <v>5173000000</v>
      </c>
      <c r="H1184">
        <v>10679000000</v>
      </c>
      <c r="I1184">
        <v>1673000000</v>
      </c>
      <c r="J1184">
        <v>174000000</v>
      </c>
      <c r="K1184">
        <v>10817000000</v>
      </c>
      <c r="L1184">
        <v>9405000000</v>
      </c>
      <c r="M1184">
        <v>25430000000</v>
      </c>
      <c r="N1184">
        <v>0</v>
      </c>
      <c r="O1184">
        <v>1161000000</v>
      </c>
      <c r="P1184">
        <v>10519000000</v>
      </c>
      <c r="Q1184">
        <v>139983044850</v>
      </c>
      <c r="R1184">
        <v>141144044850</v>
      </c>
    </row>
    <row r="1185" spans="1:18" x14ac:dyDescent="0.25">
      <c r="A1185" s="1" t="s">
        <v>349</v>
      </c>
      <c r="B1185">
        <v>133686997439</v>
      </c>
      <c r="C1185" t="s">
        <v>72</v>
      </c>
      <c r="D1185" t="s">
        <v>105</v>
      </c>
      <c r="E1185">
        <v>4448000000</v>
      </c>
      <c r="F1185">
        <v>725000000</v>
      </c>
      <c r="G1185">
        <v>5173000000</v>
      </c>
      <c r="H1185">
        <v>10679000000</v>
      </c>
      <c r="I1185">
        <v>1673000000</v>
      </c>
      <c r="J1185">
        <v>174000000</v>
      </c>
      <c r="K1185">
        <v>10817000000</v>
      </c>
      <c r="L1185">
        <v>9405000000</v>
      </c>
      <c r="M1185">
        <v>25430000000</v>
      </c>
      <c r="N1185">
        <v>0</v>
      </c>
      <c r="O1185">
        <v>1161000000</v>
      </c>
      <c r="P1185">
        <v>10519000000</v>
      </c>
      <c r="Q1185">
        <v>139504997439</v>
      </c>
      <c r="R1185">
        <v>140665997439</v>
      </c>
    </row>
    <row r="1186" spans="1:18" x14ac:dyDescent="0.25">
      <c r="A1186" s="1" t="s">
        <v>348</v>
      </c>
      <c r="B1186">
        <v>132523055920</v>
      </c>
      <c r="C1186" t="s">
        <v>72</v>
      </c>
      <c r="D1186" t="s">
        <v>105</v>
      </c>
      <c r="E1186">
        <v>4448000000</v>
      </c>
      <c r="F1186">
        <v>725000000</v>
      </c>
      <c r="G1186">
        <v>5173000000</v>
      </c>
      <c r="H1186">
        <v>10679000000</v>
      </c>
      <c r="I1186">
        <v>1673000000</v>
      </c>
      <c r="J1186">
        <v>174000000</v>
      </c>
      <c r="K1186">
        <v>10817000000</v>
      </c>
      <c r="L1186">
        <v>9405000000</v>
      </c>
      <c r="M1186">
        <v>25430000000</v>
      </c>
      <c r="N1186">
        <v>0</v>
      </c>
      <c r="O1186">
        <v>1161000000</v>
      </c>
      <c r="P1186">
        <v>10519000000</v>
      </c>
      <c r="Q1186">
        <v>138341055920</v>
      </c>
      <c r="R1186">
        <v>139502055920</v>
      </c>
    </row>
    <row r="1187" spans="1:18" x14ac:dyDescent="0.25">
      <c r="A1187" s="1" t="s">
        <v>347</v>
      </c>
      <c r="B1187">
        <v>137178822000</v>
      </c>
      <c r="C1187" t="s">
        <v>72</v>
      </c>
      <c r="D1187" t="s">
        <v>105</v>
      </c>
      <c r="E1187">
        <v>4448000000</v>
      </c>
      <c r="F1187">
        <v>725000000</v>
      </c>
      <c r="G1187">
        <v>5173000000</v>
      </c>
      <c r="H1187">
        <v>10679000000</v>
      </c>
      <c r="I1187">
        <v>1673000000</v>
      </c>
      <c r="J1187">
        <v>174000000</v>
      </c>
      <c r="K1187">
        <v>10817000000</v>
      </c>
      <c r="L1187">
        <v>9405000000</v>
      </c>
      <c r="M1187">
        <v>25430000000</v>
      </c>
      <c r="N1187">
        <v>0</v>
      </c>
      <c r="O1187">
        <v>1161000000</v>
      </c>
      <c r="P1187">
        <v>10519000000</v>
      </c>
      <c r="Q1187">
        <v>142996822000</v>
      </c>
      <c r="R1187">
        <v>144157822000</v>
      </c>
    </row>
    <row r="1188" spans="1:18" x14ac:dyDescent="0.25">
      <c r="A1188" s="1" t="s">
        <v>346</v>
      </c>
      <c r="B1188">
        <v>136181157839</v>
      </c>
      <c r="C1188" t="s">
        <v>72</v>
      </c>
      <c r="D1188" t="s">
        <v>105</v>
      </c>
      <c r="E1188">
        <v>4448000000</v>
      </c>
      <c r="F1188">
        <v>725000000</v>
      </c>
      <c r="G1188">
        <v>5173000000</v>
      </c>
      <c r="H1188">
        <v>10679000000</v>
      </c>
      <c r="I1188">
        <v>1673000000</v>
      </c>
      <c r="J1188">
        <v>174000000</v>
      </c>
      <c r="K1188">
        <v>10817000000</v>
      </c>
      <c r="L1188">
        <v>9405000000</v>
      </c>
      <c r="M1188">
        <v>25430000000</v>
      </c>
      <c r="N1188">
        <v>0</v>
      </c>
      <c r="O1188">
        <v>1161000000</v>
      </c>
      <c r="P1188">
        <v>10519000000</v>
      </c>
      <c r="Q1188">
        <v>141999157839</v>
      </c>
      <c r="R1188">
        <v>143160157839</v>
      </c>
    </row>
    <row r="1189" spans="1:18" x14ac:dyDescent="0.25">
      <c r="A1189" s="1" t="s">
        <v>345</v>
      </c>
      <c r="B1189">
        <v>139215719660</v>
      </c>
      <c r="C1189" t="s">
        <v>72</v>
      </c>
      <c r="D1189" t="s">
        <v>105</v>
      </c>
      <c r="E1189">
        <v>4448000000</v>
      </c>
      <c r="F1189">
        <v>725000000</v>
      </c>
      <c r="G1189">
        <v>5173000000</v>
      </c>
      <c r="H1189">
        <v>10679000000</v>
      </c>
      <c r="I1189">
        <v>1673000000</v>
      </c>
      <c r="J1189">
        <v>174000000</v>
      </c>
      <c r="K1189">
        <v>10817000000</v>
      </c>
      <c r="L1189">
        <v>9405000000</v>
      </c>
      <c r="M1189">
        <v>25430000000</v>
      </c>
      <c r="N1189">
        <v>0</v>
      </c>
      <c r="O1189">
        <v>1161000000</v>
      </c>
      <c r="P1189">
        <v>10519000000</v>
      </c>
      <c r="Q1189">
        <v>145033719660</v>
      </c>
      <c r="R1189">
        <v>146194719660</v>
      </c>
    </row>
    <row r="1190" spans="1:18" x14ac:dyDescent="0.25">
      <c r="A1190" s="1" t="s">
        <v>344</v>
      </c>
      <c r="B1190">
        <v>138924734280</v>
      </c>
      <c r="C1190" t="s">
        <v>72</v>
      </c>
      <c r="D1190" t="s">
        <v>105</v>
      </c>
      <c r="E1190">
        <v>4448000000</v>
      </c>
      <c r="F1190">
        <v>725000000</v>
      </c>
      <c r="G1190">
        <v>5173000000</v>
      </c>
      <c r="H1190">
        <v>10679000000</v>
      </c>
      <c r="I1190">
        <v>1673000000</v>
      </c>
      <c r="J1190">
        <v>174000000</v>
      </c>
      <c r="K1190">
        <v>10817000000</v>
      </c>
      <c r="L1190">
        <v>9405000000</v>
      </c>
      <c r="M1190">
        <v>25430000000</v>
      </c>
      <c r="N1190">
        <v>0</v>
      </c>
      <c r="O1190">
        <v>1161000000</v>
      </c>
      <c r="P1190">
        <v>10519000000</v>
      </c>
      <c r="Q1190">
        <v>144742734280</v>
      </c>
      <c r="R1190">
        <v>145903734280</v>
      </c>
    </row>
    <row r="1191" spans="1:18" x14ac:dyDescent="0.25">
      <c r="A1191" s="1" t="s">
        <v>343</v>
      </c>
      <c r="B1191">
        <v>135661541089</v>
      </c>
      <c r="C1191" t="s">
        <v>72</v>
      </c>
      <c r="D1191" t="s">
        <v>105</v>
      </c>
      <c r="E1191">
        <v>4448000000</v>
      </c>
      <c r="F1191">
        <v>725000000</v>
      </c>
      <c r="G1191">
        <v>5173000000</v>
      </c>
      <c r="H1191">
        <v>10679000000</v>
      </c>
      <c r="I1191">
        <v>1673000000</v>
      </c>
      <c r="J1191">
        <v>174000000</v>
      </c>
      <c r="K1191">
        <v>10817000000</v>
      </c>
      <c r="L1191">
        <v>9405000000</v>
      </c>
      <c r="M1191">
        <v>25430000000</v>
      </c>
      <c r="N1191">
        <v>0</v>
      </c>
      <c r="O1191">
        <v>1161000000</v>
      </c>
      <c r="P1191">
        <v>10519000000</v>
      </c>
      <c r="Q1191">
        <v>141479541089</v>
      </c>
      <c r="R1191">
        <v>142640541089</v>
      </c>
    </row>
    <row r="1192" spans="1:18" x14ac:dyDescent="0.25">
      <c r="A1192" s="1" t="s">
        <v>342</v>
      </c>
      <c r="B1192">
        <v>138696102910</v>
      </c>
      <c r="C1192" t="s">
        <v>72</v>
      </c>
      <c r="D1192" t="s">
        <v>105</v>
      </c>
      <c r="E1192">
        <v>4448000000</v>
      </c>
      <c r="F1192">
        <v>725000000</v>
      </c>
      <c r="G1192">
        <v>5173000000</v>
      </c>
      <c r="H1192">
        <v>10679000000</v>
      </c>
      <c r="I1192">
        <v>1673000000</v>
      </c>
      <c r="J1192">
        <v>174000000</v>
      </c>
      <c r="K1192">
        <v>10817000000</v>
      </c>
      <c r="L1192">
        <v>9405000000</v>
      </c>
      <c r="M1192">
        <v>25430000000</v>
      </c>
      <c r="N1192">
        <v>0</v>
      </c>
      <c r="O1192">
        <v>1161000000</v>
      </c>
      <c r="P1192">
        <v>10519000000</v>
      </c>
      <c r="Q1192">
        <v>144514102910</v>
      </c>
      <c r="R1192">
        <v>145675102910</v>
      </c>
    </row>
    <row r="1193" spans="1:18" x14ac:dyDescent="0.25">
      <c r="A1193" s="1" t="s">
        <v>341</v>
      </c>
      <c r="B1193">
        <v>141481248690</v>
      </c>
      <c r="C1193" t="s">
        <v>72</v>
      </c>
      <c r="D1193" t="s">
        <v>105</v>
      </c>
      <c r="E1193">
        <v>4448000000</v>
      </c>
      <c r="F1193">
        <v>725000000</v>
      </c>
      <c r="G1193">
        <v>5173000000</v>
      </c>
      <c r="H1193">
        <v>10679000000</v>
      </c>
      <c r="I1193">
        <v>1673000000</v>
      </c>
      <c r="J1193">
        <v>174000000</v>
      </c>
      <c r="K1193">
        <v>10817000000</v>
      </c>
      <c r="L1193">
        <v>9405000000</v>
      </c>
      <c r="M1193">
        <v>25430000000</v>
      </c>
      <c r="N1193">
        <v>0</v>
      </c>
      <c r="O1193">
        <v>1161000000</v>
      </c>
      <c r="P1193">
        <v>10519000000</v>
      </c>
      <c r="Q1193">
        <v>147299248690</v>
      </c>
      <c r="R1193">
        <v>148460248690</v>
      </c>
    </row>
    <row r="1194" spans="1:18" x14ac:dyDescent="0.25">
      <c r="A1194" s="1" t="s">
        <v>340</v>
      </c>
      <c r="B1194">
        <v>143393438330</v>
      </c>
      <c r="C1194" t="s">
        <v>72</v>
      </c>
      <c r="D1194" t="s">
        <v>105</v>
      </c>
      <c r="E1194">
        <v>4448000000</v>
      </c>
      <c r="F1194">
        <v>725000000</v>
      </c>
      <c r="G1194">
        <v>5173000000</v>
      </c>
      <c r="H1194">
        <v>10679000000</v>
      </c>
      <c r="I1194">
        <v>1673000000</v>
      </c>
      <c r="J1194">
        <v>174000000</v>
      </c>
      <c r="K1194">
        <v>10817000000</v>
      </c>
      <c r="L1194">
        <v>9405000000</v>
      </c>
      <c r="M1194">
        <v>25430000000</v>
      </c>
      <c r="N1194">
        <v>0</v>
      </c>
      <c r="O1194">
        <v>1161000000</v>
      </c>
      <c r="P1194">
        <v>10519000000</v>
      </c>
      <c r="Q1194">
        <v>149211438330</v>
      </c>
      <c r="R1194">
        <v>150372438330</v>
      </c>
    </row>
    <row r="1195" spans="1:18" x14ac:dyDescent="0.25">
      <c r="A1195" s="1" t="s">
        <v>339</v>
      </c>
      <c r="B1195">
        <v>146469569490</v>
      </c>
      <c r="C1195" t="s">
        <v>72</v>
      </c>
      <c r="D1195" t="s">
        <v>105</v>
      </c>
      <c r="E1195">
        <v>4448000000</v>
      </c>
      <c r="F1195">
        <v>725000000</v>
      </c>
      <c r="G1195">
        <v>5173000000</v>
      </c>
      <c r="H1195">
        <v>10679000000</v>
      </c>
      <c r="I1195">
        <v>1673000000</v>
      </c>
      <c r="J1195">
        <v>174000000</v>
      </c>
      <c r="K1195">
        <v>10817000000</v>
      </c>
      <c r="L1195">
        <v>9405000000</v>
      </c>
      <c r="M1195">
        <v>25430000000</v>
      </c>
      <c r="N1195">
        <v>0</v>
      </c>
      <c r="O1195">
        <v>1161000000</v>
      </c>
      <c r="P1195">
        <v>10519000000</v>
      </c>
      <c r="Q1195">
        <v>152287569490</v>
      </c>
      <c r="R1195">
        <v>153448569490</v>
      </c>
    </row>
    <row r="1196" spans="1:18" x14ac:dyDescent="0.25">
      <c r="A1196" s="1" t="s">
        <v>117</v>
      </c>
      <c r="B1196">
        <v>146843693550</v>
      </c>
      <c r="C1196" t="s">
        <v>71</v>
      </c>
      <c r="D1196" t="s">
        <v>105</v>
      </c>
      <c r="E1196">
        <v>5485000000</v>
      </c>
      <c r="F1196">
        <v>727000000</v>
      </c>
      <c r="G1196">
        <v>6212000000</v>
      </c>
      <c r="H1196">
        <v>11297000000</v>
      </c>
      <c r="I1196">
        <v>964000000</v>
      </c>
      <c r="J1196">
        <v>499000000</v>
      </c>
      <c r="K1196">
        <v>9459000000</v>
      </c>
      <c r="L1196">
        <v>9454000000</v>
      </c>
      <c r="M1196">
        <v>26017000000</v>
      </c>
      <c r="N1196">
        <v>0</v>
      </c>
      <c r="O1196">
        <v>1433000000</v>
      </c>
      <c r="P1196">
        <v>12682000000</v>
      </c>
      <c r="Q1196">
        <v>150589693550</v>
      </c>
      <c r="R1196">
        <v>152022693550</v>
      </c>
    </row>
    <row r="1197" spans="1:18" x14ac:dyDescent="0.25">
      <c r="A1197" s="1" t="s">
        <v>338</v>
      </c>
      <c r="B1197">
        <v>148839021870</v>
      </c>
      <c r="C1197" t="s">
        <v>71</v>
      </c>
      <c r="D1197" t="s">
        <v>105</v>
      </c>
      <c r="E1197">
        <v>5485000000</v>
      </c>
      <c r="F1197">
        <v>727000000</v>
      </c>
      <c r="G1197">
        <v>6212000000</v>
      </c>
      <c r="H1197">
        <v>11297000000</v>
      </c>
      <c r="I1197">
        <v>964000000</v>
      </c>
      <c r="J1197">
        <v>499000000</v>
      </c>
      <c r="K1197">
        <v>9459000000</v>
      </c>
      <c r="L1197">
        <v>9454000000</v>
      </c>
      <c r="M1197">
        <v>26017000000</v>
      </c>
      <c r="N1197">
        <v>0</v>
      </c>
      <c r="O1197">
        <v>1433000000</v>
      </c>
      <c r="P1197">
        <v>12682000000</v>
      </c>
      <c r="Q1197">
        <v>152585021870</v>
      </c>
      <c r="R1197">
        <v>154018021870</v>
      </c>
    </row>
    <row r="1198" spans="1:18" x14ac:dyDescent="0.25">
      <c r="A1198" s="1" t="s">
        <v>337</v>
      </c>
      <c r="B1198">
        <v>147384094970</v>
      </c>
      <c r="C1198" t="s">
        <v>71</v>
      </c>
      <c r="D1198" t="s">
        <v>105</v>
      </c>
      <c r="E1198">
        <v>5485000000</v>
      </c>
      <c r="F1198">
        <v>727000000</v>
      </c>
      <c r="G1198">
        <v>6212000000</v>
      </c>
      <c r="H1198">
        <v>11297000000</v>
      </c>
      <c r="I1198">
        <v>964000000</v>
      </c>
      <c r="J1198">
        <v>499000000</v>
      </c>
      <c r="K1198">
        <v>9459000000</v>
      </c>
      <c r="L1198">
        <v>9454000000</v>
      </c>
      <c r="M1198">
        <v>26017000000</v>
      </c>
      <c r="N1198">
        <v>0</v>
      </c>
      <c r="O1198">
        <v>1433000000</v>
      </c>
      <c r="P1198">
        <v>12682000000</v>
      </c>
      <c r="Q1198">
        <v>151130094970</v>
      </c>
      <c r="R1198">
        <v>152563094970</v>
      </c>
    </row>
    <row r="1199" spans="1:18" x14ac:dyDescent="0.25">
      <c r="A1199" s="1" t="s">
        <v>336</v>
      </c>
      <c r="B1199">
        <v>143663639040</v>
      </c>
      <c r="C1199" t="s">
        <v>71</v>
      </c>
      <c r="D1199" t="s">
        <v>105</v>
      </c>
      <c r="E1199">
        <v>5485000000</v>
      </c>
      <c r="F1199">
        <v>727000000</v>
      </c>
      <c r="G1199">
        <v>6212000000</v>
      </c>
      <c r="H1199">
        <v>11297000000</v>
      </c>
      <c r="I1199">
        <v>964000000</v>
      </c>
      <c r="J1199">
        <v>499000000</v>
      </c>
      <c r="K1199">
        <v>9459000000</v>
      </c>
      <c r="L1199">
        <v>9454000000</v>
      </c>
      <c r="M1199">
        <v>26017000000</v>
      </c>
      <c r="N1199">
        <v>0</v>
      </c>
      <c r="O1199">
        <v>1433000000</v>
      </c>
      <c r="P1199">
        <v>12682000000</v>
      </c>
      <c r="Q1199">
        <v>147409639040</v>
      </c>
      <c r="R1199">
        <v>148842639040</v>
      </c>
    </row>
    <row r="1200" spans="1:18" x14ac:dyDescent="0.25">
      <c r="A1200" s="1" t="s">
        <v>335</v>
      </c>
      <c r="B1200">
        <v>143393438330</v>
      </c>
      <c r="C1200" t="s">
        <v>71</v>
      </c>
      <c r="D1200" t="s">
        <v>105</v>
      </c>
      <c r="E1200">
        <v>5485000000</v>
      </c>
      <c r="F1200">
        <v>727000000</v>
      </c>
      <c r="G1200">
        <v>6212000000</v>
      </c>
      <c r="H1200">
        <v>11297000000</v>
      </c>
      <c r="I1200">
        <v>964000000</v>
      </c>
      <c r="J1200">
        <v>499000000</v>
      </c>
      <c r="K1200">
        <v>9459000000</v>
      </c>
      <c r="L1200">
        <v>9454000000</v>
      </c>
      <c r="M1200">
        <v>26017000000</v>
      </c>
      <c r="N1200">
        <v>0</v>
      </c>
      <c r="O1200">
        <v>1433000000</v>
      </c>
      <c r="P1200">
        <v>12682000000</v>
      </c>
      <c r="Q1200">
        <v>147139438330</v>
      </c>
      <c r="R1200">
        <v>148572438330</v>
      </c>
    </row>
    <row r="1201" spans="1:18" x14ac:dyDescent="0.25">
      <c r="A1201" s="1" t="s">
        <v>334</v>
      </c>
      <c r="B1201">
        <v>164510663050</v>
      </c>
      <c r="C1201" t="s">
        <v>71</v>
      </c>
      <c r="D1201" t="s">
        <v>105</v>
      </c>
      <c r="E1201">
        <v>5485000000</v>
      </c>
      <c r="F1201">
        <v>727000000</v>
      </c>
      <c r="G1201">
        <v>6212000000</v>
      </c>
      <c r="H1201">
        <v>11297000000</v>
      </c>
      <c r="I1201">
        <v>964000000</v>
      </c>
      <c r="J1201">
        <v>499000000</v>
      </c>
      <c r="K1201">
        <v>9459000000</v>
      </c>
      <c r="L1201">
        <v>9454000000</v>
      </c>
      <c r="M1201">
        <v>26017000000</v>
      </c>
      <c r="N1201">
        <v>0</v>
      </c>
      <c r="O1201">
        <v>1433000000</v>
      </c>
      <c r="P1201">
        <v>12682000000</v>
      </c>
      <c r="Q1201">
        <v>168256663050</v>
      </c>
      <c r="R1201">
        <v>169689663050</v>
      </c>
    </row>
    <row r="1202" spans="1:18" x14ac:dyDescent="0.25">
      <c r="A1202" s="1" t="s">
        <v>147</v>
      </c>
      <c r="B1202">
        <v>169166429130</v>
      </c>
      <c r="C1202" t="s">
        <v>71</v>
      </c>
      <c r="D1202" t="s">
        <v>105</v>
      </c>
      <c r="E1202">
        <v>5485000000</v>
      </c>
      <c r="F1202">
        <v>727000000</v>
      </c>
      <c r="G1202">
        <v>6212000000</v>
      </c>
      <c r="H1202">
        <v>11297000000</v>
      </c>
      <c r="I1202">
        <v>964000000</v>
      </c>
      <c r="J1202">
        <v>499000000</v>
      </c>
      <c r="K1202">
        <v>9459000000</v>
      </c>
      <c r="L1202">
        <v>9454000000</v>
      </c>
      <c r="M1202">
        <v>26017000000</v>
      </c>
      <c r="N1202">
        <v>0</v>
      </c>
      <c r="O1202">
        <v>1433000000</v>
      </c>
      <c r="P1202">
        <v>12682000000</v>
      </c>
      <c r="Q1202">
        <v>172912429130</v>
      </c>
      <c r="R1202">
        <v>174345429130</v>
      </c>
    </row>
    <row r="1203" spans="1:18" x14ac:dyDescent="0.25">
      <c r="A1203" s="1" t="s">
        <v>333</v>
      </c>
      <c r="B1203">
        <v>162972597470</v>
      </c>
      <c r="C1203" t="s">
        <v>71</v>
      </c>
      <c r="D1203" t="s">
        <v>105</v>
      </c>
      <c r="E1203">
        <v>5485000000</v>
      </c>
      <c r="F1203">
        <v>727000000</v>
      </c>
      <c r="G1203">
        <v>6212000000</v>
      </c>
      <c r="H1203">
        <v>11297000000</v>
      </c>
      <c r="I1203">
        <v>964000000</v>
      </c>
      <c r="J1203">
        <v>499000000</v>
      </c>
      <c r="K1203">
        <v>9459000000</v>
      </c>
      <c r="L1203">
        <v>9454000000</v>
      </c>
      <c r="M1203">
        <v>26017000000</v>
      </c>
      <c r="N1203">
        <v>0</v>
      </c>
      <c r="O1203">
        <v>1433000000</v>
      </c>
      <c r="P1203">
        <v>12682000000</v>
      </c>
      <c r="Q1203">
        <v>166718597470</v>
      </c>
      <c r="R1203">
        <v>168151597470</v>
      </c>
    </row>
    <row r="1204" spans="1:18" x14ac:dyDescent="0.25">
      <c r="A1204" s="1" t="s">
        <v>332</v>
      </c>
      <c r="B1204">
        <v>159210572200</v>
      </c>
      <c r="C1204" t="s">
        <v>71</v>
      </c>
      <c r="D1204" t="s">
        <v>105</v>
      </c>
      <c r="E1204">
        <v>5485000000</v>
      </c>
      <c r="F1204">
        <v>727000000</v>
      </c>
      <c r="G1204">
        <v>6212000000</v>
      </c>
      <c r="H1204">
        <v>11297000000</v>
      </c>
      <c r="I1204">
        <v>964000000</v>
      </c>
      <c r="J1204">
        <v>499000000</v>
      </c>
      <c r="K1204">
        <v>9459000000</v>
      </c>
      <c r="L1204">
        <v>9454000000</v>
      </c>
      <c r="M1204">
        <v>26017000000</v>
      </c>
      <c r="N1204">
        <v>0</v>
      </c>
      <c r="O1204">
        <v>1433000000</v>
      </c>
      <c r="P1204">
        <v>12682000000</v>
      </c>
      <c r="Q1204">
        <v>162956572200</v>
      </c>
      <c r="R1204">
        <v>164389572200</v>
      </c>
    </row>
    <row r="1205" spans="1:18" x14ac:dyDescent="0.25">
      <c r="A1205" s="1" t="s">
        <v>331</v>
      </c>
      <c r="B1205">
        <v>158878017480</v>
      </c>
      <c r="C1205" t="s">
        <v>71</v>
      </c>
      <c r="D1205" t="s">
        <v>105</v>
      </c>
      <c r="E1205">
        <v>5485000000</v>
      </c>
      <c r="F1205">
        <v>727000000</v>
      </c>
      <c r="G1205">
        <v>6212000000</v>
      </c>
      <c r="H1205">
        <v>11297000000</v>
      </c>
      <c r="I1205">
        <v>964000000</v>
      </c>
      <c r="J1205">
        <v>499000000</v>
      </c>
      <c r="K1205">
        <v>9459000000</v>
      </c>
      <c r="L1205">
        <v>9454000000</v>
      </c>
      <c r="M1205">
        <v>26017000000</v>
      </c>
      <c r="N1205">
        <v>0</v>
      </c>
      <c r="O1205">
        <v>1433000000</v>
      </c>
      <c r="P1205">
        <v>12682000000</v>
      </c>
      <c r="Q1205">
        <v>162624017480</v>
      </c>
      <c r="R1205">
        <v>164057017480</v>
      </c>
    </row>
    <row r="1206" spans="1:18" x14ac:dyDescent="0.25">
      <c r="A1206" s="1" t="s">
        <v>330</v>
      </c>
      <c r="B1206">
        <v>162182780010</v>
      </c>
      <c r="C1206" t="s">
        <v>71</v>
      </c>
      <c r="D1206" t="s">
        <v>105</v>
      </c>
      <c r="E1206">
        <v>5485000000</v>
      </c>
      <c r="F1206">
        <v>727000000</v>
      </c>
      <c r="G1206">
        <v>6212000000</v>
      </c>
      <c r="H1206">
        <v>11297000000</v>
      </c>
      <c r="I1206">
        <v>964000000</v>
      </c>
      <c r="J1206">
        <v>499000000</v>
      </c>
      <c r="K1206">
        <v>9459000000</v>
      </c>
      <c r="L1206">
        <v>9454000000</v>
      </c>
      <c r="M1206">
        <v>26017000000</v>
      </c>
      <c r="N1206">
        <v>0</v>
      </c>
      <c r="O1206">
        <v>1433000000</v>
      </c>
      <c r="P1206">
        <v>12682000000</v>
      </c>
      <c r="Q1206">
        <v>165928780010</v>
      </c>
      <c r="R1206">
        <v>167361780010</v>
      </c>
    </row>
    <row r="1207" spans="1:18" x14ac:dyDescent="0.25">
      <c r="A1207" s="1" t="s">
        <v>329</v>
      </c>
      <c r="B1207">
        <v>162536119400</v>
      </c>
      <c r="C1207" t="s">
        <v>71</v>
      </c>
      <c r="D1207" t="s">
        <v>105</v>
      </c>
      <c r="E1207">
        <v>5485000000</v>
      </c>
      <c r="F1207">
        <v>727000000</v>
      </c>
      <c r="G1207">
        <v>6212000000</v>
      </c>
      <c r="H1207">
        <v>11297000000</v>
      </c>
      <c r="I1207">
        <v>964000000</v>
      </c>
      <c r="J1207">
        <v>499000000</v>
      </c>
      <c r="K1207">
        <v>9459000000</v>
      </c>
      <c r="L1207">
        <v>9454000000</v>
      </c>
      <c r="M1207">
        <v>26017000000</v>
      </c>
      <c r="N1207">
        <v>0</v>
      </c>
      <c r="O1207">
        <v>1433000000</v>
      </c>
      <c r="P1207">
        <v>12682000000</v>
      </c>
      <c r="Q1207">
        <v>166282119400</v>
      </c>
      <c r="R1207">
        <v>167715119400</v>
      </c>
    </row>
    <row r="1208" spans="1:18" x14ac:dyDescent="0.25">
      <c r="A1208" s="1" t="s">
        <v>328</v>
      </c>
      <c r="B1208">
        <v>162868674120</v>
      </c>
      <c r="C1208" t="s">
        <v>71</v>
      </c>
      <c r="D1208" t="s">
        <v>105</v>
      </c>
      <c r="E1208">
        <v>5485000000</v>
      </c>
      <c r="F1208">
        <v>727000000</v>
      </c>
      <c r="G1208">
        <v>6212000000</v>
      </c>
      <c r="H1208">
        <v>11297000000</v>
      </c>
      <c r="I1208">
        <v>964000000</v>
      </c>
      <c r="J1208">
        <v>499000000</v>
      </c>
      <c r="K1208">
        <v>9459000000</v>
      </c>
      <c r="L1208">
        <v>9454000000</v>
      </c>
      <c r="M1208">
        <v>26017000000</v>
      </c>
      <c r="N1208">
        <v>0</v>
      </c>
      <c r="O1208">
        <v>1433000000</v>
      </c>
      <c r="P1208">
        <v>12682000000</v>
      </c>
      <c r="Q1208">
        <v>166614674120</v>
      </c>
      <c r="R1208">
        <v>168047674120</v>
      </c>
    </row>
    <row r="1209" spans="1:18" x14ac:dyDescent="0.25">
      <c r="A1209" s="1" t="s">
        <v>327</v>
      </c>
      <c r="B1209">
        <v>163679276250</v>
      </c>
      <c r="C1209" t="s">
        <v>71</v>
      </c>
      <c r="D1209" t="s">
        <v>105</v>
      </c>
      <c r="E1209">
        <v>5485000000</v>
      </c>
      <c r="F1209">
        <v>727000000</v>
      </c>
      <c r="G1209">
        <v>6212000000</v>
      </c>
      <c r="H1209">
        <v>11297000000</v>
      </c>
      <c r="I1209">
        <v>964000000</v>
      </c>
      <c r="J1209">
        <v>499000000</v>
      </c>
      <c r="K1209">
        <v>9459000000</v>
      </c>
      <c r="L1209">
        <v>9454000000</v>
      </c>
      <c r="M1209">
        <v>26017000000</v>
      </c>
      <c r="N1209">
        <v>0</v>
      </c>
      <c r="O1209">
        <v>1433000000</v>
      </c>
      <c r="P1209">
        <v>12682000000</v>
      </c>
      <c r="Q1209">
        <v>167425276250</v>
      </c>
      <c r="R1209">
        <v>168858276250</v>
      </c>
    </row>
    <row r="1210" spans="1:18" x14ac:dyDescent="0.25">
      <c r="A1210" s="1" t="s">
        <v>326</v>
      </c>
      <c r="B1210">
        <v>161559239910</v>
      </c>
      <c r="C1210" t="s">
        <v>71</v>
      </c>
      <c r="D1210" t="s">
        <v>105</v>
      </c>
      <c r="E1210">
        <v>5485000000</v>
      </c>
      <c r="F1210">
        <v>727000000</v>
      </c>
      <c r="G1210">
        <v>6212000000</v>
      </c>
      <c r="H1210">
        <v>11297000000</v>
      </c>
      <c r="I1210">
        <v>964000000</v>
      </c>
      <c r="J1210">
        <v>499000000</v>
      </c>
      <c r="K1210">
        <v>9459000000</v>
      </c>
      <c r="L1210">
        <v>9454000000</v>
      </c>
      <c r="M1210">
        <v>26017000000</v>
      </c>
      <c r="N1210">
        <v>0</v>
      </c>
      <c r="O1210">
        <v>1433000000</v>
      </c>
      <c r="P1210">
        <v>12682000000</v>
      </c>
      <c r="Q1210">
        <v>165305239910</v>
      </c>
      <c r="R1210">
        <v>166738239910</v>
      </c>
    </row>
    <row r="1211" spans="1:18" x14ac:dyDescent="0.25">
      <c r="A1211" s="1" t="s">
        <v>325</v>
      </c>
      <c r="B1211">
        <v>165238126500</v>
      </c>
      <c r="C1211" t="s">
        <v>71</v>
      </c>
      <c r="D1211" t="s">
        <v>105</v>
      </c>
      <c r="E1211">
        <v>5485000000</v>
      </c>
      <c r="F1211">
        <v>727000000</v>
      </c>
      <c r="G1211">
        <v>6212000000</v>
      </c>
      <c r="H1211">
        <v>11297000000</v>
      </c>
      <c r="I1211">
        <v>964000000</v>
      </c>
      <c r="J1211">
        <v>499000000</v>
      </c>
      <c r="K1211">
        <v>9459000000</v>
      </c>
      <c r="L1211">
        <v>9454000000</v>
      </c>
      <c r="M1211">
        <v>26017000000</v>
      </c>
      <c r="N1211">
        <v>0</v>
      </c>
      <c r="O1211">
        <v>1433000000</v>
      </c>
      <c r="P1211">
        <v>12682000000</v>
      </c>
      <c r="Q1211">
        <v>168984126500</v>
      </c>
      <c r="R1211">
        <v>170417126500</v>
      </c>
    </row>
    <row r="1212" spans="1:18" x14ac:dyDescent="0.25">
      <c r="A1212" s="1" t="s">
        <v>324</v>
      </c>
      <c r="B1212">
        <v>168418181010</v>
      </c>
      <c r="C1212" t="s">
        <v>71</v>
      </c>
      <c r="D1212" t="s">
        <v>105</v>
      </c>
      <c r="E1212">
        <v>5485000000</v>
      </c>
      <c r="F1212">
        <v>727000000</v>
      </c>
      <c r="G1212">
        <v>6212000000</v>
      </c>
      <c r="H1212">
        <v>11297000000</v>
      </c>
      <c r="I1212">
        <v>964000000</v>
      </c>
      <c r="J1212">
        <v>499000000</v>
      </c>
      <c r="K1212">
        <v>9459000000</v>
      </c>
      <c r="L1212">
        <v>9454000000</v>
      </c>
      <c r="M1212">
        <v>26017000000</v>
      </c>
      <c r="N1212">
        <v>0</v>
      </c>
      <c r="O1212">
        <v>1433000000</v>
      </c>
      <c r="P1212">
        <v>12682000000</v>
      </c>
      <c r="Q1212">
        <v>172164181010</v>
      </c>
      <c r="R1212">
        <v>173597181010</v>
      </c>
    </row>
    <row r="1213" spans="1:18" x14ac:dyDescent="0.25">
      <c r="A1213" s="1" t="s">
        <v>323</v>
      </c>
      <c r="B1213">
        <v>168979367100</v>
      </c>
      <c r="C1213" t="s">
        <v>71</v>
      </c>
      <c r="D1213" t="s">
        <v>105</v>
      </c>
      <c r="E1213">
        <v>5485000000</v>
      </c>
      <c r="F1213">
        <v>727000000</v>
      </c>
      <c r="G1213">
        <v>6212000000</v>
      </c>
      <c r="H1213">
        <v>11297000000</v>
      </c>
      <c r="I1213">
        <v>964000000</v>
      </c>
      <c r="J1213">
        <v>499000000</v>
      </c>
      <c r="K1213">
        <v>9459000000</v>
      </c>
      <c r="L1213">
        <v>9454000000</v>
      </c>
      <c r="M1213">
        <v>26017000000</v>
      </c>
      <c r="N1213">
        <v>0</v>
      </c>
      <c r="O1213">
        <v>1433000000</v>
      </c>
      <c r="P1213">
        <v>12682000000</v>
      </c>
      <c r="Q1213">
        <v>172725367100</v>
      </c>
      <c r="R1213">
        <v>174158367100</v>
      </c>
    </row>
    <row r="1214" spans="1:18" x14ac:dyDescent="0.25">
      <c r="A1214" s="1" t="s">
        <v>322</v>
      </c>
      <c r="B1214">
        <v>164385955030</v>
      </c>
      <c r="C1214" t="s">
        <v>71</v>
      </c>
      <c r="D1214" t="s">
        <v>105</v>
      </c>
      <c r="E1214">
        <v>5485000000</v>
      </c>
      <c r="F1214">
        <v>727000000</v>
      </c>
      <c r="G1214">
        <v>6212000000</v>
      </c>
      <c r="H1214">
        <v>11297000000</v>
      </c>
      <c r="I1214">
        <v>964000000</v>
      </c>
      <c r="J1214">
        <v>499000000</v>
      </c>
      <c r="K1214">
        <v>9459000000</v>
      </c>
      <c r="L1214">
        <v>9454000000</v>
      </c>
      <c r="M1214">
        <v>26017000000</v>
      </c>
      <c r="N1214">
        <v>0</v>
      </c>
      <c r="O1214">
        <v>1433000000</v>
      </c>
      <c r="P1214">
        <v>12682000000</v>
      </c>
      <c r="Q1214">
        <v>168131955030</v>
      </c>
      <c r="R1214">
        <v>169564955030</v>
      </c>
    </row>
    <row r="1215" spans="1:18" x14ac:dyDescent="0.25">
      <c r="A1215" s="1" t="s">
        <v>321</v>
      </c>
      <c r="B1215">
        <v>163450644880</v>
      </c>
      <c r="C1215" t="s">
        <v>71</v>
      </c>
      <c r="D1215" t="s">
        <v>105</v>
      </c>
      <c r="E1215">
        <v>5485000000</v>
      </c>
      <c r="F1215">
        <v>727000000</v>
      </c>
      <c r="G1215">
        <v>6212000000</v>
      </c>
      <c r="H1215">
        <v>11297000000</v>
      </c>
      <c r="I1215">
        <v>964000000</v>
      </c>
      <c r="J1215">
        <v>499000000</v>
      </c>
      <c r="K1215">
        <v>9459000000</v>
      </c>
      <c r="L1215">
        <v>9454000000</v>
      </c>
      <c r="M1215">
        <v>26017000000</v>
      </c>
      <c r="N1215">
        <v>0</v>
      </c>
      <c r="O1215">
        <v>1433000000</v>
      </c>
      <c r="P1215">
        <v>12682000000</v>
      </c>
      <c r="Q1215">
        <v>167196644880</v>
      </c>
      <c r="R1215">
        <v>168629644880</v>
      </c>
    </row>
    <row r="1216" spans="1:18" x14ac:dyDescent="0.25">
      <c r="A1216" s="1" t="s">
        <v>320</v>
      </c>
      <c r="B1216">
        <v>165051064470</v>
      </c>
      <c r="C1216" t="s">
        <v>71</v>
      </c>
      <c r="D1216" t="s">
        <v>105</v>
      </c>
      <c r="E1216">
        <v>5485000000</v>
      </c>
      <c r="F1216">
        <v>727000000</v>
      </c>
      <c r="G1216">
        <v>6212000000</v>
      </c>
      <c r="H1216">
        <v>11297000000</v>
      </c>
      <c r="I1216">
        <v>964000000</v>
      </c>
      <c r="J1216">
        <v>499000000</v>
      </c>
      <c r="K1216">
        <v>9459000000</v>
      </c>
      <c r="L1216">
        <v>9454000000</v>
      </c>
      <c r="M1216">
        <v>26017000000</v>
      </c>
      <c r="N1216">
        <v>0</v>
      </c>
      <c r="O1216">
        <v>1433000000</v>
      </c>
      <c r="P1216">
        <v>12682000000</v>
      </c>
      <c r="Q1216">
        <v>168797064470</v>
      </c>
      <c r="R1216">
        <v>170230064470</v>
      </c>
    </row>
    <row r="1217" spans="1:18" x14ac:dyDescent="0.25">
      <c r="A1217" s="1" t="s">
        <v>319</v>
      </c>
      <c r="B1217">
        <v>163575352900</v>
      </c>
      <c r="C1217" t="s">
        <v>71</v>
      </c>
      <c r="D1217" t="s">
        <v>105</v>
      </c>
      <c r="E1217">
        <v>5485000000</v>
      </c>
      <c r="F1217">
        <v>727000000</v>
      </c>
      <c r="G1217">
        <v>6212000000</v>
      </c>
      <c r="H1217">
        <v>11297000000</v>
      </c>
      <c r="I1217">
        <v>964000000</v>
      </c>
      <c r="J1217">
        <v>499000000</v>
      </c>
      <c r="K1217">
        <v>9459000000</v>
      </c>
      <c r="L1217">
        <v>9454000000</v>
      </c>
      <c r="M1217">
        <v>26017000000</v>
      </c>
      <c r="N1217">
        <v>0</v>
      </c>
      <c r="O1217">
        <v>1433000000</v>
      </c>
      <c r="P1217">
        <v>12682000000</v>
      </c>
      <c r="Q1217">
        <v>167321352900</v>
      </c>
      <c r="R1217">
        <v>168754352900</v>
      </c>
    </row>
    <row r="1218" spans="1:18" x14ac:dyDescent="0.25">
      <c r="A1218" s="1" t="s">
        <v>318</v>
      </c>
      <c r="B1218">
        <v>161018838490</v>
      </c>
      <c r="C1218" t="s">
        <v>71</v>
      </c>
      <c r="D1218" t="s">
        <v>105</v>
      </c>
      <c r="E1218">
        <v>5485000000</v>
      </c>
      <c r="F1218">
        <v>727000000</v>
      </c>
      <c r="G1218">
        <v>6212000000</v>
      </c>
      <c r="H1218">
        <v>11297000000</v>
      </c>
      <c r="I1218">
        <v>964000000</v>
      </c>
      <c r="J1218">
        <v>499000000</v>
      </c>
      <c r="K1218">
        <v>9459000000</v>
      </c>
      <c r="L1218">
        <v>9454000000</v>
      </c>
      <c r="M1218">
        <v>26017000000</v>
      </c>
      <c r="N1218">
        <v>0</v>
      </c>
      <c r="O1218">
        <v>1433000000</v>
      </c>
      <c r="P1218">
        <v>12682000000</v>
      </c>
      <c r="Q1218">
        <v>164764838490</v>
      </c>
      <c r="R1218">
        <v>166197838490</v>
      </c>
    </row>
    <row r="1219" spans="1:18" x14ac:dyDescent="0.25">
      <c r="A1219" s="1" t="s">
        <v>317</v>
      </c>
      <c r="B1219">
        <v>162785535440</v>
      </c>
      <c r="C1219" t="s">
        <v>71</v>
      </c>
      <c r="D1219" t="s">
        <v>105</v>
      </c>
      <c r="E1219">
        <v>5485000000</v>
      </c>
      <c r="F1219">
        <v>727000000</v>
      </c>
      <c r="G1219">
        <v>6212000000</v>
      </c>
      <c r="H1219">
        <v>11297000000</v>
      </c>
      <c r="I1219">
        <v>964000000</v>
      </c>
      <c r="J1219">
        <v>499000000</v>
      </c>
      <c r="K1219">
        <v>9459000000</v>
      </c>
      <c r="L1219">
        <v>9454000000</v>
      </c>
      <c r="M1219">
        <v>26017000000</v>
      </c>
      <c r="N1219">
        <v>0</v>
      </c>
      <c r="O1219">
        <v>1433000000</v>
      </c>
      <c r="P1219">
        <v>12682000000</v>
      </c>
      <c r="Q1219">
        <v>166531535440</v>
      </c>
      <c r="R1219">
        <v>167964535440</v>
      </c>
    </row>
    <row r="1220" spans="1:18" x14ac:dyDescent="0.25">
      <c r="A1220" s="1" t="s">
        <v>316</v>
      </c>
      <c r="B1220">
        <v>162640042750</v>
      </c>
      <c r="C1220" t="s">
        <v>71</v>
      </c>
      <c r="D1220" t="s">
        <v>105</v>
      </c>
      <c r="E1220">
        <v>5485000000</v>
      </c>
      <c r="F1220">
        <v>727000000</v>
      </c>
      <c r="G1220">
        <v>6212000000</v>
      </c>
      <c r="H1220">
        <v>11297000000</v>
      </c>
      <c r="I1220">
        <v>964000000</v>
      </c>
      <c r="J1220">
        <v>499000000</v>
      </c>
      <c r="K1220">
        <v>9459000000</v>
      </c>
      <c r="L1220">
        <v>9454000000</v>
      </c>
      <c r="M1220">
        <v>26017000000</v>
      </c>
      <c r="N1220">
        <v>0</v>
      </c>
      <c r="O1220">
        <v>1433000000</v>
      </c>
      <c r="P1220">
        <v>12682000000</v>
      </c>
      <c r="Q1220">
        <v>166386042750</v>
      </c>
      <c r="R1220">
        <v>167819042750</v>
      </c>
    </row>
    <row r="1221" spans="1:18" x14ac:dyDescent="0.25">
      <c r="A1221" s="1" t="s">
        <v>315</v>
      </c>
      <c r="B1221">
        <v>161392962550</v>
      </c>
      <c r="C1221" t="s">
        <v>71</v>
      </c>
      <c r="D1221" t="s">
        <v>105</v>
      </c>
      <c r="E1221">
        <v>5485000000</v>
      </c>
      <c r="F1221">
        <v>727000000</v>
      </c>
      <c r="G1221">
        <v>6212000000</v>
      </c>
      <c r="H1221">
        <v>11297000000</v>
      </c>
      <c r="I1221">
        <v>964000000</v>
      </c>
      <c r="J1221">
        <v>499000000</v>
      </c>
      <c r="K1221">
        <v>9459000000</v>
      </c>
      <c r="L1221">
        <v>9454000000</v>
      </c>
      <c r="M1221">
        <v>26017000000</v>
      </c>
      <c r="N1221">
        <v>0</v>
      </c>
      <c r="O1221">
        <v>1433000000</v>
      </c>
      <c r="P1221">
        <v>12682000000</v>
      </c>
      <c r="Q1221">
        <v>165138962550</v>
      </c>
      <c r="R1221">
        <v>166571962550</v>
      </c>
    </row>
    <row r="1222" spans="1:18" x14ac:dyDescent="0.25">
      <c r="A1222" s="1" t="s">
        <v>314</v>
      </c>
      <c r="B1222">
        <v>158108984690</v>
      </c>
      <c r="C1222" t="s">
        <v>71</v>
      </c>
      <c r="D1222" t="s">
        <v>105</v>
      </c>
      <c r="E1222">
        <v>5485000000</v>
      </c>
      <c r="F1222">
        <v>727000000</v>
      </c>
      <c r="G1222">
        <v>6212000000</v>
      </c>
      <c r="H1222">
        <v>11297000000</v>
      </c>
      <c r="I1222">
        <v>964000000</v>
      </c>
      <c r="J1222">
        <v>499000000</v>
      </c>
      <c r="K1222">
        <v>9459000000</v>
      </c>
      <c r="L1222">
        <v>9454000000</v>
      </c>
      <c r="M1222">
        <v>26017000000</v>
      </c>
      <c r="N1222">
        <v>0</v>
      </c>
      <c r="O1222">
        <v>1433000000</v>
      </c>
      <c r="P1222">
        <v>12682000000</v>
      </c>
      <c r="Q1222">
        <v>161854984690</v>
      </c>
      <c r="R1222">
        <v>163287984690</v>
      </c>
    </row>
    <row r="1223" spans="1:18" x14ac:dyDescent="0.25">
      <c r="A1223" s="1" t="s">
        <v>313</v>
      </c>
      <c r="B1223">
        <v>157339951900</v>
      </c>
      <c r="C1223" t="s">
        <v>71</v>
      </c>
      <c r="D1223" t="s">
        <v>105</v>
      </c>
      <c r="E1223">
        <v>5485000000</v>
      </c>
      <c r="F1223">
        <v>727000000</v>
      </c>
      <c r="G1223">
        <v>6212000000</v>
      </c>
      <c r="H1223">
        <v>11297000000</v>
      </c>
      <c r="I1223">
        <v>964000000</v>
      </c>
      <c r="J1223">
        <v>499000000</v>
      </c>
      <c r="K1223">
        <v>9459000000</v>
      </c>
      <c r="L1223">
        <v>9454000000</v>
      </c>
      <c r="M1223">
        <v>26017000000</v>
      </c>
      <c r="N1223">
        <v>0</v>
      </c>
      <c r="O1223">
        <v>1433000000</v>
      </c>
      <c r="P1223">
        <v>12682000000</v>
      </c>
      <c r="Q1223">
        <v>161085951900</v>
      </c>
      <c r="R1223">
        <v>162518951900</v>
      </c>
    </row>
    <row r="1224" spans="1:18" x14ac:dyDescent="0.25">
      <c r="A1224" s="1" t="s">
        <v>312</v>
      </c>
      <c r="B1224">
        <v>160208236360</v>
      </c>
      <c r="C1224" t="s">
        <v>71</v>
      </c>
      <c r="D1224" t="s">
        <v>105</v>
      </c>
      <c r="E1224">
        <v>5485000000</v>
      </c>
      <c r="F1224">
        <v>727000000</v>
      </c>
      <c r="G1224">
        <v>6212000000</v>
      </c>
      <c r="H1224">
        <v>11297000000</v>
      </c>
      <c r="I1224">
        <v>964000000</v>
      </c>
      <c r="J1224">
        <v>499000000</v>
      </c>
      <c r="K1224">
        <v>9459000000</v>
      </c>
      <c r="L1224">
        <v>9454000000</v>
      </c>
      <c r="M1224">
        <v>26017000000</v>
      </c>
      <c r="N1224">
        <v>0</v>
      </c>
      <c r="O1224">
        <v>1433000000</v>
      </c>
      <c r="P1224">
        <v>12682000000</v>
      </c>
      <c r="Q1224">
        <v>163954236360</v>
      </c>
      <c r="R1224">
        <v>165387236360</v>
      </c>
    </row>
    <row r="1225" spans="1:18" x14ac:dyDescent="0.25">
      <c r="A1225" s="1" t="s">
        <v>311</v>
      </c>
      <c r="B1225">
        <v>163450644880</v>
      </c>
      <c r="C1225" t="s">
        <v>71</v>
      </c>
      <c r="D1225" t="s">
        <v>105</v>
      </c>
      <c r="E1225">
        <v>5485000000</v>
      </c>
      <c r="F1225">
        <v>727000000</v>
      </c>
      <c r="G1225">
        <v>6212000000</v>
      </c>
      <c r="H1225">
        <v>11297000000</v>
      </c>
      <c r="I1225">
        <v>964000000</v>
      </c>
      <c r="J1225">
        <v>499000000</v>
      </c>
      <c r="K1225">
        <v>9459000000</v>
      </c>
      <c r="L1225">
        <v>9454000000</v>
      </c>
      <c r="M1225">
        <v>26017000000</v>
      </c>
      <c r="N1225">
        <v>0</v>
      </c>
      <c r="O1225">
        <v>1433000000</v>
      </c>
      <c r="P1225">
        <v>12682000000</v>
      </c>
      <c r="Q1225">
        <v>167196644880</v>
      </c>
      <c r="R1225">
        <v>168629644880</v>
      </c>
    </row>
    <row r="1226" spans="1:18" x14ac:dyDescent="0.25">
      <c r="A1226" s="1" t="s">
        <v>310</v>
      </c>
      <c r="B1226">
        <v>166796976750</v>
      </c>
      <c r="C1226" t="s">
        <v>71</v>
      </c>
      <c r="D1226" t="s">
        <v>105</v>
      </c>
      <c r="E1226">
        <v>5485000000</v>
      </c>
      <c r="F1226">
        <v>727000000</v>
      </c>
      <c r="G1226">
        <v>6212000000</v>
      </c>
      <c r="H1226">
        <v>11297000000</v>
      </c>
      <c r="I1226">
        <v>964000000</v>
      </c>
      <c r="J1226">
        <v>499000000</v>
      </c>
      <c r="K1226">
        <v>9459000000</v>
      </c>
      <c r="L1226">
        <v>9454000000</v>
      </c>
      <c r="M1226">
        <v>26017000000</v>
      </c>
      <c r="N1226">
        <v>0</v>
      </c>
      <c r="O1226">
        <v>1433000000</v>
      </c>
      <c r="P1226">
        <v>12682000000</v>
      </c>
      <c r="Q1226">
        <v>170542976750</v>
      </c>
      <c r="R1226">
        <v>171975976750</v>
      </c>
    </row>
    <row r="1227" spans="1:18" x14ac:dyDescent="0.25">
      <c r="A1227" s="1" t="s">
        <v>309</v>
      </c>
      <c r="B1227">
        <v>166755407410</v>
      </c>
      <c r="C1227" t="s">
        <v>71</v>
      </c>
      <c r="D1227" t="s">
        <v>105</v>
      </c>
      <c r="E1227">
        <v>5485000000</v>
      </c>
      <c r="F1227">
        <v>727000000</v>
      </c>
      <c r="G1227">
        <v>6212000000</v>
      </c>
      <c r="H1227">
        <v>11297000000</v>
      </c>
      <c r="I1227">
        <v>964000000</v>
      </c>
      <c r="J1227">
        <v>499000000</v>
      </c>
      <c r="K1227">
        <v>9459000000</v>
      </c>
      <c r="L1227">
        <v>9454000000</v>
      </c>
      <c r="M1227">
        <v>26017000000</v>
      </c>
      <c r="N1227">
        <v>0</v>
      </c>
      <c r="O1227">
        <v>1433000000</v>
      </c>
      <c r="P1227">
        <v>12682000000</v>
      </c>
      <c r="Q1227">
        <v>170501407410</v>
      </c>
      <c r="R1227">
        <v>171934407410</v>
      </c>
    </row>
    <row r="1228" spans="1:18" x14ac:dyDescent="0.25">
      <c r="A1228" s="1" t="s">
        <v>308</v>
      </c>
      <c r="B1228">
        <v>165051064470</v>
      </c>
      <c r="C1228" t="s">
        <v>71</v>
      </c>
      <c r="D1228" t="s">
        <v>105</v>
      </c>
      <c r="E1228">
        <v>5485000000</v>
      </c>
      <c r="F1228">
        <v>727000000</v>
      </c>
      <c r="G1228">
        <v>6212000000</v>
      </c>
      <c r="H1228">
        <v>11297000000</v>
      </c>
      <c r="I1228">
        <v>964000000</v>
      </c>
      <c r="J1228">
        <v>499000000</v>
      </c>
      <c r="K1228">
        <v>9459000000</v>
      </c>
      <c r="L1228">
        <v>9454000000</v>
      </c>
      <c r="M1228">
        <v>26017000000</v>
      </c>
      <c r="N1228">
        <v>0</v>
      </c>
      <c r="O1228">
        <v>1433000000</v>
      </c>
      <c r="P1228">
        <v>12682000000</v>
      </c>
      <c r="Q1228">
        <v>168797064470</v>
      </c>
      <c r="R1228">
        <v>170230064470</v>
      </c>
    </row>
    <row r="1229" spans="1:18" x14ac:dyDescent="0.25">
      <c r="A1229" s="1" t="s">
        <v>307</v>
      </c>
      <c r="B1229">
        <v>161933363970</v>
      </c>
      <c r="C1229" t="s">
        <v>71</v>
      </c>
      <c r="D1229" t="s">
        <v>105</v>
      </c>
      <c r="E1229">
        <v>5485000000</v>
      </c>
      <c r="F1229">
        <v>727000000</v>
      </c>
      <c r="G1229">
        <v>6212000000</v>
      </c>
      <c r="H1229">
        <v>11297000000</v>
      </c>
      <c r="I1229">
        <v>964000000</v>
      </c>
      <c r="J1229">
        <v>499000000</v>
      </c>
      <c r="K1229">
        <v>9459000000</v>
      </c>
      <c r="L1229">
        <v>9454000000</v>
      </c>
      <c r="M1229">
        <v>26017000000</v>
      </c>
      <c r="N1229">
        <v>0</v>
      </c>
      <c r="O1229">
        <v>1433000000</v>
      </c>
      <c r="P1229">
        <v>12682000000</v>
      </c>
      <c r="Q1229">
        <v>165679363970</v>
      </c>
      <c r="R1229">
        <v>167112363970</v>
      </c>
    </row>
    <row r="1230" spans="1:18" x14ac:dyDescent="0.25">
      <c r="A1230" s="1" t="s">
        <v>306</v>
      </c>
      <c r="B1230">
        <v>162349057370</v>
      </c>
      <c r="C1230" t="s">
        <v>71</v>
      </c>
      <c r="D1230" t="s">
        <v>105</v>
      </c>
      <c r="E1230">
        <v>5485000000</v>
      </c>
      <c r="F1230">
        <v>727000000</v>
      </c>
      <c r="G1230">
        <v>6212000000</v>
      </c>
      <c r="H1230">
        <v>11297000000</v>
      </c>
      <c r="I1230">
        <v>964000000</v>
      </c>
      <c r="J1230">
        <v>499000000</v>
      </c>
      <c r="K1230">
        <v>9459000000</v>
      </c>
      <c r="L1230">
        <v>9454000000</v>
      </c>
      <c r="M1230">
        <v>26017000000</v>
      </c>
      <c r="N1230">
        <v>0</v>
      </c>
      <c r="O1230">
        <v>1433000000</v>
      </c>
      <c r="P1230">
        <v>12682000000</v>
      </c>
      <c r="Q1230">
        <v>166095057370</v>
      </c>
      <c r="R1230">
        <v>167528057370</v>
      </c>
    </row>
    <row r="1231" spans="1:18" x14ac:dyDescent="0.25">
      <c r="A1231" s="1" t="s">
        <v>305</v>
      </c>
      <c r="B1231">
        <v>160021174330</v>
      </c>
      <c r="C1231" t="s">
        <v>71</v>
      </c>
      <c r="D1231" t="s">
        <v>105</v>
      </c>
      <c r="E1231">
        <v>5485000000</v>
      </c>
      <c r="F1231">
        <v>727000000</v>
      </c>
      <c r="G1231">
        <v>6212000000</v>
      </c>
      <c r="H1231">
        <v>11297000000</v>
      </c>
      <c r="I1231">
        <v>964000000</v>
      </c>
      <c r="J1231">
        <v>499000000</v>
      </c>
      <c r="K1231">
        <v>9459000000</v>
      </c>
      <c r="L1231">
        <v>9454000000</v>
      </c>
      <c r="M1231">
        <v>26017000000</v>
      </c>
      <c r="N1231">
        <v>0</v>
      </c>
      <c r="O1231">
        <v>1433000000</v>
      </c>
      <c r="P1231">
        <v>12682000000</v>
      </c>
      <c r="Q1231">
        <v>163767174330</v>
      </c>
      <c r="R1231">
        <v>165200174330</v>
      </c>
    </row>
    <row r="1232" spans="1:18" x14ac:dyDescent="0.25">
      <c r="A1232" s="1" t="s">
        <v>304</v>
      </c>
      <c r="B1232">
        <v>158794878800</v>
      </c>
      <c r="C1232" t="s">
        <v>71</v>
      </c>
      <c r="D1232" t="s">
        <v>105</v>
      </c>
      <c r="E1232">
        <v>5485000000</v>
      </c>
      <c r="F1232">
        <v>727000000</v>
      </c>
      <c r="G1232">
        <v>6212000000</v>
      </c>
      <c r="H1232">
        <v>11297000000</v>
      </c>
      <c r="I1232">
        <v>964000000</v>
      </c>
      <c r="J1232">
        <v>499000000</v>
      </c>
      <c r="K1232">
        <v>9459000000</v>
      </c>
      <c r="L1232">
        <v>9454000000</v>
      </c>
      <c r="M1232">
        <v>26017000000</v>
      </c>
      <c r="N1232">
        <v>0</v>
      </c>
      <c r="O1232">
        <v>1433000000</v>
      </c>
      <c r="P1232">
        <v>12682000000</v>
      </c>
      <c r="Q1232">
        <v>162540878800</v>
      </c>
      <c r="R1232">
        <v>163973878800</v>
      </c>
    </row>
    <row r="1233" spans="1:18" x14ac:dyDescent="0.25">
      <c r="A1233" s="1" t="s">
        <v>303</v>
      </c>
      <c r="B1233">
        <v>160000389660</v>
      </c>
      <c r="C1233" t="s">
        <v>71</v>
      </c>
      <c r="D1233" t="s">
        <v>105</v>
      </c>
      <c r="E1233">
        <v>5485000000</v>
      </c>
      <c r="F1233">
        <v>727000000</v>
      </c>
      <c r="G1233">
        <v>6212000000</v>
      </c>
      <c r="H1233">
        <v>11297000000</v>
      </c>
      <c r="I1233">
        <v>964000000</v>
      </c>
      <c r="J1233">
        <v>499000000</v>
      </c>
      <c r="K1233">
        <v>9459000000</v>
      </c>
      <c r="L1233">
        <v>9454000000</v>
      </c>
      <c r="M1233">
        <v>26017000000</v>
      </c>
      <c r="N1233">
        <v>0</v>
      </c>
      <c r="O1233">
        <v>1433000000</v>
      </c>
      <c r="P1233">
        <v>12682000000</v>
      </c>
      <c r="Q1233">
        <v>163746389660</v>
      </c>
      <c r="R1233">
        <v>165179389660</v>
      </c>
    </row>
    <row r="1234" spans="1:18" x14ac:dyDescent="0.25">
      <c r="A1234" s="1" t="s">
        <v>302</v>
      </c>
      <c r="B1234">
        <v>159647050270</v>
      </c>
      <c r="C1234" t="s">
        <v>71</v>
      </c>
      <c r="D1234" t="s">
        <v>105</v>
      </c>
      <c r="E1234">
        <v>5485000000</v>
      </c>
      <c r="F1234">
        <v>727000000</v>
      </c>
      <c r="G1234">
        <v>6212000000</v>
      </c>
      <c r="H1234">
        <v>11297000000</v>
      </c>
      <c r="I1234">
        <v>964000000</v>
      </c>
      <c r="J1234">
        <v>499000000</v>
      </c>
      <c r="K1234">
        <v>9459000000</v>
      </c>
      <c r="L1234">
        <v>9454000000</v>
      </c>
      <c r="M1234">
        <v>26017000000</v>
      </c>
      <c r="N1234">
        <v>0</v>
      </c>
      <c r="O1234">
        <v>1433000000</v>
      </c>
      <c r="P1234">
        <v>12682000000</v>
      </c>
      <c r="Q1234">
        <v>163393050270</v>
      </c>
      <c r="R1234">
        <v>164826050270</v>
      </c>
    </row>
    <row r="1235" spans="1:18" x14ac:dyDescent="0.25">
      <c r="A1235" s="1" t="s">
        <v>301</v>
      </c>
      <c r="B1235">
        <v>155718747640</v>
      </c>
      <c r="C1235" t="s">
        <v>71</v>
      </c>
      <c r="D1235" t="s">
        <v>105</v>
      </c>
      <c r="E1235">
        <v>5485000000</v>
      </c>
      <c r="F1235">
        <v>727000000</v>
      </c>
      <c r="G1235">
        <v>6212000000</v>
      </c>
      <c r="H1235">
        <v>11297000000</v>
      </c>
      <c r="I1235">
        <v>964000000</v>
      </c>
      <c r="J1235">
        <v>499000000</v>
      </c>
      <c r="K1235">
        <v>9459000000</v>
      </c>
      <c r="L1235">
        <v>9454000000</v>
      </c>
      <c r="M1235">
        <v>26017000000</v>
      </c>
      <c r="N1235">
        <v>0</v>
      </c>
      <c r="O1235">
        <v>1433000000</v>
      </c>
      <c r="P1235">
        <v>12682000000</v>
      </c>
      <c r="Q1235">
        <v>159464747640</v>
      </c>
      <c r="R1235">
        <v>160897747640</v>
      </c>
    </row>
    <row r="1236" spans="1:18" x14ac:dyDescent="0.25">
      <c r="A1236" s="1" t="s">
        <v>300</v>
      </c>
      <c r="B1236">
        <v>160374513720</v>
      </c>
      <c r="C1236" t="s">
        <v>71</v>
      </c>
      <c r="D1236" t="s">
        <v>105</v>
      </c>
      <c r="E1236">
        <v>5485000000</v>
      </c>
      <c r="F1236">
        <v>727000000</v>
      </c>
      <c r="G1236">
        <v>6212000000</v>
      </c>
      <c r="H1236">
        <v>11297000000</v>
      </c>
      <c r="I1236">
        <v>964000000</v>
      </c>
      <c r="J1236">
        <v>499000000</v>
      </c>
      <c r="K1236">
        <v>9459000000</v>
      </c>
      <c r="L1236">
        <v>9454000000</v>
      </c>
      <c r="M1236">
        <v>26017000000</v>
      </c>
      <c r="N1236">
        <v>0</v>
      </c>
      <c r="O1236">
        <v>1433000000</v>
      </c>
      <c r="P1236">
        <v>12682000000</v>
      </c>
      <c r="Q1236">
        <v>164120513720</v>
      </c>
      <c r="R1236">
        <v>165553513720</v>
      </c>
    </row>
    <row r="1237" spans="1:18" x14ac:dyDescent="0.25">
      <c r="A1237" s="1" t="s">
        <v>299</v>
      </c>
      <c r="B1237">
        <v>155947379010</v>
      </c>
      <c r="C1237" t="s">
        <v>71</v>
      </c>
      <c r="D1237" t="s">
        <v>105</v>
      </c>
      <c r="E1237">
        <v>5485000000</v>
      </c>
      <c r="F1237">
        <v>727000000</v>
      </c>
      <c r="G1237">
        <v>6212000000</v>
      </c>
      <c r="H1237">
        <v>11297000000</v>
      </c>
      <c r="I1237">
        <v>964000000</v>
      </c>
      <c r="J1237">
        <v>499000000</v>
      </c>
      <c r="K1237">
        <v>9459000000</v>
      </c>
      <c r="L1237">
        <v>9454000000</v>
      </c>
      <c r="M1237">
        <v>26017000000</v>
      </c>
      <c r="N1237">
        <v>0</v>
      </c>
      <c r="O1237">
        <v>1433000000</v>
      </c>
      <c r="P1237">
        <v>12682000000</v>
      </c>
      <c r="Q1237">
        <v>159693379010</v>
      </c>
      <c r="R1237">
        <v>161126379010</v>
      </c>
    </row>
    <row r="1238" spans="1:18" x14ac:dyDescent="0.25">
      <c r="A1238" s="1" t="s">
        <v>298</v>
      </c>
      <c r="B1238">
        <v>156176010380</v>
      </c>
      <c r="C1238" t="s">
        <v>71</v>
      </c>
      <c r="D1238" t="s">
        <v>105</v>
      </c>
      <c r="E1238">
        <v>5485000000</v>
      </c>
      <c r="F1238">
        <v>727000000</v>
      </c>
      <c r="G1238">
        <v>6212000000</v>
      </c>
      <c r="H1238">
        <v>11297000000</v>
      </c>
      <c r="I1238">
        <v>964000000</v>
      </c>
      <c r="J1238">
        <v>499000000</v>
      </c>
      <c r="K1238">
        <v>9459000000</v>
      </c>
      <c r="L1238">
        <v>9454000000</v>
      </c>
      <c r="M1238">
        <v>26017000000</v>
      </c>
      <c r="N1238">
        <v>0</v>
      </c>
      <c r="O1238">
        <v>1433000000</v>
      </c>
      <c r="P1238">
        <v>12682000000</v>
      </c>
      <c r="Q1238">
        <v>159922010380</v>
      </c>
      <c r="R1238">
        <v>161355010380</v>
      </c>
    </row>
    <row r="1239" spans="1:18" x14ac:dyDescent="0.25">
      <c r="A1239" s="1" t="s">
        <v>297</v>
      </c>
      <c r="B1239">
        <v>154534021450</v>
      </c>
      <c r="C1239" t="s">
        <v>71</v>
      </c>
      <c r="D1239" t="s">
        <v>105</v>
      </c>
      <c r="E1239">
        <v>5485000000</v>
      </c>
      <c r="F1239">
        <v>727000000</v>
      </c>
      <c r="G1239">
        <v>6212000000</v>
      </c>
      <c r="H1239">
        <v>11297000000</v>
      </c>
      <c r="I1239">
        <v>964000000</v>
      </c>
      <c r="J1239">
        <v>499000000</v>
      </c>
      <c r="K1239">
        <v>9459000000</v>
      </c>
      <c r="L1239">
        <v>9454000000</v>
      </c>
      <c r="M1239">
        <v>26017000000</v>
      </c>
      <c r="N1239">
        <v>0</v>
      </c>
      <c r="O1239">
        <v>1433000000</v>
      </c>
      <c r="P1239">
        <v>12682000000</v>
      </c>
      <c r="Q1239">
        <v>158280021450</v>
      </c>
      <c r="R1239">
        <v>159713021450</v>
      </c>
    </row>
    <row r="1240" spans="1:18" x14ac:dyDescent="0.25">
      <c r="A1240" s="1" t="s">
        <v>296</v>
      </c>
      <c r="B1240">
        <v>158337616060</v>
      </c>
      <c r="C1240" t="s">
        <v>71</v>
      </c>
      <c r="D1240" t="s">
        <v>105</v>
      </c>
      <c r="E1240">
        <v>5485000000</v>
      </c>
      <c r="F1240">
        <v>727000000</v>
      </c>
      <c r="G1240">
        <v>6212000000</v>
      </c>
      <c r="H1240">
        <v>11297000000</v>
      </c>
      <c r="I1240">
        <v>964000000</v>
      </c>
      <c r="J1240">
        <v>499000000</v>
      </c>
      <c r="K1240">
        <v>9459000000</v>
      </c>
      <c r="L1240">
        <v>9454000000</v>
      </c>
      <c r="M1240">
        <v>26017000000</v>
      </c>
      <c r="N1240">
        <v>0</v>
      </c>
      <c r="O1240">
        <v>1433000000</v>
      </c>
      <c r="P1240">
        <v>12682000000</v>
      </c>
      <c r="Q1240">
        <v>162083616060</v>
      </c>
      <c r="R1240">
        <v>163516616060</v>
      </c>
    </row>
    <row r="1241" spans="1:18" x14ac:dyDescent="0.25">
      <c r="A1241" s="1" t="s">
        <v>295</v>
      </c>
      <c r="B1241">
        <v>156466995760</v>
      </c>
      <c r="C1241" t="s">
        <v>71</v>
      </c>
      <c r="D1241" t="s">
        <v>105</v>
      </c>
      <c r="E1241">
        <v>5485000000</v>
      </c>
      <c r="F1241">
        <v>727000000</v>
      </c>
      <c r="G1241">
        <v>6212000000</v>
      </c>
      <c r="H1241">
        <v>11297000000</v>
      </c>
      <c r="I1241">
        <v>964000000</v>
      </c>
      <c r="J1241">
        <v>499000000</v>
      </c>
      <c r="K1241">
        <v>9459000000</v>
      </c>
      <c r="L1241">
        <v>9454000000</v>
      </c>
      <c r="M1241">
        <v>26017000000</v>
      </c>
      <c r="N1241">
        <v>0</v>
      </c>
      <c r="O1241">
        <v>1433000000</v>
      </c>
      <c r="P1241">
        <v>12682000000</v>
      </c>
      <c r="Q1241">
        <v>160212995760</v>
      </c>
      <c r="R1241">
        <v>161645995760</v>
      </c>
    </row>
    <row r="1242" spans="1:18" x14ac:dyDescent="0.25">
      <c r="A1242" s="1" t="s">
        <v>294</v>
      </c>
      <c r="B1242">
        <v>152559477800</v>
      </c>
      <c r="C1242" t="s">
        <v>71</v>
      </c>
      <c r="D1242" t="s">
        <v>105</v>
      </c>
      <c r="E1242">
        <v>5485000000</v>
      </c>
      <c r="F1242">
        <v>727000000</v>
      </c>
      <c r="G1242">
        <v>6212000000</v>
      </c>
      <c r="H1242">
        <v>11297000000</v>
      </c>
      <c r="I1242">
        <v>964000000</v>
      </c>
      <c r="J1242">
        <v>499000000</v>
      </c>
      <c r="K1242">
        <v>9459000000</v>
      </c>
      <c r="L1242">
        <v>9454000000</v>
      </c>
      <c r="M1242">
        <v>26017000000</v>
      </c>
      <c r="N1242">
        <v>0</v>
      </c>
      <c r="O1242">
        <v>1433000000</v>
      </c>
      <c r="P1242">
        <v>12682000000</v>
      </c>
      <c r="Q1242">
        <v>156305477800</v>
      </c>
      <c r="R1242">
        <v>157738477800</v>
      </c>
    </row>
    <row r="1243" spans="1:18" x14ac:dyDescent="0.25">
      <c r="A1243" s="1" t="s">
        <v>293</v>
      </c>
      <c r="B1243">
        <v>154076758710</v>
      </c>
      <c r="C1243" t="s">
        <v>71</v>
      </c>
      <c r="D1243" t="s">
        <v>105</v>
      </c>
      <c r="E1243">
        <v>5485000000</v>
      </c>
      <c r="F1243">
        <v>727000000</v>
      </c>
      <c r="G1243">
        <v>6212000000</v>
      </c>
      <c r="H1243">
        <v>11297000000</v>
      </c>
      <c r="I1243">
        <v>964000000</v>
      </c>
      <c r="J1243">
        <v>499000000</v>
      </c>
      <c r="K1243">
        <v>9459000000</v>
      </c>
      <c r="L1243">
        <v>9454000000</v>
      </c>
      <c r="M1243">
        <v>26017000000</v>
      </c>
      <c r="N1243">
        <v>0</v>
      </c>
      <c r="O1243">
        <v>1433000000</v>
      </c>
      <c r="P1243">
        <v>12682000000</v>
      </c>
      <c r="Q1243">
        <v>157822758710</v>
      </c>
      <c r="R1243">
        <v>159255758710</v>
      </c>
    </row>
    <row r="1244" spans="1:18" x14ac:dyDescent="0.25">
      <c r="A1244" s="1" t="s">
        <v>292</v>
      </c>
      <c r="B1244">
        <v>149524915980</v>
      </c>
      <c r="C1244" t="s">
        <v>71</v>
      </c>
      <c r="D1244" t="s">
        <v>105</v>
      </c>
      <c r="E1244">
        <v>5485000000</v>
      </c>
      <c r="F1244">
        <v>727000000</v>
      </c>
      <c r="G1244">
        <v>6212000000</v>
      </c>
      <c r="H1244">
        <v>11297000000</v>
      </c>
      <c r="I1244">
        <v>964000000</v>
      </c>
      <c r="J1244">
        <v>499000000</v>
      </c>
      <c r="K1244">
        <v>9459000000</v>
      </c>
      <c r="L1244">
        <v>9454000000</v>
      </c>
      <c r="M1244">
        <v>26017000000</v>
      </c>
      <c r="N1244">
        <v>0</v>
      </c>
      <c r="O1244">
        <v>1433000000</v>
      </c>
      <c r="P1244">
        <v>12682000000</v>
      </c>
      <c r="Q1244">
        <v>153270915980</v>
      </c>
      <c r="R1244">
        <v>154703915980</v>
      </c>
    </row>
    <row r="1245" spans="1:18" x14ac:dyDescent="0.25">
      <c r="A1245" s="1" t="s">
        <v>291</v>
      </c>
      <c r="B1245">
        <v>148194697100</v>
      </c>
      <c r="C1245" t="s">
        <v>71</v>
      </c>
      <c r="D1245" t="s">
        <v>105</v>
      </c>
      <c r="E1245">
        <v>5485000000</v>
      </c>
      <c r="F1245">
        <v>727000000</v>
      </c>
      <c r="G1245">
        <v>6212000000</v>
      </c>
      <c r="H1245">
        <v>11297000000</v>
      </c>
      <c r="I1245">
        <v>964000000</v>
      </c>
      <c r="J1245">
        <v>499000000</v>
      </c>
      <c r="K1245">
        <v>9459000000</v>
      </c>
      <c r="L1245">
        <v>9454000000</v>
      </c>
      <c r="M1245">
        <v>26017000000</v>
      </c>
      <c r="N1245">
        <v>0</v>
      </c>
      <c r="O1245">
        <v>1433000000</v>
      </c>
      <c r="P1245">
        <v>12682000000</v>
      </c>
      <c r="Q1245">
        <v>151940697100</v>
      </c>
      <c r="R1245">
        <v>153373697100</v>
      </c>
    </row>
    <row r="1246" spans="1:18" x14ac:dyDescent="0.25">
      <c r="A1246" s="1" t="s">
        <v>290</v>
      </c>
      <c r="B1246">
        <v>143829916400</v>
      </c>
      <c r="C1246" t="s">
        <v>71</v>
      </c>
      <c r="D1246" t="s">
        <v>105</v>
      </c>
      <c r="E1246">
        <v>5485000000</v>
      </c>
      <c r="F1246">
        <v>727000000</v>
      </c>
      <c r="G1246">
        <v>6212000000</v>
      </c>
      <c r="H1246">
        <v>11297000000</v>
      </c>
      <c r="I1246">
        <v>964000000</v>
      </c>
      <c r="J1246">
        <v>499000000</v>
      </c>
      <c r="K1246">
        <v>9459000000</v>
      </c>
      <c r="L1246">
        <v>9454000000</v>
      </c>
      <c r="M1246">
        <v>26017000000</v>
      </c>
      <c r="N1246">
        <v>0</v>
      </c>
      <c r="O1246">
        <v>1433000000</v>
      </c>
      <c r="P1246">
        <v>12682000000</v>
      </c>
      <c r="Q1246">
        <v>147575916400</v>
      </c>
      <c r="R1246">
        <v>149008916400</v>
      </c>
    </row>
    <row r="1247" spans="1:18" x14ac:dyDescent="0.25">
      <c r="A1247" s="1" t="s">
        <v>289</v>
      </c>
      <c r="B1247">
        <v>143372653660</v>
      </c>
      <c r="C1247" t="s">
        <v>71</v>
      </c>
      <c r="D1247" t="s">
        <v>105</v>
      </c>
      <c r="E1247">
        <v>5485000000</v>
      </c>
      <c r="F1247">
        <v>727000000</v>
      </c>
      <c r="G1247">
        <v>6212000000</v>
      </c>
      <c r="H1247">
        <v>11297000000</v>
      </c>
      <c r="I1247">
        <v>964000000</v>
      </c>
      <c r="J1247">
        <v>499000000</v>
      </c>
      <c r="K1247">
        <v>9459000000</v>
      </c>
      <c r="L1247">
        <v>9454000000</v>
      </c>
      <c r="M1247">
        <v>26017000000</v>
      </c>
      <c r="N1247">
        <v>0</v>
      </c>
      <c r="O1247">
        <v>1433000000</v>
      </c>
      <c r="P1247">
        <v>12682000000</v>
      </c>
      <c r="Q1247">
        <v>147118653660</v>
      </c>
      <c r="R1247">
        <v>148551653660</v>
      </c>
    </row>
    <row r="1248" spans="1:18" x14ac:dyDescent="0.25">
      <c r="A1248" s="1" t="s">
        <v>288</v>
      </c>
      <c r="B1248">
        <v>147155463600</v>
      </c>
      <c r="C1248" t="s">
        <v>71</v>
      </c>
      <c r="D1248" t="s">
        <v>105</v>
      </c>
      <c r="E1248">
        <v>5485000000</v>
      </c>
      <c r="F1248">
        <v>727000000</v>
      </c>
      <c r="G1248">
        <v>6212000000</v>
      </c>
      <c r="H1248">
        <v>11297000000</v>
      </c>
      <c r="I1248">
        <v>964000000</v>
      </c>
      <c r="J1248">
        <v>499000000</v>
      </c>
      <c r="K1248">
        <v>9459000000</v>
      </c>
      <c r="L1248">
        <v>9454000000</v>
      </c>
      <c r="M1248">
        <v>26017000000</v>
      </c>
      <c r="N1248">
        <v>0</v>
      </c>
      <c r="O1248">
        <v>1433000000</v>
      </c>
      <c r="P1248">
        <v>12682000000</v>
      </c>
      <c r="Q1248">
        <v>150901463600</v>
      </c>
      <c r="R1248">
        <v>152334463600</v>
      </c>
    </row>
    <row r="1249" spans="1:18" x14ac:dyDescent="0.25">
      <c r="A1249" s="1" t="s">
        <v>287</v>
      </c>
      <c r="B1249">
        <v>144162471120</v>
      </c>
      <c r="C1249" t="s">
        <v>71</v>
      </c>
      <c r="D1249" t="s">
        <v>105</v>
      </c>
      <c r="E1249">
        <v>5485000000</v>
      </c>
      <c r="F1249">
        <v>727000000</v>
      </c>
      <c r="G1249">
        <v>6212000000</v>
      </c>
      <c r="H1249">
        <v>11297000000</v>
      </c>
      <c r="I1249">
        <v>964000000</v>
      </c>
      <c r="J1249">
        <v>499000000</v>
      </c>
      <c r="K1249">
        <v>9459000000</v>
      </c>
      <c r="L1249">
        <v>9454000000</v>
      </c>
      <c r="M1249">
        <v>26017000000</v>
      </c>
      <c r="N1249">
        <v>0</v>
      </c>
      <c r="O1249">
        <v>1433000000</v>
      </c>
      <c r="P1249">
        <v>12682000000</v>
      </c>
      <c r="Q1249">
        <v>147908471120</v>
      </c>
      <c r="R1249">
        <v>149341471120</v>
      </c>
    </row>
    <row r="1250" spans="1:18" x14ac:dyDescent="0.25">
      <c r="A1250" s="1" t="s">
        <v>286</v>
      </c>
      <c r="B1250">
        <v>144058547770</v>
      </c>
      <c r="C1250" t="s">
        <v>71</v>
      </c>
      <c r="D1250" t="s">
        <v>105</v>
      </c>
      <c r="E1250">
        <v>5485000000</v>
      </c>
      <c r="F1250">
        <v>727000000</v>
      </c>
      <c r="G1250">
        <v>6212000000</v>
      </c>
      <c r="H1250">
        <v>11297000000</v>
      </c>
      <c r="I1250">
        <v>964000000</v>
      </c>
      <c r="J1250">
        <v>499000000</v>
      </c>
      <c r="K1250">
        <v>9459000000</v>
      </c>
      <c r="L1250">
        <v>9454000000</v>
      </c>
      <c r="M1250">
        <v>26017000000</v>
      </c>
      <c r="N1250">
        <v>0</v>
      </c>
      <c r="O1250">
        <v>1433000000</v>
      </c>
      <c r="P1250">
        <v>12682000000</v>
      </c>
      <c r="Q1250">
        <v>147804547770</v>
      </c>
      <c r="R1250">
        <v>149237547770</v>
      </c>
    </row>
    <row r="1251" spans="1:18" x14ac:dyDescent="0.25">
      <c r="A1251" s="1" t="s">
        <v>285</v>
      </c>
      <c r="B1251">
        <v>143518146350</v>
      </c>
      <c r="C1251" t="s">
        <v>71</v>
      </c>
      <c r="D1251" t="s">
        <v>105</v>
      </c>
      <c r="E1251">
        <v>5485000000</v>
      </c>
      <c r="F1251">
        <v>727000000</v>
      </c>
      <c r="G1251">
        <v>6212000000</v>
      </c>
      <c r="H1251">
        <v>11297000000</v>
      </c>
      <c r="I1251">
        <v>964000000</v>
      </c>
      <c r="J1251">
        <v>499000000</v>
      </c>
      <c r="K1251">
        <v>9459000000</v>
      </c>
      <c r="L1251">
        <v>9454000000</v>
      </c>
      <c r="M1251">
        <v>26017000000</v>
      </c>
      <c r="N1251">
        <v>0</v>
      </c>
      <c r="O1251">
        <v>1433000000</v>
      </c>
      <c r="P1251">
        <v>12682000000</v>
      </c>
      <c r="Q1251">
        <v>147264146350</v>
      </c>
      <c r="R1251">
        <v>148697146350</v>
      </c>
    </row>
    <row r="1252" spans="1:18" x14ac:dyDescent="0.25">
      <c r="A1252" s="1" t="s">
        <v>284</v>
      </c>
      <c r="B1252">
        <v>140088675800</v>
      </c>
      <c r="C1252" t="s">
        <v>71</v>
      </c>
      <c r="D1252" t="s">
        <v>105</v>
      </c>
      <c r="E1252">
        <v>5485000000</v>
      </c>
      <c r="F1252">
        <v>727000000</v>
      </c>
      <c r="G1252">
        <v>6212000000</v>
      </c>
      <c r="H1252">
        <v>11297000000</v>
      </c>
      <c r="I1252">
        <v>964000000</v>
      </c>
      <c r="J1252">
        <v>499000000</v>
      </c>
      <c r="K1252">
        <v>9459000000</v>
      </c>
      <c r="L1252">
        <v>9454000000</v>
      </c>
      <c r="M1252">
        <v>26017000000</v>
      </c>
      <c r="N1252">
        <v>0</v>
      </c>
      <c r="O1252">
        <v>1433000000</v>
      </c>
      <c r="P1252">
        <v>12682000000</v>
      </c>
      <c r="Q1252">
        <v>143834675800</v>
      </c>
      <c r="R1252">
        <v>145267675800</v>
      </c>
    </row>
    <row r="1253" spans="1:18" x14ac:dyDescent="0.25">
      <c r="A1253" s="1" t="s">
        <v>283</v>
      </c>
      <c r="B1253">
        <v>137740008090</v>
      </c>
      <c r="C1253" t="s">
        <v>71</v>
      </c>
      <c r="D1253" t="s">
        <v>105</v>
      </c>
      <c r="E1253">
        <v>5485000000</v>
      </c>
      <c r="F1253">
        <v>727000000</v>
      </c>
      <c r="G1253">
        <v>6212000000</v>
      </c>
      <c r="H1253">
        <v>11297000000</v>
      </c>
      <c r="I1253">
        <v>964000000</v>
      </c>
      <c r="J1253">
        <v>499000000</v>
      </c>
      <c r="K1253">
        <v>9459000000</v>
      </c>
      <c r="L1253">
        <v>9454000000</v>
      </c>
      <c r="M1253">
        <v>26017000000</v>
      </c>
      <c r="N1253">
        <v>0</v>
      </c>
      <c r="O1253">
        <v>1433000000</v>
      </c>
      <c r="P1253">
        <v>12682000000</v>
      </c>
      <c r="Q1253">
        <v>141486008090</v>
      </c>
      <c r="R1253">
        <v>142919008090</v>
      </c>
    </row>
    <row r="1254" spans="1:18" x14ac:dyDescent="0.25">
      <c r="A1254" s="1" t="s">
        <v>120</v>
      </c>
      <c r="B1254">
        <v>140899277930</v>
      </c>
      <c r="C1254" t="s">
        <v>71</v>
      </c>
      <c r="D1254" t="s">
        <v>105</v>
      </c>
      <c r="E1254">
        <v>5485000000</v>
      </c>
      <c r="F1254">
        <v>727000000</v>
      </c>
      <c r="G1254">
        <v>6212000000</v>
      </c>
      <c r="H1254">
        <v>11297000000</v>
      </c>
      <c r="I1254">
        <v>964000000</v>
      </c>
      <c r="J1254">
        <v>499000000</v>
      </c>
      <c r="K1254">
        <v>9459000000</v>
      </c>
      <c r="L1254">
        <v>9454000000</v>
      </c>
      <c r="M1254">
        <v>26017000000</v>
      </c>
      <c r="N1254">
        <v>0</v>
      </c>
      <c r="O1254">
        <v>1433000000</v>
      </c>
      <c r="P1254">
        <v>12682000000</v>
      </c>
      <c r="Q1254">
        <v>144645277930</v>
      </c>
      <c r="R1254">
        <v>146078277930</v>
      </c>
    </row>
    <row r="1255" spans="1:18" x14ac:dyDescent="0.25">
      <c r="A1255" s="1" t="s">
        <v>282</v>
      </c>
      <c r="B1255">
        <v>142520482190</v>
      </c>
      <c r="C1255" t="s">
        <v>71</v>
      </c>
      <c r="D1255" t="s">
        <v>105</v>
      </c>
      <c r="E1255">
        <v>5485000000</v>
      </c>
      <c r="F1255">
        <v>727000000</v>
      </c>
      <c r="G1255">
        <v>6212000000</v>
      </c>
      <c r="H1255">
        <v>11297000000</v>
      </c>
      <c r="I1255">
        <v>964000000</v>
      </c>
      <c r="J1255">
        <v>499000000</v>
      </c>
      <c r="K1255">
        <v>9459000000</v>
      </c>
      <c r="L1255">
        <v>9454000000</v>
      </c>
      <c r="M1255">
        <v>26017000000</v>
      </c>
      <c r="N1255">
        <v>0</v>
      </c>
      <c r="O1255">
        <v>1433000000</v>
      </c>
      <c r="P1255">
        <v>12682000000</v>
      </c>
      <c r="Q1255">
        <v>146266482190</v>
      </c>
      <c r="R1255">
        <v>147699482190</v>
      </c>
    </row>
    <row r="1256" spans="1:18" x14ac:dyDescent="0.25">
      <c r="A1256" s="1" t="s">
        <v>281</v>
      </c>
      <c r="B1256">
        <v>143892270410</v>
      </c>
      <c r="C1256" t="s">
        <v>71</v>
      </c>
      <c r="D1256" t="s">
        <v>105</v>
      </c>
      <c r="E1256">
        <v>5485000000</v>
      </c>
      <c r="F1256">
        <v>727000000</v>
      </c>
      <c r="G1256">
        <v>6212000000</v>
      </c>
      <c r="H1256">
        <v>11297000000</v>
      </c>
      <c r="I1256">
        <v>964000000</v>
      </c>
      <c r="J1256">
        <v>499000000</v>
      </c>
      <c r="K1256">
        <v>9459000000</v>
      </c>
      <c r="L1256">
        <v>9454000000</v>
      </c>
      <c r="M1256">
        <v>26017000000</v>
      </c>
      <c r="N1256">
        <v>0</v>
      </c>
      <c r="O1256">
        <v>1433000000</v>
      </c>
      <c r="P1256">
        <v>12682000000</v>
      </c>
      <c r="Q1256">
        <v>147638270410</v>
      </c>
      <c r="R1256">
        <v>149071270410</v>
      </c>
    </row>
    <row r="1257" spans="1:18" x14ac:dyDescent="0.25">
      <c r="A1257" s="1" t="s">
        <v>280</v>
      </c>
      <c r="B1257">
        <v>148631175170</v>
      </c>
      <c r="C1257" t="s">
        <v>71</v>
      </c>
      <c r="D1257" t="s">
        <v>105</v>
      </c>
      <c r="E1257">
        <v>5485000000</v>
      </c>
      <c r="F1257">
        <v>727000000</v>
      </c>
      <c r="G1257">
        <v>6212000000</v>
      </c>
      <c r="H1257">
        <v>11297000000</v>
      </c>
      <c r="I1257">
        <v>964000000</v>
      </c>
      <c r="J1257">
        <v>499000000</v>
      </c>
      <c r="K1257">
        <v>9459000000</v>
      </c>
      <c r="L1257">
        <v>9454000000</v>
      </c>
      <c r="M1257">
        <v>26017000000</v>
      </c>
      <c r="N1257">
        <v>0</v>
      </c>
      <c r="O1257">
        <v>1433000000</v>
      </c>
      <c r="P1257">
        <v>12682000000</v>
      </c>
      <c r="Q1257">
        <v>152377175170</v>
      </c>
      <c r="R1257">
        <v>153810175170</v>
      </c>
    </row>
    <row r="1258" spans="1:18" x14ac:dyDescent="0.25">
      <c r="A1258" s="1" t="s">
        <v>118</v>
      </c>
      <c r="B1258">
        <v>146386430810</v>
      </c>
      <c r="C1258" t="s">
        <v>71</v>
      </c>
      <c r="D1258" t="s">
        <v>105</v>
      </c>
      <c r="E1258">
        <v>5485000000</v>
      </c>
      <c r="F1258">
        <v>727000000</v>
      </c>
      <c r="G1258">
        <v>6212000000</v>
      </c>
      <c r="H1258">
        <v>11297000000</v>
      </c>
      <c r="I1258">
        <v>964000000</v>
      </c>
      <c r="J1258">
        <v>499000000</v>
      </c>
      <c r="K1258">
        <v>9459000000</v>
      </c>
      <c r="L1258">
        <v>9454000000</v>
      </c>
      <c r="M1258">
        <v>26017000000</v>
      </c>
      <c r="N1258">
        <v>0</v>
      </c>
      <c r="O1258">
        <v>1433000000</v>
      </c>
      <c r="P1258">
        <v>12682000000</v>
      </c>
      <c r="Q1258">
        <v>150132430810</v>
      </c>
      <c r="R1258">
        <v>151565430810</v>
      </c>
    </row>
    <row r="1259" spans="1:18" x14ac:dyDescent="0.25">
      <c r="A1259" s="1" t="s">
        <v>115</v>
      </c>
      <c r="B1259">
        <v>138010208800</v>
      </c>
      <c r="C1259" t="s">
        <v>70</v>
      </c>
      <c r="D1259" t="s">
        <v>105</v>
      </c>
      <c r="E1259">
        <v>5827000000</v>
      </c>
      <c r="F1259">
        <v>744000000</v>
      </c>
      <c r="G1259">
        <v>6571000000</v>
      </c>
      <c r="H1259">
        <v>12074000000</v>
      </c>
      <c r="I1259">
        <v>1795000000</v>
      </c>
      <c r="J1259">
        <v>184000000</v>
      </c>
      <c r="K1259">
        <v>9457000000</v>
      </c>
      <c r="L1259">
        <v>9993000000</v>
      </c>
      <c r="M1259">
        <v>27100000000</v>
      </c>
      <c r="N1259">
        <v>0</v>
      </c>
      <c r="O1259">
        <v>1441000000</v>
      </c>
      <c r="P1259">
        <v>12499000000</v>
      </c>
      <c r="Q1259">
        <v>141080208800</v>
      </c>
      <c r="R1259">
        <v>142521208800</v>
      </c>
    </row>
    <row r="1260" spans="1:18" x14ac:dyDescent="0.25">
      <c r="A1260" s="1" t="s">
        <v>279</v>
      </c>
      <c r="B1260">
        <v>141190263310</v>
      </c>
      <c r="C1260" t="s">
        <v>70</v>
      </c>
      <c r="D1260" t="s">
        <v>105</v>
      </c>
      <c r="E1260">
        <v>5827000000</v>
      </c>
      <c r="F1260">
        <v>744000000</v>
      </c>
      <c r="G1260">
        <v>6571000000</v>
      </c>
      <c r="H1260">
        <v>12074000000</v>
      </c>
      <c r="I1260">
        <v>1795000000</v>
      </c>
      <c r="J1260">
        <v>184000000</v>
      </c>
      <c r="K1260">
        <v>9457000000</v>
      </c>
      <c r="L1260">
        <v>9993000000</v>
      </c>
      <c r="M1260">
        <v>27100000000</v>
      </c>
      <c r="N1260">
        <v>0</v>
      </c>
      <c r="O1260">
        <v>1441000000</v>
      </c>
      <c r="P1260">
        <v>12499000000</v>
      </c>
      <c r="Q1260">
        <v>144260263310</v>
      </c>
      <c r="R1260">
        <v>145701263310</v>
      </c>
    </row>
    <row r="1261" spans="1:18" x14ac:dyDescent="0.25">
      <c r="A1261" s="1" t="s">
        <v>278</v>
      </c>
      <c r="B1261">
        <v>139236504330</v>
      </c>
      <c r="C1261" t="s">
        <v>70</v>
      </c>
      <c r="D1261" t="s">
        <v>105</v>
      </c>
      <c r="E1261">
        <v>5827000000</v>
      </c>
      <c r="F1261">
        <v>744000000</v>
      </c>
      <c r="G1261">
        <v>6571000000</v>
      </c>
      <c r="H1261">
        <v>12074000000</v>
      </c>
      <c r="I1261">
        <v>1795000000</v>
      </c>
      <c r="J1261">
        <v>184000000</v>
      </c>
      <c r="K1261">
        <v>9457000000</v>
      </c>
      <c r="L1261">
        <v>9993000000</v>
      </c>
      <c r="M1261">
        <v>27100000000</v>
      </c>
      <c r="N1261">
        <v>0</v>
      </c>
      <c r="O1261">
        <v>1441000000</v>
      </c>
      <c r="P1261">
        <v>12499000000</v>
      </c>
      <c r="Q1261">
        <v>142306504330</v>
      </c>
      <c r="R1261">
        <v>143747504330</v>
      </c>
    </row>
    <row r="1262" spans="1:18" x14ac:dyDescent="0.25">
      <c r="A1262" s="1" t="s">
        <v>277</v>
      </c>
      <c r="B1262">
        <v>137220391339</v>
      </c>
      <c r="C1262" t="s">
        <v>70</v>
      </c>
      <c r="D1262" t="s">
        <v>105</v>
      </c>
      <c r="E1262">
        <v>5827000000</v>
      </c>
      <c r="F1262">
        <v>744000000</v>
      </c>
      <c r="G1262">
        <v>6571000000</v>
      </c>
      <c r="H1262">
        <v>12074000000</v>
      </c>
      <c r="I1262">
        <v>1795000000</v>
      </c>
      <c r="J1262">
        <v>184000000</v>
      </c>
      <c r="K1262">
        <v>9457000000</v>
      </c>
      <c r="L1262">
        <v>9993000000</v>
      </c>
      <c r="M1262">
        <v>27100000000</v>
      </c>
      <c r="N1262">
        <v>0</v>
      </c>
      <c r="O1262">
        <v>1441000000</v>
      </c>
      <c r="P1262">
        <v>12499000000</v>
      </c>
      <c r="Q1262">
        <v>140290391339</v>
      </c>
      <c r="R1262">
        <v>141731391339</v>
      </c>
    </row>
    <row r="1263" spans="1:18" x14ac:dyDescent="0.25">
      <c r="A1263" s="1" t="s">
        <v>276</v>
      </c>
      <c r="B1263">
        <v>135765464439</v>
      </c>
      <c r="C1263" t="s">
        <v>70</v>
      </c>
      <c r="D1263" t="s">
        <v>105</v>
      </c>
      <c r="E1263">
        <v>5827000000</v>
      </c>
      <c r="F1263">
        <v>744000000</v>
      </c>
      <c r="G1263">
        <v>6571000000</v>
      </c>
      <c r="H1263">
        <v>12074000000</v>
      </c>
      <c r="I1263">
        <v>1795000000</v>
      </c>
      <c r="J1263">
        <v>184000000</v>
      </c>
      <c r="K1263">
        <v>9457000000</v>
      </c>
      <c r="L1263">
        <v>9993000000</v>
      </c>
      <c r="M1263">
        <v>27100000000</v>
      </c>
      <c r="N1263">
        <v>0</v>
      </c>
      <c r="O1263">
        <v>1441000000</v>
      </c>
      <c r="P1263">
        <v>12499000000</v>
      </c>
      <c r="Q1263">
        <v>138835464439</v>
      </c>
      <c r="R1263">
        <v>140276464439</v>
      </c>
    </row>
    <row r="1264" spans="1:18" x14ac:dyDescent="0.25">
      <c r="A1264" s="1" t="s">
        <v>275</v>
      </c>
      <c r="B1264">
        <v>138467471540</v>
      </c>
      <c r="C1264" t="s">
        <v>70</v>
      </c>
      <c r="D1264" t="s">
        <v>105</v>
      </c>
      <c r="E1264">
        <v>5827000000</v>
      </c>
      <c r="F1264">
        <v>744000000</v>
      </c>
      <c r="G1264">
        <v>6571000000</v>
      </c>
      <c r="H1264">
        <v>12074000000</v>
      </c>
      <c r="I1264">
        <v>1795000000</v>
      </c>
      <c r="J1264">
        <v>184000000</v>
      </c>
      <c r="K1264">
        <v>9457000000</v>
      </c>
      <c r="L1264">
        <v>9993000000</v>
      </c>
      <c r="M1264">
        <v>27100000000</v>
      </c>
      <c r="N1264">
        <v>0</v>
      </c>
      <c r="O1264">
        <v>1441000000</v>
      </c>
      <c r="P1264">
        <v>12499000000</v>
      </c>
      <c r="Q1264">
        <v>141537471540</v>
      </c>
      <c r="R1264">
        <v>142978471540</v>
      </c>
    </row>
    <row r="1265" spans="1:18" x14ac:dyDescent="0.25">
      <c r="A1265" s="1" t="s">
        <v>274</v>
      </c>
      <c r="B1265">
        <v>137282745350</v>
      </c>
      <c r="C1265" t="s">
        <v>70</v>
      </c>
      <c r="D1265" t="s">
        <v>105</v>
      </c>
      <c r="E1265">
        <v>5827000000</v>
      </c>
      <c r="F1265">
        <v>744000000</v>
      </c>
      <c r="G1265">
        <v>6571000000</v>
      </c>
      <c r="H1265">
        <v>12074000000</v>
      </c>
      <c r="I1265">
        <v>1795000000</v>
      </c>
      <c r="J1265">
        <v>184000000</v>
      </c>
      <c r="K1265">
        <v>9457000000</v>
      </c>
      <c r="L1265">
        <v>9993000000</v>
      </c>
      <c r="M1265">
        <v>27100000000</v>
      </c>
      <c r="N1265">
        <v>0</v>
      </c>
      <c r="O1265">
        <v>1441000000</v>
      </c>
      <c r="P1265">
        <v>12499000000</v>
      </c>
      <c r="Q1265">
        <v>140352745350</v>
      </c>
      <c r="R1265">
        <v>141793745350</v>
      </c>
    </row>
    <row r="1266" spans="1:18" x14ac:dyDescent="0.25">
      <c r="A1266" s="1" t="s">
        <v>273</v>
      </c>
      <c r="B1266">
        <v>136492927890</v>
      </c>
      <c r="C1266" t="s">
        <v>70</v>
      </c>
      <c r="D1266" t="s">
        <v>105</v>
      </c>
      <c r="E1266">
        <v>5827000000</v>
      </c>
      <c r="F1266">
        <v>744000000</v>
      </c>
      <c r="G1266">
        <v>6571000000</v>
      </c>
      <c r="H1266">
        <v>12074000000</v>
      </c>
      <c r="I1266">
        <v>1795000000</v>
      </c>
      <c r="J1266">
        <v>184000000</v>
      </c>
      <c r="K1266">
        <v>9457000000</v>
      </c>
      <c r="L1266">
        <v>9993000000</v>
      </c>
      <c r="M1266">
        <v>27100000000</v>
      </c>
      <c r="N1266">
        <v>0</v>
      </c>
      <c r="O1266">
        <v>1441000000</v>
      </c>
      <c r="P1266">
        <v>12499000000</v>
      </c>
      <c r="Q1266">
        <v>139562927890</v>
      </c>
      <c r="R1266">
        <v>141003927890</v>
      </c>
    </row>
    <row r="1267" spans="1:18" x14ac:dyDescent="0.25">
      <c r="A1267" s="1" t="s">
        <v>272</v>
      </c>
      <c r="B1267">
        <v>134372891550</v>
      </c>
      <c r="C1267" t="s">
        <v>70</v>
      </c>
      <c r="D1267" t="s">
        <v>105</v>
      </c>
      <c r="E1267">
        <v>5827000000</v>
      </c>
      <c r="F1267">
        <v>744000000</v>
      </c>
      <c r="G1267">
        <v>6571000000</v>
      </c>
      <c r="H1267">
        <v>12074000000</v>
      </c>
      <c r="I1267">
        <v>1795000000</v>
      </c>
      <c r="J1267">
        <v>184000000</v>
      </c>
      <c r="K1267">
        <v>9457000000</v>
      </c>
      <c r="L1267">
        <v>9993000000</v>
      </c>
      <c r="M1267">
        <v>27100000000</v>
      </c>
      <c r="N1267">
        <v>0</v>
      </c>
      <c r="O1267">
        <v>1441000000</v>
      </c>
      <c r="P1267">
        <v>12499000000</v>
      </c>
      <c r="Q1267">
        <v>137442891550</v>
      </c>
      <c r="R1267">
        <v>138883891550</v>
      </c>
    </row>
    <row r="1268" spans="1:18" x14ac:dyDescent="0.25">
      <c r="A1268" s="1" t="s">
        <v>271</v>
      </c>
      <c r="B1268">
        <v>132959533990</v>
      </c>
      <c r="C1268" t="s">
        <v>70</v>
      </c>
      <c r="D1268" t="s">
        <v>105</v>
      </c>
      <c r="E1268">
        <v>5827000000</v>
      </c>
      <c r="F1268">
        <v>744000000</v>
      </c>
      <c r="G1268">
        <v>6571000000</v>
      </c>
      <c r="H1268">
        <v>12074000000</v>
      </c>
      <c r="I1268">
        <v>1795000000</v>
      </c>
      <c r="J1268">
        <v>184000000</v>
      </c>
      <c r="K1268">
        <v>9457000000</v>
      </c>
      <c r="L1268">
        <v>9993000000</v>
      </c>
      <c r="M1268">
        <v>27100000000</v>
      </c>
      <c r="N1268">
        <v>0</v>
      </c>
      <c r="O1268">
        <v>1441000000</v>
      </c>
      <c r="P1268">
        <v>12499000000</v>
      </c>
      <c r="Q1268">
        <v>136029533990</v>
      </c>
      <c r="R1268">
        <v>137470533990</v>
      </c>
    </row>
    <row r="1269" spans="1:18" x14ac:dyDescent="0.25">
      <c r="A1269" s="1" t="s">
        <v>270</v>
      </c>
      <c r="B1269">
        <v>136098019160</v>
      </c>
      <c r="C1269" t="s">
        <v>70</v>
      </c>
      <c r="D1269" t="s">
        <v>105</v>
      </c>
      <c r="E1269">
        <v>5827000000</v>
      </c>
      <c r="F1269">
        <v>744000000</v>
      </c>
      <c r="G1269">
        <v>6571000000</v>
      </c>
      <c r="H1269">
        <v>12074000000</v>
      </c>
      <c r="I1269">
        <v>1795000000</v>
      </c>
      <c r="J1269">
        <v>184000000</v>
      </c>
      <c r="K1269">
        <v>9457000000</v>
      </c>
      <c r="L1269">
        <v>9993000000</v>
      </c>
      <c r="M1269">
        <v>27100000000</v>
      </c>
      <c r="N1269">
        <v>0</v>
      </c>
      <c r="O1269">
        <v>1441000000</v>
      </c>
      <c r="P1269">
        <v>12499000000</v>
      </c>
      <c r="Q1269">
        <v>139168019160</v>
      </c>
      <c r="R1269">
        <v>140609019160</v>
      </c>
    </row>
    <row r="1270" spans="1:18" x14ac:dyDescent="0.25">
      <c r="A1270" s="1" t="s">
        <v>269</v>
      </c>
      <c r="B1270">
        <v>132190501200</v>
      </c>
      <c r="C1270" t="s">
        <v>70</v>
      </c>
      <c r="D1270" t="s">
        <v>105</v>
      </c>
      <c r="E1270">
        <v>5827000000</v>
      </c>
      <c r="F1270">
        <v>744000000</v>
      </c>
      <c r="G1270">
        <v>6571000000</v>
      </c>
      <c r="H1270">
        <v>12074000000</v>
      </c>
      <c r="I1270">
        <v>1795000000</v>
      </c>
      <c r="J1270">
        <v>184000000</v>
      </c>
      <c r="K1270">
        <v>9457000000</v>
      </c>
      <c r="L1270">
        <v>9993000000</v>
      </c>
      <c r="M1270">
        <v>27100000000</v>
      </c>
      <c r="N1270">
        <v>0</v>
      </c>
      <c r="O1270">
        <v>1441000000</v>
      </c>
      <c r="P1270">
        <v>12499000000</v>
      </c>
      <c r="Q1270">
        <v>135260501200</v>
      </c>
      <c r="R1270">
        <v>136701501200</v>
      </c>
    </row>
    <row r="1271" spans="1:18" x14ac:dyDescent="0.25">
      <c r="A1271" s="1" t="s">
        <v>268</v>
      </c>
      <c r="B1271">
        <v>133562289420</v>
      </c>
      <c r="C1271" t="s">
        <v>70</v>
      </c>
      <c r="D1271" t="s">
        <v>105</v>
      </c>
      <c r="E1271">
        <v>5827000000</v>
      </c>
      <c r="F1271">
        <v>744000000</v>
      </c>
      <c r="G1271">
        <v>6571000000</v>
      </c>
      <c r="H1271">
        <v>12074000000</v>
      </c>
      <c r="I1271">
        <v>1795000000</v>
      </c>
      <c r="J1271">
        <v>184000000</v>
      </c>
      <c r="K1271">
        <v>9457000000</v>
      </c>
      <c r="L1271">
        <v>9993000000</v>
      </c>
      <c r="M1271">
        <v>27100000000</v>
      </c>
      <c r="N1271">
        <v>0</v>
      </c>
      <c r="O1271">
        <v>1441000000</v>
      </c>
      <c r="P1271">
        <v>12499000000</v>
      </c>
      <c r="Q1271">
        <v>136632289420</v>
      </c>
      <c r="R1271">
        <v>138073289420</v>
      </c>
    </row>
    <row r="1272" spans="1:18" x14ac:dyDescent="0.25">
      <c r="A1272" s="1" t="s">
        <v>267</v>
      </c>
      <c r="B1272">
        <v>132024223840</v>
      </c>
      <c r="C1272" t="s">
        <v>70</v>
      </c>
      <c r="D1272" t="s">
        <v>105</v>
      </c>
      <c r="E1272">
        <v>5827000000</v>
      </c>
      <c r="F1272">
        <v>744000000</v>
      </c>
      <c r="G1272">
        <v>6571000000</v>
      </c>
      <c r="H1272">
        <v>12074000000</v>
      </c>
      <c r="I1272">
        <v>1795000000</v>
      </c>
      <c r="J1272">
        <v>184000000</v>
      </c>
      <c r="K1272">
        <v>9457000000</v>
      </c>
      <c r="L1272">
        <v>9993000000</v>
      </c>
      <c r="M1272">
        <v>27100000000</v>
      </c>
      <c r="N1272">
        <v>0</v>
      </c>
      <c r="O1272">
        <v>1441000000</v>
      </c>
      <c r="P1272">
        <v>12499000000</v>
      </c>
      <c r="Q1272">
        <v>135094223840</v>
      </c>
      <c r="R1272">
        <v>136535223840</v>
      </c>
    </row>
    <row r="1273" spans="1:18" x14ac:dyDescent="0.25">
      <c r="A1273" s="1" t="s">
        <v>266</v>
      </c>
      <c r="B1273">
        <v>134954862310</v>
      </c>
      <c r="C1273" t="s">
        <v>70</v>
      </c>
      <c r="D1273" t="s">
        <v>105</v>
      </c>
      <c r="E1273">
        <v>5827000000</v>
      </c>
      <c r="F1273">
        <v>744000000</v>
      </c>
      <c r="G1273">
        <v>6571000000</v>
      </c>
      <c r="H1273">
        <v>12074000000</v>
      </c>
      <c r="I1273">
        <v>1795000000</v>
      </c>
      <c r="J1273">
        <v>184000000</v>
      </c>
      <c r="K1273">
        <v>9457000000</v>
      </c>
      <c r="L1273">
        <v>9993000000</v>
      </c>
      <c r="M1273">
        <v>27100000000</v>
      </c>
      <c r="N1273">
        <v>0</v>
      </c>
      <c r="O1273">
        <v>1441000000</v>
      </c>
      <c r="P1273">
        <v>12499000000</v>
      </c>
      <c r="Q1273">
        <v>138024862310</v>
      </c>
      <c r="R1273">
        <v>139465862310</v>
      </c>
    </row>
    <row r="1274" spans="1:18" x14ac:dyDescent="0.25">
      <c r="A1274" s="1" t="s">
        <v>265</v>
      </c>
      <c r="B1274">
        <v>133271304040</v>
      </c>
      <c r="C1274" t="s">
        <v>70</v>
      </c>
      <c r="D1274" t="s">
        <v>105</v>
      </c>
      <c r="E1274">
        <v>5827000000</v>
      </c>
      <c r="F1274">
        <v>744000000</v>
      </c>
      <c r="G1274">
        <v>6571000000</v>
      </c>
      <c r="H1274">
        <v>12074000000</v>
      </c>
      <c r="I1274">
        <v>1795000000</v>
      </c>
      <c r="J1274">
        <v>184000000</v>
      </c>
      <c r="K1274">
        <v>9457000000</v>
      </c>
      <c r="L1274">
        <v>9993000000</v>
      </c>
      <c r="M1274">
        <v>27100000000</v>
      </c>
      <c r="N1274">
        <v>0</v>
      </c>
      <c r="O1274">
        <v>1441000000</v>
      </c>
      <c r="P1274">
        <v>12499000000</v>
      </c>
      <c r="Q1274">
        <v>136341304040</v>
      </c>
      <c r="R1274">
        <v>137782304040</v>
      </c>
    </row>
    <row r="1275" spans="1:18" x14ac:dyDescent="0.25">
      <c r="A1275" s="1" t="s">
        <v>264</v>
      </c>
      <c r="B1275">
        <v>134185829520</v>
      </c>
      <c r="C1275" t="s">
        <v>70</v>
      </c>
      <c r="D1275" t="s">
        <v>105</v>
      </c>
      <c r="E1275">
        <v>5827000000</v>
      </c>
      <c r="F1275">
        <v>744000000</v>
      </c>
      <c r="G1275">
        <v>6571000000</v>
      </c>
      <c r="H1275">
        <v>12074000000</v>
      </c>
      <c r="I1275">
        <v>1795000000</v>
      </c>
      <c r="J1275">
        <v>184000000</v>
      </c>
      <c r="K1275">
        <v>9457000000</v>
      </c>
      <c r="L1275">
        <v>9993000000</v>
      </c>
      <c r="M1275">
        <v>27100000000</v>
      </c>
      <c r="N1275">
        <v>0</v>
      </c>
      <c r="O1275">
        <v>1441000000</v>
      </c>
      <c r="P1275">
        <v>12499000000</v>
      </c>
      <c r="Q1275">
        <v>137255829520</v>
      </c>
      <c r="R1275">
        <v>138696829520</v>
      </c>
    </row>
    <row r="1276" spans="1:18" x14ac:dyDescent="0.25">
      <c r="A1276" s="1" t="s">
        <v>263</v>
      </c>
      <c r="B1276">
        <v>132585409930</v>
      </c>
      <c r="C1276" t="s">
        <v>70</v>
      </c>
      <c r="D1276" t="s">
        <v>105</v>
      </c>
      <c r="E1276">
        <v>5827000000</v>
      </c>
      <c r="F1276">
        <v>744000000</v>
      </c>
      <c r="G1276">
        <v>6571000000</v>
      </c>
      <c r="H1276">
        <v>12074000000</v>
      </c>
      <c r="I1276">
        <v>1795000000</v>
      </c>
      <c r="J1276">
        <v>184000000</v>
      </c>
      <c r="K1276">
        <v>9457000000</v>
      </c>
      <c r="L1276">
        <v>9993000000</v>
      </c>
      <c r="M1276">
        <v>27100000000</v>
      </c>
      <c r="N1276">
        <v>0</v>
      </c>
      <c r="O1276">
        <v>1441000000</v>
      </c>
      <c r="P1276">
        <v>12499000000</v>
      </c>
      <c r="Q1276">
        <v>135655409930</v>
      </c>
      <c r="R1276">
        <v>137096409930</v>
      </c>
    </row>
    <row r="1277" spans="1:18" x14ac:dyDescent="0.25">
      <c r="A1277" s="1" t="s">
        <v>262</v>
      </c>
      <c r="B1277">
        <v>134165044850</v>
      </c>
      <c r="C1277" t="s">
        <v>70</v>
      </c>
      <c r="D1277" t="s">
        <v>105</v>
      </c>
      <c r="E1277">
        <v>5827000000</v>
      </c>
      <c r="F1277">
        <v>744000000</v>
      </c>
      <c r="G1277">
        <v>6571000000</v>
      </c>
      <c r="H1277">
        <v>12074000000</v>
      </c>
      <c r="I1277">
        <v>1795000000</v>
      </c>
      <c r="J1277">
        <v>184000000</v>
      </c>
      <c r="K1277">
        <v>9457000000</v>
      </c>
      <c r="L1277">
        <v>9993000000</v>
      </c>
      <c r="M1277">
        <v>27100000000</v>
      </c>
      <c r="N1277">
        <v>0</v>
      </c>
      <c r="O1277">
        <v>1441000000</v>
      </c>
      <c r="P1277">
        <v>12499000000</v>
      </c>
      <c r="Q1277">
        <v>137235044850</v>
      </c>
      <c r="R1277">
        <v>138676044850</v>
      </c>
    </row>
    <row r="1278" spans="1:18" x14ac:dyDescent="0.25">
      <c r="A1278" s="1" t="s">
        <v>261</v>
      </c>
      <c r="B1278">
        <v>136804697939</v>
      </c>
      <c r="C1278" t="s">
        <v>70</v>
      </c>
      <c r="D1278" t="s">
        <v>105</v>
      </c>
      <c r="E1278">
        <v>5827000000</v>
      </c>
      <c r="F1278">
        <v>744000000</v>
      </c>
      <c r="G1278">
        <v>6571000000</v>
      </c>
      <c r="H1278">
        <v>12074000000</v>
      </c>
      <c r="I1278">
        <v>1795000000</v>
      </c>
      <c r="J1278">
        <v>184000000</v>
      </c>
      <c r="K1278">
        <v>9457000000</v>
      </c>
      <c r="L1278">
        <v>9993000000</v>
      </c>
      <c r="M1278">
        <v>27100000000</v>
      </c>
      <c r="N1278">
        <v>0</v>
      </c>
      <c r="O1278">
        <v>1441000000</v>
      </c>
      <c r="P1278">
        <v>12499000000</v>
      </c>
      <c r="Q1278">
        <v>139874697939</v>
      </c>
      <c r="R1278">
        <v>141315697939</v>
      </c>
    </row>
    <row r="1279" spans="1:18" x14ac:dyDescent="0.25">
      <c r="A1279" s="1" t="s">
        <v>260</v>
      </c>
      <c r="B1279">
        <v>143206376300</v>
      </c>
      <c r="C1279" t="s">
        <v>70</v>
      </c>
      <c r="D1279" t="s">
        <v>105</v>
      </c>
      <c r="E1279">
        <v>5827000000</v>
      </c>
      <c r="F1279">
        <v>744000000</v>
      </c>
      <c r="G1279">
        <v>6571000000</v>
      </c>
      <c r="H1279">
        <v>12074000000</v>
      </c>
      <c r="I1279">
        <v>1795000000</v>
      </c>
      <c r="J1279">
        <v>184000000</v>
      </c>
      <c r="K1279">
        <v>9457000000</v>
      </c>
      <c r="L1279">
        <v>9993000000</v>
      </c>
      <c r="M1279">
        <v>27100000000</v>
      </c>
      <c r="N1279">
        <v>0</v>
      </c>
      <c r="O1279">
        <v>1441000000</v>
      </c>
      <c r="P1279">
        <v>12499000000</v>
      </c>
      <c r="Q1279">
        <v>146276376300</v>
      </c>
      <c r="R1279">
        <v>147717376300</v>
      </c>
    </row>
    <row r="1280" spans="1:18" x14ac:dyDescent="0.25">
      <c r="A1280" s="1" t="s">
        <v>259</v>
      </c>
      <c r="B1280">
        <v>144058547770</v>
      </c>
      <c r="C1280" t="s">
        <v>70</v>
      </c>
      <c r="D1280" t="s">
        <v>105</v>
      </c>
      <c r="E1280">
        <v>5827000000</v>
      </c>
      <c r="F1280">
        <v>744000000</v>
      </c>
      <c r="G1280">
        <v>6571000000</v>
      </c>
      <c r="H1280">
        <v>12074000000</v>
      </c>
      <c r="I1280">
        <v>1795000000</v>
      </c>
      <c r="J1280">
        <v>184000000</v>
      </c>
      <c r="K1280">
        <v>9457000000</v>
      </c>
      <c r="L1280">
        <v>9993000000</v>
      </c>
      <c r="M1280">
        <v>27100000000</v>
      </c>
      <c r="N1280">
        <v>0</v>
      </c>
      <c r="O1280">
        <v>1441000000</v>
      </c>
      <c r="P1280">
        <v>12499000000</v>
      </c>
      <c r="Q1280">
        <v>147128547770</v>
      </c>
      <c r="R1280">
        <v>148569547770</v>
      </c>
    </row>
    <row r="1281" spans="1:18" x14ac:dyDescent="0.25">
      <c r="A1281" s="1" t="s">
        <v>258</v>
      </c>
      <c r="B1281">
        <v>142582836200</v>
      </c>
      <c r="C1281" t="s">
        <v>70</v>
      </c>
      <c r="D1281" t="s">
        <v>105</v>
      </c>
      <c r="E1281">
        <v>5827000000</v>
      </c>
      <c r="F1281">
        <v>744000000</v>
      </c>
      <c r="G1281">
        <v>6571000000</v>
      </c>
      <c r="H1281">
        <v>12074000000</v>
      </c>
      <c r="I1281">
        <v>1795000000</v>
      </c>
      <c r="J1281">
        <v>184000000</v>
      </c>
      <c r="K1281">
        <v>9457000000</v>
      </c>
      <c r="L1281">
        <v>9993000000</v>
      </c>
      <c r="M1281">
        <v>27100000000</v>
      </c>
      <c r="N1281">
        <v>0</v>
      </c>
      <c r="O1281">
        <v>1441000000</v>
      </c>
      <c r="P1281">
        <v>12499000000</v>
      </c>
      <c r="Q1281">
        <v>145652836200</v>
      </c>
      <c r="R1281">
        <v>147093836200</v>
      </c>
    </row>
    <row r="1282" spans="1:18" x14ac:dyDescent="0.25">
      <c r="A1282" s="1" t="s">
        <v>257</v>
      </c>
      <c r="B1282">
        <v>144640518530</v>
      </c>
      <c r="C1282" t="s">
        <v>70</v>
      </c>
      <c r="D1282" t="s">
        <v>105</v>
      </c>
      <c r="E1282">
        <v>5827000000</v>
      </c>
      <c r="F1282">
        <v>744000000</v>
      </c>
      <c r="G1282">
        <v>6571000000</v>
      </c>
      <c r="H1282">
        <v>12074000000</v>
      </c>
      <c r="I1282">
        <v>1795000000</v>
      </c>
      <c r="J1282">
        <v>184000000</v>
      </c>
      <c r="K1282">
        <v>9457000000</v>
      </c>
      <c r="L1282">
        <v>9993000000</v>
      </c>
      <c r="M1282">
        <v>27100000000</v>
      </c>
      <c r="N1282">
        <v>0</v>
      </c>
      <c r="O1282">
        <v>1441000000</v>
      </c>
      <c r="P1282">
        <v>12499000000</v>
      </c>
      <c r="Q1282">
        <v>147710518530</v>
      </c>
      <c r="R1282">
        <v>149151518530</v>
      </c>
    </row>
    <row r="1283" spans="1:18" x14ac:dyDescent="0.25">
      <c r="A1283" s="1" t="s">
        <v>256</v>
      </c>
      <c r="B1283">
        <v>152039861050</v>
      </c>
      <c r="C1283" t="s">
        <v>70</v>
      </c>
      <c r="D1283" t="s">
        <v>105</v>
      </c>
      <c r="E1283">
        <v>5827000000</v>
      </c>
      <c r="F1283">
        <v>744000000</v>
      </c>
      <c r="G1283">
        <v>6571000000</v>
      </c>
      <c r="H1283">
        <v>12074000000</v>
      </c>
      <c r="I1283">
        <v>1795000000</v>
      </c>
      <c r="J1283">
        <v>184000000</v>
      </c>
      <c r="K1283">
        <v>9457000000</v>
      </c>
      <c r="L1283">
        <v>9993000000</v>
      </c>
      <c r="M1283">
        <v>27100000000</v>
      </c>
      <c r="N1283">
        <v>0</v>
      </c>
      <c r="O1283">
        <v>1441000000</v>
      </c>
      <c r="P1283">
        <v>12499000000</v>
      </c>
      <c r="Q1283">
        <v>155109861050</v>
      </c>
      <c r="R1283">
        <v>156550861050</v>
      </c>
    </row>
    <row r="1284" spans="1:18" x14ac:dyDescent="0.25">
      <c r="A1284" s="1" t="s">
        <v>255</v>
      </c>
      <c r="B1284">
        <v>147280171620</v>
      </c>
      <c r="C1284" t="s">
        <v>70</v>
      </c>
      <c r="D1284" t="s">
        <v>105</v>
      </c>
      <c r="E1284">
        <v>5827000000</v>
      </c>
      <c r="F1284">
        <v>744000000</v>
      </c>
      <c r="G1284">
        <v>6571000000</v>
      </c>
      <c r="H1284">
        <v>12074000000</v>
      </c>
      <c r="I1284">
        <v>1795000000</v>
      </c>
      <c r="J1284">
        <v>184000000</v>
      </c>
      <c r="K1284">
        <v>9457000000</v>
      </c>
      <c r="L1284">
        <v>9993000000</v>
      </c>
      <c r="M1284">
        <v>27100000000</v>
      </c>
      <c r="N1284">
        <v>0</v>
      </c>
      <c r="O1284">
        <v>1441000000</v>
      </c>
      <c r="P1284">
        <v>12499000000</v>
      </c>
      <c r="Q1284">
        <v>150350171620</v>
      </c>
      <c r="R1284">
        <v>151791171620</v>
      </c>
    </row>
    <row r="1285" spans="1:18" x14ac:dyDescent="0.25">
      <c r="A1285" s="1" t="s">
        <v>254</v>
      </c>
      <c r="B1285">
        <v>145617398020</v>
      </c>
      <c r="C1285" t="s">
        <v>70</v>
      </c>
      <c r="D1285" t="s">
        <v>105</v>
      </c>
      <c r="E1285">
        <v>5827000000</v>
      </c>
      <c r="F1285">
        <v>744000000</v>
      </c>
      <c r="G1285">
        <v>6571000000</v>
      </c>
      <c r="H1285">
        <v>12074000000</v>
      </c>
      <c r="I1285">
        <v>1795000000</v>
      </c>
      <c r="J1285">
        <v>184000000</v>
      </c>
      <c r="K1285">
        <v>9457000000</v>
      </c>
      <c r="L1285">
        <v>9993000000</v>
      </c>
      <c r="M1285">
        <v>27100000000</v>
      </c>
      <c r="N1285">
        <v>0</v>
      </c>
      <c r="O1285">
        <v>1441000000</v>
      </c>
      <c r="P1285">
        <v>12499000000</v>
      </c>
      <c r="Q1285">
        <v>148687398020</v>
      </c>
      <c r="R1285">
        <v>150128398020</v>
      </c>
    </row>
    <row r="1286" spans="1:18" x14ac:dyDescent="0.25">
      <c r="A1286" s="1" t="s">
        <v>253</v>
      </c>
      <c r="B1286">
        <v>146511138830</v>
      </c>
      <c r="C1286" t="s">
        <v>70</v>
      </c>
      <c r="D1286" t="s">
        <v>105</v>
      </c>
      <c r="E1286">
        <v>5827000000</v>
      </c>
      <c r="F1286">
        <v>744000000</v>
      </c>
      <c r="G1286">
        <v>6571000000</v>
      </c>
      <c r="H1286">
        <v>12074000000</v>
      </c>
      <c r="I1286">
        <v>1795000000</v>
      </c>
      <c r="J1286">
        <v>184000000</v>
      </c>
      <c r="K1286">
        <v>9457000000</v>
      </c>
      <c r="L1286">
        <v>9993000000</v>
      </c>
      <c r="M1286">
        <v>27100000000</v>
      </c>
      <c r="N1286">
        <v>0</v>
      </c>
      <c r="O1286">
        <v>1441000000</v>
      </c>
      <c r="P1286">
        <v>12499000000</v>
      </c>
      <c r="Q1286">
        <v>149581138830</v>
      </c>
      <c r="R1286">
        <v>151022138830</v>
      </c>
    </row>
    <row r="1287" spans="1:18" x14ac:dyDescent="0.25">
      <c r="A1287" s="1" t="s">
        <v>252</v>
      </c>
      <c r="B1287">
        <v>146178584110</v>
      </c>
      <c r="C1287" t="s">
        <v>70</v>
      </c>
      <c r="D1287" t="s">
        <v>105</v>
      </c>
      <c r="E1287">
        <v>5827000000</v>
      </c>
      <c r="F1287">
        <v>744000000</v>
      </c>
      <c r="G1287">
        <v>6571000000</v>
      </c>
      <c r="H1287">
        <v>12074000000</v>
      </c>
      <c r="I1287">
        <v>1795000000</v>
      </c>
      <c r="J1287">
        <v>184000000</v>
      </c>
      <c r="K1287">
        <v>9457000000</v>
      </c>
      <c r="L1287">
        <v>9993000000</v>
      </c>
      <c r="M1287">
        <v>27100000000</v>
      </c>
      <c r="N1287">
        <v>0</v>
      </c>
      <c r="O1287">
        <v>1441000000</v>
      </c>
      <c r="P1287">
        <v>12499000000</v>
      </c>
      <c r="Q1287">
        <v>149248584110</v>
      </c>
      <c r="R1287">
        <v>150689584110</v>
      </c>
    </row>
    <row r="1288" spans="1:18" x14ac:dyDescent="0.25">
      <c r="A1288" s="1" t="s">
        <v>251</v>
      </c>
      <c r="B1288">
        <v>146116230100</v>
      </c>
      <c r="C1288" t="s">
        <v>70</v>
      </c>
      <c r="D1288" t="s">
        <v>105</v>
      </c>
      <c r="E1288">
        <v>5827000000</v>
      </c>
      <c r="F1288">
        <v>744000000</v>
      </c>
      <c r="G1288">
        <v>6571000000</v>
      </c>
      <c r="H1288">
        <v>12074000000</v>
      </c>
      <c r="I1288">
        <v>1795000000</v>
      </c>
      <c r="J1288">
        <v>184000000</v>
      </c>
      <c r="K1288">
        <v>9457000000</v>
      </c>
      <c r="L1288">
        <v>9993000000</v>
      </c>
      <c r="M1288">
        <v>27100000000</v>
      </c>
      <c r="N1288">
        <v>0</v>
      </c>
      <c r="O1288">
        <v>1441000000</v>
      </c>
      <c r="P1288">
        <v>12499000000</v>
      </c>
      <c r="Q1288">
        <v>149186230100</v>
      </c>
      <c r="R1288">
        <v>150627230100</v>
      </c>
    </row>
    <row r="1289" spans="1:18" x14ac:dyDescent="0.25">
      <c r="A1289" s="1" t="s">
        <v>250</v>
      </c>
      <c r="B1289">
        <v>145929168070</v>
      </c>
      <c r="C1289" t="s">
        <v>70</v>
      </c>
      <c r="D1289" t="s">
        <v>105</v>
      </c>
      <c r="E1289">
        <v>5827000000</v>
      </c>
      <c r="F1289">
        <v>744000000</v>
      </c>
      <c r="G1289">
        <v>6571000000</v>
      </c>
      <c r="H1289">
        <v>12074000000</v>
      </c>
      <c r="I1289">
        <v>1795000000</v>
      </c>
      <c r="J1289">
        <v>184000000</v>
      </c>
      <c r="K1289">
        <v>9457000000</v>
      </c>
      <c r="L1289">
        <v>9993000000</v>
      </c>
      <c r="M1289">
        <v>27100000000</v>
      </c>
      <c r="N1289">
        <v>0</v>
      </c>
      <c r="O1289">
        <v>1441000000</v>
      </c>
      <c r="P1289">
        <v>12499000000</v>
      </c>
      <c r="Q1289">
        <v>148999168070</v>
      </c>
      <c r="R1289">
        <v>150440168070</v>
      </c>
    </row>
    <row r="1290" spans="1:18" x14ac:dyDescent="0.25">
      <c r="A1290" s="1" t="s">
        <v>249</v>
      </c>
      <c r="B1290">
        <v>146615062180</v>
      </c>
      <c r="C1290" t="s">
        <v>70</v>
      </c>
      <c r="D1290" t="s">
        <v>105</v>
      </c>
      <c r="E1290">
        <v>5827000000</v>
      </c>
      <c r="F1290">
        <v>744000000</v>
      </c>
      <c r="G1290">
        <v>6571000000</v>
      </c>
      <c r="H1290">
        <v>12074000000</v>
      </c>
      <c r="I1290">
        <v>1795000000</v>
      </c>
      <c r="J1290">
        <v>184000000</v>
      </c>
      <c r="K1290">
        <v>9457000000</v>
      </c>
      <c r="L1290">
        <v>9993000000</v>
      </c>
      <c r="M1290">
        <v>27100000000</v>
      </c>
      <c r="N1290">
        <v>0</v>
      </c>
      <c r="O1290">
        <v>1441000000</v>
      </c>
      <c r="P1290">
        <v>12499000000</v>
      </c>
      <c r="Q1290">
        <v>149685062180</v>
      </c>
      <c r="R1290">
        <v>151126062180</v>
      </c>
    </row>
    <row r="1291" spans="1:18" x14ac:dyDescent="0.25">
      <c r="A1291" s="1" t="s">
        <v>248</v>
      </c>
      <c r="B1291">
        <v>148360974460</v>
      </c>
      <c r="C1291" t="s">
        <v>70</v>
      </c>
      <c r="D1291" t="s">
        <v>105</v>
      </c>
      <c r="E1291">
        <v>5827000000</v>
      </c>
      <c r="F1291">
        <v>744000000</v>
      </c>
      <c r="G1291">
        <v>6571000000</v>
      </c>
      <c r="H1291">
        <v>12074000000</v>
      </c>
      <c r="I1291">
        <v>1795000000</v>
      </c>
      <c r="J1291">
        <v>184000000</v>
      </c>
      <c r="K1291">
        <v>9457000000</v>
      </c>
      <c r="L1291">
        <v>9993000000</v>
      </c>
      <c r="M1291">
        <v>27100000000</v>
      </c>
      <c r="N1291">
        <v>0</v>
      </c>
      <c r="O1291">
        <v>1441000000</v>
      </c>
      <c r="P1291">
        <v>12499000000</v>
      </c>
      <c r="Q1291">
        <v>151430974460</v>
      </c>
      <c r="R1291">
        <v>152871974460</v>
      </c>
    </row>
    <row r="1292" spans="1:18" x14ac:dyDescent="0.25">
      <c r="A1292" s="1" t="s">
        <v>247</v>
      </c>
      <c r="B1292">
        <v>147259386950</v>
      </c>
      <c r="C1292" t="s">
        <v>70</v>
      </c>
      <c r="D1292" t="s">
        <v>105</v>
      </c>
      <c r="E1292">
        <v>5827000000</v>
      </c>
      <c r="F1292">
        <v>744000000</v>
      </c>
      <c r="G1292">
        <v>6571000000</v>
      </c>
      <c r="H1292">
        <v>12074000000</v>
      </c>
      <c r="I1292">
        <v>1795000000</v>
      </c>
      <c r="J1292">
        <v>184000000</v>
      </c>
      <c r="K1292">
        <v>9457000000</v>
      </c>
      <c r="L1292">
        <v>9993000000</v>
      </c>
      <c r="M1292">
        <v>27100000000</v>
      </c>
      <c r="N1292">
        <v>0</v>
      </c>
      <c r="O1292">
        <v>1441000000</v>
      </c>
      <c r="P1292">
        <v>12499000000</v>
      </c>
      <c r="Q1292">
        <v>150329386950</v>
      </c>
      <c r="R1292">
        <v>151770386950</v>
      </c>
    </row>
    <row r="1293" spans="1:18" x14ac:dyDescent="0.25">
      <c r="A1293" s="1" t="s">
        <v>246</v>
      </c>
      <c r="B1293">
        <v>146199368780</v>
      </c>
      <c r="C1293" t="s">
        <v>70</v>
      </c>
      <c r="D1293" t="s">
        <v>105</v>
      </c>
      <c r="E1293">
        <v>5827000000</v>
      </c>
      <c r="F1293">
        <v>744000000</v>
      </c>
      <c r="G1293">
        <v>6571000000</v>
      </c>
      <c r="H1293">
        <v>12074000000</v>
      </c>
      <c r="I1293">
        <v>1795000000</v>
      </c>
      <c r="J1293">
        <v>184000000</v>
      </c>
      <c r="K1293">
        <v>9457000000</v>
      </c>
      <c r="L1293">
        <v>9993000000</v>
      </c>
      <c r="M1293">
        <v>27100000000</v>
      </c>
      <c r="N1293">
        <v>0</v>
      </c>
      <c r="O1293">
        <v>1441000000</v>
      </c>
      <c r="P1293">
        <v>12499000000</v>
      </c>
      <c r="Q1293">
        <v>149269368780</v>
      </c>
      <c r="R1293">
        <v>150710368780</v>
      </c>
    </row>
    <row r="1294" spans="1:18" x14ac:dyDescent="0.25">
      <c r="A1294" s="1" t="s">
        <v>245</v>
      </c>
      <c r="B1294">
        <v>151062981560</v>
      </c>
      <c r="C1294" t="s">
        <v>70</v>
      </c>
      <c r="D1294" t="s">
        <v>105</v>
      </c>
      <c r="E1294">
        <v>5827000000</v>
      </c>
      <c r="F1294">
        <v>744000000</v>
      </c>
      <c r="G1294">
        <v>6571000000</v>
      </c>
      <c r="H1294">
        <v>12074000000</v>
      </c>
      <c r="I1294">
        <v>1795000000</v>
      </c>
      <c r="J1294">
        <v>184000000</v>
      </c>
      <c r="K1294">
        <v>9457000000</v>
      </c>
      <c r="L1294">
        <v>9993000000</v>
      </c>
      <c r="M1294">
        <v>27100000000</v>
      </c>
      <c r="N1294">
        <v>0</v>
      </c>
      <c r="O1294">
        <v>1441000000</v>
      </c>
      <c r="P1294">
        <v>12499000000</v>
      </c>
      <c r="Q1294">
        <v>154132981560</v>
      </c>
      <c r="R1294">
        <v>155573981560</v>
      </c>
    </row>
    <row r="1295" spans="1:18" x14ac:dyDescent="0.25">
      <c r="A1295" s="1" t="s">
        <v>244</v>
      </c>
      <c r="B1295">
        <v>147779003700</v>
      </c>
      <c r="C1295" t="s">
        <v>70</v>
      </c>
      <c r="D1295" t="s">
        <v>105</v>
      </c>
      <c r="E1295">
        <v>5827000000</v>
      </c>
      <c r="F1295">
        <v>744000000</v>
      </c>
      <c r="G1295">
        <v>6571000000</v>
      </c>
      <c r="H1295">
        <v>12074000000</v>
      </c>
      <c r="I1295">
        <v>1795000000</v>
      </c>
      <c r="J1295">
        <v>184000000</v>
      </c>
      <c r="K1295">
        <v>9457000000</v>
      </c>
      <c r="L1295">
        <v>9993000000</v>
      </c>
      <c r="M1295">
        <v>27100000000</v>
      </c>
      <c r="N1295">
        <v>0</v>
      </c>
      <c r="O1295">
        <v>1441000000</v>
      </c>
      <c r="P1295">
        <v>12499000000</v>
      </c>
      <c r="Q1295">
        <v>150849003700</v>
      </c>
      <c r="R1295">
        <v>152290003700</v>
      </c>
    </row>
    <row r="1296" spans="1:18" x14ac:dyDescent="0.25">
      <c r="A1296" s="1" t="s">
        <v>243</v>
      </c>
      <c r="B1296">
        <v>146885262890</v>
      </c>
      <c r="C1296" t="s">
        <v>70</v>
      </c>
      <c r="D1296" t="s">
        <v>105</v>
      </c>
      <c r="E1296">
        <v>5827000000</v>
      </c>
      <c r="F1296">
        <v>744000000</v>
      </c>
      <c r="G1296">
        <v>6571000000</v>
      </c>
      <c r="H1296">
        <v>12074000000</v>
      </c>
      <c r="I1296">
        <v>1795000000</v>
      </c>
      <c r="J1296">
        <v>184000000</v>
      </c>
      <c r="K1296">
        <v>9457000000</v>
      </c>
      <c r="L1296">
        <v>9993000000</v>
      </c>
      <c r="M1296">
        <v>27100000000</v>
      </c>
      <c r="N1296">
        <v>0</v>
      </c>
      <c r="O1296">
        <v>1441000000</v>
      </c>
      <c r="P1296">
        <v>12499000000</v>
      </c>
      <c r="Q1296">
        <v>149955262890</v>
      </c>
      <c r="R1296">
        <v>151396262890</v>
      </c>
    </row>
    <row r="1297" spans="1:18" x14ac:dyDescent="0.25">
      <c r="A1297" s="1" t="s">
        <v>242</v>
      </c>
      <c r="B1297">
        <v>148194697100</v>
      </c>
      <c r="C1297" t="s">
        <v>70</v>
      </c>
      <c r="D1297" t="s">
        <v>105</v>
      </c>
      <c r="E1297">
        <v>5827000000</v>
      </c>
      <c r="F1297">
        <v>744000000</v>
      </c>
      <c r="G1297">
        <v>6571000000</v>
      </c>
      <c r="H1297">
        <v>12074000000</v>
      </c>
      <c r="I1297">
        <v>1795000000</v>
      </c>
      <c r="J1297">
        <v>184000000</v>
      </c>
      <c r="K1297">
        <v>9457000000</v>
      </c>
      <c r="L1297">
        <v>9993000000</v>
      </c>
      <c r="M1297">
        <v>27100000000</v>
      </c>
      <c r="N1297">
        <v>0</v>
      </c>
      <c r="O1297">
        <v>1441000000</v>
      </c>
      <c r="P1297">
        <v>12499000000</v>
      </c>
      <c r="Q1297">
        <v>151264697100</v>
      </c>
      <c r="R1297">
        <v>152705697100</v>
      </c>
    </row>
    <row r="1298" spans="1:18" x14ac:dyDescent="0.25">
      <c r="A1298" s="1" t="s">
        <v>241</v>
      </c>
      <c r="B1298">
        <v>147695865020</v>
      </c>
      <c r="C1298" t="s">
        <v>70</v>
      </c>
      <c r="D1298" t="s">
        <v>105</v>
      </c>
      <c r="E1298">
        <v>5827000000</v>
      </c>
      <c r="F1298">
        <v>744000000</v>
      </c>
      <c r="G1298">
        <v>6571000000</v>
      </c>
      <c r="H1298">
        <v>12074000000</v>
      </c>
      <c r="I1298">
        <v>1795000000</v>
      </c>
      <c r="J1298">
        <v>184000000</v>
      </c>
      <c r="K1298">
        <v>9457000000</v>
      </c>
      <c r="L1298">
        <v>9993000000</v>
      </c>
      <c r="M1298">
        <v>27100000000</v>
      </c>
      <c r="N1298">
        <v>0</v>
      </c>
      <c r="O1298">
        <v>1441000000</v>
      </c>
      <c r="P1298">
        <v>12499000000</v>
      </c>
      <c r="Q1298">
        <v>150765865020</v>
      </c>
      <c r="R1298">
        <v>152206865020</v>
      </c>
    </row>
    <row r="1299" spans="1:18" x14ac:dyDescent="0.25">
      <c r="A1299" s="1" t="s">
        <v>240</v>
      </c>
      <c r="B1299">
        <v>148090773750</v>
      </c>
      <c r="C1299" t="s">
        <v>70</v>
      </c>
      <c r="D1299" t="s">
        <v>105</v>
      </c>
      <c r="E1299">
        <v>5827000000</v>
      </c>
      <c r="F1299">
        <v>744000000</v>
      </c>
      <c r="G1299">
        <v>6571000000</v>
      </c>
      <c r="H1299">
        <v>12074000000</v>
      </c>
      <c r="I1299">
        <v>1795000000</v>
      </c>
      <c r="J1299">
        <v>184000000</v>
      </c>
      <c r="K1299">
        <v>9457000000</v>
      </c>
      <c r="L1299">
        <v>9993000000</v>
      </c>
      <c r="M1299">
        <v>27100000000</v>
      </c>
      <c r="N1299">
        <v>0</v>
      </c>
      <c r="O1299">
        <v>1441000000</v>
      </c>
      <c r="P1299">
        <v>12499000000</v>
      </c>
      <c r="Q1299">
        <v>151160773750</v>
      </c>
      <c r="R1299">
        <v>152601773750</v>
      </c>
    </row>
    <row r="1300" spans="1:18" x14ac:dyDescent="0.25">
      <c r="A1300" s="1" t="s">
        <v>239</v>
      </c>
      <c r="B1300">
        <v>148236266440</v>
      </c>
      <c r="C1300" t="s">
        <v>70</v>
      </c>
      <c r="D1300" t="s">
        <v>105</v>
      </c>
      <c r="E1300">
        <v>5827000000</v>
      </c>
      <c r="F1300">
        <v>744000000</v>
      </c>
      <c r="G1300">
        <v>6571000000</v>
      </c>
      <c r="H1300">
        <v>12074000000</v>
      </c>
      <c r="I1300">
        <v>1795000000</v>
      </c>
      <c r="J1300">
        <v>184000000</v>
      </c>
      <c r="K1300">
        <v>9457000000</v>
      </c>
      <c r="L1300">
        <v>9993000000</v>
      </c>
      <c r="M1300">
        <v>27100000000</v>
      </c>
      <c r="N1300">
        <v>0</v>
      </c>
      <c r="O1300">
        <v>1441000000</v>
      </c>
      <c r="P1300">
        <v>12499000000</v>
      </c>
      <c r="Q1300">
        <v>151306266440</v>
      </c>
      <c r="R1300">
        <v>152747266440</v>
      </c>
    </row>
    <row r="1301" spans="1:18" x14ac:dyDescent="0.25">
      <c r="A1301" s="1" t="s">
        <v>238</v>
      </c>
      <c r="B1301">
        <v>143975409090</v>
      </c>
      <c r="C1301" t="s">
        <v>70</v>
      </c>
      <c r="D1301" t="s">
        <v>105</v>
      </c>
      <c r="E1301">
        <v>5827000000</v>
      </c>
      <c r="F1301">
        <v>744000000</v>
      </c>
      <c r="G1301">
        <v>6571000000</v>
      </c>
      <c r="H1301">
        <v>12074000000</v>
      </c>
      <c r="I1301">
        <v>1795000000</v>
      </c>
      <c r="J1301">
        <v>184000000</v>
      </c>
      <c r="K1301">
        <v>9457000000</v>
      </c>
      <c r="L1301">
        <v>9993000000</v>
      </c>
      <c r="M1301">
        <v>27100000000</v>
      </c>
      <c r="N1301">
        <v>0</v>
      </c>
      <c r="O1301">
        <v>1441000000</v>
      </c>
      <c r="P1301">
        <v>12499000000</v>
      </c>
      <c r="Q1301">
        <v>147045409090</v>
      </c>
      <c r="R1301">
        <v>148486409090</v>
      </c>
    </row>
    <row r="1302" spans="1:18" x14ac:dyDescent="0.25">
      <c r="A1302" s="1" t="s">
        <v>237</v>
      </c>
      <c r="B1302">
        <v>152829678510</v>
      </c>
      <c r="C1302" t="s">
        <v>70</v>
      </c>
      <c r="D1302" t="s">
        <v>105</v>
      </c>
      <c r="E1302">
        <v>5827000000</v>
      </c>
      <c r="F1302">
        <v>744000000</v>
      </c>
      <c r="G1302">
        <v>6571000000</v>
      </c>
      <c r="H1302">
        <v>12074000000</v>
      </c>
      <c r="I1302">
        <v>1795000000</v>
      </c>
      <c r="J1302">
        <v>184000000</v>
      </c>
      <c r="K1302">
        <v>9457000000</v>
      </c>
      <c r="L1302">
        <v>9993000000</v>
      </c>
      <c r="M1302">
        <v>27100000000</v>
      </c>
      <c r="N1302">
        <v>0</v>
      </c>
      <c r="O1302">
        <v>1441000000</v>
      </c>
      <c r="P1302">
        <v>12499000000</v>
      </c>
      <c r="Q1302">
        <v>155899678510</v>
      </c>
      <c r="R1302">
        <v>157340678510</v>
      </c>
    </row>
    <row r="1303" spans="1:18" x14ac:dyDescent="0.25">
      <c r="A1303" s="1" t="s">
        <v>236</v>
      </c>
      <c r="B1303">
        <v>150543364810</v>
      </c>
      <c r="C1303" t="s">
        <v>70</v>
      </c>
      <c r="D1303" t="s">
        <v>105</v>
      </c>
      <c r="E1303">
        <v>5827000000</v>
      </c>
      <c r="F1303">
        <v>744000000</v>
      </c>
      <c r="G1303">
        <v>6571000000</v>
      </c>
      <c r="H1303">
        <v>12074000000</v>
      </c>
      <c r="I1303">
        <v>1795000000</v>
      </c>
      <c r="J1303">
        <v>184000000</v>
      </c>
      <c r="K1303">
        <v>9457000000</v>
      </c>
      <c r="L1303">
        <v>9993000000</v>
      </c>
      <c r="M1303">
        <v>27100000000</v>
      </c>
      <c r="N1303">
        <v>0</v>
      </c>
      <c r="O1303">
        <v>1441000000</v>
      </c>
      <c r="P1303">
        <v>12499000000</v>
      </c>
      <c r="Q1303">
        <v>153613364810</v>
      </c>
      <c r="R1303">
        <v>155054364810</v>
      </c>
    </row>
    <row r="1304" spans="1:18" x14ac:dyDescent="0.25">
      <c r="A1304" s="1" t="s">
        <v>235</v>
      </c>
      <c r="B1304">
        <v>150252379430</v>
      </c>
      <c r="C1304" t="s">
        <v>70</v>
      </c>
      <c r="D1304" t="s">
        <v>105</v>
      </c>
      <c r="E1304">
        <v>5827000000</v>
      </c>
      <c r="F1304">
        <v>744000000</v>
      </c>
      <c r="G1304">
        <v>6571000000</v>
      </c>
      <c r="H1304">
        <v>12074000000</v>
      </c>
      <c r="I1304">
        <v>1795000000</v>
      </c>
      <c r="J1304">
        <v>184000000</v>
      </c>
      <c r="K1304">
        <v>9457000000</v>
      </c>
      <c r="L1304">
        <v>9993000000</v>
      </c>
      <c r="M1304">
        <v>27100000000</v>
      </c>
      <c r="N1304">
        <v>0</v>
      </c>
      <c r="O1304">
        <v>1441000000</v>
      </c>
      <c r="P1304">
        <v>12499000000</v>
      </c>
      <c r="Q1304">
        <v>153322379430</v>
      </c>
      <c r="R1304">
        <v>154763379430</v>
      </c>
    </row>
    <row r="1305" spans="1:18" x14ac:dyDescent="0.25">
      <c r="A1305" s="1" t="s">
        <v>234</v>
      </c>
      <c r="B1305">
        <v>154430098100</v>
      </c>
      <c r="C1305" t="s">
        <v>70</v>
      </c>
      <c r="D1305" t="s">
        <v>105</v>
      </c>
      <c r="E1305">
        <v>5827000000</v>
      </c>
      <c r="F1305">
        <v>744000000</v>
      </c>
      <c r="G1305">
        <v>6571000000</v>
      </c>
      <c r="H1305">
        <v>12074000000</v>
      </c>
      <c r="I1305">
        <v>1795000000</v>
      </c>
      <c r="J1305">
        <v>184000000</v>
      </c>
      <c r="K1305">
        <v>9457000000</v>
      </c>
      <c r="L1305">
        <v>9993000000</v>
      </c>
      <c r="M1305">
        <v>27100000000</v>
      </c>
      <c r="N1305">
        <v>0</v>
      </c>
      <c r="O1305">
        <v>1441000000</v>
      </c>
      <c r="P1305">
        <v>12499000000</v>
      </c>
      <c r="Q1305">
        <v>157500098100</v>
      </c>
      <c r="R1305">
        <v>158941098100</v>
      </c>
    </row>
    <row r="1306" spans="1:18" x14ac:dyDescent="0.25">
      <c r="A1306" s="1" t="s">
        <v>233</v>
      </c>
      <c r="B1306">
        <v>142624405540</v>
      </c>
      <c r="C1306" t="s">
        <v>70</v>
      </c>
      <c r="D1306" t="s">
        <v>105</v>
      </c>
      <c r="E1306">
        <v>5827000000</v>
      </c>
      <c r="F1306">
        <v>744000000</v>
      </c>
      <c r="G1306">
        <v>6571000000</v>
      </c>
      <c r="H1306">
        <v>12074000000</v>
      </c>
      <c r="I1306">
        <v>1795000000</v>
      </c>
      <c r="J1306">
        <v>184000000</v>
      </c>
      <c r="K1306">
        <v>9457000000</v>
      </c>
      <c r="L1306">
        <v>9993000000</v>
      </c>
      <c r="M1306">
        <v>27100000000</v>
      </c>
      <c r="N1306">
        <v>0</v>
      </c>
      <c r="O1306">
        <v>1441000000</v>
      </c>
      <c r="P1306">
        <v>12499000000</v>
      </c>
      <c r="Q1306">
        <v>145694405540</v>
      </c>
      <c r="R1306">
        <v>147135405540</v>
      </c>
    </row>
    <row r="1307" spans="1:18" x14ac:dyDescent="0.25">
      <c r="A1307" s="1" t="s">
        <v>232</v>
      </c>
      <c r="B1307">
        <v>137719223420</v>
      </c>
      <c r="C1307" t="s">
        <v>70</v>
      </c>
      <c r="D1307" t="s">
        <v>105</v>
      </c>
      <c r="E1307">
        <v>5827000000</v>
      </c>
      <c r="F1307">
        <v>744000000</v>
      </c>
      <c r="G1307">
        <v>6571000000</v>
      </c>
      <c r="H1307">
        <v>12074000000</v>
      </c>
      <c r="I1307">
        <v>1795000000</v>
      </c>
      <c r="J1307">
        <v>184000000</v>
      </c>
      <c r="K1307">
        <v>9457000000</v>
      </c>
      <c r="L1307">
        <v>9993000000</v>
      </c>
      <c r="M1307">
        <v>27100000000</v>
      </c>
      <c r="N1307">
        <v>0</v>
      </c>
      <c r="O1307">
        <v>1441000000</v>
      </c>
      <c r="P1307">
        <v>12499000000</v>
      </c>
      <c r="Q1307">
        <v>140789223420</v>
      </c>
      <c r="R1307">
        <v>142230223420</v>
      </c>
    </row>
    <row r="1308" spans="1:18" x14ac:dyDescent="0.25">
      <c r="A1308" s="1" t="s">
        <v>231</v>
      </c>
      <c r="B1308">
        <v>139901613770</v>
      </c>
      <c r="C1308" t="s">
        <v>70</v>
      </c>
      <c r="D1308" t="s">
        <v>105</v>
      </c>
      <c r="E1308">
        <v>5827000000</v>
      </c>
      <c r="F1308">
        <v>744000000</v>
      </c>
      <c r="G1308">
        <v>6571000000</v>
      </c>
      <c r="H1308">
        <v>12074000000</v>
      </c>
      <c r="I1308">
        <v>1795000000</v>
      </c>
      <c r="J1308">
        <v>184000000</v>
      </c>
      <c r="K1308">
        <v>9457000000</v>
      </c>
      <c r="L1308">
        <v>9993000000</v>
      </c>
      <c r="M1308">
        <v>27100000000</v>
      </c>
      <c r="N1308">
        <v>0</v>
      </c>
      <c r="O1308">
        <v>1441000000</v>
      </c>
      <c r="P1308">
        <v>12499000000</v>
      </c>
      <c r="Q1308">
        <v>142971613770</v>
      </c>
      <c r="R1308">
        <v>144412613770</v>
      </c>
    </row>
    <row r="1309" spans="1:18" x14ac:dyDescent="0.25">
      <c r="A1309" s="1" t="s">
        <v>230</v>
      </c>
      <c r="B1309">
        <v>140774569910</v>
      </c>
      <c r="C1309" t="s">
        <v>70</v>
      </c>
      <c r="D1309" t="s">
        <v>105</v>
      </c>
      <c r="E1309">
        <v>5827000000</v>
      </c>
      <c r="F1309">
        <v>744000000</v>
      </c>
      <c r="G1309">
        <v>6571000000</v>
      </c>
      <c r="H1309">
        <v>12074000000</v>
      </c>
      <c r="I1309">
        <v>1795000000</v>
      </c>
      <c r="J1309">
        <v>184000000</v>
      </c>
      <c r="K1309">
        <v>9457000000</v>
      </c>
      <c r="L1309">
        <v>9993000000</v>
      </c>
      <c r="M1309">
        <v>27100000000</v>
      </c>
      <c r="N1309">
        <v>0</v>
      </c>
      <c r="O1309">
        <v>1441000000</v>
      </c>
      <c r="P1309">
        <v>12499000000</v>
      </c>
      <c r="Q1309">
        <v>143844569910</v>
      </c>
      <c r="R1309">
        <v>145285569910</v>
      </c>
    </row>
    <row r="1310" spans="1:18" x14ac:dyDescent="0.25">
      <c r="A1310" s="1" t="s">
        <v>229</v>
      </c>
      <c r="B1310">
        <v>140338091840</v>
      </c>
      <c r="C1310" t="s">
        <v>70</v>
      </c>
      <c r="D1310" t="s">
        <v>105</v>
      </c>
      <c r="E1310">
        <v>5827000000</v>
      </c>
      <c r="F1310">
        <v>744000000</v>
      </c>
      <c r="G1310">
        <v>6571000000</v>
      </c>
      <c r="H1310">
        <v>12074000000</v>
      </c>
      <c r="I1310">
        <v>1795000000</v>
      </c>
      <c r="J1310">
        <v>184000000</v>
      </c>
      <c r="K1310">
        <v>9457000000</v>
      </c>
      <c r="L1310">
        <v>9993000000</v>
      </c>
      <c r="M1310">
        <v>27100000000</v>
      </c>
      <c r="N1310">
        <v>0</v>
      </c>
      <c r="O1310">
        <v>1441000000</v>
      </c>
      <c r="P1310">
        <v>12499000000</v>
      </c>
      <c r="Q1310">
        <v>143408091840</v>
      </c>
      <c r="R1310">
        <v>144849091840</v>
      </c>
    </row>
    <row r="1311" spans="1:18" x14ac:dyDescent="0.25">
      <c r="A1311" s="1" t="s">
        <v>228</v>
      </c>
      <c r="B1311">
        <v>137469807380</v>
      </c>
      <c r="C1311" t="s">
        <v>70</v>
      </c>
      <c r="D1311" t="s">
        <v>105</v>
      </c>
      <c r="E1311">
        <v>5827000000</v>
      </c>
      <c r="F1311">
        <v>744000000</v>
      </c>
      <c r="G1311">
        <v>6571000000</v>
      </c>
      <c r="H1311">
        <v>12074000000</v>
      </c>
      <c r="I1311">
        <v>1795000000</v>
      </c>
      <c r="J1311">
        <v>184000000</v>
      </c>
      <c r="K1311">
        <v>9457000000</v>
      </c>
      <c r="L1311">
        <v>9993000000</v>
      </c>
      <c r="M1311">
        <v>27100000000</v>
      </c>
      <c r="N1311">
        <v>0</v>
      </c>
      <c r="O1311">
        <v>1441000000</v>
      </c>
      <c r="P1311">
        <v>12499000000</v>
      </c>
      <c r="Q1311">
        <v>140539807380</v>
      </c>
      <c r="R1311">
        <v>141980807380</v>
      </c>
    </row>
    <row r="1312" spans="1:18" x14ac:dyDescent="0.25">
      <c r="A1312" s="1" t="s">
        <v>227</v>
      </c>
      <c r="B1312">
        <v>136638420579</v>
      </c>
      <c r="C1312" t="s">
        <v>70</v>
      </c>
      <c r="D1312" t="s">
        <v>105</v>
      </c>
      <c r="E1312">
        <v>5827000000</v>
      </c>
      <c r="F1312">
        <v>744000000</v>
      </c>
      <c r="G1312">
        <v>6571000000</v>
      </c>
      <c r="H1312">
        <v>12074000000</v>
      </c>
      <c r="I1312">
        <v>1795000000</v>
      </c>
      <c r="J1312">
        <v>184000000</v>
      </c>
      <c r="K1312">
        <v>9457000000</v>
      </c>
      <c r="L1312">
        <v>9993000000</v>
      </c>
      <c r="M1312">
        <v>27100000000</v>
      </c>
      <c r="N1312">
        <v>0</v>
      </c>
      <c r="O1312">
        <v>1441000000</v>
      </c>
      <c r="P1312">
        <v>12499000000</v>
      </c>
      <c r="Q1312">
        <v>139708420579</v>
      </c>
      <c r="R1312">
        <v>141149420579</v>
      </c>
    </row>
    <row r="1313" spans="1:18" x14ac:dyDescent="0.25">
      <c r="A1313" s="1" t="s">
        <v>226</v>
      </c>
      <c r="B1313">
        <v>133853274800</v>
      </c>
      <c r="C1313" t="s">
        <v>70</v>
      </c>
      <c r="D1313" t="s">
        <v>105</v>
      </c>
      <c r="E1313">
        <v>5827000000</v>
      </c>
      <c r="F1313">
        <v>744000000</v>
      </c>
      <c r="G1313">
        <v>6571000000</v>
      </c>
      <c r="H1313">
        <v>12074000000</v>
      </c>
      <c r="I1313">
        <v>1795000000</v>
      </c>
      <c r="J1313">
        <v>184000000</v>
      </c>
      <c r="K1313">
        <v>9457000000</v>
      </c>
      <c r="L1313">
        <v>9993000000</v>
      </c>
      <c r="M1313">
        <v>27100000000</v>
      </c>
      <c r="N1313">
        <v>0</v>
      </c>
      <c r="O1313">
        <v>1441000000</v>
      </c>
      <c r="P1313">
        <v>12499000000</v>
      </c>
      <c r="Q1313">
        <v>136923274800</v>
      </c>
      <c r="R1313">
        <v>138364274800</v>
      </c>
    </row>
    <row r="1314" spans="1:18" x14ac:dyDescent="0.25">
      <c r="A1314" s="1" t="s">
        <v>225</v>
      </c>
      <c r="B1314">
        <v>132523055920</v>
      </c>
      <c r="C1314" t="s">
        <v>70</v>
      </c>
      <c r="D1314" t="s">
        <v>105</v>
      </c>
      <c r="E1314">
        <v>5827000000</v>
      </c>
      <c r="F1314">
        <v>744000000</v>
      </c>
      <c r="G1314">
        <v>6571000000</v>
      </c>
      <c r="H1314">
        <v>12074000000</v>
      </c>
      <c r="I1314">
        <v>1795000000</v>
      </c>
      <c r="J1314">
        <v>184000000</v>
      </c>
      <c r="K1314">
        <v>9457000000</v>
      </c>
      <c r="L1314">
        <v>9993000000</v>
      </c>
      <c r="M1314">
        <v>27100000000</v>
      </c>
      <c r="N1314">
        <v>0</v>
      </c>
      <c r="O1314">
        <v>1441000000</v>
      </c>
      <c r="P1314">
        <v>12499000000</v>
      </c>
      <c r="Q1314">
        <v>135593055920</v>
      </c>
      <c r="R1314">
        <v>137034055920</v>
      </c>
    </row>
    <row r="1315" spans="1:18" x14ac:dyDescent="0.25">
      <c r="A1315" s="1" t="s">
        <v>224</v>
      </c>
      <c r="B1315">
        <v>131130483030</v>
      </c>
      <c r="C1315" t="s">
        <v>70</v>
      </c>
      <c r="D1315" t="s">
        <v>105</v>
      </c>
      <c r="E1315">
        <v>5827000000</v>
      </c>
      <c r="F1315">
        <v>744000000</v>
      </c>
      <c r="G1315">
        <v>6571000000</v>
      </c>
      <c r="H1315">
        <v>12074000000</v>
      </c>
      <c r="I1315">
        <v>1795000000</v>
      </c>
      <c r="J1315">
        <v>184000000</v>
      </c>
      <c r="K1315">
        <v>9457000000</v>
      </c>
      <c r="L1315">
        <v>9993000000</v>
      </c>
      <c r="M1315">
        <v>27100000000</v>
      </c>
      <c r="N1315">
        <v>0</v>
      </c>
      <c r="O1315">
        <v>1441000000</v>
      </c>
      <c r="P1315">
        <v>12499000000</v>
      </c>
      <c r="Q1315">
        <v>134200483030</v>
      </c>
      <c r="R1315">
        <v>135641483030</v>
      </c>
    </row>
    <row r="1316" spans="1:18" x14ac:dyDescent="0.25">
      <c r="A1316" s="1" t="s">
        <v>223</v>
      </c>
      <c r="B1316">
        <v>133998767490</v>
      </c>
      <c r="C1316" t="s">
        <v>70</v>
      </c>
      <c r="D1316" t="s">
        <v>105</v>
      </c>
      <c r="E1316">
        <v>5827000000</v>
      </c>
      <c r="F1316">
        <v>744000000</v>
      </c>
      <c r="G1316">
        <v>6571000000</v>
      </c>
      <c r="H1316">
        <v>12074000000</v>
      </c>
      <c r="I1316">
        <v>1795000000</v>
      </c>
      <c r="J1316">
        <v>184000000</v>
      </c>
      <c r="K1316">
        <v>9457000000</v>
      </c>
      <c r="L1316">
        <v>9993000000</v>
      </c>
      <c r="M1316">
        <v>27100000000</v>
      </c>
      <c r="N1316">
        <v>0</v>
      </c>
      <c r="O1316">
        <v>1441000000</v>
      </c>
      <c r="P1316">
        <v>12499000000</v>
      </c>
      <c r="Q1316">
        <v>137068767490</v>
      </c>
      <c r="R1316">
        <v>138509767490</v>
      </c>
    </row>
    <row r="1317" spans="1:18" x14ac:dyDescent="0.25">
      <c r="A1317" s="1" t="s">
        <v>222</v>
      </c>
      <c r="B1317">
        <v>126828056340</v>
      </c>
      <c r="C1317" t="s">
        <v>70</v>
      </c>
      <c r="D1317" t="s">
        <v>105</v>
      </c>
      <c r="E1317">
        <v>5827000000</v>
      </c>
      <c r="F1317">
        <v>744000000</v>
      </c>
      <c r="G1317">
        <v>6571000000</v>
      </c>
      <c r="H1317">
        <v>12074000000</v>
      </c>
      <c r="I1317">
        <v>1795000000</v>
      </c>
      <c r="J1317">
        <v>184000000</v>
      </c>
      <c r="K1317">
        <v>9457000000</v>
      </c>
      <c r="L1317">
        <v>9993000000</v>
      </c>
      <c r="M1317">
        <v>27100000000</v>
      </c>
      <c r="N1317">
        <v>0</v>
      </c>
      <c r="O1317">
        <v>1441000000</v>
      </c>
      <c r="P1317">
        <v>12499000000</v>
      </c>
      <c r="Q1317">
        <v>129898056340</v>
      </c>
      <c r="R1317">
        <v>131339056340</v>
      </c>
    </row>
    <row r="1318" spans="1:18" x14ac:dyDescent="0.25">
      <c r="A1318" s="1" t="s">
        <v>221</v>
      </c>
      <c r="B1318">
        <v>123417698200</v>
      </c>
      <c r="C1318" t="s">
        <v>70</v>
      </c>
      <c r="D1318" t="s">
        <v>105</v>
      </c>
      <c r="E1318">
        <v>5827000000</v>
      </c>
      <c r="F1318">
        <v>744000000</v>
      </c>
      <c r="G1318">
        <v>6571000000</v>
      </c>
      <c r="H1318">
        <v>12074000000</v>
      </c>
      <c r="I1318">
        <v>1795000000</v>
      </c>
      <c r="J1318">
        <v>184000000</v>
      </c>
      <c r="K1318">
        <v>9457000000</v>
      </c>
      <c r="L1318">
        <v>9993000000</v>
      </c>
      <c r="M1318">
        <v>27100000000</v>
      </c>
      <c r="N1318">
        <v>0</v>
      </c>
      <c r="O1318">
        <v>1441000000</v>
      </c>
      <c r="P1318">
        <v>12499000000</v>
      </c>
      <c r="Q1318">
        <v>126487698200</v>
      </c>
      <c r="R1318">
        <v>127928698200</v>
      </c>
    </row>
    <row r="1319" spans="1:18" x14ac:dyDescent="0.25">
      <c r="A1319" s="1" t="s">
        <v>220</v>
      </c>
      <c r="B1319">
        <v>122350686341</v>
      </c>
      <c r="C1319" t="s">
        <v>70</v>
      </c>
      <c r="D1319" t="s">
        <v>105</v>
      </c>
      <c r="E1319">
        <v>5827000000</v>
      </c>
      <c r="F1319">
        <v>744000000</v>
      </c>
      <c r="G1319">
        <v>6571000000</v>
      </c>
      <c r="H1319">
        <v>12074000000</v>
      </c>
      <c r="I1319">
        <v>1795000000</v>
      </c>
      <c r="J1319">
        <v>184000000</v>
      </c>
      <c r="K1319">
        <v>9457000000</v>
      </c>
      <c r="L1319">
        <v>9993000000</v>
      </c>
      <c r="M1319">
        <v>27100000000</v>
      </c>
      <c r="N1319">
        <v>0</v>
      </c>
      <c r="O1319">
        <v>1441000000</v>
      </c>
      <c r="P1319">
        <v>12499000000</v>
      </c>
      <c r="Q1319">
        <v>125420686341</v>
      </c>
      <c r="R1319">
        <v>126861686341</v>
      </c>
    </row>
    <row r="1320" spans="1:18" x14ac:dyDescent="0.25">
      <c r="A1320" s="1" t="s">
        <v>114</v>
      </c>
      <c r="B1320">
        <v>135719716535</v>
      </c>
      <c r="C1320" t="s">
        <v>69</v>
      </c>
      <c r="D1320" t="s">
        <v>105</v>
      </c>
      <c r="E1320">
        <v>5273000000</v>
      </c>
      <c r="F1320">
        <v>1795000000</v>
      </c>
      <c r="G1320">
        <v>7068000000</v>
      </c>
      <c r="H1320">
        <v>12483000000</v>
      </c>
      <c r="I1320">
        <v>1043000000</v>
      </c>
      <c r="J1320">
        <v>351000000</v>
      </c>
      <c r="K1320">
        <v>9454000000</v>
      </c>
      <c r="L1320">
        <v>10318000000</v>
      </c>
      <c r="M1320">
        <v>27731000000</v>
      </c>
      <c r="N1320">
        <v>0</v>
      </c>
      <c r="O1320">
        <v>1433000000</v>
      </c>
      <c r="P1320">
        <v>13783000000</v>
      </c>
      <c r="Q1320">
        <v>138456716535</v>
      </c>
      <c r="R1320">
        <v>139889716535</v>
      </c>
    </row>
    <row r="1321" spans="1:18" x14ac:dyDescent="0.25">
      <c r="A1321" s="1" t="s">
        <v>116</v>
      </c>
      <c r="B1321">
        <v>137121477134</v>
      </c>
      <c r="C1321" t="s">
        <v>69</v>
      </c>
      <c r="D1321" t="s">
        <v>105</v>
      </c>
      <c r="E1321">
        <v>5273000000</v>
      </c>
      <c r="F1321">
        <v>1795000000</v>
      </c>
      <c r="G1321">
        <v>7068000000</v>
      </c>
      <c r="H1321">
        <v>12483000000</v>
      </c>
      <c r="I1321">
        <v>1043000000</v>
      </c>
      <c r="J1321">
        <v>351000000</v>
      </c>
      <c r="K1321">
        <v>9454000000</v>
      </c>
      <c r="L1321">
        <v>10318000000</v>
      </c>
      <c r="M1321">
        <v>27731000000</v>
      </c>
      <c r="N1321">
        <v>0</v>
      </c>
      <c r="O1321">
        <v>1433000000</v>
      </c>
      <c r="P1321">
        <v>13783000000</v>
      </c>
      <c r="Q1321">
        <v>139858477134</v>
      </c>
      <c r="R1321">
        <v>141291477134</v>
      </c>
    </row>
    <row r="1322" spans="1:18" x14ac:dyDescent="0.25">
      <c r="A1322" s="1" t="s">
        <v>219</v>
      </c>
      <c r="B1322">
        <v>144381341730</v>
      </c>
      <c r="C1322" t="s">
        <v>69</v>
      </c>
      <c r="D1322" t="s">
        <v>105</v>
      </c>
      <c r="E1322">
        <v>5273000000</v>
      </c>
      <c r="F1322">
        <v>1795000000</v>
      </c>
      <c r="G1322">
        <v>7068000000</v>
      </c>
      <c r="H1322">
        <v>12483000000</v>
      </c>
      <c r="I1322">
        <v>1043000000</v>
      </c>
      <c r="J1322">
        <v>351000000</v>
      </c>
      <c r="K1322">
        <v>9454000000</v>
      </c>
      <c r="L1322">
        <v>10318000000</v>
      </c>
      <c r="M1322">
        <v>27731000000</v>
      </c>
      <c r="N1322">
        <v>0</v>
      </c>
      <c r="O1322">
        <v>1433000000</v>
      </c>
      <c r="P1322">
        <v>13783000000</v>
      </c>
      <c r="Q1322">
        <v>147118341730</v>
      </c>
      <c r="R1322">
        <v>148551341730</v>
      </c>
    </row>
    <row r="1323" spans="1:18" x14ac:dyDescent="0.25">
      <c r="A1323" s="1" t="s">
        <v>218</v>
      </c>
      <c r="B1323">
        <v>143398017131</v>
      </c>
      <c r="C1323" t="s">
        <v>69</v>
      </c>
      <c r="D1323" t="s">
        <v>105</v>
      </c>
      <c r="E1323">
        <v>5273000000</v>
      </c>
      <c r="F1323">
        <v>1795000000</v>
      </c>
      <c r="G1323">
        <v>7068000000</v>
      </c>
      <c r="H1323">
        <v>12483000000</v>
      </c>
      <c r="I1323">
        <v>1043000000</v>
      </c>
      <c r="J1323">
        <v>351000000</v>
      </c>
      <c r="K1323">
        <v>9454000000</v>
      </c>
      <c r="L1323">
        <v>10318000000</v>
      </c>
      <c r="M1323">
        <v>27731000000</v>
      </c>
      <c r="N1323">
        <v>0</v>
      </c>
      <c r="O1323">
        <v>1433000000</v>
      </c>
      <c r="P1323">
        <v>13783000000</v>
      </c>
      <c r="Q1323">
        <v>146135017131</v>
      </c>
      <c r="R1323">
        <v>147568017131</v>
      </c>
    </row>
    <row r="1324" spans="1:18" x14ac:dyDescent="0.25">
      <c r="A1324" s="1" t="s">
        <v>217</v>
      </c>
      <c r="B1324">
        <v>144904386730</v>
      </c>
      <c r="C1324" t="s">
        <v>69</v>
      </c>
      <c r="D1324" t="s">
        <v>105</v>
      </c>
      <c r="E1324">
        <v>5273000000</v>
      </c>
      <c r="F1324">
        <v>1795000000</v>
      </c>
      <c r="G1324">
        <v>7068000000</v>
      </c>
      <c r="H1324">
        <v>12483000000</v>
      </c>
      <c r="I1324">
        <v>1043000000</v>
      </c>
      <c r="J1324">
        <v>351000000</v>
      </c>
      <c r="K1324">
        <v>9454000000</v>
      </c>
      <c r="L1324">
        <v>10318000000</v>
      </c>
      <c r="M1324">
        <v>27731000000</v>
      </c>
      <c r="N1324">
        <v>0</v>
      </c>
      <c r="O1324">
        <v>1433000000</v>
      </c>
      <c r="P1324">
        <v>13783000000</v>
      </c>
      <c r="Q1324">
        <v>147641386730</v>
      </c>
      <c r="R1324">
        <v>149074386730</v>
      </c>
    </row>
    <row r="1325" spans="1:18" x14ac:dyDescent="0.25">
      <c r="A1325" s="1" t="s">
        <v>216</v>
      </c>
      <c r="B1325">
        <v>148670310728</v>
      </c>
      <c r="C1325" t="s">
        <v>69</v>
      </c>
      <c r="D1325" t="s">
        <v>105</v>
      </c>
      <c r="E1325">
        <v>5273000000</v>
      </c>
      <c r="F1325">
        <v>1795000000</v>
      </c>
      <c r="G1325">
        <v>7068000000</v>
      </c>
      <c r="H1325">
        <v>12483000000</v>
      </c>
      <c r="I1325">
        <v>1043000000</v>
      </c>
      <c r="J1325">
        <v>351000000</v>
      </c>
      <c r="K1325">
        <v>9454000000</v>
      </c>
      <c r="L1325">
        <v>10318000000</v>
      </c>
      <c r="M1325">
        <v>27731000000</v>
      </c>
      <c r="N1325">
        <v>0</v>
      </c>
      <c r="O1325">
        <v>1433000000</v>
      </c>
      <c r="P1325">
        <v>13783000000</v>
      </c>
      <c r="Q1325">
        <v>151407310728</v>
      </c>
      <c r="R1325">
        <v>152840310728</v>
      </c>
    </row>
    <row r="1326" spans="1:18" x14ac:dyDescent="0.25">
      <c r="A1326" s="1" t="s">
        <v>215</v>
      </c>
      <c r="B1326">
        <v>150490507328</v>
      </c>
      <c r="C1326" t="s">
        <v>69</v>
      </c>
      <c r="D1326" t="s">
        <v>105</v>
      </c>
      <c r="E1326">
        <v>5273000000</v>
      </c>
      <c r="F1326">
        <v>1795000000</v>
      </c>
      <c r="G1326">
        <v>7068000000</v>
      </c>
      <c r="H1326">
        <v>12483000000</v>
      </c>
      <c r="I1326">
        <v>1043000000</v>
      </c>
      <c r="J1326">
        <v>351000000</v>
      </c>
      <c r="K1326">
        <v>9454000000</v>
      </c>
      <c r="L1326">
        <v>10318000000</v>
      </c>
      <c r="M1326">
        <v>27731000000</v>
      </c>
      <c r="N1326">
        <v>0</v>
      </c>
      <c r="O1326">
        <v>1433000000</v>
      </c>
      <c r="P1326">
        <v>13783000000</v>
      </c>
      <c r="Q1326">
        <v>153227507328</v>
      </c>
      <c r="R1326">
        <v>154660507328</v>
      </c>
    </row>
    <row r="1327" spans="1:18" x14ac:dyDescent="0.25">
      <c r="A1327" s="1" t="s">
        <v>214</v>
      </c>
      <c r="B1327">
        <v>152164251327</v>
      </c>
      <c r="C1327" t="s">
        <v>69</v>
      </c>
      <c r="D1327" t="s">
        <v>105</v>
      </c>
      <c r="E1327">
        <v>5273000000</v>
      </c>
      <c r="F1327">
        <v>1795000000</v>
      </c>
      <c r="G1327">
        <v>7068000000</v>
      </c>
      <c r="H1327">
        <v>12483000000</v>
      </c>
      <c r="I1327">
        <v>1043000000</v>
      </c>
      <c r="J1327">
        <v>351000000</v>
      </c>
      <c r="K1327">
        <v>9454000000</v>
      </c>
      <c r="L1327">
        <v>10318000000</v>
      </c>
      <c r="M1327">
        <v>27731000000</v>
      </c>
      <c r="N1327">
        <v>0</v>
      </c>
      <c r="O1327">
        <v>1433000000</v>
      </c>
      <c r="P1327">
        <v>13783000000</v>
      </c>
      <c r="Q1327">
        <v>154901251327</v>
      </c>
      <c r="R1327">
        <v>156334251327</v>
      </c>
    </row>
    <row r="1328" spans="1:18" x14ac:dyDescent="0.25">
      <c r="A1328" s="1" t="s">
        <v>213</v>
      </c>
      <c r="B1328">
        <v>150720647127</v>
      </c>
      <c r="C1328" t="s">
        <v>69</v>
      </c>
      <c r="D1328" t="s">
        <v>105</v>
      </c>
      <c r="E1328">
        <v>5273000000</v>
      </c>
      <c r="F1328">
        <v>1795000000</v>
      </c>
      <c r="G1328">
        <v>7068000000</v>
      </c>
      <c r="H1328">
        <v>12483000000</v>
      </c>
      <c r="I1328">
        <v>1043000000</v>
      </c>
      <c r="J1328">
        <v>351000000</v>
      </c>
      <c r="K1328">
        <v>9454000000</v>
      </c>
      <c r="L1328">
        <v>10318000000</v>
      </c>
      <c r="M1328">
        <v>27731000000</v>
      </c>
      <c r="N1328">
        <v>0</v>
      </c>
      <c r="O1328">
        <v>1433000000</v>
      </c>
      <c r="P1328">
        <v>13783000000</v>
      </c>
      <c r="Q1328">
        <v>153457647127</v>
      </c>
      <c r="R1328">
        <v>154890647127</v>
      </c>
    </row>
    <row r="1329" spans="1:18" x14ac:dyDescent="0.25">
      <c r="A1329" s="1" t="s">
        <v>212</v>
      </c>
      <c r="B1329">
        <v>155197912325</v>
      </c>
      <c r="C1329" t="s">
        <v>69</v>
      </c>
      <c r="D1329" t="s">
        <v>105</v>
      </c>
      <c r="E1329">
        <v>5273000000</v>
      </c>
      <c r="F1329">
        <v>1795000000</v>
      </c>
      <c r="G1329">
        <v>7068000000</v>
      </c>
      <c r="H1329">
        <v>12483000000</v>
      </c>
      <c r="I1329">
        <v>1043000000</v>
      </c>
      <c r="J1329">
        <v>351000000</v>
      </c>
      <c r="K1329">
        <v>9454000000</v>
      </c>
      <c r="L1329">
        <v>10318000000</v>
      </c>
      <c r="M1329">
        <v>27731000000</v>
      </c>
      <c r="N1329">
        <v>0</v>
      </c>
      <c r="O1329">
        <v>1433000000</v>
      </c>
      <c r="P1329">
        <v>13783000000</v>
      </c>
      <c r="Q1329">
        <v>157934912325</v>
      </c>
      <c r="R1329">
        <v>159367912325</v>
      </c>
    </row>
    <row r="1330" spans="1:18" x14ac:dyDescent="0.25">
      <c r="A1330" s="1" t="s">
        <v>211</v>
      </c>
      <c r="B1330">
        <v>153377715726</v>
      </c>
      <c r="C1330" t="s">
        <v>69</v>
      </c>
      <c r="D1330" t="s">
        <v>105</v>
      </c>
      <c r="E1330">
        <v>5273000000</v>
      </c>
      <c r="F1330">
        <v>1795000000</v>
      </c>
      <c r="G1330">
        <v>7068000000</v>
      </c>
      <c r="H1330">
        <v>12483000000</v>
      </c>
      <c r="I1330">
        <v>1043000000</v>
      </c>
      <c r="J1330">
        <v>351000000</v>
      </c>
      <c r="K1330">
        <v>9454000000</v>
      </c>
      <c r="L1330">
        <v>10318000000</v>
      </c>
      <c r="M1330">
        <v>27731000000</v>
      </c>
      <c r="N1330">
        <v>0</v>
      </c>
      <c r="O1330">
        <v>1433000000</v>
      </c>
      <c r="P1330">
        <v>13783000000</v>
      </c>
      <c r="Q1330">
        <v>156114715726</v>
      </c>
      <c r="R1330">
        <v>157547715726</v>
      </c>
    </row>
    <row r="1331" spans="1:18" x14ac:dyDescent="0.25">
      <c r="A1331" s="1" t="s">
        <v>210</v>
      </c>
      <c r="B1331">
        <v>153733386326</v>
      </c>
      <c r="C1331" t="s">
        <v>69</v>
      </c>
      <c r="D1331" t="s">
        <v>105</v>
      </c>
      <c r="E1331">
        <v>5273000000</v>
      </c>
      <c r="F1331">
        <v>1795000000</v>
      </c>
      <c r="G1331">
        <v>7068000000</v>
      </c>
      <c r="H1331">
        <v>12483000000</v>
      </c>
      <c r="I1331">
        <v>1043000000</v>
      </c>
      <c r="J1331">
        <v>351000000</v>
      </c>
      <c r="K1331">
        <v>9454000000</v>
      </c>
      <c r="L1331">
        <v>10318000000</v>
      </c>
      <c r="M1331">
        <v>27731000000</v>
      </c>
      <c r="N1331">
        <v>0</v>
      </c>
      <c r="O1331">
        <v>1433000000</v>
      </c>
      <c r="P1331">
        <v>13783000000</v>
      </c>
      <c r="Q1331">
        <v>156470386326</v>
      </c>
      <c r="R1331">
        <v>157903386326</v>
      </c>
    </row>
    <row r="1332" spans="1:18" x14ac:dyDescent="0.25">
      <c r="A1332" s="1" t="s">
        <v>209</v>
      </c>
      <c r="B1332">
        <v>153377715726</v>
      </c>
      <c r="C1332" t="s">
        <v>69</v>
      </c>
      <c r="D1332" t="s">
        <v>105</v>
      </c>
      <c r="E1332">
        <v>5273000000</v>
      </c>
      <c r="F1332">
        <v>1795000000</v>
      </c>
      <c r="G1332">
        <v>7068000000</v>
      </c>
      <c r="H1332">
        <v>12483000000</v>
      </c>
      <c r="I1332">
        <v>1043000000</v>
      </c>
      <c r="J1332">
        <v>351000000</v>
      </c>
      <c r="K1332">
        <v>9454000000</v>
      </c>
      <c r="L1332">
        <v>10318000000</v>
      </c>
      <c r="M1332">
        <v>27731000000</v>
      </c>
      <c r="N1332">
        <v>0</v>
      </c>
      <c r="O1332">
        <v>1433000000</v>
      </c>
      <c r="P1332">
        <v>13783000000</v>
      </c>
      <c r="Q1332">
        <v>156114715726</v>
      </c>
      <c r="R1332">
        <v>157547715726</v>
      </c>
    </row>
    <row r="1333" spans="1:18" x14ac:dyDescent="0.25">
      <c r="A1333" s="1" t="s">
        <v>208</v>
      </c>
      <c r="B1333">
        <v>155448973925</v>
      </c>
      <c r="C1333" t="s">
        <v>69</v>
      </c>
      <c r="D1333" t="s">
        <v>105</v>
      </c>
      <c r="E1333">
        <v>5273000000</v>
      </c>
      <c r="F1333">
        <v>1795000000</v>
      </c>
      <c r="G1333">
        <v>7068000000</v>
      </c>
      <c r="H1333">
        <v>12483000000</v>
      </c>
      <c r="I1333">
        <v>1043000000</v>
      </c>
      <c r="J1333">
        <v>351000000</v>
      </c>
      <c r="K1333">
        <v>9454000000</v>
      </c>
      <c r="L1333">
        <v>10318000000</v>
      </c>
      <c r="M1333">
        <v>27731000000</v>
      </c>
      <c r="N1333">
        <v>0</v>
      </c>
      <c r="O1333">
        <v>1433000000</v>
      </c>
      <c r="P1333">
        <v>13783000000</v>
      </c>
      <c r="Q1333">
        <v>158185973925</v>
      </c>
      <c r="R1333">
        <v>159618973925</v>
      </c>
    </row>
    <row r="1334" spans="1:18" x14ac:dyDescent="0.25">
      <c r="A1334" s="1" t="s">
        <v>207</v>
      </c>
      <c r="B1334">
        <v>151913189727</v>
      </c>
      <c r="C1334" t="s">
        <v>69</v>
      </c>
      <c r="D1334" t="s">
        <v>105</v>
      </c>
      <c r="E1334">
        <v>5273000000</v>
      </c>
      <c r="F1334">
        <v>1795000000</v>
      </c>
      <c r="G1334">
        <v>7068000000</v>
      </c>
      <c r="H1334">
        <v>12483000000</v>
      </c>
      <c r="I1334">
        <v>1043000000</v>
      </c>
      <c r="J1334">
        <v>351000000</v>
      </c>
      <c r="K1334">
        <v>9454000000</v>
      </c>
      <c r="L1334">
        <v>10318000000</v>
      </c>
      <c r="M1334">
        <v>27731000000</v>
      </c>
      <c r="N1334">
        <v>0</v>
      </c>
      <c r="O1334">
        <v>1433000000</v>
      </c>
      <c r="P1334">
        <v>13783000000</v>
      </c>
      <c r="Q1334">
        <v>154650189727</v>
      </c>
      <c r="R1334">
        <v>156083189727</v>
      </c>
    </row>
    <row r="1335" spans="1:18" x14ac:dyDescent="0.25">
      <c r="A1335" s="1" t="s">
        <v>206</v>
      </c>
      <c r="B1335">
        <v>151808580727</v>
      </c>
      <c r="C1335" t="s">
        <v>69</v>
      </c>
      <c r="D1335" t="s">
        <v>105</v>
      </c>
      <c r="E1335">
        <v>5273000000</v>
      </c>
      <c r="F1335">
        <v>1795000000</v>
      </c>
      <c r="G1335">
        <v>7068000000</v>
      </c>
      <c r="H1335">
        <v>12483000000</v>
      </c>
      <c r="I1335">
        <v>1043000000</v>
      </c>
      <c r="J1335">
        <v>351000000</v>
      </c>
      <c r="K1335">
        <v>9454000000</v>
      </c>
      <c r="L1335">
        <v>10318000000</v>
      </c>
      <c r="M1335">
        <v>27731000000</v>
      </c>
      <c r="N1335">
        <v>0</v>
      </c>
      <c r="O1335">
        <v>1433000000</v>
      </c>
      <c r="P1335">
        <v>13783000000</v>
      </c>
      <c r="Q1335">
        <v>154545580727</v>
      </c>
      <c r="R1335">
        <v>155978580727</v>
      </c>
    </row>
    <row r="1336" spans="1:18" x14ac:dyDescent="0.25">
      <c r="A1336" s="1" t="s">
        <v>205</v>
      </c>
      <c r="B1336">
        <v>150323132928</v>
      </c>
      <c r="C1336" t="s">
        <v>69</v>
      </c>
      <c r="D1336" t="s">
        <v>105</v>
      </c>
      <c r="E1336">
        <v>5273000000</v>
      </c>
      <c r="F1336">
        <v>1795000000</v>
      </c>
      <c r="G1336">
        <v>7068000000</v>
      </c>
      <c r="H1336">
        <v>12483000000</v>
      </c>
      <c r="I1336">
        <v>1043000000</v>
      </c>
      <c r="J1336">
        <v>351000000</v>
      </c>
      <c r="K1336">
        <v>9454000000</v>
      </c>
      <c r="L1336">
        <v>10318000000</v>
      </c>
      <c r="M1336">
        <v>27731000000</v>
      </c>
      <c r="N1336">
        <v>0</v>
      </c>
      <c r="O1336">
        <v>1433000000</v>
      </c>
      <c r="P1336">
        <v>13783000000</v>
      </c>
      <c r="Q1336">
        <v>153060132928</v>
      </c>
      <c r="R1336">
        <v>154493132928</v>
      </c>
    </row>
    <row r="1337" spans="1:18" x14ac:dyDescent="0.25">
      <c r="A1337" s="1" t="s">
        <v>204</v>
      </c>
      <c r="B1337">
        <v>151139083127</v>
      </c>
      <c r="C1337" t="s">
        <v>69</v>
      </c>
      <c r="D1337" t="s">
        <v>105</v>
      </c>
      <c r="E1337">
        <v>5273000000</v>
      </c>
      <c r="F1337">
        <v>1795000000</v>
      </c>
      <c r="G1337">
        <v>7068000000</v>
      </c>
      <c r="H1337">
        <v>12483000000</v>
      </c>
      <c r="I1337">
        <v>1043000000</v>
      </c>
      <c r="J1337">
        <v>351000000</v>
      </c>
      <c r="K1337">
        <v>9454000000</v>
      </c>
      <c r="L1337">
        <v>10318000000</v>
      </c>
      <c r="M1337">
        <v>27731000000</v>
      </c>
      <c r="N1337">
        <v>0</v>
      </c>
      <c r="O1337">
        <v>1433000000</v>
      </c>
      <c r="P1337">
        <v>13783000000</v>
      </c>
      <c r="Q1337">
        <v>153876083127</v>
      </c>
      <c r="R1337">
        <v>155309083127</v>
      </c>
    </row>
    <row r="1338" spans="1:18" x14ac:dyDescent="0.25">
      <c r="A1338" s="1" t="s">
        <v>203</v>
      </c>
      <c r="B1338">
        <v>153001123326</v>
      </c>
      <c r="C1338" t="s">
        <v>69</v>
      </c>
      <c r="D1338" t="s">
        <v>105</v>
      </c>
      <c r="E1338">
        <v>5273000000</v>
      </c>
      <c r="F1338">
        <v>1795000000</v>
      </c>
      <c r="G1338">
        <v>7068000000</v>
      </c>
      <c r="H1338">
        <v>12483000000</v>
      </c>
      <c r="I1338">
        <v>1043000000</v>
      </c>
      <c r="J1338">
        <v>351000000</v>
      </c>
      <c r="K1338">
        <v>9454000000</v>
      </c>
      <c r="L1338">
        <v>10318000000</v>
      </c>
      <c r="M1338">
        <v>27731000000</v>
      </c>
      <c r="N1338">
        <v>0</v>
      </c>
      <c r="O1338">
        <v>1433000000</v>
      </c>
      <c r="P1338">
        <v>13783000000</v>
      </c>
      <c r="Q1338">
        <v>155738123326</v>
      </c>
      <c r="R1338">
        <v>157171123326</v>
      </c>
    </row>
    <row r="1339" spans="1:18" x14ac:dyDescent="0.25">
      <c r="A1339" s="1" t="s">
        <v>202</v>
      </c>
      <c r="B1339">
        <v>150406820128</v>
      </c>
      <c r="C1339" t="s">
        <v>69</v>
      </c>
      <c r="D1339" t="s">
        <v>105</v>
      </c>
      <c r="E1339">
        <v>5273000000</v>
      </c>
      <c r="F1339">
        <v>1795000000</v>
      </c>
      <c r="G1339">
        <v>7068000000</v>
      </c>
      <c r="H1339">
        <v>12483000000</v>
      </c>
      <c r="I1339">
        <v>1043000000</v>
      </c>
      <c r="J1339">
        <v>351000000</v>
      </c>
      <c r="K1339">
        <v>9454000000</v>
      </c>
      <c r="L1339">
        <v>10318000000</v>
      </c>
      <c r="M1339">
        <v>27731000000</v>
      </c>
      <c r="N1339">
        <v>0</v>
      </c>
      <c r="O1339">
        <v>1433000000</v>
      </c>
      <c r="P1339">
        <v>13783000000</v>
      </c>
      <c r="Q1339">
        <v>153143820128</v>
      </c>
      <c r="R1339">
        <v>154576820128</v>
      </c>
    </row>
    <row r="1340" spans="1:18" x14ac:dyDescent="0.25">
      <c r="A1340" s="1" t="s">
        <v>201</v>
      </c>
      <c r="B1340">
        <v>149716400728</v>
      </c>
      <c r="C1340" t="s">
        <v>69</v>
      </c>
      <c r="D1340" t="s">
        <v>105</v>
      </c>
      <c r="E1340">
        <v>5273000000</v>
      </c>
      <c r="F1340">
        <v>1795000000</v>
      </c>
      <c r="G1340">
        <v>7068000000</v>
      </c>
      <c r="H1340">
        <v>12483000000</v>
      </c>
      <c r="I1340">
        <v>1043000000</v>
      </c>
      <c r="J1340">
        <v>351000000</v>
      </c>
      <c r="K1340">
        <v>9454000000</v>
      </c>
      <c r="L1340">
        <v>10318000000</v>
      </c>
      <c r="M1340">
        <v>27731000000</v>
      </c>
      <c r="N1340">
        <v>0</v>
      </c>
      <c r="O1340">
        <v>1433000000</v>
      </c>
      <c r="P1340">
        <v>13783000000</v>
      </c>
      <c r="Q1340">
        <v>152453400728</v>
      </c>
      <c r="R1340">
        <v>153886400728</v>
      </c>
    </row>
    <row r="1341" spans="1:18" x14ac:dyDescent="0.25">
      <c r="A1341" s="1" t="s">
        <v>200</v>
      </c>
      <c r="B1341">
        <v>149067824928</v>
      </c>
      <c r="C1341" t="s">
        <v>69</v>
      </c>
      <c r="D1341" t="s">
        <v>105</v>
      </c>
      <c r="E1341">
        <v>5273000000</v>
      </c>
      <c r="F1341">
        <v>1795000000</v>
      </c>
      <c r="G1341">
        <v>7068000000</v>
      </c>
      <c r="H1341">
        <v>12483000000</v>
      </c>
      <c r="I1341">
        <v>1043000000</v>
      </c>
      <c r="J1341">
        <v>351000000</v>
      </c>
      <c r="K1341">
        <v>9454000000</v>
      </c>
      <c r="L1341">
        <v>10318000000</v>
      </c>
      <c r="M1341">
        <v>27731000000</v>
      </c>
      <c r="N1341">
        <v>0</v>
      </c>
      <c r="O1341">
        <v>1433000000</v>
      </c>
      <c r="P1341">
        <v>13783000000</v>
      </c>
      <c r="Q1341">
        <v>151804824928</v>
      </c>
      <c r="R1341">
        <v>153237824928</v>
      </c>
    </row>
    <row r="1342" spans="1:18" x14ac:dyDescent="0.25">
      <c r="A1342" s="1" t="s">
        <v>199</v>
      </c>
      <c r="B1342">
        <v>145573884330</v>
      </c>
      <c r="C1342" t="s">
        <v>69</v>
      </c>
      <c r="D1342" t="s">
        <v>105</v>
      </c>
      <c r="E1342">
        <v>5273000000</v>
      </c>
      <c r="F1342">
        <v>1795000000</v>
      </c>
      <c r="G1342">
        <v>7068000000</v>
      </c>
      <c r="H1342">
        <v>12483000000</v>
      </c>
      <c r="I1342">
        <v>1043000000</v>
      </c>
      <c r="J1342">
        <v>351000000</v>
      </c>
      <c r="K1342">
        <v>9454000000</v>
      </c>
      <c r="L1342">
        <v>10318000000</v>
      </c>
      <c r="M1342">
        <v>27731000000</v>
      </c>
      <c r="N1342">
        <v>0</v>
      </c>
      <c r="O1342">
        <v>1433000000</v>
      </c>
      <c r="P1342">
        <v>13783000000</v>
      </c>
      <c r="Q1342">
        <v>148310884330</v>
      </c>
      <c r="R1342">
        <v>149743884330</v>
      </c>
    </row>
    <row r="1343" spans="1:18" x14ac:dyDescent="0.25">
      <c r="A1343" s="1" t="s">
        <v>198</v>
      </c>
      <c r="B1343">
        <v>146034163930</v>
      </c>
      <c r="C1343" t="s">
        <v>69</v>
      </c>
      <c r="D1343" t="s">
        <v>105</v>
      </c>
      <c r="E1343">
        <v>5273000000</v>
      </c>
      <c r="F1343">
        <v>1795000000</v>
      </c>
      <c r="G1343">
        <v>7068000000</v>
      </c>
      <c r="H1343">
        <v>12483000000</v>
      </c>
      <c r="I1343">
        <v>1043000000</v>
      </c>
      <c r="J1343">
        <v>351000000</v>
      </c>
      <c r="K1343">
        <v>9454000000</v>
      </c>
      <c r="L1343">
        <v>10318000000</v>
      </c>
      <c r="M1343">
        <v>27731000000</v>
      </c>
      <c r="N1343">
        <v>0</v>
      </c>
      <c r="O1343">
        <v>1433000000</v>
      </c>
      <c r="P1343">
        <v>13783000000</v>
      </c>
      <c r="Q1343">
        <v>148771163930</v>
      </c>
      <c r="R1343">
        <v>150204163930</v>
      </c>
    </row>
    <row r="1344" spans="1:18" x14ac:dyDescent="0.25">
      <c r="A1344" s="1" t="s">
        <v>197</v>
      </c>
      <c r="B1344">
        <v>144339498131</v>
      </c>
      <c r="C1344" t="s">
        <v>69</v>
      </c>
      <c r="D1344" t="s">
        <v>105</v>
      </c>
      <c r="E1344">
        <v>5273000000</v>
      </c>
      <c r="F1344">
        <v>1795000000</v>
      </c>
      <c r="G1344">
        <v>7068000000</v>
      </c>
      <c r="H1344">
        <v>12483000000</v>
      </c>
      <c r="I1344">
        <v>1043000000</v>
      </c>
      <c r="J1344">
        <v>351000000</v>
      </c>
      <c r="K1344">
        <v>9454000000</v>
      </c>
      <c r="L1344">
        <v>10318000000</v>
      </c>
      <c r="M1344">
        <v>27731000000</v>
      </c>
      <c r="N1344">
        <v>0</v>
      </c>
      <c r="O1344">
        <v>1433000000</v>
      </c>
      <c r="P1344">
        <v>13783000000</v>
      </c>
      <c r="Q1344">
        <v>147076498131</v>
      </c>
      <c r="R1344">
        <v>148509498131</v>
      </c>
    </row>
    <row r="1345" spans="1:18" x14ac:dyDescent="0.25">
      <c r="A1345" s="1" t="s">
        <v>196</v>
      </c>
      <c r="B1345">
        <v>146682739729</v>
      </c>
      <c r="C1345" t="s">
        <v>69</v>
      </c>
      <c r="D1345" t="s">
        <v>105</v>
      </c>
      <c r="E1345">
        <v>5273000000</v>
      </c>
      <c r="F1345">
        <v>1795000000</v>
      </c>
      <c r="G1345">
        <v>7068000000</v>
      </c>
      <c r="H1345">
        <v>12483000000</v>
      </c>
      <c r="I1345">
        <v>1043000000</v>
      </c>
      <c r="J1345">
        <v>351000000</v>
      </c>
      <c r="K1345">
        <v>9454000000</v>
      </c>
      <c r="L1345">
        <v>10318000000</v>
      </c>
      <c r="M1345">
        <v>27731000000</v>
      </c>
      <c r="N1345">
        <v>0</v>
      </c>
      <c r="O1345">
        <v>1433000000</v>
      </c>
      <c r="P1345">
        <v>13783000000</v>
      </c>
      <c r="Q1345">
        <v>149419739729</v>
      </c>
      <c r="R1345">
        <v>150852739729</v>
      </c>
    </row>
    <row r="1346" spans="1:18" x14ac:dyDescent="0.25">
      <c r="A1346" s="1" t="s">
        <v>195</v>
      </c>
      <c r="B1346">
        <v>142456536131</v>
      </c>
      <c r="C1346" t="s">
        <v>69</v>
      </c>
      <c r="D1346" t="s">
        <v>105</v>
      </c>
      <c r="E1346">
        <v>5273000000</v>
      </c>
      <c r="F1346">
        <v>1795000000</v>
      </c>
      <c r="G1346">
        <v>7068000000</v>
      </c>
      <c r="H1346">
        <v>12483000000</v>
      </c>
      <c r="I1346">
        <v>1043000000</v>
      </c>
      <c r="J1346">
        <v>351000000</v>
      </c>
      <c r="K1346">
        <v>9454000000</v>
      </c>
      <c r="L1346">
        <v>10318000000</v>
      </c>
      <c r="M1346">
        <v>27731000000</v>
      </c>
      <c r="N1346">
        <v>0</v>
      </c>
      <c r="O1346">
        <v>1433000000</v>
      </c>
      <c r="P1346">
        <v>13783000000</v>
      </c>
      <c r="Q1346">
        <v>145193536131</v>
      </c>
      <c r="R1346">
        <v>146626536131</v>
      </c>
    </row>
    <row r="1347" spans="1:18" x14ac:dyDescent="0.25">
      <c r="A1347" s="1" t="s">
        <v>194</v>
      </c>
      <c r="B1347">
        <v>151641206327</v>
      </c>
      <c r="C1347" t="s">
        <v>69</v>
      </c>
      <c r="D1347" t="s">
        <v>105</v>
      </c>
      <c r="E1347">
        <v>5273000000</v>
      </c>
      <c r="F1347">
        <v>1795000000</v>
      </c>
      <c r="G1347">
        <v>7068000000</v>
      </c>
      <c r="H1347">
        <v>12483000000</v>
      </c>
      <c r="I1347">
        <v>1043000000</v>
      </c>
      <c r="J1347">
        <v>351000000</v>
      </c>
      <c r="K1347">
        <v>9454000000</v>
      </c>
      <c r="L1347">
        <v>10318000000</v>
      </c>
      <c r="M1347">
        <v>27731000000</v>
      </c>
      <c r="N1347">
        <v>0</v>
      </c>
      <c r="O1347">
        <v>1433000000</v>
      </c>
      <c r="P1347">
        <v>13783000000</v>
      </c>
      <c r="Q1347">
        <v>154378206327</v>
      </c>
      <c r="R1347">
        <v>155811206327</v>
      </c>
    </row>
    <row r="1348" spans="1:18" x14ac:dyDescent="0.25">
      <c r="A1348" s="1" t="s">
        <v>193</v>
      </c>
      <c r="B1348">
        <v>149632713528</v>
      </c>
      <c r="C1348" t="s">
        <v>69</v>
      </c>
      <c r="D1348" t="s">
        <v>105</v>
      </c>
      <c r="E1348">
        <v>5273000000</v>
      </c>
      <c r="F1348">
        <v>1795000000</v>
      </c>
      <c r="G1348">
        <v>7068000000</v>
      </c>
      <c r="H1348">
        <v>12483000000</v>
      </c>
      <c r="I1348">
        <v>1043000000</v>
      </c>
      <c r="J1348">
        <v>351000000</v>
      </c>
      <c r="K1348">
        <v>9454000000</v>
      </c>
      <c r="L1348">
        <v>10318000000</v>
      </c>
      <c r="M1348">
        <v>27731000000</v>
      </c>
      <c r="N1348">
        <v>0</v>
      </c>
      <c r="O1348">
        <v>1433000000</v>
      </c>
      <c r="P1348">
        <v>13783000000</v>
      </c>
      <c r="Q1348">
        <v>152369713528</v>
      </c>
      <c r="R1348">
        <v>153802713528</v>
      </c>
    </row>
    <row r="1349" spans="1:18" x14ac:dyDescent="0.25">
      <c r="A1349" s="1" t="s">
        <v>192</v>
      </c>
      <c r="B1349">
        <v>152268860327</v>
      </c>
      <c r="C1349" t="s">
        <v>69</v>
      </c>
      <c r="D1349" t="s">
        <v>105</v>
      </c>
      <c r="E1349">
        <v>5273000000</v>
      </c>
      <c r="F1349">
        <v>1795000000</v>
      </c>
      <c r="G1349">
        <v>7068000000</v>
      </c>
      <c r="H1349">
        <v>12483000000</v>
      </c>
      <c r="I1349">
        <v>1043000000</v>
      </c>
      <c r="J1349">
        <v>351000000</v>
      </c>
      <c r="K1349">
        <v>9454000000</v>
      </c>
      <c r="L1349">
        <v>10318000000</v>
      </c>
      <c r="M1349">
        <v>27731000000</v>
      </c>
      <c r="N1349">
        <v>0</v>
      </c>
      <c r="O1349">
        <v>1433000000</v>
      </c>
      <c r="P1349">
        <v>13783000000</v>
      </c>
      <c r="Q1349">
        <v>155005860327</v>
      </c>
      <c r="R1349">
        <v>156438860327</v>
      </c>
    </row>
    <row r="1350" spans="1:18" x14ac:dyDescent="0.25">
      <c r="A1350" s="1" t="s">
        <v>191</v>
      </c>
      <c r="B1350">
        <v>153775229926</v>
      </c>
      <c r="C1350" t="s">
        <v>69</v>
      </c>
      <c r="D1350" t="s">
        <v>105</v>
      </c>
      <c r="E1350">
        <v>5273000000</v>
      </c>
      <c r="F1350">
        <v>1795000000</v>
      </c>
      <c r="G1350">
        <v>7068000000</v>
      </c>
      <c r="H1350">
        <v>12483000000</v>
      </c>
      <c r="I1350">
        <v>1043000000</v>
      </c>
      <c r="J1350">
        <v>351000000</v>
      </c>
      <c r="K1350">
        <v>9454000000</v>
      </c>
      <c r="L1350">
        <v>10318000000</v>
      </c>
      <c r="M1350">
        <v>27731000000</v>
      </c>
      <c r="N1350">
        <v>0</v>
      </c>
      <c r="O1350">
        <v>1433000000</v>
      </c>
      <c r="P1350">
        <v>13783000000</v>
      </c>
      <c r="Q1350">
        <v>156512229926</v>
      </c>
      <c r="R1350">
        <v>157945229926</v>
      </c>
    </row>
    <row r="1351" spans="1:18" x14ac:dyDescent="0.25">
      <c r="A1351" s="1" t="s">
        <v>190</v>
      </c>
      <c r="B1351">
        <v>157499310324</v>
      </c>
      <c r="C1351" t="s">
        <v>69</v>
      </c>
      <c r="D1351" t="s">
        <v>105</v>
      </c>
      <c r="E1351">
        <v>5273000000</v>
      </c>
      <c r="F1351">
        <v>1795000000</v>
      </c>
      <c r="G1351">
        <v>7068000000</v>
      </c>
      <c r="H1351">
        <v>12483000000</v>
      </c>
      <c r="I1351">
        <v>1043000000</v>
      </c>
      <c r="J1351">
        <v>351000000</v>
      </c>
      <c r="K1351">
        <v>9454000000</v>
      </c>
      <c r="L1351">
        <v>10318000000</v>
      </c>
      <c r="M1351">
        <v>27731000000</v>
      </c>
      <c r="N1351">
        <v>0</v>
      </c>
      <c r="O1351">
        <v>1433000000</v>
      </c>
      <c r="P1351">
        <v>13783000000</v>
      </c>
      <c r="Q1351">
        <v>160236310324</v>
      </c>
      <c r="R1351">
        <v>161669310324</v>
      </c>
    </row>
    <row r="1352" spans="1:18" x14ac:dyDescent="0.25">
      <c r="A1352" s="1" t="s">
        <v>189</v>
      </c>
      <c r="B1352">
        <v>154695789126</v>
      </c>
      <c r="C1352" t="s">
        <v>69</v>
      </c>
      <c r="D1352" t="s">
        <v>105</v>
      </c>
      <c r="E1352">
        <v>5273000000</v>
      </c>
      <c r="F1352">
        <v>1795000000</v>
      </c>
      <c r="G1352">
        <v>7068000000</v>
      </c>
      <c r="H1352">
        <v>12483000000</v>
      </c>
      <c r="I1352">
        <v>1043000000</v>
      </c>
      <c r="J1352">
        <v>351000000</v>
      </c>
      <c r="K1352">
        <v>9454000000</v>
      </c>
      <c r="L1352">
        <v>10318000000</v>
      </c>
      <c r="M1352">
        <v>27731000000</v>
      </c>
      <c r="N1352">
        <v>0</v>
      </c>
      <c r="O1352">
        <v>1433000000</v>
      </c>
      <c r="P1352">
        <v>13783000000</v>
      </c>
      <c r="Q1352">
        <v>157432789126</v>
      </c>
      <c r="R1352">
        <v>158865789126</v>
      </c>
    </row>
    <row r="1353" spans="1:18" x14ac:dyDescent="0.25">
      <c r="A1353" s="1" t="s">
        <v>188</v>
      </c>
      <c r="B1353">
        <v>156306767725</v>
      </c>
      <c r="C1353" t="s">
        <v>69</v>
      </c>
      <c r="D1353" t="s">
        <v>105</v>
      </c>
      <c r="E1353">
        <v>5273000000</v>
      </c>
      <c r="F1353">
        <v>1795000000</v>
      </c>
      <c r="G1353">
        <v>7068000000</v>
      </c>
      <c r="H1353">
        <v>12483000000</v>
      </c>
      <c r="I1353">
        <v>1043000000</v>
      </c>
      <c r="J1353">
        <v>351000000</v>
      </c>
      <c r="K1353">
        <v>9454000000</v>
      </c>
      <c r="L1353">
        <v>10318000000</v>
      </c>
      <c r="M1353">
        <v>27731000000</v>
      </c>
      <c r="N1353">
        <v>0</v>
      </c>
      <c r="O1353">
        <v>1433000000</v>
      </c>
      <c r="P1353">
        <v>13783000000</v>
      </c>
      <c r="Q1353">
        <v>159043767725</v>
      </c>
      <c r="R1353">
        <v>160476767725</v>
      </c>
    </row>
    <row r="1354" spans="1:18" x14ac:dyDescent="0.25">
      <c r="A1354" s="1" t="s">
        <v>187</v>
      </c>
      <c r="B1354">
        <v>162018419122</v>
      </c>
      <c r="C1354" t="s">
        <v>69</v>
      </c>
      <c r="D1354" t="s">
        <v>105</v>
      </c>
      <c r="E1354">
        <v>5273000000</v>
      </c>
      <c r="F1354">
        <v>1795000000</v>
      </c>
      <c r="G1354">
        <v>7068000000</v>
      </c>
      <c r="H1354">
        <v>12483000000</v>
      </c>
      <c r="I1354">
        <v>1043000000</v>
      </c>
      <c r="J1354">
        <v>351000000</v>
      </c>
      <c r="K1354">
        <v>9454000000</v>
      </c>
      <c r="L1354">
        <v>10318000000</v>
      </c>
      <c r="M1354">
        <v>27731000000</v>
      </c>
      <c r="N1354">
        <v>0</v>
      </c>
      <c r="O1354">
        <v>1433000000</v>
      </c>
      <c r="P1354">
        <v>13783000000</v>
      </c>
      <c r="Q1354">
        <v>164755419122</v>
      </c>
      <c r="R1354">
        <v>166188419122</v>
      </c>
    </row>
    <row r="1355" spans="1:18" x14ac:dyDescent="0.25">
      <c r="A1355" s="1" t="s">
        <v>186</v>
      </c>
      <c r="B1355">
        <v>161390765122</v>
      </c>
      <c r="C1355" t="s">
        <v>69</v>
      </c>
      <c r="D1355" t="s">
        <v>105</v>
      </c>
      <c r="E1355">
        <v>5273000000</v>
      </c>
      <c r="F1355">
        <v>1795000000</v>
      </c>
      <c r="G1355">
        <v>7068000000</v>
      </c>
      <c r="H1355">
        <v>12483000000</v>
      </c>
      <c r="I1355">
        <v>1043000000</v>
      </c>
      <c r="J1355">
        <v>351000000</v>
      </c>
      <c r="K1355">
        <v>9454000000</v>
      </c>
      <c r="L1355">
        <v>10318000000</v>
      </c>
      <c r="M1355">
        <v>27731000000</v>
      </c>
      <c r="N1355">
        <v>0</v>
      </c>
      <c r="O1355">
        <v>1433000000</v>
      </c>
      <c r="P1355">
        <v>13783000000</v>
      </c>
      <c r="Q1355">
        <v>164127765122</v>
      </c>
      <c r="R1355">
        <v>165560765122</v>
      </c>
    </row>
    <row r="1356" spans="1:18" x14ac:dyDescent="0.25">
      <c r="A1356" s="1" t="s">
        <v>185</v>
      </c>
      <c r="B1356">
        <v>160449284123</v>
      </c>
      <c r="C1356" t="s">
        <v>69</v>
      </c>
      <c r="D1356" t="s">
        <v>105</v>
      </c>
      <c r="E1356">
        <v>5273000000</v>
      </c>
      <c r="F1356">
        <v>1795000000</v>
      </c>
      <c r="G1356">
        <v>7068000000</v>
      </c>
      <c r="H1356">
        <v>12483000000</v>
      </c>
      <c r="I1356">
        <v>1043000000</v>
      </c>
      <c r="J1356">
        <v>351000000</v>
      </c>
      <c r="K1356">
        <v>9454000000</v>
      </c>
      <c r="L1356">
        <v>10318000000</v>
      </c>
      <c r="M1356">
        <v>27731000000</v>
      </c>
      <c r="N1356">
        <v>0</v>
      </c>
      <c r="O1356">
        <v>1433000000</v>
      </c>
      <c r="P1356">
        <v>13783000000</v>
      </c>
      <c r="Q1356">
        <v>163186284123</v>
      </c>
      <c r="R1356">
        <v>164619284123</v>
      </c>
    </row>
    <row r="1357" spans="1:18" x14ac:dyDescent="0.25">
      <c r="A1357" s="1" t="s">
        <v>184</v>
      </c>
      <c r="B1357">
        <v>158482634924</v>
      </c>
      <c r="C1357" t="s">
        <v>69</v>
      </c>
      <c r="D1357" t="s">
        <v>105</v>
      </c>
      <c r="E1357">
        <v>5273000000</v>
      </c>
      <c r="F1357">
        <v>1795000000</v>
      </c>
      <c r="G1357">
        <v>7068000000</v>
      </c>
      <c r="H1357">
        <v>12483000000</v>
      </c>
      <c r="I1357">
        <v>1043000000</v>
      </c>
      <c r="J1357">
        <v>351000000</v>
      </c>
      <c r="K1357">
        <v>9454000000</v>
      </c>
      <c r="L1357">
        <v>10318000000</v>
      </c>
      <c r="M1357">
        <v>27731000000</v>
      </c>
      <c r="N1357">
        <v>0</v>
      </c>
      <c r="O1357">
        <v>1433000000</v>
      </c>
      <c r="P1357">
        <v>13783000000</v>
      </c>
      <c r="Q1357">
        <v>161219634924</v>
      </c>
      <c r="R1357">
        <v>162652634924</v>
      </c>
    </row>
    <row r="1358" spans="1:18" x14ac:dyDescent="0.25">
      <c r="A1358" s="1" t="s">
        <v>113</v>
      </c>
      <c r="B1358">
        <v>157248248724</v>
      </c>
      <c r="C1358" t="s">
        <v>69</v>
      </c>
      <c r="D1358" t="s">
        <v>105</v>
      </c>
      <c r="E1358">
        <v>5273000000</v>
      </c>
      <c r="F1358">
        <v>1795000000</v>
      </c>
      <c r="G1358">
        <v>7068000000</v>
      </c>
      <c r="H1358">
        <v>12483000000</v>
      </c>
      <c r="I1358">
        <v>1043000000</v>
      </c>
      <c r="J1358">
        <v>351000000</v>
      </c>
      <c r="K1358">
        <v>9454000000</v>
      </c>
      <c r="L1358">
        <v>10318000000</v>
      </c>
      <c r="M1358">
        <v>27731000000</v>
      </c>
      <c r="N1358">
        <v>0</v>
      </c>
      <c r="O1358">
        <v>1433000000</v>
      </c>
      <c r="P1358">
        <v>13783000000</v>
      </c>
      <c r="Q1358">
        <v>159985248724</v>
      </c>
      <c r="R1358">
        <v>161418248724</v>
      </c>
    </row>
    <row r="1359" spans="1:18" x14ac:dyDescent="0.25">
      <c r="A1359" s="1" t="s">
        <v>183</v>
      </c>
      <c r="B1359">
        <v>155323443125</v>
      </c>
      <c r="C1359" t="s">
        <v>69</v>
      </c>
      <c r="D1359" t="s">
        <v>105</v>
      </c>
      <c r="E1359">
        <v>5273000000</v>
      </c>
      <c r="F1359">
        <v>1795000000</v>
      </c>
      <c r="G1359">
        <v>7068000000</v>
      </c>
      <c r="H1359">
        <v>12483000000</v>
      </c>
      <c r="I1359">
        <v>1043000000</v>
      </c>
      <c r="J1359">
        <v>351000000</v>
      </c>
      <c r="K1359">
        <v>9454000000</v>
      </c>
      <c r="L1359">
        <v>10318000000</v>
      </c>
      <c r="M1359">
        <v>27731000000</v>
      </c>
      <c r="N1359">
        <v>0</v>
      </c>
      <c r="O1359">
        <v>1433000000</v>
      </c>
      <c r="P1359">
        <v>13783000000</v>
      </c>
      <c r="Q1359">
        <v>158060443125</v>
      </c>
      <c r="R1359">
        <v>159493443125</v>
      </c>
    </row>
    <row r="1360" spans="1:18" x14ac:dyDescent="0.25">
      <c r="A1360" s="1" t="s">
        <v>182</v>
      </c>
      <c r="B1360">
        <v>152457156527</v>
      </c>
      <c r="C1360" t="s">
        <v>69</v>
      </c>
      <c r="D1360" t="s">
        <v>105</v>
      </c>
      <c r="E1360">
        <v>5273000000</v>
      </c>
      <c r="F1360">
        <v>1795000000</v>
      </c>
      <c r="G1360">
        <v>7068000000</v>
      </c>
      <c r="H1360">
        <v>12483000000</v>
      </c>
      <c r="I1360">
        <v>1043000000</v>
      </c>
      <c r="J1360">
        <v>351000000</v>
      </c>
      <c r="K1360">
        <v>9454000000</v>
      </c>
      <c r="L1360">
        <v>10318000000</v>
      </c>
      <c r="M1360">
        <v>27731000000</v>
      </c>
      <c r="N1360">
        <v>0</v>
      </c>
      <c r="O1360">
        <v>1433000000</v>
      </c>
      <c r="P1360">
        <v>13783000000</v>
      </c>
      <c r="Q1360">
        <v>155194156527</v>
      </c>
      <c r="R1360">
        <v>156627156527</v>
      </c>
    </row>
    <row r="1361" spans="1:18" x14ac:dyDescent="0.25">
      <c r="A1361" s="1" t="s">
        <v>181</v>
      </c>
      <c r="B1361">
        <v>152603609127</v>
      </c>
      <c r="C1361" t="s">
        <v>69</v>
      </c>
      <c r="D1361" t="s">
        <v>105</v>
      </c>
      <c r="E1361">
        <v>5273000000</v>
      </c>
      <c r="F1361">
        <v>1795000000</v>
      </c>
      <c r="G1361">
        <v>7068000000</v>
      </c>
      <c r="H1361">
        <v>12483000000</v>
      </c>
      <c r="I1361">
        <v>1043000000</v>
      </c>
      <c r="J1361">
        <v>351000000</v>
      </c>
      <c r="K1361">
        <v>9454000000</v>
      </c>
      <c r="L1361">
        <v>10318000000</v>
      </c>
      <c r="M1361">
        <v>27731000000</v>
      </c>
      <c r="N1361">
        <v>0</v>
      </c>
      <c r="O1361">
        <v>1433000000</v>
      </c>
      <c r="P1361">
        <v>13783000000</v>
      </c>
      <c r="Q1361">
        <v>155340609127</v>
      </c>
      <c r="R1361">
        <v>156773609127</v>
      </c>
    </row>
    <row r="1362" spans="1:18" x14ac:dyDescent="0.25">
      <c r="A1362" s="1" t="s">
        <v>180</v>
      </c>
      <c r="B1362">
        <v>155407130325</v>
      </c>
      <c r="C1362" t="s">
        <v>69</v>
      </c>
      <c r="D1362" t="s">
        <v>105</v>
      </c>
      <c r="E1362">
        <v>5273000000</v>
      </c>
      <c r="F1362">
        <v>1795000000</v>
      </c>
      <c r="G1362">
        <v>7068000000</v>
      </c>
      <c r="H1362">
        <v>12483000000</v>
      </c>
      <c r="I1362">
        <v>1043000000</v>
      </c>
      <c r="J1362">
        <v>351000000</v>
      </c>
      <c r="K1362">
        <v>9454000000</v>
      </c>
      <c r="L1362">
        <v>10318000000</v>
      </c>
      <c r="M1362">
        <v>27731000000</v>
      </c>
      <c r="N1362">
        <v>0</v>
      </c>
      <c r="O1362">
        <v>1433000000</v>
      </c>
      <c r="P1362">
        <v>13783000000</v>
      </c>
      <c r="Q1362">
        <v>158144130325</v>
      </c>
      <c r="R1362">
        <v>159577130325</v>
      </c>
    </row>
    <row r="1363" spans="1:18" x14ac:dyDescent="0.25">
      <c r="A1363" s="1" t="s">
        <v>179</v>
      </c>
      <c r="B1363">
        <v>156055706125</v>
      </c>
      <c r="C1363" t="s">
        <v>69</v>
      </c>
      <c r="D1363" t="s">
        <v>105</v>
      </c>
      <c r="E1363">
        <v>5273000000</v>
      </c>
      <c r="F1363">
        <v>1795000000</v>
      </c>
      <c r="G1363">
        <v>7068000000</v>
      </c>
      <c r="H1363">
        <v>12483000000</v>
      </c>
      <c r="I1363">
        <v>1043000000</v>
      </c>
      <c r="J1363">
        <v>351000000</v>
      </c>
      <c r="K1363">
        <v>9454000000</v>
      </c>
      <c r="L1363">
        <v>10318000000</v>
      </c>
      <c r="M1363">
        <v>27731000000</v>
      </c>
      <c r="N1363">
        <v>0</v>
      </c>
      <c r="O1363">
        <v>1433000000</v>
      </c>
      <c r="P1363">
        <v>13783000000</v>
      </c>
      <c r="Q1363">
        <v>158792706125</v>
      </c>
      <c r="R1363">
        <v>160225706125</v>
      </c>
    </row>
    <row r="1364" spans="1:18" x14ac:dyDescent="0.25">
      <c r="A1364" s="1" t="s">
        <v>178</v>
      </c>
      <c r="B1364">
        <v>159361350523</v>
      </c>
      <c r="C1364" t="s">
        <v>69</v>
      </c>
      <c r="D1364" t="s">
        <v>105</v>
      </c>
      <c r="E1364">
        <v>5273000000</v>
      </c>
      <c r="F1364">
        <v>1795000000</v>
      </c>
      <c r="G1364">
        <v>7068000000</v>
      </c>
      <c r="H1364">
        <v>12483000000</v>
      </c>
      <c r="I1364">
        <v>1043000000</v>
      </c>
      <c r="J1364">
        <v>351000000</v>
      </c>
      <c r="K1364">
        <v>9454000000</v>
      </c>
      <c r="L1364">
        <v>10318000000</v>
      </c>
      <c r="M1364">
        <v>27731000000</v>
      </c>
      <c r="N1364">
        <v>0</v>
      </c>
      <c r="O1364">
        <v>1433000000</v>
      </c>
      <c r="P1364">
        <v>13783000000</v>
      </c>
      <c r="Q1364">
        <v>162098350523</v>
      </c>
      <c r="R1364">
        <v>163531350523</v>
      </c>
    </row>
    <row r="1365" spans="1:18" x14ac:dyDescent="0.25">
      <c r="A1365" s="1" t="s">
        <v>177</v>
      </c>
      <c r="B1365">
        <v>162918056522</v>
      </c>
      <c r="C1365" t="s">
        <v>69</v>
      </c>
      <c r="D1365" t="s">
        <v>105</v>
      </c>
      <c r="E1365">
        <v>5273000000</v>
      </c>
      <c r="F1365">
        <v>1795000000</v>
      </c>
      <c r="G1365">
        <v>7068000000</v>
      </c>
      <c r="H1365">
        <v>12483000000</v>
      </c>
      <c r="I1365">
        <v>1043000000</v>
      </c>
      <c r="J1365">
        <v>351000000</v>
      </c>
      <c r="K1365">
        <v>9454000000</v>
      </c>
      <c r="L1365">
        <v>10318000000</v>
      </c>
      <c r="M1365">
        <v>27731000000</v>
      </c>
      <c r="N1365">
        <v>0</v>
      </c>
      <c r="O1365">
        <v>1433000000</v>
      </c>
      <c r="P1365">
        <v>13783000000</v>
      </c>
      <c r="Q1365">
        <v>165655056522</v>
      </c>
      <c r="R1365">
        <v>167088056522</v>
      </c>
    </row>
    <row r="1366" spans="1:18" x14ac:dyDescent="0.25">
      <c r="A1366" s="1" t="s">
        <v>176</v>
      </c>
      <c r="B1366">
        <v>163022665522</v>
      </c>
      <c r="C1366" t="s">
        <v>69</v>
      </c>
      <c r="D1366" t="s">
        <v>105</v>
      </c>
      <c r="E1366">
        <v>5273000000</v>
      </c>
      <c r="F1366">
        <v>1795000000</v>
      </c>
      <c r="G1366">
        <v>7068000000</v>
      </c>
      <c r="H1366">
        <v>12483000000</v>
      </c>
      <c r="I1366">
        <v>1043000000</v>
      </c>
      <c r="J1366">
        <v>351000000</v>
      </c>
      <c r="K1366">
        <v>9454000000</v>
      </c>
      <c r="L1366">
        <v>10318000000</v>
      </c>
      <c r="M1366">
        <v>27731000000</v>
      </c>
      <c r="N1366">
        <v>0</v>
      </c>
      <c r="O1366">
        <v>1433000000</v>
      </c>
      <c r="P1366">
        <v>13783000000</v>
      </c>
      <c r="Q1366">
        <v>165759665522</v>
      </c>
      <c r="R1366">
        <v>167192665522</v>
      </c>
    </row>
    <row r="1367" spans="1:18" x14ac:dyDescent="0.25">
      <c r="A1367" s="1" t="s">
        <v>106</v>
      </c>
      <c r="B1367">
        <v>180042549813</v>
      </c>
      <c r="C1367" t="s">
        <v>69</v>
      </c>
      <c r="D1367" t="s">
        <v>105</v>
      </c>
      <c r="E1367">
        <v>5273000000</v>
      </c>
      <c r="F1367">
        <v>1795000000</v>
      </c>
      <c r="G1367">
        <v>7068000000</v>
      </c>
      <c r="H1367">
        <v>12483000000</v>
      </c>
      <c r="I1367">
        <v>1043000000</v>
      </c>
      <c r="J1367">
        <v>351000000</v>
      </c>
      <c r="K1367">
        <v>9454000000</v>
      </c>
      <c r="L1367">
        <v>10318000000</v>
      </c>
      <c r="M1367">
        <v>27731000000</v>
      </c>
      <c r="N1367">
        <v>0</v>
      </c>
      <c r="O1367">
        <v>1433000000</v>
      </c>
      <c r="P1367">
        <v>13783000000</v>
      </c>
      <c r="Q1367">
        <v>182779549813</v>
      </c>
      <c r="R1367">
        <v>184212549813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367"/>
  <sheetViews>
    <sheetView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A2" sqref="AA2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5.85546875" bestFit="1" customWidth="1"/>
    <col min="4" max="4" width="5.140625" bestFit="1" customWidth="1"/>
    <col min="5" max="5" width="12" bestFit="1" customWidth="1"/>
    <col min="6" max="6" width="11.7109375" bestFit="1" customWidth="1"/>
    <col min="7" max="7" width="13.28515625" bestFit="1" customWidth="1"/>
    <col min="8" max="8" width="11.7109375" bestFit="1" customWidth="1"/>
    <col min="9" max="9" width="16.28515625" bestFit="1" customWidth="1"/>
    <col min="10" max="10" width="12.7109375" bestFit="1" customWidth="1"/>
    <col min="11" max="11" width="23.28515625" bestFit="1" customWidth="1"/>
    <col min="12" max="12" width="21.5703125" bestFit="1" customWidth="1"/>
    <col min="13" max="13" width="29.28515625" bestFit="1" customWidth="1"/>
    <col min="14" max="14" width="17.85546875" bestFit="1" customWidth="1"/>
    <col min="15" max="15" width="18.5703125" bestFit="1" customWidth="1"/>
    <col min="16" max="16" width="14.5703125" bestFit="1" customWidth="1"/>
    <col min="17" max="17" width="13.85546875" bestFit="1" customWidth="1"/>
    <col min="18" max="18" width="20.7109375" bestFit="1" customWidth="1"/>
    <col min="19" max="19" width="13.85546875" bestFit="1" customWidth="1"/>
    <col min="20" max="20" width="14.42578125" bestFit="1" customWidth="1"/>
    <col min="21" max="21" width="15.7109375" bestFit="1" customWidth="1"/>
    <col min="22" max="22" width="12" bestFit="1" customWidth="1"/>
    <col min="23" max="23" width="22.85546875" bestFit="1" customWidth="1"/>
    <col min="24" max="24" width="15.5703125" bestFit="1" customWidth="1"/>
    <col min="25" max="25" width="12" bestFit="1" customWidth="1"/>
    <col min="26" max="31" width="12.7109375" bestFit="1" customWidth="1"/>
    <col min="32" max="32" width="18.85546875" bestFit="1" customWidth="1"/>
    <col min="33" max="33" width="14.5703125" bestFit="1" customWidth="1"/>
    <col min="34" max="34" width="21.85546875" bestFit="1" customWidth="1"/>
    <col min="35" max="35" width="12.7109375" bestFit="1" customWidth="1"/>
    <col min="36" max="36" width="14.5703125" bestFit="1" customWidth="1"/>
    <col min="37" max="37" width="15.5703125" bestFit="1" customWidth="1"/>
    <col min="38" max="38" width="21.85546875" bestFit="1" customWidth="1"/>
    <col min="39" max="39" width="12" bestFit="1" customWidth="1"/>
    <col min="40" max="40" width="17" bestFit="1" customWidth="1"/>
  </cols>
  <sheetData>
    <row r="1" spans="1:40" x14ac:dyDescent="0.25">
      <c r="A1" s="1" t="s">
        <v>0</v>
      </c>
      <c r="B1" s="1" t="s">
        <v>175</v>
      </c>
      <c r="C1" s="1" t="s">
        <v>103</v>
      </c>
      <c r="D1" s="1" t="s">
        <v>100</v>
      </c>
      <c r="E1" s="1" t="s">
        <v>1</v>
      </c>
      <c r="F1" s="1" t="s">
        <v>64</v>
      </c>
      <c r="G1" s="1" t="s">
        <v>40</v>
      </c>
      <c r="H1" s="1" t="s">
        <v>66</v>
      </c>
      <c r="I1" s="1" t="s">
        <v>8</v>
      </c>
      <c r="J1" s="1" t="s">
        <v>12</v>
      </c>
      <c r="K1" s="1" t="s">
        <v>15</v>
      </c>
      <c r="L1" s="1" t="s">
        <v>16</v>
      </c>
      <c r="M1" s="1" t="s">
        <v>17</v>
      </c>
      <c r="N1" s="1" t="s">
        <v>21</v>
      </c>
      <c r="O1" s="1" t="s">
        <v>20</v>
      </c>
      <c r="P1" s="1" t="s">
        <v>29</v>
      </c>
      <c r="Q1" s="1" t="s">
        <v>31</v>
      </c>
      <c r="R1" s="1" t="s">
        <v>30</v>
      </c>
      <c r="S1" s="1" t="s">
        <v>33</v>
      </c>
      <c r="T1" s="1" t="s">
        <v>35</v>
      </c>
      <c r="U1" s="1" t="s">
        <v>37</v>
      </c>
      <c r="V1" s="1" t="s">
        <v>39</v>
      </c>
      <c r="W1" s="1" t="s">
        <v>1501</v>
      </c>
      <c r="X1" s="1" t="s">
        <v>1502</v>
      </c>
      <c r="Y1" s="1" t="s">
        <v>1503</v>
      </c>
      <c r="Z1" s="1" t="s">
        <v>1504</v>
      </c>
      <c r="AA1" s="1" t="s">
        <v>1505</v>
      </c>
      <c r="AB1" s="1" t="s">
        <v>1506</v>
      </c>
      <c r="AC1" s="1" t="s">
        <v>1507</v>
      </c>
      <c r="AD1" s="1" t="s">
        <v>1508</v>
      </c>
      <c r="AE1" s="1" t="s">
        <v>1509</v>
      </c>
      <c r="AF1" s="1" t="s">
        <v>1510</v>
      </c>
      <c r="AG1" s="1" t="s">
        <v>1511</v>
      </c>
      <c r="AH1" s="1" t="s">
        <v>1512</v>
      </c>
      <c r="AI1" s="1" t="s">
        <v>1513</v>
      </c>
      <c r="AJ1" s="1" t="s">
        <v>1514</v>
      </c>
      <c r="AK1" s="1" t="s">
        <v>1515</v>
      </c>
      <c r="AL1" s="1" t="s">
        <v>1516</v>
      </c>
      <c r="AM1" s="1" t="s">
        <v>1517</v>
      </c>
      <c r="AN1" s="1" t="s">
        <v>1518</v>
      </c>
    </row>
    <row r="2" spans="1:40" x14ac:dyDescent="0.25">
      <c r="A2" s="1" t="s">
        <v>1494</v>
      </c>
      <c r="B2">
        <v>46114516911</v>
      </c>
      <c r="C2" t="s">
        <v>91</v>
      </c>
      <c r="D2" t="s">
        <v>127</v>
      </c>
      <c r="E2">
        <v>11270000000</v>
      </c>
      <c r="F2">
        <v>-2607000000</v>
      </c>
      <c r="G2">
        <v>-2099000000</v>
      </c>
      <c r="H2">
        <v>-3165000000</v>
      </c>
      <c r="I2">
        <v>-3033000000</v>
      </c>
      <c r="J2">
        <v>997000000</v>
      </c>
      <c r="K2">
        <v>6406000000</v>
      </c>
      <c r="L2">
        <v>0</v>
      </c>
      <c r="M2">
        <v>6406000000</v>
      </c>
      <c r="N2">
        <v>8658000000</v>
      </c>
      <c r="O2">
        <v>179000000</v>
      </c>
      <c r="P2">
        <v>0</v>
      </c>
      <c r="Q2">
        <v>4535000000</v>
      </c>
      <c r="R2">
        <v>5313000000</v>
      </c>
      <c r="S2">
        <v>13655000000</v>
      </c>
      <c r="T2">
        <v>0</v>
      </c>
      <c r="U2">
        <v>0</v>
      </c>
      <c r="V2">
        <v>10333000000</v>
      </c>
      <c r="W2">
        <v>44243516911</v>
      </c>
      <c r="X2">
        <v>44243516911</v>
      </c>
      <c r="Y2">
        <v>4.0917938696539489</v>
      </c>
      <c r="Z2">
        <v>-17.688729156501729</v>
      </c>
      <c r="AA2">
        <v>-21.969755555502619</v>
      </c>
      <c r="AB2">
        <v>-14.570147523222751</v>
      </c>
      <c r="AC2">
        <v>-15.20425879030663</v>
      </c>
      <c r="AD2">
        <v>46.253276741223672</v>
      </c>
      <c r="AE2">
        <v>-16.971045995780589</v>
      </c>
      <c r="AF2">
        <v>-16.971045995780589</v>
      </c>
      <c r="AG2">
        <v>-14.587377814375211</v>
      </c>
      <c r="AH2">
        <v>-14.587377814375211</v>
      </c>
      <c r="AI2">
        <v>-21.078378709385419</v>
      </c>
      <c r="AJ2">
        <v>-13.978994284676149</v>
      </c>
      <c r="AK2">
        <v>-21.078378709385419</v>
      </c>
      <c r="AL2">
        <v>-13.978994284676149</v>
      </c>
      <c r="AM2">
        <v>3.9257778980479152</v>
      </c>
      <c r="AN2">
        <v>3.9257778980479152</v>
      </c>
    </row>
    <row r="3" spans="1:40" x14ac:dyDescent="0.25">
      <c r="A3" s="1" t="s">
        <v>1493</v>
      </c>
      <c r="B3">
        <v>41155847424</v>
      </c>
      <c r="C3" t="s">
        <v>91</v>
      </c>
      <c r="D3" t="s">
        <v>127</v>
      </c>
      <c r="E3">
        <v>11270000000</v>
      </c>
      <c r="F3">
        <v>-2607000000</v>
      </c>
      <c r="G3">
        <v>-2099000000</v>
      </c>
      <c r="H3">
        <v>-3165000000</v>
      </c>
      <c r="I3">
        <v>-3033000000</v>
      </c>
      <c r="J3">
        <v>997000000</v>
      </c>
      <c r="K3">
        <v>6406000000</v>
      </c>
      <c r="L3">
        <v>0</v>
      </c>
      <c r="M3">
        <v>6406000000</v>
      </c>
      <c r="N3">
        <v>8658000000</v>
      </c>
      <c r="O3">
        <v>179000000</v>
      </c>
      <c r="P3">
        <v>0</v>
      </c>
      <c r="Q3">
        <v>4535000000</v>
      </c>
      <c r="R3">
        <v>5313000000</v>
      </c>
      <c r="S3">
        <v>13655000000</v>
      </c>
      <c r="T3">
        <v>0</v>
      </c>
      <c r="U3">
        <v>0</v>
      </c>
      <c r="V3">
        <v>10333000000</v>
      </c>
      <c r="W3">
        <v>39284847424</v>
      </c>
      <c r="X3">
        <v>39284847424</v>
      </c>
      <c r="Y3">
        <v>3.6518054502218278</v>
      </c>
      <c r="Z3">
        <v>-15.78666951438435</v>
      </c>
      <c r="AA3">
        <v>-19.607359420676509</v>
      </c>
      <c r="AB3">
        <v>-13.003427306161139</v>
      </c>
      <c r="AC3">
        <v>-13.56935292581602</v>
      </c>
      <c r="AD3">
        <v>41.279686483450348</v>
      </c>
      <c r="AE3">
        <v>-15.06898635366321</v>
      </c>
      <c r="AF3">
        <v>-15.06898635366321</v>
      </c>
      <c r="AG3">
        <v>-12.9524719498846</v>
      </c>
      <c r="AH3">
        <v>-12.9524719498846</v>
      </c>
      <c r="AI3">
        <v>-18.715982574559309</v>
      </c>
      <c r="AJ3">
        <v>-12.412274067614529</v>
      </c>
      <c r="AK3">
        <v>-18.715982574559309</v>
      </c>
      <c r="AL3">
        <v>-12.412274067614529</v>
      </c>
      <c r="AM3">
        <v>3.4857894786157941</v>
      </c>
      <c r="AN3">
        <v>3.4857894786157941</v>
      </c>
    </row>
    <row r="4" spans="1:40" x14ac:dyDescent="0.25">
      <c r="A4" s="1" t="s">
        <v>1492</v>
      </c>
      <c r="B4">
        <v>44328508438</v>
      </c>
      <c r="C4" t="s">
        <v>91</v>
      </c>
      <c r="D4" t="s">
        <v>127</v>
      </c>
      <c r="E4">
        <v>11270000000</v>
      </c>
      <c r="F4">
        <v>-2607000000</v>
      </c>
      <c r="G4">
        <v>-2099000000</v>
      </c>
      <c r="H4">
        <v>-3165000000</v>
      </c>
      <c r="I4">
        <v>-3033000000</v>
      </c>
      <c r="J4">
        <v>997000000</v>
      </c>
      <c r="K4">
        <v>6406000000</v>
      </c>
      <c r="L4">
        <v>0</v>
      </c>
      <c r="M4">
        <v>6406000000</v>
      </c>
      <c r="N4">
        <v>8658000000</v>
      </c>
      <c r="O4">
        <v>179000000</v>
      </c>
      <c r="P4">
        <v>0</v>
      </c>
      <c r="Q4">
        <v>4535000000</v>
      </c>
      <c r="R4">
        <v>5313000000</v>
      </c>
      <c r="S4">
        <v>13655000000</v>
      </c>
      <c r="T4">
        <v>0</v>
      </c>
      <c r="U4">
        <v>0</v>
      </c>
      <c r="V4">
        <v>10333000000</v>
      </c>
      <c r="W4">
        <v>42457508438</v>
      </c>
      <c r="X4">
        <v>42457508438</v>
      </c>
      <c r="Y4">
        <v>3.9333192935226271</v>
      </c>
      <c r="Z4">
        <v>-17.003647271960109</v>
      </c>
      <c r="AA4">
        <v>-21.118870146736541</v>
      </c>
      <c r="AB4">
        <v>-14.005847847709321</v>
      </c>
      <c r="AC4">
        <v>-14.615400078470159</v>
      </c>
      <c r="AD4">
        <v>44.46189412036108</v>
      </c>
      <c r="AE4">
        <v>-16.285964111238972</v>
      </c>
      <c r="AF4">
        <v>-16.285964111238972</v>
      </c>
      <c r="AG4">
        <v>-13.99851910253874</v>
      </c>
      <c r="AH4">
        <v>-13.99851910253874</v>
      </c>
      <c r="AI4">
        <v>-20.22749330061934</v>
      </c>
      <c r="AJ4">
        <v>-13.414694609162719</v>
      </c>
      <c r="AK4">
        <v>-20.22749330061934</v>
      </c>
      <c r="AL4">
        <v>-13.414694609162719</v>
      </c>
      <c r="AM4">
        <v>3.767303321916593</v>
      </c>
      <c r="AN4">
        <v>3.767303321916593</v>
      </c>
    </row>
    <row r="5" spans="1:40" x14ac:dyDescent="0.25">
      <c r="A5" s="1" t="s">
        <v>1491</v>
      </c>
      <c r="B5">
        <v>45803906742</v>
      </c>
      <c r="C5" t="s">
        <v>91</v>
      </c>
      <c r="D5" t="s">
        <v>127</v>
      </c>
      <c r="E5">
        <v>11270000000</v>
      </c>
      <c r="F5">
        <v>-2607000000</v>
      </c>
      <c r="G5">
        <v>-2099000000</v>
      </c>
      <c r="H5">
        <v>-3165000000</v>
      </c>
      <c r="I5">
        <v>-3033000000</v>
      </c>
      <c r="J5">
        <v>997000000</v>
      </c>
      <c r="K5">
        <v>6406000000</v>
      </c>
      <c r="L5">
        <v>0</v>
      </c>
      <c r="M5">
        <v>6406000000</v>
      </c>
      <c r="N5">
        <v>8658000000</v>
      </c>
      <c r="O5">
        <v>179000000</v>
      </c>
      <c r="P5">
        <v>0</v>
      </c>
      <c r="Q5">
        <v>4535000000</v>
      </c>
      <c r="R5">
        <v>5313000000</v>
      </c>
      <c r="S5">
        <v>13655000000</v>
      </c>
      <c r="T5">
        <v>0</v>
      </c>
      <c r="U5">
        <v>0</v>
      </c>
      <c r="V5">
        <v>10333000000</v>
      </c>
      <c r="W5">
        <v>43932906742</v>
      </c>
      <c r="X5">
        <v>43932906742</v>
      </c>
      <c r="Y5">
        <v>4.0642330738243126</v>
      </c>
      <c r="Z5">
        <v>-17.569584481012662</v>
      </c>
      <c r="AA5">
        <v>-21.82177548451644</v>
      </c>
      <c r="AB5">
        <v>-14.472008449289101</v>
      </c>
      <c r="AC5">
        <v>-15.10184857962413</v>
      </c>
      <c r="AD5">
        <v>45.941731937813437</v>
      </c>
      <c r="AE5">
        <v>-16.851901320291521</v>
      </c>
      <c r="AF5">
        <v>-16.851901320291521</v>
      </c>
      <c r="AG5">
        <v>-14.484967603692709</v>
      </c>
      <c r="AH5">
        <v>-14.484967603692709</v>
      </c>
      <c r="AI5">
        <v>-20.93039863839924</v>
      </c>
      <c r="AJ5">
        <v>-13.880855210742499</v>
      </c>
      <c r="AK5">
        <v>-20.93039863839924</v>
      </c>
      <c r="AL5">
        <v>-13.880855210742499</v>
      </c>
      <c r="AM5">
        <v>3.898217102218279</v>
      </c>
      <c r="AN5">
        <v>3.898217102218279</v>
      </c>
    </row>
    <row r="6" spans="1:40" x14ac:dyDescent="0.25">
      <c r="A6" s="1" t="s">
        <v>1490</v>
      </c>
      <c r="B6">
        <v>47700847419</v>
      </c>
      <c r="C6" t="s">
        <v>91</v>
      </c>
      <c r="D6" t="s">
        <v>127</v>
      </c>
      <c r="E6">
        <v>11270000000</v>
      </c>
      <c r="F6">
        <v>-2607000000</v>
      </c>
      <c r="G6">
        <v>-2099000000</v>
      </c>
      <c r="H6">
        <v>-3165000000</v>
      </c>
      <c r="I6">
        <v>-3033000000</v>
      </c>
      <c r="J6">
        <v>997000000</v>
      </c>
      <c r="K6">
        <v>6406000000</v>
      </c>
      <c r="L6">
        <v>0</v>
      </c>
      <c r="M6">
        <v>6406000000</v>
      </c>
      <c r="N6">
        <v>8658000000</v>
      </c>
      <c r="O6">
        <v>179000000</v>
      </c>
      <c r="P6">
        <v>0</v>
      </c>
      <c r="Q6">
        <v>4535000000</v>
      </c>
      <c r="R6">
        <v>5313000000</v>
      </c>
      <c r="S6">
        <v>13655000000</v>
      </c>
      <c r="T6">
        <v>0</v>
      </c>
      <c r="U6">
        <v>0</v>
      </c>
      <c r="V6">
        <v>10333000000</v>
      </c>
      <c r="W6">
        <v>45829847419</v>
      </c>
      <c r="X6">
        <v>45829847419</v>
      </c>
      <c r="Y6">
        <v>4.2325507913930789</v>
      </c>
      <c r="Z6">
        <v>-18.29721803567319</v>
      </c>
      <c r="AA6">
        <v>-22.72551091900905</v>
      </c>
      <c r="AB6">
        <v>-15.071357794312799</v>
      </c>
      <c r="AC6">
        <v>-15.727282366963401</v>
      </c>
      <c r="AD6">
        <v>47.844380560682048</v>
      </c>
      <c r="AE6">
        <v>-17.579534874952049</v>
      </c>
      <c r="AF6">
        <v>-17.579534874952049</v>
      </c>
      <c r="AG6">
        <v>-15.11040139103198</v>
      </c>
      <c r="AH6">
        <v>-15.11040139103198</v>
      </c>
      <c r="AI6">
        <v>-21.83413407289185</v>
      </c>
      <c r="AJ6">
        <v>-14.480204555766189</v>
      </c>
      <c r="AK6">
        <v>-21.83413407289185</v>
      </c>
      <c r="AL6">
        <v>-14.480204555766189</v>
      </c>
      <c r="AM6">
        <v>4.0665348197870452</v>
      </c>
      <c r="AN6">
        <v>4.0665348197870452</v>
      </c>
    </row>
    <row r="7" spans="1:40" x14ac:dyDescent="0.25">
      <c r="A7" s="1" t="s">
        <v>1489</v>
      </c>
      <c r="B7">
        <v>46491686403</v>
      </c>
      <c r="C7" t="s">
        <v>91</v>
      </c>
      <c r="D7" t="s">
        <v>127</v>
      </c>
      <c r="E7">
        <v>11270000000</v>
      </c>
      <c r="F7">
        <v>-2607000000</v>
      </c>
      <c r="G7">
        <v>-2099000000</v>
      </c>
      <c r="H7">
        <v>-3165000000</v>
      </c>
      <c r="I7">
        <v>-3033000000</v>
      </c>
      <c r="J7">
        <v>997000000</v>
      </c>
      <c r="K7">
        <v>6406000000</v>
      </c>
      <c r="L7">
        <v>0</v>
      </c>
      <c r="M7">
        <v>6406000000</v>
      </c>
      <c r="N7">
        <v>8658000000</v>
      </c>
      <c r="O7">
        <v>179000000</v>
      </c>
      <c r="P7">
        <v>0</v>
      </c>
      <c r="Q7">
        <v>4535000000</v>
      </c>
      <c r="R7">
        <v>5313000000</v>
      </c>
      <c r="S7">
        <v>13655000000</v>
      </c>
      <c r="T7">
        <v>0</v>
      </c>
      <c r="U7">
        <v>0</v>
      </c>
      <c r="V7">
        <v>10333000000</v>
      </c>
      <c r="W7">
        <v>44620686403</v>
      </c>
      <c r="X7">
        <v>44620686403</v>
      </c>
      <c r="Y7">
        <v>4.1252605503992914</v>
      </c>
      <c r="Z7">
        <v>-17.833404834292288</v>
      </c>
      <c r="AA7">
        <v>-22.14944564221058</v>
      </c>
      <c r="AB7">
        <v>-14.68931639905213</v>
      </c>
      <c r="AC7">
        <v>-15.328614046488619</v>
      </c>
      <c r="AD7">
        <v>46.631581146439324</v>
      </c>
      <c r="AE7">
        <v>-17.115721673571159</v>
      </c>
      <c r="AF7">
        <v>-17.115721673571159</v>
      </c>
      <c r="AG7">
        <v>-14.7117330705572</v>
      </c>
      <c r="AH7">
        <v>-14.7117330705572</v>
      </c>
      <c r="AI7">
        <v>-21.258068796093379</v>
      </c>
      <c r="AJ7">
        <v>-14.09816316050553</v>
      </c>
      <c r="AK7">
        <v>-21.258068796093379</v>
      </c>
      <c r="AL7">
        <v>-14.09816316050553</v>
      </c>
      <c r="AM7">
        <v>3.959244578793256</v>
      </c>
      <c r="AN7">
        <v>3.959244578793256</v>
      </c>
    </row>
    <row r="8" spans="1:40" x14ac:dyDescent="0.25">
      <c r="A8" s="1" t="s">
        <v>1488</v>
      </c>
      <c r="B8">
        <v>46136703352</v>
      </c>
      <c r="C8" t="s">
        <v>91</v>
      </c>
      <c r="D8" t="s">
        <v>127</v>
      </c>
      <c r="E8">
        <v>11270000000</v>
      </c>
      <c r="F8">
        <v>-2607000000</v>
      </c>
      <c r="G8">
        <v>-2099000000</v>
      </c>
      <c r="H8">
        <v>-3165000000</v>
      </c>
      <c r="I8">
        <v>-3033000000</v>
      </c>
      <c r="J8">
        <v>997000000</v>
      </c>
      <c r="K8">
        <v>6406000000</v>
      </c>
      <c r="L8">
        <v>0</v>
      </c>
      <c r="M8">
        <v>6406000000</v>
      </c>
      <c r="N8">
        <v>8658000000</v>
      </c>
      <c r="O8">
        <v>179000000</v>
      </c>
      <c r="P8">
        <v>0</v>
      </c>
      <c r="Q8">
        <v>4535000000</v>
      </c>
      <c r="R8">
        <v>5313000000</v>
      </c>
      <c r="S8">
        <v>13655000000</v>
      </c>
      <c r="T8">
        <v>0</v>
      </c>
      <c r="U8">
        <v>0</v>
      </c>
      <c r="V8">
        <v>10333000000</v>
      </c>
      <c r="W8">
        <v>44265703352</v>
      </c>
      <c r="X8">
        <v>44265703352</v>
      </c>
      <c r="Y8">
        <v>4.093762497959184</v>
      </c>
      <c r="Z8">
        <v>-17.697239490602229</v>
      </c>
      <c r="AA8">
        <v>-21.980325560743211</v>
      </c>
      <c r="AB8">
        <v>-14.57715745718799</v>
      </c>
      <c r="AC8">
        <v>-15.21157380547313</v>
      </c>
      <c r="AD8">
        <v>46.275529941825482</v>
      </c>
      <c r="AE8">
        <v>-16.979556329881088</v>
      </c>
      <c r="AF8">
        <v>-16.979556329881088</v>
      </c>
      <c r="AG8">
        <v>-14.59469282954171</v>
      </c>
      <c r="AH8">
        <v>-14.59469282954171</v>
      </c>
      <c r="AI8">
        <v>-21.08894871462601</v>
      </c>
      <c r="AJ8">
        <v>-13.986004218641391</v>
      </c>
      <c r="AK8">
        <v>-21.08894871462601</v>
      </c>
      <c r="AL8">
        <v>-13.986004218641391</v>
      </c>
      <c r="AM8">
        <v>3.9277465263531499</v>
      </c>
      <c r="AN8">
        <v>3.9277465263531499</v>
      </c>
    </row>
    <row r="9" spans="1:40" x14ac:dyDescent="0.25">
      <c r="A9" s="1" t="s">
        <v>1487</v>
      </c>
      <c r="B9">
        <v>46036864369</v>
      </c>
      <c r="C9" t="s">
        <v>91</v>
      </c>
      <c r="D9" t="s">
        <v>127</v>
      </c>
      <c r="E9">
        <v>11270000000</v>
      </c>
      <c r="F9">
        <v>-2607000000</v>
      </c>
      <c r="G9">
        <v>-2099000000</v>
      </c>
      <c r="H9">
        <v>-3165000000</v>
      </c>
      <c r="I9">
        <v>-3033000000</v>
      </c>
      <c r="J9">
        <v>997000000</v>
      </c>
      <c r="K9">
        <v>6406000000</v>
      </c>
      <c r="L9">
        <v>0</v>
      </c>
      <c r="M9">
        <v>6406000000</v>
      </c>
      <c r="N9">
        <v>8658000000</v>
      </c>
      <c r="O9">
        <v>179000000</v>
      </c>
      <c r="P9">
        <v>0</v>
      </c>
      <c r="Q9">
        <v>4535000000</v>
      </c>
      <c r="R9">
        <v>5313000000</v>
      </c>
      <c r="S9">
        <v>13655000000</v>
      </c>
      <c r="T9">
        <v>0</v>
      </c>
      <c r="U9">
        <v>0</v>
      </c>
      <c r="V9">
        <v>10333000000</v>
      </c>
      <c r="W9">
        <v>44165864369</v>
      </c>
      <c r="X9">
        <v>44165864369</v>
      </c>
      <c r="Y9">
        <v>4.0849036707187221</v>
      </c>
      <c r="Z9">
        <v>-17.65894298772535</v>
      </c>
      <c r="AA9">
        <v>-21.932760537875179</v>
      </c>
      <c r="AB9">
        <v>-14.545612754818331</v>
      </c>
      <c r="AC9">
        <v>-15.17865623771843</v>
      </c>
      <c r="AD9">
        <v>46.175390540621862</v>
      </c>
      <c r="AE9">
        <v>-16.94125982700422</v>
      </c>
      <c r="AF9">
        <v>-16.94125982700422</v>
      </c>
      <c r="AG9">
        <v>-14.561775261787011</v>
      </c>
      <c r="AH9">
        <v>-14.561775261787011</v>
      </c>
      <c r="AI9">
        <v>-21.041383691757979</v>
      </c>
      <c r="AJ9">
        <v>-13.95445951627172</v>
      </c>
      <c r="AK9">
        <v>-21.041383691757979</v>
      </c>
      <c r="AL9">
        <v>-13.95445951627172</v>
      </c>
      <c r="AM9">
        <v>3.918887699112688</v>
      </c>
      <c r="AN9">
        <v>3.918887699112688</v>
      </c>
    </row>
    <row r="10" spans="1:40" x14ac:dyDescent="0.25">
      <c r="A10" s="1" t="s">
        <v>1486</v>
      </c>
      <c r="B10">
        <v>45759533861</v>
      </c>
      <c r="C10" t="s">
        <v>91</v>
      </c>
      <c r="D10" t="s">
        <v>127</v>
      </c>
      <c r="E10">
        <v>11270000000</v>
      </c>
      <c r="F10">
        <v>-2607000000</v>
      </c>
      <c r="G10">
        <v>-2099000000</v>
      </c>
      <c r="H10">
        <v>-3165000000</v>
      </c>
      <c r="I10">
        <v>-3033000000</v>
      </c>
      <c r="J10">
        <v>997000000</v>
      </c>
      <c r="K10">
        <v>6406000000</v>
      </c>
      <c r="L10">
        <v>0</v>
      </c>
      <c r="M10">
        <v>6406000000</v>
      </c>
      <c r="N10">
        <v>8658000000</v>
      </c>
      <c r="O10">
        <v>179000000</v>
      </c>
      <c r="P10">
        <v>0</v>
      </c>
      <c r="Q10">
        <v>4535000000</v>
      </c>
      <c r="R10">
        <v>5313000000</v>
      </c>
      <c r="S10">
        <v>13655000000</v>
      </c>
      <c r="T10">
        <v>0</v>
      </c>
      <c r="U10">
        <v>0</v>
      </c>
      <c r="V10">
        <v>10333000000</v>
      </c>
      <c r="W10">
        <v>43888533861</v>
      </c>
      <c r="X10">
        <v>43888533861</v>
      </c>
      <c r="Y10">
        <v>4.0602958173025732</v>
      </c>
      <c r="Z10">
        <v>-17.552563813195238</v>
      </c>
      <c r="AA10">
        <v>-21.800635474511669</v>
      </c>
      <c r="AB10">
        <v>-14.457988581674559</v>
      </c>
      <c r="AC10">
        <v>-15.08721854962084</v>
      </c>
      <c r="AD10">
        <v>45.89722553761284</v>
      </c>
      <c r="AE10">
        <v>-16.834880652474109</v>
      </c>
      <c r="AF10">
        <v>-16.834880652474109</v>
      </c>
      <c r="AG10">
        <v>-14.47033757368942</v>
      </c>
      <c r="AH10">
        <v>-14.47033757368942</v>
      </c>
      <c r="AI10">
        <v>-20.909258628394468</v>
      </c>
      <c r="AJ10">
        <v>-13.86683534312796</v>
      </c>
      <c r="AK10">
        <v>-20.909258628394468</v>
      </c>
      <c r="AL10">
        <v>-13.86683534312796</v>
      </c>
      <c r="AM10">
        <v>3.89427984569654</v>
      </c>
      <c r="AN10">
        <v>3.89427984569654</v>
      </c>
    </row>
    <row r="11" spans="1:40" x14ac:dyDescent="0.25">
      <c r="A11" s="1" t="s">
        <v>1485</v>
      </c>
      <c r="B11">
        <v>44894262675</v>
      </c>
      <c r="C11" t="s">
        <v>91</v>
      </c>
      <c r="D11" t="s">
        <v>127</v>
      </c>
      <c r="E11">
        <v>11270000000</v>
      </c>
      <c r="F11">
        <v>-2607000000</v>
      </c>
      <c r="G11">
        <v>-2099000000</v>
      </c>
      <c r="H11">
        <v>-3165000000</v>
      </c>
      <c r="I11">
        <v>-3033000000</v>
      </c>
      <c r="J11">
        <v>997000000</v>
      </c>
      <c r="K11">
        <v>6406000000</v>
      </c>
      <c r="L11">
        <v>0</v>
      </c>
      <c r="M11">
        <v>6406000000</v>
      </c>
      <c r="N11">
        <v>8658000000</v>
      </c>
      <c r="O11">
        <v>179000000</v>
      </c>
      <c r="P11">
        <v>0</v>
      </c>
      <c r="Q11">
        <v>4535000000</v>
      </c>
      <c r="R11">
        <v>5313000000</v>
      </c>
      <c r="S11">
        <v>13655000000</v>
      </c>
      <c r="T11">
        <v>0</v>
      </c>
      <c r="U11">
        <v>0</v>
      </c>
      <c r="V11">
        <v>10333000000</v>
      </c>
      <c r="W11">
        <v>43023262675</v>
      </c>
      <c r="X11">
        <v>43023262675</v>
      </c>
      <c r="Y11">
        <v>3.9835193145519079</v>
      </c>
      <c r="Z11">
        <v>-17.220660788262371</v>
      </c>
      <c r="AA11">
        <v>-21.388405276322061</v>
      </c>
      <c r="AB11">
        <v>-14.18460116113744</v>
      </c>
      <c r="AC11">
        <v>-14.801932962413449</v>
      </c>
      <c r="AD11">
        <v>45.029350727181537</v>
      </c>
      <c r="AE11">
        <v>-16.502977627541231</v>
      </c>
      <c r="AF11">
        <v>-16.502977627541231</v>
      </c>
      <c r="AG11">
        <v>-14.18505198648203</v>
      </c>
      <c r="AH11">
        <v>-14.18505198648203</v>
      </c>
      <c r="AI11">
        <v>-20.49702843020486</v>
      </c>
      <c r="AJ11">
        <v>-13.59344792259084</v>
      </c>
      <c r="AK11">
        <v>-20.49702843020486</v>
      </c>
      <c r="AL11">
        <v>-13.59344792259084</v>
      </c>
      <c r="AM11">
        <v>3.8175033429458738</v>
      </c>
      <c r="AN11">
        <v>3.8175033429458738</v>
      </c>
    </row>
    <row r="12" spans="1:40" x14ac:dyDescent="0.25">
      <c r="A12" s="1" t="s">
        <v>1484</v>
      </c>
      <c r="B12">
        <v>46047957589</v>
      </c>
      <c r="C12" t="s">
        <v>91</v>
      </c>
      <c r="D12" t="s">
        <v>127</v>
      </c>
      <c r="E12">
        <v>11270000000</v>
      </c>
      <c r="F12">
        <v>-2607000000</v>
      </c>
      <c r="G12">
        <v>-2099000000</v>
      </c>
      <c r="H12">
        <v>-3165000000</v>
      </c>
      <c r="I12">
        <v>-3033000000</v>
      </c>
      <c r="J12">
        <v>997000000</v>
      </c>
      <c r="K12">
        <v>6406000000</v>
      </c>
      <c r="L12">
        <v>0</v>
      </c>
      <c r="M12">
        <v>6406000000</v>
      </c>
      <c r="N12">
        <v>8658000000</v>
      </c>
      <c r="O12">
        <v>179000000</v>
      </c>
      <c r="P12">
        <v>0</v>
      </c>
      <c r="Q12">
        <v>4535000000</v>
      </c>
      <c r="R12">
        <v>5313000000</v>
      </c>
      <c r="S12">
        <v>13655000000</v>
      </c>
      <c r="T12">
        <v>0</v>
      </c>
      <c r="U12">
        <v>0</v>
      </c>
      <c r="V12">
        <v>10333000000</v>
      </c>
      <c r="W12">
        <v>44176957589</v>
      </c>
      <c r="X12">
        <v>44176957589</v>
      </c>
      <c r="Y12">
        <v>4.0858879848269742</v>
      </c>
      <c r="Z12">
        <v>-17.66319815458381</v>
      </c>
      <c r="AA12">
        <v>-21.93804554025726</v>
      </c>
      <c r="AB12">
        <v>-14.54911772164297</v>
      </c>
      <c r="AC12">
        <v>-15.182313745136829</v>
      </c>
      <c r="AD12">
        <v>46.186517140421273</v>
      </c>
      <c r="AE12">
        <v>-16.94551499386268</v>
      </c>
      <c r="AF12">
        <v>-16.94551499386268</v>
      </c>
      <c r="AG12">
        <v>-14.56543276920541</v>
      </c>
      <c r="AH12">
        <v>-14.56543276920541</v>
      </c>
      <c r="AI12">
        <v>-21.04666869414007</v>
      </c>
      <c r="AJ12">
        <v>-13.957964483096371</v>
      </c>
      <c r="AK12">
        <v>-21.04666869414007</v>
      </c>
      <c r="AL12">
        <v>-13.957964483096371</v>
      </c>
      <c r="AM12">
        <v>3.919872013220941</v>
      </c>
      <c r="AN12">
        <v>3.919872013220941</v>
      </c>
    </row>
    <row r="13" spans="1:40" x14ac:dyDescent="0.25">
      <c r="A13" s="1" t="s">
        <v>1483</v>
      </c>
      <c r="B13">
        <v>45426737251</v>
      </c>
      <c r="C13" t="s">
        <v>91</v>
      </c>
      <c r="D13" t="s">
        <v>127</v>
      </c>
      <c r="E13">
        <v>11270000000</v>
      </c>
      <c r="F13">
        <v>-2607000000</v>
      </c>
      <c r="G13">
        <v>-2099000000</v>
      </c>
      <c r="H13">
        <v>-3165000000</v>
      </c>
      <c r="I13">
        <v>-3033000000</v>
      </c>
      <c r="J13">
        <v>997000000</v>
      </c>
      <c r="K13">
        <v>6406000000</v>
      </c>
      <c r="L13">
        <v>0</v>
      </c>
      <c r="M13">
        <v>6406000000</v>
      </c>
      <c r="N13">
        <v>8658000000</v>
      </c>
      <c r="O13">
        <v>179000000</v>
      </c>
      <c r="P13">
        <v>0</v>
      </c>
      <c r="Q13">
        <v>4535000000</v>
      </c>
      <c r="R13">
        <v>5313000000</v>
      </c>
      <c r="S13">
        <v>13655000000</v>
      </c>
      <c r="T13">
        <v>0</v>
      </c>
      <c r="U13">
        <v>0</v>
      </c>
      <c r="V13">
        <v>10333000000</v>
      </c>
      <c r="W13">
        <v>43555737251</v>
      </c>
      <c r="X13">
        <v>43555737251</v>
      </c>
      <c r="Y13">
        <v>4.0307663931677018</v>
      </c>
      <c r="Z13">
        <v>-17.424908803605678</v>
      </c>
      <c r="AA13">
        <v>-21.642085398284902</v>
      </c>
      <c r="AB13">
        <v>-14.35283957377567</v>
      </c>
      <c r="AC13">
        <v>-14.97749332377184</v>
      </c>
      <c r="AD13">
        <v>45.563427533600802</v>
      </c>
      <c r="AE13">
        <v>-16.707225642884541</v>
      </c>
      <c r="AF13">
        <v>-16.707225642884541</v>
      </c>
      <c r="AG13">
        <v>-14.360612347840419</v>
      </c>
      <c r="AH13">
        <v>-14.360612347840419</v>
      </c>
      <c r="AI13">
        <v>-20.750708552167701</v>
      </c>
      <c r="AJ13">
        <v>-13.76168633522907</v>
      </c>
      <c r="AK13">
        <v>-20.750708552167701</v>
      </c>
      <c r="AL13">
        <v>-13.76168633522907</v>
      </c>
      <c r="AM13">
        <v>3.8647504215616681</v>
      </c>
      <c r="AN13">
        <v>3.8647504215616681</v>
      </c>
    </row>
    <row r="14" spans="1:40" x14ac:dyDescent="0.25">
      <c r="A14" s="1" t="s">
        <v>1482</v>
      </c>
      <c r="B14">
        <v>44306321998</v>
      </c>
      <c r="C14" t="s">
        <v>91</v>
      </c>
      <c r="D14" t="s">
        <v>127</v>
      </c>
      <c r="E14">
        <v>11270000000</v>
      </c>
      <c r="F14">
        <v>-2607000000</v>
      </c>
      <c r="G14">
        <v>-2099000000</v>
      </c>
      <c r="H14">
        <v>-3165000000</v>
      </c>
      <c r="I14">
        <v>-3033000000</v>
      </c>
      <c r="J14">
        <v>997000000</v>
      </c>
      <c r="K14">
        <v>6406000000</v>
      </c>
      <c r="L14">
        <v>0</v>
      </c>
      <c r="M14">
        <v>6406000000</v>
      </c>
      <c r="N14">
        <v>8658000000</v>
      </c>
      <c r="O14">
        <v>179000000</v>
      </c>
      <c r="P14">
        <v>0</v>
      </c>
      <c r="Q14">
        <v>4535000000</v>
      </c>
      <c r="R14">
        <v>5313000000</v>
      </c>
      <c r="S14">
        <v>13655000000</v>
      </c>
      <c r="T14">
        <v>0</v>
      </c>
      <c r="U14">
        <v>0</v>
      </c>
      <c r="V14">
        <v>10333000000</v>
      </c>
      <c r="W14">
        <v>42435321998</v>
      </c>
      <c r="X14">
        <v>42435321998</v>
      </c>
      <c r="Y14">
        <v>3.9313506653061219</v>
      </c>
      <c r="Z14">
        <v>-16.995136938243188</v>
      </c>
      <c r="AA14">
        <v>-21.108300141972371</v>
      </c>
      <c r="AB14">
        <v>-13.998837914060029</v>
      </c>
      <c r="AC14">
        <v>-14.60808506363337</v>
      </c>
      <c r="AD14">
        <v>44.439640920762287</v>
      </c>
      <c r="AE14">
        <v>-16.277453777522059</v>
      </c>
      <c r="AF14">
        <v>-16.277453777522059</v>
      </c>
      <c r="AG14">
        <v>-13.99120408770195</v>
      </c>
      <c r="AH14">
        <v>-13.99120408770195</v>
      </c>
      <c r="AI14">
        <v>-20.216923295855171</v>
      </c>
      <c r="AJ14">
        <v>-13.40768467551343</v>
      </c>
      <c r="AK14">
        <v>-20.216923295855171</v>
      </c>
      <c r="AL14">
        <v>-13.40768467551343</v>
      </c>
      <c r="AM14">
        <v>3.7653346937000891</v>
      </c>
      <c r="AN14">
        <v>3.7653346937000891</v>
      </c>
    </row>
    <row r="15" spans="1:40" x14ac:dyDescent="0.25">
      <c r="A15" s="1" t="s">
        <v>139</v>
      </c>
      <c r="B15">
        <v>44151016913</v>
      </c>
      <c r="C15" t="s">
        <v>91</v>
      </c>
      <c r="D15" t="s">
        <v>127</v>
      </c>
      <c r="E15">
        <v>11270000000</v>
      </c>
      <c r="F15">
        <v>-2607000000</v>
      </c>
      <c r="G15">
        <v>-2099000000</v>
      </c>
      <c r="H15">
        <v>-3165000000</v>
      </c>
      <c r="I15">
        <v>-3033000000</v>
      </c>
      <c r="J15">
        <v>997000000</v>
      </c>
      <c r="K15">
        <v>6406000000</v>
      </c>
      <c r="L15">
        <v>0</v>
      </c>
      <c r="M15">
        <v>6406000000</v>
      </c>
      <c r="N15">
        <v>8658000000</v>
      </c>
      <c r="O15">
        <v>179000000</v>
      </c>
      <c r="P15">
        <v>0</v>
      </c>
      <c r="Q15">
        <v>4535000000</v>
      </c>
      <c r="R15">
        <v>5313000000</v>
      </c>
      <c r="S15">
        <v>13655000000</v>
      </c>
      <c r="T15">
        <v>0</v>
      </c>
      <c r="U15">
        <v>0</v>
      </c>
      <c r="V15">
        <v>10333000000</v>
      </c>
      <c r="W15">
        <v>42280016913</v>
      </c>
      <c r="X15">
        <v>42280016913</v>
      </c>
      <c r="Y15">
        <v>3.9175702673469388</v>
      </c>
      <c r="Z15">
        <v>-16.935564600306861</v>
      </c>
      <c r="AA15">
        <v>-21.034310106241069</v>
      </c>
      <c r="AB15">
        <v>-13.94976837693523</v>
      </c>
      <c r="AC15">
        <v>-14.55687995812727</v>
      </c>
      <c r="AD15">
        <v>44.283868518555657</v>
      </c>
      <c r="AE15">
        <v>-16.217881439585732</v>
      </c>
      <c r="AF15">
        <v>-16.217881439585732</v>
      </c>
      <c r="AG15">
        <v>-13.939998982195849</v>
      </c>
      <c r="AH15">
        <v>-13.939998982195849</v>
      </c>
      <c r="AI15">
        <v>-20.142933260123868</v>
      </c>
      <c r="AJ15">
        <v>-13.358615138388631</v>
      </c>
      <c r="AK15">
        <v>-20.142933260123868</v>
      </c>
      <c r="AL15">
        <v>-13.358615138388631</v>
      </c>
      <c r="AM15">
        <v>3.7515542957409052</v>
      </c>
      <c r="AN15">
        <v>3.7515542957409052</v>
      </c>
    </row>
    <row r="16" spans="1:40" x14ac:dyDescent="0.25">
      <c r="A16" s="1" t="s">
        <v>1481</v>
      </c>
      <c r="B16">
        <v>44827703353</v>
      </c>
      <c r="C16" t="s">
        <v>90</v>
      </c>
      <c r="D16" t="s">
        <v>127</v>
      </c>
      <c r="E16">
        <v>11785000000</v>
      </c>
      <c r="F16">
        <v>-3105000000</v>
      </c>
      <c r="G16">
        <v>-2563000000</v>
      </c>
      <c r="H16">
        <v>-3702000000</v>
      </c>
      <c r="I16">
        <v>-3589000000</v>
      </c>
      <c r="J16">
        <v>-3763000000</v>
      </c>
      <c r="K16">
        <v>5745000000</v>
      </c>
      <c r="L16">
        <v>0</v>
      </c>
      <c r="M16">
        <v>5745000000</v>
      </c>
      <c r="N16">
        <v>7930000000</v>
      </c>
      <c r="O16">
        <v>975000000</v>
      </c>
      <c r="P16">
        <v>178000000</v>
      </c>
      <c r="Q16">
        <v>8164000000</v>
      </c>
      <c r="R16">
        <v>4714000000</v>
      </c>
      <c r="S16">
        <v>32826000000</v>
      </c>
      <c r="T16">
        <v>14224000000</v>
      </c>
      <c r="U16">
        <v>-4000000</v>
      </c>
      <c r="V16">
        <v>-8432000000</v>
      </c>
      <c r="W16">
        <v>47424703353</v>
      </c>
      <c r="X16">
        <v>61644703353</v>
      </c>
      <c r="Y16">
        <v>3.803793241663131</v>
      </c>
      <c r="Z16">
        <v>-14.43726355974235</v>
      </c>
      <c r="AA16">
        <v>-17.490325147483421</v>
      </c>
      <c r="AB16">
        <v>-12.109050068341441</v>
      </c>
      <c r="AC16">
        <v>-12.490304640011139</v>
      </c>
      <c r="AD16">
        <v>-11.91275667100718</v>
      </c>
      <c r="AE16">
        <v>-19.853366619323669</v>
      </c>
      <c r="AF16">
        <v>-15.273656474396139</v>
      </c>
      <c r="AG16">
        <v>-17.176010964892729</v>
      </c>
      <c r="AH16">
        <v>-13.213904528559491</v>
      </c>
      <c r="AI16">
        <v>-24.051776571595791</v>
      </c>
      <c r="AJ16">
        <v>-16.651729700972449</v>
      </c>
      <c r="AK16">
        <v>-18.503590851736249</v>
      </c>
      <c r="AL16">
        <v>-12.810562764181521</v>
      </c>
      <c r="AM16">
        <v>5.2307766952057699</v>
      </c>
      <c r="AN16">
        <v>4.0241581122613486</v>
      </c>
    </row>
    <row r="17" spans="1:40" x14ac:dyDescent="0.25">
      <c r="A17" s="1" t="s">
        <v>1480</v>
      </c>
      <c r="B17">
        <v>45759533861</v>
      </c>
      <c r="C17" t="s">
        <v>90</v>
      </c>
      <c r="D17" t="s">
        <v>127</v>
      </c>
      <c r="E17">
        <v>11785000000</v>
      </c>
      <c r="F17">
        <v>-3105000000</v>
      </c>
      <c r="G17">
        <v>-2563000000</v>
      </c>
      <c r="H17">
        <v>-3702000000</v>
      </c>
      <c r="I17">
        <v>-3589000000</v>
      </c>
      <c r="J17">
        <v>-3763000000</v>
      </c>
      <c r="K17">
        <v>5745000000</v>
      </c>
      <c r="L17">
        <v>0</v>
      </c>
      <c r="M17">
        <v>5745000000</v>
      </c>
      <c r="N17">
        <v>7930000000</v>
      </c>
      <c r="O17">
        <v>975000000</v>
      </c>
      <c r="P17">
        <v>178000000</v>
      </c>
      <c r="Q17">
        <v>8164000000</v>
      </c>
      <c r="R17">
        <v>4714000000</v>
      </c>
      <c r="S17">
        <v>32826000000</v>
      </c>
      <c r="T17">
        <v>14224000000</v>
      </c>
      <c r="U17">
        <v>-4000000</v>
      </c>
      <c r="V17">
        <v>-8432000000</v>
      </c>
      <c r="W17">
        <v>48356533861</v>
      </c>
      <c r="X17">
        <v>62576533861</v>
      </c>
      <c r="Y17">
        <v>3.8828624404751801</v>
      </c>
      <c r="Z17">
        <v>-14.73737000354267</v>
      </c>
      <c r="AA17">
        <v>-17.853895380803749</v>
      </c>
      <c r="AB17">
        <v>-12.36076009211237</v>
      </c>
      <c r="AC17">
        <v>-12.74993977737531</v>
      </c>
      <c r="AD17">
        <v>-12.16038635689609</v>
      </c>
      <c r="AE17">
        <v>-20.15347306312399</v>
      </c>
      <c r="AF17">
        <v>-15.57376291819646</v>
      </c>
      <c r="AG17">
        <v>-17.4356461022569</v>
      </c>
      <c r="AH17">
        <v>-13.47353966592366</v>
      </c>
      <c r="AI17">
        <v>-24.415346804916119</v>
      </c>
      <c r="AJ17">
        <v>-16.903439724743379</v>
      </c>
      <c r="AK17">
        <v>-18.867161085056569</v>
      </c>
      <c r="AL17">
        <v>-13.062272787952461</v>
      </c>
      <c r="AM17">
        <v>5.309845894017819</v>
      </c>
      <c r="AN17">
        <v>4.1032273110733994</v>
      </c>
    </row>
    <row r="18" spans="1:40" x14ac:dyDescent="0.25">
      <c r="A18" s="1" t="s">
        <v>1479</v>
      </c>
      <c r="B18">
        <v>47423516910</v>
      </c>
      <c r="C18" t="s">
        <v>90</v>
      </c>
      <c r="D18" t="s">
        <v>127</v>
      </c>
      <c r="E18">
        <v>11785000000</v>
      </c>
      <c r="F18">
        <v>-3105000000</v>
      </c>
      <c r="G18">
        <v>-2563000000</v>
      </c>
      <c r="H18">
        <v>-3702000000</v>
      </c>
      <c r="I18">
        <v>-3589000000</v>
      </c>
      <c r="J18">
        <v>-3763000000</v>
      </c>
      <c r="K18">
        <v>5745000000</v>
      </c>
      <c r="L18">
        <v>0</v>
      </c>
      <c r="M18">
        <v>5745000000</v>
      </c>
      <c r="N18">
        <v>7930000000</v>
      </c>
      <c r="O18">
        <v>975000000</v>
      </c>
      <c r="P18">
        <v>178000000</v>
      </c>
      <c r="Q18">
        <v>8164000000</v>
      </c>
      <c r="R18">
        <v>4714000000</v>
      </c>
      <c r="S18">
        <v>32826000000</v>
      </c>
      <c r="T18">
        <v>14224000000</v>
      </c>
      <c r="U18">
        <v>-4000000</v>
      </c>
      <c r="V18">
        <v>-8432000000</v>
      </c>
      <c r="W18">
        <v>50020516910</v>
      </c>
      <c r="X18">
        <v>64240516910</v>
      </c>
      <c r="Y18">
        <v>4.0240574382689864</v>
      </c>
      <c r="Z18">
        <v>-15.27327436714976</v>
      </c>
      <c r="AA18">
        <v>-18.503127939914162</v>
      </c>
      <c r="AB18">
        <v>-12.81024227714749</v>
      </c>
      <c r="AC18">
        <v>-13.213573950961271</v>
      </c>
      <c r="AD18">
        <v>-12.602582224289129</v>
      </c>
      <c r="AE18">
        <v>-20.689377426731081</v>
      </c>
      <c r="AF18">
        <v>-16.109667281803539</v>
      </c>
      <c r="AG18">
        <v>-17.899280275842852</v>
      </c>
      <c r="AH18">
        <v>-13.93717383950961</v>
      </c>
      <c r="AI18">
        <v>-25.064579364026532</v>
      </c>
      <c r="AJ18">
        <v>-17.352921909778502</v>
      </c>
      <c r="AK18">
        <v>-19.516393644166989</v>
      </c>
      <c r="AL18">
        <v>-13.511754972987569</v>
      </c>
      <c r="AM18">
        <v>5.4510408918116253</v>
      </c>
      <c r="AN18">
        <v>4.244422308867204</v>
      </c>
    </row>
    <row r="19" spans="1:40" x14ac:dyDescent="0.25">
      <c r="A19" s="1" t="s">
        <v>1478</v>
      </c>
      <c r="B19">
        <v>49919491485</v>
      </c>
      <c r="C19" t="s">
        <v>90</v>
      </c>
      <c r="D19" t="s">
        <v>127</v>
      </c>
      <c r="E19">
        <v>11785000000</v>
      </c>
      <c r="F19">
        <v>-3105000000</v>
      </c>
      <c r="G19">
        <v>-2563000000</v>
      </c>
      <c r="H19">
        <v>-3702000000</v>
      </c>
      <c r="I19">
        <v>-3589000000</v>
      </c>
      <c r="J19">
        <v>-3763000000</v>
      </c>
      <c r="K19">
        <v>5745000000</v>
      </c>
      <c r="L19">
        <v>0</v>
      </c>
      <c r="M19">
        <v>5745000000</v>
      </c>
      <c r="N19">
        <v>7930000000</v>
      </c>
      <c r="O19">
        <v>975000000</v>
      </c>
      <c r="P19">
        <v>178000000</v>
      </c>
      <c r="Q19">
        <v>8164000000</v>
      </c>
      <c r="R19">
        <v>4714000000</v>
      </c>
      <c r="S19">
        <v>32826000000</v>
      </c>
      <c r="T19">
        <v>14224000000</v>
      </c>
      <c r="U19">
        <v>-4000000</v>
      </c>
      <c r="V19">
        <v>-8432000000</v>
      </c>
      <c r="W19">
        <v>52516491485</v>
      </c>
      <c r="X19">
        <v>66736491485</v>
      </c>
      <c r="Y19">
        <v>4.2358499350869749</v>
      </c>
      <c r="Z19">
        <v>-16.077130913043479</v>
      </c>
      <c r="AA19">
        <v>-19.476976779165039</v>
      </c>
      <c r="AB19">
        <v>-13.48446555510535</v>
      </c>
      <c r="AC19">
        <v>-13.90902521175815</v>
      </c>
      <c r="AD19">
        <v>-13.26587602577731</v>
      </c>
      <c r="AE19">
        <v>-21.4932339726248</v>
      </c>
      <c r="AF19">
        <v>-16.913523827697261</v>
      </c>
      <c r="AG19">
        <v>-18.594731536639731</v>
      </c>
      <c r="AH19">
        <v>-14.632625100306489</v>
      </c>
      <c r="AI19">
        <v>-26.038428203277409</v>
      </c>
      <c r="AJ19">
        <v>-18.027145187736359</v>
      </c>
      <c r="AK19">
        <v>-20.49024248341787</v>
      </c>
      <c r="AL19">
        <v>-14.185978250945441</v>
      </c>
      <c r="AM19">
        <v>5.6628333886296138</v>
      </c>
      <c r="AN19">
        <v>4.4562148056851933</v>
      </c>
    </row>
    <row r="20" spans="1:40" x14ac:dyDescent="0.25">
      <c r="A20" s="1" t="s">
        <v>1477</v>
      </c>
      <c r="B20">
        <v>49830745722</v>
      </c>
      <c r="C20" t="s">
        <v>90</v>
      </c>
      <c r="D20" t="s">
        <v>127</v>
      </c>
      <c r="E20">
        <v>11785000000</v>
      </c>
      <c r="F20">
        <v>-3105000000</v>
      </c>
      <c r="G20">
        <v>-2563000000</v>
      </c>
      <c r="H20">
        <v>-3702000000</v>
      </c>
      <c r="I20">
        <v>-3589000000</v>
      </c>
      <c r="J20">
        <v>-3763000000</v>
      </c>
      <c r="K20">
        <v>5745000000</v>
      </c>
      <c r="L20">
        <v>0</v>
      </c>
      <c r="M20">
        <v>5745000000</v>
      </c>
      <c r="N20">
        <v>7930000000</v>
      </c>
      <c r="O20">
        <v>975000000</v>
      </c>
      <c r="P20">
        <v>178000000</v>
      </c>
      <c r="Q20">
        <v>8164000000</v>
      </c>
      <c r="R20">
        <v>4714000000</v>
      </c>
      <c r="S20">
        <v>32826000000</v>
      </c>
      <c r="T20">
        <v>14224000000</v>
      </c>
      <c r="U20">
        <v>-4000000</v>
      </c>
      <c r="V20">
        <v>-8432000000</v>
      </c>
      <c r="W20">
        <v>52427745722</v>
      </c>
      <c r="X20">
        <v>66647745722</v>
      </c>
      <c r="Y20">
        <v>4.2283195351718286</v>
      </c>
      <c r="Z20">
        <v>-16.0485493468599</v>
      </c>
      <c r="AA20">
        <v>-19.442351042528291</v>
      </c>
      <c r="AB20">
        <v>-13.46049317179903</v>
      </c>
      <c r="AC20">
        <v>-13.88429805572583</v>
      </c>
      <c r="AD20">
        <v>-13.242292246080259</v>
      </c>
      <c r="AE20">
        <v>-21.464652406441221</v>
      </c>
      <c r="AF20">
        <v>-16.884942261513689</v>
      </c>
      <c r="AG20">
        <v>-18.570004380607411</v>
      </c>
      <c r="AH20">
        <v>-14.607897944274169</v>
      </c>
      <c r="AI20">
        <v>-26.003802466640661</v>
      </c>
      <c r="AJ20">
        <v>-18.00317280443004</v>
      </c>
      <c r="AK20">
        <v>-20.455616746781111</v>
      </c>
      <c r="AL20">
        <v>-14.16200586763911</v>
      </c>
      <c r="AM20">
        <v>5.6553029887144666</v>
      </c>
      <c r="AN20">
        <v>4.448684405770047</v>
      </c>
    </row>
    <row r="21" spans="1:40" x14ac:dyDescent="0.25">
      <c r="A21" s="1" t="s">
        <v>1476</v>
      </c>
      <c r="B21">
        <v>48987660977</v>
      </c>
      <c r="C21" t="s">
        <v>90</v>
      </c>
      <c r="D21" t="s">
        <v>127</v>
      </c>
      <c r="E21">
        <v>11785000000</v>
      </c>
      <c r="F21">
        <v>-3105000000</v>
      </c>
      <c r="G21">
        <v>-2563000000</v>
      </c>
      <c r="H21">
        <v>-3702000000</v>
      </c>
      <c r="I21">
        <v>-3589000000</v>
      </c>
      <c r="J21">
        <v>-3763000000</v>
      </c>
      <c r="K21">
        <v>5745000000</v>
      </c>
      <c r="L21">
        <v>0</v>
      </c>
      <c r="M21">
        <v>5745000000</v>
      </c>
      <c r="N21">
        <v>7930000000</v>
      </c>
      <c r="O21">
        <v>975000000</v>
      </c>
      <c r="P21">
        <v>178000000</v>
      </c>
      <c r="Q21">
        <v>8164000000</v>
      </c>
      <c r="R21">
        <v>4714000000</v>
      </c>
      <c r="S21">
        <v>32826000000</v>
      </c>
      <c r="T21">
        <v>14224000000</v>
      </c>
      <c r="U21">
        <v>-4000000</v>
      </c>
      <c r="V21">
        <v>-8432000000</v>
      </c>
      <c r="W21">
        <v>51584660977</v>
      </c>
      <c r="X21">
        <v>65804660977</v>
      </c>
      <c r="Y21">
        <v>4.1567807362749258</v>
      </c>
      <c r="Z21">
        <v>-15.777024469243161</v>
      </c>
      <c r="AA21">
        <v>-19.113406545844711</v>
      </c>
      <c r="AB21">
        <v>-13.23275553133441</v>
      </c>
      <c r="AC21">
        <v>-13.649390074393979</v>
      </c>
      <c r="AD21">
        <v>-13.018246339888391</v>
      </c>
      <c r="AE21">
        <v>-21.19312752882448</v>
      </c>
      <c r="AF21">
        <v>-16.613417383896941</v>
      </c>
      <c r="AG21">
        <v>-18.33509639927556</v>
      </c>
      <c r="AH21">
        <v>-14.37298996294232</v>
      </c>
      <c r="AI21">
        <v>-25.674857969957081</v>
      </c>
      <c r="AJ21">
        <v>-17.775435163965419</v>
      </c>
      <c r="AK21">
        <v>-20.126672250097538</v>
      </c>
      <c r="AL21">
        <v>-13.934268227174501</v>
      </c>
      <c r="AM21">
        <v>5.5837641898175647</v>
      </c>
      <c r="AN21">
        <v>4.3771456068731442</v>
      </c>
    </row>
    <row r="22" spans="1:40" x14ac:dyDescent="0.25">
      <c r="A22" s="1" t="s">
        <v>1475</v>
      </c>
      <c r="B22">
        <v>47268211826</v>
      </c>
      <c r="C22" t="s">
        <v>90</v>
      </c>
      <c r="D22" t="s">
        <v>127</v>
      </c>
      <c r="E22">
        <v>11785000000</v>
      </c>
      <c r="F22">
        <v>-3105000000</v>
      </c>
      <c r="G22">
        <v>-2563000000</v>
      </c>
      <c r="H22">
        <v>-3702000000</v>
      </c>
      <c r="I22">
        <v>-3589000000</v>
      </c>
      <c r="J22">
        <v>-3763000000</v>
      </c>
      <c r="K22">
        <v>5745000000</v>
      </c>
      <c r="L22">
        <v>0</v>
      </c>
      <c r="M22">
        <v>5745000000</v>
      </c>
      <c r="N22">
        <v>7930000000</v>
      </c>
      <c r="O22">
        <v>975000000</v>
      </c>
      <c r="P22">
        <v>178000000</v>
      </c>
      <c r="Q22">
        <v>8164000000</v>
      </c>
      <c r="R22">
        <v>4714000000</v>
      </c>
      <c r="S22">
        <v>32826000000</v>
      </c>
      <c r="T22">
        <v>14224000000</v>
      </c>
      <c r="U22">
        <v>-4000000</v>
      </c>
      <c r="V22">
        <v>-8432000000</v>
      </c>
      <c r="W22">
        <v>49865211826</v>
      </c>
      <c r="X22">
        <v>64085211826</v>
      </c>
      <c r="Y22">
        <v>4.0108792385235468</v>
      </c>
      <c r="Z22">
        <v>-15.22325662673108</v>
      </c>
      <c r="AA22">
        <v>-18.442532901287549</v>
      </c>
      <c r="AB22">
        <v>-12.768290606699081</v>
      </c>
      <c r="AC22">
        <v>-13.170301428253</v>
      </c>
      <c r="AD22">
        <v>-12.56131061015147</v>
      </c>
      <c r="AE22">
        <v>-20.6393596863124</v>
      </c>
      <c r="AF22">
        <v>-16.059649541384861</v>
      </c>
      <c r="AG22">
        <v>-17.85600775313458</v>
      </c>
      <c r="AH22">
        <v>-13.89390131680134</v>
      </c>
      <c r="AI22">
        <v>-25.003984325399919</v>
      </c>
      <c r="AJ22">
        <v>-17.310970239330089</v>
      </c>
      <c r="AK22">
        <v>-19.45579860554038</v>
      </c>
      <c r="AL22">
        <v>-13.469803302539169</v>
      </c>
      <c r="AM22">
        <v>5.4378626920661857</v>
      </c>
      <c r="AN22">
        <v>4.2312441091217652</v>
      </c>
    </row>
    <row r="23" spans="1:40" x14ac:dyDescent="0.25">
      <c r="A23" s="1" t="s">
        <v>1474</v>
      </c>
      <c r="B23">
        <v>47090720300</v>
      </c>
      <c r="C23" t="s">
        <v>90</v>
      </c>
      <c r="D23" t="s">
        <v>127</v>
      </c>
      <c r="E23">
        <v>11785000000</v>
      </c>
      <c r="F23">
        <v>-3105000000</v>
      </c>
      <c r="G23">
        <v>-2563000000</v>
      </c>
      <c r="H23">
        <v>-3702000000</v>
      </c>
      <c r="I23">
        <v>-3589000000</v>
      </c>
      <c r="J23">
        <v>-3763000000</v>
      </c>
      <c r="K23">
        <v>5745000000</v>
      </c>
      <c r="L23">
        <v>0</v>
      </c>
      <c r="M23">
        <v>5745000000</v>
      </c>
      <c r="N23">
        <v>7930000000</v>
      </c>
      <c r="O23">
        <v>975000000</v>
      </c>
      <c r="P23">
        <v>178000000</v>
      </c>
      <c r="Q23">
        <v>8164000000</v>
      </c>
      <c r="R23">
        <v>4714000000</v>
      </c>
      <c r="S23">
        <v>32826000000</v>
      </c>
      <c r="T23">
        <v>14224000000</v>
      </c>
      <c r="U23">
        <v>-4000000</v>
      </c>
      <c r="V23">
        <v>-8432000000</v>
      </c>
      <c r="W23">
        <v>49687720300</v>
      </c>
      <c r="X23">
        <v>63907720300</v>
      </c>
      <c r="Y23">
        <v>3.995818438693254</v>
      </c>
      <c r="Z23">
        <v>-15.166093494363929</v>
      </c>
      <c r="AA23">
        <v>-18.37328142801405</v>
      </c>
      <c r="AB23">
        <v>-12.72034584008644</v>
      </c>
      <c r="AC23">
        <v>-13.120847116188351</v>
      </c>
      <c r="AD23">
        <v>-12.514143050757371</v>
      </c>
      <c r="AE23">
        <v>-20.582196553945248</v>
      </c>
      <c r="AF23">
        <v>-16.00248640901771</v>
      </c>
      <c r="AG23">
        <v>-17.806553441069941</v>
      </c>
      <c r="AH23">
        <v>-13.844447004736701</v>
      </c>
      <c r="AI23">
        <v>-24.93473285212642</v>
      </c>
      <c r="AJ23">
        <v>-17.263025472717452</v>
      </c>
      <c r="AK23">
        <v>-19.38654713226687</v>
      </c>
      <c r="AL23">
        <v>-13.42185853592653</v>
      </c>
      <c r="AM23">
        <v>5.4228018922358929</v>
      </c>
      <c r="AN23">
        <v>4.2161833092914716</v>
      </c>
    </row>
    <row r="24" spans="1:40" x14ac:dyDescent="0.25">
      <c r="A24" s="1" t="s">
        <v>1473</v>
      </c>
      <c r="B24">
        <v>46780110131</v>
      </c>
      <c r="C24" t="s">
        <v>90</v>
      </c>
      <c r="D24" t="s">
        <v>127</v>
      </c>
      <c r="E24">
        <v>11785000000</v>
      </c>
      <c r="F24">
        <v>-3105000000</v>
      </c>
      <c r="G24">
        <v>-2563000000</v>
      </c>
      <c r="H24">
        <v>-3702000000</v>
      </c>
      <c r="I24">
        <v>-3589000000</v>
      </c>
      <c r="J24">
        <v>-3763000000</v>
      </c>
      <c r="K24">
        <v>5745000000</v>
      </c>
      <c r="L24">
        <v>0</v>
      </c>
      <c r="M24">
        <v>5745000000</v>
      </c>
      <c r="N24">
        <v>7930000000</v>
      </c>
      <c r="O24">
        <v>975000000</v>
      </c>
      <c r="P24">
        <v>178000000</v>
      </c>
      <c r="Q24">
        <v>8164000000</v>
      </c>
      <c r="R24">
        <v>4714000000</v>
      </c>
      <c r="S24">
        <v>32826000000</v>
      </c>
      <c r="T24">
        <v>14224000000</v>
      </c>
      <c r="U24">
        <v>-4000000</v>
      </c>
      <c r="V24">
        <v>-8432000000</v>
      </c>
      <c r="W24">
        <v>49377110131</v>
      </c>
      <c r="X24">
        <v>63597110131</v>
      </c>
      <c r="Y24">
        <v>3.9694620391175222</v>
      </c>
      <c r="Z24">
        <v>-15.066058013204509</v>
      </c>
      <c r="AA24">
        <v>-18.252091350370659</v>
      </c>
      <c r="AB24">
        <v>-12.6364424989195</v>
      </c>
      <c r="AC24">
        <v>-13.034302070493171</v>
      </c>
      <c r="AD24">
        <v>-12.43159982221632</v>
      </c>
      <c r="AE24">
        <v>-20.482161072785829</v>
      </c>
      <c r="AF24">
        <v>-15.90245092785829</v>
      </c>
      <c r="AG24">
        <v>-17.720008395374759</v>
      </c>
      <c r="AH24">
        <v>-13.75790195904152</v>
      </c>
      <c r="AI24">
        <v>-24.813542774483029</v>
      </c>
      <c r="AJ24">
        <v>-17.17912213155051</v>
      </c>
      <c r="AK24">
        <v>-19.26535705462349</v>
      </c>
      <c r="AL24">
        <v>-13.337955194759591</v>
      </c>
      <c r="AM24">
        <v>5.3964454926601606</v>
      </c>
      <c r="AN24">
        <v>4.1898269097157401</v>
      </c>
    </row>
    <row r="25" spans="1:40" x14ac:dyDescent="0.25">
      <c r="A25" s="1" t="s">
        <v>1472</v>
      </c>
      <c r="B25">
        <v>49154059282</v>
      </c>
      <c r="C25" t="s">
        <v>90</v>
      </c>
      <c r="D25" t="s">
        <v>127</v>
      </c>
      <c r="E25">
        <v>11785000000</v>
      </c>
      <c r="F25">
        <v>-3105000000</v>
      </c>
      <c r="G25">
        <v>-2563000000</v>
      </c>
      <c r="H25">
        <v>-3702000000</v>
      </c>
      <c r="I25">
        <v>-3589000000</v>
      </c>
      <c r="J25">
        <v>-3763000000</v>
      </c>
      <c r="K25">
        <v>5745000000</v>
      </c>
      <c r="L25">
        <v>0</v>
      </c>
      <c r="M25">
        <v>5745000000</v>
      </c>
      <c r="N25">
        <v>7930000000</v>
      </c>
      <c r="O25">
        <v>975000000</v>
      </c>
      <c r="P25">
        <v>178000000</v>
      </c>
      <c r="Q25">
        <v>8164000000</v>
      </c>
      <c r="R25">
        <v>4714000000</v>
      </c>
      <c r="S25">
        <v>32826000000</v>
      </c>
      <c r="T25">
        <v>14224000000</v>
      </c>
      <c r="U25">
        <v>-4000000</v>
      </c>
      <c r="V25">
        <v>-8432000000</v>
      </c>
      <c r="W25">
        <v>51751059282</v>
      </c>
      <c r="X25">
        <v>65971059282</v>
      </c>
      <c r="Y25">
        <v>4.170900236062792</v>
      </c>
      <c r="Z25">
        <v>-15.83061490563607</v>
      </c>
      <c r="AA25">
        <v>-19.178329801794771</v>
      </c>
      <c r="AB25">
        <v>-13.277703749864941</v>
      </c>
      <c r="AC25">
        <v>-13.69575349178044</v>
      </c>
      <c r="AD25">
        <v>-13.062465926654269</v>
      </c>
      <c r="AE25">
        <v>-21.246717965217389</v>
      </c>
      <c r="AF25">
        <v>-16.66700782028985</v>
      </c>
      <c r="AG25">
        <v>-18.381459816662019</v>
      </c>
      <c r="AH25">
        <v>-14.419353380328779</v>
      </c>
      <c r="AI25">
        <v>-25.739781225907141</v>
      </c>
      <c r="AJ25">
        <v>-17.820383382495951</v>
      </c>
      <c r="AK25">
        <v>-20.191595506047602</v>
      </c>
      <c r="AL25">
        <v>-13.979216445705021</v>
      </c>
      <c r="AM25">
        <v>5.5978836896054309</v>
      </c>
      <c r="AN25">
        <v>4.3912651066610104</v>
      </c>
    </row>
    <row r="26" spans="1:40" x14ac:dyDescent="0.25">
      <c r="A26" s="1" t="s">
        <v>1471</v>
      </c>
      <c r="B26">
        <v>47955991486</v>
      </c>
      <c r="C26" t="s">
        <v>90</v>
      </c>
      <c r="D26" t="s">
        <v>127</v>
      </c>
      <c r="E26">
        <v>11785000000</v>
      </c>
      <c r="F26">
        <v>-3105000000</v>
      </c>
      <c r="G26">
        <v>-2563000000</v>
      </c>
      <c r="H26">
        <v>-3702000000</v>
      </c>
      <c r="I26">
        <v>-3589000000</v>
      </c>
      <c r="J26">
        <v>-3763000000</v>
      </c>
      <c r="K26">
        <v>5745000000</v>
      </c>
      <c r="L26">
        <v>0</v>
      </c>
      <c r="M26">
        <v>5745000000</v>
      </c>
      <c r="N26">
        <v>7930000000</v>
      </c>
      <c r="O26">
        <v>975000000</v>
      </c>
      <c r="P26">
        <v>178000000</v>
      </c>
      <c r="Q26">
        <v>8164000000</v>
      </c>
      <c r="R26">
        <v>4714000000</v>
      </c>
      <c r="S26">
        <v>32826000000</v>
      </c>
      <c r="T26">
        <v>14224000000</v>
      </c>
      <c r="U26">
        <v>-4000000</v>
      </c>
      <c r="V26">
        <v>-8432000000</v>
      </c>
      <c r="W26">
        <v>50552991486</v>
      </c>
      <c r="X26">
        <v>64772991486</v>
      </c>
      <c r="Y26">
        <v>4.0692398375901568</v>
      </c>
      <c r="Z26">
        <v>-15.44476376360709</v>
      </c>
      <c r="AA26">
        <v>-18.71088235895435</v>
      </c>
      <c r="AB26">
        <v>-12.954076576445161</v>
      </c>
      <c r="AC26">
        <v>-13.36193688659794</v>
      </c>
      <c r="AD26">
        <v>-12.74408490193994</v>
      </c>
      <c r="AE26">
        <v>-20.86086682318841</v>
      </c>
      <c r="AF26">
        <v>-16.281156678260871</v>
      </c>
      <c r="AG26">
        <v>-18.047643211479521</v>
      </c>
      <c r="AH26">
        <v>-14.085536775146281</v>
      </c>
      <c r="AI26">
        <v>-25.272333783066721</v>
      </c>
      <c r="AJ26">
        <v>-17.496756209076171</v>
      </c>
      <c r="AK26">
        <v>-19.724148063207181</v>
      </c>
      <c r="AL26">
        <v>-13.655589272285249</v>
      </c>
      <c r="AM26">
        <v>5.4962232911327957</v>
      </c>
      <c r="AN26">
        <v>4.2896047081883752</v>
      </c>
    </row>
    <row r="27" spans="1:40" x14ac:dyDescent="0.25">
      <c r="A27" s="1" t="s">
        <v>1470</v>
      </c>
      <c r="B27">
        <v>48566118604</v>
      </c>
      <c r="C27" t="s">
        <v>90</v>
      </c>
      <c r="D27" t="s">
        <v>127</v>
      </c>
      <c r="E27">
        <v>11785000000</v>
      </c>
      <c r="F27">
        <v>-3105000000</v>
      </c>
      <c r="G27">
        <v>-2563000000</v>
      </c>
      <c r="H27">
        <v>-3702000000</v>
      </c>
      <c r="I27">
        <v>-3589000000</v>
      </c>
      <c r="J27">
        <v>-3763000000</v>
      </c>
      <c r="K27">
        <v>5745000000</v>
      </c>
      <c r="L27">
        <v>0</v>
      </c>
      <c r="M27">
        <v>5745000000</v>
      </c>
      <c r="N27">
        <v>7930000000</v>
      </c>
      <c r="O27">
        <v>975000000</v>
      </c>
      <c r="P27">
        <v>178000000</v>
      </c>
      <c r="Q27">
        <v>8164000000</v>
      </c>
      <c r="R27">
        <v>4714000000</v>
      </c>
      <c r="S27">
        <v>32826000000</v>
      </c>
      <c r="T27">
        <v>14224000000</v>
      </c>
      <c r="U27">
        <v>-4000000</v>
      </c>
      <c r="V27">
        <v>-8432000000</v>
      </c>
      <c r="W27">
        <v>51163118604</v>
      </c>
      <c r="X27">
        <v>65383118604</v>
      </c>
      <c r="Y27">
        <v>4.1210113367840471</v>
      </c>
      <c r="Z27">
        <v>-15.641262030273751</v>
      </c>
      <c r="AA27">
        <v>-18.94893429730784</v>
      </c>
      <c r="AB27">
        <v>-13.11888671096705</v>
      </c>
      <c r="AC27">
        <v>-13.531936083588739</v>
      </c>
      <c r="AD27">
        <v>-12.90622338665958</v>
      </c>
      <c r="AE27">
        <v>-21.057365089855072</v>
      </c>
      <c r="AF27">
        <v>-16.47765494492754</v>
      </c>
      <c r="AG27">
        <v>-18.217642408470329</v>
      </c>
      <c r="AH27">
        <v>-14.255535972137089</v>
      </c>
      <c r="AI27">
        <v>-25.51038572142021</v>
      </c>
      <c r="AJ27">
        <v>-17.66156634359805</v>
      </c>
      <c r="AK27">
        <v>-19.962200001560671</v>
      </c>
      <c r="AL27">
        <v>-13.82039940680713</v>
      </c>
      <c r="AM27">
        <v>5.5479947903266869</v>
      </c>
      <c r="AN27">
        <v>4.3413762073822646</v>
      </c>
    </row>
    <row r="28" spans="1:40" x14ac:dyDescent="0.25">
      <c r="A28" s="1" t="s">
        <v>1469</v>
      </c>
      <c r="B28">
        <v>48654864367</v>
      </c>
      <c r="C28" t="s">
        <v>90</v>
      </c>
      <c r="D28" t="s">
        <v>127</v>
      </c>
      <c r="E28">
        <v>11785000000</v>
      </c>
      <c r="F28">
        <v>-3105000000</v>
      </c>
      <c r="G28">
        <v>-2563000000</v>
      </c>
      <c r="H28">
        <v>-3702000000</v>
      </c>
      <c r="I28">
        <v>-3589000000</v>
      </c>
      <c r="J28">
        <v>-3763000000</v>
      </c>
      <c r="K28">
        <v>5745000000</v>
      </c>
      <c r="L28">
        <v>0</v>
      </c>
      <c r="M28">
        <v>5745000000</v>
      </c>
      <c r="N28">
        <v>7930000000</v>
      </c>
      <c r="O28">
        <v>975000000</v>
      </c>
      <c r="P28">
        <v>178000000</v>
      </c>
      <c r="Q28">
        <v>8164000000</v>
      </c>
      <c r="R28">
        <v>4714000000</v>
      </c>
      <c r="S28">
        <v>32826000000</v>
      </c>
      <c r="T28">
        <v>14224000000</v>
      </c>
      <c r="U28">
        <v>-4000000</v>
      </c>
      <c r="V28">
        <v>-8432000000</v>
      </c>
      <c r="W28">
        <v>51251864367</v>
      </c>
      <c r="X28">
        <v>65471864367</v>
      </c>
      <c r="Y28">
        <v>4.1285417366991943</v>
      </c>
      <c r="Z28">
        <v>-15.66984359645733</v>
      </c>
      <c r="AA28">
        <v>-18.983560033944599</v>
      </c>
      <c r="AB28">
        <v>-13.142859094273369</v>
      </c>
      <c r="AC28">
        <v>-13.556663239621059</v>
      </c>
      <c r="AD28">
        <v>-12.92980716635663</v>
      </c>
      <c r="AE28">
        <v>-21.085946656038651</v>
      </c>
      <c r="AF28">
        <v>-16.506236511111108</v>
      </c>
      <c r="AG28">
        <v>-18.242369564502649</v>
      </c>
      <c r="AH28">
        <v>-14.280263128169411</v>
      </c>
      <c r="AI28">
        <v>-25.545011458056969</v>
      </c>
      <c r="AJ28">
        <v>-17.68553872690438</v>
      </c>
      <c r="AK28">
        <v>-19.99682573819743</v>
      </c>
      <c r="AL28">
        <v>-13.844371790113451</v>
      </c>
      <c r="AM28">
        <v>5.5555251902418332</v>
      </c>
      <c r="AN28">
        <v>4.3489066072974119</v>
      </c>
    </row>
    <row r="29" spans="1:40" x14ac:dyDescent="0.25">
      <c r="A29" s="1" t="s">
        <v>1468</v>
      </c>
      <c r="B29">
        <v>49764186400</v>
      </c>
      <c r="C29" t="s">
        <v>90</v>
      </c>
      <c r="D29" t="s">
        <v>127</v>
      </c>
      <c r="E29">
        <v>11785000000</v>
      </c>
      <c r="F29">
        <v>-3105000000</v>
      </c>
      <c r="G29">
        <v>-2563000000</v>
      </c>
      <c r="H29">
        <v>-3702000000</v>
      </c>
      <c r="I29">
        <v>-3589000000</v>
      </c>
      <c r="J29">
        <v>-3763000000</v>
      </c>
      <c r="K29">
        <v>5745000000</v>
      </c>
      <c r="L29">
        <v>0</v>
      </c>
      <c r="M29">
        <v>5745000000</v>
      </c>
      <c r="N29">
        <v>7930000000</v>
      </c>
      <c r="O29">
        <v>975000000</v>
      </c>
      <c r="P29">
        <v>178000000</v>
      </c>
      <c r="Q29">
        <v>8164000000</v>
      </c>
      <c r="R29">
        <v>4714000000</v>
      </c>
      <c r="S29">
        <v>32826000000</v>
      </c>
      <c r="T29">
        <v>14224000000</v>
      </c>
      <c r="U29">
        <v>-4000000</v>
      </c>
      <c r="V29">
        <v>-8432000000</v>
      </c>
      <c r="W29">
        <v>52361186400</v>
      </c>
      <c r="X29">
        <v>66581186400</v>
      </c>
      <c r="Y29">
        <v>4.2226717352566823</v>
      </c>
      <c r="Z29">
        <v>-16.027113172302741</v>
      </c>
      <c r="AA29">
        <v>-19.41638174014826</v>
      </c>
      <c r="AB29">
        <v>-13.44251388438682</v>
      </c>
      <c r="AC29">
        <v>-13.86575268877125</v>
      </c>
      <c r="AD29">
        <v>-13.2246044113739</v>
      </c>
      <c r="AE29">
        <v>-21.443216231884058</v>
      </c>
      <c r="AF29">
        <v>-16.863506086956519</v>
      </c>
      <c r="AG29">
        <v>-18.551459013652831</v>
      </c>
      <c r="AH29">
        <v>-14.589352577319589</v>
      </c>
      <c r="AI29">
        <v>-25.97783316426063</v>
      </c>
      <c r="AJ29">
        <v>-17.98519351701783</v>
      </c>
      <c r="AK29">
        <v>-20.429647444401091</v>
      </c>
      <c r="AL29">
        <v>-14.1440265802269</v>
      </c>
      <c r="AM29">
        <v>5.6496551887993212</v>
      </c>
      <c r="AN29">
        <v>4.4430366058549007</v>
      </c>
    </row>
    <row r="30" spans="1:40" x14ac:dyDescent="0.25">
      <c r="A30" s="1" t="s">
        <v>1467</v>
      </c>
      <c r="B30">
        <v>48654864367</v>
      </c>
      <c r="C30" t="s">
        <v>90</v>
      </c>
      <c r="D30" t="s">
        <v>127</v>
      </c>
      <c r="E30">
        <v>11785000000</v>
      </c>
      <c r="F30">
        <v>-3105000000</v>
      </c>
      <c r="G30">
        <v>-2563000000</v>
      </c>
      <c r="H30">
        <v>-3702000000</v>
      </c>
      <c r="I30">
        <v>-3589000000</v>
      </c>
      <c r="J30">
        <v>-3763000000</v>
      </c>
      <c r="K30">
        <v>5745000000</v>
      </c>
      <c r="L30">
        <v>0</v>
      </c>
      <c r="M30">
        <v>5745000000</v>
      </c>
      <c r="N30">
        <v>7930000000</v>
      </c>
      <c r="O30">
        <v>975000000</v>
      </c>
      <c r="P30">
        <v>178000000</v>
      </c>
      <c r="Q30">
        <v>8164000000</v>
      </c>
      <c r="R30">
        <v>4714000000</v>
      </c>
      <c r="S30">
        <v>32826000000</v>
      </c>
      <c r="T30">
        <v>14224000000</v>
      </c>
      <c r="U30">
        <v>-4000000</v>
      </c>
      <c r="V30">
        <v>-8432000000</v>
      </c>
      <c r="W30">
        <v>51251864367</v>
      </c>
      <c r="X30">
        <v>65471864367</v>
      </c>
      <c r="Y30">
        <v>4.1285417366991943</v>
      </c>
      <c r="Z30">
        <v>-15.66984359645733</v>
      </c>
      <c r="AA30">
        <v>-18.983560033944599</v>
      </c>
      <c r="AB30">
        <v>-13.142859094273369</v>
      </c>
      <c r="AC30">
        <v>-13.556663239621059</v>
      </c>
      <c r="AD30">
        <v>-12.92980716635663</v>
      </c>
      <c r="AE30">
        <v>-21.085946656038651</v>
      </c>
      <c r="AF30">
        <v>-16.506236511111108</v>
      </c>
      <c r="AG30">
        <v>-18.242369564502649</v>
      </c>
      <c r="AH30">
        <v>-14.280263128169411</v>
      </c>
      <c r="AI30">
        <v>-25.545011458056969</v>
      </c>
      <c r="AJ30">
        <v>-17.68553872690438</v>
      </c>
      <c r="AK30">
        <v>-19.99682573819743</v>
      </c>
      <c r="AL30">
        <v>-13.844371790113451</v>
      </c>
      <c r="AM30">
        <v>5.5555251902418332</v>
      </c>
      <c r="AN30">
        <v>4.3489066072974119</v>
      </c>
    </row>
    <row r="31" spans="1:40" x14ac:dyDescent="0.25">
      <c r="A31" s="1" t="s">
        <v>1466</v>
      </c>
      <c r="B31">
        <v>48810169452</v>
      </c>
      <c r="C31" t="s">
        <v>90</v>
      </c>
      <c r="D31" t="s">
        <v>127</v>
      </c>
      <c r="E31">
        <v>11785000000</v>
      </c>
      <c r="F31">
        <v>-3105000000</v>
      </c>
      <c r="G31">
        <v>-2563000000</v>
      </c>
      <c r="H31">
        <v>-3702000000</v>
      </c>
      <c r="I31">
        <v>-3589000000</v>
      </c>
      <c r="J31">
        <v>-3763000000</v>
      </c>
      <c r="K31">
        <v>5745000000</v>
      </c>
      <c r="L31">
        <v>0</v>
      </c>
      <c r="M31">
        <v>5745000000</v>
      </c>
      <c r="N31">
        <v>7930000000</v>
      </c>
      <c r="O31">
        <v>975000000</v>
      </c>
      <c r="P31">
        <v>178000000</v>
      </c>
      <c r="Q31">
        <v>8164000000</v>
      </c>
      <c r="R31">
        <v>4714000000</v>
      </c>
      <c r="S31">
        <v>32826000000</v>
      </c>
      <c r="T31">
        <v>14224000000</v>
      </c>
      <c r="U31">
        <v>-4000000</v>
      </c>
      <c r="V31">
        <v>-8432000000</v>
      </c>
      <c r="W31">
        <v>51407169452</v>
      </c>
      <c r="X31">
        <v>65627169452</v>
      </c>
      <c r="Y31">
        <v>4.141719936529487</v>
      </c>
      <c r="Z31">
        <v>-15.71986133719807</v>
      </c>
      <c r="AA31">
        <v>-19.04415507296137</v>
      </c>
      <c r="AB31">
        <v>-13.1848107649919</v>
      </c>
      <c r="AC31">
        <v>-13.59993576260797</v>
      </c>
      <c r="AD31">
        <v>-12.971078780760029</v>
      </c>
      <c r="AE31">
        <v>-21.135964396779389</v>
      </c>
      <c r="AF31">
        <v>-16.556254251851851</v>
      </c>
      <c r="AG31">
        <v>-18.285642087489549</v>
      </c>
      <c r="AH31">
        <v>-14.323535651156311</v>
      </c>
      <c r="AI31">
        <v>-25.60560649707374</v>
      </c>
      <c r="AJ31">
        <v>-17.727490397622901</v>
      </c>
      <c r="AK31">
        <v>-20.057420777214201</v>
      </c>
      <c r="AL31">
        <v>-13.88632346083198</v>
      </c>
      <c r="AM31">
        <v>5.5687033900721259</v>
      </c>
      <c r="AN31">
        <v>4.3620848071277054</v>
      </c>
    </row>
    <row r="32" spans="1:40" x14ac:dyDescent="0.25">
      <c r="A32" s="1" t="s">
        <v>1465</v>
      </c>
      <c r="B32">
        <v>47800686401</v>
      </c>
      <c r="C32" t="s">
        <v>90</v>
      </c>
      <c r="D32" t="s">
        <v>127</v>
      </c>
      <c r="E32">
        <v>11785000000</v>
      </c>
      <c r="F32">
        <v>-3105000000</v>
      </c>
      <c r="G32">
        <v>-2563000000</v>
      </c>
      <c r="H32">
        <v>-3702000000</v>
      </c>
      <c r="I32">
        <v>-3589000000</v>
      </c>
      <c r="J32">
        <v>-3763000000</v>
      </c>
      <c r="K32">
        <v>5745000000</v>
      </c>
      <c r="L32">
        <v>0</v>
      </c>
      <c r="M32">
        <v>5745000000</v>
      </c>
      <c r="N32">
        <v>7930000000</v>
      </c>
      <c r="O32">
        <v>975000000</v>
      </c>
      <c r="P32">
        <v>178000000</v>
      </c>
      <c r="Q32">
        <v>8164000000</v>
      </c>
      <c r="R32">
        <v>4714000000</v>
      </c>
      <c r="S32">
        <v>32826000000</v>
      </c>
      <c r="T32">
        <v>14224000000</v>
      </c>
      <c r="U32">
        <v>-4000000</v>
      </c>
      <c r="V32">
        <v>-8432000000</v>
      </c>
      <c r="W32">
        <v>50397686401</v>
      </c>
      <c r="X32">
        <v>64617686401</v>
      </c>
      <c r="Y32">
        <v>4.0560616377598642</v>
      </c>
      <c r="Z32">
        <v>-15.39474602286634</v>
      </c>
      <c r="AA32">
        <v>-18.650287319937568</v>
      </c>
      <c r="AB32">
        <v>-12.91212490572663</v>
      </c>
      <c r="AC32">
        <v>-13.318664363611029</v>
      </c>
      <c r="AD32">
        <v>-12.702813287536539</v>
      </c>
      <c r="AE32">
        <v>-20.81084908244766</v>
      </c>
      <c r="AF32">
        <v>-16.231138937520129</v>
      </c>
      <c r="AG32">
        <v>-18.004370688492621</v>
      </c>
      <c r="AH32">
        <v>-14.042264252159381</v>
      </c>
      <c r="AI32">
        <v>-25.211738744049939</v>
      </c>
      <c r="AJ32">
        <v>-17.454804538357649</v>
      </c>
      <c r="AK32">
        <v>-19.663553024190399</v>
      </c>
      <c r="AL32">
        <v>-13.613637601566721</v>
      </c>
      <c r="AM32">
        <v>5.4830450913025031</v>
      </c>
      <c r="AN32">
        <v>4.2764265083580826</v>
      </c>
    </row>
    <row r="33" spans="1:40" x14ac:dyDescent="0.25">
      <c r="A33" s="1" t="s">
        <v>1464</v>
      </c>
      <c r="B33">
        <v>47800686401</v>
      </c>
      <c r="C33" t="s">
        <v>90</v>
      </c>
      <c r="D33" t="s">
        <v>127</v>
      </c>
      <c r="E33">
        <v>11785000000</v>
      </c>
      <c r="F33">
        <v>-3105000000</v>
      </c>
      <c r="G33">
        <v>-2563000000</v>
      </c>
      <c r="H33">
        <v>-3702000000</v>
      </c>
      <c r="I33">
        <v>-3589000000</v>
      </c>
      <c r="J33">
        <v>-3763000000</v>
      </c>
      <c r="K33">
        <v>5745000000</v>
      </c>
      <c r="L33">
        <v>0</v>
      </c>
      <c r="M33">
        <v>5745000000</v>
      </c>
      <c r="N33">
        <v>7930000000</v>
      </c>
      <c r="O33">
        <v>975000000</v>
      </c>
      <c r="P33">
        <v>178000000</v>
      </c>
      <c r="Q33">
        <v>8164000000</v>
      </c>
      <c r="R33">
        <v>4714000000</v>
      </c>
      <c r="S33">
        <v>32826000000</v>
      </c>
      <c r="T33">
        <v>14224000000</v>
      </c>
      <c r="U33">
        <v>-4000000</v>
      </c>
      <c r="V33">
        <v>-8432000000</v>
      </c>
      <c r="W33">
        <v>50397686401</v>
      </c>
      <c r="X33">
        <v>64617686401</v>
      </c>
      <c r="Y33">
        <v>4.0560616377598642</v>
      </c>
      <c r="Z33">
        <v>-15.39474602286634</v>
      </c>
      <c r="AA33">
        <v>-18.650287319937568</v>
      </c>
      <c r="AB33">
        <v>-12.91212490572663</v>
      </c>
      <c r="AC33">
        <v>-13.318664363611029</v>
      </c>
      <c r="AD33">
        <v>-12.702813287536539</v>
      </c>
      <c r="AE33">
        <v>-20.81084908244766</v>
      </c>
      <c r="AF33">
        <v>-16.231138937520129</v>
      </c>
      <c r="AG33">
        <v>-18.004370688492621</v>
      </c>
      <c r="AH33">
        <v>-14.042264252159381</v>
      </c>
      <c r="AI33">
        <v>-25.211738744049939</v>
      </c>
      <c r="AJ33">
        <v>-17.454804538357649</v>
      </c>
      <c r="AK33">
        <v>-19.663553024190399</v>
      </c>
      <c r="AL33">
        <v>-13.613637601566721</v>
      </c>
      <c r="AM33">
        <v>5.4830450913025031</v>
      </c>
      <c r="AN33">
        <v>4.2764265083580826</v>
      </c>
    </row>
    <row r="34" spans="1:40" x14ac:dyDescent="0.25">
      <c r="A34" s="1" t="s">
        <v>1463</v>
      </c>
      <c r="B34">
        <v>47146186402</v>
      </c>
      <c r="C34" t="s">
        <v>90</v>
      </c>
      <c r="D34" t="s">
        <v>127</v>
      </c>
      <c r="E34">
        <v>11785000000</v>
      </c>
      <c r="F34">
        <v>-3105000000</v>
      </c>
      <c r="G34">
        <v>-2563000000</v>
      </c>
      <c r="H34">
        <v>-3702000000</v>
      </c>
      <c r="I34">
        <v>-3589000000</v>
      </c>
      <c r="J34">
        <v>-3763000000</v>
      </c>
      <c r="K34">
        <v>5745000000</v>
      </c>
      <c r="L34">
        <v>0</v>
      </c>
      <c r="M34">
        <v>5745000000</v>
      </c>
      <c r="N34">
        <v>7930000000</v>
      </c>
      <c r="O34">
        <v>975000000</v>
      </c>
      <c r="P34">
        <v>178000000</v>
      </c>
      <c r="Q34">
        <v>8164000000</v>
      </c>
      <c r="R34">
        <v>4714000000</v>
      </c>
      <c r="S34">
        <v>32826000000</v>
      </c>
      <c r="T34">
        <v>14224000000</v>
      </c>
      <c r="U34">
        <v>-4000000</v>
      </c>
      <c r="V34">
        <v>-8432000000</v>
      </c>
      <c r="W34">
        <v>49743186402</v>
      </c>
      <c r="X34">
        <v>63963186402</v>
      </c>
      <c r="Y34">
        <v>4.0005249386508277</v>
      </c>
      <c r="Z34">
        <v>-15.18395697326892</v>
      </c>
      <c r="AA34">
        <v>-18.394922513460791</v>
      </c>
      <c r="AB34">
        <v>-12.73532857968666</v>
      </c>
      <c r="AC34">
        <v>-13.136301588743381</v>
      </c>
      <c r="AD34">
        <v>-12.528882913101249</v>
      </c>
      <c r="AE34">
        <v>-20.600060032850241</v>
      </c>
      <c r="AF34">
        <v>-16.020349887922709</v>
      </c>
      <c r="AG34">
        <v>-17.822007913624969</v>
      </c>
      <c r="AH34">
        <v>-13.85990147729173</v>
      </c>
      <c r="AI34">
        <v>-24.956373937573161</v>
      </c>
      <c r="AJ34">
        <v>-17.278008212317669</v>
      </c>
      <c r="AK34">
        <v>-19.408188217713619</v>
      </c>
      <c r="AL34">
        <v>-13.43684127552674</v>
      </c>
      <c r="AM34">
        <v>5.4275083921934666</v>
      </c>
      <c r="AN34">
        <v>4.2208898092490452</v>
      </c>
    </row>
    <row r="35" spans="1:40" x14ac:dyDescent="0.25">
      <c r="A35" s="1" t="s">
        <v>1462</v>
      </c>
      <c r="B35">
        <v>50063703349</v>
      </c>
      <c r="C35" t="s">
        <v>90</v>
      </c>
      <c r="D35" t="s">
        <v>127</v>
      </c>
      <c r="E35">
        <v>11785000000</v>
      </c>
      <c r="F35">
        <v>-3105000000</v>
      </c>
      <c r="G35">
        <v>-2563000000</v>
      </c>
      <c r="H35">
        <v>-3702000000</v>
      </c>
      <c r="I35">
        <v>-3589000000</v>
      </c>
      <c r="J35">
        <v>-3763000000</v>
      </c>
      <c r="K35">
        <v>5745000000</v>
      </c>
      <c r="L35">
        <v>0</v>
      </c>
      <c r="M35">
        <v>5745000000</v>
      </c>
      <c r="N35">
        <v>7930000000</v>
      </c>
      <c r="O35">
        <v>975000000</v>
      </c>
      <c r="P35">
        <v>178000000</v>
      </c>
      <c r="Q35">
        <v>8164000000</v>
      </c>
      <c r="R35">
        <v>4714000000</v>
      </c>
      <c r="S35">
        <v>32826000000</v>
      </c>
      <c r="T35">
        <v>14224000000</v>
      </c>
      <c r="U35">
        <v>-4000000</v>
      </c>
      <c r="V35">
        <v>-8432000000</v>
      </c>
      <c r="W35">
        <v>52660703349</v>
      </c>
      <c r="X35">
        <v>66880703349</v>
      </c>
      <c r="Y35">
        <v>4.2480868348748411</v>
      </c>
      <c r="Z35">
        <v>-16.12357595780998</v>
      </c>
      <c r="AA35">
        <v>-19.53324360085837</v>
      </c>
      <c r="AB35">
        <v>-13.523420677741759</v>
      </c>
      <c r="AC35">
        <v>-13.94920684006687</v>
      </c>
      <c r="AD35">
        <v>-13.30419966755248</v>
      </c>
      <c r="AE35">
        <v>-21.5396790173913</v>
      </c>
      <c r="AF35">
        <v>-16.959968872463769</v>
      </c>
      <c r="AG35">
        <v>-18.634913164948451</v>
      </c>
      <c r="AH35">
        <v>-14.67280672861521</v>
      </c>
      <c r="AI35">
        <v>-26.09469502497074</v>
      </c>
      <c r="AJ35">
        <v>-18.066100310372772</v>
      </c>
      <c r="AK35">
        <v>-20.546509305111201</v>
      </c>
      <c r="AL35">
        <v>-14.22493337358185</v>
      </c>
      <c r="AM35">
        <v>5.67507028841748</v>
      </c>
      <c r="AN35">
        <v>4.4684517054730586</v>
      </c>
    </row>
    <row r="36" spans="1:40" x14ac:dyDescent="0.25">
      <c r="A36" s="1" t="s">
        <v>1461</v>
      </c>
      <c r="B36">
        <v>51450355890</v>
      </c>
      <c r="C36" t="s">
        <v>90</v>
      </c>
      <c r="D36" t="s">
        <v>127</v>
      </c>
      <c r="E36">
        <v>11785000000</v>
      </c>
      <c r="F36">
        <v>-3105000000</v>
      </c>
      <c r="G36">
        <v>-2563000000</v>
      </c>
      <c r="H36">
        <v>-3702000000</v>
      </c>
      <c r="I36">
        <v>-3589000000</v>
      </c>
      <c r="J36">
        <v>-3763000000</v>
      </c>
      <c r="K36">
        <v>5745000000</v>
      </c>
      <c r="L36">
        <v>0</v>
      </c>
      <c r="M36">
        <v>5745000000</v>
      </c>
      <c r="N36">
        <v>7930000000</v>
      </c>
      <c r="O36">
        <v>975000000</v>
      </c>
      <c r="P36">
        <v>178000000</v>
      </c>
      <c r="Q36">
        <v>8164000000</v>
      </c>
      <c r="R36">
        <v>4714000000</v>
      </c>
      <c r="S36">
        <v>32826000000</v>
      </c>
      <c r="T36">
        <v>14224000000</v>
      </c>
      <c r="U36">
        <v>-4000000</v>
      </c>
      <c r="V36">
        <v>-8432000000</v>
      </c>
      <c r="W36">
        <v>54047355890</v>
      </c>
      <c r="X36">
        <v>68267355890</v>
      </c>
      <c r="Y36">
        <v>4.3657493330504877</v>
      </c>
      <c r="Z36">
        <v>-16.570162927536231</v>
      </c>
      <c r="AA36">
        <v>-20.074270733515409</v>
      </c>
      <c r="AB36">
        <v>-13.89798916531605</v>
      </c>
      <c r="AC36">
        <v>-14.33556865143494</v>
      </c>
      <c r="AD36">
        <v>-13.67269622375764</v>
      </c>
      <c r="AE36">
        <v>-21.986265987117552</v>
      </c>
      <c r="AF36">
        <v>-17.40655584219002</v>
      </c>
      <c r="AG36">
        <v>-19.021274976316519</v>
      </c>
      <c r="AH36">
        <v>-15.059168539983281</v>
      </c>
      <c r="AI36">
        <v>-26.635722157627779</v>
      </c>
      <c r="AJ36">
        <v>-18.440668797947051</v>
      </c>
      <c r="AK36">
        <v>-21.087536437768239</v>
      </c>
      <c r="AL36">
        <v>-14.59950186115613</v>
      </c>
      <c r="AM36">
        <v>5.7927327865931266</v>
      </c>
      <c r="AN36">
        <v>4.5861142036487061</v>
      </c>
    </row>
    <row r="37" spans="1:40" x14ac:dyDescent="0.25">
      <c r="A37" s="1" t="s">
        <v>1460</v>
      </c>
      <c r="B37">
        <v>75268429510</v>
      </c>
      <c r="C37" t="s">
        <v>90</v>
      </c>
      <c r="D37" t="s">
        <v>127</v>
      </c>
      <c r="E37">
        <v>11785000000</v>
      </c>
      <c r="F37">
        <v>-3105000000</v>
      </c>
      <c r="G37">
        <v>-2563000000</v>
      </c>
      <c r="H37">
        <v>-3702000000</v>
      </c>
      <c r="I37">
        <v>-3589000000</v>
      </c>
      <c r="J37">
        <v>-3763000000</v>
      </c>
      <c r="K37">
        <v>5745000000</v>
      </c>
      <c r="L37">
        <v>0</v>
      </c>
      <c r="M37">
        <v>5745000000</v>
      </c>
      <c r="N37">
        <v>7930000000</v>
      </c>
      <c r="O37">
        <v>975000000</v>
      </c>
      <c r="P37">
        <v>178000000</v>
      </c>
      <c r="Q37">
        <v>8164000000</v>
      </c>
      <c r="R37">
        <v>4714000000</v>
      </c>
      <c r="S37">
        <v>32826000000</v>
      </c>
      <c r="T37">
        <v>14224000000</v>
      </c>
      <c r="U37">
        <v>-4000000</v>
      </c>
      <c r="V37">
        <v>-8432000000</v>
      </c>
      <c r="W37">
        <v>77865429510</v>
      </c>
      <c r="X37">
        <v>92085429510</v>
      </c>
      <c r="Y37">
        <v>6.3867992795927027</v>
      </c>
      <c r="Z37">
        <v>-24.241040099838969</v>
      </c>
      <c r="AA37">
        <v>-29.367315454545459</v>
      </c>
      <c r="AB37">
        <v>-20.331828608860079</v>
      </c>
      <c r="AC37">
        <v>-20.97197813039844</v>
      </c>
      <c r="AD37">
        <v>-20.002240103640709</v>
      </c>
      <c r="AE37">
        <v>-29.65714315942029</v>
      </c>
      <c r="AF37">
        <v>-25.077433014492751</v>
      </c>
      <c r="AG37">
        <v>-25.65768445528002</v>
      </c>
      <c r="AH37">
        <v>-21.69557801894678</v>
      </c>
      <c r="AI37">
        <v>-35.928766878657832</v>
      </c>
      <c r="AJ37">
        <v>-24.874508241491089</v>
      </c>
      <c r="AK37">
        <v>-30.380581158798279</v>
      </c>
      <c r="AL37">
        <v>-21.033341304700159</v>
      </c>
      <c r="AM37">
        <v>7.8137827331353424</v>
      </c>
      <c r="AN37">
        <v>6.6071641501909211</v>
      </c>
    </row>
    <row r="38" spans="1:40" x14ac:dyDescent="0.25">
      <c r="A38" s="1" t="s">
        <v>1459</v>
      </c>
      <c r="B38">
        <v>74809372000</v>
      </c>
      <c r="C38" t="s">
        <v>90</v>
      </c>
      <c r="D38" t="s">
        <v>127</v>
      </c>
      <c r="E38">
        <v>11785000000</v>
      </c>
      <c r="F38">
        <v>-3105000000</v>
      </c>
      <c r="G38">
        <v>-2563000000</v>
      </c>
      <c r="H38">
        <v>-3702000000</v>
      </c>
      <c r="I38">
        <v>-3589000000</v>
      </c>
      <c r="J38">
        <v>-3763000000</v>
      </c>
      <c r="K38">
        <v>5745000000</v>
      </c>
      <c r="L38">
        <v>0</v>
      </c>
      <c r="M38">
        <v>5745000000</v>
      </c>
      <c r="N38">
        <v>7930000000</v>
      </c>
      <c r="O38">
        <v>975000000</v>
      </c>
      <c r="P38">
        <v>178000000</v>
      </c>
      <c r="Q38">
        <v>8164000000</v>
      </c>
      <c r="R38">
        <v>4714000000</v>
      </c>
      <c r="S38">
        <v>32826000000</v>
      </c>
      <c r="T38">
        <v>14224000000</v>
      </c>
      <c r="U38">
        <v>-4000000</v>
      </c>
      <c r="V38">
        <v>-8432000000</v>
      </c>
      <c r="W38">
        <v>77406372000</v>
      </c>
      <c r="X38">
        <v>91626372000</v>
      </c>
      <c r="Y38">
        <v>6.3478465846414931</v>
      </c>
      <c r="Z38">
        <v>-24.093195491143319</v>
      </c>
      <c r="AA38">
        <v>-29.188206008583691</v>
      </c>
      <c r="AB38">
        <v>-20.207826039978389</v>
      </c>
      <c r="AC38">
        <v>-20.84407132906102</v>
      </c>
      <c r="AD38">
        <v>-19.88024767472761</v>
      </c>
      <c r="AE38">
        <v>-29.50929855072464</v>
      </c>
      <c r="AF38">
        <v>-24.929588405797102</v>
      </c>
      <c r="AG38">
        <v>-25.529777653942599</v>
      </c>
      <c r="AH38">
        <v>-21.567671217609359</v>
      </c>
      <c r="AI38">
        <v>-35.749657432696061</v>
      </c>
      <c r="AJ38">
        <v>-24.7505056726094</v>
      </c>
      <c r="AK38">
        <v>-30.201471712836518</v>
      </c>
      <c r="AL38">
        <v>-20.90933873581848</v>
      </c>
      <c r="AM38">
        <v>7.774830038184132</v>
      </c>
      <c r="AN38">
        <v>6.5682114552397124</v>
      </c>
    </row>
    <row r="39" spans="1:40" x14ac:dyDescent="0.25">
      <c r="A39" s="1" t="s">
        <v>1458</v>
      </c>
      <c r="B39">
        <v>75200420990</v>
      </c>
      <c r="C39" t="s">
        <v>90</v>
      </c>
      <c r="D39" t="s">
        <v>127</v>
      </c>
      <c r="E39">
        <v>11785000000</v>
      </c>
      <c r="F39">
        <v>-3105000000</v>
      </c>
      <c r="G39">
        <v>-2563000000</v>
      </c>
      <c r="H39">
        <v>-3702000000</v>
      </c>
      <c r="I39">
        <v>-3589000000</v>
      </c>
      <c r="J39">
        <v>-3763000000</v>
      </c>
      <c r="K39">
        <v>5745000000</v>
      </c>
      <c r="L39">
        <v>0</v>
      </c>
      <c r="M39">
        <v>5745000000</v>
      </c>
      <c r="N39">
        <v>7930000000</v>
      </c>
      <c r="O39">
        <v>975000000</v>
      </c>
      <c r="P39">
        <v>178000000</v>
      </c>
      <c r="Q39">
        <v>8164000000</v>
      </c>
      <c r="R39">
        <v>4714000000</v>
      </c>
      <c r="S39">
        <v>32826000000</v>
      </c>
      <c r="T39">
        <v>14224000000</v>
      </c>
      <c r="U39">
        <v>-4000000</v>
      </c>
      <c r="V39">
        <v>-8432000000</v>
      </c>
      <c r="W39">
        <v>77797420990</v>
      </c>
      <c r="X39">
        <v>92017420990</v>
      </c>
      <c r="Y39">
        <v>6.3810285099703012</v>
      </c>
      <c r="Z39">
        <v>-24.219137194847018</v>
      </c>
      <c r="AA39">
        <v>-29.340780721810379</v>
      </c>
      <c r="AB39">
        <v>-20.313457857914639</v>
      </c>
      <c r="AC39">
        <v>-20.953028974644749</v>
      </c>
      <c r="AD39">
        <v>-19.984167151209139</v>
      </c>
      <c r="AE39">
        <v>-29.635240254428339</v>
      </c>
      <c r="AF39">
        <v>-25.055530109500801</v>
      </c>
      <c r="AG39">
        <v>-25.638735299526331</v>
      </c>
      <c r="AH39">
        <v>-21.676628863193091</v>
      </c>
      <c r="AI39">
        <v>-35.902232145922753</v>
      </c>
      <c r="AJ39">
        <v>-24.856137490545649</v>
      </c>
      <c r="AK39">
        <v>-30.35404642606321</v>
      </c>
      <c r="AL39">
        <v>-21.014970553754729</v>
      </c>
      <c r="AM39">
        <v>7.8080119635129401</v>
      </c>
      <c r="AN39">
        <v>6.6013933805685197</v>
      </c>
    </row>
    <row r="40" spans="1:40" x14ac:dyDescent="0.25">
      <c r="A40" s="1" t="s">
        <v>1457</v>
      </c>
      <c r="B40">
        <v>74010271890</v>
      </c>
      <c r="C40" t="s">
        <v>90</v>
      </c>
      <c r="D40" t="s">
        <v>127</v>
      </c>
      <c r="E40">
        <v>11785000000</v>
      </c>
      <c r="F40">
        <v>-3105000000</v>
      </c>
      <c r="G40">
        <v>-2563000000</v>
      </c>
      <c r="H40">
        <v>-3702000000</v>
      </c>
      <c r="I40">
        <v>-3589000000</v>
      </c>
      <c r="J40">
        <v>-3763000000</v>
      </c>
      <c r="K40">
        <v>5745000000</v>
      </c>
      <c r="L40">
        <v>0</v>
      </c>
      <c r="M40">
        <v>5745000000</v>
      </c>
      <c r="N40">
        <v>7930000000</v>
      </c>
      <c r="O40">
        <v>975000000</v>
      </c>
      <c r="P40">
        <v>178000000</v>
      </c>
      <c r="Q40">
        <v>8164000000</v>
      </c>
      <c r="R40">
        <v>4714000000</v>
      </c>
      <c r="S40">
        <v>32826000000</v>
      </c>
      <c r="T40">
        <v>14224000000</v>
      </c>
      <c r="U40">
        <v>-4000000</v>
      </c>
      <c r="V40">
        <v>-8432000000</v>
      </c>
      <c r="W40">
        <v>76607271890</v>
      </c>
      <c r="X40">
        <v>90827271890</v>
      </c>
      <c r="Y40">
        <v>6.2800400415782773</v>
      </c>
      <c r="Z40">
        <v>-23.835836357487921</v>
      </c>
      <c r="AA40">
        <v>-28.876422898946551</v>
      </c>
      <c r="AB40">
        <v>-19.991969716369528</v>
      </c>
      <c r="AC40">
        <v>-20.62141874895514</v>
      </c>
      <c r="AD40">
        <v>-19.667890483656659</v>
      </c>
      <c r="AE40">
        <v>-29.251939417069242</v>
      </c>
      <c r="AF40">
        <v>-24.67222927214171</v>
      </c>
      <c r="AG40">
        <v>-25.307125073836719</v>
      </c>
      <c r="AH40">
        <v>-21.345018637503479</v>
      </c>
      <c r="AI40">
        <v>-35.437874323058907</v>
      </c>
      <c r="AJ40">
        <v>-24.534649349000539</v>
      </c>
      <c r="AK40">
        <v>-29.889688603199371</v>
      </c>
      <c r="AL40">
        <v>-20.693482412209619</v>
      </c>
      <c r="AM40">
        <v>7.7070234951209162</v>
      </c>
      <c r="AN40">
        <v>6.5004049121764957</v>
      </c>
    </row>
    <row r="41" spans="1:40" x14ac:dyDescent="0.25">
      <c r="A41" s="1" t="s">
        <v>1456</v>
      </c>
      <c r="B41">
        <v>73024148350</v>
      </c>
      <c r="C41" t="s">
        <v>90</v>
      </c>
      <c r="D41" t="s">
        <v>127</v>
      </c>
      <c r="E41">
        <v>11785000000</v>
      </c>
      <c r="F41">
        <v>-3105000000</v>
      </c>
      <c r="G41">
        <v>-2563000000</v>
      </c>
      <c r="H41">
        <v>-3702000000</v>
      </c>
      <c r="I41">
        <v>-3589000000</v>
      </c>
      <c r="J41">
        <v>-3763000000</v>
      </c>
      <c r="K41">
        <v>5745000000</v>
      </c>
      <c r="L41">
        <v>0</v>
      </c>
      <c r="M41">
        <v>5745000000</v>
      </c>
      <c r="N41">
        <v>7930000000</v>
      </c>
      <c r="O41">
        <v>975000000</v>
      </c>
      <c r="P41">
        <v>178000000</v>
      </c>
      <c r="Q41">
        <v>8164000000</v>
      </c>
      <c r="R41">
        <v>4714000000</v>
      </c>
      <c r="S41">
        <v>32826000000</v>
      </c>
      <c r="T41">
        <v>14224000000</v>
      </c>
      <c r="U41">
        <v>-4000000</v>
      </c>
      <c r="V41">
        <v>-8432000000</v>
      </c>
      <c r="W41">
        <v>75621148350</v>
      </c>
      <c r="X41">
        <v>89841148350</v>
      </c>
      <c r="Y41">
        <v>6.1963638820534577</v>
      </c>
      <c r="Z41">
        <v>-23.518244235104671</v>
      </c>
      <c r="AA41">
        <v>-28.49166927428794</v>
      </c>
      <c r="AB41">
        <v>-19.72559382766072</v>
      </c>
      <c r="AC41">
        <v>-20.34665599052661</v>
      </c>
      <c r="AD41">
        <v>-19.40583267339888</v>
      </c>
      <c r="AE41">
        <v>-28.934347294685988</v>
      </c>
      <c r="AF41">
        <v>-24.35463714975845</v>
      </c>
      <c r="AG41">
        <v>-25.032362315408189</v>
      </c>
      <c r="AH41">
        <v>-21.070255879074949</v>
      </c>
      <c r="AI41">
        <v>-35.053120698400313</v>
      </c>
      <c r="AJ41">
        <v>-24.268273460291731</v>
      </c>
      <c r="AK41">
        <v>-29.504934978540771</v>
      </c>
      <c r="AL41">
        <v>-20.427106523500811</v>
      </c>
      <c r="AM41">
        <v>7.6233473355960966</v>
      </c>
      <c r="AN41">
        <v>6.4167287526516761</v>
      </c>
    </row>
    <row r="42" spans="1:40" x14ac:dyDescent="0.25">
      <c r="A42" s="1" t="s">
        <v>1455</v>
      </c>
      <c r="B42">
        <v>75149414600</v>
      </c>
      <c r="C42" t="s">
        <v>90</v>
      </c>
      <c r="D42" t="s">
        <v>127</v>
      </c>
      <c r="E42">
        <v>11785000000</v>
      </c>
      <c r="F42">
        <v>-3105000000</v>
      </c>
      <c r="G42">
        <v>-2563000000</v>
      </c>
      <c r="H42">
        <v>-3702000000</v>
      </c>
      <c r="I42">
        <v>-3589000000</v>
      </c>
      <c r="J42">
        <v>-3763000000</v>
      </c>
      <c r="K42">
        <v>5745000000</v>
      </c>
      <c r="L42">
        <v>0</v>
      </c>
      <c r="M42">
        <v>5745000000</v>
      </c>
      <c r="N42">
        <v>7930000000</v>
      </c>
      <c r="O42">
        <v>975000000</v>
      </c>
      <c r="P42">
        <v>178000000</v>
      </c>
      <c r="Q42">
        <v>8164000000</v>
      </c>
      <c r="R42">
        <v>4714000000</v>
      </c>
      <c r="S42">
        <v>32826000000</v>
      </c>
      <c r="T42">
        <v>14224000000</v>
      </c>
      <c r="U42">
        <v>-4000000</v>
      </c>
      <c r="V42">
        <v>-8432000000</v>
      </c>
      <c r="W42">
        <v>77746414600</v>
      </c>
      <c r="X42">
        <v>91966414600</v>
      </c>
      <c r="Y42">
        <v>6.3767004327535002</v>
      </c>
      <c r="Z42">
        <v>-24.202710016103062</v>
      </c>
      <c r="AA42">
        <v>-29.320879672259071</v>
      </c>
      <c r="AB42">
        <v>-20.299679794705561</v>
      </c>
      <c r="AC42">
        <v>-20.938817107829479</v>
      </c>
      <c r="AD42">
        <v>-19.97061243688546</v>
      </c>
      <c r="AE42">
        <v>-29.618813075684379</v>
      </c>
      <c r="AF42">
        <v>-25.03910293075684</v>
      </c>
      <c r="AG42">
        <v>-25.624523432711062</v>
      </c>
      <c r="AH42">
        <v>-21.662416996377821</v>
      </c>
      <c r="AI42">
        <v>-35.882331096371438</v>
      </c>
      <c r="AJ42">
        <v>-24.842359427336579</v>
      </c>
      <c r="AK42">
        <v>-30.334145376511898</v>
      </c>
      <c r="AL42">
        <v>-21.001192490545652</v>
      </c>
      <c r="AM42">
        <v>7.8036838862961391</v>
      </c>
      <c r="AN42">
        <v>6.5970653033517186</v>
      </c>
    </row>
    <row r="43" spans="1:40" x14ac:dyDescent="0.25">
      <c r="A43" s="1" t="s">
        <v>1454</v>
      </c>
      <c r="B43">
        <v>74299308100</v>
      </c>
      <c r="C43" t="s">
        <v>90</v>
      </c>
      <c r="D43" t="s">
        <v>127</v>
      </c>
      <c r="E43">
        <v>11785000000</v>
      </c>
      <c r="F43">
        <v>-3105000000</v>
      </c>
      <c r="G43">
        <v>-2563000000</v>
      </c>
      <c r="H43">
        <v>-3702000000</v>
      </c>
      <c r="I43">
        <v>-3589000000</v>
      </c>
      <c r="J43">
        <v>-3763000000</v>
      </c>
      <c r="K43">
        <v>5745000000</v>
      </c>
      <c r="L43">
        <v>0</v>
      </c>
      <c r="M43">
        <v>5745000000</v>
      </c>
      <c r="N43">
        <v>7930000000</v>
      </c>
      <c r="O43">
        <v>975000000</v>
      </c>
      <c r="P43">
        <v>178000000</v>
      </c>
      <c r="Q43">
        <v>8164000000</v>
      </c>
      <c r="R43">
        <v>4714000000</v>
      </c>
      <c r="S43">
        <v>32826000000</v>
      </c>
      <c r="T43">
        <v>14224000000</v>
      </c>
      <c r="U43">
        <v>-4000000</v>
      </c>
      <c r="V43">
        <v>-8432000000</v>
      </c>
      <c r="W43">
        <v>76896308100</v>
      </c>
      <c r="X43">
        <v>91116308100</v>
      </c>
      <c r="Y43">
        <v>6.3045658124734834</v>
      </c>
      <c r="Z43">
        <v>-23.928923703703699</v>
      </c>
      <c r="AA43">
        <v>-28.989195513070619</v>
      </c>
      <c r="AB43">
        <v>-20.07004540788763</v>
      </c>
      <c r="AC43">
        <v>-20.701952660908329</v>
      </c>
      <c r="AD43">
        <v>-19.744700531490832</v>
      </c>
      <c r="AE43">
        <v>-29.34502676328502</v>
      </c>
      <c r="AF43">
        <v>-24.765316618357492</v>
      </c>
      <c r="AG43">
        <v>-25.387658985789908</v>
      </c>
      <c r="AH43">
        <v>-21.425552549456668</v>
      </c>
      <c r="AI43">
        <v>-35.550646937182989</v>
      </c>
      <c r="AJ43">
        <v>-24.61272504051864</v>
      </c>
      <c r="AK43">
        <v>-30.00246121732345</v>
      </c>
      <c r="AL43">
        <v>-20.77155810372771</v>
      </c>
      <c r="AM43">
        <v>7.7315492660161222</v>
      </c>
      <c r="AN43">
        <v>6.5249306830717009</v>
      </c>
    </row>
    <row r="44" spans="1:40" x14ac:dyDescent="0.25">
      <c r="A44" s="1" t="s">
        <v>1453</v>
      </c>
      <c r="B44">
        <v>74792369870</v>
      </c>
      <c r="C44" t="s">
        <v>90</v>
      </c>
      <c r="D44" t="s">
        <v>127</v>
      </c>
      <c r="E44">
        <v>11785000000</v>
      </c>
      <c r="F44">
        <v>-3105000000</v>
      </c>
      <c r="G44">
        <v>-2563000000</v>
      </c>
      <c r="H44">
        <v>-3702000000</v>
      </c>
      <c r="I44">
        <v>-3589000000</v>
      </c>
      <c r="J44">
        <v>-3763000000</v>
      </c>
      <c r="K44">
        <v>5745000000</v>
      </c>
      <c r="L44">
        <v>0</v>
      </c>
      <c r="M44">
        <v>5745000000</v>
      </c>
      <c r="N44">
        <v>7930000000</v>
      </c>
      <c r="O44">
        <v>975000000</v>
      </c>
      <c r="P44">
        <v>178000000</v>
      </c>
      <c r="Q44">
        <v>8164000000</v>
      </c>
      <c r="R44">
        <v>4714000000</v>
      </c>
      <c r="S44">
        <v>32826000000</v>
      </c>
      <c r="T44">
        <v>14224000000</v>
      </c>
      <c r="U44">
        <v>-4000000</v>
      </c>
      <c r="V44">
        <v>-8432000000</v>
      </c>
      <c r="W44">
        <v>77389369870</v>
      </c>
      <c r="X44">
        <v>91609369870</v>
      </c>
      <c r="Y44">
        <v>6.3464038922358927</v>
      </c>
      <c r="Z44">
        <v>-24.087719764895329</v>
      </c>
      <c r="AA44">
        <v>-29.18157232539992</v>
      </c>
      <c r="AB44">
        <v>-20.20323335224203</v>
      </c>
      <c r="AC44">
        <v>-20.839334040122601</v>
      </c>
      <c r="AD44">
        <v>-19.875729436619721</v>
      </c>
      <c r="AE44">
        <v>-29.50382282447665</v>
      </c>
      <c r="AF44">
        <v>-24.924112679549111</v>
      </c>
      <c r="AG44">
        <v>-25.52504036500418</v>
      </c>
      <c r="AH44">
        <v>-21.56293392867094</v>
      </c>
      <c r="AI44">
        <v>-35.74302374951229</v>
      </c>
      <c r="AJ44">
        <v>-24.745912984873041</v>
      </c>
      <c r="AK44">
        <v>-30.19483802965275</v>
      </c>
      <c r="AL44">
        <v>-20.904746048082121</v>
      </c>
      <c r="AM44">
        <v>7.7733873457785316</v>
      </c>
      <c r="AN44">
        <v>6.5667687628341112</v>
      </c>
    </row>
    <row r="45" spans="1:40" x14ac:dyDescent="0.25">
      <c r="A45" s="1" t="s">
        <v>1452</v>
      </c>
      <c r="B45">
        <v>74792369870</v>
      </c>
      <c r="C45" t="s">
        <v>90</v>
      </c>
      <c r="D45" t="s">
        <v>127</v>
      </c>
      <c r="E45">
        <v>11785000000</v>
      </c>
      <c r="F45">
        <v>-3105000000</v>
      </c>
      <c r="G45">
        <v>-2563000000</v>
      </c>
      <c r="H45">
        <v>-3702000000</v>
      </c>
      <c r="I45">
        <v>-3589000000</v>
      </c>
      <c r="J45">
        <v>-3763000000</v>
      </c>
      <c r="K45">
        <v>5745000000</v>
      </c>
      <c r="L45">
        <v>0</v>
      </c>
      <c r="M45">
        <v>5745000000</v>
      </c>
      <c r="N45">
        <v>7930000000</v>
      </c>
      <c r="O45">
        <v>975000000</v>
      </c>
      <c r="P45">
        <v>178000000</v>
      </c>
      <c r="Q45">
        <v>8164000000</v>
      </c>
      <c r="R45">
        <v>4714000000</v>
      </c>
      <c r="S45">
        <v>32826000000</v>
      </c>
      <c r="T45">
        <v>14224000000</v>
      </c>
      <c r="U45">
        <v>-4000000</v>
      </c>
      <c r="V45">
        <v>-8432000000</v>
      </c>
      <c r="W45">
        <v>77389369870</v>
      </c>
      <c r="X45">
        <v>91609369870</v>
      </c>
      <c r="Y45">
        <v>6.3464038922358927</v>
      </c>
      <c r="Z45">
        <v>-24.087719764895329</v>
      </c>
      <c r="AA45">
        <v>-29.18157232539992</v>
      </c>
      <c r="AB45">
        <v>-20.20323335224203</v>
      </c>
      <c r="AC45">
        <v>-20.839334040122601</v>
      </c>
      <c r="AD45">
        <v>-19.875729436619721</v>
      </c>
      <c r="AE45">
        <v>-29.50382282447665</v>
      </c>
      <c r="AF45">
        <v>-24.924112679549111</v>
      </c>
      <c r="AG45">
        <v>-25.52504036500418</v>
      </c>
      <c r="AH45">
        <v>-21.56293392867094</v>
      </c>
      <c r="AI45">
        <v>-35.74302374951229</v>
      </c>
      <c r="AJ45">
        <v>-24.745912984873041</v>
      </c>
      <c r="AK45">
        <v>-30.19483802965275</v>
      </c>
      <c r="AL45">
        <v>-20.904746048082121</v>
      </c>
      <c r="AM45">
        <v>7.7733873457785316</v>
      </c>
      <c r="AN45">
        <v>6.5667687628341112</v>
      </c>
    </row>
    <row r="46" spans="1:40" x14ac:dyDescent="0.25">
      <c r="A46" s="1" t="s">
        <v>1451</v>
      </c>
      <c r="B46">
        <v>75710484890</v>
      </c>
      <c r="C46" t="s">
        <v>90</v>
      </c>
      <c r="D46" t="s">
        <v>127</v>
      </c>
      <c r="E46">
        <v>11785000000</v>
      </c>
      <c r="F46">
        <v>-3105000000</v>
      </c>
      <c r="G46">
        <v>-2563000000</v>
      </c>
      <c r="H46">
        <v>-3702000000</v>
      </c>
      <c r="I46">
        <v>-3589000000</v>
      </c>
      <c r="J46">
        <v>-3763000000</v>
      </c>
      <c r="K46">
        <v>5745000000</v>
      </c>
      <c r="L46">
        <v>0</v>
      </c>
      <c r="M46">
        <v>5745000000</v>
      </c>
      <c r="N46">
        <v>7930000000</v>
      </c>
      <c r="O46">
        <v>975000000</v>
      </c>
      <c r="P46">
        <v>178000000</v>
      </c>
      <c r="Q46">
        <v>8164000000</v>
      </c>
      <c r="R46">
        <v>4714000000</v>
      </c>
      <c r="S46">
        <v>32826000000</v>
      </c>
      <c r="T46">
        <v>14224000000</v>
      </c>
      <c r="U46">
        <v>-4000000</v>
      </c>
      <c r="V46">
        <v>-8432000000</v>
      </c>
      <c r="W46">
        <v>78307484890</v>
      </c>
      <c r="X46">
        <v>92527484890</v>
      </c>
      <c r="Y46">
        <v>6.424309282138311</v>
      </c>
      <c r="Z46">
        <v>-24.383408982286639</v>
      </c>
      <c r="AA46">
        <v>-29.539791217323451</v>
      </c>
      <c r="AB46">
        <v>-20.451238490005402</v>
      </c>
      <c r="AC46">
        <v>-21.095147642797439</v>
      </c>
      <c r="AD46">
        <v>-20.11971429444592</v>
      </c>
      <c r="AE46">
        <v>-29.79951204186796</v>
      </c>
      <c r="AF46">
        <v>-25.219801896940421</v>
      </c>
      <c r="AG46">
        <v>-25.780853967679018</v>
      </c>
      <c r="AH46">
        <v>-21.818747531345782</v>
      </c>
      <c r="AI46">
        <v>-36.101242641435817</v>
      </c>
      <c r="AJ46">
        <v>-24.993918122636408</v>
      </c>
      <c r="AK46">
        <v>-30.553056921576282</v>
      </c>
      <c r="AL46">
        <v>-21.152751185845489</v>
      </c>
      <c r="AM46">
        <v>7.8512927356809508</v>
      </c>
      <c r="AN46">
        <v>6.6446741527365294</v>
      </c>
    </row>
    <row r="47" spans="1:40" x14ac:dyDescent="0.25">
      <c r="A47" s="1" t="s">
        <v>1450</v>
      </c>
      <c r="B47">
        <v>75030399690</v>
      </c>
      <c r="C47" t="s">
        <v>90</v>
      </c>
      <c r="D47" t="s">
        <v>127</v>
      </c>
      <c r="E47">
        <v>11785000000</v>
      </c>
      <c r="F47">
        <v>-3105000000</v>
      </c>
      <c r="G47">
        <v>-2563000000</v>
      </c>
      <c r="H47">
        <v>-3702000000</v>
      </c>
      <c r="I47">
        <v>-3589000000</v>
      </c>
      <c r="J47">
        <v>-3763000000</v>
      </c>
      <c r="K47">
        <v>5745000000</v>
      </c>
      <c r="L47">
        <v>0</v>
      </c>
      <c r="M47">
        <v>5745000000</v>
      </c>
      <c r="N47">
        <v>7930000000</v>
      </c>
      <c r="O47">
        <v>975000000</v>
      </c>
      <c r="P47">
        <v>178000000</v>
      </c>
      <c r="Q47">
        <v>8164000000</v>
      </c>
      <c r="R47">
        <v>4714000000</v>
      </c>
      <c r="S47">
        <v>32826000000</v>
      </c>
      <c r="T47">
        <v>14224000000</v>
      </c>
      <c r="U47">
        <v>-4000000</v>
      </c>
      <c r="V47">
        <v>-8432000000</v>
      </c>
      <c r="W47">
        <v>77627399690</v>
      </c>
      <c r="X47">
        <v>91847399690</v>
      </c>
      <c r="Y47">
        <v>6.3666015859142977</v>
      </c>
      <c r="Z47">
        <v>-24.164379932367151</v>
      </c>
      <c r="AA47">
        <v>-29.274443889972691</v>
      </c>
      <c r="AB47">
        <v>-20.267530980551051</v>
      </c>
      <c r="AC47">
        <v>-20.905656085260521</v>
      </c>
      <c r="AD47">
        <v>-19.938984770130219</v>
      </c>
      <c r="AE47">
        <v>-29.580482991948472</v>
      </c>
      <c r="AF47">
        <v>-25.000772847020929</v>
      </c>
      <c r="AG47">
        <v>-25.5913624101421</v>
      </c>
      <c r="AH47">
        <v>-21.62925597380886</v>
      </c>
      <c r="AI47">
        <v>-35.835895314085057</v>
      </c>
      <c r="AJ47">
        <v>-24.810210613182061</v>
      </c>
      <c r="AK47">
        <v>-30.287709594225522</v>
      </c>
      <c r="AL47">
        <v>-20.969043676391141</v>
      </c>
      <c r="AM47">
        <v>7.7935850394569366</v>
      </c>
      <c r="AN47">
        <v>6.5869664565125161</v>
      </c>
    </row>
    <row r="48" spans="1:40" x14ac:dyDescent="0.25">
      <c r="A48" s="1" t="s">
        <v>1449</v>
      </c>
      <c r="B48">
        <v>74163291060</v>
      </c>
      <c r="C48" t="s">
        <v>90</v>
      </c>
      <c r="D48" t="s">
        <v>127</v>
      </c>
      <c r="E48">
        <v>11785000000</v>
      </c>
      <c r="F48">
        <v>-3105000000</v>
      </c>
      <c r="G48">
        <v>-2563000000</v>
      </c>
      <c r="H48">
        <v>-3702000000</v>
      </c>
      <c r="I48">
        <v>-3589000000</v>
      </c>
      <c r="J48">
        <v>-3763000000</v>
      </c>
      <c r="K48">
        <v>5745000000</v>
      </c>
      <c r="L48">
        <v>0</v>
      </c>
      <c r="M48">
        <v>5745000000</v>
      </c>
      <c r="N48">
        <v>7930000000</v>
      </c>
      <c r="O48">
        <v>975000000</v>
      </c>
      <c r="P48">
        <v>178000000</v>
      </c>
      <c r="Q48">
        <v>8164000000</v>
      </c>
      <c r="R48">
        <v>4714000000</v>
      </c>
      <c r="S48">
        <v>32826000000</v>
      </c>
      <c r="T48">
        <v>14224000000</v>
      </c>
      <c r="U48">
        <v>-4000000</v>
      </c>
      <c r="V48">
        <v>-8432000000</v>
      </c>
      <c r="W48">
        <v>76760291060</v>
      </c>
      <c r="X48">
        <v>90980291060</v>
      </c>
      <c r="Y48">
        <v>6.2930242732286814</v>
      </c>
      <c r="Z48">
        <v>-23.885117893719809</v>
      </c>
      <c r="AA48">
        <v>-28.936126047600471</v>
      </c>
      <c r="AB48">
        <v>-20.03330390599676</v>
      </c>
      <c r="AC48">
        <v>-20.664054349400949</v>
      </c>
      <c r="AD48">
        <v>-19.708554626627691</v>
      </c>
      <c r="AE48">
        <v>-29.301220953301129</v>
      </c>
      <c r="AF48">
        <v>-24.721510808373591</v>
      </c>
      <c r="AG48">
        <v>-25.349760674282528</v>
      </c>
      <c r="AH48">
        <v>-21.387654237949292</v>
      </c>
      <c r="AI48">
        <v>-35.497577471712837</v>
      </c>
      <c r="AJ48">
        <v>-24.575983538627771</v>
      </c>
      <c r="AK48">
        <v>-29.949391751853302</v>
      </c>
      <c r="AL48">
        <v>-20.73481660183684</v>
      </c>
      <c r="AM48">
        <v>7.7200077267713194</v>
      </c>
      <c r="AN48">
        <v>6.5133891438268989</v>
      </c>
    </row>
    <row r="49" spans="1:40" x14ac:dyDescent="0.25">
      <c r="A49" s="1" t="s">
        <v>1448</v>
      </c>
      <c r="B49">
        <v>74316310230</v>
      </c>
      <c r="C49" t="s">
        <v>90</v>
      </c>
      <c r="D49" t="s">
        <v>127</v>
      </c>
      <c r="E49">
        <v>11785000000</v>
      </c>
      <c r="F49">
        <v>-3105000000</v>
      </c>
      <c r="G49">
        <v>-2563000000</v>
      </c>
      <c r="H49">
        <v>-3702000000</v>
      </c>
      <c r="I49">
        <v>-3589000000</v>
      </c>
      <c r="J49">
        <v>-3763000000</v>
      </c>
      <c r="K49">
        <v>5745000000</v>
      </c>
      <c r="L49">
        <v>0</v>
      </c>
      <c r="M49">
        <v>5745000000</v>
      </c>
      <c r="N49">
        <v>7930000000</v>
      </c>
      <c r="O49">
        <v>975000000</v>
      </c>
      <c r="P49">
        <v>178000000</v>
      </c>
      <c r="Q49">
        <v>8164000000</v>
      </c>
      <c r="R49">
        <v>4714000000</v>
      </c>
      <c r="S49">
        <v>32826000000</v>
      </c>
      <c r="T49">
        <v>14224000000</v>
      </c>
      <c r="U49">
        <v>-4000000</v>
      </c>
      <c r="V49">
        <v>-8432000000</v>
      </c>
      <c r="W49">
        <v>76913310230</v>
      </c>
      <c r="X49">
        <v>91133310230</v>
      </c>
      <c r="Y49">
        <v>6.3060085048790837</v>
      </c>
      <c r="Z49">
        <v>-23.934399429951689</v>
      </c>
      <c r="AA49">
        <v>-28.995829196254391</v>
      </c>
      <c r="AB49">
        <v>-20.074638095623989</v>
      </c>
      <c r="AC49">
        <v>-20.706689949846751</v>
      </c>
      <c r="AD49">
        <v>-19.74921876959872</v>
      </c>
      <c r="AE49">
        <v>-29.35050248953301</v>
      </c>
      <c r="AF49">
        <v>-24.770792344605471</v>
      </c>
      <c r="AG49">
        <v>-25.392396274728341</v>
      </c>
      <c r="AH49">
        <v>-21.430289838395101</v>
      </c>
      <c r="AI49">
        <v>-35.557280620366761</v>
      </c>
      <c r="AJ49">
        <v>-24.617317728254999</v>
      </c>
      <c r="AK49">
        <v>-30.009094900507218</v>
      </c>
      <c r="AL49">
        <v>-20.776150791464069</v>
      </c>
      <c r="AM49">
        <v>7.7329919584217226</v>
      </c>
      <c r="AN49">
        <v>6.5263733754773012</v>
      </c>
    </row>
    <row r="50" spans="1:40" x14ac:dyDescent="0.25">
      <c r="A50" s="1" t="s">
        <v>1447</v>
      </c>
      <c r="B50">
        <v>73415197340</v>
      </c>
      <c r="C50" t="s">
        <v>90</v>
      </c>
      <c r="D50" t="s">
        <v>127</v>
      </c>
      <c r="E50">
        <v>11785000000</v>
      </c>
      <c r="F50">
        <v>-3105000000</v>
      </c>
      <c r="G50">
        <v>-2563000000</v>
      </c>
      <c r="H50">
        <v>-3702000000</v>
      </c>
      <c r="I50">
        <v>-3589000000</v>
      </c>
      <c r="J50">
        <v>-3763000000</v>
      </c>
      <c r="K50">
        <v>5745000000</v>
      </c>
      <c r="L50">
        <v>0</v>
      </c>
      <c r="M50">
        <v>5745000000</v>
      </c>
      <c r="N50">
        <v>7930000000</v>
      </c>
      <c r="O50">
        <v>975000000</v>
      </c>
      <c r="P50">
        <v>178000000</v>
      </c>
      <c r="Q50">
        <v>8164000000</v>
      </c>
      <c r="R50">
        <v>4714000000</v>
      </c>
      <c r="S50">
        <v>32826000000</v>
      </c>
      <c r="T50">
        <v>14224000000</v>
      </c>
      <c r="U50">
        <v>-4000000</v>
      </c>
      <c r="V50">
        <v>-8432000000</v>
      </c>
      <c r="W50">
        <v>76012197340</v>
      </c>
      <c r="X50">
        <v>90232197340</v>
      </c>
      <c r="Y50">
        <v>6.2295458073822658</v>
      </c>
      <c r="Z50">
        <v>-23.64418593880837</v>
      </c>
      <c r="AA50">
        <v>-28.644243987514631</v>
      </c>
      <c r="AB50">
        <v>-19.83122564559697</v>
      </c>
      <c r="AC50">
        <v>-20.455613636110339</v>
      </c>
      <c r="AD50">
        <v>-19.50975214988042</v>
      </c>
      <c r="AE50">
        <v>-29.060288998389691</v>
      </c>
      <c r="AF50">
        <v>-24.480578853462159</v>
      </c>
      <c r="AG50">
        <v>-25.141319960991918</v>
      </c>
      <c r="AH50">
        <v>-21.179213524658682</v>
      </c>
      <c r="AI50">
        <v>-35.205695411626998</v>
      </c>
      <c r="AJ50">
        <v>-24.37390527822798</v>
      </c>
      <c r="AK50">
        <v>-29.657509691767459</v>
      </c>
      <c r="AL50">
        <v>-20.53273834143706</v>
      </c>
      <c r="AM50">
        <v>7.6565292609249047</v>
      </c>
      <c r="AN50">
        <v>6.4499106779804833</v>
      </c>
    </row>
    <row r="51" spans="1:40" x14ac:dyDescent="0.25">
      <c r="A51" s="1" t="s">
        <v>1446</v>
      </c>
      <c r="B51">
        <v>74282305970</v>
      </c>
      <c r="C51" t="s">
        <v>90</v>
      </c>
      <c r="D51" t="s">
        <v>127</v>
      </c>
      <c r="E51">
        <v>11785000000</v>
      </c>
      <c r="F51">
        <v>-3105000000</v>
      </c>
      <c r="G51">
        <v>-2563000000</v>
      </c>
      <c r="H51">
        <v>-3702000000</v>
      </c>
      <c r="I51">
        <v>-3589000000</v>
      </c>
      <c r="J51">
        <v>-3763000000</v>
      </c>
      <c r="K51">
        <v>5745000000</v>
      </c>
      <c r="L51">
        <v>0</v>
      </c>
      <c r="M51">
        <v>5745000000</v>
      </c>
      <c r="N51">
        <v>7930000000</v>
      </c>
      <c r="O51">
        <v>975000000</v>
      </c>
      <c r="P51">
        <v>178000000</v>
      </c>
      <c r="Q51">
        <v>8164000000</v>
      </c>
      <c r="R51">
        <v>4714000000</v>
      </c>
      <c r="S51">
        <v>32826000000</v>
      </c>
      <c r="T51">
        <v>14224000000</v>
      </c>
      <c r="U51">
        <v>-4000000</v>
      </c>
      <c r="V51">
        <v>-8432000000</v>
      </c>
      <c r="W51">
        <v>76879305970</v>
      </c>
      <c r="X51">
        <v>91099305970</v>
      </c>
      <c r="Y51">
        <v>6.303123120067883</v>
      </c>
      <c r="Z51">
        <v>-23.923447977455719</v>
      </c>
      <c r="AA51">
        <v>-28.982561829886851</v>
      </c>
      <c r="AB51">
        <v>-20.065452720151271</v>
      </c>
      <c r="AC51">
        <v>-20.697215371969911</v>
      </c>
      <c r="AD51">
        <v>-19.74018229338294</v>
      </c>
      <c r="AE51">
        <v>-29.33955103703704</v>
      </c>
      <c r="AF51">
        <v>-24.759840892109501</v>
      </c>
      <c r="AG51">
        <v>-25.38292169685149</v>
      </c>
      <c r="AH51">
        <v>-21.42081526051825</v>
      </c>
      <c r="AI51">
        <v>-35.544013253999218</v>
      </c>
      <c r="AJ51">
        <v>-24.608132352782281</v>
      </c>
      <c r="AK51">
        <v>-29.995827534139679</v>
      </c>
      <c r="AL51">
        <v>-20.766965415991361</v>
      </c>
      <c r="AM51">
        <v>7.7301065736105219</v>
      </c>
      <c r="AN51">
        <v>6.5234879906661014</v>
      </c>
    </row>
    <row r="52" spans="1:40" x14ac:dyDescent="0.25">
      <c r="A52" s="1" t="s">
        <v>1445</v>
      </c>
      <c r="B52">
        <v>73721235680</v>
      </c>
      <c r="C52" t="s">
        <v>90</v>
      </c>
      <c r="D52" t="s">
        <v>127</v>
      </c>
      <c r="E52">
        <v>11785000000</v>
      </c>
      <c r="F52">
        <v>-3105000000</v>
      </c>
      <c r="G52">
        <v>-2563000000</v>
      </c>
      <c r="H52">
        <v>-3702000000</v>
      </c>
      <c r="I52">
        <v>-3589000000</v>
      </c>
      <c r="J52">
        <v>-3763000000</v>
      </c>
      <c r="K52">
        <v>5745000000</v>
      </c>
      <c r="L52">
        <v>0</v>
      </c>
      <c r="M52">
        <v>5745000000</v>
      </c>
      <c r="N52">
        <v>7930000000</v>
      </c>
      <c r="O52">
        <v>975000000</v>
      </c>
      <c r="P52">
        <v>178000000</v>
      </c>
      <c r="Q52">
        <v>8164000000</v>
      </c>
      <c r="R52">
        <v>4714000000</v>
      </c>
      <c r="S52">
        <v>32826000000</v>
      </c>
      <c r="T52">
        <v>14224000000</v>
      </c>
      <c r="U52">
        <v>-4000000</v>
      </c>
      <c r="V52">
        <v>-8432000000</v>
      </c>
      <c r="W52">
        <v>76318235680</v>
      </c>
      <c r="X52">
        <v>90538235680</v>
      </c>
      <c r="Y52">
        <v>6.2555142706830713</v>
      </c>
      <c r="Z52">
        <v>-23.742749011272139</v>
      </c>
      <c r="AA52">
        <v>-28.763650284822479</v>
      </c>
      <c r="AB52">
        <v>-19.91389402485143</v>
      </c>
      <c r="AC52">
        <v>-20.540884837001951</v>
      </c>
      <c r="AD52">
        <v>-19.59108043582248</v>
      </c>
      <c r="AE52">
        <v>-29.15885207085346</v>
      </c>
      <c r="AF52">
        <v>-24.579141925925921</v>
      </c>
      <c r="AG52">
        <v>-25.22659116188353</v>
      </c>
      <c r="AH52">
        <v>-21.26448472555029</v>
      </c>
      <c r="AI52">
        <v>-35.325101708934852</v>
      </c>
      <c r="AJ52">
        <v>-24.456573657482441</v>
      </c>
      <c r="AK52">
        <v>-29.776915989075299</v>
      </c>
      <c r="AL52">
        <v>-20.615406720691521</v>
      </c>
      <c r="AM52">
        <v>7.6824977242257111</v>
      </c>
      <c r="AN52">
        <v>6.4758791412812897</v>
      </c>
    </row>
    <row r="53" spans="1:40" x14ac:dyDescent="0.25">
      <c r="A53" s="1" t="s">
        <v>1444</v>
      </c>
      <c r="B53">
        <v>74401320880</v>
      </c>
      <c r="C53" t="s">
        <v>90</v>
      </c>
      <c r="D53" t="s">
        <v>127</v>
      </c>
      <c r="E53">
        <v>11785000000</v>
      </c>
      <c r="F53">
        <v>-3105000000</v>
      </c>
      <c r="G53">
        <v>-2563000000</v>
      </c>
      <c r="H53">
        <v>-3702000000</v>
      </c>
      <c r="I53">
        <v>-3589000000</v>
      </c>
      <c r="J53">
        <v>-3763000000</v>
      </c>
      <c r="K53">
        <v>5745000000</v>
      </c>
      <c r="L53">
        <v>0</v>
      </c>
      <c r="M53">
        <v>5745000000</v>
      </c>
      <c r="N53">
        <v>7930000000</v>
      </c>
      <c r="O53">
        <v>975000000</v>
      </c>
      <c r="P53">
        <v>178000000</v>
      </c>
      <c r="Q53">
        <v>8164000000</v>
      </c>
      <c r="R53">
        <v>4714000000</v>
      </c>
      <c r="S53">
        <v>32826000000</v>
      </c>
      <c r="T53">
        <v>14224000000</v>
      </c>
      <c r="U53">
        <v>-4000000</v>
      </c>
      <c r="V53">
        <v>-8432000000</v>
      </c>
      <c r="W53">
        <v>76998320880</v>
      </c>
      <c r="X53">
        <v>91218320880</v>
      </c>
      <c r="Y53">
        <v>6.3132219669070846</v>
      </c>
      <c r="Z53">
        <v>-23.96177806119163</v>
      </c>
      <c r="AA53">
        <v>-29.028997612173239</v>
      </c>
      <c r="AB53">
        <v>-20.097601534305781</v>
      </c>
      <c r="AC53">
        <v>-20.730376394538869</v>
      </c>
      <c r="AD53">
        <v>-19.771809960138189</v>
      </c>
      <c r="AE53">
        <v>-29.377881120772951</v>
      </c>
      <c r="AF53">
        <v>-24.798170975845409</v>
      </c>
      <c r="AG53">
        <v>-25.416082719420451</v>
      </c>
      <c r="AH53">
        <v>-21.453976283087211</v>
      </c>
      <c r="AI53">
        <v>-35.590449036285612</v>
      </c>
      <c r="AJ53">
        <v>-24.640281166936791</v>
      </c>
      <c r="AK53">
        <v>-30.042263316426059</v>
      </c>
      <c r="AL53">
        <v>-20.799114230145872</v>
      </c>
      <c r="AM53">
        <v>7.7402054204497244</v>
      </c>
      <c r="AN53">
        <v>6.533586837505303</v>
      </c>
    </row>
    <row r="54" spans="1:40" x14ac:dyDescent="0.25">
      <c r="A54" s="1" t="s">
        <v>1443</v>
      </c>
      <c r="B54">
        <v>73789244200</v>
      </c>
      <c r="C54" t="s">
        <v>90</v>
      </c>
      <c r="D54" t="s">
        <v>127</v>
      </c>
      <c r="E54">
        <v>11785000000</v>
      </c>
      <c r="F54">
        <v>-3105000000</v>
      </c>
      <c r="G54">
        <v>-2563000000</v>
      </c>
      <c r="H54">
        <v>-3702000000</v>
      </c>
      <c r="I54">
        <v>-3589000000</v>
      </c>
      <c r="J54">
        <v>-3763000000</v>
      </c>
      <c r="K54">
        <v>5745000000</v>
      </c>
      <c r="L54">
        <v>0</v>
      </c>
      <c r="M54">
        <v>5745000000</v>
      </c>
      <c r="N54">
        <v>7930000000</v>
      </c>
      <c r="O54">
        <v>975000000</v>
      </c>
      <c r="P54">
        <v>178000000</v>
      </c>
      <c r="Q54">
        <v>8164000000</v>
      </c>
      <c r="R54">
        <v>4714000000</v>
      </c>
      <c r="S54">
        <v>32826000000</v>
      </c>
      <c r="T54">
        <v>14224000000</v>
      </c>
      <c r="U54">
        <v>-4000000</v>
      </c>
      <c r="V54">
        <v>-8432000000</v>
      </c>
      <c r="W54">
        <v>76386244200</v>
      </c>
      <c r="X54">
        <v>90606244200</v>
      </c>
      <c r="Y54">
        <v>6.2612850403054727</v>
      </c>
      <c r="Z54">
        <v>-23.764651916264089</v>
      </c>
      <c r="AA54">
        <v>-28.790185017557551</v>
      </c>
      <c r="AB54">
        <v>-19.93226477579687</v>
      </c>
      <c r="AC54">
        <v>-20.559833992755639</v>
      </c>
      <c r="AD54">
        <v>-19.60915338825405</v>
      </c>
      <c r="AE54">
        <v>-29.18075497584541</v>
      </c>
      <c r="AF54">
        <v>-24.601044830917871</v>
      </c>
      <c r="AG54">
        <v>-25.245540317637229</v>
      </c>
      <c r="AH54">
        <v>-21.283433881303981</v>
      </c>
      <c r="AI54">
        <v>-35.351636441669918</v>
      </c>
      <c r="AJ54">
        <v>-24.474944408427881</v>
      </c>
      <c r="AK54">
        <v>-29.803450721810378</v>
      </c>
      <c r="AL54">
        <v>-20.63377747163695</v>
      </c>
      <c r="AM54">
        <v>7.6882684938481116</v>
      </c>
      <c r="AN54">
        <v>6.4816499109036911</v>
      </c>
    </row>
    <row r="55" spans="1:40" x14ac:dyDescent="0.25">
      <c r="A55" s="1" t="s">
        <v>1442</v>
      </c>
      <c r="B55">
        <v>75693482760</v>
      </c>
      <c r="C55" t="s">
        <v>90</v>
      </c>
      <c r="D55" t="s">
        <v>127</v>
      </c>
      <c r="E55">
        <v>11785000000</v>
      </c>
      <c r="F55">
        <v>-3105000000</v>
      </c>
      <c r="G55">
        <v>-2563000000</v>
      </c>
      <c r="H55">
        <v>-3702000000</v>
      </c>
      <c r="I55">
        <v>-3589000000</v>
      </c>
      <c r="J55">
        <v>-3763000000</v>
      </c>
      <c r="K55">
        <v>5745000000</v>
      </c>
      <c r="L55">
        <v>0</v>
      </c>
      <c r="M55">
        <v>5745000000</v>
      </c>
      <c r="N55">
        <v>7930000000</v>
      </c>
      <c r="O55">
        <v>975000000</v>
      </c>
      <c r="P55">
        <v>178000000</v>
      </c>
      <c r="Q55">
        <v>8164000000</v>
      </c>
      <c r="R55">
        <v>4714000000</v>
      </c>
      <c r="S55">
        <v>32826000000</v>
      </c>
      <c r="T55">
        <v>14224000000</v>
      </c>
      <c r="U55">
        <v>-4000000</v>
      </c>
      <c r="V55">
        <v>-8432000000</v>
      </c>
      <c r="W55">
        <v>78290482760</v>
      </c>
      <c r="X55">
        <v>92510482760</v>
      </c>
      <c r="Y55">
        <v>6.4228665897327106</v>
      </c>
      <c r="Z55">
        <v>-24.377933256038649</v>
      </c>
      <c r="AA55">
        <v>-29.533157534139679</v>
      </c>
      <c r="AB55">
        <v>-20.446645802269039</v>
      </c>
      <c r="AC55">
        <v>-21.09041035385901</v>
      </c>
      <c r="AD55">
        <v>-20.115196056338029</v>
      </c>
      <c r="AE55">
        <v>-29.794036315619969</v>
      </c>
      <c r="AF55">
        <v>-25.214326170692431</v>
      </c>
      <c r="AG55">
        <v>-25.7761166787406</v>
      </c>
      <c r="AH55">
        <v>-21.81401024240736</v>
      </c>
      <c r="AI55">
        <v>-36.094608958252053</v>
      </c>
      <c r="AJ55">
        <v>-24.989325434900049</v>
      </c>
      <c r="AK55">
        <v>-30.54642323839251</v>
      </c>
      <c r="AL55">
        <v>-21.14815849810913</v>
      </c>
      <c r="AM55">
        <v>7.8498500432753504</v>
      </c>
      <c r="AN55">
        <v>6.643231460330929</v>
      </c>
    </row>
    <row r="56" spans="1:40" x14ac:dyDescent="0.25">
      <c r="A56" s="1" t="s">
        <v>1441</v>
      </c>
      <c r="B56">
        <v>74605346440</v>
      </c>
      <c r="C56" t="s">
        <v>90</v>
      </c>
      <c r="D56" t="s">
        <v>127</v>
      </c>
      <c r="E56">
        <v>11785000000</v>
      </c>
      <c r="F56">
        <v>-3105000000</v>
      </c>
      <c r="G56">
        <v>-2563000000</v>
      </c>
      <c r="H56">
        <v>-3702000000</v>
      </c>
      <c r="I56">
        <v>-3589000000</v>
      </c>
      <c r="J56">
        <v>-3763000000</v>
      </c>
      <c r="K56">
        <v>5745000000</v>
      </c>
      <c r="L56">
        <v>0</v>
      </c>
      <c r="M56">
        <v>5745000000</v>
      </c>
      <c r="N56">
        <v>7930000000</v>
      </c>
      <c r="O56">
        <v>975000000</v>
      </c>
      <c r="P56">
        <v>178000000</v>
      </c>
      <c r="Q56">
        <v>8164000000</v>
      </c>
      <c r="R56">
        <v>4714000000</v>
      </c>
      <c r="S56">
        <v>32826000000</v>
      </c>
      <c r="T56">
        <v>14224000000</v>
      </c>
      <c r="U56">
        <v>-4000000</v>
      </c>
      <c r="V56">
        <v>-8432000000</v>
      </c>
      <c r="W56">
        <v>77202346440</v>
      </c>
      <c r="X56">
        <v>91422346440</v>
      </c>
      <c r="Y56">
        <v>6.3305342757742897</v>
      </c>
      <c r="Z56">
        <v>-24.027486776167471</v>
      </c>
      <c r="AA56">
        <v>-29.10860181037846</v>
      </c>
      <c r="AB56">
        <v>-20.15271378714209</v>
      </c>
      <c r="AC56">
        <v>-20.787223861799941</v>
      </c>
      <c r="AD56">
        <v>-19.826028817432899</v>
      </c>
      <c r="AE56">
        <v>-29.443589835748789</v>
      </c>
      <c r="AF56">
        <v>-24.86387969082126</v>
      </c>
      <c r="AG56">
        <v>-25.472930186681531</v>
      </c>
      <c r="AH56">
        <v>-21.51082375034829</v>
      </c>
      <c r="AI56">
        <v>-35.67005323449083</v>
      </c>
      <c r="AJ56">
        <v>-24.695393419773101</v>
      </c>
      <c r="AK56">
        <v>-30.12186751463129</v>
      </c>
      <c r="AL56">
        <v>-20.85422648298217</v>
      </c>
      <c r="AM56">
        <v>7.7575177293169286</v>
      </c>
      <c r="AN56">
        <v>6.5508991463725073</v>
      </c>
    </row>
    <row r="57" spans="1:40" x14ac:dyDescent="0.25">
      <c r="A57" s="1" t="s">
        <v>1440</v>
      </c>
      <c r="B57">
        <v>72412071670</v>
      </c>
      <c r="C57" t="s">
        <v>90</v>
      </c>
      <c r="D57" t="s">
        <v>127</v>
      </c>
      <c r="E57">
        <v>11785000000</v>
      </c>
      <c r="F57">
        <v>-3105000000</v>
      </c>
      <c r="G57">
        <v>-2563000000</v>
      </c>
      <c r="H57">
        <v>-3702000000</v>
      </c>
      <c r="I57">
        <v>-3589000000</v>
      </c>
      <c r="J57">
        <v>-3763000000</v>
      </c>
      <c r="K57">
        <v>5745000000</v>
      </c>
      <c r="L57">
        <v>0</v>
      </c>
      <c r="M57">
        <v>5745000000</v>
      </c>
      <c r="N57">
        <v>7930000000</v>
      </c>
      <c r="O57">
        <v>975000000</v>
      </c>
      <c r="P57">
        <v>178000000</v>
      </c>
      <c r="Q57">
        <v>8164000000</v>
      </c>
      <c r="R57">
        <v>4714000000</v>
      </c>
      <c r="S57">
        <v>32826000000</v>
      </c>
      <c r="T57">
        <v>14224000000</v>
      </c>
      <c r="U57">
        <v>-4000000</v>
      </c>
      <c r="V57">
        <v>-8432000000</v>
      </c>
      <c r="W57">
        <v>75009071670</v>
      </c>
      <c r="X57">
        <v>89229071670</v>
      </c>
      <c r="Y57">
        <v>6.1444269554518458</v>
      </c>
      <c r="Z57">
        <v>-23.32111809017713</v>
      </c>
      <c r="AA57">
        <v>-28.252856679672259</v>
      </c>
      <c r="AB57">
        <v>-19.56025706915181</v>
      </c>
      <c r="AC57">
        <v>-20.17611358874338</v>
      </c>
      <c r="AD57">
        <v>-19.243176101514749</v>
      </c>
      <c r="AE57">
        <v>-28.737221149758451</v>
      </c>
      <c r="AF57">
        <v>-24.157511004830919</v>
      </c>
      <c r="AG57">
        <v>-24.86181991362497</v>
      </c>
      <c r="AH57">
        <v>-20.89971347729173</v>
      </c>
      <c r="AI57">
        <v>-34.814308103784633</v>
      </c>
      <c r="AJ57">
        <v>-24.10293670178282</v>
      </c>
      <c r="AK57">
        <v>-29.26612238392509</v>
      </c>
      <c r="AL57">
        <v>-20.2617697649919</v>
      </c>
      <c r="AM57">
        <v>7.5714104089944847</v>
      </c>
      <c r="AN57">
        <v>6.3647918260500633</v>
      </c>
    </row>
    <row r="58" spans="1:40" x14ac:dyDescent="0.25">
      <c r="A58" s="1" t="s">
        <v>1439</v>
      </c>
      <c r="B58">
        <v>71646975820</v>
      </c>
      <c r="C58" t="s">
        <v>90</v>
      </c>
      <c r="D58" t="s">
        <v>127</v>
      </c>
      <c r="E58">
        <v>11785000000</v>
      </c>
      <c r="F58">
        <v>-3105000000</v>
      </c>
      <c r="G58">
        <v>-2563000000</v>
      </c>
      <c r="H58">
        <v>-3702000000</v>
      </c>
      <c r="I58">
        <v>-3589000000</v>
      </c>
      <c r="J58">
        <v>-3763000000</v>
      </c>
      <c r="K58">
        <v>5745000000</v>
      </c>
      <c r="L58">
        <v>0</v>
      </c>
      <c r="M58">
        <v>5745000000</v>
      </c>
      <c r="N58">
        <v>7930000000</v>
      </c>
      <c r="O58">
        <v>975000000</v>
      </c>
      <c r="P58">
        <v>178000000</v>
      </c>
      <c r="Q58">
        <v>8164000000</v>
      </c>
      <c r="R58">
        <v>4714000000</v>
      </c>
      <c r="S58">
        <v>32826000000</v>
      </c>
      <c r="T58">
        <v>14224000000</v>
      </c>
      <c r="U58">
        <v>-4000000</v>
      </c>
      <c r="V58">
        <v>-8432000000</v>
      </c>
      <c r="W58">
        <v>74243975820</v>
      </c>
      <c r="X58">
        <v>88463975820</v>
      </c>
      <c r="Y58">
        <v>6.0795057971998299</v>
      </c>
      <c r="Z58">
        <v>-23.074710409017712</v>
      </c>
      <c r="AA58">
        <v>-27.954340936402652</v>
      </c>
      <c r="AB58">
        <v>-19.35358612101567</v>
      </c>
      <c r="AC58">
        <v>-19.962935586514352</v>
      </c>
      <c r="AD58">
        <v>-19.039855386659578</v>
      </c>
      <c r="AE58">
        <v>-28.490813468599029</v>
      </c>
      <c r="AF58">
        <v>-23.911103323671501</v>
      </c>
      <c r="AG58">
        <v>-24.648641911395931</v>
      </c>
      <c r="AH58">
        <v>-20.686535475062691</v>
      </c>
      <c r="AI58">
        <v>-34.515792360515022</v>
      </c>
      <c r="AJ58">
        <v>-23.896265753646681</v>
      </c>
      <c r="AK58">
        <v>-28.967606640655479</v>
      </c>
      <c r="AL58">
        <v>-20.05509881685575</v>
      </c>
      <c r="AM58">
        <v>7.5064892507424696</v>
      </c>
      <c r="AN58">
        <v>6.2998706677980483</v>
      </c>
    </row>
    <row r="59" spans="1:40" x14ac:dyDescent="0.25">
      <c r="A59" s="1" t="s">
        <v>1438</v>
      </c>
      <c r="B59">
        <v>70235799030</v>
      </c>
      <c r="C59" t="s">
        <v>90</v>
      </c>
      <c r="D59" t="s">
        <v>127</v>
      </c>
      <c r="E59">
        <v>11785000000</v>
      </c>
      <c r="F59">
        <v>-3105000000</v>
      </c>
      <c r="G59">
        <v>-2563000000</v>
      </c>
      <c r="H59">
        <v>-3702000000</v>
      </c>
      <c r="I59">
        <v>-3589000000</v>
      </c>
      <c r="J59">
        <v>-3763000000</v>
      </c>
      <c r="K59">
        <v>5745000000</v>
      </c>
      <c r="L59">
        <v>0</v>
      </c>
      <c r="M59">
        <v>5745000000</v>
      </c>
      <c r="N59">
        <v>7930000000</v>
      </c>
      <c r="O59">
        <v>975000000</v>
      </c>
      <c r="P59">
        <v>178000000</v>
      </c>
      <c r="Q59">
        <v>8164000000</v>
      </c>
      <c r="R59">
        <v>4714000000</v>
      </c>
      <c r="S59">
        <v>32826000000</v>
      </c>
      <c r="T59">
        <v>14224000000</v>
      </c>
      <c r="U59">
        <v>-4000000</v>
      </c>
      <c r="V59">
        <v>-8432000000</v>
      </c>
      <c r="W59">
        <v>72832799030</v>
      </c>
      <c r="X59">
        <v>87052799030</v>
      </c>
      <c r="Y59">
        <v>5.9597623275350022</v>
      </c>
      <c r="Z59">
        <v>-22.620225130434779</v>
      </c>
      <c r="AA59">
        <v>-27.40374523214982</v>
      </c>
      <c r="AB59">
        <v>-18.972393038897891</v>
      </c>
      <c r="AC59">
        <v>-19.569740604625249</v>
      </c>
      <c r="AD59">
        <v>-18.66484162370449</v>
      </c>
      <c r="AE59">
        <v>-28.0363281900161</v>
      </c>
      <c r="AF59">
        <v>-23.456618045088572</v>
      </c>
      <c r="AG59">
        <v>-24.255446929506832</v>
      </c>
      <c r="AH59">
        <v>-20.293340493173581</v>
      </c>
      <c r="AI59">
        <v>-33.965196656262187</v>
      </c>
      <c r="AJ59">
        <v>-23.515072671528898</v>
      </c>
      <c r="AK59">
        <v>-28.417010936402651</v>
      </c>
      <c r="AL59">
        <v>-19.673905734737978</v>
      </c>
      <c r="AM59">
        <v>7.3867457810776411</v>
      </c>
      <c r="AN59">
        <v>6.1801271981332198</v>
      </c>
    </row>
    <row r="60" spans="1:40" x14ac:dyDescent="0.25">
      <c r="A60" s="1" t="s">
        <v>1437</v>
      </c>
      <c r="B60">
        <v>68688605200</v>
      </c>
      <c r="C60" t="s">
        <v>90</v>
      </c>
      <c r="D60" t="s">
        <v>127</v>
      </c>
      <c r="E60">
        <v>11785000000</v>
      </c>
      <c r="F60">
        <v>-3105000000</v>
      </c>
      <c r="G60">
        <v>-2563000000</v>
      </c>
      <c r="H60">
        <v>-3702000000</v>
      </c>
      <c r="I60">
        <v>-3589000000</v>
      </c>
      <c r="J60">
        <v>-3763000000</v>
      </c>
      <c r="K60">
        <v>5745000000</v>
      </c>
      <c r="L60">
        <v>0</v>
      </c>
      <c r="M60">
        <v>5745000000</v>
      </c>
      <c r="N60">
        <v>7930000000</v>
      </c>
      <c r="O60">
        <v>975000000</v>
      </c>
      <c r="P60">
        <v>178000000</v>
      </c>
      <c r="Q60">
        <v>8164000000</v>
      </c>
      <c r="R60">
        <v>4714000000</v>
      </c>
      <c r="S60">
        <v>32826000000</v>
      </c>
      <c r="T60">
        <v>14224000000</v>
      </c>
      <c r="U60">
        <v>-4000000</v>
      </c>
      <c r="V60">
        <v>-8432000000</v>
      </c>
      <c r="W60">
        <v>71285605200</v>
      </c>
      <c r="X60">
        <v>85505605200</v>
      </c>
      <c r="Y60">
        <v>5.8284773186253709</v>
      </c>
      <c r="Z60">
        <v>-22.121934041867959</v>
      </c>
      <c r="AA60">
        <v>-26.80008006242684</v>
      </c>
      <c r="AB60">
        <v>-18.55445845488925</v>
      </c>
      <c r="AC60">
        <v>-19.138647311228759</v>
      </c>
      <c r="AD60">
        <v>-18.253681955886261</v>
      </c>
      <c r="AE60">
        <v>-27.53803710144928</v>
      </c>
      <c r="AF60">
        <v>-22.958326956521741</v>
      </c>
      <c r="AG60">
        <v>-23.824353636110342</v>
      </c>
      <c r="AH60">
        <v>-19.862247199777102</v>
      </c>
      <c r="AI60">
        <v>-33.361531486539207</v>
      </c>
      <c r="AJ60">
        <v>-23.097138087520261</v>
      </c>
      <c r="AK60">
        <v>-27.813345766679671</v>
      </c>
      <c r="AL60">
        <v>-19.255971150729341</v>
      </c>
      <c r="AM60">
        <v>7.2554607721680098</v>
      </c>
      <c r="AN60">
        <v>6.0488421892235893</v>
      </c>
    </row>
    <row r="61" spans="1:40" x14ac:dyDescent="0.25">
      <c r="A61" s="1" t="s">
        <v>1436</v>
      </c>
      <c r="B61">
        <v>66393317649</v>
      </c>
      <c r="C61" t="s">
        <v>90</v>
      </c>
      <c r="D61" t="s">
        <v>127</v>
      </c>
      <c r="E61">
        <v>11785000000</v>
      </c>
      <c r="F61">
        <v>-3105000000</v>
      </c>
      <c r="G61">
        <v>-2563000000</v>
      </c>
      <c r="H61">
        <v>-3702000000</v>
      </c>
      <c r="I61">
        <v>-3589000000</v>
      </c>
      <c r="J61">
        <v>-3763000000</v>
      </c>
      <c r="K61">
        <v>5745000000</v>
      </c>
      <c r="L61">
        <v>0</v>
      </c>
      <c r="M61">
        <v>5745000000</v>
      </c>
      <c r="N61">
        <v>7930000000</v>
      </c>
      <c r="O61">
        <v>975000000</v>
      </c>
      <c r="P61">
        <v>178000000</v>
      </c>
      <c r="Q61">
        <v>8164000000</v>
      </c>
      <c r="R61">
        <v>4714000000</v>
      </c>
      <c r="S61">
        <v>32826000000</v>
      </c>
      <c r="T61">
        <v>14224000000</v>
      </c>
      <c r="U61">
        <v>-4000000</v>
      </c>
      <c r="V61">
        <v>-8432000000</v>
      </c>
      <c r="W61">
        <v>68990317649</v>
      </c>
      <c r="X61">
        <v>83210317649</v>
      </c>
      <c r="Y61">
        <v>5.6337138437844718</v>
      </c>
      <c r="Z61">
        <v>-21.38271099806763</v>
      </c>
      <c r="AA61">
        <v>-25.904532832227861</v>
      </c>
      <c r="AB61">
        <v>-17.934445610210702</v>
      </c>
      <c r="AC61">
        <v>-18.49911330426303</v>
      </c>
      <c r="AD61">
        <v>-17.643719811055011</v>
      </c>
      <c r="AE61">
        <v>-26.798814057648951</v>
      </c>
      <c r="AF61">
        <v>-22.219103912721419</v>
      </c>
      <c r="AG61">
        <v>-23.184819629144609</v>
      </c>
      <c r="AH61">
        <v>-19.222713192811369</v>
      </c>
      <c r="AI61">
        <v>-32.465984256340228</v>
      </c>
      <c r="AJ61">
        <v>-22.477125242841709</v>
      </c>
      <c r="AK61">
        <v>-26.917798536480689</v>
      </c>
      <c r="AL61">
        <v>-18.635958306050782</v>
      </c>
      <c r="AM61">
        <v>7.0606972973271107</v>
      </c>
      <c r="AN61">
        <v>5.8540787143826902</v>
      </c>
    </row>
    <row r="62" spans="1:40" x14ac:dyDescent="0.25">
      <c r="A62" s="1" t="s">
        <v>1435</v>
      </c>
      <c r="B62">
        <v>66563338950</v>
      </c>
      <c r="C62" t="s">
        <v>90</v>
      </c>
      <c r="D62" t="s">
        <v>127</v>
      </c>
      <c r="E62">
        <v>11785000000</v>
      </c>
      <c r="F62">
        <v>-3105000000</v>
      </c>
      <c r="G62">
        <v>-2563000000</v>
      </c>
      <c r="H62">
        <v>-3702000000</v>
      </c>
      <c r="I62">
        <v>-3589000000</v>
      </c>
      <c r="J62">
        <v>-3763000000</v>
      </c>
      <c r="K62">
        <v>5745000000</v>
      </c>
      <c r="L62">
        <v>0</v>
      </c>
      <c r="M62">
        <v>5745000000</v>
      </c>
      <c r="N62">
        <v>7930000000</v>
      </c>
      <c r="O62">
        <v>975000000</v>
      </c>
      <c r="P62">
        <v>178000000</v>
      </c>
      <c r="Q62">
        <v>8164000000</v>
      </c>
      <c r="R62">
        <v>4714000000</v>
      </c>
      <c r="S62">
        <v>32826000000</v>
      </c>
      <c r="T62">
        <v>14224000000</v>
      </c>
      <c r="U62">
        <v>-4000000</v>
      </c>
      <c r="V62">
        <v>-8432000000</v>
      </c>
      <c r="W62">
        <v>69160338950</v>
      </c>
      <c r="X62">
        <v>83380338950</v>
      </c>
      <c r="Y62">
        <v>5.6481407679253284</v>
      </c>
      <c r="Z62">
        <v>-21.437468260869569</v>
      </c>
      <c r="AA62">
        <v>-25.970869664455719</v>
      </c>
      <c r="AB62">
        <v>-17.980372487844409</v>
      </c>
      <c r="AC62">
        <v>-18.54648619392588</v>
      </c>
      <c r="AD62">
        <v>-17.688902192399681</v>
      </c>
      <c r="AE62">
        <v>-26.853571320450889</v>
      </c>
      <c r="AF62">
        <v>-22.273861175523351</v>
      </c>
      <c r="AG62">
        <v>-23.232192518807469</v>
      </c>
      <c r="AH62">
        <v>-19.270086082474229</v>
      </c>
      <c r="AI62">
        <v>-32.532321088568082</v>
      </c>
      <c r="AJ62">
        <v>-22.52305212047542</v>
      </c>
      <c r="AK62">
        <v>-26.984135368708539</v>
      </c>
      <c r="AL62">
        <v>-18.6818851836845</v>
      </c>
      <c r="AM62">
        <v>7.0751242214679682</v>
      </c>
      <c r="AN62">
        <v>5.8685056385235468</v>
      </c>
    </row>
    <row r="63" spans="1:40" x14ac:dyDescent="0.25">
      <c r="A63" s="1" t="s">
        <v>1434</v>
      </c>
      <c r="B63">
        <v>67498456100</v>
      </c>
      <c r="C63" t="s">
        <v>90</v>
      </c>
      <c r="D63" t="s">
        <v>127</v>
      </c>
      <c r="E63">
        <v>11785000000</v>
      </c>
      <c r="F63">
        <v>-3105000000</v>
      </c>
      <c r="G63">
        <v>-2563000000</v>
      </c>
      <c r="H63">
        <v>-3702000000</v>
      </c>
      <c r="I63">
        <v>-3589000000</v>
      </c>
      <c r="J63">
        <v>-3763000000</v>
      </c>
      <c r="K63">
        <v>5745000000</v>
      </c>
      <c r="L63">
        <v>0</v>
      </c>
      <c r="M63">
        <v>5745000000</v>
      </c>
      <c r="N63">
        <v>7930000000</v>
      </c>
      <c r="O63">
        <v>975000000</v>
      </c>
      <c r="P63">
        <v>178000000</v>
      </c>
      <c r="Q63">
        <v>8164000000</v>
      </c>
      <c r="R63">
        <v>4714000000</v>
      </c>
      <c r="S63">
        <v>32826000000</v>
      </c>
      <c r="T63">
        <v>14224000000</v>
      </c>
      <c r="U63">
        <v>-4000000</v>
      </c>
      <c r="V63">
        <v>-8432000000</v>
      </c>
      <c r="W63">
        <v>70095456100</v>
      </c>
      <c r="X63">
        <v>84315456100</v>
      </c>
      <c r="Y63">
        <v>5.7274888502333479</v>
      </c>
      <c r="Z63">
        <v>-21.738633204508861</v>
      </c>
      <c r="AA63">
        <v>-26.335722239563012</v>
      </c>
      <c r="AB63">
        <v>-18.23297031334414</v>
      </c>
      <c r="AC63">
        <v>-18.80703708553915</v>
      </c>
      <c r="AD63">
        <v>-17.937405288333771</v>
      </c>
      <c r="AE63">
        <v>-27.154736264090179</v>
      </c>
      <c r="AF63">
        <v>-22.57502611916264</v>
      </c>
      <c r="AG63">
        <v>-23.492743410420729</v>
      </c>
      <c r="AH63">
        <v>-19.530636974087489</v>
      </c>
      <c r="AI63">
        <v>-32.897173663675382</v>
      </c>
      <c r="AJ63">
        <v>-22.77564994597515</v>
      </c>
      <c r="AK63">
        <v>-27.348987943815839</v>
      </c>
      <c r="AL63">
        <v>-18.93448300918422</v>
      </c>
      <c r="AM63">
        <v>7.1544723037759868</v>
      </c>
      <c r="AN63">
        <v>5.9478537208315654</v>
      </c>
    </row>
    <row r="64" spans="1:40" x14ac:dyDescent="0.25">
      <c r="A64" s="1" t="s">
        <v>138</v>
      </c>
      <c r="B64">
        <v>73058152610</v>
      </c>
      <c r="C64" t="s">
        <v>90</v>
      </c>
      <c r="D64" t="s">
        <v>127</v>
      </c>
      <c r="E64">
        <v>11785000000</v>
      </c>
      <c r="F64">
        <v>-3105000000</v>
      </c>
      <c r="G64">
        <v>-2563000000</v>
      </c>
      <c r="H64">
        <v>-3702000000</v>
      </c>
      <c r="I64">
        <v>-3589000000</v>
      </c>
      <c r="J64">
        <v>-3763000000</v>
      </c>
      <c r="K64">
        <v>5745000000</v>
      </c>
      <c r="L64">
        <v>0</v>
      </c>
      <c r="M64">
        <v>5745000000</v>
      </c>
      <c r="N64">
        <v>7930000000</v>
      </c>
      <c r="O64">
        <v>975000000</v>
      </c>
      <c r="P64">
        <v>178000000</v>
      </c>
      <c r="Q64">
        <v>8164000000</v>
      </c>
      <c r="R64">
        <v>4714000000</v>
      </c>
      <c r="S64">
        <v>32826000000</v>
      </c>
      <c r="T64">
        <v>14224000000</v>
      </c>
      <c r="U64">
        <v>-4000000</v>
      </c>
      <c r="V64">
        <v>-8432000000</v>
      </c>
      <c r="W64">
        <v>75655152610</v>
      </c>
      <c r="X64">
        <v>89875152610</v>
      </c>
      <c r="Y64">
        <v>6.1992492668646584</v>
      </c>
      <c r="Z64">
        <v>-23.529195687600641</v>
      </c>
      <c r="AA64">
        <v>-28.50493664065548</v>
      </c>
      <c r="AB64">
        <v>-19.734779203133439</v>
      </c>
      <c r="AC64">
        <v>-20.356130568403451</v>
      </c>
      <c r="AD64">
        <v>-19.41486914961467</v>
      </c>
      <c r="AE64">
        <v>-28.945298747181969</v>
      </c>
      <c r="AF64">
        <v>-24.36558860225443</v>
      </c>
      <c r="AG64">
        <v>-25.041836893285041</v>
      </c>
      <c r="AH64">
        <v>-21.0797304569518</v>
      </c>
      <c r="AI64">
        <v>-35.06638806476785</v>
      </c>
      <c r="AJ64">
        <v>-24.277458835764449</v>
      </c>
      <c r="AK64">
        <v>-29.51820234490831</v>
      </c>
      <c r="AL64">
        <v>-20.436291898973529</v>
      </c>
      <c r="AM64">
        <v>7.6262327204072973</v>
      </c>
      <c r="AN64">
        <v>6.4196141374628768</v>
      </c>
    </row>
    <row r="65" spans="1:40" x14ac:dyDescent="0.25">
      <c r="A65" s="1" t="s">
        <v>1433</v>
      </c>
      <c r="B65">
        <v>68093530649</v>
      </c>
      <c r="C65" t="s">
        <v>89</v>
      </c>
      <c r="D65" t="s">
        <v>127</v>
      </c>
      <c r="E65">
        <v>12183000000</v>
      </c>
      <c r="F65">
        <v>-7826000000</v>
      </c>
      <c r="G65">
        <v>-3361000000</v>
      </c>
      <c r="H65">
        <v>-8452000000</v>
      </c>
      <c r="I65">
        <v>-8335000000</v>
      </c>
      <c r="J65">
        <v>-8121000000</v>
      </c>
      <c r="K65">
        <v>11744000000</v>
      </c>
      <c r="L65">
        <v>0</v>
      </c>
      <c r="M65">
        <v>11744000000</v>
      </c>
      <c r="N65">
        <v>14300000000</v>
      </c>
      <c r="O65">
        <v>1129000000</v>
      </c>
      <c r="P65">
        <v>180000000</v>
      </c>
      <c r="Q65">
        <v>5800000000</v>
      </c>
      <c r="R65">
        <v>5570000000</v>
      </c>
      <c r="S65">
        <v>15072000000</v>
      </c>
      <c r="T65">
        <v>0</v>
      </c>
      <c r="U65">
        <v>-14000000</v>
      </c>
      <c r="V65">
        <v>15922000000</v>
      </c>
      <c r="W65">
        <v>62329530649</v>
      </c>
      <c r="X65">
        <v>62315530649</v>
      </c>
      <c r="Y65">
        <v>5.5892252030698506</v>
      </c>
      <c r="Z65">
        <v>-8.7009367044467165</v>
      </c>
      <c r="AA65">
        <v>-20.259902008033318</v>
      </c>
      <c r="AB65">
        <v>-8.056499130265026</v>
      </c>
      <c r="AC65">
        <v>-8.1695897599280141</v>
      </c>
      <c r="AD65">
        <v>-8.3848701698066748</v>
      </c>
      <c r="AE65">
        <v>-7.962628501022234</v>
      </c>
      <c r="AF65">
        <v>-7.9644174097878864</v>
      </c>
      <c r="AG65">
        <v>-7.4763684041991603</v>
      </c>
      <c r="AH65">
        <v>-7.4780480682663466</v>
      </c>
      <c r="AI65">
        <v>-18.5407707970842</v>
      </c>
      <c r="AJ65">
        <v>-7.3728739527922382</v>
      </c>
      <c r="AK65">
        <v>-18.544936224040459</v>
      </c>
      <c r="AL65">
        <v>-7.3745303654756267</v>
      </c>
      <c r="AM65">
        <v>5.1149577812525653</v>
      </c>
      <c r="AN65">
        <v>5.1161069234999594</v>
      </c>
    </row>
    <row r="66" spans="1:40" x14ac:dyDescent="0.25">
      <c r="A66" s="1" t="s">
        <v>1432</v>
      </c>
      <c r="B66">
        <v>62907881000</v>
      </c>
      <c r="C66" t="s">
        <v>89</v>
      </c>
      <c r="D66" t="s">
        <v>127</v>
      </c>
      <c r="E66">
        <v>12183000000</v>
      </c>
      <c r="F66">
        <v>-7826000000</v>
      </c>
      <c r="G66">
        <v>-3361000000</v>
      </c>
      <c r="H66">
        <v>-8452000000</v>
      </c>
      <c r="I66">
        <v>-8335000000</v>
      </c>
      <c r="J66">
        <v>-8121000000</v>
      </c>
      <c r="K66">
        <v>11744000000</v>
      </c>
      <c r="L66">
        <v>0</v>
      </c>
      <c r="M66">
        <v>11744000000</v>
      </c>
      <c r="N66">
        <v>14300000000</v>
      </c>
      <c r="O66">
        <v>1129000000</v>
      </c>
      <c r="P66">
        <v>180000000</v>
      </c>
      <c r="Q66">
        <v>5800000000</v>
      </c>
      <c r="R66">
        <v>5570000000</v>
      </c>
      <c r="S66">
        <v>15072000000</v>
      </c>
      <c r="T66">
        <v>0</v>
      </c>
      <c r="U66">
        <v>-14000000</v>
      </c>
      <c r="V66">
        <v>15922000000</v>
      </c>
      <c r="W66">
        <v>57143881000</v>
      </c>
      <c r="X66">
        <v>57129881000</v>
      </c>
      <c r="Y66">
        <v>5.1635788393663304</v>
      </c>
      <c r="Z66">
        <v>-8.038318553539483</v>
      </c>
      <c r="AA66">
        <v>-18.717013091341862</v>
      </c>
      <c r="AB66">
        <v>-7.4429579981069569</v>
      </c>
      <c r="AC66">
        <v>-7.5474362327534497</v>
      </c>
      <c r="AD66">
        <v>-7.7463220046792269</v>
      </c>
      <c r="AE66">
        <v>-7.3000103501150013</v>
      </c>
      <c r="AF66">
        <v>-7.3017992588806546</v>
      </c>
      <c r="AG66">
        <v>-6.854214877024595</v>
      </c>
      <c r="AH66">
        <v>-6.8558945410917813</v>
      </c>
      <c r="AI66">
        <v>-16.99788188039274</v>
      </c>
      <c r="AJ66">
        <v>-6.7593328206341692</v>
      </c>
      <c r="AK66">
        <v>-17.002047307348999</v>
      </c>
      <c r="AL66">
        <v>-6.7609892333175576</v>
      </c>
      <c r="AM66">
        <v>4.6893114175490433</v>
      </c>
      <c r="AN66">
        <v>4.6904605597964384</v>
      </c>
    </row>
    <row r="67" spans="1:40" x14ac:dyDescent="0.25">
      <c r="A67" s="1" t="s">
        <v>1431</v>
      </c>
      <c r="B67">
        <v>61972763850</v>
      </c>
      <c r="C67" t="s">
        <v>89</v>
      </c>
      <c r="D67" t="s">
        <v>127</v>
      </c>
      <c r="E67">
        <v>12183000000</v>
      </c>
      <c r="F67">
        <v>-7826000000</v>
      </c>
      <c r="G67">
        <v>-3361000000</v>
      </c>
      <c r="H67">
        <v>-8452000000</v>
      </c>
      <c r="I67">
        <v>-8335000000</v>
      </c>
      <c r="J67">
        <v>-8121000000</v>
      </c>
      <c r="K67">
        <v>11744000000</v>
      </c>
      <c r="L67">
        <v>0</v>
      </c>
      <c r="M67">
        <v>11744000000</v>
      </c>
      <c r="N67">
        <v>14300000000</v>
      </c>
      <c r="O67">
        <v>1129000000</v>
      </c>
      <c r="P67">
        <v>180000000</v>
      </c>
      <c r="Q67">
        <v>5800000000</v>
      </c>
      <c r="R67">
        <v>5570000000</v>
      </c>
      <c r="S67">
        <v>15072000000</v>
      </c>
      <c r="T67">
        <v>0</v>
      </c>
      <c r="U67">
        <v>-14000000</v>
      </c>
      <c r="V67">
        <v>15922000000</v>
      </c>
      <c r="W67">
        <v>56208763850</v>
      </c>
      <c r="X67">
        <v>56194763850</v>
      </c>
      <c r="Y67">
        <v>5.0868229377000738</v>
      </c>
      <c r="Z67">
        <v>-7.9188300345003837</v>
      </c>
      <c r="AA67">
        <v>-18.438787221065159</v>
      </c>
      <c r="AB67">
        <v>-7.3323194332702322</v>
      </c>
      <c r="AC67">
        <v>-7.4352446130773844</v>
      </c>
      <c r="AD67">
        <v>-7.6311739748799408</v>
      </c>
      <c r="AE67">
        <v>-7.1805218310759011</v>
      </c>
      <c r="AF67">
        <v>-7.1823107398415544</v>
      </c>
      <c r="AG67">
        <v>-6.7420232573485306</v>
      </c>
      <c r="AH67">
        <v>-6.7437029214157169</v>
      </c>
      <c r="AI67">
        <v>-16.71965601011604</v>
      </c>
      <c r="AJ67">
        <v>-6.6486942557974444</v>
      </c>
      <c r="AK67">
        <v>-16.723821437072299</v>
      </c>
      <c r="AL67">
        <v>-6.6503506684808329</v>
      </c>
      <c r="AM67">
        <v>4.6125555158827876</v>
      </c>
      <c r="AN67">
        <v>4.6137046581301817</v>
      </c>
    </row>
    <row r="68" spans="1:40" x14ac:dyDescent="0.25">
      <c r="A68" s="1" t="s">
        <v>1430</v>
      </c>
      <c r="B68">
        <v>57739233480</v>
      </c>
      <c r="C68" t="s">
        <v>89</v>
      </c>
      <c r="D68" t="s">
        <v>127</v>
      </c>
      <c r="E68">
        <v>12183000000</v>
      </c>
      <c r="F68">
        <v>-7826000000</v>
      </c>
      <c r="G68">
        <v>-3361000000</v>
      </c>
      <c r="H68">
        <v>-8452000000</v>
      </c>
      <c r="I68">
        <v>-8335000000</v>
      </c>
      <c r="J68">
        <v>-8121000000</v>
      </c>
      <c r="K68">
        <v>11744000000</v>
      </c>
      <c r="L68">
        <v>0</v>
      </c>
      <c r="M68">
        <v>11744000000</v>
      </c>
      <c r="N68">
        <v>14300000000</v>
      </c>
      <c r="O68">
        <v>1129000000</v>
      </c>
      <c r="P68">
        <v>180000000</v>
      </c>
      <c r="Q68">
        <v>5800000000</v>
      </c>
      <c r="R68">
        <v>5570000000</v>
      </c>
      <c r="S68">
        <v>15072000000</v>
      </c>
      <c r="T68">
        <v>0</v>
      </c>
      <c r="U68">
        <v>-14000000</v>
      </c>
      <c r="V68">
        <v>15922000000</v>
      </c>
      <c r="W68">
        <v>51975233480</v>
      </c>
      <c r="X68">
        <v>51961233480</v>
      </c>
      <c r="Y68">
        <v>4.7393280374292051</v>
      </c>
      <c r="Z68">
        <v>-7.3778729210324556</v>
      </c>
      <c r="AA68">
        <v>-17.179182826539719</v>
      </c>
      <c r="AB68">
        <v>-6.8314284761003314</v>
      </c>
      <c r="AC68">
        <v>-6.9273225530893816</v>
      </c>
      <c r="AD68">
        <v>-7.1098674399704471</v>
      </c>
      <c r="AE68">
        <v>-6.6395647176079731</v>
      </c>
      <c r="AF68">
        <v>-6.6413536263736264</v>
      </c>
      <c r="AG68">
        <v>-6.2341011973605278</v>
      </c>
      <c r="AH68">
        <v>-6.2357808614277142</v>
      </c>
      <c r="AI68">
        <v>-15.460051615590601</v>
      </c>
      <c r="AJ68">
        <v>-6.1478032986275437</v>
      </c>
      <c r="AK68">
        <v>-15.46421704254686</v>
      </c>
      <c r="AL68">
        <v>-6.1494597113109322</v>
      </c>
      <c r="AM68">
        <v>4.265060615611918</v>
      </c>
      <c r="AN68">
        <v>4.2662097578593121</v>
      </c>
    </row>
    <row r="69" spans="1:40" x14ac:dyDescent="0.25">
      <c r="A69" s="1" t="s">
        <v>1429</v>
      </c>
      <c r="B69">
        <v>56481075860</v>
      </c>
      <c r="C69" t="s">
        <v>89</v>
      </c>
      <c r="D69" t="s">
        <v>127</v>
      </c>
      <c r="E69">
        <v>12183000000</v>
      </c>
      <c r="F69">
        <v>-7826000000</v>
      </c>
      <c r="G69">
        <v>-3361000000</v>
      </c>
      <c r="H69">
        <v>-8452000000</v>
      </c>
      <c r="I69">
        <v>-8335000000</v>
      </c>
      <c r="J69">
        <v>-8121000000</v>
      </c>
      <c r="K69">
        <v>11744000000</v>
      </c>
      <c r="L69">
        <v>0</v>
      </c>
      <c r="M69">
        <v>11744000000</v>
      </c>
      <c r="N69">
        <v>14300000000</v>
      </c>
      <c r="O69">
        <v>1129000000</v>
      </c>
      <c r="P69">
        <v>180000000</v>
      </c>
      <c r="Q69">
        <v>5800000000</v>
      </c>
      <c r="R69">
        <v>5570000000</v>
      </c>
      <c r="S69">
        <v>15072000000</v>
      </c>
      <c r="T69">
        <v>0</v>
      </c>
      <c r="U69">
        <v>-14000000</v>
      </c>
      <c r="V69">
        <v>15922000000</v>
      </c>
      <c r="W69">
        <v>50717075860</v>
      </c>
      <c r="X69">
        <v>50703075860</v>
      </c>
      <c r="Y69">
        <v>4.6360564606418784</v>
      </c>
      <c r="Z69">
        <v>-7.2171065499616667</v>
      </c>
      <c r="AA69">
        <v>-16.804842564712882</v>
      </c>
      <c r="AB69">
        <v>-6.6825693161381921</v>
      </c>
      <c r="AC69">
        <v>-6.7763738284343136</v>
      </c>
      <c r="AD69">
        <v>-6.9549409998768628</v>
      </c>
      <c r="AE69">
        <v>-6.4787983465371841</v>
      </c>
      <c r="AF69">
        <v>-6.4805872553028374</v>
      </c>
      <c r="AG69">
        <v>-6.0831524727054589</v>
      </c>
      <c r="AH69">
        <v>-6.0848321367726452</v>
      </c>
      <c r="AI69">
        <v>-15.085711353763759</v>
      </c>
      <c r="AJ69">
        <v>-5.9989441386654043</v>
      </c>
      <c r="AK69">
        <v>-15.08987678072002</v>
      </c>
      <c r="AL69">
        <v>-6.0006005513487928</v>
      </c>
      <c r="AM69">
        <v>4.1617890388245913</v>
      </c>
      <c r="AN69">
        <v>4.1629381810719854</v>
      </c>
    </row>
    <row r="70" spans="1:40" x14ac:dyDescent="0.25">
      <c r="A70" s="1" t="s">
        <v>1428</v>
      </c>
      <c r="B70">
        <v>59898503989</v>
      </c>
      <c r="C70" t="s">
        <v>89</v>
      </c>
      <c r="D70" t="s">
        <v>127</v>
      </c>
      <c r="E70">
        <v>12183000000</v>
      </c>
      <c r="F70">
        <v>-7826000000</v>
      </c>
      <c r="G70">
        <v>-3361000000</v>
      </c>
      <c r="H70">
        <v>-8452000000</v>
      </c>
      <c r="I70">
        <v>-8335000000</v>
      </c>
      <c r="J70">
        <v>-8121000000</v>
      </c>
      <c r="K70">
        <v>11744000000</v>
      </c>
      <c r="L70">
        <v>0</v>
      </c>
      <c r="M70">
        <v>11744000000</v>
      </c>
      <c r="N70">
        <v>14300000000</v>
      </c>
      <c r="O70">
        <v>1129000000</v>
      </c>
      <c r="P70">
        <v>180000000</v>
      </c>
      <c r="Q70">
        <v>5800000000</v>
      </c>
      <c r="R70">
        <v>5570000000</v>
      </c>
      <c r="S70">
        <v>15072000000</v>
      </c>
      <c r="T70">
        <v>0</v>
      </c>
      <c r="U70">
        <v>-14000000</v>
      </c>
      <c r="V70">
        <v>15922000000</v>
      </c>
      <c r="W70">
        <v>54134503989</v>
      </c>
      <c r="X70">
        <v>54120503989</v>
      </c>
      <c r="Y70">
        <v>4.9165643921037514</v>
      </c>
      <c r="Z70">
        <v>-7.6537827739586</v>
      </c>
      <c r="AA70">
        <v>-17.82163165397203</v>
      </c>
      <c r="AB70">
        <v>-7.086902980241363</v>
      </c>
      <c r="AC70">
        <v>-7.1863832020395924</v>
      </c>
      <c r="AD70">
        <v>-7.3757547086565696</v>
      </c>
      <c r="AE70">
        <v>-6.9154745705341174</v>
      </c>
      <c r="AF70">
        <v>-6.9172634792997698</v>
      </c>
      <c r="AG70">
        <v>-6.4931618463107377</v>
      </c>
      <c r="AH70">
        <v>-6.494841510377924</v>
      </c>
      <c r="AI70">
        <v>-16.102500443022912</v>
      </c>
      <c r="AJ70">
        <v>-6.4032778027685753</v>
      </c>
      <c r="AK70">
        <v>-16.106665869979171</v>
      </c>
      <c r="AL70">
        <v>-6.4049342154519637</v>
      </c>
      <c r="AM70">
        <v>4.4422969702864643</v>
      </c>
      <c r="AN70">
        <v>4.4434461125338576</v>
      </c>
    </row>
    <row r="71" spans="1:40" x14ac:dyDescent="0.25">
      <c r="A71" s="1" t="s">
        <v>1427</v>
      </c>
      <c r="B71">
        <v>58844371930</v>
      </c>
      <c r="C71" t="s">
        <v>89</v>
      </c>
      <c r="D71" t="s">
        <v>127</v>
      </c>
      <c r="E71">
        <v>12183000000</v>
      </c>
      <c r="F71">
        <v>-7826000000</v>
      </c>
      <c r="G71">
        <v>-3361000000</v>
      </c>
      <c r="H71">
        <v>-8452000000</v>
      </c>
      <c r="I71">
        <v>-8335000000</v>
      </c>
      <c r="J71">
        <v>-8121000000</v>
      </c>
      <c r="K71">
        <v>11744000000</v>
      </c>
      <c r="L71">
        <v>0</v>
      </c>
      <c r="M71">
        <v>11744000000</v>
      </c>
      <c r="N71">
        <v>14300000000</v>
      </c>
      <c r="O71">
        <v>1129000000</v>
      </c>
      <c r="P71">
        <v>180000000</v>
      </c>
      <c r="Q71">
        <v>5800000000</v>
      </c>
      <c r="R71">
        <v>5570000000</v>
      </c>
      <c r="S71">
        <v>15072000000</v>
      </c>
      <c r="T71">
        <v>0</v>
      </c>
      <c r="U71">
        <v>-14000000</v>
      </c>
      <c r="V71">
        <v>15922000000</v>
      </c>
      <c r="W71">
        <v>53080371930</v>
      </c>
      <c r="X71">
        <v>53066371930</v>
      </c>
      <c r="Y71">
        <v>4.8300395575802346</v>
      </c>
      <c r="Z71">
        <v>-7.5190866253513926</v>
      </c>
      <c r="AA71">
        <v>-17.507995218684911</v>
      </c>
      <c r="AB71">
        <v>-6.9621831436346424</v>
      </c>
      <c r="AC71">
        <v>-7.0599126490701858</v>
      </c>
      <c r="AD71">
        <v>-7.2459514751877849</v>
      </c>
      <c r="AE71">
        <v>-6.78077842192691</v>
      </c>
      <c r="AF71">
        <v>-6.7825673306925633</v>
      </c>
      <c r="AG71">
        <v>-6.366691293341332</v>
      </c>
      <c r="AH71">
        <v>-6.3683709574085183</v>
      </c>
      <c r="AI71">
        <v>-15.788864007735789</v>
      </c>
      <c r="AJ71">
        <v>-6.2785579661618556</v>
      </c>
      <c r="AK71">
        <v>-15.793029434692061</v>
      </c>
      <c r="AL71">
        <v>-6.280214378845244</v>
      </c>
      <c r="AM71">
        <v>4.3557721357629484</v>
      </c>
      <c r="AN71">
        <v>4.3569212780103426</v>
      </c>
    </row>
    <row r="72" spans="1:40" x14ac:dyDescent="0.25">
      <c r="A72" s="1" t="s">
        <v>1426</v>
      </c>
      <c r="B72">
        <v>60000516770</v>
      </c>
      <c r="C72" t="s">
        <v>89</v>
      </c>
      <c r="D72" t="s">
        <v>127</v>
      </c>
      <c r="E72">
        <v>12183000000</v>
      </c>
      <c r="F72">
        <v>-7826000000</v>
      </c>
      <c r="G72">
        <v>-3361000000</v>
      </c>
      <c r="H72">
        <v>-8452000000</v>
      </c>
      <c r="I72">
        <v>-8335000000</v>
      </c>
      <c r="J72">
        <v>-8121000000</v>
      </c>
      <c r="K72">
        <v>11744000000</v>
      </c>
      <c r="L72">
        <v>0</v>
      </c>
      <c r="M72">
        <v>11744000000</v>
      </c>
      <c r="N72">
        <v>14300000000</v>
      </c>
      <c r="O72">
        <v>1129000000</v>
      </c>
      <c r="P72">
        <v>180000000</v>
      </c>
      <c r="Q72">
        <v>5800000000</v>
      </c>
      <c r="R72">
        <v>5570000000</v>
      </c>
      <c r="S72">
        <v>15072000000</v>
      </c>
      <c r="T72">
        <v>0</v>
      </c>
      <c r="U72">
        <v>-14000000</v>
      </c>
      <c r="V72">
        <v>15922000000</v>
      </c>
      <c r="W72">
        <v>54236516770</v>
      </c>
      <c r="X72">
        <v>54222516770</v>
      </c>
      <c r="Y72">
        <v>4.9249377632766969</v>
      </c>
      <c r="Z72">
        <v>-7.6668178852542814</v>
      </c>
      <c r="AA72">
        <v>-17.851983567390661</v>
      </c>
      <c r="AB72">
        <v>-7.0989726419782304</v>
      </c>
      <c r="AC72">
        <v>-7.1986222879424124</v>
      </c>
      <c r="AD72">
        <v>-7.388316312030538</v>
      </c>
      <c r="AE72">
        <v>-6.928509681829798</v>
      </c>
      <c r="AF72">
        <v>-6.9302985905954513</v>
      </c>
      <c r="AG72">
        <v>-6.5054009322135569</v>
      </c>
      <c r="AH72">
        <v>-6.5070805962807441</v>
      </c>
      <c r="AI72">
        <v>-16.132852356441539</v>
      </c>
      <c r="AJ72">
        <v>-6.4153474645054427</v>
      </c>
      <c r="AK72">
        <v>-16.137017783397798</v>
      </c>
      <c r="AL72">
        <v>-6.4170038771888311</v>
      </c>
      <c r="AM72">
        <v>4.4506703414594107</v>
      </c>
      <c r="AN72">
        <v>4.4518194837068048</v>
      </c>
    </row>
    <row r="73" spans="1:40" x14ac:dyDescent="0.25">
      <c r="A73" s="1" t="s">
        <v>1425</v>
      </c>
      <c r="B73">
        <v>59354435829</v>
      </c>
      <c r="C73" t="s">
        <v>89</v>
      </c>
      <c r="D73" t="s">
        <v>127</v>
      </c>
      <c r="E73">
        <v>12183000000</v>
      </c>
      <c r="F73">
        <v>-7826000000</v>
      </c>
      <c r="G73">
        <v>-3361000000</v>
      </c>
      <c r="H73">
        <v>-8452000000</v>
      </c>
      <c r="I73">
        <v>-8335000000</v>
      </c>
      <c r="J73">
        <v>-8121000000</v>
      </c>
      <c r="K73">
        <v>11744000000</v>
      </c>
      <c r="L73">
        <v>0</v>
      </c>
      <c r="M73">
        <v>11744000000</v>
      </c>
      <c r="N73">
        <v>14300000000</v>
      </c>
      <c r="O73">
        <v>1129000000</v>
      </c>
      <c r="P73">
        <v>180000000</v>
      </c>
      <c r="Q73">
        <v>5800000000</v>
      </c>
      <c r="R73">
        <v>5570000000</v>
      </c>
      <c r="S73">
        <v>15072000000</v>
      </c>
      <c r="T73">
        <v>0</v>
      </c>
      <c r="U73">
        <v>-14000000</v>
      </c>
      <c r="V73">
        <v>15922000000</v>
      </c>
      <c r="W73">
        <v>53590435829</v>
      </c>
      <c r="X73">
        <v>53576435829</v>
      </c>
      <c r="Y73">
        <v>4.871906412952475</v>
      </c>
      <c r="Z73">
        <v>-7.5842621810631234</v>
      </c>
      <c r="AA73">
        <v>-17.659754783992859</v>
      </c>
      <c r="AB73">
        <v>-7.0225314516090869</v>
      </c>
      <c r="AC73">
        <v>-7.1211080778644273</v>
      </c>
      <c r="AD73">
        <v>-7.3087594913188028</v>
      </c>
      <c r="AE73">
        <v>-6.84595397763864</v>
      </c>
      <c r="AF73">
        <v>-6.8477428864042933</v>
      </c>
      <c r="AG73">
        <v>-6.4278867221355727</v>
      </c>
      <c r="AH73">
        <v>-6.4295663862027599</v>
      </c>
      <c r="AI73">
        <v>-15.940623573043739</v>
      </c>
      <c r="AJ73">
        <v>-6.3389062741362991</v>
      </c>
      <c r="AK73">
        <v>-15.944789</v>
      </c>
      <c r="AL73">
        <v>-6.3405626868196876</v>
      </c>
      <c r="AM73">
        <v>4.3976389911351887</v>
      </c>
      <c r="AN73">
        <v>4.398788133382582</v>
      </c>
    </row>
    <row r="74" spans="1:40" x14ac:dyDescent="0.25">
      <c r="A74" s="1" t="s">
        <v>1424</v>
      </c>
      <c r="B74">
        <v>57807242000</v>
      </c>
      <c r="C74" t="s">
        <v>89</v>
      </c>
      <c r="D74" t="s">
        <v>127</v>
      </c>
      <c r="E74">
        <v>12183000000</v>
      </c>
      <c r="F74">
        <v>-7826000000</v>
      </c>
      <c r="G74">
        <v>-3361000000</v>
      </c>
      <c r="H74">
        <v>-8452000000</v>
      </c>
      <c r="I74">
        <v>-8335000000</v>
      </c>
      <c r="J74">
        <v>-8121000000</v>
      </c>
      <c r="K74">
        <v>11744000000</v>
      </c>
      <c r="L74">
        <v>0</v>
      </c>
      <c r="M74">
        <v>11744000000</v>
      </c>
      <c r="N74">
        <v>14300000000</v>
      </c>
      <c r="O74">
        <v>1129000000</v>
      </c>
      <c r="P74">
        <v>180000000</v>
      </c>
      <c r="Q74">
        <v>5800000000</v>
      </c>
      <c r="R74">
        <v>5570000000</v>
      </c>
      <c r="S74">
        <v>15072000000</v>
      </c>
      <c r="T74">
        <v>0</v>
      </c>
      <c r="U74">
        <v>-14000000</v>
      </c>
      <c r="V74">
        <v>15922000000</v>
      </c>
      <c r="W74">
        <v>52043242000</v>
      </c>
      <c r="X74">
        <v>52029242000</v>
      </c>
      <c r="Y74">
        <v>4.7449102848231144</v>
      </c>
      <c r="Z74">
        <v>-7.3865629951443914</v>
      </c>
      <c r="AA74">
        <v>-17.199417435287121</v>
      </c>
      <c r="AB74">
        <v>-6.8394749171793654</v>
      </c>
      <c r="AC74">
        <v>-6.9354819436112773</v>
      </c>
      <c r="AD74">
        <v>-7.1182418421376674</v>
      </c>
      <c r="AE74">
        <v>-6.648254791719908</v>
      </c>
      <c r="AF74">
        <v>-6.6500437004855613</v>
      </c>
      <c r="AG74">
        <v>-6.2422605878824244</v>
      </c>
      <c r="AH74">
        <v>-6.2439402519496099</v>
      </c>
      <c r="AI74">
        <v>-15.48028622433799</v>
      </c>
      <c r="AJ74">
        <v>-6.1558497397065786</v>
      </c>
      <c r="AK74">
        <v>-15.484451651294259</v>
      </c>
      <c r="AL74">
        <v>-6.157506152389967</v>
      </c>
      <c r="AM74">
        <v>4.2706428630058282</v>
      </c>
      <c r="AN74">
        <v>4.2717920052532206</v>
      </c>
    </row>
    <row r="75" spans="1:40" x14ac:dyDescent="0.25">
      <c r="A75" s="1" t="s">
        <v>1423</v>
      </c>
      <c r="B75">
        <v>56838120590</v>
      </c>
      <c r="C75" t="s">
        <v>89</v>
      </c>
      <c r="D75" t="s">
        <v>127</v>
      </c>
      <c r="E75">
        <v>12183000000</v>
      </c>
      <c r="F75">
        <v>-7826000000</v>
      </c>
      <c r="G75">
        <v>-3361000000</v>
      </c>
      <c r="H75">
        <v>-8452000000</v>
      </c>
      <c r="I75">
        <v>-8335000000</v>
      </c>
      <c r="J75">
        <v>-8121000000</v>
      </c>
      <c r="K75">
        <v>11744000000</v>
      </c>
      <c r="L75">
        <v>0</v>
      </c>
      <c r="M75">
        <v>11744000000</v>
      </c>
      <c r="N75">
        <v>14300000000</v>
      </c>
      <c r="O75">
        <v>1129000000</v>
      </c>
      <c r="P75">
        <v>180000000</v>
      </c>
      <c r="Q75">
        <v>5800000000</v>
      </c>
      <c r="R75">
        <v>5570000000</v>
      </c>
      <c r="S75">
        <v>15072000000</v>
      </c>
      <c r="T75">
        <v>0</v>
      </c>
      <c r="U75">
        <v>-14000000</v>
      </c>
      <c r="V75">
        <v>15922000000</v>
      </c>
      <c r="W75">
        <v>51074120590</v>
      </c>
      <c r="X75">
        <v>51060120590</v>
      </c>
      <c r="Y75">
        <v>4.6653632594599026</v>
      </c>
      <c r="Z75">
        <v>-7.2627294390493224</v>
      </c>
      <c r="AA75">
        <v>-16.91107426063672</v>
      </c>
      <c r="AB75">
        <v>-6.7248131318031232</v>
      </c>
      <c r="AC75">
        <v>-6.8192106286742664</v>
      </c>
      <c r="AD75">
        <v>-6.998906611254772</v>
      </c>
      <c r="AE75">
        <v>-6.5244212356248399</v>
      </c>
      <c r="AF75">
        <v>-6.5262101443904932</v>
      </c>
      <c r="AG75">
        <v>-6.1259892729454108</v>
      </c>
      <c r="AH75">
        <v>-6.1276689370125972</v>
      </c>
      <c r="AI75">
        <v>-15.191943049687589</v>
      </c>
      <c r="AJ75">
        <v>-6.0411879543303364</v>
      </c>
      <c r="AK75">
        <v>-15.196108476643859</v>
      </c>
      <c r="AL75">
        <v>-6.0428443670137248</v>
      </c>
      <c r="AM75">
        <v>4.1910958376426164</v>
      </c>
      <c r="AN75">
        <v>4.1922449798900114</v>
      </c>
    </row>
    <row r="76" spans="1:40" x14ac:dyDescent="0.25">
      <c r="A76" s="1" t="s">
        <v>1422</v>
      </c>
      <c r="B76">
        <v>56634095030</v>
      </c>
      <c r="C76" t="s">
        <v>89</v>
      </c>
      <c r="D76" t="s">
        <v>127</v>
      </c>
      <c r="E76">
        <v>12183000000</v>
      </c>
      <c r="F76">
        <v>-7826000000</v>
      </c>
      <c r="G76">
        <v>-3361000000</v>
      </c>
      <c r="H76">
        <v>-8452000000</v>
      </c>
      <c r="I76">
        <v>-8335000000</v>
      </c>
      <c r="J76">
        <v>-8121000000</v>
      </c>
      <c r="K76">
        <v>11744000000</v>
      </c>
      <c r="L76">
        <v>0</v>
      </c>
      <c r="M76">
        <v>11744000000</v>
      </c>
      <c r="N76">
        <v>14300000000</v>
      </c>
      <c r="O76">
        <v>1129000000</v>
      </c>
      <c r="P76">
        <v>180000000</v>
      </c>
      <c r="Q76">
        <v>5800000000</v>
      </c>
      <c r="R76">
        <v>5570000000</v>
      </c>
      <c r="S76">
        <v>15072000000</v>
      </c>
      <c r="T76">
        <v>0</v>
      </c>
      <c r="U76">
        <v>-14000000</v>
      </c>
      <c r="V76">
        <v>15922000000</v>
      </c>
      <c r="W76">
        <v>50870095030</v>
      </c>
      <c r="X76">
        <v>50856095030</v>
      </c>
      <c r="Y76">
        <v>4.6486165172781746</v>
      </c>
      <c r="Z76">
        <v>-7.2366592167135186</v>
      </c>
      <c r="AA76">
        <v>-16.85037043439452</v>
      </c>
      <c r="AB76">
        <v>-6.7006738085660196</v>
      </c>
      <c r="AC76">
        <v>-6.7947324571085783</v>
      </c>
      <c r="AD76">
        <v>-6.9737834047531093</v>
      </c>
      <c r="AE76">
        <v>-6.498351013289037</v>
      </c>
      <c r="AF76">
        <v>-6.5001399220546894</v>
      </c>
      <c r="AG76">
        <v>-6.1015111013797236</v>
      </c>
      <c r="AH76">
        <v>-6.1031907654469109</v>
      </c>
      <c r="AI76">
        <v>-15.1312392234454</v>
      </c>
      <c r="AJ76">
        <v>-6.0170486310932327</v>
      </c>
      <c r="AK76">
        <v>-15.13540465040167</v>
      </c>
      <c r="AL76">
        <v>-6.0187050437766212</v>
      </c>
      <c r="AM76">
        <v>4.1743490954608884</v>
      </c>
      <c r="AN76">
        <v>4.1754982377082817</v>
      </c>
    </row>
    <row r="77" spans="1:40" x14ac:dyDescent="0.25">
      <c r="A77" s="1" t="s">
        <v>1421</v>
      </c>
      <c r="B77">
        <v>56294052430</v>
      </c>
      <c r="C77" t="s">
        <v>89</v>
      </c>
      <c r="D77" t="s">
        <v>127</v>
      </c>
      <c r="E77">
        <v>12183000000</v>
      </c>
      <c r="F77">
        <v>-7826000000</v>
      </c>
      <c r="G77">
        <v>-3361000000</v>
      </c>
      <c r="H77">
        <v>-8452000000</v>
      </c>
      <c r="I77">
        <v>-8335000000</v>
      </c>
      <c r="J77">
        <v>-8121000000</v>
      </c>
      <c r="K77">
        <v>11744000000</v>
      </c>
      <c r="L77">
        <v>0</v>
      </c>
      <c r="M77">
        <v>11744000000</v>
      </c>
      <c r="N77">
        <v>14300000000</v>
      </c>
      <c r="O77">
        <v>1129000000</v>
      </c>
      <c r="P77">
        <v>180000000</v>
      </c>
      <c r="Q77">
        <v>5800000000</v>
      </c>
      <c r="R77">
        <v>5570000000</v>
      </c>
      <c r="S77">
        <v>15072000000</v>
      </c>
      <c r="T77">
        <v>0</v>
      </c>
      <c r="U77">
        <v>-14000000</v>
      </c>
      <c r="V77">
        <v>15922000000</v>
      </c>
      <c r="W77">
        <v>50530052430</v>
      </c>
      <c r="X77">
        <v>50516052430</v>
      </c>
      <c r="Y77">
        <v>4.620705280308627</v>
      </c>
      <c r="Z77">
        <v>-7.1932088461538459</v>
      </c>
      <c r="AA77">
        <v>-16.749197390657539</v>
      </c>
      <c r="AB77">
        <v>-6.6604416031708471</v>
      </c>
      <c r="AC77">
        <v>-6.7539355044991014</v>
      </c>
      <c r="AD77">
        <v>-6.9319113939170052</v>
      </c>
      <c r="AE77">
        <v>-6.4549006427293634</v>
      </c>
      <c r="AF77">
        <v>-6.4566895514950167</v>
      </c>
      <c r="AG77">
        <v>-6.0607141487702458</v>
      </c>
      <c r="AH77">
        <v>-6.0623938128374322</v>
      </c>
      <c r="AI77">
        <v>-15.03006617970842</v>
      </c>
      <c r="AJ77">
        <v>-5.9768164256980594</v>
      </c>
      <c r="AK77">
        <v>-15.03423160666468</v>
      </c>
      <c r="AL77">
        <v>-5.9784728383814478</v>
      </c>
      <c r="AM77">
        <v>4.1464378584913408</v>
      </c>
      <c r="AN77">
        <v>4.1475870007387341</v>
      </c>
    </row>
    <row r="78" spans="1:40" x14ac:dyDescent="0.25">
      <c r="A78" s="1" t="s">
        <v>1420</v>
      </c>
      <c r="B78">
        <v>55409941670</v>
      </c>
      <c r="C78" t="s">
        <v>89</v>
      </c>
      <c r="D78" t="s">
        <v>127</v>
      </c>
      <c r="E78">
        <v>12183000000</v>
      </c>
      <c r="F78">
        <v>-7826000000</v>
      </c>
      <c r="G78">
        <v>-3361000000</v>
      </c>
      <c r="H78">
        <v>-8452000000</v>
      </c>
      <c r="I78">
        <v>-8335000000</v>
      </c>
      <c r="J78">
        <v>-8121000000</v>
      </c>
      <c r="K78">
        <v>11744000000</v>
      </c>
      <c r="L78">
        <v>0</v>
      </c>
      <c r="M78">
        <v>11744000000</v>
      </c>
      <c r="N78">
        <v>14300000000</v>
      </c>
      <c r="O78">
        <v>1129000000</v>
      </c>
      <c r="P78">
        <v>180000000</v>
      </c>
      <c r="Q78">
        <v>5800000000</v>
      </c>
      <c r="R78">
        <v>5570000000</v>
      </c>
      <c r="S78">
        <v>15072000000</v>
      </c>
      <c r="T78">
        <v>0</v>
      </c>
      <c r="U78">
        <v>-14000000</v>
      </c>
      <c r="V78">
        <v>15922000000</v>
      </c>
      <c r="W78">
        <v>49645941670</v>
      </c>
      <c r="X78">
        <v>49631941670</v>
      </c>
      <c r="Y78">
        <v>4.548136064187803</v>
      </c>
      <c r="Z78">
        <v>-7.0802378826986967</v>
      </c>
      <c r="AA78">
        <v>-16.48614747694139</v>
      </c>
      <c r="AB78">
        <v>-6.5558378691433976</v>
      </c>
      <c r="AC78">
        <v>-6.6478634277144568</v>
      </c>
      <c r="AD78">
        <v>-6.8230441657431351</v>
      </c>
      <c r="AE78">
        <v>-6.3419296792742141</v>
      </c>
      <c r="AF78">
        <v>-6.3437185880398674</v>
      </c>
      <c r="AG78">
        <v>-5.954642071985603</v>
      </c>
      <c r="AH78">
        <v>-5.9563217360527894</v>
      </c>
      <c r="AI78">
        <v>-14.767016265992259</v>
      </c>
      <c r="AJ78">
        <v>-5.8722126916706108</v>
      </c>
      <c r="AK78">
        <v>-14.771181692948529</v>
      </c>
      <c r="AL78">
        <v>-5.8738691043539992</v>
      </c>
      <c r="AM78">
        <v>4.0738686423705159</v>
      </c>
      <c r="AN78">
        <v>4.0750177846179101</v>
      </c>
    </row>
    <row r="79" spans="1:40" x14ac:dyDescent="0.25">
      <c r="A79" s="1" t="s">
        <v>1419</v>
      </c>
      <c r="B79">
        <v>55698977880</v>
      </c>
      <c r="C79" t="s">
        <v>89</v>
      </c>
      <c r="D79" t="s">
        <v>127</v>
      </c>
      <c r="E79">
        <v>12183000000</v>
      </c>
      <c r="F79">
        <v>-7826000000</v>
      </c>
      <c r="G79">
        <v>-3361000000</v>
      </c>
      <c r="H79">
        <v>-8452000000</v>
      </c>
      <c r="I79">
        <v>-8335000000</v>
      </c>
      <c r="J79">
        <v>-8121000000</v>
      </c>
      <c r="K79">
        <v>11744000000</v>
      </c>
      <c r="L79">
        <v>0</v>
      </c>
      <c r="M79">
        <v>11744000000</v>
      </c>
      <c r="N79">
        <v>14300000000</v>
      </c>
      <c r="O79">
        <v>1129000000</v>
      </c>
      <c r="P79">
        <v>180000000</v>
      </c>
      <c r="Q79">
        <v>5800000000</v>
      </c>
      <c r="R79">
        <v>5570000000</v>
      </c>
      <c r="S79">
        <v>15072000000</v>
      </c>
      <c r="T79">
        <v>0</v>
      </c>
      <c r="U79">
        <v>-14000000</v>
      </c>
      <c r="V79">
        <v>15922000000</v>
      </c>
      <c r="W79">
        <v>49934977880</v>
      </c>
      <c r="X79">
        <v>49920977880</v>
      </c>
      <c r="Y79">
        <v>4.5718606156119179</v>
      </c>
      <c r="Z79">
        <v>-7.1171706976744176</v>
      </c>
      <c r="AA79">
        <v>-16.572144564117821</v>
      </c>
      <c r="AB79">
        <v>-6.5900352437292948</v>
      </c>
      <c r="AC79">
        <v>-6.6825408374325139</v>
      </c>
      <c r="AD79">
        <v>-6.8586353749538231</v>
      </c>
      <c r="AE79">
        <v>-6.3788624942499359</v>
      </c>
      <c r="AF79">
        <v>-6.3806514030155892</v>
      </c>
      <c r="AG79">
        <v>-5.9893194817036592</v>
      </c>
      <c r="AH79">
        <v>-5.9909991457708456</v>
      </c>
      <c r="AI79">
        <v>-14.8530133531687</v>
      </c>
      <c r="AJ79">
        <v>-5.9064100662565071</v>
      </c>
      <c r="AK79">
        <v>-14.85717878012496</v>
      </c>
      <c r="AL79">
        <v>-5.9080664789398956</v>
      </c>
      <c r="AM79">
        <v>4.0975931937946317</v>
      </c>
      <c r="AN79">
        <v>4.0987423360420259</v>
      </c>
    </row>
    <row r="80" spans="1:40" x14ac:dyDescent="0.25">
      <c r="A80" s="1" t="s">
        <v>1418</v>
      </c>
      <c r="B80">
        <v>55375937410</v>
      </c>
      <c r="C80" t="s">
        <v>89</v>
      </c>
      <c r="D80" t="s">
        <v>127</v>
      </c>
      <c r="E80">
        <v>12183000000</v>
      </c>
      <c r="F80">
        <v>-7826000000</v>
      </c>
      <c r="G80">
        <v>-3361000000</v>
      </c>
      <c r="H80">
        <v>-8452000000</v>
      </c>
      <c r="I80">
        <v>-8335000000</v>
      </c>
      <c r="J80">
        <v>-8121000000</v>
      </c>
      <c r="K80">
        <v>11744000000</v>
      </c>
      <c r="L80">
        <v>0</v>
      </c>
      <c r="M80">
        <v>11744000000</v>
      </c>
      <c r="N80">
        <v>14300000000</v>
      </c>
      <c r="O80">
        <v>1129000000</v>
      </c>
      <c r="P80">
        <v>180000000</v>
      </c>
      <c r="Q80">
        <v>5800000000</v>
      </c>
      <c r="R80">
        <v>5570000000</v>
      </c>
      <c r="S80">
        <v>15072000000</v>
      </c>
      <c r="T80">
        <v>0</v>
      </c>
      <c r="U80">
        <v>-14000000</v>
      </c>
      <c r="V80">
        <v>15922000000</v>
      </c>
      <c r="W80">
        <v>49611937410</v>
      </c>
      <c r="X80">
        <v>49597937410</v>
      </c>
      <c r="Y80">
        <v>4.5453449404908479</v>
      </c>
      <c r="Z80">
        <v>-7.0758928456427297</v>
      </c>
      <c r="AA80">
        <v>-16.47603017256769</v>
      </c>
      <c r="AB80">
        <v>-6.5518146486038811</v>
      </c>
      <c r="AC80">
        <v>-6.6437837324535094</v>
      </c>
      <c r="AD80">
        <v>-6.818856964659525</v>
      </c>
      <c r="AE80">
        <v>-6.3375846422182471</v>
      </c>
      <c r="AF80">
        <v>-6.3393735509839004</v>
      </c>
      <c r="AG80">
        <v>-5.9505623767246547</v>
      </c>
      <c r="AH80">
        <v>-5.9522420407918419</v>
      </c>
      <c r="AI80">
        <v>-14.756898961618569</v>
      </c>
      <c r="AJ80">
        <v>-5.8681894711310933</v>
      </c>
      <c r="AK80">
        <v>-14.76106438857483</v>
      </c>
      <c r="AL80">
        <v>-5.8698458838144818</v>
      </c>
      <c r="AM80">
        <v>4.0710775186735617</v>
      </c>
      <c r="AN80">
        <v>4.0722266609209559</v>
      </c>
    </row>
    <row r="81" spans="1:40" x14ac:dyDescent="0.25">
      <c r="A81" s="1" t="s">
        <v>1417</v>
      </c>
      <c r="B81">
        <v>52196539100</v>
      </c>
      <c r="C81" t="s">
        <v>89</v>
      </c>
      <c r="D81" t="s">
        <v>127</v>
      </c>
      <c r="E81">
        <v>12183000000</v>
      </c>
      <c r="F81">
        <v>-7826000000</v>
      </c>
      <c r="G81">
        <v>-3361000000</v>
      </c>
      <c r="H81">
        <v>-8452000000</v>
      </c>
      <c r="I81">
        <v>-8335000000</v>
      </c>
      <c r="J81">
        <v>-8121000000</v>
      </c>
      <c r="K81">
        <v>11744000000</v>
      </c>
      <c r="L81">
        <v>0</v>
      </c>
      <c r="M81">
        <v>11744000000</v>
      </c>
      <c r="N81">
        <v>14300000000</v>
      </c>
      <c r="O81">
        <v>1129000000</v>
      </c>
      <c r="P81">
        <v>180000000</v>
      </c>
      <c r="Q81">
        <v>5800000000</v>
      </c>
      <c r="R81">
        <v>5570000000</v>
      </c>
      <c r="S81">
        <v>15072000000</v>
      </c>
      <c r="T81">
        <v>0</v>
      </c>
      <c r="U81">
        <v>-14000000</v>
      </c>
      <c r="V81">
        <v>15922000000</v>
      </c>
      <c r="W81">
        <v>46432539100</v>
      </c>
      <c r="X81">
        <v>46418539100</v>
      </c>
      <c r="Y81">
        <v>4.284374874825577</v>
      </c>
      <c r="Z81">
        <v>-6.6696318809097876</v>
      </c>
      <c r="AA81">
        <v>-15.5300622136269</v>
      </c>
      <c r="AB81">
        <v>-6.1756435281590152</v>
      </c>
      <c r="AC81">
        <v>-6.2623322255548892</v>
      </c>
      <c r="AD81">
        <v>-6.427353663341953</v>
      </c>
      <c r="AE81">
        <v>-5.9313236774853051</v>
      </c>
      <c r="AF81">
        <v>-5.9331125862509584</v>
      </c>
      <c r="AG81">
        <v>-5.5691108698260354</v>
      </c>
      <c r="AH81">
        <v>-5.5707905338932218</v>
      </c>
      <c r="AI81">
        <v>-13.810931002677769</v>
      </c>
      <c r="AJ81">
        <v>-5.4920183506862283</v>
      </c>
      <c r="AK81">
        <v>-13.815096429634041</v>
      </c>
      <c r="AL81">
        <v>-5.4936747633696168</v>
      </c>
      <c r="AM81">
        <v>3.8101074530082899</v>
      </c>
      <c r="AN81">
        <v>3.8112565952556841</v>
      </c>
    </row>
    <row r="82" spans="1:40" x14ac:dyDescent="0.25">
      <c r="A82" s="1" t="s">
        <v>1416</v>
      </c>
      <c r="B82">
        <v>54389813870</v>
      </c>
      <c r="C82" t="s">
        <v>89</v>
      </c>
      <c r="D82" t="s">
        <v>127</v>
      </c>
      <c r="E82">
        <v>12183000000</v>
      </c>
      <c r="F82">
        <v>-7826000000</v>
      </c>
      <c r="G82">
        <v>-3361000000</v>
      </c>
      <c r="H82">
        <v>-8452000000</v>
      </c>
      <c r="I82">
        <v>-8335000000</v>
      </c>
      <c r="J82">
        <v>-8121000000</v>
      </c>
      <c r="K82">
        <v>11744000000</v>
      </c>
      <c r="L82">
        <v>0</v>
      </c>
      <c r="M82">
        <v>11744000000</v>
      </c>
      <c r="N82">
        <v>14300000000</v>
      </c>
      <c r="O82">
        <v>1129000000</v>
      </c>
      <c r="P82">
        <v>180000000</v>
      </c>
      <c r="Q82">
        <v>5800000000</v>
      </c>
      <c r="R82">
        <v>5570000000</v>
      </c>
      <c r="S82">
        <v>15072000000</v>
      </c>
      <c r="T82">
        <v>0</v>
      </c>
      <c r="U82">
        <v>-14000000</v>
      </c>
      <c r="V82">
        <v>15922000000</v>
      </c>
      <c r="W82">
        <v>48625813870</v>
      </c>
      <c r="X82">
        <v>48611813870</v>
      </c>
      <c r="Y82">
        <v>4.4644023532791586</v>
      </c>
      <c r="Z82">
        <v>-6.9498867710196777</v>
      </c>
      <c r="AA82">
        <v>-16.182628345730439</v>
      </c>
      <c r="AB82">
        <v>-6.4351412529578802</v>
      </c>
      <c r="AC82">
        <v>-6.5254725698860234</v>
      </c>
      <c r="AD82">
        <v>-6.6974281332348244</v>
      </c>
      <c r="AE82">
        <v>-6.2115785675951951</v>
      </c>
      <c r="AF82">
        <v>-6.2133674763608484</v>
      </c>
      <c r="AG82">
        <v>-5.8322512141571687</v>
      </c>
      <c r="AH82">
        <v>-5.8339308782243551</v>
      </c>
      <c r="AI82">
        <v>-14.463497134781321</v>
      </c>
      <c r="AJ82">
        <v>-5.7515160754850916</v>
      </c>
      <c r="AK82">
        <v>-14.46766256173758</v>
      </c>
      <c r="AL82">
        <v>-5.7531724881684809</v>
      </c>
      <c r="AM82">
        <v>3.9901349314618728</v>
      </c>
      <c r="AN82">
        <v>3.991284073709267</v>
      </c>
    </row>
    <row r="83" spans="1:40" x14ac:dyDescent="0.25">
      <c r="A83" s="1" t="s">
        <v>1415</v>
      </c>
      <c r="B83">
        <v>55273924630</v>
      </c>
      <c r="C83" t="s">
        <v>89</v>
      </c>
      <c r="D83" t="s">
        <v>127</v>
      </c>
      <c r="E83">
        <v>12183000000</v>
      </c>
      <c r="F83">
        <v>-7826000000</v>
      </c>
      <c r="G83">
        <v>-3361000000</v>
      </c>
      <c r="H83">
        <v>-8452000000</v>
      </c>
      <c r="I83">
        <v>-8335000000</v>
      </c>
      <c r="J83">
        <v>-8121000000</v>
      </c>
      <c r="K83">
        <v>11744000000</v>
      </c>
      <c r="L83">
        <v>0</v>
      </c>
      <c r="M83">
        <v>11744000000</v>
      </c>
      <c r="N83">
        <v>14300000000</v>
      </c>
      <c r="O83">
        <v>1129000000</v>
      </c>
      <c r="P83">
        <v>180000000</v>
      </c>
      <c r="Q83">
        <v>5800000000</v>
      </c>
      <c r="R83">
        <v>5570000000</v>
      </c>
      <c r="S83">
        <v>15072000000</v>
      </c>
      <c r="T83">
        <v>0</v>
      </c>
      <c r="U83">
        <v>-14000000</v>
      </c>
      <c r="V83">
        <v>15922000000</v>
      </c>
      <c r="W83">
        <v>49509924630</v>
      </c>
      <c r="X83">
        <v>49495924630</v>
      </c>
      <c r="Y83">
        <v>4.5369715693999826</v>
      </c>
      <c r="Z83">
        <v>-7.0628577344748278</v>
      </c>
      <c r="AA83">
        <v>-16.445678259446591</v>
      </c>
      <c r="AB83">
        <v>-6.5397449869853288</v>
      </c>
      <c r="AC83">
        <v>-6.6315446466706662</v>
      </c>
      <c r="AD83">
        <v>-6.8062953614086936</v>
      </c>
      <c r="AE83">
        <v>-6.3245495310503452</v>
      </c>
      <c r="AF83">
        <v>-6.3263384398159976</v>
      </c>
      <c r="AG83">
        <v>-5.9383232909418124</v>
      </c>
      <c r="AH83">
        <v>-5.9400029550089979</v>
      </c>
      <c r="AI83">
        <v>-14.726547048497469</v>
      </c>
      <c r="AJ83">
        <v>-5.8561198095125411</v>
      </c>
      <c r="AK83">
        <v>-14.73071247545373</v>
      </c>
      <c r="AL83">
        <v>-5.8577762221959304</v>
      </c>
      <c r="AM83">
        <v>4.0627041475826973</v>
      </c>
      <c r="AN83">
        <v>4.0638532898300914</v>
      </c>
    </row>
    <row r="84" spans="1:40" x14ac:dyDescent="0.25">
      <c r="A84" s="1" t="s">
        <v>1414</v>
      </c>
      <c r="B84">
        <v>54168786180</v>
      </c>
      <c r="C84" t="s">
        <v>89</v>
      </c>
      <c r="D84" t="s">
        <v>127</v>
      </c>
      <c r="E84">
        <v>12183000000</v>
      </c>
      <c r="F84">
        <v>-7826000000</v>
      </c>
      <c r="G84">
        <v>-3361000000</v>
      </c>
      <c r="H84">
        <v>-8452000000</v>
      </c>
      <c r="I84">
        <v>-8335000000</v>
      </c>
      <c r="J84">
        <v>-8121000000</v>
      </c>
      <c r="K84">
        <v>11744000000</v>
      </c>
      <c r="L84">
        <v>0</v>
      </c>
      <c r="M84">
        <v>11744000000</v>
      </c>
      <c r="N84">
        <v>14300000000</v>
      </c>
      <c r="O84">
        <v>1129000000</v>
      </c>
      <c r="P84">
        <v>180000000</v>
      </c>
      <c r="Q84">
        <v>5800000000</v>
      </c>
      <c r="R84">
        <v>5570000000</v>
      </c>
      <c r="S84">
        <v>15072000000</v>
      </c>
      <c r="T84">
        <v>0</v>
      </c>
      <c r="U84">
        <v>-14000000</v>
      </c>
      <c r="V84">
        <v>15922000000</v>
      </c>
      <c r="W84">
        <v>48404786180</v>
      </c>
      <c r="X84">
        <v>48390786180</v>
      </c>
      <c r="Y84">
        <v>4.446260049248953</v>
      </c>
      <c r="Z84">
        <v>-6.9216440301558908</v>
      </c>
      <c r="AA84">
        <v>-16.116865867301399</v>
      </c>
      <c r="AB84">
        <v>-6.4089903194510178</v>
      </c>
      <c r="AC84">
        <v>-6.4989545506898621</v>
      </c>
      <c r="AD84">
        <v>-6.6702113261913558</v>
      </c>
      <c r="AE84">
        <v>-6.1833358267314082</v>
      </c>
      <c r="AF84">
        <v>-6.1851247354970607</v>
      </c>
      <c r="AG84">
        <v>-5.8057331949610074</v>
      </c>
      <c r="AH84">
        <v>-5.8074128590281946</v>
      </c>
      <c r="AI84">
        <v>-14.397734656352281</v>
      </c>
      <c r="AJ84">
        <v>-5.7253651419782301</v>
      </c>
      <c r="AK84">
        <v>-14.40190008330854</v>
      </c>
      <c r="AL84">
        <v>-5.7270215546616194</v>
      </c>
      <c r="AM84">
        <v>3.9719926274316668</v>
      </c>
      <c r="AN84">
        <v>3.973141769679061</v>
      </c>
    </row>
    <row r="85" spans="1:40" x14ac:dyDescent="0.25">
      <c r="A85" s="1" t="s">
        <v>1413</v>
      </c>
      <c r="B85">
        <v>54814867120</v>
      </c>
      <c r="C85" t="s">
        <v>89</v>
      </c>
      <c r="D85" t="s">
        <v>127</v>
      </c>
      <c r="E85">
        <v>12183000000</v>
      </c>
      <c r="F85">
        <v>-7826000000</v>
      </c>
      <c r="G85">
        <v>-3361000000</v>
      </c>
      <c r="H85">
        <v>-8452000000</v>
      </c>
      <c r="I85">
        <v>-8335000000</v>
      </c>
      <c r="J85">
        <v>-8121000000</v>
      </c>
      <c r="K85">
        <v>11744000000</v>
      </c>
      <c r="L85">
        <v>0</v>
      </c>
      <c r="M85">
        <v>11744000000</v>
      </c>
      <c r="N85">
        <v>14300000000</v>
      </c>
      <c r="O85">
        <v>1129000000</v>
      </c>
      <c r="P85">
        <v>180000000</v>
      </c>
      <c r="Q85">
        <v>5800000000</v>
      </c>
      <c r="R85">
        <v>5570000000</v>
      </c>
      <c r="S85">
        <v>15072000000</v>
      </c>
      <c r="T85">
        <v>0</v>
      </c>
      <c r="U85">
        <v>-14000000</v>
      </c>
      <c r="V85">
        <v>15922000000</v>
      </c>
      <c r="W85">
        <v>49050867120</v>
      </c>
      <c r="X85">
        <v>49036867120</v>
      </c>
      <c r="Y85">
        <v>4.4992913994910939</v>
      </c>
      <c r="Z85">
        <v>-7.0041997342192692</v>
      </c>
      <c r="AA85">
        <v>-16.309094650401661</v>
      </c>
      <c r="AB85">
        <v>-6.4854315097018453</v>
      </c>
      <c r="AC85">
        <v>-6.5764687606478702</v>
      </c>
      <c r="AD85">
        <v>-6.7497681467799531</v>
      </c>
      <c r="AE85">
        <v>-6.2658915307947867</v>
      </c>
      <c r="AF85">
        <v>-6.26768043956044</v>
      </c>
      <c r="AG85">
        <v>-5.8832474049190164</v>
      </c>
      <c r="AH85">
        <v>-5.8849270689862028</v>
      </c>
      <c r="AI85">
        <v>-14.589963439452539</v>
      </c>
      <c r="AJ85">
        <v>-5.8018063322290594</v>
      </c>
      <c r="AK85">
        <v>-14.594128866408809</v>
      </c>
      <c r="AL85">
        <v>-5.803462744912447</v>
      </c>
      <c r="AM85">
        <v>4.0250239776738077</v>
      </c>
      <c r="AN85">
        <v>4.0261731199212019</v>
      </c>
    </row>
    <row r="86" spans="1:40" x14ac:dyDescent="0.25">
      <c r="A86" s="1" t="s">
        <v>1412</v>
      </c>
      <c r="B86">
        <v>56974137630</v>
      </c>
      <c r="C86" t="s">
        <v>89</v>
      </c>
      <c r="D86" t="s">
        <v>127</v>
      </c>
      <c r="E86">
        <v>12183000000</v>
      </c>
      <c r="F86">
        <v>-7826000000</v>
      </c>
      <c r="G86">
        <v>-3361000000</v>
      </c>
      <c r="H86">
        <v>-8452000000</v>
      </c>
      <c r="I86">
        <v>-8335000000</v>
      </c>
      <c r="J86">
        <v>-8121000000</v>
      </c>
      <c r="K86">
        <v>11744000000</v>
      </c>
      <c r="L86">
        <v>0</v>
      </c>
      <c r="M86">
        <v>11744000000</v>
      </c>
      <c r="N86">
        <v>14300000000</v>
      </c>
      <c r="O86">
        <v>1129000000</v>
      </c>
      <c r="P86">
        <v>180000000</v>
      </c>
      <c r="Q86">
        <v>5800000000</v>
      </c>
      <c r="R86">
        <v>5570000000</v>
      </c>
      <c r="S86">
        <v>15072000000</v>
      </c>
      <c r="T86">
        <v>0</v>
      </c>
      <c r="U86">
        <v>-14000000</v>
      </c>
      <c r="V86">
        <v>15922000000</v>
      </c>
      <c r="W86">
        <v>51210137630</v>
      </c>
      <c r="X86">
        <v>51196137630</v>
      </c>
      <c r="Y86">
        <v>4.6765277542477222</v>
      </c>
      <c r="Z86">
        <v>-7.2801095872731922</v>
      </c>
      <c r="AA86">
        <v>-16.951543478131509</v>
      </c>
      <c r="AB86">
        <v>-6.7409060139611929</v>
      </c>
      <c r="AC86">
        <v>-6.8355294097180561</v>
      </c>
      <c r="AD86">
        <v>-7.0156554155892126</v>
      </c>
      <c r="AE86">
        <v>-6.5418013838487097</v>
      </c>
      <c r="AF86">
        <v>-6.5435902926143621</v>
      </c>
      <c r="AG86">
        <v>-6.1423080539892023</v>
      </c>
      <c r="AH86">
        <v>-6.1439877180563887</v>
      </c>
      <c r="AI86">
        <v>-15.23241226718239</v>
      </c>
      <c r="AJ86">
        <v>-6.0572808364884052</v>
      </c>
      <c r="AK86">
        <v>-15.236577694138649</v>
      </c>
      <c r="AL86">
        <v>-6.0589372491717937</v>
      </c>
      <c r="AM86">
        <v>4.202260332430436</v>
      </c>
      <c r="AN86">
        <v>4.2034094746778301</v>
      </c>
    </row>
    <row r="87" spans="1:40" x14ac:dyDescent="0.25">
      <c r="A87" s="1" t="s">
        <v>1411</v>
      </c>
      <c r="B87">
        <v>57807242000</v>
      </c>
      <c r="C87" t="s">
        <v>89</v>
      </c>
      <c r="D87" t="s">
        <v>127</v>
      </c>
      <c r="E87">
        <v>12183000000</v>
      </c>
      <c r="F87">
        <v>-7826000000</v>
      </c>
      <c r="G87">
        <v>-3361000000</v>
      </c>
      <c r="H87">
        <v>-8452000000</v>
      </c>
      <c r="I87">
        <v>-8335000000</v>
      </c>
      <c r="J87">
        <v>-8121000000</v>
      </c>
      <c r="K87">
        <v>11744000000</v>
      </c>
      <c r="L87">
        <v>0</v>
      </c>
      <c r="M87">
        <v>11744000000</v>
      </c>
      <c r="N87">
        <v>14300000000</v>
      </c>
      <c r="O87">
        <v>1129000000</v>
      </c>
      <c r="P87">
        <v>180000000</v>
      </c>
      <c r="Q87">
        <v>5800000000</v>
      </c>
      <c r="R87">
        <v>5570000000</v>
      </c>
      <c r="S87">
        <v>15072000000</v>
      </c>
      <c r="T87">
        <v>0</v>
      </c>
      <c r="U87">
        <v>-14000000</v>
      </c>
      <c r="V87">
        <v>15922000000</v>
      </c>
      <c r="W87">
        <v>52043242000</v>
      </c>
      <c r="X87">
        <v>52029242000</v>
      </c>
      <c r="Y87">
        <v>4.7449102848231144</v>
      </c>
      <c r="Z87">
        <v>-7.3865629951443914</v>
      </c>
      <c r="AA87">
        <v>-17.199417435287121</v>
      </c>
      <c r="AB87">
        <v>-6.8394749171793654</v>
      </c>
      <c r="AC87">
        <v>-6.9354819436112773</v>
      </c>
      <c r="AD87">
        <v>-7.1182418421376674</v>
      </c>
      <c r="AE87">
        <v>-6.648254791719908</v>
      </c>
      <c r="AF87">
        <v>-6.6500437004855613</v>
      </c>
      <c r="AG87">
        <v>-6.2422605878824244</v>
      </c>
      <c r="AH87">
        <v>-6.2439402519496099</v>
      </c>
      <c r="AI87">
        <v>-15.48028622433799</v>
      </c>
      <c r="AJ87">
        <v>-6.1558497397065786</v>
      </c>
      <c r="AK87">
        <v>-15.484451651294259</v>
      </c>
      <c r="AL87">
        <v>-6.157506152389967</v>
      </c>
      <c r="AM87">
        <v>4.2706428630058282</v>
      </c>
      <c r="AN87">
        <v>4.2717920052532206</v>
      </c>
    </row>
    <row r="88" spans="1:40" x14ac:dyDescent="0.25">
      <c r="A88" s="1" t="s">
        <v>1410</v>
      </c>
      <c r="B88">
        <v>57926256910</v>
      </c>
      <c r="C88" t="s">
        <v>89</v>
      </c>
      <c r="D88" t="s">
        <v>127</v>
      </c>
      <c r="E88">
        <v>12183000000</v>
      </c>
      <c r="F88">
        <v>-7826000000</v>
      </c>
      <c r="G88">
        <v>-3361000000</v>
      </c>
      <c r="H88">
        <v>-8452000000</v>
      </c>
      <c r="I88">
        <v>-8335000000</v>
      </c>
      <c r="J88">
        <v>-8121000000</v>
      </c>
      <c r="K88">
        <v>11744000000</v>
      </c>
      <c r="L88">
        <v>0</v>
      </c>
      <c r="M88">
        <v>11744000000</v>
      </c>
      <c r="N88">
        <v>14300000000</v>
      </c>
      <c r="O88">
        <v>1129000000</v>
      </c>
      <c r="P88">
        <v>180000000</v>
      </c>
      <c r="Q88">
        <v>5800000000</v>
      </c>
      <c r="R88">
        <v>5570000000</v>
      </c>
      <c r="S88">
        <v>15072000000</v>
      </c>
      <c r="T88">
        <v>0</v>
      </c>
      <c r="U88">
        <v>-14000000</v>
      </c>
      <c r="V88">
        <v>15922000000</v>
      </c>
      <c r="W88">
        <v>52162256910</v>
      </c>
      <c r="X88">
        <v>52148256910</v>
      </c>
      <c r="Y88">
        <v>4.7546792177624564</v>
      </c>
      <c r="Z88">
        <v>-7.4017706248402764</v>
      </c>
      <c r="AA88">
        <v>-17.234828000595058</v>
      </c>
      <c r="AB88">
        <v>-6.8535561890676764</v>
      </c>
      <c r="AC88">
        <v>-6.9497608770245947</v>
      </c>
      <c r="AD88">
        <v>-7.1328970459303038</v>
      </c>
      <c r="AE88">
        <v>-6.6634624214157938</v>
      </c>
      <c r="AF88">
        <v>-6.6652513301814462</v>
      </c>
      <c r="AG88">
        <v>-6.2565395212957409</v>
      </c>
      <c r="AH88">
        <v>-6.2582191853629272</v>
      </c>
      <c r="AI88">
        <v>-15.51569678964594</v>
      </c>
      <c r="AJ88">
        <v>-6.1699310115948887</v>
      </c>
      <c r="AK88">
        <v>-15.519862216602199</v>
      </c>
      <c r="AL88">
        <v>-6.1715874242782771</v>
      </c>
      <c r="AM88">
        <v>4.2804117959451693</v>
      </c>
      <c r="AN88">
        <v>4.2815609381925626</v>
      </c>
    </row>
    <row r="89" spans="1:40" x14ac:dyDescent="0.25">
      <c r="A89" s="1" t="s">
        <v>1409</v>
      </c>
      <c r="B89">
        <v>56532082250</v>
      </c>
      <c r="C89" t="s">
        <v>89</v>
      </c>
      <c r="D89" t="s">
        <v>127</v>
      </c>
      <c r="E89">
        <v>12183000000</v>
      </c>
      <c r="F89">
        <v>-7826000000</v>
      </c>
      <c r="G89">
        <v>-3361000000</v>
      </c>
      <c r="H89">
        <v>-8452000000</v>
      </c>
      <c r="I89">
        <v>-8335000000</v>
      </c>
      <c r="J89">
        <v>-8121000000</v>
      </c>
      <c r="K89">
        <v>11744000000</v>
      </c>
      <c r="L89">
        <v>0</v>
      </c>
      <c r="M89">
        <v>11744000000</v>
      </c>
      <c r="N89">
        <v>14300000000</v>
      </c>
      <c r="O89">
        <v>1129000000</v>
      </c>
      <c r="P89">
        <v>180000000</v>
      </c>
      <c r="Q89">
        <v>5800000000</v>
      </c>
      <c r="R89">
        <v>5570000000</v>
      </c>
      <c r="S89">
        <v>15072000000</v>
      </c>
      <c r="T89">
        <v>0</v>
      </c>
      <c r="U89">
        <v>-14000000</v>
      </c>
      <c r="V89">
        <v>15922000000</v>
      </c>
      <c r="W89">
        <v>50768082250</v>
      </c>
      <c r="X89">
        <v>50754082250</v>
      </c>
      <c r="Y89">
        <v>4.6402431461873102</v>
      </c>
      <c r="Z89">
        <v>-7.2236241055456167</v>
      </c>
      <c r="AA89">
        <v>-16.820018521273429</v>
      </c>
      <c r="AB89">
        <v>-6.6886041469474682</v>
      </c>
      <c r="AC89">
        <v>-6.7824933713257352</v>
      </c>
      <c r="AD89">
        <v>-6.961221801502278</v>
      </c>
      <c r="AE89">
        <v>-6.4853159021211351</v>
      </c>
      <c r="AF89">
        <v>-6.4871048108867866</v>
      </c>
      <c r="AG89">
        <v>-6.0892720155968796</v>
      </c>
      <c r="AH89">
        <v>-6.0909516796640668</v>
      </c>
      <c r="AI89">
        <v>-15.10088731032431</v>
      </c>
      <c r="AJ89">
        <v>-6.0049789694746796</v>
      </c>
      <c r="AK89">
        <v>-15.10505273728057</v>
      </c>
      <c r="AL89">
        <v>-6.0066353821580689</v>
      </c>
      <c r="AM89">
        <v>4.1659757243700239</v>
      </c>
      <c r="AN89">
        <v>4.1671248666174181</v>
      </c>
    </row>
    <row r="90" spans="1:40" x14ac:dyDescent="0.25">
      <c r="A90" s="1" t="s">
        <v>1408</v>
      </c>
      <c r="B90">
        <v>58538333590</v>
      </c>
      <c r="C90" t="s">
        <v>89</v>
      </c>
      <c r="D90" t="s">
        <v>127</v>
      </c>
      <c r="E90">
        <v>12183000000</v>
      </c>
      <c r="F90">
        <v>-7826000000</v>
      </c>
      <c r="G90">
        <v>-3361000000</v>
      </c>
      <c r="H90">
        <v>-8452000000</v>
      </c>
      <c r="I90">
        <v>-8335000000</v>
      </c>
      <c r="J90">
        <v>-8121000000</v>
      </c>
      <c r="K90">
        <v>11744000000</v>
      </c>
      <c r="L90">
        <v>0</v>
      </c>
      <c r="M90">
        <v>11744000000</v>
      </c>
      <c r="N90">
        <v>14300000000</v>
      </c>
      <c r="O90">
        <v>1129000000</v>
      </c>
      <c r="P90">
        <v>180000000</v>
      </c>
      <c r="Q90">
        <v>5800000000</v>
      </c>
      <c r="R90">
        <v>5570000000</v>
      </c>
      <c r="S90">
        <v>15072000000</v>
      </c>
      <c r="T90">
        <v>0</v>
      </c>
      <c r="U90">
        <v>-14000000</v>
      </c>
      <c r="V90">
        <v>15922000000</v>
      </c>
      <c r="W90">
        <v>52774333590</v>
      </c>
      <c r="X90">
        <v>52760333590</v>
      </c>
      <c r="Y90">
        <v>4.8049194443076422</v>
      </c>
      <c r="Z90">
        <v>-7.4799812918476869</v>
      </c>
      <c r="AA90">
        <v>-17.416939479321631</v>
      </c>
      <c r="AB90">
        <v>-6.9259741587789874</v>
      </c>
      <c r="AC90">
        <v>-7.0231953917216554</v>
      </c>
      <c r="AD90">
        <v>-7.2082666654352909</v>
      </c>
      <c r="AE90">
        <v>-6.7416730884232043</v>
      </c>
      <c r="AF90">
        <v>-6.7434619971888576</v>
      </c>
      <c r="AG90">
        <v>-6.3299740359928016</v>
      </c>
      <c r="AH90">
        <v>-6.331653700059988</v>
      </c>
      <c r="AI90">
        <v>-15.69780826837251</v>
      </c>
      <c r="AJ90">
        <v>-6.2423489813061996</v>
      </c>
      <c r="AK90">
        <v>-15.701973695328769</v>
      </c>
      <c r="AL90">
        <v>-6.2440053939895881</v>
      </c>
      <c r="AM90">
        <v>4.3306520224903551</v>
      </c>
      <c r="AN90">
        <v>4.3318011647377492</v>
      </c>
    </row>
    <row r="91" spans="1:40" x14ac:dyDescent="0.25">
      <c r="A91" s="1" t="s">
        <v>1407</v>
      </c>
      <c r="B91">
        <v>58300303770</v>
      </c>
      <c r="C91" t="s">
        <v>89</v>
      </c>
      <c r="D91" t="s">
        <v>127</v>
      </c>
      <c r="E91">
        <v>12183000000</v>
      </c>
      <c r="F91">
        <v>-7826000000</v>
      </c>
      <c r="G91">
        <v>-3361000000</v>
      </c>
      <c r="H91">
        <v>-8452000000</v>
      </c>
      <c r="I91">
        <v>-8335000000</v>
      </c>
      <c r="J91">
        <v>-8121000000</v>
      </c>
      <c r="K91">
        <v>11744000000</v>
      </c>
      <c r="L91">
        <v>0</v>
      </c>
      <c r="M91">
        <v>11744000000</v>
      </c>
      <c r="N91">
        <v>14300000000</v>
      </c>
      <c r="O91">
        <v>1129000000</v>
      </c>
      <c r="P91">
        <v>180000000</v>
      </c>
      <c r="Q91">
        <v>5800000000</v>
      </c>
      <c r="R91">
        <v>5570000000</v>
      </c>
      <c r="S91">
        <v>15072000000</v>
      </c>
      <c r="T91">
        <v>0</v>
      </c>
      <c r="U91">
        <v>-14000000</v>
      </c>
      <c r="V91">
        <v>15922000000</v>
      </c>
      <c r="W91">
        <v>52536303770</v>
      </c>
      <c r="X91">
        <v>52522303770</v>
      </c>
      <c r="Y91">
        <v>4.7853815784289582</v>
      </c>
      <c r="Z91">
        <v>-7.4495660324559161</v>
      </c>
      <c r="AA91">
        <v>-17.34611834870574</v>
      </c>
      <c r="AB91">
        <v>-6.8978116150023663</v>
      </c>
      <c r="AC91">
        <v>-6.9946375248950208</v>
      </c>
      <c r="AD91">
        <v>-7.1789562578500181</v>
      </c>
      <c r="AE91">
        <v>-6.7112578290314344</v>
      </c>
      <c r="AF91">
        <v>-6.7130467377970868</v>
      </c>
      <c r="AG91">
        <v>-6.301416169166167</v>
      </c>
      <c r="AH91">
        <v>-6.3030958332333533</v>
      </c>
      <c r="AI91">
        <v>-15.62698713775662</v>
      </c>
      <c r="AJ91">
        <v>-6.2141864375295794</v>
      </c>
      <c r="AK91">
        <v>-15.631152564712879</v>
      </c>
      <c r="AL91">
        <v>-6.215842850212967</v>
      </c>
      <c r="AM91">
        <v>4.311114156611672</v>
      </c>
      <c r="AN91">
        <v>4.3122632988590661</v>
      </c>
    </row>
    <row r="92" spans="1:40" x14ac:dyDescent="0.25">
      <c r="A92" s="1" t="s">
        <v>1406</v>
      </c>
      <c r="B92">
        <v>58249297380</v>
      </c>
      <c r="C92" t="s">
        <v>89</v>
      </c>
      <c r="D92" t="s">
        <v>127</v>
      </c>
      <c r="E92">
        <v>12183000000</v>
      </c>
      <c r="F92">
        <v>-7826000000</v>
      </c>
      <c r="G92">
        <v>-3361000000</v>
      </c>
      <c r="H92">
        <v>-8452000000</v>
      </c>
      <c r="I92">
        <v>-8335000000</v>
      </c>
      <c r="J92">
        <v>-8121000000</v>
      </c>
      <c r="K92">
        <v>11744000000</v>
      </c>
      <c r="L92">
        <v>0</v>
      </c>
      <c r="M92">
        <v>11744000000</v>
      </c>
      <c r="N92">
        <v>14300000000</v>
      </c>
      <c r="O92">
        <v>1129000000</v>
      </c>
      <c r="P92">
        <v>180000000</v>
      </c>
      <c r="Q92">
        <v>5800000000</v>
      </c>
      <c r="R92">
        <v>5570000000</v>
      </c>
      <c r="S92">
        <v>15072000000</v>
      </c>
      <c r="T92">
        <v>0</v>
      </c>
      <c r="U92">
        <v>-14000000</v>
      </c>
      <c r="V92">
        <v>15922000000</v>
      </c>
      <c r="W92">
        <v>52485297380</v>
      </c>
      <c r="X92">
        <v>52471297380</v>
      </c>
      <c r="Y92">
        <v>4.7811948928835264</v>
      </c>
      <c r="Z92">
        <v>-7.4430484768719651</v>
      </c>
      <c r="AA92">
        <v>-17.3309423921452</v>
      </c>
      <c r="AB92">
        <v>-6.8917767841930901</v>
      </c>
      <c r="AC92">
        <v>-6.9885179820035992</v>
      </c>
      <c r="AD92">
        <v>-7.1726754562246029</v>
      </c>
      <c r="AE92">
        <v>-6.7047402734474826</v>
      </c>
      <c r="AF92">
        <v>-6.7065291822131359</v>
      </c>
      <c r="AG92">
        <v>-6.2952966262747454</v>
      </c>
      <c r="AH92">
        <v>-6.2969762903419317</v>
      </c>
      <c r="AI92">
        <v>-15.611811181196069</v>
      </c>
      <c r="AJ92">
        <v>-6.2081516067203033</v>
      </c>
      <c r="AK92">
        <v>-15.615976608152341</v>
      </c>
      <c r="AL92">
        <v>-6.2098080194036918</v>
      </c>
      <c r="AM92">
        <v>4.3069274710662402</v>
      </c>
      <c r="AN92">
        <v>4.3080766133136326</v>
      </c>
    </row>
    <row r="93" spans="1:40" x14ac:dyDescent="0.25">
      <c r="A93" s="1" t="s">
        <v>1405</v>
      </c>
      <c r="B93">
        <v>57501203660</v>
      </c>
      <c r="C93" t="s">
        <v>89</v>
      </c>
      <c r="D93" t="s">
        <v>127</v>
      </c>
      <c r="E93">
        <v>12183000000</v>
      </c>
      <c r="F93">
        <v>-7826000000</v>
      </c>
      <c r="G93">
        <v>-3361000000</v>
      </c>
      <c r="H93">
        <v>-8452000000</v>
      </c>
      <c r="I93">
        <v>-8335000000</v>
      </c>
      <c r="J93">
        <v>-8121000000</v>
      </c>
      <c r="K93">
        <v>11744000000</v>
      </c>
      <c r="L93">
        <v>0</v>
      </c>
      <c r="M93">
        <v>11744000000</v>
      </c>
      <c r="N93">
        <v>14300000000</v>
      </c>
      <c r="O93">
        <v>1129000000</v>
      </c>
      <c r="P93">
        <v>180000000</v>
      </c>
      <c r="Q93">
        <v>5800000000</v>
      </c>
      <c r="R93">
        <v>5570000000</v>
      </c>
      <c r="S93">
        <v>15072000000</v>
      </c>
      <c r="T93">
        <v>0</v>
      </c>
      <c r="U93">
        <v>-14000000</v>
      </c>
      <c r="V93">
        <v>15922000000</v>
      </c>
      <c r="W93">
        <v>51737203660</v>
      </c>
      <c r="X93">
        <v>51723203660</v>
      </c>
      <c r="Y93">
        <v>4.7197901715505211</v>
      </c>
      <c r="Z93">
        <v>-7.3474576616406848</v>
      </c>
      <c r="AA93">
        <v>-17.108361695923829</v>
      </c>
      <c r="AB93">
        <v>-6.8032659323237104</v>
      </c>
      <c r="AC93">
        <v>-6.8987646862627479</v>
      </c>
      <c r="AD93">
        <v>-7.0805570323851743</v>
      </c>
      <c r="AE93">
        <v>-6.6091494582162023</v>
      </c>
      <c r="AF93">
        <v>-6.6109383669818564</v>
      </c>
      <c r="AG93">
        <v>-6.2055433305338932</v>
      </c>
      <c r="AH93">
        <v>-6.2072229946010804</v>
      </c>
      <c r="AI93">
        <v>-15.389230484974711</v>
      </c>
      <c r="AJ93">
        <v>-6.1196407548509226</v>
      </c>
      <c r="AK93">
        <v>-15.39339591193097</v>
      </c>
      <c r="AL93">
        <v>-6.1212971675343111</v>
      </c>
      <c r="AM93">
        <v>4.2455227497332348</v>
      </c>
      <c r="AN93">
        <v>4.246671891980629</v>
      </c>
    </row>
    <row r="94" spans="1:40" x14ac:dyDescent="0.25">
      <c r="A94" s="1" t="s">
        <v>1404</v>
      </c>
      <c r="B94">
        <v>55426943800</v>
      </c>
      <c r="C94" t="s">
        <v>89</v>
      </c>
      <c r="D94" t="s">
        <v>127</v>
      </c>
      <c r="E94">
        <v>12183000000</v>
      </c>
      <c r="F94">
        <v>-7826000000</v>
      </c>
      <c r="G94">
        <v>-3361000000</v>
      </c>
      <c r="H94">
        <v>-8452000000</v>
      </c>
      <c r="I94">
        <v>-8335000000</v>
      </c>
      <c r="J94">
        <v>-8121000000</v>
      </c>
      <c r="K94">
        <v>11744000000</v>
      </c>
      <c r="L94">
        <v>0</v>
      </c>
      <c r="M94">
        <v>11744000000</v>
      </c>
      <c r="N94">
        <v>14300000000</v>
      </c>
      <c r="O94">
        <v>1129000000</v>
      </c>
      <c r="P94">
        <v>180000000</v>
      </c>
      <c r="Q94">
        <v>5800000000</v>
      </c>
      <c r="R94">
        <v>5570000000</v>
      </c>
      <c r="S94">
        <v>15072000000</v>
      </c>
      <c r="T94">
        <v>0</v>
      </c>
      <c r="U94">
        <v>-14000000</v>
      </c>
      <c r="V94">
        <v>15922000000</v>
      </c>
      <c r="W94">
        <v>49662943800</v>
      </c>
      <c r="X94">
        <v>49648943800</v>
      </c>
      <c r="Y94">
        <v>4.5495316260362797</v>
      </c>
      <c r="Z94">
        <v>-7.0824104012266806</v>
      </c>
      <c r="AA94">
        <v>-16.491206129128241</v>
      </c>
      <c r="AB94">
        <v>-6.5578494794131563</v>
      </c>
      <c r="AC94">
        <v>-6.649903275344931</v>
      </c>
      <c r="AD94">
        <v>-6.8251377662849402</v>
      </c>
      <c r="AE94">
        <v>-6.3441021978021981</v>
      </c>
      <c r="AF94">
        <v>-6.3458911065678496</v>
      </c>
      <c r="AG94">
        <v>-5.9566819196160772</v>
      </c>
      <c r="AH94">
        <v>-5.9583615836832644</v>
      </c>
      <c r="AI94">
        <v>-14.77207491817911</v>
      </c>
      <c r="AJ94">
        <v>-5.8742243019403686</v>
      </c>
      <c r="AK94">
        <v>-14.776240345135379</v>
      </c>
      <c r="AL94">
        <v>-5.8758807146237579</v>
      </c>
      <c r="AM94">
        <v>4.0752642042189926</v>
      </c>
      <c r="AN94">
        <v>4.0764133464663876</v>
      </c>
    </row>
    <row r="95" spans="1:40" x14ac:dyDescent="0.25">
      <c r="A95" s="1" t="s">
        <v>1403</v>
      </c>
      <c r="B95">
        <v>56107029000</v>
      </c>
      <c r="C95" t="s">
        <v>89</v>
      </c>
      <c r="D95" t="s">
        <v>127</v>
      </c>
      <c r="E95">
        <v>12183000000</v>
      </c>
      <c r="F95">
        <v>-7826000000</v>
      </c>
      <c r="G95">
        <v>-3361000000</v>
      </c>
      <c r="H95">
        <v>-8452000000</v>
      </c>
      <c r="I95">
        <v>-8335000000</v>
      </c>
      <c r="J95">
        <v>-8121000000</v>
      </c>
      <c r="K95">
        <v>11744000000</v>
      </c>
      <c r="L95">
        <v>0</v>
      </c>
      <c r="M95">
        <v>11744000000</v>
      </c>
      <c r="N95">
        <v>14300000000</v>
      </c>
      <c r="O95">
        <v>1129000000</v>
      </c>
      <c r="P95">
        <v>180000000</v>
      </c>
      <c r="Q95">
        <v>5800000000</v>
      </c>
      <c r="R95">
        <v>5570000000</v>
      </c>
      <c r="S95">
        <v>15072000000</v>
      </c>
      <c r="T95">
        <v>0</v>
      </c>
      <c r="U95">
        <v>-14000000</v>
      </c>
      <c r="V95">
        <v>15922000000</v>
      </c>
      <c r="W95">
        <v>50343029000</v>
      </c>
      <c r="X95">
        <v>50329029000</v>
      </c>
      <c r="Y95">
        <v>4.6053540999753757</v>
      </c>
      <c r="Z95">
        <v>-7.1693111423460261</v>
      </c>
      <c r="AA95">
        <v>-16.6935522166022</v>
      </c>
      <c r="AB95">
        <v>-6.6383138902035022</v>
      </c>
      <c r="AC95">
        <v>-6.7314971805638866</v>
      </c>
      <c r="AD95">
        <v>-6.9088817879571476</v>
      </c>
      <c r="AE95">
        <v>-6.4310029389215444</v>
      </c>
      <c r="AF95">
        <v>-6.4327918476871968</v>
      </c>
      <c r="AG95">
        <v>-6.0382758248350328</v>
      </c>
      <c r="AH95">
        <v>-6.0399554889022191</v>
      </c>
      <c r="AI95">
        <v>-14.974421005653079</v>
      </c>
      <c r="AJ95">
        <v>-5.9546887127307144</v>
      </c>
      <c r="AK95">
        <v>-14.97858643260934</v>
      </c>
      <c r="AL95">
        <v>-5.9563451254141029</v>
      </c>
      <c r="AM95">
        <v>4.1310866781580886</v>
      </c>
      <c r="AN95">
        <v>4.1322358204054828</v>
      </c>
    </row>
    <row r="96" spans="1:40" x14ac:dyDescent="0.25">
      <c r="A96" s="1" t="s">
        <v>1402</v>
      </c>
      <c r="B96">
        <v>53216666900</v>
      </c>
      <c r="C96" t="s">
        <v>89</v>
      </c>
      <c r="D96" t="s">
        <v>127</v>
      </c>
      <c r="E96">
        <v>12183000000</v>
      </c>
      <c r="F96">
        <v>-7826000000</v>
      </c>
      <c r="G96">
        <v>-3361000000</v>
      </c>
      <c r="H96">
        <v>-8452000000</v>
      </c>
      <c r="I96">
        <v>-8335000000</v>
      </c>
      <c r="J96">
        <v>-8121000000</v>
      </c>
      <c r="K96">
        <v>11744000000</v>
      </c>
      <c r="L96">
        <v>0</v>
      </c>
      <c r="M96">
        <v>11744000000</v>
      </c>
      <c r="N96">
        <v>14300000000</v>
      </c>
      <c r="O96">
        <v>1129000000</v>
      </c>
      <c r="P96">
        <v>180000000</v>
      </c>
      <c r="Q96">
        <v>5800000000</v>
      </c>
      <c r="R96">
        <v>5570000000</v>
      </c>
      <c r="S96">
        <v>15072000000</v>
      </c>
      <c r="T96">
        <v>0</v>
      </c>
      <c r="U96">
        <v>-14000000</v>
      </c>
      <c r="V96">
        <v>15922000000</v>
      </c>
      <c r="W96">
        <v>47452666900</v>
      </c>
      <c r="X96">
        <v>47438666900</v>
      </c>
      <c r="Y96">
        <v>4.3681085857342197</v>
      </c>
      <c r="Z96">
        <v>-6.7999829925888067</v>
      </c>
      <c r="AA96">
        <v>-15.83358134483785</v>
      </c>
      <c r="AB96">
        <v>-6.2963401443445326</v>
      </c>
      <c r="AC96">
        <v>-6.3847230833833244</v>
      </c>
      <c r="AD96">
        <v>-6.5529696958502646</v>
      </c>
      <c r="AE96">
        <v>-6.0616747891643241</v>
      </c>
      <c r="AF96">
        <v>-6.0634636979299774</v>
      </c>
      <c r="AG96">
        <v>-5.6915017276544688</v>
      </c>
      <c r="AH96">
        <v>-5.693181391721656</v>
      </c>
      <c r="AI96">
        <v>-14.11445013388872</v>
      </c>
      <c r="AJ96">
        <v>-5.6127149668717466</v>
      </c>
      <c r="AK96">
        <v>-14.11861556084499</v>
      </c>
      <c r="AL96">
        <v>-5.6143713795551351</v>
      </c>
      <c r="AM96">
        <v>3.893841163916933</v>
      </c>
      <c r="AN96">
        <v>3.8949903061643272</v>
      </c>
    </row>
    <row r="97" spans="1:40" x14ac:dyDescent="0.25">
      <c r="A97" s="1" t="s">
        <v>1401</v>
      </c>
      <c r="B97">
        <v>53862747840</v>
      </c>
      <c r="C97" t="s">
        <v>89</v>
      </c>
      <c r="D97" t="s">
        <v>127</v>
      </c>
      <c r="E97">
        <v>12183000000</v>
      </c>
      <c r="F97">
        <v>-7826000000</v>
      </c>
      <c r="G97">
        <v>-3361000000</v>
      </c>
      <c r="H97">
        <v>-8452000000</v>
      </c>
      <c r="I97">
        <v>-8335000000</v>
      </c>
      <c r="J97">
        <v>-8121000000</v>
      </c>
      <c r="K97">
        <v>11744000000</v>
      </c>
      <c r="L97">
        <v>0</v>
      </c>
      <c r="M97">
        <v>11744000000</v>
      </c>
      <c r="N97">
        <v>14300000000</v>
      </c>
      <c r="O97">
        <v>1129000000</v>
      </c>
      <c r="P97">
        <v>180000000</v>
      </c>
      <c r="Q97">
        <v>5800000000</v>
      </c>
      <c r="R97">
        <v>5570000000</v>
      </c>
      <c r="S97">
        <v>15072000000</v>
      </c>
      <c r="T97">
        <v>0</v>
      </c>
      <c r="U97">
        <v>-14000000</v>
      </c>
      <c r="V97">
        <v>15922000000</v>
      </c>
      <c r="W97">
        <v>48098747840</v>
      </c>
      <c r="X97">
        <v>48084747840</v>
      </c>
      <c r="Y97">
        <v>4.4211399359763606</v>
      </c>
      <c r="Z97">
        <v>-6.8825386966521851</v>
      </c>
      <c r="AA97">
        <v>-16.025810127938119</v>
      </c>
      <c r="AB97">
        <v>-6.3727813345953619</v>
      </c>
      <c r="AC97">
        <v>-6.4622372933413317</v>
      </c>
      <c r="AD97">
        <v>-6.6325265164388618</v>
      </c>
      <c r="AE97">
        <v>-6.1442304932277034</v>
      </c>
      <c r="AF97">
        <v>-6.1460194019933558</v>
      </c>
      <c r="AG97">
        <v>-5.7690159376124779</v>
      </c>
      <c r="AH97">
        <v>-5.7706956016796642</v>
      </c>
      <c r="AI97">
        <v>-14.306678916988989</v>
      </c>
      <c r="AJ97">
        <v>-5.6891561571225742</v>
      </c>
      <c r="AK97">
        <v>-14.31084434394525</v>
      </c>
      <c r="AL97">
        <v>-5.6908125698059644</v>
      </c>
      <c r="AM97">
        <v>3.9468725141590739</v>
      </c>
      <c r="AN97">
        <v>3.9480216564064681</v>
      </c>
    </row>
    <row r="98" spans="1:40" x14ac:dyDescent="0.25">
      <c r="A98" s="1" t="s">
        <v>1400</v>
      </c>
      <c r="B98">
        <v>53675724410</v>
      </c>
      <c r="C98" t="s">
        <v>89</v>
      </c>
      <c r="D98" t="s">
        <v>127</v>
      </c>
      <c r="E98">
        <v>12183000000</v>
      </c>
      <c r="F98">
        <v>-7826000000</v>
      </c>
      <c r="G98">
        <v>-3361000000</v>
      </c>
      <c r="H98">
        <v>-8452000000</v>
      </c>
      <c r="I98">
        <v>-8335000000</v>
      </c>
      <c r="J98">
        <v>-8121000000</v>
      </c>
      <c r="K98">
        <v>11744000000</v>
      </c>
      <c r="L98">
        <v>0</v>
      </c>
      <c r="M98">
        <v>11744000000</v>
      </c>
      <c r="N98">
        <v>14300000000</v>
      </c>
      <c r="O98">
        <v>1129000000</v>
      </c>
      <c r="P98">
        <v>180000000</v>
      </c>
      <c r="Q98">
        <v>5800000000</v>
      </c>
      <c r="R98">
        <v>5570000000</v>
      </c>
      <c r="S98">
        <v>15072000000</v>
      </c>
      <c r="T98">
        <v>0</v>
      </c>
      <c r="U98">
        <v>-14000000</v>
      </c>
      <c r="V98">
        <v>15922000000</v>
      </c>
      <c r="W98">
        <v>47911724410</v>
      </c>
      <c r="X98">
        <v>47897724410</v>
      </c>
      <c r="Y98">
        <v>4.4057887556431092</v>
      </c>
      <c r="Z98">
        <v>-6.8586409928443652</v>
      </c>
      <c r="AA98">
        <v>-15.970164953882771</v>
      </c>
      <c r="AB98">
        <v>-6.3506536216280169</v>
      </c>
      <c r="AC98">
        <v>-6.4397989694061186</v>
      </c>
      <c r="AD98">
        <v>-6.6094969104790051</v>
      </c>
      <c r="AE98">
        <v>-6.1203327894198827</v>
      </c>
      <c r="AF98">
        <v>-6.1221216981855351</v>
      </c>
      <c r="AG98">
        <v>-5.7465776136772648</v>
      </c>
      <c r="AH98">
        <v>-5.7482572777444512</v>
      </c>
      <c r="AI98">
        <v>-14.25103374293365</v>
      </c>
      <c r="AJ98">
        <v>-5.6670284441552292</v>
      </c>
      <c r="AK98">
        <v>-14.255199169889909</v>
      </c>
      <c r="AL98">
        <v>-5.6686848568386177</v>
      </c>
      <c r="AM98">
        <v>3.931521333825823</v>
      </c>
      <c r="AN98">
        <v>3.9326704760732172</v>
      </c>
    </row>
    <row r="99" spans="1:40" x14ac:dyDescent="0.25">
      <c r="A99" s="1" t="s">
        <v>1399</v>
      </c>
      <c r="B99">
        <v>51499451770</v>
      </c>
      <c r="C99" t="s">
        <v>89</v>
      </c>
      <c r="D99" t="s">
        <v>127</v>
      </c>
      <c r="E99">
        <v>12183000000</v>
      </c>
      <c r="F99">
        <v>-7826000000</v>
      </c>
      <c r="G99">
        <v>-3361000000</v>
      </c>
      <c r="H99">
        <v>-8452000000</v>
      </c>
      <c r="I99">
        <v>-8335000000</v>
      </c>
      <c r="J99">
        <v>-8121000000</v>
      </c>
      <c r="K99">
        <v>11744000000</v>
      </c>
      <c r="L99">
        <v>0</v>
      </c>
      <c r="M99">
        <v>11744000000</v>
      </c>
      <c r="N99">
        <v>14300000000</v>
      </c>
      <c r="O99">
        <v>1129000000</v>
      </c>
      <c r="P99">
        <v>180000000</v>
      </c>
      <c r="Q99">
        <v>5800000000</v>
      </c>
      <c r="R99">
        <v>5570000000</v>
      </c>
      <c r="S99">
        <v>15072000000</v>
      </c>
      <c r="T99">
        <v>0</v>
      </c>
      <c r="U99">
        <v>-14000000</v>
      </c>
      <c r="V99">
        <v>15922000000</v>
      </c>
      <c r="W99">
        <v>45735451770</v>
      </c>
      <c r="X99">
        <v>45721451770</v>
      </c>
      <c r="Y99">
        <v>4.2271568390380034</v>
      </c>
      <c r="Z99">
        <v>-6.5805586212624583</v>
      </c>
      <c r="AA99">
        <v>-15.32265747396608</v>
      </c>
      <c r="AB99">
        <v>-6.0931675070989124</v>
      </c>
      <c r="AC99">
        <v>-6.1786984727054586</v>
      </c>
      <c r="AD99">
        <v>-6.3415160411279397</v>
      </c>
      <c r="AE99">
        <v>-5.8422504178379757</v>
      </c>
      <c r="AF99">
        <v>-5.844039326603629</v>
      </c>
      <c r="AG99">
        <v>-5.4854771169766048</v>
      </c>
      <c r="AH99">
        <v>-5.4871567810437911</v>
      </c>
      <c r="AI99">
        <v>-13.60352626301696</v>
      </c>
      <c r="AJ99">
        <v>-5.4095423296261238</v>
      </c>
      <c r="AK99">
        <v>-13.607691689973221</v>
      </c>
      <c r="AL99">
        <v>-5.4111987423095123</v>
      </c>
      <c r="AM99">
        <v>3.7528894172207168</v>
      </c>
      <c r="AN99">
        <v>3.7540385594681109</v>
      </c>
    </row>
    <row r="100" spans="1:40" x14ac:dyDescent="0.25">
      <c r="A100" s="1" t="s">
        <v>88</v>
      </c>
      <c r="B100">
        <v>52111622200</v>
      </c>
      <c r="C100" t="s">
        <v>89</v>
      </c>
      <c r="D100" t="s">
        <v>127</v>
      </c>
      <c r="E100">
        <v>12183000000</v>
      </c>
      <c r="F100">
        <v>-7826000000</v>
      </c>
      <c r="G100">
        <v>-3361000000</v>
      </c>
      <c r="H100">
        <v>-8452000000</v>
      </c>
      <c r="I100">
        <v>-8335000000</v>
      </c>
      <c r="J100">
        <v>-8121000000</v>
      </c>
      <c r="K100">
        <v>11744000000</v>
      </c>
      <c r="L100">
        <v>0</v>
      </c>
      <c r="M100">
        <v>11744000000</v>
      </c>
      <c r="N100">
        <v>14300000000</v>
      </c>
      <c r="O100">
        <v>1129000000</v>
      </c>
      <c r="P100">
        <v>180000000</v>
      </c>
      <c r="Q100">
        <v>5800000000</v>
      </c>
      <c r="R100">
        <v>5570000000</v>
      </c>
      <c r="S100">
        <v>15072000000</v>
      </c>
      <c r="T100">
        <v>0</v>
      </c>
      <c r="U100">
        <v>-14000000</v>
      </c>
      <c r="V100">
        <v>15922000000</v>
      </c>
      <c r="W100">
        <v>46347622200</v>
      </c>
      <c r="X100">
        <v>46333622200</v>
      </c>
      <c r="Y100">
        <v>4.2774047607321677</v>
      </c>
      <c r="Z100">
        <v>-6.6587812675696396</v>
      </c>
      <c r="AA100">
        <v>-15.504796846176729</v>
      </c>
      <c r="AB100">
        <v>-6.1655965688594412</v>
      </c>
      <c r="AC100">
        <v>-6.2521442351529686</v>
      </c>
      <c r="AD100">
        <v>-6.4168972047777366</v>
      </c>
      <c r="AE100">
        <v>-5.9204730641451571</v>
      </c>
      <c r="AF100">
        <v>-5.9222619729108104</v>
      </c>
      <c r="AG100">
        <v>-5.5589228794241148</v>
      </c>
      <c r="AH100">
        <v>-5.560602543491302</v>
      </c>
      <c r="AI100">
        <v>-13.785665635227611</v>
      </c>
      <c r="AJ100">
        <v>-5.4819713913866543</v>
      </c>
      <c r="AK100">
        <v>-13.78983106218387</v>
      </c>
      <c r="AL100">
        <v>-5.4836278040700428</v>
      </c>
      <c r="AM100">
        <v>3.803137338914881</v>
      </c>
      <c r="AN100">
        <v>3.8042864811622752</v>
      </c>
    </row>
    <row r="101" spans="1:40" x14ac:dyDescent="0.25">
      <c r="A101" s="1" t="s">
        <v>1398</v>
      </c>
      <c r="B101">
        <v>49854079000</v>
      </c>
      <c r="C101" t="s">
        <v>89</v>
      </c>
      <c r="D101" t="s">
        <v>127</v>
      </c>
      <c r="E101">
        <v>12183000000</v>
      </c>
      <c r="F101">
        <v>-7826000000</v>
      </c>
      <c r="G101">
        <v>-3361000000</v>
      </c>
      <c r="H101">
        <v>-8452000000</v>
      </c>
      <c r="I101">
        <v>-8335000000</v>
      </c>
      <c r="J101">
        <v>-8121000000</v>
      </c>
      <c r="K101">
        <v>11744000000</v>
      </c>
      <c r="L101">
        <v>0</v>
      </c>
      <c r="M101">
        <v>11744000000</v>
      </c>
      <c r="N101">
        <v>14300000000</v>
      </c>
      <c r="O101">
        <v>1129000000</v>
      </c>
      <c r="P101">
        <v>180000000</v>
      </c>
      <c r="Q101">
        <v>5800000000</v>
      </c>
      <c r="R101">
        <v>5570000000</v>
      </c>
      <c r="S101">
        <v>15072000000</v>
      </c>
      <c r="T101">
        <v>0</v>
      </c>
      <c r="U101">
        <v>-14000000</v>
      </c>
      <c r="V101">
        <v>15922000000</v>
      </c>
      <c r="W101">
        <v>44090079000</v>
      </c>
      <c r="X101">
        <v>44076079000</v>
      </c>
      <c r="Y101">
        <v>4.0921020274152511</v>
      </c>
      <c r="Z101">
        <v>-6.370314209046767</v>
      </c>
      <c r="AA101">
        <v>-14.83310889616186</v>
      </c>
      <c r="AB101">
        <v>-5.8984949124467576</v>
      </c>
      <c r="AC101">
        <v>-5.9812932213557293</v>
      </c>
      <c r="AD101">
        <v>-6.1389088782169683</v>
      </c>
      <c r="AE101">
        <v>-5.6320060056222836</v>
      </c>
      <c r="AF101">
        <v>-5.6337949143879378</v>
      </c>
      <c r="AG101">
        <v>-5.2880718656268746</v>
      </c>
      <c r="AH101">
        <v>-5.2897515296940609</v>
      </c>
      <c r="AI101">
        <v>-13.113977685212729</v>
      </c>
      <c r="AJ101">
        <v>-5.2148697349739708</v>
      </c>
      <c r="AK101">
        <v>-13.118143112168999</v>
      </c>
      <c r="AL101">
        <v>-5.2165261476573592</v>
      </c>
      <c r="AM101">
        <v>3.617834605597964</v>
      </c>
      <c r="AN101">
        <v>3.6189837478453581</v>
      </c>
    </row>
    <row r="102" spans="1:40" x14ac:dyDescent="0.25">
      <c r="A102" s="1" t="s">
        <v>1397</v>
      </c>
      <c r="B102">
        <v>49597540000</v>
      </c>
      <c r="C102" t="s">
        <v>89</v>
      </c>
      <c r="D102" t="s">
        <v>127</v>
      </c>
      <c r="E102">
        <v>12183000000</v>
      </c>
      <c r="F102">
        <v>-7826000000</v>
      </c>
      <c r="G102">
        <v>-3361000000</v>
      </c>
      <c r="H102">
        <v>-8452000000</v>
      </c>
      <c r="I102">
        <v>-8335000000</v>
      </c>
      <c r="J102">
        <v>-8121000000</v>
      </c>
      <c r="K102">
        <v>11744000000</v>
      </c>
      <c r="L102">
        <v>0</v>
      </c>
      <c r="M102">
        <v>11744000000</v>
      </c>
      <c r="N102">
        <v>14300000000</v>
      </c>
      <c r="O102">
        <v>1129000000</v>
      </c>
      <c r="P102">
        <v>180000000</v>
      </c>
      <c r="Q102">
        <v>5800000000</v>
      </c>
      <c r="R102">
        <v>5570000000</v>
      </c>
      <c r="S102">
        <v>15072000000</v>
      </c>
      <c r="T102">
        <v>0</v>
      </c>
      <c r="U102">
        <v>-14000000</v>
      </c>
      <c r="V102">
        <v>15922000000</v>
      </c>
      <c r="W102">
        <v>43833540000</v>
      </c>
      <c r="X102">
        <v>43819540000</v>
      </c>
      <c r="Y102">
        <v>4.0710448986292374</v>
      </c>
      <c r="Z102">
        <v>-6.3375338614873504</v>
      </c>
      <c r="AA102">
        <v>-14.7567807200238</v>
      </c>
      <c r="AB102">
        <v>-5.8681424514907716</v>
      </c>
      <c r="AC102">
        <v>-5.950514697060588</v>
      </c>
      <c r="AD102">
        <v>-6.1073192956532436</v>
      </c>
      <c r="AE102">
        <v>-5.599225658062867</v>
      </c>
      <c r="AF102">
        <v>-5.6010145668285203</v>
      </c>
      <c r="AG102">
        <v>-5.2572933413317333</v>
      </c>
      <c r="AH102">
        <v>-5.2589730053989214</v>
      </c>
      <c r="AI102">
        <v>-13.037649509074679</v>
      </c>
      <c r="AJ102">
        <v>-5.1845172740179839</v>
      </c>
      <c r="AK102">
        <v>-13.04181493603094</v>
      </c>
      <c r="AL102">
        <v>-5.1861736867013724</v>
      </c>
      <c r="AM102">
        <v>3.5967774768119511</v>
      </c>
      <c r="AN102">
        <v>3.5979266190593449</v>
      </c>
    </row>
    <row r="103" spans="1:40" x14ac:dyDescent="0.25">
      <c r="A103" s="1" t="s">
        <v>1396</v>
      </c>
      <c r="B103">
        <v>50828927200</v>
      </c>
      <c r="C103" t="s">
        <v>89</v>
      </c>
      <c r="D103" t="s">
        <v>127</v>
      </c>
      <c r="E103">
        <v>12183000000</v>
      </c>
      <c r="F103">
        <v>-7826000000</v>
      </c>
      <c r="G103">
        <v>-3361000000</v>
      </c>
      <c r="H103">
        <v>-8452000000</v>
      </c>
      <c r="I103">
        <v>-8335000000</v>
      </c>
      <c r="J103">
        <v>-8121000000</v>
      </c>
      <c r="K103">
        <v>11744000000</v>
      </c>
      <c r="L103">
        <v>0</v>
      </c>
      <c r="M103">
        <v>11744000000</v>
      </c>
      <c r="N103">
        <v>14300000000</v>
      </c>
      <c r="O103">
        <v>1129000000</v>
      </c>
      <c r="P103">
        <v>180000000</v>
      </c>
      <c r="Q103">
        <v>5800000000</v>
      </c>
      <c r="R103">
        <v>5570000000</v>
      </c>
      <c r="S103">
        <v>15072000000</v>
      </c>
      <c r="T103">
        <v>0</v>
      </c>
      <c r="U103">
        <v>-14000000</v>
      </c>
      <c r="V103">
        <v>15922000000</v>
      </c>
      <c r="W103">
        <v>45064927200</v>
      </c>
      <c r="X103">
        <v>45050927200</v>
      </c>
      <c r="Y103">
        <v>4.1721191168021017</v>
      </c>
      <c r="Z103">
        <v>-6.494879529772553</v>
      </c>
      <c r="AA103">
        <v>-15.123155965486459</v>
      </c>
      <c r="AB103">
        <v>-6.0138342640795077</v>
      </c>
      <c r="AC103">
        <v>-6.0982516136772649</v>
      </c>
      <c r="AD103">
        <v>-6.2589492919591194</v>
      </c>
      <c r="AE103">
        <v>-5.7565713263480696</v>
      </c>
      <c r="AF103">
        <v>-5.7583602351137237</v>
      </c>
      <c r="AG103">
        <v>-5.4050302579484102</v>
      </c>
      <c r="AH103">
        <v>-5.4067099220155974</v>
      </c>
      <c r="AI103">
        <v>-13.404024754537341</v>
      </c>
      <c r="AJ103">
        <v>-5.33020908660672</v>
      </c>
      <c r="AK103">
        <v>-13.4081901814936</v>
      </c>
      <c r="AL103">
        <v>-5.3318654992901076</v>
      </c>
      <c r="AM103">
        <v>3.697851694984815</v>
      </c>
      <c r="AN103">
        <v>3.6990008372322092</v>
      </c>
    </row>
    <row r="104" spans="1:40" x14ac:dyDescent="0.25">
      <c r="A104" s="1" t="s">
        <v>1395</v>
      </c>
      <c r="B104">
        <v>50743414200</v>
      </c>
      <c r="C104" t="s">
        <v>89</v>
      </c>
      <c r="D104" t="s">
        <v>127</v>
      </c>
      <c r="E104">
        <v>12183000000</v>
      </c>
      <c r="F104">
        <v>-7826000000</v>
      </c>
      <c r="G104">
        <v>-3361000000</v>
      </c>
      <c r="H104">
        <v>-8452000000</v>
      </c>
      <c r="I104">
        <v>-8335000000</v>
      </c>
      <c r="J104">
        <v>-8121000000</v>
      </c>
      <c r="K104">
        <v>11744000000</v>
      </c>
      <c r="L104">
        <v>0</v>
      </c>
      <c r="M104">
        <v>11744000000</v>
      </c>
      <c r="N104">
        <v>14300000000</v>
      </c>
      <c r="O104">
        <v>1129000000</v>
      </c>
      <c r="P104">
        <v>180000000</v>
      </c>
      <c r="Q104">
        <v>5800000000</v>
      </c>
      <c r="R104">
        <v>5570000000</v>
      </c>
      <c r="S104">
        <v>15072000000</v>
      </c>
      <c r="T104">
        <v>0</v>
      </c>
      <c r="U104">
        <v>-14000000</v>
      </c>
      <c r="V104">
        <v>15922000000</v>
      </c>
      <c r="W104">
        <v>44979414200</v>
      </c>
      <c r="X104">
        <v>44965414200</v>
      </c>
      <c r="Y104">
        <v>4.1651000738734298</v>
      </c>
      <c r="Z104">
        <v>-6.4839527472527472</v>
      </c>
      <c r="AA104">
        <v>-15.09771324010711</v>
      </c>
      <c r="AB104">
        <v>-6.0037167770941791</v>
      </c>
      <c r="AC104">
        <v>-6.0879921055788841</v>
      </c>
      <c r="AD104">
        <v>-6.2484194311045433</v>
      </c>
      <c r="AE104">
        <v>-5.7456445438282646</v>
      </c>
      <c r="AF104">
        <v>-5.7474334525939179</v>
      </c>
      <c r="AG104">
        <v>-5.3947707498500304</v>
      </c>
      <c r="AH104">
        <v>-5.3964504139172167</v>
      </c>
      <c r="AI104">
        <v>-13.37858202915799</v>
      </c>
      <c r="AJ104">
        <v>-5.3200915996213913</v>
      </c>
      <c r="AK104">
        <v>-13.382747456114251</v>
      </c>
      <c r="AL104">
        <v>-5.3217480123047798</v>
      </c>
      <c r="AM104">
        <v>3.6908326520561441</v>
      </c>
      <c r="AN104">
        <v>3.6919817943035378</v>
      </c>
    </row>
    <row r="105" spans="1:40" x14ac:dyDescent="0.25">
      <c r="A105" s="1" t="s">
        <v>1394</v>
      </c>
      <c r="B105">
        <v>51940596200</v>
      </c>
      <c r="C105" t="s">
        <v>89</v>
      </c>
      <c r="D105" t="s">
        <v>127</v>
      </c>
      <c r="E105">
        <v>12183000000</v>
      </c>
      <c r="F105">
        <v>-7826000000</v>
      </c>
      <c r="G105">
        <v>-3361000000</v>
      </c>
      <c r="H105">
        <v>-8452000000</v>
      </c>
      <c r="I105">
        <v>-8335000000</v>
      </c>
      <c r="J105">
        <v>-8121000000</v>
      </c>
      <c r="K105">
        <v>11744000000</v>
      </c>
      <c r="L105">
        <v>0</v>
      </c>
      <c r="M105">
        <v>11744000000</v>
      </c>
      <c r="N105">
        <v>14300000000</v>
      </c>
      <c r="O105">
        <v>1129000000</v>
      </c>
      <c r="P105">
        <v>180000000</v>
      </c>
      <c r="Q105">
        <v>5800000000</v>
      </c>
      <c r="R105">
        <v>5570000000</v>
      </c>
      <c r="S105">
        <v>15072000000</v>
      </c>
      <c r="T105">
        <v>0</v>
      </c>
      <c r="U105">
        <v>-14000000</v>
      </c>
      <c r="V105">
        <v>15922000000</v>
      </c>
      <c r="W105">
        <v>46176596200</v>
      </c>
      <c r="X105">
        <v>46162596200</v>
      </c>
      <c r="Y105">
        <v>4.2633666748748258</v>
      </c>
      <c r="Z105">
        <v>-6.636927702530028</v>
      </c>
      <c r="AA105">
        <v>-15.45391139541803</v>
      </c>
      <c r="AB105">
        <v>-6.1453615948887839</v>
      </c>
      <c r="AC105">
        <v>-6.2316252189562089</v>
      </c>
      <c r="AD105">
        <v>-6.395837483068588</v>
      </c>
      <c r="AE105">
        <v>-5.8986194991055454</v>
      </c>
      <c r="AF105">
        <v>-5.9004084078711987</v>
      </c>
      <c r="AG105">
        <v>-5.5384038632273542</v>
      </c>
      <c r="AH105">
        <v>-5.5400835272945406</v>
      </c>
      <c r="AI105">
        <v>-13.73478018446891</v>
      </c>
      <c r="AJ105">
        <v>-5.4617364174159961</v>
      </c>
      <c r="AK105">
        <v>-13.738945611425169</v>
      </c>
      <c r="AL105">
        <v>-5.4633928300993846</v>
      </c>
      <c r="AM105">
        <v>3.7890992530575391</v>
      </c>
      <c r="AN105">
        <v>3.7902483953049328</v>
      </c>
    </row>
    <row r="106" spans="1:40" x14ac:dyDescent="0.25">
      <c r="A106" s="1" t="s">
        <v>1393</v>
      </c>
      <c r="B106">
        <v>50076412800</v>
      </c>
      <c r="C106" t="s">
        <v>89</v>
      </c>
      <c r="D106" t="s">
        <v>127</v>
      </c>
      <c r="E106">
        <v>12183000000</v>
      </c>
      <c r="F106">
        <v>-7826000000</v>
      </c>
      <c r="G106">
        <v>-3361000000</v>
      </c>
      <c r="H106">
        <v>-8452000000</v>
      </c>
      <c r="I106">
        <v>-8335000000</v>
      </c>
      <c r="J106">
        <v>-8121000000</v>
      </c>
      <c r="K106">
        <v>11744000000</v>
      </c>
      <c r="L106">
        <v>0</v>
      </c>
      <c r="M106">
        <v>11744000000</v>
      </c>
      <c r="N106">
        <v>14300000000</v>
      </c>
      <c r="O106">
        <v>1129000000</v>
      </c>
      <c r="P106">
        <v>180000000</v>
      </c>
      <c r="Q106">
        <v>5800000000</v>
      </c>
      <c r="R106">
        <v>5570000000</v>
      </c>
      <c r="S106">
        <v>15072000000</v>
      </c>
      <c r="T106">
        <v>0</v>
      </c>
      <c r="U106">
        <v>-14000000</v>
      </c>
      <c r="V106">
        <v>15922000000</v>
      </c>
      <c r="W106">
        <v>44312412800</v>
      </c>
      <c r="X106">
        <v>44298412800</v>
      </c>
      <c r="Y106">
        <v>4.1103515390297964</v>
      </c>
      <c r="Z106">
        <v>-6.3987238435982619</v>
      </c>
      <c r="AA106">
        <v>-14.89925998214817</v>
      </c>
      <c r="AB106">
        <v>-5.9248003786086132</v>
      </c>
      <c r="AC106">
        <v>-6.0079679424115184</v>
      </c>
      <c r="AD106">
        <v>-6.1662865164388618</v>
      </c>
      <c r="AE106">
        <v>-5.6604156401737793</v>
      </c>
      <c r="AF106">
        <v>-5.6622045489394326</v>
      </c>
      <c r="AG106">
        <v>-5.3147465866826638</v>
      </c>
      <c r="AH106">
        <v>-5.3164262507498501</v>
      </c>
      <c r="AI106">
        <v>-13.180128771199049</v>
      </c>
      <c r="AJ106">
        <v>-5.2411752011358246</v>
      </c>
      <c r="AK106">
        <v>-13.18429419815531</v>
      </c>
      <c r="AL106">
        <v>-5.2428316138192148</v>
      </c>
      <c r="AM106">
        <v>3.6360841172125089</v>
      </c>
      <c r="AN106">
        <v>3.6372332594599031</v>
      </c>
    </row>
    <row r="107" spans="1:40" x14ac:dyDescent="0.25">
      <c r="A107" s="1" t="s">
        <v>1392</v>
      </c>
      <c r="B107">
        <v>49717258200</v>
      </c>
      <c r="C107" t="s">
        <v>89</v>
      </c>
      <c r="D107" t="s">
        <v>127</v>
      </c>
      <c r="E107">
        <v>12183000000</v>
      </c>
      <c r="F107">
        <v>-7826000000</v>
      </c>
      <c r="G107">
        <v>-3361000000</v>
      </c>
      <c r="H107">
        <v>-8452000000</v>
      </c>
      <c r="I107">
        <v>-8335000000</v>
      </c>
      <c r="J107">
        <v>-8121000000</v>
      </c>
      <c r="K107">
        <v>11744000000</v>
      </c>
      <c r="L107">
        <v>0</v>
      </c>
      <c r="M107">
        <v>11744000000</v>
      </c>
      <c r="N107">
        <v>14300000000</v>
      </c>
      <c r="O107">
        <v>1129000000</v>
      </c>
      <c r="P107">
        <v>180000000</v>
      </c>
      <c r="Q107">
        <v>5800000000</v>
      </c>
      <c r="R107">
        <v>5570000000</v>
      </c>
      <c r="S107">
        <v>15072000000</v>
      </c>
      <c r="T107">
        <v>0</v>
      </c>
      <c r="U107">
        <v>-14000000</v>
      </c>
      <c r="V107">
        <v>15922000000</v>
      </c>
      <c r="W107">
        <v>43953258200</v>
      </c>
      <c r="X107">
        <v>43939258200</v>
      </c>
      <c r="Y107">
        <v>4.0808715587293767</v>
      </c>
      <c r="Z107">
        <v>-6.3528313570150781</v>
      </c>
      <c r="AA107">
        <v>-14.79240053555489</v>
      </c>
      <c r="AB107">
        <v>-5.8823069332702316</v>
      </c>
      <c r="AC107">
        <v>-5.9648780083983199</v>
      </c>
      <c r="AD107">
        <v>-6.1220611008496491</v>
      </c>
      <c r="AE107">
        <v>-5.6145231535905964</v>
      </c>
      <c r="AF107">
        <v>-5.6163120623562488</v>
      </c>
      <c r="AG107">
        <v>-5.2716566526694661</v>
      </c>
      <c r="AH107">
        <v>-5.2733363167366516</v>
      </c>
      <c r="AI107">
        <v>-13.07326932460577</v>
      </c>
      <c r="AJ107">
        <v>-5.1986817557974447</v>
      </c>
      <c r="AK107">
        <v>-13.077434751562039</v>
      </c>
      <c r="AL107">
        <v>-5.2003381684808332</v>
      </c>
      <c r="AM107">
        <v>3.60660413691209</v>
      </c>
      <c r="AN107">
        <v>3.6077532791594851</v>
      </c>
    </row>
    <row r="108" spans="1:40" x14ac:dyDescent="0.25">
      <c r="A108" s="1" t="s">
        <v>1391</v>
      </c>
      <c r="B108">
        <v>49375206200</v>
      </c>
      <c r="C108" t="s">
        <v>89</v>
      </c>
      <c r="D108" t="s">
        <v>127</v>
      </c>
      <c r="E108">
        <v>12183000000</v>
      </c>
      <c r="F108">
        <v>-7826000000</v>
      </c>
      <c r="G108">
        <v>-3361000000</v>
      </c>
      <c r="H108">
        <v>-8452000000</v>
      </c>
      <c r="I108">
        <v>-8335000000</v>
      </c>
      <c r="J108">
        <v>-8121000000</v>
      </c>
      <c r="K108">
        <v>11744000000</v>
      </c>
      <c r="L108">
        <v>0</v>
      </c>
      <c r="M108">
        <v>11744000000</v>
      </c>
      <c r="N108">
        <v>14300000000</v>
      </c>
      <c r="O108">
        <v>1129000000</v>
      </c>
      <c r="P108">
        <v>180000000</v>
      </c>
      <c r="Q108">
        <v>5800000000</v>
      </c>
      <c r="R108">
        <v>5570000000</v>
      </c>
      <c r="S108">
        <v>15072000000</v>
      </c>
      <c r="T108">
        <v>0</v>
      </c>
      <c r="U108">
        <v>-14000000</v>
      </c>
      <c r="V108">
        <v>15922000000</v>
      </c>
      <c r="W108">
        <v>43611206200</v>
      </c>
      <c r="X108">
        <v>43597206200</v>
      </c>
      <c r="Y108">
        <v>4.0527953870146929</v>
      </c>
      <c r="Z108">
        <v>-6.3091242269358547</v>
      </c>
      <c r="AA108">
        <v>-14.69062963403749</v>
      </c>
      <c r="AB108">
        <v>-5.841836985328916</v>
      </c>
      <c r="AC108">
        <v>-5.9238399760047988</v>
      </c>
      <c r="AD108">
        <v>-6.079941657431351</v>
      </c>
      <c r="AE108">
        <v>-5.5708160235113722</v>
      </c>
      <c r="AF108">
        <v>-5.5726049322770246</v>
      </c>
      <c r="AG108">
        <v>-5.230618620275945</v>
      </c>
      <c r="AH108">
        <v>-5.2322982843431314</v>
      </c>
      <c r="AI108">
        <v>-12.97149842308837</v>
      </c>
      <c r="AJ108">
        <v>-5.1582118078561283</v>
      </c>
      <c r="AK108">
        <v>-12.975663850044629</v>
      </c>
      <c r="AL108">
        <v>-5.1598682205395177</v>
      </c>
      <c r="AM108">
        <v>3.5785279651974058</v>
      </c>
      <c r="AN108">
        <v>3.5796771074447999</v>
      </c>
    </row>
    <row r="109" spans="1:40" x14ac:dyDescent="0.25">
      <c r="A109" s="1" t="s">
        <v>1390</v>
      </c>
      <c r="B109">
        <v>51530133800</v>
      </c>
      <c r="C109" t="s">
        <v>89</v>
      </c>
      <c r="D109" t="s">
        <v>127</v>
      </c>
      <c r="E109">
        <v>12183000000</v>
      </c>
      <c r="F109">
        <v>-7826000000</v>
      </c>
      <c r="G109">
        <v>-3361000000</v>
      </c>
      <c r="H109">
        <v>-8452000000</v>
      </c>
      <c r="I109">
        <v>-8335000000</v>
      </c>
      <c r="J109">
        <v>-8121000000</v>
      </c>
      <c r="K109">
        <v>11744000000</v>
      </c>
      <c r="L109">
        <v>0</v>
      </c>
      <c r="M109">
        <v>11744000000</v>
      </c>
      <c r="N109">
        <v>14300000000</v>
      </c>
      <c r="O109">
        <v>1129000000</v>
      </c>
      <c r="P109">
        <v>180000000</v>
      </c>
      <c r="Q109">
        <v>5800000000</v>
      </c>
      <c r="R109">
        <v>5570000000</v>
      </c>
      <c r="S109">
        <v>15072000000</v>
      </c>
      <c r="T109">
        <v>0</v>
      </c>
      <c r="U109">
        <v>-14000000</v>
      </c>
      <c r="V109">
        <v>15922000000</v>
      </c>
      <c r="W109">
        <v>45766133800</v>
      </c>
      <c r="X109">
        <v>45752133800</v>
      </c>
      <c r="Y109">
        <v>4.2296752688172043</v>
      </c>
      <c r="Z109">
        <v>-6.5844791464349601</v>
      </c>
      <c r="AA109">
        <v>-15.33178631359714</v>
      </c>
      <c r="AB109">
        <v>-6.0967976573592049</v>
      </c>
      <c r="AC109">
        <v>-6.1823795800839836</v>
      </c>
      <c r="AD109">
        <v>-6.3452941509666294</v>
      </c>
      <c r="AE109">
        <v>-5.8461709430104776</v>
      </c>
      <c r="AF109">
        <v>-5.8479598517761309</v>
      </c>
      <c r="AG109">
        <v>-5.4891582243551289</v>
      </c>
      <c r="AH109">
        <v>-5.4908378884223152</v>
      </c>
      <c r="AI109">
        <v>-13.61265510264802</v>
      </c>
      <c r="AJ109">
        <v>-5.4131724798864171</v>
      </c>
      <c r="AK109">
        <v>-13.616820529604279</v>
      </c>
      <c r="AL109">
        <v>-5.4148288925698056</v>
      </c>
      <c r="AM109">
        <v>3.7554078469999181</v>
      </c>
      <c r="AN109">
        <v>3.7565569892473119</v>
      </c>
    </row>
    <row r="110" spans="1:40" x14ac:dyDescent="0.25">
      <c r="A110" s="1" t="s">
        <v>1389</v>
      </c>
      <c r="B110">
        <v>53223291200</v>
      </c>
      <c r="C110" t="s">
        <v>89</v>
      </c>
      <c r="D110" t="s">
        <v>127</v>
      </c>
      <c r="E110">
        <v>12183000000</v>
      </c>
      <c r="F110">
        <v>-7826000000</v>
      </c>
      <c r="G110">
        <v>-3361000000</v>
      </c>
      <c r="H110">
        <v>-8452000000</v>
      </c>
      <c r="I110">
        <v>-8335000000</v>
      </c>
      <c r="J110">
        <v>-8121000000</v>
      </c>
      <c r="K110">
        <v>11744000000</v>
      </c>
      <c r="L110">
        <v>0</v>
      </c>
      <c r="M110">
        <v>11744000000</v>
      </c>
      <c r="N110">
        <v>14300000000</v>
      </c>
      <c r="O110">
        <v>1129000000</v>
      </c>
      <c r="P110">
        <v>180000000</v>
      </c>
      <c r="Q110">
        <v>5800000000</v>
      </c>
      <c r="R110">
        <v>5570000000</v>
      </c>
      <c r="S110">
        <v>15072000000</v>
      </c>
      <c r="T110">
        <v>0</v>
      </c>
      <c r="U110">
        <v>-14000000</v>
      </c>
      <c r="V110">
        <v>15922000000</v>
      </c>
      <c r="W110">
        <v>47459291200</v>
      </c>
      <c r="X110">
        <v>47445291200</v>
      </c>
      <c r="Y110">
        <v>4.3686523188048918</v>
      </c>
      <c r="Z110">
        <v>-6.8008294403271146</v>
      </c>
      <c r="AA110">
        <v>-15.835552276108301</v>
      </c>
      <c r="AB110">
        <v>-6.2971238996687173</v>
      </c>
      <c r="AC110">
        <v>-6.3855178404319144</v>
      </c>
      <c r="AD110">
        <v>-6.5537853958872061</v>
      </c>
      <c r="AE110">
        <v>-6.062521236902632</v>
      </c>
      <c r="AF110">
        <v>-6.0643101456682853</v>
      </c>
      <c r="AG110">
        <v>-5.6922964847030597</v>
      </c>
      <c r="AH110">
        <v>-5.693976148770246</v>
      </c>
      <c r="AI110">
        <v>-14.11642106515918</v>
      </c>
      <c r="AJ110">
        <v>-5.6134987221959296</v>
      </c>
      <c r="AK110">
        <v>-14.120586492115439</v>
      </c>
      <c r="AL110">
        <v>-5.6151551348793189</v>
      </c>
      <c r="AM110">
        <v>3.894384896987606</v>
      </c>
      <c r="AN110">
        <v>3.8955340392350002</v>
      </c>
    </row>
    <row r="111" spans="1:40" x14ac:dyDescent="0.25">
      <c r="A111" s="1" t="s">
        <v>1388</v>
      </c>
      <c r="B111">
        <v>54728320000</v>
      </c>
      <c r="C111" t="s">
        <v>89</v>
      </c>
      <c r="D111" t="s">
        <v>127</v>
      </c>
      <c r="E111">
        <v>12183000000</v>
      </c>
      <c r="F111">
        <v>-7826000000</v>
      </c>
      <c r="G111">
        <v>-3361000000</v>
      </c>
      <c r="H111">
        <v>-8452000000</v>
      </c>
      <c r="I111">
        <v>-8335000000</v>
      </c>
      <c r="J111">
        <v>-8121000000</v>
      </c>
      <c r="K111">
        <v>11744000000</v>
      </c>
      <c r="L111">
        <v>0</v>
      </c>
      <c r="M111">
        <v>11744000000</v>
      </c>
      <c r="N111">
        <v>14300000000</v>
      </c>
      <c r="O111">
        <v>1129000000</v>
      </c>
      <c r="P111">
        <v>180000000</v>
      </c>
      <c r="Q111">
        <v>5800000000</v>
      </c>
      <c r="R111">
        <v>5570000000</v>
      </c>
      <c r="S111">
        <v>15072000000</v>
      </c>
      <c r="T111">
        <v>0</v>
      </c>
      <c r="U111">
        <v>-14000000</v>
      </c>
      <c r="V111">
        <v>15922000000</v>
      </c>
      <c r="W111">
        <v>48964320000</v>
      </c>
      <c r="X111">
        <v>48950320000</v>
      </c>
      <c r="Y111">
        <v>4.4921874743495032</v>
      </c>
      <c r="Z111">
        <v>-6.993140812675696</v>
      </c>
      <c r="AA111">
        <v>-16.283344242784889</v>
      </c>
      <c r="AB111">
        <v>-6.4751916706105064</v>
      </c>
      <c r="AC111">
        <v>-6.5660851829634073</v>
      </c>
      <c r="AD111">
        <v>-6.7391109469277186</v>
      </c>
      <c r="AE111">
        <v>-6.2548326092512143</v>
      </c>
      <c r="AF111">
        <v>-6.2566215180168667</v>
      </c>
      <c r="AG111">
        <v>-5.8728638272345526</v>
      </c>
      <c r="AH111">
        <v>-5.8745434913017398</v>
      </c>
      <c r="AI111">
        <v>-14.564213031835759</v>
      </c>
      <c r="AJ111">
        <v>-5.7915664931377187</v>
      </c>
      <c r="AK111">
        <v>-14.568378458792029</v>
      </c>
      <c r="AL111">
        <v>-5.7932229058211071</v>
      </c>
      <c r="AM111">
        <v>4.017920052532217</v>
      </c>
      <c r="AN111">
        <v>4.0190691947796111</v>
      </c>
    </row>
    <row r="112" spans="1:40" x14ac:dyDescent="0.25">
      <c r="A112" s="1" t="s">
        <v>1387</v>
      </c>
      <c r="B112">
        <v>54505986200</v>
      </c>
      <c r="C112" t="s">
        <v>89</v>
      </c>
      <c r="D112" t="s">
        <v>127</v>
      </c>
      <c r="E112">
        <v>12183000000</v>
      </c>
      <c r="F112">
        <v>-7826000000</v>
      </c>
      <c r="G112">
        <v>-3361000000</v>
      </c>
      <c r="H112">
        <v>-8452000000</v>
      </c>
      <c r="I112">
        <v>-8335000000</v>
      </c>
      <c r="J112">
        <v>-8121000000</v>
      </c>
      <c r="K112">
        <v>11744000000</v>
      </c>
      <c r="L112">
        <v>0</v>
      </c>
      <c r="M112">
        <v>11744000000</v>
      </c>
      <c r="N112">
        <v>14300000000</v>
      </c>
      <c r="O112">
        <v>1129000000</v>
      </c>
      <c r="P112">
        <v>180000000</v>
      </c>
      <c r="Q112">
        <v>5800000000</v>
      </c>
      <c r="R112">
        <v>5570000000</v>
      </c>
      <c r="S112">
        <v>15072000000</v>
      </c>
      <c r="T112">
        <v>0</v>
      </c>
      <c r="U112">
        <v>-14000000</v>
      </c>
      <c r="V112">
        <v>15922000000</v>
      </c>
      <c r="W112">
        <v>48741986200</v>
      </c>
      <c r="X112">
        <v>48727986200</v>
      </c>
      <c r="Y112">
        <v>4.4739379627349587</v>
      </c>
      <c r="Z112">
        <v>-6.9647311781242012</v>
      </c>
      <c r="AA112">
        <v>-16.217193156798569</v>
      </c>
      <c r="AB112">
        <v>-6.4488862044486508</v>
      </c>
      <c r="AC112">
        <v>-6.5394104619076181</v>
      </c>
      <c r="AD112">
        <v>-6.7117333087058242</v>
      </c>
      <c r="AE112">
        <v>-6.2264229746997186</v>
      </c>
      <c r="AF112">
        <v>-6.2282118834653719</v>
      </c>
      <c r="AG112">
        <v>-5.8461891061787643</v>
      </c>
      <c r="AH112">
        <v>-5.8478687702459506</v>
      </c>
      <c r="AI112">
        <v>-14.49806194584945</v>
      </c>
      <c r="AJ112">
        <v>-5.765261026975864</v>
      </c>
      <c r="AK112">
        <v>-14.502227372805709</v>
      </c>
      <c r="AL112">
        <v>-5.7669174396592524</v>
      </c>
      <c r="AM112">
        <v>3.999670540917672</v>
      </c>
      <c r="AN112">
        <v>4.0008196831650658</v>
      </c>
    </row>
    <row r="113" spans="1:40" x14ac:dyDescent="0.25">
      <c r="A113" s="1" t="s">
        <v>1386</v>
      </c>
      <c r="B113">
        <v>55788681199</v>
      </c>
      <c r="C113" t="s">
        <v>89</v>
      </c>
      <c r="D113" t="s">
        <v>127</v>
      </c>
      <c r="E113">
        <v>12183000000</v>
      </c>
      <c r="F113">
        <v>-7826000000</v>
      </c>
      <c r="G113">
        <v>-3361000000</v>
      </c>
      <c r="H113">
        <v>-8452000000</v>
      </c>
      <c r="I113">
        <v>-8335000000</v>
      </c>
      <c r="J113">
        <v>-8121000000</v>
      </c>
      <c r="K113">
        <v>11744000000</v>
      </c>
      <c r="L113">
        <v>0</v>
      </c>
      <c r="M113">
        <v>11744000000</v>
      </c>
      <c r="N113">
        <v>14300000000</v>
      </c>
      <c r="O113">
        <v>1129000000</v>
      </c>
      <c r="P113">
        <v>180000000</v>
      </c>
      <c r="Q113">
        <v>5800000000</v>
      </c>
      <c r="R113">
        <v>5570000000</v>
      </c>
      <c r="S113">
        <v>15072000000</v>
      </c>
      <c r="T113">
        <v>0</v>
      </c>
      <c r="U113">
        <v>-14000000</v>
      </c>
      <c r="V113">
        <v>15922000000</v>
      </c>
      <c r="W113">
        <v>50024681199</v>
      </c>
      <c r="X113">
        <v>50010681199</v>
      </c>
      <c r="Y113">
        <v>4.5792236065829437</v>
      </c>
      <c r="Z113">
        <v>-7.1286329157935091</v>
      </c>
      <c r="AA113">
        <v>-16.59883403719131</v>
      </c>
      <c r="AB113">
        <v>-6.60064850911027</v>
      </c>
      <c r="AC113">
        <v>-6.6933030832633484</v>
      </c>
      <c r="AD113">
        <v>-6.8696812214013052</v>
      </c>
      <c r="AE113">
        <v>-6.3903247123690274</v>
      </c>
      <c r="AF113">
        <v>-6.392113621134679</v>
      </c>
      <c r="AG113">
        <v>-6.0000817275344929</v>
      </c>
      <c r="AH113">
        <v>-6.0017613916016801</v>
      </c>
      <c r="AI113">
        <v>-14.879702826242189</v>
      </c>
      <c r="AJ113">
        <v>-5.9170233316374823</v>
      </c>
      <c r="AK113">
        <v>-14.88386825319845</v>
      </c>
      <c r="AL113">
        <v>-5.9186797443208707</v>
      </c>
      <c r="AM113">
        <v>4.1049561847656566</v>
      </c>
      <c r="AN113">
        <v>4.1061053270130508</v>
      </c>
    </row>
    <row r="114" spans="1:40" x14ac:dyDescent="0.25">
      <c r="A114" s="1" t="s">
        <v>1385</v>
      </c>
      <c r="B114">
        <v>54830935600</v>
      </c>
      <c r="C114" t="s">
        <v>89</v>
      </c>
      <c r="D114" t="s">
        <v>127</v>
      </c>
      <c r="E114">
        <v>12183000000</v>
      </c>
      <c r="F114">
        <v>-7826000000</v>
      </c>
      <c r="G114">
        <v>-3361000000</v>
      </c>
      <c r="H114">
        <v>-8452000000</v>
      </c>
      <c r="I114">
        <v>-8335000000</v>
      </c>
      <c r="J114">
        <v>-8121000000</v>
      </c>
      <c r="K114">
        <v>11744000000</v>
      </c>
      <c r="L114">
        <v>0</v>
      </c>
      <c r="M114">
        <v>11744000000</v>
      </c>
      <c r="N114">
        <v>14300000000</v>
      </c>
      <c r="O114">
        <v>1129000000</v>
      </c>
      <c r="P114">
        <v>180000000</v>
      </c>
      <c r="Q114">
        <v>5800000000</v>
      </c>
      <c r="R114">
        <v>5570000000</v>
      </c>
      <c r="S114">
        <v>15072000000</v>
      </c>
      <c r="T114">
        <v>0</v>
      </c>
      <c r="U114">
        <v>-14000000</v>
      </c>
      <c r="V114">
        <v>15922000000</v>
      </c>
      <c r="W114">
        <v>49066935600</v>
      </c>
      <c r="X114">
        <v>49052935600</v>
      </c>
      <c r="Y114">
        <v>4.5006103258639083</v>
      </c>
      <c r="Z114">
        <v>-7.0062529516994632</v>
      </c>
      <c r="AA114">
        <v>-16.313875513240109</v>
      </c>
      <c r="AB114">
        <v>-6.4873326549929011</v>
      </c>
      <c r="AC114">
        <v>-6.5783965926814636</v>
      </c>
      <c r="AD114">
        <v>-6.7517467799532076</v>
      </c>
      <c r="AE114">
        <v>-6.2679447482749806</v>
      </c>
      <c r="AF114">
        <v>-6.2697336570406339</v>
      </c>
      <c r="AG114">
        <v>-5.8851752369526098</v>
      </c>
      <c r="AH114">
        <v>-5.8868549010197961</v>
      </c>
      <c r="AI114">
        <v>-14.594744302290991</v>
      </c>
      <c r="AJ114">
        <v>-5.8037074775201134</v>
      </c>
      <c r="AK114">
        <v>-14.59890972924725</v>
      </c>
      <c r="AL114">
        <v>-5.8053638902035019</v>
      </c>
      <c r="AM114">
        <v>4.0263429040466221</v>
      </c>
      <c r="AN114">
        <v>4.0274920462940162</v>
      </c>
    </row>
    <row r="115" spans="1:40" x14ac:dyDescent="0.25">
      <c r="A115" s="1" t="s">
        <v>1384</v>
      </c>
      <c r="B115">
        <v>53719266600</v>
      </c>
      <c r="C115" t="s">
        <v>89</v>
      </c>
      <c r="D115" t="s">
        <v>127</v>
      </c>
      <c r="E115">
        <v>12183000000</v>
      </c>
      <c r="F115">
        <v>-7826000000</v>
      </c>
      <c r="G115">
        <v>-3361000000</v>
      </c>
      <c r="H115">
        <v>-8452000000</v>
      </c>
      <c r="I115">
        <v>-8335000000</v>
      </c>
      <c r="J115">
        <v>-8121000000</v>
      </c>
      <c r="K115">
        <v>11744000000</v>
      </c>
      <c r="L115">
        <v>0</v>
      </c>
      <c r="M115">
        <v>11744000000</v>
      </c>
      <c r="N115">
        <v>14300000000</v>
      </c>
      <c r="O115">
        <v>1129000000</v>
      </c>
      <c r="P115">
        <v>180000000</v>
      </c>
      <c r="Q115">
        <v>5800000000</v>
      </c>
      <c r="R115">
        <v>5570000000</v>
      </c>
      <c r="S115">
        <v>15072000000</v>
      </c>
      <c r="T115">
        <v>0</v>
      </c>
      <c r="U115">
        <v>-14000000</v>
      </c>
      <c r="V115">
        <v>15922000000</v>
      </c>
      <c r="W115">
        <v>47955266600</v>
      </c>
      <c r="X115">
        <v>47941266600</v>
      </c>
      <c r="Y115">
        <v>4.4093627677911842</v>
      </c>
      <c r="Z115">
        <v>-6.8642047789419882</v>
      </c>
      <c r="AA115">
        <v>-15.98312008330854</v>
      </c>
      <c r="AB115">
        <v>-6.355805324183625</v>
      </c>
      <c r="AC115">
        <v>-6.4450229874025204</v>
      </c>
      <c r="AD115">
        <v>-6.6148585888437381</v>
      </c>
      <c r="AE115">
        <v>-6.1258965755175057</v>
      </c>
      <c r="AF115">
        <v>-6.127685484283159</v>
      </c>
      <c r="AG115">
        <v>-5.7518016316736649</v>
      </c>
      <c r="AH115">
        <v>-5.7534812957408521</v>
      </c>
      <c r="AI115">
        <v>-14.26398887235942</v>
      </c>
      <c r="AJ115">
        <v>-5.6721801467108373</v>
      </c>
      <c r="AK115">
        <v>-14.268154299315681</v>
      </c>
      <c r="AL115">
        <v>-5.6738365593942266</v>
      </c>
      <c r="AM115">
        <v>3.935095345973898</v>
      </c>
      <c r="AN115">
        <v>3.9362444882212921</v>
      </c>
    </row>
    <row r="116" spans="1:40" x14ac:dyDescent="0.25">
      <c r="A116" s="1" t="s">
        <v>1383</v>
      </c>
      <c r="B116">
        <v>55634757800</v>
      </c>
      <c r="C116" t="s">
        <v>89</v>
      </c>
      <c r="D116" t="s">
        <v>127</v>
      </c>
      <c r="E116">
        <v>12183000000</v>
      </c>
      <c r="F116">
        <v>-7826000000</v>
      </c>
      <c r="G116">
        <v>-3361000000</v>
      </c>
      <c r="H116">
        <v>-8452000000</v>
      </c>
      <c r="I116">
        <v>-8335000000</v>
      </c>
      <c r="J116">
        <v>-8121000000</v>
      </c>
      <c r="K116">
        <v>11744000000</v>
      </c>
      <c r="L116">
        <v>0</v>
      </c>
      <c r="M116">
        <v>11744000000</v>
      </c>
      <c r="N116">
        <v>14300000000</v>
      </c>
      <c r="O116">
        <v>1129000000</v>
      </c>
      <c r="P116">
        <v>180000000</v>
      </c>
      <c r="Q116">
        <v>5800000000</v>
      </c>
      <c r="R116">
        <v>5570000000</v>
      </c>
      <c r="S116">
        <v>15072000000</v>
      </c>
      <c r="T116">
        <v>0</v>
      </c>
      <c r="U116">
        <v>-14000000</v>
      </c>
      <c r="V116">
        <v>15922000000</v>
      </c>
      <c r="W116">
        <v>49870757800</v>
      </c>
      <c r="X116">
        <v>49856757800</v>
      </c>
      <c r="Y116">
        <v>4.566589329393417</v>
      </c>
      <c r="Z116">
        <v>-7.1089647073856366</v>
      </c>
      <c r="AA116">
        <v>-16.553037131806011</v>
      </c>
      <c r="AB116">
        <v>-6.582437032654993</v>
      </c>
      <c r="AC116">
        <v>-6.6748359688062386</v>
      </c>
      <c r="AD116">
        <v>-6.8507274719862084</v>
      </c>
      <c r="AE116">
        <v>-6.3706565039611549</v>
      </c>
      <c r="AF116">
        <v>-6.3724454127268082</v>
      </c>
      <c r="AG116">
        <v>-5.9816146130773848</v>
      </c>
      <c r="AH116">
        <v>-5.9832942771445712</v>
      </c>
      <c r="AI116">
        <v>-14.833905920856891</v>
      </c>
      <c r="AJ116">
        <v>-5.8988118551822053</v>
      </c>
      <c r="AK116">
        <v>-14.83807134781315</v>
      </c>
      <c r="AL116">
        <v>-5.9004682678655938</v>
      </c>
      <c r="AM116">
        <v>4.0923219075761308</v>
      </c>
      <c r="AN116">
        <v>4.0934710498235249</v>
      </c>
    </row>
    <row r="117" spans="1:40" x14ac:dyDescent="0.25">
      <c r="A117" s="1" t="s">
        <v>1382</v>
      </c>
      <c r="B117">
        <v>56524092999</v>
      </c>
      <c r="C117" t="s">
        <v>89</v>
      </c>
      <c r="D117" t="s">
        <v>127</v>
      </c>
      <c r="E117">
        <v>12183000000</v>
      </c>
      <c r="F117">
        <v>-7826000000</v>
      </c>
      <c r="G117">
        <v>-3361000000</v>
      </c>
      <c r="H117">
        <v>-8452000000</v>
      </c>
      <c r="I117">
        <v>-8335000000</v>
      </c>
      <c r="J117">
        <v>-8121000000</v>
      </c>
      <c r="K117">
        <v>11744000000</v>
      </c>
      <c r="L117">
        <v>0</v>
      </c>
      <c r="M117">
        <v>11744000000</v>
      </c>
      <c r="N117">
        <v>14300000000</v>
      </c>
      <c r="O117">
        <v>1129000000</v>
      </c>
      <c r="P117">
        <v>180000000</v>
      </c>
      <c r="Q117">
        <v>5800000000</v>
      </c>
      <c r="R117">
        <v>5570000000</v>
      </c>
      <c r="S117">
        <v>15072000000</v>
      </c>
      <c r="T117">
        <v>0</v>
      </c>
      <c r="U117">
        <v>-14000000</v>
      </c>
      <c r="V117">
        <v>15922000000</v>
      </c>
      <c r="W117">
        <v>50760092999</v>
      </c>
      <c r="X117">
        <v>50746092999</v>
      </c>
      <c r="Y117">
        <v>4.6395873757695147</v>
      </c>
      <c r="Z117">
        <v>-7.2226032454638389</v>
      </c>
      <c r="AA117">
        <v>-16.81764147545373</v>
      </c>
      <c r="AB117">
        <v>-6.6876588971840976</v>
      </c>
      <c r="AC117">
        <v>-6.7815348529094184</v>
      </c>
      <c r="AD117">
        <v>-6.9602380247506463</v>
      </c>
      <c r="AE117">
        <v>-6.4842950420393564</v>
      </c>
      <c r="AF117">
        <v>-6.4860839508050088</v>
      </c>
      <c r="AG117">
        <v>-6.0883134971805637</v>
      </c>
      <c r="AH117">
        <v>-6.08999316124775</v>
      </c>
      <c r="AI117">
        <v>-15.098510264504609</v>
      </c>
      <c r="AJ117">
        <v>-6.0040337197113107</v>
      </c>
      <c r="AK117">
        <v>-15.10267569146087</v>
      </c>
      <c r="AL117">
        <v>-6.0056901323946992</v>
      </c>
      <c r="AM117">
        <v>4.1653199539522294</v>
      </c>
      <c r="AN117">
        <v>4.1664690961996227</v>
      </c>
    </row>
    <row r="118" spans="1:40" x14ac:dyDescent="0.25">
      <c r="A118" s="1" t="s">
        <v>1381</v>
      </c>
      <c r="B118">
        <v>56917452800</v>
      </c>
      <c r="C118" t="s">
        <v>89</v>
      </c>
      <c r="D118" t="s">
        <v>127</v>
      </c>
      <c r="E118">
        <v>12183000000</v>
      </c>
      <c r="F118">
        <v>-7826000000</v>
      </c>
      <c r="G118">
        <v>-3361000000</v>
      </c>
      <c r="H118">
        <v>-8452000000</v>
      </c>
      <c r="I118">
        <v>-8335000000</v>
      </c>
      <c r="J118">
        <v>-8121000000</v>
      </c>
      <c r="K118">
        <v>11744000000</v>
      </c>
      <c r="L118">
        <v>0</v>
      </c>
      <c r="M118">
        <v>11744000000</v>
      </c>
      <c r="N118">
        <v>14300000000</v>
      </c>
      <c r="O118">
        <v>1129000000</v>
      </c>
      <c r="P118">
        <v>180000000</v>
      </c>
      <c r="Q118">
        <v>5800000000</v>
      </c>
      <c r="R118">
        <v>5570000000</v>
      </c>
      <c r="S118">
        <v>15072000000</v>
      </c>
      <c r="T118">
        <v>0</v>
      </c>
      <c r="U118">
        <v>-14000000</v>
      </c>
      <c r="V118">
        <v>15922000000</v>
      </c>
      <c r="W118">
        <v>51153452800</v>
      </c>
      <c r="X118">
        <v>51139452800</v>
      </c>
      <c r="Y118">
        <v>4.6718749733234839</v>
      </c>
      <c r="Z118">
        <v>-7.2728664451827241</v>
      </c>
      <c r="AA118">
        <v>-16.934678012496281</v>
      </c>
      <c r="AB118">
        <v>-6.7341993374349256</v>
      </c>
      <c r="AC118">
        <v>-6.8287285902819432</v>
      </c>
      <c r="AD118">
        <v>-7.0086753848048273</v>
      </c>
      <c r="AE118">
        <v>-6.5345582417582424</v>
      </c>
      <c r="AF118">
        <v>-6.5363471505238948</v>
      </c>
      <c r="AG118">
        <v>-6.1355072345530894</v>
      </c>
      <c r="AH118">
        <v>-6.1371868986202758</v>
      </c>
      <c r="AI118">
        <v>-15.215546801547161</v>
      </c>
      <c r="AJ118">
        <v>-6.0505741599621388</v>
      </c>
      <c r="AK118">
        <v>-15.21971222850342</v>
      </c>
      <c r="AL118">
        <v>-6.0522305726455281</v>
      </c>
      <c r="AM118">
        <v>4.1976075515061968</v>
      </c>
      <c r="AN118">
        <v>4.198756693753591</v>
      </c>
    </row>
    <row r="119" spans="1:40" x14ac:dyDescent="0.25">
      <c r="A119" s="1" t="s">
        <v>1380</v>
      </c>
      <c r="B119">
        <v>55942604600</v>
      </c>
      <c r="C119" t="s">
        <v>89</v>
      </c>
      <c r="D119" t="s">
        <v>127</v>
      </c>
      <c r="E119">
        <v>12183000000</v>
      </c>
      <c r="F119">
        <v>-7826000000</v>
      </c>
      <c r="G119">
        <v>-3361000000</v>
      </c>
      <c r="H119">
        <v>-8452000000</v>
      </c>
      <c r="I119">
        <v>-8335000000</v>
      </c>
      <c r="J119">
        <v>-8121000000</v>
      </c>
      <c r="K119">
        <v>11744000000</v>
      </c>
      <c r="L119">
        <v>0</v>
      </c>
      <c r="M119">
        <v>11744000000</v>
      </c>
      <c r="N119">
        <v>14300000000</v>
      </c>
      <c r="O119">
        <v>1129000000</v>
      </c>
      <c r="P119">
        <v>180000000</v>
      </c>
      <c r="Q119">
        <v>5800000000</v>
      </c>
      <c r="R119">
        <v>5570000000</v>
      </c>
      <c r="S119">
        <v>15072000000</v>
      </c>
      <c r="T119">
        <v>0</v>
      </c>
      <c r="U119">
        <v>-14000000</v>
      </c>
      <c r="V119">
        <v>15922000000</v>
      </c>
      <c r="W119">
        <v>50178604600</v>
      </c>
      <c r="X119">
        <v>50164604600</v>
      </c>
      <c r="Y119">
        <v>4.5918578839366333</v>
      </c>
      <c r="Z119">
        <v>-7.1483011244569381</v>
      </c>
      <c r="AA119">
        <v>-16.64463094317167</v>
      </c>
      <c r="AB119">
        <v>-6.6188599858021773</v>
      </c>
      <c r="AC119">
        <v>-6.7117701979604076</v>
      </c>
      <c r="AD119">
        <v>-6.8886349710626771</v>
      </c>
      <c r="AE119">
        <v>-6.4099929210324564</v>
      </c>
      <c r="AF119">
        <v>-6.4117818297981088</v>
      </c>
      <c r="AG119">
        <v>-6.0185488422315538</v>
      </c>
      <c r="AH119">
        <v>-6.0202285062987402</v>
      </c>
      <c r="AI119">
        <v>-14.92549973222255</v>
      </c>
      <c r="AJ119">
        <v>-5.9352348083293904</v>
      </c>
      <c r="AK119">
        <v>-14.929665159178819</v>
      </c>
      <c r="AL119">
        <v>-5.936891221012778</v>
      </c>
      <c r="AM119">
        <v>4.1175904621193462</v>
      </c>
      <c r="AN119">
        <v>4.1187396043667404</v>
      </c>
    </row>
    <row r="120" spans="1:40" x14ac:dyDescent="0.25">
      <c r="A120" s="1" t="s">
        <v>1379</v>
      </c>
      <c r="B120">
        <v>56814837200</v>
      </c>
      <c r="C120" t="s">
        <v>89</v>
      </c>
      <c r="D120" t="s">
        <v>127</v>
      </c>
      <c r="E120">
        <v>12183000000</v>
      </c>
      <c r="F120">
        <v>-7826000000</v>
      </c>
      <c r="G120">
        <v>-3361000000</v>
      </c>
      <c r="H120">
        <v>-8452000000</v>
      </c>
      <c r="I120">
        <v>-8335000000</v>
      </c>
      <c r="J120">
        <v>-8121000000</v>
      </c>
      <c r="K120">
        <v>11744000000</v>
      </c>
      <c r="L120">
        <v>0</v>
      </c>
      <c r="M120">
        <v>11744000000</v>
      </c>
      <c r="N120">
        <v>14300000000</v>
      </c>
      <c r="O120">
        <v>1129000000</v>
      </c>
      <c r="P120">
        <v>180000000</v>
      </c>
      <c r="Q120">
        <v>5800000000</v>
      </c>
      <c r="R120">
        <v>5570000000</v>
      </c>
      <c r="S120">
        <v>15072000000</v>
      </c>
      <c r="T120">
        <v>0</v>
      </c>
      <c r="U120">
        <v>-14000000</v>
      </c>
      <c r="V120">
        <v>15922000000</v>
      </c>
      <c r="W120">
        <v>51050837200</v>
      </c>
      <c r="X120">
        <v>51036837200</v>
      </c>
      <c r="Y120">
        <v>4.6634521218090779</v>
      </c>
      <c r="Z120">
        <v>-7.2597543061589569</v>
      </c>
      <c r="AA120">
        <v>-16.90414674204106</v>
      </c>
      <c r="AB120">
        <v>-6.7220583530525317</v>
      </c>
      <c r="AC120">
        <v>-6.8164171805638869</v>
      </c>
      <c r="AD120">
        <v>-6.9960395517793366</v>
      </c>
      <c r="AE120">
        <v>-6.5214461027344752</v>
      </c>
      <c r="AF120">
        <v>-6.5232350115001276</v>
      </c>
      <c r="AG120">
        <v>-6.1231958248350331</v>
      </c>
      <c r="AH120">
        <v>-6.1248754889022186</v>
      </c>
      <c r="AI120">
        <v>-15.18501553109194</v>
      </c>
      <c r="AJ120">
        <v>-6.038433175579744</v>
      </c>
      <c r="AK120">
        <v>-15.189180958048199</v>
      </c>
      <c r="AL120">
        <v>-6.0400895882631334</v>
      </c>
      <c r="AM120">
        <v>4.1891846999917917</v>
      </c>
      <c r="AN120">
        <v>4.1903338422391858</v>
      </c>
    </row>
    <row r="121" spans="1:40" x14ac:dyDescent="0.25">
      <c r="A121" s="1" t="s">
        <v>1378</v>
      </c>
      <c r="B121">
        <v>55446629200</v>
      </c>
      <c r="C121" t="s">
        <v>89</v>
      </c>
      <c r="D121" t="s">
        <v>127</v>
      </c>
      <c r="E121">
        <v>12183000000</v>
      </c>
      <c r="F121">
        <v>-7826000000</v>
      </c>
      <c r="G121">
        <v>-3361000000</v>
      </c>
      <c r="H121">
        <v>-8452000000</v>
      </c>
      <c r="I121">
        <v>-8335000000</v>
      </c>
      <c r="J121">
        <v>-8121000000</v>
      </c>
      <c r="K121">
        <v>11744000000</v>
      </c>
      <c r="L121">
        <v>0</v>
      </c>
      <c r="M121">
        <v>11744000000</v>
      </c>
      <c r="N121">
        <v>14300000000</v>
      </c>
      <c r="O121">
        <v>1129000000</v>
      </c>
      <c r="P121">
        <v>180000000</v>
      </c>
      <c r="Q121">
        <v>5800000000</v>
      </c>
      <c r="R121">
        <v>5570000000</v>
      </c>
      <c r="S121">
        <v>15072000000</v>
      </c>
      <c r="T121">
        <v>0</v>
      </c>
      <c r="U121">
        <v>-14000000</v>
      </c>
      <c r="V121">
        <v>15922000000</v>
      </c>
      <c r="W121">
        <v>49682629200</v>
      </c>
      <c r="X121">
        <v>49668629200</v>
      </c>
      <c r="Y121">
        <v>4.5511474349503409</v>
      </c>
      <c r="Z121">
        <v>-7.0849257858420653</v>
      </c>
      <c r="AA121">
        <v>-16.497063135971441</v>
      </c>
      <c r="AB121">
        <v>-6.5601785612872696</v>
      </c>
      <c r="AC121">
        <v>-6.6522650509898016</v>
      </c>
      <c r="AD121">
        <v>-6.8275617781061442</v>
      </c>
      <c r="AE121">
        <v>-6.3466175824175828</v>
      </c>
      <c r="AF121">
        <v>-6.3484064911832352</v>
      </c>
      <c r="AG121">
        <v>-5.9590436952609478</v>
      </c>
      <c r="AH121">
        <v>-5.9607233593281341</v>
      </c>
      <c r="AI121">
        <v>-14.777931925022321</v>
      </c>
      <c r="AJ121">
        <v>-5.8765533838144819</v>
      </c>
      <c r="AK121">
        <v>-14.78209735197858</v>
      </c>
      <c r="AL121">
        <v>-5.8782097964978703</v>
      </c>
      <c r="AM121">
        <v>4.0768800131330538</v>
      </c>
      <c r="AN121">
        <v>4.078029155380448</v>
      </c>
    </row>
    <row r="122" spans="1:40" x14ac:dyDescent="0.25">
      <c r="A122" s="1" t="s">
        <v>1377</v>
      </c>
      <c r="B122">
        <v>57721275000</v>
      </c>
      <c r="C122" t="s">
        <v>89</v>
      </c>
      <c r="D122" t="s">
        <v>127</v>
      </c>
      <c r="E122">
        <v>12183000000</v>
      </c>
      <c r="F122">
        <v>-7826000000</v>
      </c>
      <c r="G122">
        <v>-3361000000</v>
      </c>
      <c r="H122">
        <v>-8452000000</v>
      </c>
      <c r="I122">
        <v>-8335000000</v>
      </c>
      <c r="J122">
        <v>-8121000000</v>
      </c>
      <c r="K122">
        <v>11744000000</v>
      </c>
      <c r="L122">
        <v>0</v>
      </c>
      <c r="M122">
        <v>11744000000</v>
      </c>
      <c r="N122">
        <v>14300000000</v>
      </c>
      <c r="O122">
        <v>1129000000</v>
      </c>
      <c r="P122">
        <v>180000000</v>
      </c>
      <c r="Q122">
        <v>5800000000</v>
      </c>
      <c r="R122">
        <v>5570000000</v>
      </c>
      <c r="S122">
        <v>15072000000</v>
      </c>
      <c r="T122">
        <v>0</v>
      </c>
      <c r="U122">
        <v>-14000000</v>
      </c>
      <c r="V122">
        <v>15922000000</v>
      </c>
      <c r="W122">
        <v>51957275000</v>
      </c>
      <c r="X122">
        <v>51943275000</v>
      </c>
      <c r="Y122">
        <v>4.7378539768529917</v>
      </c>
      <c r="Z122">
        <v>-7.3755782008688984</v>
      </c>
      <c r="AA122">
        <v>-17.173839631062179</v>
      </c>
      <c r="AB122">
        <v>-6.8293037150970184</v>
      </c>
      <c r="AC122">
        <v>-6.9251679664067183</v>
      </c>
      <c r="AD122">
        <v>-7.1076560768378281</v>
      </c>
      <c r="AE122">
        <v>-6.6372699974444158</v>
      </c>
      <c r="AF122">
        <v>-6.6390589062100691</v>
      </c>
      <c r="AG122">
        <v>-6.2319466106778636</v>
      </c>
      <c r="AH122">
        <v>-6.2336262747450508</v>
      </c>
      <c r="AI122">
        <v>-15.454708420113059</v>
      </c>
      <c r="AJ122">
        <v>-6.1456785376242307</v>
      </c>
      <c r="AK122">
        <v>-15.458873847069331</v>
      </c>
      <c r="AL122">
        <v>-6.1473349503076191</v>
      </c>
      <c r="AM122">
        <v>4.2635865550357046</v>
      </c>
      <c r="AN122">
        <v>4.2647356972830996</v>
      </c>
    </row>
    <row r="123" spans="1:40" x14ac:dyDescent="0.25">
      <c r="A123" s="1" t="s">
        <v>1376</v>
      </c>
      <c r="B123">
        <v>53873190000</v>
      </c>
      <c r="C123" t="s">
        <v>89</v>
      </c>
      <c r="D123" t="s">
        <v>127</v>
      </c>
      <c r="E123">
        <v>12183000000</v>
      </c>
      <c r="F123">
        <v>-7826000000</v>
      </c>
      <c r="G123">
        <v>-3361000000</v>
      </c>
      <c r="H123">
        <v>-8452000000</v>
      </c>
      <c r="I123">
        <v>-8335000000</v>
      </c>
      <c r="J123">
        <v>-8121000000</v>
      </c>
      <c r="K123">
        <v>11744000000</v>
      </c>
      <c r="L123">
        <v>0</v>
      </c>
      <c r="M123">
        <v>11744000000</v>
      </c>
      <c r="N123">
        <v>14300000000</v>
      </c>
      <c r="O123">
        <v>1129000000</v>
      </c>
      <c r="P123">
        <v>180000000</v>
      </c>
      <c r="Q123">
        <v>5800000000</v>
      </c>
      <c r="R123">
        <v>5570000000</v>
      </c>
      <c r="S123">
        <v>15072000000</v>
      </c>
      <c r="T123">
        <v>0</v>
      </c>
      <c r="U123">
        <v>-14000000</v>
      </c>
      <c r="V123">
        <v>15922000000</v>
      </c>
      <c r="W123">
        <v>48109190000</v>
      </c>
      <c r="X123">
        <v>48095190000</v>
      </c>
      <c r="Y123">
        <v>4.4219970450627928</v>
      </c>
      <c r="Z123">
        <v>-6.8838729874776394</v>
      </c>
      <c r="AA123">
        <v>-16.028916988991369</v>
      </c>
      <c r="AB123">
        <v>-6.3740168007572171</v>
      </c>
      <c r="AC123">
        <v>-6.4634901019796036</v>
      </c>
      <c r="AD123">
        <v>-6.6338123383819729</v>
      </c>
      <c r="AE123">
        <v>-6.145564784053156</v>
      </c>
      <c r="AF123">
        <v>-6.1473536928188093</v>
      </c>
      <c r="AG123">
        <v>-5.7702687462507498</v>
      </c>
      <c r="AH123">
        <v>-5.7719484103179362</v>
      </c>
      <c r="AI123">
        <v>-14.309785778042251</v>
      </c>
      <c r="AJ123">
        <v>-5.6903916232844294</v>
      </c>
      <c r="AK123">
        <v>-14.31395120499851</v>
      </c>
      <c r="AL123">
        <v>-5.6920480359678178</v>
      </c>
      <c r="AM123">
        <v>3.9477296232455061</v>
      </c>
      <c r="AN123">
        <v>3.9488787654928998</v>
      </c>
    </row>
    <row r="124" spans="1:40" x14ac:dyDescent="0.25">
      <c r="A124" s="1" t="s">
        <v>1375</v>
      </c>
      <c r="B124">
        <v>53650856200</v>
      </c>
      <c r="C124" t="s">
        <v>89</v>
      </c>
      <c r="D124" t="s">
        <v>127</v>
      </c>
      <c r="E124">
        <v>12183000000</v>
      </c>
      <c r="F124">
        <v>-7826000000</v>
      </c>
      <c r="G124">
        <v>-3361000000</v>
      </c>
      <c r="H124">
        <v>-8452000000</v>
      </c>
      <c r="I124">
        <v>-8335000000</v>
      </c>
      <c r="J124">
        <v>-8121000000</v>
      </c>
      <c r="K124">
        <v>11744000000</v>
      </c>
      <c r="L124">
        <v>0</v>
      </c>
      <c r="M124">
        <v>11744000000</v>
      </c>
      <c r="N124">
        <v>14300000000</v>
      </c>
      <c r="O124">
        <v>1129000000</v>
      </c>
      <c r="P124">
        <v>180000000</v>
      </c>
      <c r="Q124">
        <v>5800000000</v>
      </c>
      <c r="R124">
        <v>5570000000</v>
      </c>
      <c r="S124">
        <v>15072000000</v>
      </c>
      <c r="T124">
        <v>0</v>
      </c>
      <c r="U124">
        <v>-14000000</v>
      </c>
      <c r="V124">
        <v>15922000000</v>
      </c>
      <c r="W124">
        <v>47886856200</v>
      </c>
      <c r="X124">
        <v>47872856200</v>
      </c>
      <c r="Y124">
        <v>4.4037475334482474</v>
      </c>
      <c r="Z124">
        <v>-6.8554633529261437</v>
      </c>
      <c r="AA124">
        <v>-15.96276590300506</v>
      </c>
      <c r="AB124">
        <v>-6.3477113345953624</v>
      </c>
      <c r="AC124">
        <v>-6.4368153809238153</v>
      </c>
      <c r="AD124">
        <v>-6.6064347001600776</v>
      </c>
      <c r="AE124">
        <v>-6.1171551495016612</v>
      </c>
      <c r="AF124">
        <v>-6.1189440582673136</v>
      </c>
      <c r="AG124">
        <v>-5.7435940251949607</v>
      </c>
      <c r="AH124">
        <v>-5.7452736892621479</v>
      </c>
      <c r="AI124">
        <v>-14.24363469205594</v>
      </c>
      <c r="AJ124">
        <v>-5.6640861571225747</v>
      </c>
      <c r="AK124">
        <v>-14.247800119012201</v>
      </c>
      <c r="AL124">
        <v>-5.6657425698059631</v>
      </c>
      <c r="AM124">
        <v>3.9294801116309608</v>
      </c>
      <c r="AN124">
        <v>3.9306292538783549</v>
      </c>
    </row>
    <row r="125" spans="1:40" x14ac:dyDescent="0.25">
      <c r="A125" s="1" t="s">
        <v>137</v>
      </c>
      <c r="B125">
        <v>53154880800</v>
      </c>
      <c r="C125" t="s">
        <v>89</v>
      </c>
      <c r="D125" t="s">
        <v>127</v>
      </c>
      <c r="E125">
        <v>12183000000</v>
      </c>
      <c r="F125">
        <v>-7826000000</v>
      </c>
      <c r="G125">
        <v>-3361000000</v>
      </c>
      <c r="H125">
        <v>-8452000000</v>
      </c>
      <c r="I125">
        <v>-8335000000</v>
      </c>
      <c r="J125">
        <v>-8121000000</v>
      </c>
      <c r="K125">
        <v>11744000000</v>
      </c>
      <c r="L125">
        <v>0</v>
      </c>
      <c r="M125">
        <v>11744000000</v>
      </c>
      <c r="N125">
        <v>14300000000</v>
      </c>
      <c r="O125">
        <v>1129000000</v>
      </c>
      <c r="P125">
        <v>180000000</v>
      </c>
      <c r="Q125">
        <v>5800000000</v>
      </c>
      <c r="R125">
        <v>5570000000</v>
      </c>
      <c r="S125">
        <v>15072000000</v>
      </c>
      <c r="T125">
        <v>0</v>
      </c>
      <c r="U125">
        <v>-14000000</v>
      </c>
      <c r="V125">
        <v>15922000000</v>
      </c>
      <c r="W125">
        <v>47390880800</v>
      </c>
      <c r="X125">
        <v>47376880800</v>
      </c>
      <c r="Y125">
        <v>4.363037084461955</v>
      </c>
      <c r="Z125">
        <v>-6.7920880143112701</v>
      </c>
      <c r="AA125">
        <v>-15.815198095804821</v>
      </c>
      <c r="AB125">
        <v>-6.2890299100804548</v>
      </c>
      <c r="AC125">
        <v>-6.3773102339532093</v>
      </c>
      <c r="AD125">
        <v>-6.5453615072035456</v>
      </c>
      <c r="AE125">
        <v>-6.0537798108867884</v>
      </c>
      <c r="AF125">
        <v>-6.0555687196524408</v>
      </c>
      <c r="AG125">
        <v>-5.6840888782243546</v>
      </c>
      <c r="AH125">
        <v>-5.6857685422915418</v>
      </c>
      <c r="AI125">
        <v>-14.0960668848557</v>
      </c>
      <c r="AJ125">
        <v>-5.605404732607667</v>
      </c>
      <c r="AK125">
        <v>-14.100232311811959</v>
      </c>
      <c r="AL125">
        <v>-5.6070611452910546</v>
      </c>
      <c r="AM125">
        <v>3.8887696626446688</v>
      </c>
      <c r="AN125">
        <v>3.889918804892063</v>
      </c>
    </row>
    <row r="126" spans="1:40" x14ac:dyDescent="0.25">
      <c r="A126" s="1" t="s">
        <v>1374</v>
      </c>
      <c r="B126">
        <v>47921485200</v>
      </c>
      <c r="C126" t="s">
        <v>88</v>
      </c>
      <c r="D126" t="s">
        <v>127</v>
      </c>
      <c r="E126">
        <v>13052000000</v>
      </c>
      <c r="F126">
        <v>-8198000000</v>
      </c>
      <c r="G126">
        <v>-3805000000</v>
      </c>
      <c r="H126">
        <v>-8800000000</v>
      </c>
      <c r="I126">
        <v>-8678000000</v>
      </c>
      <c r="J126">
        <v>-8297000000</v>
      </c>
      <c r="K126">
        <v>12650000000</v>
      </c>
      <c r="L126">
        <v>0</v>
      </c>
      <c r="M126">
        <v>12650000000</v>
      </c>
      <c r="N126">
        <v>15153000000</v>
      </c>
      <c r="O126">
        <v>1316000000</v>
      </c>
      <c r="P126">
        <v>197000000</v>
      </c>
      <c r="Q126">
        <v>7170000000</v>
      </c>
      <c r="R126">
        <v>5372000000</v>
      </c>
      <c r="S126">
        <v>16241000000</v>
      </c>
      <c r="T126">
        <v>0</v>
      </c>
      <c r="U126">
        <v>989000000</v>
      </c>
      <c r="V126">
        <v>15062000000</v>
      </c>
      <c r="W126">
        <v>42638485200</v>
      </c>
      <c r="X126">
        <v>43627485200</v>
      </c>
      <c r="Y126">
        <v>3.6715817652467049</v>
      </c>
      <c r="Z126">
        <v>-5.8455092949499878</v>
      </c>
      <c r="AA126">
        <v>-12.594345650459919</v>
      </c>
      <c r="AB126">
        <v>-5.4456233181818181</v>
      </c>
      <c r="AC126">
        <v>-5.5221808250749023</v>
      </c>
      <c r="AD126">
        <v>-5.7757605399541996</v>
      </c>
      <c r="AE126">
        <v>-5.3217230056111244</v>
      </c>
      <c r="AF126">
        <v>-5.2010838253232494</v>
      </c>
      <c r="AG126">
        <v>-5.0273663516939386</v>
      </c>
      <c r="AH126">
        <v>-4.9134000000000002</v>
      </c>
      <c r="AI126">
        <v>-11.465830538764781</v>
      </c>
      <c r="AJ126">
        <v>-4.9576687727272724</v>
      </c>
      <c r="AK126">
        <v>-11.205909382391591</v>
      </c>
      <c r="AL126">
        <v>-4.8452824090909088</v>
      </c>
      <c r="AM126">
        <v>3.342590039840637</v>
      </c>
      <c r="AN126">
        <v>3.2668162120747781</v>
      </c>
    </row>
    <row r="127" spans="1:40" x14ac:dyDescent="0.25">
      <c r="A127" s="1" t="s">
        <v>1373</v>
      </c>
      <c r="B127">
        <v>46074404400</v>
      </c>
      <c r="C127" t="s">
        <v>88</v>
      </c>
      <c r="D127" t="s">
        <v>127</v>
      </c>
      <c r="E127">
        <v>13052000000</v>
      </c>
      <c r="F127">
        <v>-8198000000</v>
      </c>
      <c r="G127">
        <v>-3805000000</v>
      </c>
      <c r="H127">
        <v>-8800000000</v>
      </c>
      <c r="I127">
        <v>-8678000000</v>
      </c>
      <c r="J127">
        <v>-8297000000</v>
      </c>
      <c r="K127">
        <v>12650000000</v>
      </c>
      <c r="L127">
        <v>0</v>
      </c>
      <c r="M127">
        <v>12650000000</v>
      </c>
      <c r="N127">
        <v>15153000000</v>
      </c>
      <c r="O127">
        <v>1316000000</v>
      </c>
      <c r="P127">
        <v>197000000</v>
      </c>
      <c r="Q127">
        <v>7170000000</v>
      </c>
      <c r="R127">
        <v>5372000000</v>
      </c>
      <c r="S127">
        <v>16241000000</v>
      </c>
      <c r="T127">
        <v>0</v>
      </c>
      <c r="U127">
        <v>989000000</v>
      </c>
      <c r="V127">
        <v>15062000000</v>
      </c>
      <c r="W127">
        <v>40791404400</v>
      </c>
      <c r="X127">
        <v>41780404400</v>
      </c>
      <c r="Y127">
        <v>3.53006469506589</v>
      </c>
      <c r="Z127">
        <v>-5.6202005855086608</v>
      </c>
      <c r="AA127">
        <v>-12.108910486202371</v>
      </c>
      <c r="AB127">
        <v>-5.2357277727272731</v>
      </c>
      <c r="AC127">
        <v>-5.3093344549435351</v>
      </c>
      <c r="AD127">
        <v>-5.5531402193563926</v>
      </c>
      <c r="AE127">
        <v>-5.0964142961697974</v>
      </c>
      <c r="AF127">
        <v>-4.9757751158819223</v>
      </c>
      <c r="AG127">
        <v>-4.8145199815625723</v>
      </c>
      <c r="AH127">
        <v>-4.700553629868633</v>
      </c>
      <c r="AI127">
        <v>-10.98039537450723</v>
      </c>
      <c r="AJ127">
        <v>-4.7477732272727273</v>
      </c>
      <c r="AK127">
        <v>-10.720474218134029</v>
      </c>
      <c r="AL127">
        <v>-4.6353868636363638</v>
      </c>
      <c r="AM127">
        <v>3.2010729696598221</v>
      </c>
      <c r="AN127">
        <v>3.125299141893962</v>
      </c>
    </row>
    <row r="128" spans="1:40" x14ac:dyDescent="0.25">
      <c r="A128" s="1" t="s">
        <v>1372</v>
      </c>
      <c r="B128">
        <v>46826918800</v>
      </c>
      <c r="C128" t="s">
        <v>88</v>
      </c>
      <c r="D128" t="s">
        <v>127</v>
      </c>
      <c r="E128">
        <v>13052000000</v>
      </c>
      <c r="F128">
        <v>-8198000000</v>
      </c>
      <c r="G128">
        <v>-3805000000</v>
      </c>
      <c r="H128">
        <v>-8800000000</v>
      </c>
      <c r="I128">
        <v>-8678000000</v>
      </c>
      <c r="J128">
        <v>-8297000000</v>
      </c>
      <c r="K128">
        <v>12650000000</v>
      </c>
      <c r="L128">
        <v>0</v>
      </c>
      <c r="M128">
        <v>12650000000</v>
      </c>
      <c r="N128">
        <v>15153000000</v>
      </c>
      <c r="O128">
        <v>1316000000</v>
      </c>
      <c r="P128">
        <v>197000000</v>
      </c>
      <c r="Q128">
        <v>7170000000</v>
      </c>
      <c r="R128">
        <v>5372000000</v>
      </c>
      <c r="S128">
        <v>16241000000</v>
      </c>
      <c r="T128">
        <v>0</v>
      </c>
      <c r="U128">
        <v>989000000</v>
      </c>
      <c r="V128">
        <v>15062000000</v>
      </c>
      <c r="W128">
        <v>41543918800</v>
      </c>
      <c r="X128">
        <v>42532918800</v>
      </c>
      <c r="Y128">
        <v>3.5877197977321482</v>
      </c>
      <c r="Z128">
        <v>-5.7119930226884614</v>
      </c>
      <c r="AA128">
        <v>-12.306680367936931</v>
      </c>
      <c r="AB128">
        <v>-5.3212407727272728</v>
      </c>
      <c r="AC128">
        <v>-5.396049642774833</v>
      </c>
      <c r="AD128">
        <v>-5.6438373870073519</v>
      </c>
      <c r="AE128">
        <v>-5.1882067333495971</v>
      </c>
      <c r="AF128">
        <v>-5.0675675530617221</v>
      </c>
      <c r="AG128">
        <v>-4.9012351693938694</v>
      </c>
      <c r="AH128">
        <v>-4.787268817699931</v>
      </c>
      <c r="AI128">
        <v>-11.17816525624179</v>
      </c>
      <c r="AJ128">
        <v>-4.8332862272727271</v>
      </c>
      <c r="AK128">
        <v>-10.918244099868589</v>
      </c>
      <c r="AL128">
        <v>-4.7208998636363626</v>
      </c>
      <c r="AM128">
        <v>3.2587280723260799</v>
      </c>
      <c r="AN128">
        <v>3.182954244560221</v>
      </c>
    </row>
    <row r="129" spans="1:40" x14ac:dyDescent="0.25">
      <c r="A129" s="1" t="s">
        <v>1371</v>
      </c>
      <c r="B129">
        <v>46194122600</v>
      </c>
      <c r="C129" t="s">
        <v>88</v>
      </c>
      <c r="D129" t="s">
        <v>127</v>
      </c>
      <c r="E129">
        <v>13052000000</v>
      </c>
      <c r="F129">
        <v>-8198000000</v>
      </c>
      <c r="G129">
        <v>-3805000000</v>
      </c>
      <c r="H129">
        <v>-8800000000</v>
      </c>
      <c r="I129">
        <v>-8678000000</v>
      </c>
      <c r="J129">
        <v>-8297000000</v>
      </c>
      <c r="K129">
        <v>12650000000</v>
      </c>
      <c r="L129">
        <v>0</v>
      </c>
      <c r="M129">
        <v>12650000000</v>
      </c>
      <c r="N129">
        <v>15153000000</v>
      </c>
      <c r="O129">
        <v>1316000000</v>
      </c>
      <c r="P129">
        <v>197000000</v>
      </c>
      <c r="Q129">
        <v>7170000000</v>
      </c>
      <c r="R129">
        <v>5372000000</v>
      </c>
      <c r="S129">
        <v>16241000000</v>
      </c>
      <c r="T129">
        <v>0</v>
      </c>
      <c r="U129">
        <v>989000000</v>
      </c>
      <c r="V129">
        <v>15062000000</v>
      </c>
      <c r="W129">
        <v>40911122600</v>
      </c>
      <c r="X129">
        <v>41900122600</v>
      </c>
      <c r="Y129">
        <v>3.5392370977627952</v>
      </c>
      <c r="Z129">
        <v>-5.6348039277872646</v>
      </c>
      <c r="AA129">
        <v>-12.14037387647832</v>
      </c>
      <c r="AB129">
        <v>-5.2493321136363633</v>
      </c>
      <c r="AC129">
        <v>-5.3231300530076053</v>
      </c>
      <c r="AD129">
        <v>-5.5675693142099556</v>
      </c>
      <c r="AE129">
        <v>-5.1110176384484021</v>
      </c>
      <c r="AF129">
        <v>-4.9903784581605271</v>
      </c>
      <c r="AG129">
        <v>-4.8283155796266417</v>
      </c>
      <c r="AH129">
        <v>-4.7143492279327033</v>
      </c>
      <c r="AI129">
        <v>-11.011858764783179</v>
      </c>
      <c r="AJ129">
        <v>-4.7613775681818176</v>
      </c>
      <c r="AK129">
        <v>-10.751937608409991</v>
      </c>
      <c r="AL129">
        <v>-4.6489912045454549</v>
      </c>
      <c r="AM129">
        <v>3.2102453723567268</v>
      </c>
      <c r="AN129">
        <v>3.134471544590868</v>
      </c>
    </row>
    <row r="130" spans="1:40" x14ac:dyDescent="0.25">
      <c r="A130" s="1" t="s">
        <v>1370</v>
      </c>
      <c r="B130">
        <v>46416456400</v>
      </c>
      <c r="C130" t="s">
        <v>88</v>
      </c>
      <c r="D130" t="s">
        <v>127</v>
      </c>
      <c r="E130">
        <v>13052000000</v>
      </c>
      <c r="F130">
        <v>-8198000000</v>
      </c>
      <c r="G130">
        <v>-3805000000</v>
      </c>
      <c r="H130">
        <v>-8800000000</v>
      </c>
      <c r="I130">
        <v>-8678000000</v>
      </c>
      <c r="J130">
        <v>-8297000000</v>
      </c>
      <c r="K130">
        <v>12650000000</v>
      </c>
      <c r="L130">
        <v>0</v>
      </c>
      <c r="M130">
        <v>12650000000</v>
      </c>
      <c r="N130">
        <v>15153000000</v>
      </c>
      <c r="O130">
        <v>1316000000</v>
      </c>
      <c r="P130">
        <v>197000000</v>
      </c>
      <c r="Q130">
        <v>7170000000</v>
      </c>
      <c r="R130">
        <v>5372000000</v>
      </c>
      <c r="S130">
        <v>16241000000</v>
      </c>
      <c r="T130">
        <v>0</v>
      </c>
      <c r="U130">
        <v>989000000</v>
      </c>
      <c r="V130">
        <v>15062000000</v>
      </c>
      <c r="W130">
        <v>41133456400</v>
      </c>
      <c r="X130">
        <v>42122456400</v>
      </c>
      <c r="Y130">
        <v>3.556271559914189</v>
      </c>
      <c r="Z130">
        <v>-5.6619244205903883</v>
      </c>
      <c r="AA130">
        <v>-12.198805886990799</v>
      </c>
      <c r="AB130">
        <v>-5.2745973181818178</v>
      </c>
      <c r="AC130">
        <v>-5.3487504494123073</v>
      </c>
      <c r="AD130">
        <v>-5.5943662046522844</v>
      </c>
      <c r="AE130">
        <v>-5.1381381312515249</v>
      </c>
      <c r="AF130">
        <v>-5.0174989509636498</v>
      </c>
      <c r="AG130">
        <v>-4.8539359760313436</v>
      </c>
      <c r="AH130">
        <v>-4.7399696243374052</v>
      </c>
      <c r="AI130">
        <v>-11.070290775295661</v>
      </c>
      <c r="AJ130">
        <v>-4.7866427727272729</v>
      </c>
      <c r="AK130">
        <v>-10.81036961892247</v>
      </c>
      <c r="AL130">
        <v>-4.6742564090909093</v>
      </c>
      <c r="AM130">
        <v>3.2272798345081219</v>
      </c>
      <c r="AN130">
        <v>3.1515060067422618</v>
      </c>
    </row>
    <row r="131" spans="1:40" x14ac:dyDescent="0.25">
      <c r="A131" s="1" t="s">
        <v>1369</v>
      </c>
      <c r="B131">
        <v>45663942000</v>
      </c>
      <c r="C131" t="s">
        <v>88</v>
      </c>
      <c r="D131" t="s">
        <v>127</v>
      </c>
      <c r="E131">
        <v>13052000000</v>
      </c>
      <c r="F131">
        <v>-8198000000</v>
      </c>
      <c r="G131">
        <v>-3805000000</v>
      </c>
      <c r="H131">
        <v>-8800000000</v>
      </c>
      <c r="I131">
        <v>-8678000000</v>
      </c>
      <c r="J131">
        <v>-8297000000</v>
      </c>
      <c r="K131">
        <v>12650000000</v>
      </c>
      <c r="L131">
        <v>0</v>
      </c>
      <c r="M131">
        <v>12650000000</v>
      </c>
      <c r="N131">
        <v>15153000000</v>
      </c>
      <c r="O131">
        <v>1316000000</v>
      </c>
      <c r="P131">
        <v>197000000</v>
      </c>
      <c r="Q131">
        <v>7170000000</v>
      </c>
      <c r="R131">
        <v>5372000000</v>
      </c>
      <c r="S131">
        <v>16241000000</v>
      </c>
      <c r="T131">
        <v>0</v>
      </c>
      <c r="U131">
        <v>989000000</v>
      </c>
      <c r="V131">
        <v>15062000000</v>
      </c>
      <c r="W131">
        <v>40380942000</v>
      </c>
      <c r="X131">
        <v>41369942000</v>
      </c>
      <c r="Y131">
        <v>3.4986164572479308</v>
      </c>
      <c r="Z131">
        <v>-5.5701319834105876</v>
      </c>
      <c r="AA131">
        <v>-12.001036005256241</v>
      </c>
      <c r="AB131">
        <v>-5.189084318181818</v>
      </c>
      <c r="AC131">
        <v>-5.2620352615810093</v>
      </c>
      <c r="AD131">
        <v>-5.5036690370013259</v>
      </c>
      <c r="AE131">
        <v>-5.0463456940717251</v>
      </c>
      <c r="AF131">
        <v>-4.92570651378385</v>
      </c>
      <c r="AG131">
        <v>-4.7672207882000457</v>
      </c>
      <c r="AH131">
        <v>-4.6532544365061073</v>
      </c>
      <c r="AI131">
        <v>-10.8725208935611</v>
      </c>
      <c r="AJ131">
        <v>-4.7011297727272732</v>
      </c>
      <c r="AK131">
        <v>-10.61259973718791</v>
      </c>
      <c r="AL131">
        <v>-4.5887434090909087</v>
      </c>
      <c r="AM131">
        <v>3.1696247318418629</v>
      </c>
      <c r="AN131">
        <v>3.093850904076004</v>
      </c>
    </row>
    <row r="132" spans="1:40" x14ac:dyDescent="0.25">
      <c r="A132" s="1" t="s">
        <v>1368</v>
      </c>
      <c r="B132">
        <v>45681044600</v>
      </c>
      <c r="C132" t="s">
        <v>88</v>
      </c>
      <c r="D132" t="s">
        <v>127</v>
      </c>
      <c r="E132">
        <v>13052000000</v>
      </c>
      <c r="F132">
        <v>-8198000000</v>
      </c>
      <c r="G132">
        <v>-3805000000</v>
      </c>
      <c r="H132">
        <v>-8800000000</v>
      </c>
      <c r="I132">
        <v>-8678000000</v>
      </c>
      <c r="J132">
        <v>-8297000000</v>
      </c>
      <c r="K132">
        <v>12650000000</v>
      </c>
      <c r="L132">
        <v>0</v>
      </c>
      <c r="M132">
        <v>12650000000</v>
      </c>
      <c r="N132">
        <v>15153000000</v>
      </c>
      <c r="O132">
        <v>1316000000</v>
      </c>
      <c r="P132">
        <v>197000000</v>
      </c>
      <c r="Q132">
        <v>7170000000</v>
      </c>
      <c r="R132">
        <v>5372000000</v>
      </c>
      <c r="S132">
        <v>16241000000</v>
      </c>
      <c r="T132">
        <v>0</v>
      </c>
      <c r="U132">
        <v>989000000</v>
      </c>
      <c r="V132">
        <v>15062000000</v>
      </c>
      <c r="W132">
        <v>40398044600</v>
      </c>
      <c r="X132">
        <v>41387044600</v>
      </c>
      <c r="Y132">
        <v>3.4999268004903459</v>
      </c>
      <c r="Z132">
        <v>-5.5722181751646742</v>
      </c>
      <c r="AA132">
        <v>-12.005530775295661</v>
      </c>
      <c r="AB132">
        <v>-5.1910277954545458</v>
      </c>
      <c r="AC132">
        <v>-5.2640060613044479</v>
      </c>
      <c r="AD132">
        <v>-5.5057303362661214</v>
      </c>
      <c r="AE132">
        <v>-5.0484318858258108</v>
      </c>
      <c r="AF132">
        <v>-4.9277927055379358</v>
      </c>
      <c r="AG132">
        <v>-4.7691915879234843</v>
      </c>
      <c r="AH132">
        <v>-4.6552252362295459</v>
      </c>
      <c r="AI132">
        <v>-10.877015663600529</v>
      </c>
      <c r="AJ132">
        <v>-4.7030732500000001</v>
      </c>
      <c r="AK132">
        <v>-10.61709450722733</v>
      </c>
      <c r="AL132">
        <v>-4.5906868863636374</v>
      </c>
      <c r="AM132">
        <v>3.170935075084278</v>
      </c>
      <c r="AN132">
        <v>3.0951612473184191</v>
      </c>
    </row>
    <row r="133" spans="1:40" x14ac:dyDescent="0.25">
      <c r="A133" s="1" t="s">
        <v>1367</v>
      </c>
      <c r="B133">
        <v>44449657400</v>
      </c>
      <c r="C133" t="s">
        <v>88</v>
      </c>
      <c r="D133" t="s">
        <v>127</v>
      </c>
      <c r="E133">
        <v>13052000000</v>
      </c>
      <c r="F133">
        <v>-8198000000</v>
      </c>
      <c r="G133">
        <v>-3805000000</v>
      </c>
      <c r="H133">
        <v>-8800000000</v>
      </c>
      <c r="I133">
        <v>-8678000000</v>
      </c>
      <c r="J133">
        <v>-8297000000</v>
      </c>
      <c r="K133">
        <v>12650000000</v>
      </c>
      <c r="L133">
        <v>0</v>
      </c>
      <c r="M133">
        <v>12650000000</v>
      </c>
      <c r="N133">
        <v>15153000000</v>
      </c>
      <c r="O133">
        <v>1316000000</v>
      </c>
      <c r="P133">
        <v>197000000</v>
      </c>
      <c r="Q133">
        <v>7170000000</v>
      </c>
      <c r="R133">
        <v>5372000000</v>
      </c>
      <c r="S133">
        <v>16241000000</v>
      </c>
      <c r="T133">
        <v>0</v>
      </c>
      <c r="U133">
        <v>989000000</v>
      </c>
      <c r="V133">
        <v>15062000000</v>
      </c>
      <c r="W133">
        <v>39166657400</v>
      </c>
      <c r="X133">
        <v>40155657400</v>
      </c>
      <c r="Y133">
        <v>3.405582087036469</v>
      </c>
      <c r="Z133">
        <v>-5.4220123688704556</v>
      </c>
      <c r="AA133">
        <v>-11.681907332457291</v>
      </c>
      <c r="AB133">
        <v>-5.0510974318181816</v>
      </c>
      <c r="AC133">
        <v>-5.1221084812168707</v>
      </c>
      <c r="AD133">
        <v>-5.3573167892009161</v>
      </c>
      <c r="AE133">
        <v>-4.8982260795315931</v>
      </c>
      <c r="AF133">
        <v>-4.777586899243718</v>
      </c>
      <c r="AG133">
        <v>-4.6272940078359071</v>
      </c>
      <c r="AH133">
        <v>-4.5133276561419686</v>
      </c>
      <c r="AI133">
        <v>-10.553392220762159</v>
      </c>
      <c r="AJ133">
        <v>-4.5631428863636367</v>
      </c>
      <c r="AK133">
        <v>-10.29347106438896</v>
      </c>
      <c r="AL133">
        <v>-4.4507565227272723</v>
      </c>
      <c r="AM133">
        <v>3.076590361630402</v>
      </c>
      <c r="AN133">
        <v>3.0008165338645418</v>
      </c>
    </row>
    <row r="134" spans="1:40" x14ac:dyDescent="0.25">
      <c r="A134" s="1" t="s">
        <v>1366</v>
      </c>
      <c r="B134">
        <v>45817865400</v>
      </c>
      <c r="C134" t="s">
        <v>88</v>
      </c>
      <c r="D134" t="s">
        <v>127</v>
      </c>
      <c r="E134">
        <v>13052000000</v>
      </c>
      <c r="F134">
        <v>-8198000000</v>
      </c>
      <c r="G134">
        <v>-3805000000</v>
      </c>
      <c r="H134">
        <v>-8800000000</v>
      </c>
      <c r="I134">
        <v>-8678000000</v>
      </c>
      <c r="J134">
        <v>-8297000000</v>
      </c>
      <c r="K134">
        <v>12650000000</v>
      </c>
      <c r="L134">
        <v>0</v>
      </c>
      <c r="M134">
        <v>12650000000</v>
      </c>
      <c r="N134">
        <v>15153000000</v>
      </c>
      <c r="O134">
        <v>1316000000</v>
      </c>
      <c r="P134">
        <v>197000000</v>
      </c>
      <c r="Q134">
        <v>7170000000</v>
      </c>
      <c r="R134">
        <v>5372000000</v>
      </c>
      <c r="S134">
        <v>16241000000</v>
      </c>
      <c r="T134">
        <v>0</v>
      </c>
      <c r="U134">
        <v>989000000</v>
      </c>
      <c r="V134">
        <v>15062000000</v>
      </c>
      <c r="W134">
        <v>40534865400</v>
      </c>
      <c r="X134">
        <v>41523865400</v>
      </c>
      <c r="Y134">
        <v>3.5104095464296661</v>
      </c>
      <c r="Z134">
        <v>-5.5889077091973656</v>
      </c>
      <c r="AA134">
        <v>-12.04148893561104</v>
      </c>
      <c r="AB134">
        <v>-5.2065756136363639</v>
      </c>
      <c r="AC134">
        <v>-5.2797724590919568</v>
      </c>
      <c r="AD134">
        <v>-5.5222207303844764</v>
      </c>
      <c r="AE134">
        <v>-5.0651214198585022</v>
      </c>
      <c r="AF134">
        <v>-4.9444822395706272</v>
      </c>
      <c r="AG134">
        <v>-4.7849579857109932</v>
      </c>
      <c r="AH134">
        <v>-4.6709916340170547</v>
      </c>
      <c r="AI134">
        <v>-10.9129738239159</v>
      </c>
      <c r="AJ134">
        <v>-4.7186210681818181</v>
      </c>
      <c r="AK134">
        <v>-10.65305266754271</v>
      </c>
      <c r="AL134">
        <v>-4.6062347045454546</v>
      </c>
      <c r="AM134">
        <v>3.1814178210235982</v>
      </c>
      <c r="AN134">
        <v>3.105643993257738</v>
      </c>
    </row>
    <row r="135" spans="1:40" x14ac:dyDescent="0.25">
      <c r="A135" s="1" t="s">
        <v>1365</v>
      </c>
      <c r="B135">
        <v>45749455000</v>
      </c>
      <c r="C135" t="s">
        <v>88</v>
      </c>
      <c r="D135" t="s">
        <v>127</v>
      </c>
      <c r="E135">
        <v>13052000000</v>
      </c>
      <c r="F135">
        <v>-8198000000</v>
      </c>
      <c r="G135">
        <v>-3805000000</v>
      </c>
      <c r="H135">
        <v>-8800000000</v>
      </c>
      <c r="I135">
        <v>-8678000000</v>
      </c>
      <c r="J135">
        <v>-8297000000</v>
      </c>
      <c r="K135">
        <v>12650000000</v>
      </c>
      <c r="L135">
        <v>0</v>
      </c>
      <c r="M135">
        <v>12650000000</v>
      </c>
      <c r="N135">
        <v>15153000000</v>
      </c>
      <c r="O135">
        <v>1316000000</v>
      </c>
      <c r="P135">
        <v>197000000</v>
      </c>
      <c r="Q135">
        <v>7170000000</v>
      </c>
      <c r="R135">
        <v>5372000000</v>
      </c>
      <c r="S135">
        <v>16241000000</v>
      </c>
      <c r="T135">
        <v>0</v>
      </c>
      <c r="U135">
        <v>989000000</v>
      </c>
      <c r="V135">
        <v>15062000000</v>
      </c>
      <c r="W135">
        <v>40466455000</v>
      </c>
      <c r="X135">
        <v>41455455000</v>
      </c>
      <c r="Y135">
        <v>3.5051681734600062</v>
      </c>
      <c r="Z135">
        <v>-5.5805629421810199</v>
      </c>
      <c r="AA135">
        <v>-12.02350985545335</v>
      </c>
      <c r="AB135">
        <v>-5.1988017045454544</v>
      </c>
      <c r="AC135">
        <v>-5.2718892601982024</v>
      </c>
      <c r="AD135">
        <v>-5.513975533325298</v>
      </c>
      <c r="AE135">
        <v>-5.0567766528421556</v>
      </c>
      <c r="AF135">
        <v>-4.9361374725542806</v>
      </c>
      <c r="AG135">
        <v>-4.7770747868172387</v>
      </c>
      <c r="AH135">
        <v>-4.6631084351233003</v>
      </c>
      <c r="AI135">
        <v>-10.894994743758209</v>
      </c>
      <c r="AJ135">
        <v>-4.7108471590909087</v>
      </c>
      <c r="AK135">
        <v>-10.635073587385021</v>
      </c>
      <c r="AL135">
        <v>-4.5984607954545451</v>
      </c>
      <c r="AM135">
        <v>3.1761764480539378</v>
      </c>
      <c r="AN135">
        <v>3.100402620288079</v>
      </c>
    </row>
    <row r="136" spans="1:40" x14ac:dyDescent="0.25">
      <c r="A136" s="1" t="s">
        <v>1364</v>
      </c>
      <c r="B136">
        <v>46262533000</v>
      </c>
      <c r="C136" t="s">
        <v>88</v>
      </c>
      <c r="D136" t="s">
        <v>127</v>
      </c>
      <c r="E136">
        <v>13052000000</v>
      </c>
      <c r="F136">
        <v>-8198000000</v>
      </c>
      <c r="G136">
        <v>-3805000000</v>
      </c>
      <c r="H136">
        <v>-8800000000</v>
      </c>
      <c r="I136">
        <v>-8678000000</v>
      </c>
      <c r="J136">
        <v>-8297000000</v>
      </c>
      <c r="K136">
        <v>12650000000</v>
      </c>
      <c r="L136">
        <v>0</v>
      </c>
      <c r="M136">
        <v>12650000000</v>
      </c>
      <c r="N136">
        <v>15153000000</v>
      </c>
      <c r="O136">
        <v>1316000000</v>
      </c>
      <c r="P136">
        <v>197000000</v>
      </c>
      <c r="Q136">
        <v>7170000000</v>
      </c>
      <c r="R136">
        <v>5372000000</v>
      </c>
      <c r="S136">
        <v>16241000000</v>
      </c>
      <c r="T136">
        <v>0</v>
      </c>
      <c r="U136">
        <v>989000000</v>
      </c>
      <c r="V136">
        <v>15062000000</v>
      </c>
      <c r="W136">
        <v>40979533000</v>
      </c>
      <c r="X136">
        <v>41968533000</v>
      </c>
      <c r="Y136">
        <v>3.544478470732455</v>
      </c>
      <c r="Z136">
        <v>-5.6431486948036103</v>
      </c>
      <c r="AA136">
        <v>-12.158352956636</v>
      </c>
      <c r="AB136">
        <v>-5.2571060227272728</v>
      </c>
      <c r="AC136">
        <v>-5.3310132519013598</v>
      </c>
      <c r="AD136">
        <v>-5.5758145112691331</v>
      </c>
      <c r="AE136">
        <v>-5.1193624054647477</v>
      </c>
      <c r="AF136">
        <v>-4.9987232251768727</v>
      </c>
      <c r="AG136">
        <v>-4.8361987785203961</v>
      </c>
      <c r="AH136">
        <v>-4.7222324268264577</v>
      </c>
      <c r="AI136">
        <v>-11.02983784494087</v>
      </c>
      <c r="AJ136">
        <v>-4.769151477272727</v>
      </c>
      <c r="AK136">
        <v>-10.769916688567671</v>
      </c>
      <c r="AL136">
        <v>-4.6567651136363626</v>
      </c>
      <c r="AM136">
        <v>3.2154867453263871</v>
      </c>
      <c r="AN136">
        <v>3.139712917560527</v>
      </c>
    </row>
    <row r="137" spans="1:40" x14ac:dyDescent="0.25">
      <c r="A137" s="1" t="s">
        <v>1363</v>
      </c>
      <c r="B137">
        <v>47938587800</v>
      </c>
      <c r="C137" t="s">
        <v>88</v>
      </c>
      <c r="D137" t="s">
        <v>127</v>
      </c>
      <c r="E137">
        <v>13052000000</v>
      </c>
      <c r="F137">
        <v>-8198000000</v>
      </c>
      <c r="G137">
        <v>-3805000000</v>
      </c>
      <c r="H137">
        <v>-8800000000</v>
      </c>
      <c r="I137">
        <v>-8678000000</v>
      </c>
      <c r="J137">
        <v>-8297000000</v>
      </c>
      <c r="K137">
        <v>12650000000</v>
      </c>
      <c r="L137">
        <v>0</v>
      </c>
      <c r="M137">
        <v>12650000000</v>
      </c>
      <c r="N137">
        <v>15153000000</v>
      </c>
      <c r="O137">
        <v>1316000000</v>
      </c>
      <c r="P137">
        <v>197000000</v>
      </c>
      <c r="Q137">
        <v>7170000000</v>
      </c>
      <c r="R137">
        <v>5372000000</v>
      </c>
      <c r="S137">
        <v>16241000000</v>
      </c>
      <c r="T137">
        <v>0</v>
      </c>
      <c r="U137">
        <v>989000000</v>
      </c>
      <c r="V137">
        <v>15062000000</v>
      </c>
      <c r="W137">
        <v>42655587800</v>
      </c>
      <c r="X137">
        <v>43644587800</v>
      </c>
      <c r="Y137">
        <v>3.67289210848912</v>
      </c>
      <c r="Z137">
        <v>-5.8475954867040736</v>
      </c>
      <c r="AA137">
        <v>-12.598840420499339</v>
      </c>
      <c r="AB137">
        <v>-5.447566795454545</v>
      </c>
      <c r="AC137">
        <v>-5.5241516247983409</v>
      </c>
      <c r="AD137">
        <v>-5.7778218392189951</v>
      </c>
      <c r="AE137">
        <v>-5.3238091973652111</v>
      </c>
      <c r="AF137">
        <v>-5.2031700170773361</v>
      </c>
      <c r="AG137">
        <v>-5.0293371514173772</v>
      </c>
      <c r="AH137">
        <v>-4.9153707997234388</v>
      </c>
      <c r="AI137">
        <v>-11.470325308804201</v>
      </c>
      <c r="AJ137">
        <v>-4.9596122500000002</v>
      </c>
      <c r="AK137">
        <v>-11.210404152431011</v>
      </c>
      <c r="AL137">
        <v>-4.8472258863636366</v>
      </c>
      <c r="AM137">
        <v>3.343900383083052</v>
      </c>
      <c r="AN137">
        <v>3.2681265553171932</v>
      </c>
    </row>
    <row r="138" spans="1:40" x14ac:dyDescent="0.25">
      <c r="A138" s="1" t="s">
        <v>1362</v>
      </c>
      <c r="B138">
        <v>50384259600</v>
      </c>
      <c r="C138" t="s">
        <v>88</v>
      </c>
      <c r="D138" t="s">
        <v>127</v>
      </c>
      <c r="E138">
        <v>13052000000</v>
      </c>
      <c r="F138">
        <v>-8198000000</v>
      </c>
      <c r="G138">
        <v>-3805000000</v>
      </c>
      <c r="H138">
        <v>-8800000000</v>
      </c>
      <c r="I138">
        <v>-8678000000</v>
      </c>
      <c r="J138">
        <v>-8297000000</v>
      </c>
      <c r="K138">
        <v>12650000000</v>
      </c>
      <c r="L138">
        <v>0</v>
      </c>
      <c r="M138">
        <v>12650000000</v>
      </c>
      <c r="N138">
        <v>15153000000</v>
      </c>
      <c r="O138">
        <v>1316000000</v>
      </c>
      <c r="P138">
        <v>197000000</v>
      </c>
      <c r="Q138">
        <v>7170000000</v>
      </c>
      <c r="R138">
        <v>5372000000</v>
      </c>
      <c r="S138">
        <v>16241000000</v>
      </c>
      <c r="T138">
        <v>0</v>
      </c>
      <c r="U138">
        <v>989000000</v>
      </c>
      <c r="V138">
        <v>15062000000</v>
      </c>
      <c r="W138">
        <v>45101259600</v>
      </c>
      <c r="X138">
        <v>46090259600</v>
      </c>
      <c r="Y138">
        <v>3.860271192154459</v>
      </c>
      <c r="Z138">
        <v>-6.1459209075384242</v>
      </c>
      <c r="AA138">
        <v>-13.241592536136659</v>
      </c>
      <c r="AB138">
        <v>-5.7254840454545457</v>
      </c>
      <c r="AC138">
        <v>-5.8059759852500576</v>
      </c>
      <c r="AD138">
        <v>-6.0725876340846092</v>
      </c>
      <c r="AE138">
        <v>-5.6221346181995608</v>
      </c>
      <c r="AF138">
        <v>-5.5014954379116858</v>
      </c>
      <c r="AG138">
        <v>-5.311161511869094</v>
      </c>
      <c r="AH138">
        <v>-5.1971951601751556</v>
      </c>
      <c r="AI138">
        <v>-12.113077424441521</v>
      </c>
      <c r="AJ138">
        <v>-5.2375294999999999</v>
      </c>
      <c r="AK138">
        <v>-11.85315626806833</v>
      </c>
      <c r="AL138">
        <v>-5.1251431363636364</v>
      </c>
      <c r="AM138">
        <v>3.5312794667483911</v>
      </c>
      <c r="AN138">
        <v>3.4555056389825309</v>
      </c>
    </row>
    <row r="139" spans="1:40" x14ac:dyDescent="0.25">
      <c r="A139" s="1" t="s">
        <v>1361</v>
      </c>
      <c r="B139">
        <v>50555285600</v>
      </c>
      <c r="C139" t="s">
        <v>88</v>
      </c>
      <c r="D139" t="s">
        <v>127</v>
      </c>
      <c r="E139">
        <v>13052000000</v>
      </c>
      <c r="F139">
        <v>-8198000000</v>
      </c>
      <c r="G139">
        <v>-3805000000</v>
      </c>
      <c r="H139">
        <v>-8800000000</v>
      </c>
      <c r="I139">
        <v>-8678000000</v>
      </c>
      <c r="J139">
        <v>-8297000000</v>
      </c>
      <c r="K139">
        <v>12650000000</v>
      </c>
      <c r="L139">
        <v>0</v>
      </c>
      <c r="M139">
        <v>12650000000</v>
      </c>
      <c r="N139">
        <v>15153000000</v>
      </c>
      <c r="O139">
        <v>1316000000</v>
      </c>
      <c r="P139">
        <v>197000000</v>
      </c>
      <c r="Q139">
        <v>7170000000</v>
      </c>
      <c r="R139">
        <v>5372000000</v>
      </c>
      <c r="S139">
        <v>16241000000</v>
      </c>
      <c r="T139">
        <v>0</v>
      </c>
      <c r="U139">
        <v>989000000</v>
      </c>
      <c r="V139">
        <v>15062000000</v>
      </c>
      <c r="W139">
        <v>45272285600</v>
      </c>
      <c r="X139">
        <v>46261285600</v>
      </c>
      <c r="Y139">
        <v>3.873374624578608</v>
      </c>
      <c r="Z139">
        <v>-6.166782825079288</v>
      </c>
      <c r="AA139">
        <v>-13.286540236530881</v>
      </c>
      <c r="AB139">
        <v>-5.7449188181818176</v>
      </c>
      <c r="AC139">
        <v>-5.8256839824844437</v>
      </c>
      <c r="AD139">
        <v>-6.0932006267325542</v>
      </c>
      <c r="AE139">
        <v>-5.6429965357404246</v>
      </c>
      <c r="AF139">
        <v>-5.5223573554525496</v>
      </c>
      <c r="AG139">
        <v>-5.3308695091034801</v>
      </c>
      <c r="AH139">
        <v>-5.2169031574095417</v>
      </c>
      <c r="AI139">
        <v>-12.15802512483574</v>
      </c>
      <c r="AJ139">
        <v>-5.2569642727272727</v>
      </c>
      <c r="AK139">
        <v>-11.89810396846255</v>
      </c>
      <c r="AL139">
        <v>-5.1445779090909092</v>
      </c>
      <c r="AM139">
        <v>3.544382899172541</v>
      </c>
      <c r="AN139">
        <v>3.4686090714066808</v>
      </c>
    </row>
    <row r="140" spans="1:40" x14ac:dyDescent="0.25">
      <c r="A140" s="1" t="s">
        <v>1360</v>
      </c>
      <c r="B140">
        <v>49785668600</v>
      </c>
      <c r="C140" t="s">
        <v>88</v>
      </c>
      <c r="D140" t="s">
        <v>127</v>
      </c>
      <c r="E140">
        <v>13052000000</v>
      </c>
      <c r="F140">
        <v>-8198000000</v>
      </c>
      <c r="G140">
        <v>-3805000000</v>
      </c>
      <c r="H140">
        <v>-8800000000</v>
      </c>
      <c r="I140">
        <v>-8678000000</v>
      </c>
      <c r="J140">
        <v>-8297000000</v>
      </c>
      <c r="K140">
        <v>12650000000</v>
      </c>
      <c r="L140">
        <v>0</v>
      </c>
      <c r="M140">
        <v>12650000000</v>
      </c>
      <c r="N140">
        <v>15153000000</v>
      </c>
      <c r="O140">
        <v>1316000000</v>
      </c>
      <c r="P140">
        <v>197000000</v>
      </c>
      <c r="Q140">
        <v>7170000000</v>
      </c>
      <c r="R140">
        <v>5372000000</v>
      </c>
      <c r="S140">
        <v>16241000000</v>
      </c>
      <c r="T140">
        <v>0</v>
      </c>
      <c r="U140">
        <v>989000000</v>
      </c>
      <c r="V140">
        <v>15062000000</v>
      </c>
      <c r="W140">
        <v>44502668600</v>
      </c>
      <c r="X140">
        <v>45491668600</v>
      </c>
      <c r="Y140">
        <v>3.8144091786699361</v>
      </c>
      <c r="Z140">
        <v>-6.0729041961454016</v>
      </c>
      <c r="AA140">
        <v>-13.084275584756901</v>
      </c>
      <c r="AB140">
        <v>-5.6574623409090909</v>
      </c>
      <c r="AC140">
        <v>-5.7369979949297072</v>
      </c>
      <c r="AD140">
        <v>-6.0004421598168012</v>
      </c>
      <c r="AE140">
        <v>-5.5491179068065382</v>
      </c>
      <c r="AF140">
        <v>-5.4284787265186631</v>
      </c>
      <c r="AG140">
        <v>-5.2421835215487436</v>
      </c>
      <c r="AH140">
        <v>-5.1282171698548051</v>
      </c>
      <c r="AI140">
        <v>-11.95576047306176</v>
      </c>
      <c r="AJ140">
        <v>-5.1695077954545452</v>
      </c>
      <c r="AK140">
        <v>-11.69583931668857</v>
      </c>
      <c r="AL140">
        <v>-5.0571214318181816</v>
      </c>
      <c r="AM140">
        <v>3.4854174532638682</v>
      </c>
      <c r="AN140">
        <v>3.409643625498008</v>
      </c>
    </row>
    <row r="141" spans="1:40" x14ac:dyDescent="0.25">
      <c r="A141" s="1" t="s">
        <v>1359</v>
      </c>
      <c r="B141">
        <v>50503977800</v>
      </c>
      <c r="C141" t="s">
        <v>88</v>
      </c>
      <c r="D141" t="s">
        <v>127</v>
      </c>
      <c r="E141">
        <v>13052000000</v>
      </c>
      <c r="F141">
        <v>-8198000000</v>
      </c>
      <c r="G141">
        <v>-3805000000</v>
      </c>
      <c r="H141">
        <v>-8800000000</v>
      </c>
      <c r="I141">
        <v>-8678000000</v>
      </c>
      <c r="J141">
        <v>-8297000000</v>
      </c>
      <c r="K141">
        <v>12650000000</v>
      </c>
      <c r="L141">
        <v>0</v>
      </c>
      <c r="M141">
        <v>12650000000</v>
      </c>
      <c r="N141">
        <v>15153000000</v>
      </c>
      <c r="O141">
        <v>1316000000</v>
      </c>
      <c r="P141">
        <v>197000000</v>
      </c>
      <c r="Q141">
        <v>7170000000</v>
      </c>
      <c r="R141">
        <v>5372000000</v>
      </c>
      <c r="S141">
        <v>16241000000</v>
      </c>
      <c r="T141">
        <v>0</v>
      </c>
      <c r="U141">
        <v>989000000</v>
      </c>
      <c r="V141">
        <v>15062000000</v>
      </c>
      <c r="W141">
        <v>45220977800</v>
      </c>
      <c r="X141">
        <v>46209977800</v>
      </c>
      <c r="Y141">
        <v>3.8694435948513641</v>
      </c>
      <c r="Z141">
        <v>-6.160524249817029</v>
      </c>
      <c r="AA141">
        <v>-13.273055926412621</v>
      </c>
      <c r="AB141">
        <v>-5.7390883863636359</v>
      </c>
      <c r="AC141">
        <v>-5.8197715833141279</v>
      </c>
      <c r="AD141">
        <v>-6.0870167289381696</v>
      </c>
      <c r="AE141">
        <v>-5.6367379604781664</v>
      </c>
      <c r="AF141">
        <v>-5.5160987801902914</v>
      </c>
      <c r="AG141">
        <v>-5.3249571099331643</v>
      </c>
      <c r="AH141">
        <v>-5.2109907582392259</v>
      </c>
      <c r="AI141">
        <v>-12.14454081471748</v>
      </c>
      <c r="AJ141">
        <v>-5.2511338409090911</v>
      </c>
      <c r="AK141">
        <v>-11.884619658344279</v>
      </c>
      <c r="AL141">
        <v>-5.1387474772727284</v>
      </c>
      <c r="AM141">
        <v>3.5404518694452962</v>
      </c>
      <c r="AN141">
        <v>3.464678041679436</v>
      </c>
    </row>
    <row r="142" spans="1:40" x14ac:dyDescent="0.25">
      <c r="A142" s="1" t="s">
        <v>1358</v>
      </c>
      <c r="B142">
        <v>50435567400</v>
      </c>
      <c r="C142" t="s">
        <v>88</v>
      </c>
      <c r="D142" t="s">
        <v>127</v>
      </c>
      <c r="E142">
        <v>13052000000</v>
      </c>
      <c r="F142">
        <v>-8198000000</v>
      </c>
      <c r="G142">
        <v>-3805000000</v>
      </c>
      <c r="H142">
        <v>-8800000000</v>
      </c>
      <c r="I142">
        <v>-8678000000</v>
      </c>
      <c r="J142">
        <v>-8297000000</v>
      </c>
      <c r="K142">
        <v>12650000000</v>
      </c>
      <c r="L142">
        <v>0</v>
      </c>
      <c r="M142">
        <v>12650000000</v>
      </c>
      <c r="N142">
        <v>15153000000</v>
      </c>
      <c r="O142">
        <v>1316000000</v>
      </c>
      <c r="P142">
        <v>197000000</v>
      </c>
      <c r="Q142">
        <v>7170000000</v>
      </c>
      <c r="R142">
        <v>5372000000</v>
      </c>
      <c r="S142">
        <v>16241000000</v>
      </c>
      <c r="T142">
        <v>0</v>
      </c>
      <c r="U142">
        <v>989000000</v>
      </c>
      <c r="V142">
        <v>15062000000</v>
      </c>
      <c r="W142">
        <v>45152567400</v>
      </c>
      <c r="X142">
        <v>46141567400</v>
      </c>
      <c r="Y142">
        <v>3.8642022218817038</v>
      </c>
      <c r="Z142">
        <v>-6.1521794828006833</v>
      </c>
      <c r="AA142">
        <v>-13.25507684625493</v>
      </c>
      <c r="AB142">
        <v>-5.7313144772727274</v>
      </c>
      <c r="AC142">
        <v>-5.8118883844203726</v>
      </c>
      <c r="AD142">
        <v>-6.0787715318789921</v>
      </c>
      <c r="AE142">
        <v>-5.6283931934618199</v>
      </c>
      <c r="AF142">
        <v>-5.5077540131739449</v>
      </c>
      <c r="AG142">
        <v>-5.3170739110394099</v>
      </c>
      <c r="AH142">
        <v>-5.2031075593454714</v>
      </c>
      <c r="AI142">
        <v>-12.12656173455979</v>
      </c>
      <c r="AJ142">
        <v>-5.2433599318181816</v>
      </c>
      <c r="AK142">
        <v>-11.866640578186599</v>
      </c>
      <c r="AL142">
        <v>-5.130973568181818</v>
      </c>
      <c r="AM142">
        <v>3.5352104964756359</v>
      </c>
      <c r="AN142">
        <v>3.4594366687097762</v>
      </c>
    </row>
    <row r="143" spans="1:40" x14ac:dyDescent="0.25">
      <c r="A143" s="1" t="s">
        <v>1357</v>
      </c>
      <c r="B143">
        <v>50623696000</v>
      </c>
      <c r="C143" t="s">
        <v>88</v>
      </c>
      <c r="D143" t="s">
        <v>127</v>
      </c>
      <c r="E143">
        <v>13052000000</v>
      </c>
      <c r="F143">
        <v>-8198000000</v>
      </c>
      <c r="G143">
        <v>-3805000000</v>
      </c>
      <c r="H143">
        <v>-8800000000</v>
      </c>
      <c r="I143">
        <v>-8678000000</v>
      </c>
      <c r="J143">
        <v>-8297000000</v>
      </c>
      <c r="K143">
        <v>12650000000</v>
      </c>
      <c r="L143">
        <v>0</v>
      </c>
      <c r="M143">
        <v>12650000000</v>
      </c>
      <c r="N143">
        <v>15153000000</v>
      </c>
      <c r="O143">
        <v>1316000000</v>
      </c>
      <c r="P143">
        <v>197000000</v>
      </c>
      <c r="Q143">
        <v>7170000000</v>
      </c>
      <c r="R143">
        <v>5372000000</v>
      </c>
      <c r="S143">
        <v>16241000000</v>
      </c>
      <c r="T143">
        <v>0</v>
      </c>
      <c r="U143">
        <v>989000000</v>
      </c>
      <c r="V143">
        <v>15062000000</v>
      </c>
      <c r="W143">
        <v>45340696000</v>
      </c>
      <c r="X143">
        <v>46329696000</v>
      </c>
      <c r="Y143">
        <v>3.8786159975482679</v>
      </c>
      <c r="Z143">
        <v>-6.1751275920956328</v>
      </c>
      <c r="AA143">
        <v>-13.30451931668857</v>
      </c>
      <c r="AB143">
        <v>-5.7526927272727271</v>
      </c>
      <c r="AC143">
        <v>-5.8335671813781982</v>
      </c>
      <c r="AD143">
        <v>-6.1014458237917317</v>
      </c>
      <c r="AE143">
        <v>-5.6513413027567703</v>
      </c>
      <c r="AF143">
        <v>-5.5307021224688953</v>
      </c>
      <c r="AG143">
        <v>-5.3387527079972346</v>
      </c>
      <c r="AH143">
        <v>-5.2247863563032961</v>
      </c>
      <c r="AI143">
        <v>-12.176004204993429</v>
      </c>
      <c r="AJ143">
        <v>-5.2647381818181822</v>
      </c>
      <c r="AK143">
        <v>-11.916083048620241</v>
      </c>
      <c r="AL143">
        <v>-5.1523518181818178</v>
      </c>
      <c r="AM143">
        <v>3.5496242721422</v>
      </c>
      <c r="AN143">
        <v>3.4738504443763412</v>
      </c>
    </row>
    <row r="144" spans="1:40" x14ac:dyDescent="0.25">
      <c r="A144" s="1" t="s">
        <v>1356</v>
      </c>
      <c r="B144">
        <v>49563334800</v>
      </c>
      <c r="C144" t="s">
        <v>88</v>
      </c>
      <c r="D144" t="s">
        <v>127</v>
      </c>
      <c r="E144">
        <v>13052000000</v>
      </c>
      <c r="F144">
        <v>-8198000000</v>
      </c>
      <c r="G144">
        <v>-3805000000</v>
      </c>
      <c r="H144">
        <v>-8800000000</v>
      </c>
      <c r="I144">
        <v>-8678000000</v>
      </c>
      <c r="J144">
        <v>-8297000000</v>
      </c>
      <c r="K144">
        <v>12650000000</v>
      </c>
      <c r="L144">
        <v>0</v>
      </c>
      <c r="M144">
        <v>12650000000</v>
      </c>
      <c r="N144">
        <v>15153000000</v>
      </c>
      <c r="O144">
        <v>1316000000</v>
      </c>
      <c r="P144">
        <v>197000000</v>
      </c>
      <c r="Q144">
        <v>7170000000</v>
      </c>
      <c r="R144">
        <v>5372000000</v>
      </c>
      <c r="S144">
        <v>16241000000</v>
      </c>
      <c r="T144">
        <v>0</v>
      </c>
      <c r="U144">
        <v>989000000</v>
      </c>
      <c r="V144">
        <v>15062000000</v>
      </c>
      <c r="W144">
        <v>44280334800</v>
      </c>
      <c r="X144">
        <v>45269334800</v>
      </c>
      <c r="Y144">
        <v>3.797374716518541</v>
      </c>
      <c r="Z144">
        <v>-6.0457837033422788</v>
      </c>
      <c r="AA144">
        <v>-13.025843574244419</v>
      </c>
      <c r="AB144">
        <v>-5.6321971363636374</v>
      </c>
      <c r="AC144">
        <v>-5.7113775985250061</v>
      </c>
      <c r="AD144">
        <v>-5.9736452693744724</v>
      </c>
      <c r="AE144">
        <v>-5.5219974140034154</v>
      </c>
      <c r="AF144">
        <v>-5.4013582337155404</v>
      </c>
      <c r="AG144">
        <v>-5.2165631251440434</v>
      </c>
      <c r="AH144">
        <v>-5.1025967734501041</v>
      </c>
      <c r="AI144">
        <v>-11.897328462549281</v>
      </c>
      <c r="AJ144">
        <v>-5.1442425909090908</v>
      </c>
      <c r="AK144">
        <v>-11.63740730617608</v>
      </c>
      <c r="AL144">
        <v>-5.0318562272727272</v>
      </c>
      <c r="AM144">
        <v>3.4683829911124731</v>
      </c>
      <c r="AN144">
        <v>3.3926091633466129</v>
      </c>
    </row>
    <row r="145" spans="1:40" x14ac:dyDescent="0.25">
      <c r="A145" s="1" t="s">
        <v>1355</v>
      </c>
      <c r="B145">
        <v>49631745200</v>
      </c>
      <c r="C145" t="s">
        <v>88</v>
      </c>
      <c r="D145" t="s">
        <v>127</v>
      </c>
      <c r="E145">
        <v>13052000000</v>
      </c>
      <c r="F145">
        <v>-8198000000</v>
      </c>
      <c r="G145">
        <v>-3805000000</v>
      </c>
      <c r="H145">
        <v>-8800000000</v>
      </c>
      <c r="I145">
        <v>-8678000000</v>
      </c>
      <c r="J145">
        <v>-8297000000</v>
      </c>
      <c r="K145">
        <v>12650000000</v>
      </c>
      <c r="L145">
        <v>0</v>
      </c>
      <c r="M145">
        <v>12650000000</v>
      </c>
      <c r="N145">
        <v>15153000000</v>
      </c>
      <c r="O145">
        <v>1316000000</v>
      </c>
      <c r="P145">
        <v>197000000</v>
      </c>
      <c r="Q145">
        <v>7170000000</v>
      </c>
      <c r="R145">
        <v>5372000000</v>
      </c>
      <c r="S145">
        <v>16241000000</v>
      </c>
      <c r="T145">
        <v>0</v>
      </c>
      <c r="U145">
        <v>989000000</v>
      </c>
      <c r="V145">
        <v>15062000000</v>
      </c>
      <c r="W145">
        <v>44348745200</v>
      </c>
      <c r="X145">
        <v>45337745200</v>
      </c>
      <c r="Y145">
        <v>3.8026160894882008</v>
      </c>
      <c r="Z145">
        <v>-6.0541284703586236</v>
      </c>
      <c r="AA145">
        <v>-13.043822654402099</v>
      </c>
      <c r="AB145">
        <v>-5.6399710454545451</v>
      </c>
      <c r="AC145">
        <v>-5.7192607974187597</v>
      </c>
      <c r="AD145">
        <v>-5.9818904664336507</v>
      </c>
      <c r="AE145">
        <v>-5.530342181019761</v>
      </c>
      <c r="AF145">
        <v>-5.409703000731886</v>
      </c>
      <c r="AG145">
        <v>-5.224446324037797</v>
      </c>
      <c r="AH145">
        <v>-5.1104799723438576</v>
      </c>
      <c r="AI145">
        <v>-11.915307542706961</v>
      </c>
      <c r="AJ145">
        <v>-5.1520165000000002</v>
      </c>
      <c r="AK145">
        <v>-11.65538638633377</v>
      </c>
      <c r="AL145">
        <v>-5.0396301363636367</v>
      </c>
      <c r="AM145">
        <v>3.4736243640821329</v>
      </c>
      <c r="AN145">
        <v>3.3978505363162732</v>
      </c>
    </row>
    <row r="146" spans="1:40" x14ac:dyDescent="0.25">
      <c r="A146" s="1" t="s">
        <v>1354</v>
      </c>
      <c r="B146">
        <v>49700155600</v>
      </c>
      <c r="C146" t="s">
        <v>88</v>
      </c>
      <c r="D146" t="s">
        <v>127</v>
      </c>
      <c r="E146">
        <v>13052000000</v>
      </c>
      <c r="F146">
        <v>-8198000000</v>
      </c>
      <c r="G146">
        <v>-3805000000</v>
      </c>
      <c r="H146">
        <v>-8800000000</v>
      </c>
      <c r="I146">
        <v>-8678000000</v>
      </c>
      <c r="J146">
        <v>-8297000000</v>
      </c>
      <c r="K146">
        <v>12650000000</v>
      </c>
      <c r="L146">
        <v>0</v>
      </c>
      <c r="M146">
        <v>12650000000</v>
      </c>
      <c r="N146">
        <v>15153000000</v>
      </c>
      <c r="O146">
        <v>1316000000</v>
      </c>
      <c r="P146">
        <v>197000000</v>
      </c>
      <c r="Q146">
        <v>7170000000</v>
      </c>
      <c r="R146">
        <v>5372000000</v>
      </c>
      <c r="S146">
        <v>16241000000</v>
      </c>
      <c r="T146">
        <v>0</v>
      </c>
      <c r="U146">
        <v>989000000</v>
      </c>
      <c r="V146">
        <v>15062000000</v>
      </c>
      <c r="W146">
        <v>44417155600</v>
      </c>
      <c r="X146">
        <v>45406155600</v>
      </c>
      <c r="Y146">
        <v>3.8078574624578612</v>
      </c>
      <c r="Z146">
        <v>-6.0624732373749692</v>
      </c>
      <c r="AA146">
        <v>-13.06180173455979</v>
      </c>
      <c r="AB146">
        <v>-5.6477449545454554</v>
      </c>
      <c r="AC146">
        <v>-5.7271439963125141</v>
      </c>
      <c r="AD146">
        <v>-5.9901356634928291</v>
      </c>
      <c r="AE146">
        <v>-5.5386869480361067</v>
      </c>
      <c r="AF146">
        <v>-5.4180477677482317</v>
      </c>
      <c r="AG146">
        <v>-5.2323295229315514</v>
      </c>
      <c r="AH146">
        <v>-5.1183631712376121</v>
      </c>
      <c r="AI146">
        <v>-11.933286622864649</v>
      </c>
      <c r="AJ146">
        <v>-5.1597904090909088</v>
      </c>
      <c r="AK146">
        <v>-11.673365466491459</v>
      </c>
      <c r="AL146">
        <v>-5.0474040454545452</v>
      </c>
      <c r="AM146">
        <v>3.4788657370517928</v>
      </c>
      <c r="AN146">
        <v>3.4030919092859331</v>
      </c>
    </row>
    <row r="147" spans="1:40" x14ac:dyDescent="0.25">
      <c r="A147" s="1" t="s">
        <v>1353</v>
      </c>
      <c r="B147">
        <v>48998949000</v>
      </c>
      <c r="C147" t="s">
        <v>88</v>
      </c>
      <c r="D147" t="s">
        <v>127</v>
      </c>
      <c r="E147">
        <v>13052000000</v>
      </c>
      <c r="F147">
        <v>-8198000000</v>
      </c>
      <c r="G147">
        <v>-3805000000</v>
      </c>
      <c r="H147">
        <v>-8800000000</v>
      </c>
      <c r="I147">
        <v>-8678000000</v>
      </c>
      <c r="J147">
        <v>-8297000000</v>
      </c>
      <c r="K147">
        <v>12650000000</v>
      </c>
      <c r="L147">
        <v>0</v>
      </c>
      <c r="M147">
        <v>12650000000</v>
      </c>
      <c r="N147">
        <v>15153000000</v>
      </c>
      <c r="O147">
        <v>1316000000</v>
      </c>
      <c r="P147">
        <v>197000000</v>
      </c>
      <c r="Q147">
        <v>7170000000</v>
      </c>
      <c r="R147">
        <v>5372000000</v>
      </c>
      <c r="S147">
        <v>16241000000</v>
      </c>
      <c r="T147">
        <v>0</v>
      </c>
      <c r="U147">
        <v>989000000</v>
      </c>
      <c r="V147">
        <v>15062000000</v>
      </c>
      <c r="W147">
        <v>43715949000</v>
      </c>
      <c r="X147">
        <v>44704949000</v>
      </c>
      <c r="Y147">
        <v>3.7541333895188478</v>
      </c>
      <c r="Z147">
        <v>-5.9769393754574276</v>
      </c>
      <c r="AA147">
        <v>-12.8775161629435</v>
      </c>
      <c r="AB147">
        <v>-5.5680623863636356</v>
      </c>
      <c r="AC147">
        <v>-5.6463412076515329</v>
      </c>
      <c r="AD147">
        <v>-5.9056223936362544</v>
      </c>
      <c r="AE147">
        <v>-5.4531530861185651</v>
      </c>
      <c r="AF147">
        <v>-5.3325139058306901</v>
      </c>
      <c r="AG147">
        <v>-5.1515267342705693</v>
      </c>
      <c r="AH147">
        <v>-5.0375603825766309</v>
      </c>
      <c r="AI147">
        <v>-11.74900105124836</v>
      </c>
      <c r="AJ147">
        <v>-5.0801078409090907</v>
      </c>
      <c r="AK147">
        <v>-11.489079894875159</v>
      </c>
      <c r="AL147">
        <v>-4.9677214772727272</v>
      </c>
      <c r="AM147">
        <v>3.4251416641127799</v>
      </c>
      <c r="AN147">
        <v>3.3493678363469201</v>
      </c>
    </row>
    <row r="148" spans="1:40" x14ac:dyDescent="0.25">
      <c r="A148" s="1" t="s">
        <v>1352</v>
      </c>
      <c r="B148">
        <v>47647843600</v>
      </c>
      <c r="C148" t="s">
        <v>88</v>
      </c>
      <c r="D148" t="s">
        <v>127</v>
      </c>
      <c r="E148">
        <v>13052000000</v>
      </c>
      <c r="F148">
        <v>-8198000000</v>
      </c>
      <c r="G148">
        <v>-3805000000</v>
      </c>
      <c r="H148">
        <v>-8800000000</v>
      </c>
      <c r="I148">
        <v>-8678000000</v>
      </c>
      <c r="J148">
        <v>-8297000000</v>
      </c>
      <c r="K148">
        <v>12650000000</v>
      </c>
      <c r="L148">
        <v>0</v>
      </c>
      <c r="M148">
        <v>12650000000</v>
      </c>
      <c r="N148">
        <v>15153000000</v>
      </c>
      <c r="O148">
        <v>1316000000</v>
      </c>
      <c r="P148">
        <v>197000000</v>
      </c>
      <c r="Q148">
        <v>7170000000</v>
      </c>
      <c r="R148">
        <v>5372000000</v>
      </c>
      <c r="S148">
        <v>16241000000</v>
      </c>
      <c r="T148">
        <v>0</v>
      </c>
      <c r="U148">
        <v>989000000</v>
      </c>
      <c r="V148">
        <v>15062000000</v>
      </c>
      <c r="W148">
        <v>42364843600</v>
      </c>
      <c r="X148">
        <v>43353843600</v>
      </c>
      <c r="Y148">
        <v>3.6506162733680658</v>
      </c>
      <c r="Z148">
        <v>-5.812130226884606</v>
      </c>
      <c r="AA148">
        <v>-12.522429329829169</v>
      </c>
      <c r="AB148">
        <v>-5.414527681818182</v>
      </c>
      <c r="AC148">
        <v>-5.4906480294998854</v>
      </c>
      <c r="AD148">
        <v>-5.7427797517174879</v>
      </c>
      <c r="AE148">
        <v>-5.2883439375457426</v>
      </c>
      <c r="AF148">
        <v>-5.1677047572578676</v>
      </c>
      <c r="AG148">
        <v>-4.9958335561189218</v>
      </c>
      <c r="AH148">
        <v>-4.8818672044249816</v>
      </c>
      <c r="AI148">
        <v>-11.39391421813403</v>
      </c>
      <c r="AJ148">
        <v>-4.9265731363636363</v>
      </c>
      <c r="AK148">
        <v>-11.13399306176084</v>
      </c>
      <c r="AL148">
        <v>-4.8141867727272727</v>
      </c>
      <c r="AM148">
        <v>3.3216245479619979</v>
      </c>
      <c r="AN148">
        <v>3.2458507201961391</v>
      </c>
    </row>
    <row r="149" spans="1:40" x14ac:dyDescent="0.25">
      <c r="A149" s="1" t="s">
        <v>1351</v>
      </c>
      <c r="B149">
        <v>47339996800</v>
      </c>
      <c r="C149" t="s">
        <v>88</v>
      </c>
      <c r="D149" t="s">
        <v>127</v>
      </c>
      <c r="E149">
        <v>13052000000</v>
      </c>
      <c r="F149">
        <v>-8198000000</v>
      </c>
      <c r="G149">
        <v>-3805000000</v>
      </c>
      <c r="H149">
        <v>-8800000000</v>
      </c>
      <c r="I149">
        <v>-8678000000</v>
      </c>
      <c r="J149">
        <v>-8297000000</v>
      </c>
      <c r="K149">
        <v>12650000000</v>
      </c>
      <c r="L149">
        <v>0</v>
      </c>
      <c r="M149">
        <v>12650000000</v>
      </c>
      <c r="N149">
        <v>15153000000</v>
      </c>
      <c r="O149">
        <v>1316000000</v>
      </c>
      <c r="P149">
        <v>197000000</v>
      </c>
      <c r="Q149">
        <v>7170000000</v>
      </c>
      <c r="R149">
        <v>5372000000</v>
      </c>
      <c r="S149">
        <v>16241000000</v>
      </c>
      <c r="T149">
        <v>0</v>
      </c>
      <c r="U149">
        <v>989000000</v>
      </c>
      <c r="V149">
        <v>15062000000</v>
      </c>
      <c r="W149">
        <v>42056996800</v>
      </c>
      <c r="X149">
        <v>43045996800</v>
      </c>
      <c r="Y149">
        <v>3.6270300950045971</v>
      </c>
      <c r="Z149">
        <v>-5.7745787753110518</v>
      </c>
      <c r="AA149">
        <v>-12.441523469119581</v>
      </c>
      <c r="AB149">
        <v>-5.3795450909090912</v>
      </c>
      <c r="AC149">
        <v>-5.4551736344779904</v>
      </c>
      <c r="AD149">
        <v>-5.705676364951187</v>
      </c>
      <c r="AE149">
        <v>-5.2507924859721884</v>
      </c>
      <c r="AF149">
        <v>-5.1301533056843134</v>
      </c>
      <c r="AG149">
        <v>-4.9603591610970268</v>
      </c>
      <c r="AH149">
        <v>-4.8463928094030884</v>
      </c>
      <c r="AI149">
        <v>-11.31300835742444</v>
      </c>
      <c r="AJ149">
        <v>-4.8915905454545454</v>
      </c>
      <c r="AK149">
        <v>-11.05308720105125</v>
      </c>
      <c r="AL149">
        <v>-4.7792041818181819</v>
      </c>
      <c r="AM149">
        <v>3.2980383695985291</v>
      </c>
      <c r="AN149">
        <v>3.222264541832669</v>
      </c>
    </row>
    <row r="150" spans="1:40" x14ac:dyDescent="0.25">
      <c r="A150" s="1" t="s">
        <v>1350</v>
      </c>
      <c r="B150">
        <v>47699151400</v>
      </c>
      <c r="C150" t="s">
        <v>88</v>
      </c>
      <c r="D150" t="s">
        <v>127</v>
      </c>
      <c r="E150">
        <v>13052000000</v>
      </c>
      <c r="F150">
        <v>-8198000000</v>
      </c>
      <c r="G150">
        <v>-3805000000</v>
      </c>
      <c r="H150">
        <v>-8800000000</v>
      </c>
      <c r="I150">
        <v>-8678000000</v>
      </c>
      <c r="J150">
        <v>-8297000000</v>
      </c>
      <c r="K150">
        <v>12650000000</v>
      </c>
      <c r="L150">
        <v>0</v>
      </c>
      <c r="M150">
        <v>12650000000</v>
      </c>
      <c r="N150">
        <v>15153000000</v>
      </c>
      <c r="O150">
        <v>1316000000</v>
      </c>
      <c r="P150">
        <v>197000000</v>
      </c>
      <c r="Q150">
        <v>7170000000</v>
      </c>
      <c r="R150">
        <v>5372000000</v>
      </c>
      <c r="S150">
        <v>16241000000</v>
      </c>
      <c r="T150">
        <v>0</v>
      </c>
      <c r="U150">
        <v>989000000</v>
      </c>
      <c r="V150">
        <v>15062000000</v>
      </c>
      <c r="W150">
        <v>42416151400</v>
      </c>
      <c r="X150">
        <v>43405151400</v>
      </c>
      <c r="Y150">
        <v>3.6545473030953111</v>
      </c>
      <c r="Z150">
        <v>-5.818388802146865</v>
      </c>
      <c r="AA150">
        <v>-12.53591363994744</v>
      </c>
      <c r="AB150">
        <v>-5.4203581136363637</v>
      </c>
      <c r="AC150">
        <v>-5.4965604286702003</v>
      </c>
      <c r="AD150">
        <v>-5.7489636495118717</v>
      </c>
      <c r="AE150">
        <v>-5.2946025128080016</v>
      </c>
      <c r="AF150">
        <v>-5.1739633325201266</v>
      </c>
      <c r="AG150">
        <v>-5.0017459552892367</v>
      </c>
      <c r="AH150">
        <v>-4.8877796035952983</v>
      </c>
      <c r="AI150">
        <v>-11.407398528252299</v>
      </c>
      <c r="AJ150">
        <v>-4.9324035681818179</v>
      </c>
      <c r="AK150">
        <v>-11.147477371879109</v>
      </c>
      <c r="AL150">
        <v>-4.8200172045454543</v>
      </c>
      <c r="AM150">
        <v>3.3255555776892431</v>
      </c>
      <c r="AN150">
        <v>3.249781749923383</v>
      </c>
    </row>
    <row r="151" spans="1:40" x14ac:dyDescent="0.25">
      <c r="A151" s="1" t="s">
        <v>1349</v>
      </c>
      <c r="B151">
        <v>48605589200</v>
      </c>
      <c r="C151" t="s">
        <v>88</v>
      </c>
      <c r="D151" t="s">
        <v>127</v>
      </c>
      <c r="E151">
        <v>13052000000</v>
      </c>
      <c r="F151">
        <v>-8198000000</v>
      </c>
      <c r="G151">
        <v>-3805000000</v>
      </c>
      <c r="H151">
        <v>-8800000000</v>
      </c>
      <c r="I151">
        <v>-8678000000</v>
      </c>
      <c r="J151">
        <v>-8297000000</v>
      </c>
      <c r="K151">
        <v>12650000000</v>
      </c>
      <c r="L151">
        <v>0</v>
      </c>
      <c r="M151">
        <v>12650000000</v>
      </c>
      <c r="N151">
        <v>15153000000</v>
      </c>
      <c r="O151">
        <v>1316000000</v>
      </c>
      <c r="P151">
        <v>197000000</v>
      </c>
      <c r="Q151">
        <v>7170000000</v>
      </c>
      <c r="R151">
        <v>5372000000</v>
      </c>
      <c r="S151">
        <v>16241000000</v>
      </c>
      <c r="T151">
        <v>0</v>
      </c>
      <c r="U151">
        <v>989000000</v>
      </c>
      <c r="V151">
        <v>15062000000</v>
      </c>
      <c r="W151">
        <v>43322589200</v>
      </c>
      <c r="X151">
        <v>44311589200</v>
      </c>
      <c r="Y151">
        <v>3.7239954949433041</v>
      </c>
      <c r="Z151">
        <v>-5.9289569651134419</v>
      </c>
      <c r="AA151">
        <v>-12.774136452036791</v>
      </c>
      <c r="AB151">
        <v>-5.5233624090909093</v>
      </c>
      <c r="AC151">
        <v>-5.6010128140124449</v>
      </c>
      <c r="AD151">
        <v>-5.8582125105459806</v>
      </c>
      <c r="AE151">
        <v>-5.4051706757745794</v>
      </c>
      <c r="AF151">
        <v>-5.2845314954867044</v>
      </c>
      <c r="AG151">
        <v>-5.1061983406314821</v>
      </c>
      <c r="AH151">
        <v>-4.9922319889375428</v>
      </c>
      <c r="AI151">
        <v>-11.645621340341661</v>
      </c>
      <c r="AJ151">
        <v>-5.0354078636363644</v>
      </c>
      <c r="AK151">
        <v>-11.38570018396846</v>
      </c>
      <c r="AL151">
        <v>-4.9230214999999999</v>
      </c>
      <c r="AM151">
        <v>3.3950037695372361</v>
      </c>
      <c r="AN151">
        <v>3.319229941771376</v>
      </c>
    </row>
    <row r="152" spans="1:40" x14ac:dyDescent="0.25">
      <c r="A152" s="1" t="s">
        <v>1348</v>
      </c>
      <c r="B152">
        <v>49067359400</v>
      </c>
      <c r="C152" t="s">
        <v>88</v>
      </c>
      <c r="D152" t="s">
        <v>127</v>
      </c>
      <c r="E152">
        <v>13052000000</v>
      </c>
      <c r="F152">
        <v>-8198000000</v>
      </c>
      <c r="G152">
        <v>-3805000000</v>
      </c>
      <c r="H152">
        <v>-8800000000</v>
      </c>
      <c r="I152">
        <v>-8678000000</v>
      </c>
      <c r="J152">
        <v>-8297000000</v>
      </c>
      <c r="K152">
        <v>12650000000</v>
      </c>
      <c r="L152">
        <v>0</v>
      </c>
      <c r="M152">
        <v>12650000000</v>
      </c>
      <c r="N152">
        <v>15153000000</v>
      </c>
      <c r="O152">
        <v>1316000000</v>
      </c>
      <c r="P152">
        <v>197000000</v>
      </c>
      <c r="Q152">
        <v>7170000000</v>
      </c>
      <c r="R152">
        <v>5372000000</v>
      </c>
      <c r="S152">
        <v>16241000000</v>
      </c>
      <c r="T152">
        <v>0</v>
      </c>
      <c r="U152">
        <v>989000000</v>
      </c>
      <c r="V152">
        <v>15062000000</v>
      </c>
      <c r="W152">
        <v>43784359400</v>
      </c>
      <c r="X152">
        <v>44773359400</v>
      </c>
      <c r="Y152">
        <v>3.7593747624885081</v>
      </c>
      <c r="Z152">
        <v>-5.9852841424737742</v>
      </c>
      <c r="AA152">
        <v>-12.89549524310118</v>
      </c>
      <c r="AB152">
        <v>-5.5758362954545451</v>
      </c>
      <c r="AC152">
        <v>-5.6542244065452874</v>
      </c>
      <c r="AD152">
        <v>-5.9138675906954319</v>
      </c>
      <c r="AE152">
        <v>-5.4614978531349108</v>
      </c>
      <c r="AF152">
        <v>-5.3408586728470357</v>
      </c>
      <c r="AG152">
        <v>-5.1594099331643237</v>
      </c>
      <c r="AH152">
        <v>-5.0454435814703853</v>
      </c>
      <c r="AI152">
        <v>-11.766980131406051</v>
      </c>
      <c r="AJ152">
        <v>-5.0878817500000002</v>
      </c>
      <c r="AK152">
        <v>-11.50705897503285</v>
      </c>
      <c r="AL152">
        <v>-4.9754953863636366</v>
      </c>
      <c r="AM152">
        <v>3.4303830370824389</v>
      </c>
      <c r="AN152">
        <v>3.35460920931658</v>
      </c>
    </row>
    <row r="153" spans="1:40" x14ac:dyDescent="0.25">
      <c r="A153" s="1" t="s">
        <v>1347</v>
      </c>
      <c r="B153">
        <v>48725307400</v>
      </c>
      <c r="C153" t="s">
        <v>88</v>
      </c>
      <c r="D153" t="s">
        <v>127</v>
      </c>
      <c r="E153">
        <v>13052000000</v>
      </c>
      <c r="F153">
        <v>-8198000000</v>
      </c>
      <c r="G153">
        <v>-3805000000</v>
      </c>
      <c r="H153">
        <v>-8800000000</v>
      </c>
      <c r="I153">
        <v>-8678000000</v>
      </c>
      <c r="J153">
        <v>-8297000000</v>
      </c>
      <c r="K153">
        <v>12650000000</v>
      </c>
      <c r="L153">
        <v>0</v>
      </c>
      <c r="M153">
        <v>12650000000</v>
      </c>
      <c r="N153">
        <v>15153000000</v>
      </c>
      <c r="O153">
        <v>1316000000</v>
      </c>
      <c r="P153">
        <v>197000000</v>
      </c>
      <c r="Q153">
        <v>7170000000</v>
      </c>
      <c r="R153">
        <v>5372000000</v>
      </c>
      <c r="S153">
        <v>16241000000</v>
      </c>
      <c r="T153">
        <v>0</v>
      </c>
      <c r="U153">
        <v>989000000</v>
      </c>
      <c r="V153">
        <v>15062000000</v>
      </c>
      <c r="W153">
        <v>43442307400</v>
      </c>
      <c r="X153">
        <v>44431307400</v>
      </c>
      <c r="Y153">
        <v>3.7331678976402078</v>
      </c>
      <c r="Z153">
        <v>-5.9435603073920467</v>
      </c>
      <c r="AA153">
        <v>-12.80559984231275</v>
      </c>
      <c r="AB153">
        <v>-5.5369667500000004</v>
      </c>
      <c r="AC153">
        <v>-5.6148084120765152</v>
      </c>
      <c r="AD153">
        <v>-5.8726416053995418</v>
      </c>
      <c r="AE153">
        <v>-5.4197740180531833</v>
      </c>
      <c r="AF153">
        <v>-5.2991348377653082</v>
      </c>
      <c r="AG153">
        <v>-5.1199939386955524</v>
      </c>
      <c r="AH153">
        <v>-5.0060275870016131</v>
      </c>
      <c r="AI153">
        <v>-11.67708473061761</v>
      </c>
      <c r="AJ153">
        <v>-5.0490122045454546</v>
      </c>
      <c r="AK153">
        <v>-11.41716357424442</v>
      </c>
      <c r="AL153">
        <v>-4.9366258409090911</v>
      </c>
      <c r="AM153">
        <v>3.4041761722341399</v>
      </c>
      <c r="AN153">
        <v>3.3284023444682811</v>
      </c>
    </row>
    <row r="154" spans="1:40" x14ac:dyDescent="0.25">
      <c r="A154" s="1" t="s">
        <v>1346</v>
      </c>
      <c r="B154">
        <v>51393313000</v>
      </c>
      <c r="C154" t="s">
        <v>88</v>
      </c>
      <c r="D154" t="s">
        <v>127</v>
      </c>
      <c r="E154">
        <v>13052000000</v>
      </c>
      <c r="F154">
        <v>-8198000000</v>
      </c>
      <c r="G154">
        <v>-3805000000</v>
      </c>
      <c r="H154">
        <v>-8800000000</v>
      </c>
      <c r="I154">
        <v>-8678000000</v>
      </c>
      <c r="J154">
        <v>-8297000000</v>
      </c>
      <c r="K154">
        <v>12650000000</v>
      </c>
      <c r="L154">
        <v>0</v>
      </c>
      <c r="M154">
        <v>12650000000</v>
      </c>
      <c r="N154">
        <v>15153000000</v>
      </c>
      <c r="O154">
        <v>1316000000</v>
      </c>
      <c r="P154">
        <v>197000000</v>
      </c>
      <c r="Q154">
        <v>7170000000</v>
      </c>
      <c r="R154">
        <v>5372000000</v>
      </c>
      <c r="S154">
        <v>16241000000</v>
      </c>
      <c r="T154">
        <v>0</v>
      </c>
      <c r="U154">
        <v>989000000</v>
      </c>
      <c r="V154">
        <v>15062000000</v>
      </c>
      <c r="W154">
        <v>46110313000</v>
      </c>
      <c r="X154">
        <v>47099313000</v>
      </c>
      <c r="Y154">
        <v>3.9375814434569421</v>
      </c>
      <c r="Z154">
        <v>-6.2690062210295192</v>
      </c>
      <c r="AA154">
        <v>-13.50678396846255</v>
      </c>
      <c r="AB154">
        <v>-5.8401492045454546</v>
      </c>
      <c r="AC154">
        <v>-5.9222531689329339</v>
      </c>
      <c r="AD154">
        <v>-6.1942042907074848</v>
      </c>
      <c r="AE154">
        <v>-5.7452199316906567</v>
      </c>
      <c r="AF154">
        <v>-5.6245807514027808</v>
      </c>
      <c r="AG154">
        <v>-5.4274386955519702</v>
      </c>
      <c r="AH154">
        <v>-5.3134723438580318</v>
      </c>
      <c r="AI154">
        <v>-12.378268856767409</v>
      </c>
      <c r="AJ154">
        <v>-5.3521946590909089</v>
      </c>
      <c r="AK154">
        <v>-12.118347700394221</v>
      </c>
      <c r="AL154">
        <v>-5.2398082954545453</v>
      </c>
      <c r="AM154">
        <v>3.6085897180508728</v>
      </c>
      <c r="AN154">
        <v>3.532815890285014</v>
      </c>
    </row>
    <row r="155" spans="1:40" x14ac:dyDescent="0.25">
      <c r="A155" s="1" t="s">
        <v>1345</v>
      </c>
      <c r="B155">
        <v>50880235000</v>
      </c>
      <c r="C155" t="s">
        <v>88</v>
      </c>
      <c r="D155" t="s">
        <v>127</v>
      </c>
      <c r="E155">
        <v>13052000000</v>
      </c>
      <c r="F155">
        <v>-8198000000</v>
      </c>
      <c r="G155">
        <v>-3805000000</v>
      </c>
      <c r="H155">
        <v>-8800000000</v>
      </c>
      <c r="I155">
        <v>-8678000000</v>
      </c>
      <c r="J155">
        <v>-8297000000</v>
      </c>
      <c r="K155">
        <v>12650000000</v>
      </c>
      <c r="L155">
        <v>0</v>
      </c>
      <c r="M155">
        <v>12650000000</v>
      </c>
      <c r="N155">
        <v>15153000000</v>
      </c>
      <c r="O155">
        <v>1316000000</v>
      </c>
      <c r="P155">
        <v>197000000</v>
      </c>
      <c r="Q155">
        <v>7170000000</v>
      </c>
      <c r="R155">
        <v>5372000000</v>
      </c>
      <c r="S155">
        <v>16241000000</v>
      </c>
      <c r="T155">
        <v>0</v>
      </c>
      <c r="U155">
        <v>989000000</v>
      </c>
      <c r="V155">
        <v>15062000000</v>
      </c>
      <c r="W155">
        <v>45597235000</v>
      </c>
      <c r="X155">
        <v>46586235000</v>
      </c>
      <c r="Y155">
        <v>3.8982711461844932</v>
      </c>
      <c r="Z155">
        <v>-6.2064204684069288</v>
      </c>
      <c r="AA155">
        <v>-13.371940867279889</v>
      </c>
      <c r="AB155">
        <v>-5.7818448863636362</v>
      </c>
      <c r="AC155">
        <v>-5.8631291772297756</v>
      </c>
      <c r="AD155">
        <v>-6.1323653127636497</v>
      </c>
      <c r="AE155">
        <v>-5.6826341790680646</v>
      </c>
      <c r="AF155">
        <v>-5.5619949987801904</v>
      </c>
      <c r="AG155">
        <v>-5.3683147038488128</v>
      </c>
      <c r="AH155">
        <v>-5.2543483521548744</v>
      </c>
      <c r="AI155">
        <v>-12.243425755584759</v>
      </c>
      <c r="AJ155">
        <v>-5.2938903409090896</v>
      </c>
      <c r="AK155">
        <v>-11.98350459921156</v>
      </c>
      <c r="AL155">
        <v>-5.1815039772727269</v>
      </c>
      <c r="AM155">
        <v>3.5692794207784249</v>
      </c>
      <c r="AN155">
        <v>3.4935055930125651</v>
      </c>
    </row>
    <row r="156" spans="1:40" x14ac:dyDescent="0.25">
      <c r="A156" s="1" t="s">
        <v>1344</v>
      </c>
      <c r="B156">
        <v>51530133800</v>
      </c>
      <c r="C156" t="s">
        <v>88</v>
      </c>
      <c r="D156" t="s">
        <v>127</v>
      </c>
      <c r="E156">
        <v>13052000000</v>
      </c>
      <c r="F156">
        <v>-8198000000</v>
      </c>
      <c r="G156">
        <v>-3805000000</v>
      </c>
      <c r="H156">
        <v>-8800000000</v>
      </c>
      <c r="I156">
        <v>-8678000000</v>
      </c>
      <c r="J156">
        <v>-8297000000</v>
      </c>
      <c r="K156">
        <v>12650000000</v>
      </c>
      <c r="L156">
        <v>0</v>
      </c>
      <c r="M156">
        <v>12650000000</v>
      </c>
      <c r="N156">
        <v>15153000000</v>
      </c>
      <c r="O156">
        <v>1316000000</v>
      </c>
      <c r="P156">
        <v>197000000</v>
      </c>
      <c r="Q156">
        <v>7170000000</v>
      </c>
      <c r="R156">
        <v>5372000000</v>
      </c>
      <c r="S156">
        <v>16241000000</v>
      </c>
      <c r="T156">
        <v>0</v>
      </c>
      <c r="U156">
        <v>989000000</v>
      </c>
      <c r="V156">
        <v>15062000000</v>
      </c>
      <c r="W156">
        <v>46247133800</v>
      </c>
      <c r="X156">
        <v>47236133800</v>
      </c>
      <c r="Y156">
        <v>3.9480641893962609</v>
      </c>
      <c r="Z156">
        <v>-6.2856957550622106</v>
      </c>
      <c r="AA156">
        <v>-13.54274212877792</v>
      </c>
      <c r="AB156">
        <v>-5.8556970227272727</v>
      </c>
      <c r="AC156">
        <v>-5.9380195667204427</v>
      </c>
      <c r="AD156">
        <v>-6.2106946848258406</v>
      </c>
      <c r="AE156">
        <v>-5.7619094657233472</v>
      </c>
      <c r="AF156">
        <v>-5.6412702854354722</v>
      </c>
      <c r="AG156">
        <v>-5.4432050933394791</v>
      </c>
      <c r="AH156">
        <v>-5.3292387416455407</v>
      </c>
      <c r="AI156">
        <v>-12.414227017082791</v>
      </c>
      <c r="AJ156">
        <v>-5.3677424772727269</v>
      </c>
      <c r="AK156">
        <v>-12.15430586070959</v>
      </c>
      <c r="AL156">
        <v>-5.2553561136363633</v>
      </c>
      <c r="AM156">
        <v>3.619072463990193</v>
      </c>
      <c r="AN156">
        <v>3.5432986362243328</v>
      </c>
    </row>
    <row r="157" spans="1:40" x14ac:dyDescent="0.25">
      <c r="A157" s="1" t="s">
        <v>1343</v>
      </c>
      <c r="B157">
        <v>51290697400</v>
      </c>
      <c r="C157" t="s">
        <v>88</v>
      </c>
      <c r="D157" t="s">
        <v>127</v>
      </c>
      <c r="E157">
        <v>13052000000</v>
      </c>
      <c r="F157">
        <v>-8198000000</v>
      </c>
      <c r="G157">
        <v>-3805000000</v>
      </c>
      <c r="H157">
        <v>-8800000000</v>
      </c>
      <c r="I157">
        <v>-8678000000</v>
      </c>
      <c r="J157">
        <v>-8297000000</v>
      </c>
      <c r="K157">
        <v>12650000000</v>
      </c>
      <c r="L157">
        <v>0</v>
      </c>
      <c r="M157">
        <v>12650000000</v>
      </c>
      <c r="N157">
        <v>15153000000</v>
      </c>
      <c r="O157">
        <v>1316000000</v>
      </c>
      <c r="P157">
        <v>197000000</v>
      </c>
      <c r="Q157">
        <v>7170000000</v>
      </c>
      <c r="R157">
        <v>5372000000</v>
      </c>
      <c r="S157">
        <v>16241000000</v>
      </c>
      <c r="T157">
        <v>0</v>
      </c>
      <c r="U157">
        <v>989000000</v>
      </c>
      <c r="V157">
        <v>15062000000</v>
      </c>
      <c r="W157">
        <v>46007697400</v>
      </c>
      <c r="X157">
        <v>46996697400</v>
      </c>
      <c r="Y157">
        <v>3.929719384002452</v>
      </c>
      <c r="Z157">
        <v>-6.2564890705050011</v>
      </c>
      <c r="AA157">
        <v>-13.479815348226021</v>
      </c>
      <c r="AB157">
        <v>-5.8284883409090913</v>
      </c>
      <c r="AC157">
        <v>-5.9104283705923022</v>
      </c>
      <c r="AD157">
        <v>-6.1818364951187172</v>
      </c>
      <c r="AE157">
        <v>-5.7327027811661377</v>
      </c>
      <c r="AF157">
        <v>-5.6120636008782627</v>
      </c>
      <c r="AG157">
        <v>-5.4156138972113386</v>
      </c>
      <c r="AH157">
        <v>-5.3016475455174001</v>
      </c>
      <c r="AI157">
        <v>-12.35130023653088</v>
      </c>
      <c r="AJ157">
        <v>-5.3405337954545464</v>
      </c>
      <c r="AK157">
        <v>-12.09137908015769</v>
      </c>
      <c r="AL157">
        <v>-5.228147431818182</v>
      </c>
      <c r="AM157">
        <v>3.6007276585963841</v>
      </c>
      <c r="AN157">
        <v>3.5249538308305239</v>
      </c>
    </row>
    <row r="158" spans="1:40" x14ac:dyDescent="0.25">
      <c r="A158" s="1" t="s">
        <v>1342</v>
      </c>
      <c r="B158">
        <v>52077417000</v>
      </c>
      <c r="C158" t="s">
        <v>88</v>
      </c>
      <c r="D158" t="s">
        <v>127</v>
      </c>
      <c r="E158">
        <v>13052000000</v>
      </c>
      <c r="F158">
        <v>-8198000000</v>
      </c>
      <c r="G158">
        <v>-3805000000</v>
      </c>
      <c r="H158">
        <v>-8800000000</v>
      </c>
      <c r="I158">
        <v>-8678000000</v>
      </c>
      <c r="J158">
        <v>-8297000000</v>
      </c>
      <c r="K158">
        <v>12650000000</v>
      </c>
      <c r="L158">
        <v>0</v>
      </c>
      <c r="M158">
        <v>12650000000</v>
      </c>
      <c r="N158">
        <v>15153000000</v>
      </c>
      <c r="O158">
        <v>1316000000</v>
      </c>
      <c r="P158">
        <v>197000000</v>
      </c>
      <c r="Q158">
        <v>7170000000</v>
      </c>
      <c r="R158">
        <v>5372000000</v>
      </c>
      <c r="S158">
        <v>16241000000</v>
      </c>
      <c r="T158">
        <v>0</v>
      </c>
      <c r="U158">
        <v>989000000</v>
      </c>
      <c r="V158">
        <v>15062000000</v>
      </c>
      <c r="W158">
        <v>46794417000</v>
      </c>
      <c r="X158">
        <v>47783417000</v>
      </c>
      <c r="Y158">
        <v>3.9899951731535399</v>
      </c>
      <c r="Z158">
        <v>-6.3524538911929742</v>
      </c>
      <c r="AA158">
        <v>-13.686574770039419</v>
      </c>
      <c r="AB158">
        <v>-5.9178882954545458</v>
      </c>
      <c r="AC158">
        <v>-6.0010851578704774</v>
      </c>
      <c r="AD158">
        <v>-6.2766562612992649</v>
      </c>
      <c r="AE158">
        <v>-5.8286676018541108</v>
      </c>
      <c r="AF158">
        <v>-5.7080284215662358</v>
      </c>
      <c r="AG158">
        <v>-5.5062706844895137</v>
      </c>
      <c r="AH158">
        <v>-5.3923043327955753</v>
      </c>
      <c r="AI158">
        <v>-12.558059658344281</v>
      </c>
      <c r="AJ158">
        <v>-5.42993375</v>
      </c>
      <c r="AK158">
        <v>-12.29813850197109</v>
      </c>
      <c r="AL158">
        <v>-5.3175473863636364</v>
      </c>
      <c r="AM158">
        <v>3.661003447747472</v>
      </c>
      <c r="AN158">
        <v>3.5852296199816118</v>
      </c>
    </row>
    <row r="159" spans="1:40" x14ac:dyDescent="0.25">
      <c r="A159" s="1" t="s">
        <v>1341</v>
      </c>
      <c r="B159">
        <v>51872185800</v>
      </c>
      <c r="C159" t="s">
        <v>88</v>
      </c>
      <c r="D159" t="s">
        <v>127</v>
      </c>
      <c r="E159">
        <v>13052000000</v>
      </c>
      <c r="F159">
        <v>-8198000000</v>
      </c>
      <c r="G159">
        <v>-3805000000</v>
      </c>
      <c r="H159">
        <v>-8800000000</v>
      </c>
      <c r="I159">
        <v>-8678000000</v>
      </c>
      <c r="J159">
        <v>-8297000000</v>
      </c>
      <c r="K159">
        <v>12650000000</v>
      </c>
      <c r="L159">
        <v>0</v>
      </c>
      <c r="M159">
        <v>12650000000</v>
      </c>
      <c r="N159">
        <v>15153000000</v>
      </c>
      <c r="O159">
        <v>1316000000</v>
      </c>
      <c r="P159">
        <v>197000000</v>
      </c>
      <c r="Q159">
        <v>7170000000</v>
      </c>
      <c r="R159">
        <v>5372000000</v>
      </c>
      <c r="S159">
        <v>16241000000</v>
      </c>
      <c r="T159">
        <v>0</v>
      </c>
      <c r="U159">
        <v>989000000</v>
      </c>
      <c r="V159">
        <v>15062000000</v>
      </c>
      <c r="W159">
        <v>46589185800</v>
      </c>
      <c r="X159">
        <v>47578185800</v>
      </c>
      <c r="Y159">
        <v>3.9742710542445598</v>
      </c>
      <c r="Z159">
        <v>-6.3274195901439372</v>
      </c>
      <c r="AA159">
        <v>-13.63263752956636</v>
      </c>
      <c r="AB159">
        <v>-5.8945665681818182</v>
      </c>
      <c r="AC159">
        <v>-5.977435561189214</v>
      </c>
      <c r="AD159">
        <v>-6.2519206701217307</v>
      </c>
      <c r="AE159">
        <v>-5.8036333008050747</v>
      </c>
      <c r="AF159">
        <v>-5.6829941205171997</v>
      </c>
      <c r="AG159">
        <v>-5.4826210878082504</v>
      </c>
      <c r="AH159">
        <v>-5.368654736114312</v>
      </c>
      <c r="AI159">
        <v>-12.504122417871219</v>
      </c>
      <c r="AJ159">
        <v>-5.4066120227272716</v>
      </c>
      <c r="AK159">
        <v>-12.244201261498031</v>
      </c>
      <c r="AL159">
        <v>-5.2942256590909089</v>
      </c>
      <c r="AM159">
        <v>3.6452793288384919</v>
      </c>
      <c r="AN159">
        <v>3.5695055010726331</v>
      </c>
    </row>
    <row r="160" spans="1:40" x14ac:dyDescent="0.25">
      <c r="A160" s="1" t="s">
        <v>1340</v>
      </c>
      <c r="B160">
        <v>52060314400</v>
      </c>
      <c r="C160" t="s">
        <v>88</v>
      </c>
      <c r="D160" t="s">
        <v>127</v>
      </c>
      <c r="E160">
        <v>13052000000</v>
      </c>
      <c r="F160">
        <v>-8198000000</v>
      </c>
      <c r="G160">
        <v>-3805000000</v>
      </c>
      <c r="H160">
        <v>-8800000000</v>
      </c>
      <c r="I160">
        <v>-8678000000</v>
      </c>
      <c r="J160">
        <v>-8297000000</v>
      </c>
      <c r="K160">
        <v>12650000000</v>
      </c>
      <c r="L160">
        <v>0</v>
      </c>
      <c r="M160">
        <v>12650000000</v>
      </c>
      <c r="N160">
        <v>15153000000</v>
      </c>
      <c r="O160">
        <v>1316000000</v>
      </c>
      <c r="P160">
        <v>197000000</v>
      </c>
      <c r="Q160">
        <v>7170000000</v>
      </c>
      <c r="R160">
        <v>5372000000</v>
      </c>
      <c r="S160">
        <v>16241000000</v>
      </c>
      <c r="T160">
        <v>0</v>
      </c>
      <c r="U160">
        <v>989000000</v>
      </c>
      <c r="V160">
        <v>15062000000</v>
      </c>
      <c r="W160">
        <v>46777314400</v>
      </c>
      <c r="X160">
        <v>47766314400</v>
      </c>
      <c r="Y160">
        <v>3.9886848299111248</v>
      </c>
      <c r="Z160">
        <v>-6.3503676994388876</v>
      </c>
      <c r="AA160">
        <v>-13.682079999999999</v>
      </c>
      <c r="AB160">
        <v>-5.9159448181818179</v>
      </c>
      <c r="AC160">
        <v>-5.9991143581470388</v>
      </c>
      <c r="AD160">
        <v>-6.2745949620344703</v>
      </c>
      <c r="AE160">
        <v>-5.8265814101000242</v>
      </c>
      <c r="AF160">
        <v>-5.7059422298121492</v>
      </c>
      <c r="AG160">
        <v>-5.5042998847660751</v>
      </c>
      <c r="AH160">
        <v>-5.3903335330721367</v>
      </c>
      <c r="AI160">
        <v>-12.553564888304861</v>
      </c>
      <c r="AJ160">
        <v>-5.4279902727272731</v>
      </c>
      <c r="AK160">
        <v>-12.29364373193167</v>
      </c>
      <c r="AL160">
        <v>-5.3156039090909104</v>
      </c>
      <c r="AM160">
        <v>3.6596931045050569</v>
      </c>
      <c r="AN160">
        <v>3.5839192767391972</v>
      </c>
    </row>
    <row r="161" spans="1:40" x14ac:dyDescent="0.25">
      <c r="A161" s="1" t="s">
        <v>1339</v>
      </c>
      <c r="B161">
        <v>52453674200</v>
      </c>
      <c r="C161" t="s">
        <v>88</v>
      </c>
      <c r="D161" t="s">
        <v>127</v>
      </c>
      <c r="E161">
        <v>13052000000</v>
      </c>
      <c r="F161">
        <v>-8198000000</v>
      </c>
      <c r="G161">
        <v>-3805000000</v>
      </c>
      <c r="H161">
        <v>-8800000000</v>
      </c>
      <c r="I161">
        <v>-8678000000</v>
      </c>
      <c r="J161">
        <v>-8297000000</v>
      </c>
      <c r="K161">
        <v>12650000000</v>
      </c>
      <c r="L161">
        <v>0</v>
      </c>
      <c r="M161">
        <v>12650000000</v>
      </c>
      <c r="N161">
        <v>15153000000</v>
      </c>
      <c r="O161">
        <v>1316000000</v>
      </c>
      <c r="P161">
        <v>197000000</v>
      </c>
      <c r="Q161">
        <v>7170000000</v>
      </c>
      <c r="R161">
        <v>5372000000</v>
      </c>
      <c r="S161">
        <v>16241000000</v>
      </c>
      <c r="T161">
        <v>0</v>
      </c>
      <c r="U161">
        <v>989000000</v>
      </c>
      <c r="V161">
        <v>15062000000</v>
      </c>
      <c r="W161">
        <v>47170674200</v>
      </c>
      <c r="X161">
        <v>48159674200</v>
      </c>
      <c r="Y161">
        <v>4.018822724486669</v>
      </c>
      <c r="Z161">
        <v>-6.3983501097828741</v>
      </c>
      <c r="AA161">
        <v>-13.7854597109067</v>
      </c>
      <c r="AB161">
        <v>-5.9606447954545452</v>
      </c>
      <c r="AC161">
        <v>-6.0444427517861259</v>
      </c>
      <c r="AD161">
        <v>-6.3220048451247441</v>
      </c>
      <c r="AE161">
        <v>-5.8745638204440107</v>
      </c>
      <c r="AF161">
        <v>-5.7539246401561357</v>
      </c>
      <c r="AG161">
        <v>-5.5496282784051623</v>
      </c>
      <c r="AH161">
        <v>-5.4356619267112238</v>
      </c>
      <c r="AI161">
        <v>-12.65694459921156</v>
      </c>
      <c r="AJ161">
        <v>-5.4726902500000003</v>
      </c>
      <c r="AK161">
        <v>-12.397023442838369</v>
      </c>
      <c r="AL161">
        <v>-5.3603038863636367</v>
      </c>
      <c r="AM161">
        <v>3.6898309990806011</v>
      </c>
      <c r="AN161">
        <v>3.6140571713147409</v>
      </c>
    </row>
    <row r="162" spans="1:40" x14ac:dyDescent="0.25">
      <c r="A162" s="1" t="s">
        <v>1338</v>
      </c>
      <c r="B162">
        <v>51598544200</v>
      </c>
      <c r="C162" t="s">
        <v>88</v>
      </c>
      <c r="D162" t="s">
        <v>127</v>
      </c>
      <c r="E162">
        <v>13052000000</v>
      </c>
      <c r="F162">
        <v>-8198000000</v>
      </c>
      <c r="G162">
        <v>-3805000000</v>
      </c>
      <c r="H162">
        <v>-8800000000</v>
      </c>
      <c r="I162">
        <v>-8678000000</v>
      </c>
      <c r="J162">
        <v>-8297000000</v>
      </c>
      <c r="K162">
        <v>12650000000</v>
      </c>
      <c r="L162">
        <v>0</v>
      </c>
      <c r="M162">
        <v>12650000000</v>
      </c>
      <c r="N162">
        <v>15153000000</v>
      </c>
      <c r="O162">
        <v>1316000000</v>
      </c>
      <c r="P162">
        <v>197000000</v>
      </c>
      <c r="Q162">
        <v>7170000000</v>
      </c>
      <c r="R162">
        <v>5372000000</v>
      </c>
      <c r="S162">
        <v>16241000000</v>
      </c>
      <c r="T162">
        <v>0</v>
      </c>
      <c r="U162">
        <v>989000000</v>
      </c>
      <c r="V162">
        <v>15062000000</v>
      </c>
      <c r="W162">
        <v>46315544200</v>
      </c>
      <c r="X162">
        <v>47304544200</v>
      </c>
      <c r="Y162">
        <v>3.9533055623659208</v>
      </c>
      <c r="Z162">
        <v>-6.2940405220785554</v>
      </c>
      <c r="AA162">
        <v>-13.560721208935609</v>
      </c>
      <c r="AB162">
        <v>-5.8634709318181821</v>
      </c>
      <c r="AC162">
        <v>-5.9459027656141972</v>
      </c>
      <c r="AD162">
        <v>-6.218939881885019</v>
      </c>
      <c r="AE162">
        <v>-5.7702542327396928</v>
      </c>
      <c r="AF162">
        <v>-5.6496150524518178</v>
      </c>
      <c r="AG162">
        <v>-5.4510882922332344</v>
      </c>
      <c r="AH162">
        <v>-5.3371219405392951</v>
      </c>
      <c r="AI162">
        <v>-12.432206097240471</v>
      </c>
      <c r="AJ162">
        <v>-5.3755163863636364</v>
      </c>
      <c r="AK162">
        <v>-12.17228494086728</v>
      </c>
      <c r="AL162">
        <v>-5.2631300227272728</v>
      </c>
      <c r="AM162">
        <v>3.6243138369598529</v>
      </c>
      <c r="AN162">
        <v>3.5485400091939931</v>
      </c>
    </row>
    <row r="163" spans="1:40" x14ac:dyDescent="0.25">
      <c r="A163" s="1" t="s">
        <v>1337</v>
      </c>
      <c r="B163">
        <v>50863132400</v>
      </c>
      <c r="C163" t="s">
        <v>88</v>
      </c>
      <c r="D163" t="s">
        <v>127</v>
      </c>
      <c r="E163">
        <v>13052000000</v>
      </c>
      <c r="F163">
        <v>-8198000000</v>
      </c>
      <c r="G163">
        <v>-3805000000</v>
      </c>
      <c r="H163">
        <v>-8800000000</v>
      </c>
      <c r="I163">
        <v>-8678000000</v>
      </c>
      <c r="J163">
        <v>-8297000000</v>
      </c>
      <c r="K163">
        <v>12650000000</v>
      </c>
      <c r="L163">
        <v>0</v>
      </c>
      <c r="M163">
        <v>12650000000</v>
      </c>
      <c r="N163">
        <v>15153000000</v>
      </c>
      <c r="O163">
        <v>1316000000</v>
      </c>
      <c r="P163">
        <v>197000000</v>
      </c>
      <c r="Q163">
        <v>7170000000</v>
      </c>
      <c r="R163">
        <v>5372000000</v>
      </c>
      <c r="S163">
        <v>16241000000</v>
      </c>
      <c r="T163">
        <v>0</v>
      </c>
      <c r="U163">
        <v>989000000</v>
      </c>
      <c r="V163">
        <v>15062000000</v>
      </c>
      <c r="W163">
        <v>45580132400</v>
      </c>
      <c r="X163">
        <v>46569132400</v>
      </c>
      <c r="Y163">
        <v>3.8969608029420781</v>
      </c>
      <c r="Z163">
        <v>-6.2043342766528422</v>
      </c>
      <c r="AA163">
        <v>-13.367446097240469</v>
      </c>
      <c r="AB163">
        <v>-5.7799014090909093</v>
      </c>
      <c r="AC163">
        <v>-5.8611583775063378</v>
      </c>
      <c r="AD163">
        <v>-6.1303040134988551</v>
      </c>
      <c r="AE163">
        <v>-5.6805479873139788</v>
      </c>
      <c r="AF163">
        <v>-5.5599088070261038</v>
      </c>
      <c r="AG163">
        <v>-5.3663439041253742</v>
      </c>
      <c r="AH163">
        <v>-5.2523775524314358</v>
      </c>
      <c r="AI163">
        <v>-12.238930985545339</v>
      </c>
      <c r="AJ163">
        <v>-5.2919468636363636</v>
      </c>
      <c r="AK163">
        <v>-11.97900982917214</v>
      </c>
      <c r="AL163">
        <v>-5.1795605</v>
      </c>
      <c r="AM163">
        <v>3.5679690775360098</v>
      </c>
      <c r="AN163">
        <v>3.4921952497701501</v>
      </c>
    </row>
    <row r="164" spans="1:40" x14ac:dyDescent="0.25">
      <c r="A164" s="1" t="s">
        <v>87</v>
      </c>
      <c r="B164">
        <v>51282674580</v>
      </c>
      <c r="C164" t="s">
        <v>88</v>
      </c>
      <c r="D164" t="s">
        <v>127</v>
      </c>
      <c r="E164">
        <v>13052000000</v>
      </c>
      <c r="F164">
        <v>-8198000000</v>
      </c>
      <c r="G164">
        <v>-3805000000</v>
      </c>
      <c r="H164">
        <v>-8800000000</v>
      </c>
      <c r="I164">
        <v>-8678000000</v>
      </c>
      <c r="J164">
        <v>-8297000000</v>
      </c>
      <c r="K164">
        <v>12650000000</v>
      </c>
      <c r="L164">
        <v>0</v>
      </c>
      <c r="M164">
        <v>12650000000</v>
      </c>
      <c r="N164">
        <v>15153000000</v>
      </c>
      <c r="O164">
        <v>1316000000</v>
      </c>
      <c r="P164">
        <v>197000000</v>
      </c>
      <c r="Q164">
        <v>7170000000</v>
      </c>
      <c r="R164">
        <v>5372000000</v>
      </c>
      <c r="S164">
        <v>16241000000</v>
      </c>
      <c r="T164">
        <v>0</v>
      </c>
      <c r="U164">
        <v>989000000</v>
      </c>
      <c r="V164">
        <v>15062000000</v>
      </c>
      <c r="W164">
        <v>45999674580</v>
      </c>
      <c r="X164">
        <v>46988674580</v>
      </c>
      <c r="Y164">
        <v>3.929104702727551</v>
      </c>
      <c r="Z164">
        <v>-6.2555104391314957</v>
      </c>
      <c r="AA164">
        <v>-13.47770685413929</v>
      </c>
      <c r="AB164">
        <v>-5.8275766568181817</v>
      </c>
      <c r="AC164">
        <v>-5.9095038695551967</v>
      </c>
      <c r="AD164">
        <v>-6.1808695407978789</v>
      </c>
      <c r="AE164">
        <v>-5.7317241497926323</v>
      </c>
      <c r="AF164">
        <v>-5.6110849695047573</v>
      </c>
      <c r="AG164">
        <v>-5.4146893961742339</v>
      </c>
      <c r="AH164">
        <v>-5.3007230444802946</v>
      </c>
      <c r="AI164">
        <v>-12.34919174244415</v>
      </c>
      <c r="AJ164">
        <v>-5.339622111363636</v>
      </c>
      <c r="AK164">
        <v>-12.08927058607096</v>
      </c>
      <c r="AL164">
        <v>-5.2272357477272724</v>
      </c>
      <c r="AM164">
        <v>3.6001129773214831</v>
      </c>
      <c r="AN164">
        <v>3.5243391495556242</v>
      </c>
    </row>
    <row r="165" spans="1:40" x14ac:dyDescent="0.25">
      <c r="A165" s="1" t="s">
        <v>1336</v>
      </c>
      <c r="B165">
        <v>53438133330</v>
      </c>
      <c r="C165" t="s">
        <v>88</v>
      </c>
      <c r="D165" t="s">
        <v>127</v>
      </c>
      <c r="E165">
        <v>13052000000</v>
      </c>
      <c r="F165">
        <v>-8198000000</v>
      </c>
      <c r="G165">
        <v>-3805000000</v>
      </c>
      <c r="H165">
        <v>-8800000000</v>
      </c>
      <c r="I165">
        <v>-8678000000</v>
      </c>
      <c r="J165">
        <v>-8297000000</v>
      </c>
      <c r="K165">
        <v>12650000000</v>
      </c>
      <c r="L165">
        <v>0</v>
      </c>
      <c r="M165">
        <v>12650000000</v>
      </c>
      <c r="N165">
        <v>15153000000</v>
      </c>
      <c r="O165">
        <v>1316000000</v>
      </c>
      <c r="P165">
        <v>197000000</v>
      </c>
      <c r="Q165">
        <v>7170000000</v>
      </c>
      <c r="R165">
        <v>5372000000</v>
      </c>
      <c r="S165">
        <v>16241000000</v>
      </c>
      <c r="T165">
        <v>0</v>
      </c>
      <c r="U165">
        <v>989000000</v>
      </c>
      <c r="V165">
        <v>15062000000</v>
      </c>
      <c r="W165">
        <v>48155133330</v>
      </c>
      <c r="X165">
        <v>49144133330</v>
      </c>
      <c r="Y165">
        <v>4.0942486461844929</v>
      </c>
      <c r="Z165">
        <v>-6.518435390339107</v>
      </c>
      <c r="AA165">
        <v>-14.0441874717477</v>
      </c>
      <c r="AB165">
        <v>-6.072515151136364</v>
      </c>
      <c r="AC165">
        <v>-6.1578858412076514</v>
      </c>
      <c r="AD165">
        <v>-6.4406572652766059</v>
      </c>
      <c r="AE165">
        <v>-5.9946491010002436</v>
      </c>
      <c r="AF165">
        <v>-5.8740099207123686</v>
      </c>
      <c r="AG165">
        <v>-5.6630713678266877</v>
      </c>
      <c r="AH165">
        <v>-5.5491050161327493</v>
      </c>
      <c r="AI165">
        <v>-12.915672360052559</v>
      </c>
      <c r="AJ165">
        <v>-5.5845606056818182</v>
      </c>
      <c r="AK165">
        <v>-12.655751203679371</v>
      </c>
      <c r="AL165">
        <v>-5.4721742420454547</v>
      </c>
      <c r="AM165">
        <v>3.765256920778425</v>
      </c>
      <c r="AN165">
        <v>3.6894830930125648</v>
      </c>
    </row>
    <row r="166" spans="1:40" x14ac:dyDescent="0.25">
      <c r="A166" s="1" t="s">
        <v>1335</v>
      </c>
      <c r="B166">
        <v>54093392790</v>
      </c>
      <c r="C166" t="s">
        <v>88</v>
      </c>
      <c r="D166" t="s">
        <v>127</v>
      </c>
      <c r="E166">
        <v>13052000000</v>
      </c>
      <c r="F166">
        <v>-8198000000</v>
      </c>
      <c r="G166">
        <v>-3805000000</v>
      </c>
      <c r="H166">
        <v>-8800000000</v>
      </c>
      <c r="I166">
        <v>-8678000000</v>
      </c>
      <c r="J166">
        <v>-8297000000</v>
      </c>
      <c r="K166">
        <v>12650000000</v>
      </c>
      <c r="L166">
        <v>0</v>
      </c>
      <c r="M166">
        <v>12650000000</v>
      </c>
      <c r="N166">
        <v>15153000000</v>
      </c>
      <c r="O166">
        <v>1316000000</v>
      </c>
      <c r="P166">
        <v>197000000</v>
      </c>
      <c r="Q166">
        <v>7170000000</v>
      </c>
      <c r="R166">
        <v>5372000000</v>
      </c>
      <c r="S166">
        <v>16241000000</v>
      </c>
      <c r="T166">
        <v>0</v>
      </c>
      <c r="U166">
        <v>989000000</v>
      </c>
      <c r="V166">
        <v>15062000000</v>
      </c>
      <c r="W166">
        <v>48810392790</v>
      </c>
      <c r="X166">
        <v>49799392790</v>
      </c>
      <c r="Y166">
        <v>4.1444524049954028</v>
      </c>
      <c r="Z166">
        <v>-6.5983645755062206</v>
      </c>
      <c r="AA166">
        <v>-14.21639757950066</v>
      </c>
      <c r="AB166">
        <v>-6.1469764534090912</v>
      </c>
      <c r="AC166">
        <v>-6.2333939605899973</v>
      </c>
      <c r="AD166">
        <v>-6.5196327335181392</v>
      </c>
      <c r="AE166">
        <v>-6.0745782861673581</v>
      </c>
      <c r="AF166">
        <v>-5.9539391058794831</v>
      </c>
      <c r="AG166">
        <v>-5.7385794872090354</v>
      </c>
      <c r="AH166">
        <v>-5.6246131355150952</v>
      </c>
      <c r="AI166">
        <v>-13.087882467805519</v>
      </c>
      <c r="AJ166">
        <v>-5.6590219079545454</v>
      </c>
      <c r="AK166">
        <v>-12.827961311432331</v>
      </c>
      <c r="AL166">
        <v>-5.5466355443181818</v>
      </c>
      <c r="AM166">
        <v>3.8154606795893349</v>
      </c>
      <c r="AN166">
        <v>3.7396868518234752</v>
      </c>
    </row>
    <row r="167" spans="1:40" x14ac:dyDescent="0.25">
      <c r="A167" s="1" t="s">
        <v>1334</v>
      </c>
      <c r="B167">
        <v>54455509860</v>
      </c>
      <c r="C167" t="s">
        <v>88</v>
      </c>
      <c r="D167" t="s">
        <v>127</v>
      </c>
      <c r="E167">
        <v>13052000000</v>
      </c>
      <c r="F167">
        <v>-8198000000</v>
      </c>
      <c r="G167">
        <v>-3805000000</v>
      </c>
      <c r="H167">
        <v>-8800000000</v>
      </c>
      <c r="I167">
        <v>-8678000000</v>
      </c>
      <c r="J167">
        <v>-8297000000</v>
      </c>
      <c r="K167">
        <v>12650000000</v>
      </c>
      <c r="L167">
        <v>0</v>
      </c>
      <c r="M167">
        <v>12650000000</v>
      </c>
      <c r="N167">
        <v>15153000000</v>
      </c>
      <c r="O167">
        <v>1316000000</v>
      </c>
      <c r="P167">
        <v>197000000</v>
      </c>
      <c r="Q167">
        <v>7170000000</v>
      </c>
      <c r="R167">
        <v>5372000000</v>
      </c>
      <c r="S167">
        <v>16241000000</v>
      </c>
      <c r="T167">
        <v>0</v>
      </c>
      <c r="U167">
        <v>989000000</v>
      </c>
      <c r="V167">
        <v>15062000000</v>
      </c>
      <c r="W167">
        <v>49172509860</v>
      </c>
      <c r="X167">
        <v>50161509860</v>
      </c>
      <c r="Y167">
        <v>4.1721965874961704</v>
      </c>
      <c r="Z167">
        <v>-6.6425359673091</v>
      </c>
      <c r="AA167">
        <v>-14.311566323258869</v>
      </c>
      <c r="AB167">
        <v>-6.1881261204545446</v>
      </c>
      <c r="AC167">
        <v>-6.2751221318276098</v>
      </c>
      <c r="AD167">
        <v>-6.5632770712305657</v>
      </c>
      <c r="AE167">
        <v>-6.1187496779702366</v>
      </c>
      <c r="AF167">
        <v>-5.9981104976823616</v>
      </c>
      <c r="AG167">
        <v>-5.7803076584466471</v>
      </c>
      <c r="AH167">
        <v>-5.6663413067527078</v>
      </c>
      <c r="AI167">
        <v>-13.183051211563731</v>
      </c>
      <c r="AJ167">
        <v>-5.7001715749999997</v>
      </c>
      <c r="AK167">
        <v>-12.923130055190541</v>
      </c>
      <c r="AL167">
        <v>-5.5877852113636362</v>
      </c>
      <c r="AM167">
        <v>3.8432048620901011</v>
      </c>
      <c r="AN167">
        <v>3.767431034324241</v>
      </c>
    </row>
    <row r="168" spans="1:40" x14ac:dyDescent="0.25">
      <c r="A168" s="1" t="s">
        <v>1333</v>
      </c>
      <c r="B168">
        <v>56576481270</v>
      </c>
      <c r="C168" t="s">
        <v>88</v>
      </c>
      <c r="D168" t="s">
        <v>127</v>
      </c>
      <c r="E168">
        <v>13052000000</v>
      </c>
      <c r="F168">
        <v>-8198000000</v>
      </c>
      <c r="G168">
        <v>-3805000000</v>
      </c>
      <c r="H168">
        <v>-8800000000</v>
      </c>
      <c r="I168">
        <v>-8678000000</v>
      </c>
      <c r="J168">
        <v>-8297000000</v>
      </c>
      <c r="K168">
        <v>12650000000</v>
      </c>
      <c r="L168">
        <v>0</v>
      </c>
      <c r="M168">
        <v>12650000000</v>
      </c>
      <c r="N168">
        <v>15153000000</v>
      </c>
      <c r="O168">
        <v>1316000000</v>
      </c>
      <c r="P168">
        <v>197000000</v>
      </c>
      <c r="Q168">
        <v>7170000000</v>
      </c>
      <c r="R168">
        <v>5372000000</v>
      </c>
      <c r="S168">
        <v>16241000000</v>
      </c>
      <c r="T168">
        <v>0</v>
      </c>
      <c r="U168">
        <v>989000000</v>
      </c>
      <c r="V168">
        <v>15062000000</v>
      </c>
      <c r="W168">
        <v>51293481270</v>
      </c>
      <c r="X168">
        <v>52282481270</v>
      </c>
      <c r="Y168">
        <v>4.3346982278577997</v>
      </c>
      <c r="Z168">
        <v>-6.9012541192973904</v>
      </c>
      <c r="AA168">
        <v>-14.868983250985551</v>
      </c>
      <c r="AB168">
        <v>-6.4291455988636361</v>
      </c>
      <c r="AC168">
        <v>-6.5195299919336254</v>
      </c>
      <c r="AD168">
        <v>-6.8189081921176324</v>
      </c>
      <c r="AE168">
        <v>-6.3774678299585261</v>
      </c>
      <c r="AF168">
        <v>-6.2568286496706511</v>
      </c>
      <c r="AG168">
        <v>-6.0247155185526617</v>
      </c>
      <c r="AH168">
        <v>-5.9107491668587233</v>
      </c>
      <c r="AI168">
        <v>-13.74046813929041</v>
      </c>
      <c r="AJ168">
        <v>-5.9411910534090913</v>
      </c>
      <c r="AK168">
        <v>-13.480546982917209</v>
      </c>
      <c r="AL168">
        <v>-5.8288046897727277</v>
      </c>
      <c r="AM168">
        <v>4.0057065024517318</v>
      </c>
      <c r="AN168">
        <v>3.929932674685872</v>
      </c>
    </row>
    <row r="169" spans="1:40" x14ac:dyDescent="0.25">
      <c r="A169" s="1" t="s">
        <v>1332</v>
      </c>
      <c r="B169">
        <v>58507772310</v>
      </c>
      <c r="C169" t="s">
        <v>88</v>
      </c>
      <c r="D169" t="s">
        <v>127</v>
      </c>
      <c r="E169">
        <v>13052000000</v>
      </c>
      <c r="F169">
        <v>-8198000000</v>
      </c>
      <c r="G169">
        <v>-3805000000</v>
      </c>
      <c r="H169">
        <v>-8800000000</v>
      </c>
      <c r="I169">
        <v>-8678000000</v>
      </c>
      <c r="J169">
        <v>-8297000000</v>
      </c>
      <c r="K169">
        <v>12650000000</v>
      </c>
      <c r="L169">
        <v>0</v>
      </c>
      <c r="M169">
        <v>12650000000</v>
      </c>
      <c r="N169">
        <v>15153000000</v>
      </c>
      <c r="O169">
        <v>1316000000</v>
      </c>
      <c r="P169">
        <v>197000000</v>
      </c>
      <c r="Q169">
        <v>7170000000</v>
      </c>
      <c r="R169">
        <v>5372000000</v>
      </c>
      <c r="S169">
        <v>16241000000</v>
      </c>
      <c r="T169">
        <v>0</v>
      </c>
      <c r="U169">
        <v>989000000</v>
      </c>
      <c r="V169">
        <v>15062000000</v>
      </c>
      <c r="W169">
        <v>53224772310</v>
      </c>
      <c r="X169">
        <v>54213772310</v>
      </c>
      <c r="Y169">
        <v>4.4826672011952189</v>
      </c>
      <c r="Z169">
        <v>-7.1368348755794093</v>
      </c>
      <c r="AA169">
        <v>-15.37654988436268</v>
      </c>
      <c r="AB169">
        <v>-6.648610489772727</v>
      </c>
      <c r="AC169">
        <v>-6.7420802385342249</v>
      </c>
      <c r="AD169">
        <v>-7.0516779932505722</v>
      </c>
      <c r="AE169">
        <v>-6.6130485862405468</v>
      </c>
      <c r="AF169">
        <v>-6.4924094059526718</v>
      </c>
      <c r="AG169">
        <v>-6.2472657651532613</v>
      </c>
      <c r="AH169">
        <v>-6.1332994134593228</v>
      </c>
      <c r="AI169">
        <v>-14.248034772667539</v>
      </c>
      <c r="AJ169">
        <v>-6.1606559443181821</v>
      </c>
      <c r="AK169">
        <v>-13.988113616294349</v>
      </c>
      <c r="AL169">
        <v>-6.0482695806818194</v>
      </c>
      <c r="AM169">
        <v>4.153675475789151</v>
      </c>
      <c r="AN169">
        <v>4.0779016480232917</v>
      </c>
    </row>
    <row r="170" spans="1:40" x14ac:dyDescent="0.25">
      <c r="A170" s="1" t="s">
        <v>1331</v>
      </c>
      <c r="B170">
        <v>58576746990</v>
      </c>
      <c r="C170" t="s">
        <v>88</v>
      </c>
      <c r="D170" t="s">
        <v>127</v>
      </c>
      <c r="E170">
        <v>13052000000</v>
      </c>
      <c r="F170">
        <v>-8198000000</v>
      </c>
      <c r="G170">
        <v>-3805000000</v>
      </c>
      <c r="H170">
        <v>-8800000000</v>
      </c>
      <c r="I170">
        <v>-8678000000</v>
      </c>
      <c r="J170">
        <v>-8297000000</v>
      </c>
      <c r="K170">
        <v>12650000000</v>
      </c>
      <c r="L170">
        <v>0</v>
      </c>
      <c r="M170">
        <v>12650000000</v>
      </c>
      <c r="N170">
        <v>15153000000</v>
      </c>
      <c r="O170">
        <v>1316000000</v>
      </c>
      <c r="P170">
        <v>197000000</v>
      </c>
      <c r="Q170">
        <v>7170000000</v>
      </c>
      <c r="R170">
        <v>5372000000</v>
      </c>
      <c r="S170">
        <v>16241000000</v>
      </c>
      <c r="T170">
        <v>0</v>
      </c>
      <c r="U170">
        <v>989000000</v>
      </c>
      <c r="V170">
        <v>15062000000</v>
      </c>
      <c r="W170">
        <v>53293746990</v>
      </c>
      <c r="X170">
        <v>54282746990</v>
      </c>
      <c r="Y170">
        <v>4.4879518073858424</v>
      </c>
      <c r="Z170">
        <v>-7.1452484740180529</v>
      </c>
      <c r="AA170">
        <v>-15.39467726412615</v>
      </c>
      <c r="AB170">
        <v>-6.6564485215909093</v>
      </c>
      <c r="AC170">
        <v>-6.7500284616271031</v>
      </c>
      <c r="AD170">
        <v>-7.0599912004338918</v>
      </c>
      <c r="AE170">
        <v>-6.6214621846791903</v>
      </c>
      <c r="AF170">
        <v>-6.5008230043913153</v>
      </c>
      <c r="AG170">
        <v>-6.2552139882461404</v>
      </c>
      <c r="AH170">
        <v>-6.1412476365522011</v>
      </c>
      <c r="AI170">
        <v>-14.26616215243101</v>
      </c>
      <c r="AJ170">
        <v>-6.1684939761363644</v>
      </c>
      <c r="AK170">
        <v>-14.006240996057819</v>
      </c>
      <c r="AL170">
        <v>-6.0561076125</v>
      </c>
      <c r="AM170">
        <v>4.1589600819797736</v>
      </c>
      <c r="AN170">
        <v>4.0831862542139126</v>
      </c>
    </row>
    <row r="171" spans="1:40" x14ac:dyDescent="0.25">
      <c r="A171" s="1" t="s">
        <v>1330</v>
      </c>
      <c r="B171">
        <v>58645721670</v>
      </c>
      <c r="C171" t="s">
        <v>88</v>
      </c>
      <c r="D171" t="s">
        <v>127</v>
      </c>
      <c r="E171">
        <v>13052000000</v>
      </c>
      <c r="F171">
        <v>-8198000000</v>
      </c>
      <c r="G171">
        <v>-3805000000</v>
      </c>
      <c r="H171">
        <v>-8800000000</v>
      </c>
      <c r="I171">
        <v>-8678000000</v>
      </c>
      <c r="J171">
        <v>-8297000000</v>
      </c>
      <c r="K171">
        <v>12650000000</v>
      </c>
      <c r="L171">
        <v>0</v>
      </c>
      <c r="M171">
        <v>12650000000</v>
      </c>
      <c r="N171">
        <v>15153000000</v>
      </c>
      <c r="O171">
        <v>1316000000</v>
      </c>
      <c r="P171">
        <v>197000000</v>
      </c>
      <c r="Q171">
        <v>7170000000</v>
      </c>
      <c r="R171">
        <v>5372000000</v>
      </c>
      <c r="S171">
        <v>16241000000</v>
      </c>
      <c r="T171">
        <v>0</v>
      </c>
      <c r="U171">
        <v>989000000</v>
      </c>
      <c r="V171">
        <v>15062000000</v>
      </c>
      <c r="W171">
        <v>53362721670</v>
      </c>
      <c r="X171">
        <v>54351721670</v>
      </c>
      <c r="Y171">
        <v>4.4932364135764633</v>
      </c>
      <c r="Z171">
        <v>-7.1536620724566964</v>
      </c>
      <c r="AA171">
        <v>-15.41280464388962</v>
      </c>
      <c r="AB171">
        <v>-6.6642865534090907</v>
      </c>
      <c r="AC171">
        <v>-6.7579766847199814</v>
      </c>
      <c r="AD171">
        <v>-7.0683044076172106</v>
      </c>
      <c r="AE171">
        <v>-6.6298757831178339</v>
      </c>
      <c r="AF171">
        <v>-6.5092366028299589</v>
      </c>
      <c r="AG171">
        <v>-6.2631622113390186</v>
      </c>
      <c r="AH171">
        <v>-6.1491958596450793</v>
      </c>
      <c r="AI171">
        <v>-14.28428953219448</v>
      </c>
      <c r="AJ171">
        <v>-6.1763320079545458</v>
      </c>
      <c r="AK171">
        <v>-14.02436837582129</v>
      </c>
      <c r="AL171">
        <v>-6.0639456443181814</v>
      </c>
      <c r="AM171">
        <v>4.1642446881703954</v>
      </c>
      <c r="AN171">
        <v>4.0884708604045361</v>
      </c>
    </row>
    <row r="172" spans="1:40" x14ac:dyDescent="0.25">
      <c r="A172" s="1" t="s">
        <v>1329</v>
      </c>
      <c r="B172">
        <v>58869889380</v>
      </c>
      <c r="C172" t="s">
        <v>88</v>
      </c>
      <c r="D172" t="s">
        <v>127</v>
      </c>
      <c r="E172">
        <v>13052000000</v>
      </c>
      <c r="F172">
        <v>-8198000000</v>
      </c>
      <c r="G172">
        <v>-3805000000</v>
      </c>
      <c r="H172">
        <v>-8800000000</v>
      </c>
      <c r="I172">
        <v>-8678000000</v>
      </c>
      <c r="J172">
        <v>-8297000000</v>
      </c>
      <c r="K172">
        <v>12650000000</v>
      </c>
      <c r="L172">
        <v>0</v>
      </c>
      <c r="M172">
        <v>12650000000</v>
      </c>
      <c r="N172">
        <v>15153000000</v>
      </c>
      <c r="O172">
        <v>1316000000</v>
      </c>
      <c r="P172">
        <v>197000000</v>
      </c>
      <c r="Q172">
        <v>7170000000</v>
      </c>
      <c r="R172">
        <v>5372000000</v>
      </c>
      <c r="S172">
        <v>16241000000</v>
      </c>
      <c r="T172">
        <v>0</v>
      </c>
      <c r="U172">
        <v>989000000</v>
      </c>
      <c r="V172">
        <v>15062000000</v>
      </c>
      <c r="W172">
        <v>53586889380</v>
      </c>
      <c r="X172">
        <v>54575889380</v>
      </c>
      <c r="Y172">
        <v>4.5104113836959856</v>
      </c>
      <c r="Z172">
        <v>-7.1810062673822888</v>
      </c>
      <c r="AA172">
        <v>-15.47171862812089</v>
      </c>
      <c r="AB172">
        <v>-6.6897601568181821</v>
      </c>
      <c r="AC172">
        <v>-6.7838084097718374</v>
      </c>
      <c r="AD172">
        <v>-7.0953223309629987</v>
      </c>
      <c r="AE172">
        <v>-6.6572199780434254</v>
      </c>
      <c r="AF172">
        <v>-6.5365807977555503</v>
      </c>
      <c r="AG172">
        <v>-6.2889939363908738</v>
      </c>
      <c r="AH172">
        <v>-6.1750275846969336</v>
      </c>
      <c r="AI172">
        <v>-14.34320351642576</v>
      </c>
      <c r="AJ172">
        <v>-6.2018056113636364</v>
      </c>
      <c r="AK172">
        <v>-14.083282360052561</v>
      </c>
      <c r="AL172">
        <v>-6.0894192477272728</v>
      </c>
      <c r="AM172">
        <v>4.1814196582899177</v>
      </c>
      <c r="AN172">
        <v>4.1056458305240584</v>
      </c>
    </row>
    <row r="173" spans="1:40" x14ac:dyDescent="0.25">
      <c r="A173" s="1" t="s">
        <v>1328</v>
      </c>
      <c r="B173">
        <v>60076946280</v>
      </c>
      <c r="C173" t="s">
        <v>88</v>
      </c>
      <c r="D173" t="s">
        <v>127</v>
      </c>
      <c r="E173">
        <v>13052000000</v>
      </c>
      <c r="F173">
        <v>-8198000000</v>
      </c>
      <c r="G173">
        <v>-3805000000</v>
      </c>
      <c r="H173">
        <v>-8800000000</v>
      </c>
      <c r="I173">
        <v>-8678000000</v>
      </c>
      <c r="J173">
        <v>-8297000000</v>
      </c>
      <c r="K173">
        <v>12650000000</v>
      </c>
      <c r="L173">
        <v>0</v>
      </c>
      <c r="M173">
        <v>12650000000</v>
      </c>
      <c r="N173">
        <v>15153000000</v>
      </c>
      <c r="O173">
        <v>1316000000</v>
      </c>
      <c r="P173">
        <v>197000000</v>
      </c>
      <c r="Q173">
        <v>7170000000</v>
      </c>
      <c r="R173">
        <v>5372000000</v>
      </c>
      <c r="S173">
        <v>16241000000</v>
      </c>
      <c r="T173">
        <v>0</v>
      </c>
      <c r="U173">
        <v>989000000</v>
      </c>
      <c r="V173">
        <v>15062000000</v>
      </c>
      <c r="W173">
        <v>54793946280</v>
      </c>
      <c r="X173">
        <v>55782946280</v>
      </c>
      <c r="Y173">
        <v>4.6028919920318723</v>
      </c>
      <c r="Z173">
        <v>-7.3282442400585506</v>
      </c>
      <c r="AA173">
        <v>-15.788947773981601</v>
      </c>
      <c r="AB173">
        <v>-6.8269257136363626</v>
      </c>
      <c r="AC173">
        <v>-6.922902313897211</v>
      </c>
      <c r="AD173">
        <v>-7.2408034566710846</v>
      </c>
      <c r="AE173">
        <v>-6.8044579507196881</v>
      </c>
      <c r="AF173">
        <v>-6.683818770431813</v>
      </c>
      <c r="AG173">
        <v>-6.4280878405162483</v>
      </c>
      <c r="AH173">
        <v>-6.3141214888223089</v>
      </c>
      <c r="AI173">
        <v>-14.660432662286469</v>
      </c>
      <c r="AJ173">
        <v>-6.3389711681818186</v>
      </c>
      <c r="AK173">
        <v>-14.40051150591327</v>
      </c>
      <c r="AL173">
        <v>-6.2265848045454542</v>
      </c>
      <c r="AM173">
        <v>4.2739002666258044</v>
      </c>
      <c r="AN173">
        <v>4.1981264388599451</v>
      </c>
    </row>
    <row r="174" spans="1:40" x14ac:dyDescent="0.25">
      <c r="A174" s="1" t="s">
        <v>1327</v>
      </c>
      <c r="B174">
        <v>60370088670</v>
      </c>
      <c r="C174" t="s">
        <v>88</v>
      </c>
      <c r="D174" t="s">
        <v>127</v>
      </c>
      <c r="E174">
        <v>13052000000</v>
      </c>
      <c r="F174">
        <v>-8198000000</v>
      </c>
      <c r="G174">
        <v>-3805000000</v>
      </c>
      <c r="H174">
        <v>-8800000000</v>
      </c>
      <c r="I174">
        <v>-8678000000</v>
      </c>
      <c r="J174">
        <v>-8297000000</v>
      </c>
      <c r="K174">
        <v>12650000000</v>
      </c>
      <c r="L174">
        <v>0</v>
      </c>
      <c r="M174">
        <v>12650000000</v>
      </c>
      <c r="N174">
        <v>15153000000</v>
      </c>
      <c r="O174">
        <v>1316000000</v>
      </c>
      <c r="P174">
        <v>197000000</v>
      </c>
      <c r="Q174">
        <v>7170000000</v>
      </c>
      <c r="R174">
        <v>5372000000</v>
      </c>
      <c r="S174">
        <v>16241000000</v>
      </c>
      <c r="T174">
        <v>0</v>
      </c>
      <c r="U174">
        <v>989000000</v>
      </c>
      <c r="V174">
        <v>15062000000</v>
      </c>
      <c r="W174">
        <v>55087088670</v>
      </c>
      <c r="X174">
        <v>56076088670</v>
      </c>
      <c r="Y174">
        <v>4.6253515683420163</v>
      </c>
      <c r="Z174">
        <v>-7.3640020334227856</v>
      </c>
      <c r="AA174">
        <v>-15.865989137976349</v>
      </c>
      <c r="AB174">
        <v>-6.8602373488636363</v>
      </c>
      <c r="AC174">
        <v>-6.9566822620419453</v>
      </c>
      <c r="AD174">
        <v>-7.2761345872001932</v>
      </c>
      <c r="AE174">
        <v>-6.8402157440839231</v>
      </c>
      <c r="AF174">
        <v>-6.7195765637960481</v>
      </c>
      <c r="AG174">
        <v>-6.4618677886609817</v>
      </c>
      <c r="AH174">
        <v>-6.3479014369670432</v>
      </c>
      <c r="AI174">
        <v>-14.737474026281211</v>
      </c>
      <c r="AJ174">
        <v>-6.3722828034090906</v>
      </c>
      <c r="AK174">
        <v>-14.47755286990802</v>
      </c>
      <c r="AL174">
        <v>-6.259896439772727</v>
      </c>
      <c r="AM174">
        <v>4.2963598429359484</v>
      </c>
      <c r="AN174">
        <v>4.2205860151700891</v>
      </c>
    </row>
    <row r="175" spans="1:40" x14ac:dyDescent="0.25">
      <c r="A175" s="1" t="s">
        <v>1326</v>
      </c>
      <c r="B175">
        <v>59801047560</v>
      </c>
      <c r="C175" t="s">
        <v>88</v>
      </c>
      <c r="D175" t="s">
        <v>127</v>
      </c>
      <c r="E175">
        <v>13052000000</v>
      </c>
      <c r="F175">
        <v>-8198000000</v>
      </c>
      <c r="G175">
        <v>-3805000000</v>
      </c>
      <c r="H175">
        <v>-8800000000</v>
      </c>
      <c r="I175">
        <v>-8678000000</v>
      </c>
      <c r="J175">
        <v>-8297000000</v>
      </c>
      <c r="K175">
        <v>12650000000</v>
      </c>
      <c r="L175">
        <v>0</v>
      </c>
      <c r="M175">
        <v>12650000000</v>
      </c>
      <c r="N175">
        <v>15153000000</v>
      </c>
      <c r="O175">
        <v>1316000000</v>
      </c>
      <c r="P175">
        <v>197000000</v>
      </c>
      <c r="Q175">
        <v>7170000000</v>
      </c>
      <c r="R175">
        <v>5372000000</v>
      </c>
      <c r="S175">
        <v>16241000000</v>
      </c>
      <c r="T175">
        <v>0</v>
      </c>
      <c r="U175">
        <v>989000000</v>
      </c>
      <c r="V175">
        <v>15062000000</v>
      </c>
      <c r="W175">
        <v>54518047560</v>
      </c>
      <c r="X175">
        <v>55507047560</v>
      </c>
      <c r="Y175">
        <v>4.5817535672693843</v>
      </c>
      <c r="Z175">
        <v>-7.2945898463039764</v>
      </c>
      <c r="AA175">
        <v>-15.716438254927731</v>
      </c>
      <c r="AB175">
        <v>-6.795573586363636</v>
      </c>
      <c r="AC175">
        <v>-6.8911094215256972</v>
      </c>
      <c r="AD175">
        <v>-7.2075506279378088</v>
      </c>
      <c r="AE175">
        <v>-6.770803556965113</v>
      </c>
      <c r="AF175">
        <v>-6.650164376677238</v>
      </c>
      <c r="AG175">
        <v>-6.3962949481447344</v>
      </c>
      <c r="AH175">
        <v>-6.2823285964507951</v>
      </c>
      <c r="AI175">
        <v>-14.58792314323259</v>
      </c>
      <c r="AJ175">
        <v>-6.3076190409090911</v>
      </c>
      <c r="AK175">
        <v>-14.3280019868594</v>
      </c>
      <c r="AL175">
        <v>-6.1952326772727284</v>
      </c>
      <c r="AM175">
        <v>4.2527618418633164</v>
      </c>
      <c r="AN175">
        <v>4.1769880140974562</v>
      </c>
    </row>
    <row r="176" spans="1:40" x14ac:dyDescent="0.25">
      <c r="A176" s="1" t="s">
        <v>1325</v>
      </c>
      <c r="B176">
        <v>60577012710</v>
      </c>
      <c r="C176" t="s">
        <v>88</v>
      </c>
      <c r="D176" t="s">
        <v>127</v>
      </c>
      <c r="E176">
        <v>13052000000</v>
      </c>
      <c r="F176">
        <v>-8198000000</v>
      </c>
      <c r="G176">
        <v>-3805000000</v>
      </c>
      <c r="H176">
        <v>-8800000000</v>
      </c>
      <c r="I176">
        <v>-8678000000</v>
      </c>
      <c r="J176">
        <v>-8297000000</v>
      </c>
      <c r="K176">
        <v>12650000000</v>
      </c>
      <c r="L176">
        <v>0</v>
      </c>
      <c r="M176">
        <v>12650000000</v>
      </c>
      <c r="N176">
        <v>15153000000</v>
      </c>
      <c r="O176">
        <v>1316000000</v>
      </c>
      <c r="P176">
        <v>197000000</v>
      </c>
      <c r="Q176">
        <v>7170000000</v>
      </c>
      <c r="R176">
        <v>5372000000</v>
      </c>
      <c r="S176">
        <v>16241000000</v>
      </c>
      <c r="T176">
        <v>0</v>
      </c>
      <c r="U176">
        <v>989000000</v>
      </c>
      <c r="V176">
        <v>15062000000</v>
      </c>
      <c r="W176">
        <v>55294012710</v>
      </c>
      <c r="X176">
        <v>56283012710</v>
      </c>
      <c r="Y176">
        <v>4.6412053869138834</v>
      </c>
      <c r="Z176">
        <v>-7.3892428287387171</v>
      </c>
      <c r="AA176">
        <v>-15.920371277266749</v>
      </c>
      <c r="AB176">
        <v>-6.8837514443181824</v>
      </c>
      <c r="AC176">
        <v>-6.9805269313205809</v>
      </c>
      <c r="AD176">
        <v>-7.3010742087501503</v>
      </c>
      <c r="AE176">
        <v>-6.8654565393998537</v>
      </c>
      <c r="AF176">
        <v>-6.7448173591119787</v>
      </c>
      <c r="AG176">
        <v>-6.4857124579396173</v>
      </c>
      <c r="AH176">
        <v>-6.3717461062456788</v>
      </c>
      <c r="AI176">
        <v>-14.79185616557162</v>
      </c>
      <c r="AJ176">
        <v>-6.3957968988636367</v>
      </c>
      <c r="AK176">
        <v>-14.531935009198421</v>
      </c>
      <c r="AL176">
        <v>-6.2834105352272731</v>
      </c>
      <c r="AM176">
        <v>4.3122136615078146</v>
      </c>
      <c r="AN176">
        <v>4.2364398337419553</v>
      </c>
    </row>
    <row r="177" spans="1:40" x14ac:dyDescent="0.25">
      <c r="A177" s="1" t="s">
        <v>1324</v>
      </c>
      <c r="B177">
        <v>64836199200</v>
      </c>
      <c r="C177" t="s">
        <v>88</v>
      </c>
      <c r="D177" t="s">
        <v>127</v>
      </c>
      <c r="E177">
        <v>13052000000</v>
      </c>
      <c r="F177">
        <v>-8198000000</v>
      </c>
      <c r="G177">
        <v>-3805000000</v>
      </c>
      <c r="H177">
        <v>-8800000000</v>
      </c>
      <c r="I177">
        <v>-8678000000</v>
      </c>
      <c r="J177">
        <v>-8297000000</v>
      </c>
      <c r="K177">
        <v>12650000000</v>
      </c>
      <c r="L177">
        <v>0</v>
      </c>
      <c r="M177">
        <v>12650000000</v>
      </c>
      <c r="N177">
        <v>15153000000</v>
      </c>
      <c r="O177">
        <v>1316000000</v>
      </c>
      <c r="P177">
        <v>197000000</v>
      </c>
      <c r="Q177">
        <v>7170000000</v>
      </c>
      <c r="R177">
        <v>5372000000</v>
      </c>
      <c r="S177">
        <v>16241000000</v>
      </c>
      <c r="T177">
        <v>0</v>
      </c>
      <c r="U177">
        <v>989000000</v>
      </c>
      <c r="V177">
        <v>15062000000</v>
      </c>
      <c r="W177">
        <v>59553199200</v>
      </c>
      <c r="X177">
        <v>60542199200</v>
      </c>
      <c r="Y177">
        <v>4.967529819184799</v>
      </c>
      <c r="Z177">
        <v>-7.908782532324957</v>
      </c>
      <c r="AA177">
        <v>-17.039736977660969</v>
      </c>
      <c r="AB177">
        <v>-7.3677499090909091</v>
      </c>
      <c r="AC177">
        <v>-7.4713297073058307</v>
      </c>
      <c r="AD177">
        <v>-7.8144147523201157</v>
      </c>
      <c r="AE177">
        <v>-7.3849962429860936</v>
      </c>
      <c r="AF177">
        <v>-7.2643570626982186</v>
      </c>
      <c r="AG177">
        <v>-6.9765152339248671</v>
      </c>
      <c r="AH177">
        <v>-6.8625488822309286</v>
      </c>
      <c r="AI177">
        <v>-15.91122186596583</v>
      </c>
      <c r="AJ177">
        <v>-6.8797953636363633</v>
      </c>
      <c r="AK177">
        <v>-15.65130070959264</v>
      </c>
      <c r="AL177">
        <v>-6.7674089999999998</v>
      </c>
      <c r="AM177">
        <v>4.6385380937787311</v>
      </c>
      <c r="AN177">
        <v>4.5627642660128718</v>
      </c>
    </row>
    <row r="178" spans="1:40" x14ac:dyDescent="0.25">
      <c r="A178" s="1" t="s">
        <v>1323</v>
      </c>
      <c r="B178">
        <v>63870553680</v>
      </c>
      <c r="C178" t="s">
        <v>88</v>
      </c>
      <c r="D178" t="s">
        <v>127</v>
      </c>
      <c r="E178">
        <v>13052000000</v>
      </c>
      <c r="F178">
        <v>-8198000000</v>
      </c>
      <c r="G178">
        <v>-3805000000</v>
      </c>
      <c r="H178">
        <v>-8800000000</v>
      </c>
      <c r="I178">
        <v>-8678000000</v>
      </c>
      <c r="J178">
        <v>-8297000000</v>
      </c>
      <c r="K178">
        <v>12650000000</v>
      </c>
      <c r="L178">
        <v>0</v>
      </c>
      <c r="M178">
        <v>12650000000</v>
      </c>
      <c r="N178">
        <v>15153000000</v>
      </c>
      <c r="O178">
        <v>1316000000</v>
      </c>
      <c r="P178">
        <v>197000000</v>
      </c>
      <c r="Q178">
        <v>7170000000</v>
      </c>
      <c r="R178">
        <v>5372000000</v>
      </c>
      <c r="S178">
        <v>16241000000</v>
      </c>
      <c r="T178">
        <v>0</v>
      </c>
      <c r="U178">
        <v>989000000</v>
      </c>
      <c r="V178">
        <v>15062000000</v>
      </c>
      <c r="W178">
        <v>58587553680</v>
      </c>
      <c r="X178">
        <v>59576553680</v>
      </c>
      <c r="Y178">
        <v>4.8935453325160898</v>
      </c>
      <c r="Z178">
        <v>-7.7909921541839484</v>
      </c>
      <c r="AA178">
        <v>-16.7859536609724</v>
      </c>
      <c r="AB178">
        <v>-7.2580174636363637</v>
      </c>
      <c r="AC178">
        <v>-7.3600545840055309</v>
      </c>
      <c r="AD178">
        <v>-7.6980298517536463</v>
      </c>
      <c r="AE178">
        <v>-7.2672058648450841</v>
      </c>
      <c r="AF178">
        <v>-7.1465666845572091</v>
      </c>
      <c r="AG178">
        <v>-6.8652401106245682</v>
      </c>
      <c r="AH178">
        <v>-6.7512737589306289</v>
      </c>
      <c r="AI178">
        <v>-15.65743854927727</v>
      </c>
      <c r="AJ178">
        <v>-6.7700629181818179</v>
      </c>
      <c r="AK178">
        <v>-15.397517392904071</v>
      </c>
      <c r="AL178">
        <v>-6.6576765545454544</v>
      </c>
      <c r="AM178">
        <v>4.5645536071100219</v>
      </c>
      <c r="AN178">
        <v>4.4887797793441617</v>
      </c>
    </row>
    <row r="179" spans="1:40" x14ac:dyDescent="0.25">
      <c r="A179" s="1" t="s">
        <v>1322</v>
      </c>
      <c r="B179">
        <v>64491325800</v>
      </c>
      <c r="C179" t="s">
        <v>88</v>
      </c>
      <c r="D179" t="s">
        <v>127</v>
      </c>
      <c r="E179">
        <v>13052000000</v>
      </c>
      <c r="F179">
        <v>-8198000000</v>
      </c>
      <c r="G179">
        <v>-3805000000</v>
      </c>
      <c r="H179">
        <v>-8800000000</v>
      </c>
      <c r="I179">
        <v>-8678000000</v>
      </c>
      <c r="J179">
        <v>-8297000000</v>
      </c>
      <c r="K179">
        <v>12650000000</v>
      </c>
      <c r="L179">
        <v>0</v>
      </c>
      <c r="M179">
        <v>12650000000</v>
      </c>
      <c r="N179">
        <v>15153000000</v>
      </c>
      <c r="O179">
        <v>1316000000</v>
      </c>
      <c r="P179">
        <v>197000000</v>
      </c>
      <c r="Q179">
        <v>7170000000</v>
      </c>
      <c r="R179">
        <v>5372000000</v>
      </c>
      <c r="S179">
        <v>16241000000</v>
      </c>
      <c r="T179">
        <v>0</v>
      </c>
      <c r="U179">
        <v>989000000</v>
      </c>
      <c r="V179">
        <v>15062000000</v>
      </c>
      <c r="W179">
        <v>59208325800</v>
      </c>
      <c r="X179">
        <v>60197325800</v>
      </c>
      <c r="Y179">
        <v>4.9411067882316884</v>
      </c>
      <c r="Z179">
        <v>-7.8667145401317393</v>
      </c>
      <c r="AA179">
        <v>-16.949100078843632</v>
      </c>
      <c r="AB179">
        <v>-7.3285597500000002</v>
      </c>
      <c r="AC179">
        <v>-7.4315885918414377</v>
      </c>
      <c r="AD179">
        <v>-7.7728487164035194</v>
      </c>
      <c r="AE179">
        <v>-7.3429282507928759</v>
      </c>
      <c r="AF179">
        <v>-7.2222890705050009</v>
      </c>
      <c r="AG179">
        <v>-6.936774118460475</v>
      </c>
      <c r="AH179">
        <v>-6.8228077667665357</v>
      </c>
      <c r="AI179">
        <v>-15.820584967148489</v>
      </c>
      <c r="AJ179">
        <v>-6.8406052045454544</v>
      </c>
      <c r="AK179">
        <v>-15.560663810775299</v>
      </c>
      <c r="AL179">
        <v>-6.7282188409090908</v>
      </c>
      <c r="AM179">
        <v>4.6121150628256196</v>
      </c>
      <c r="AN179">
        <v>4.5363412350597612</v>
      </c>
    </row>
    <row r="180" spans="1:40" x14ac:dyDescent="0.25">
      <c r="A180" s="1" t="s">
        <v>1321</v>
      </c>
      <c r="B180">
        <v>63456705599</v>
      </c>
      <c r="C180" t="s">
        <v>88</v>
      </c>
      <c r="D180" t="s">
        <v>127</v>
      </c>
      <c r="E180">
        <v>13052000000</v>
      </c>
      <c r="F180">
        <v>-8198000000</v>
      </c>
      <c r="G180">
        <v>-3805000000</v>
      </c>
      <c r="H180">
        <v>-8800000000</v>
      </c>
      <c r="I180">
        <v>-8678000000</v>
      </c>
      <c r="J180">
        <v>-8297000000</v>
      </c>
      <c r="K180">
        <v>12650000000</v>
      </c>
      <c r="L180">
        <v>0</v>
      </c>
      <c r="M180">
        <v>12650000000</v>
      </c>
      <c r="N180">
        <v>15153000000</v>
      </c>
      <c r="O180">
        <v>1316000000</v>
      </c>
      <c r="P180">
        <v>197000000</v>
      </c>
      <c r="Q180">
        <v>7170000000</v>
      </c>
      <c r="R180">
        <v>5372000000</v>
      </c>
      <c r="S180">
        <v>16241000000</v>
      </c>
      <c r="T180">
        <v>0</v>
      </c>
      <c r="U180">
        <v>989000000</v>
      </c>
      <c r="V180">
        <v>15062000000</v>
      </c>
      <c r="W180">
        <v>58173705599</v>
      </c>
      <c r="X180">
        <v>59162705599</v>
      </c>
      <c r="Y180">
        <v>4.8618376952957414</v>
      </c>
      <c r="Z180">
        <v>-7.7405105634301048</v>
      </c>
      <c r="AA180">
        <v>-16.67718938212878</v>
      </c>
      <c r="AB180">
        <v>-7.2109892726136362</v>
      </c>
      <c r="AC180">
        <v>-7.3123652453330257</v>
      </c>
      <c r="AD180">
        <v>-7.6481506085332036</v>
      </c>
      <c r="AE180">
        <v>-7.2167242740912414</v>
      </c>
      <c r="AF180">
        <v>-7.0960850938033664</v>
      </c>
      <c r="AG180">
        <v>-6.8175507719520629</v>
      </c>
      <c r="AH180">
        <v>-6.7035844202581236</v>
      </c>
      <c r="AI180">
        <v>-15.54867427043364</v>
      </c>
      <c r="AJ180">
        <v>-6.7230347271590913</v>
      </c>
      <c r="AK180">
        <v>-15.28875311406045</v>
      </c>
      <c r="AL180">
        <v>-6.6106483635227269</v>
      </c>
      <c r="AM180">
        <v>4.5328459698896717</v>
      </c>
      <c r="AN180">
        <v>4.4570721421238124</v>
      </c>
    </row>
    <row r="181" spans="1:40" x14ac:dyDescent="0.25">
      <c r="A181" s="1" t="s">
        <v>1320</v>
      </c>
      <c r="B181">
        <v>62594522099</v>
      </c>
      <c r="C181" t="s">
        <v>88</v>
      </c>
      <c r="D181" t="s">
        <v>127</v>
      </c>
      <c r="E181">
        <v>13052000000</v>
      </c>
      <c r="F181">
        <v>-8198000000</v>
      </c>
      <c r="G181">
        <v>-3805000000</v>
      </c>
      <c r="H181">
        <v>-8800000000</v>
      </c>
      <c r="I181">
        <v>-8678000000</v>
      </c>
      <c r="J181">
        <v>-8297000000</v>
      </c>
      <c r="K181">
        <v>12650000000</v>
      </c>
      <c r="L181">
        <v>0</v>
      </c>
      <c r="M181">
        <v>12650000000</v>
      </c>
      <c r="N181">
        <v>15153000000</v>
      </c>
      <c r="O181">
        <v>1316000000</v>
      </c>
      <c r="P181">
        <v>197000000</v>
      </c>
      <c r="Q181">
        <v>7170000000</v>
      </c>
      <c r="R181">
        <v>5372000000</v>
      </c>
      <c r="S181">
        <v>16241000000</v>
      </c>
      <c r="T181">
        <v>0</v>
      </c>
      <c r="U181">
        <v>989000000</v>
      </c>
      <c r="V181">
        <v>15062000000</v>
      </c>
      <c r="W181">
        <v>57311522099</v>
      </c>
      <c r="X181">
        <v>58300522099</v>
      </c>
      <c r="Y181">
        <v>4.7957801179129644</v>
      </c>
      <c r="Z181">
        <v>-7.6353405829470606</v>
      </c>
      <c r="AA181">
        <v>-16.45059713508541</v>
      </c>
      <c r="AB181">
        <v>-7.1130138748863638</v>
      </c>
      <c r="AC181">
        <v>-7.2130124566720442</v>
      </c>
      <c r="AD181">
        <v>-7.5442355187417141</v>
      </c>
      <c r="AE181">
        <v>-7.1115542936081972</v>
      </c>
      <c r="AF181">
        <v>-6.9909151133203222</v>
      </c>
      <c r="AG181">
        <v>-6.7181979832910814</v>
      </c>
      <c r="AH181">
        <v>-6.6042316315971421</v>
      </c>
      <c r="AI181">
        <v>-15.32208202339028</v>
      </c>
      <c r="AJ181">
        <v>-6.6250593294318181</v>
      </c>
      <c r="AK181">
        <v>-15.062160867017081</v>
      </c>
      <c r="AL181">
        <v>-6.5126729657954554</v>
      </c>
      <c r="AM181">
        <v>4.4667883925068956</v>
      </c>
      <c r="AN181">
        <v>4.3910145647410346</v>
      </c>
    </row>
    <row r="182" spans="1:40" x14ac:dyDescent="0.25">
      <c r="A182" s="1" t="s">
        <v>1319</v>
      </c>
      <c r="B182">
        <v>63818822670</v>
      </c>
      <c r="C182" t="s">
        <v>88</v>
      </c>
      <c r="D182" t="s">
        <v>127</v>
      </c>
      <c r="E182">
        <v>13052000000</v>
      </c>
      <c r="F182">
        <v>-8198000000</v>
      </c>
      <c r="G182">
        <v>-3805000000</v>
      </c>
      <c r="H182">
        <v>-8800000000</v>
      </c>
      <c r="I182">
        <v>-8678000000</v>
      </c>
      <c r="J182">
        <v>-8297000000</v>
      </c>
      <c r="K182">
        <v>12650000000</v>
      </c>
      <c r="L182">
        <v>0</v>
      </c>
      <c r="M182">
        <v>12650000000</v>
      </c>
      <c r="N182">
        <v>15153000000</v>
      </c>
      <c r="O182">
        <v>1316000000</v>
      </c>
      <c r="P182">
        <v>197000000</v>
      </c>
      <c r="Q182">
        <v>7170000000</v>
      </c>
      <c r="R182">
        <v>5372000000</v>
      </c>
      <c r="S182">
        <v>16241000000</v>
      </c>
      <c r="T182">
        <v>0</v>
      </c>
      <c r="U182">
        <v>989000000</v>
      </c>
      <c r="V182">
        <v>15062000000</v>
      </c>
      <c r="W182">
        <v>58535822670</v>
      </c>
      <c r="X182">
        <v>59524822670</v>
      </c>
      <c r="Y182">
        <v>4.8895818778731233</v>
      </c>
      <c r="Z182">
        <v>-7.7846819553549649</v>
      </c>
      <c r="AA182">
        <v>-16.7723581261498</v>
      </c>
      <c r="AB182">
        <v>-7.2521389397727276</v>
      </c>
      <c r="AC182">
        <v>-7.3540934166858722</v>
      </c>
      <c r="AD182">
        <v>-7.6917949463661568</v>
      </c>
      <c r="AE182">
        <v>-7.2608956660161006</v>
      </c>
      <c r="AF182">
        <v>-7.1402564857282256</v>
      </c>
      <c r="AG182">
        <v>-6.8592789433049086</v>
      </c>
      <c r="AH182">
        <v>-6.7453125916109702</v>
      </c>
      <c r="AI182">
        <v>-15.643843014454671</v>
      </c>
      <c r="AJ182">
        <v>-6.7641843943181819</v>
      </c>
      <c r="AK182">
        <v>-15.38392185808147</v>
      </c>
      <c r="AL182">
        <v>-6.6517980306818183</v>
      </c>
      <c r="AM182">
        <v>4.5605901524670536</v>
      </c>
      <c r="AN182">
        <v>4.4848163247011952</v>
      </c>
    </row>
    <row r="183" spans="1:40" x14ac:dyDescent="0.25">
      <c r="A183" s="1" t="s">
        <v>1318</v>
      </c>
      <c r="B183">
        <v>63784335330</v>
      </c>
      <c r="C183" t="s">
        <v>88</v>
      </c>
      <c r="D183" t="s">
        <v>127</v>
      </c>
      <c r="E183">
        <v>13052000000</v>
      </c>
      <c r="F183">
        <v>-8198000000</v>
      </c>
      <c r="G183">
        <v>-3805000000</v>
      </c>
      <c r="H183">
        <v>-8800000000</v>
      </c>
      <c r="I183">
        <v>-8678000000</v>
      </c>
      <c r="J183">
        <v>-8297000000</v>
      </c>
      <c r="K183">
        <v>12650000000</v>
      </c>
      <c r="L183">
        <v>0</v>
      </c>
      <c r="M183">
        <v>12650000000</v>
      </c>
      <c r="N183">
        <v>15153000000</v>
      </c>
      <c r="O183">
        <v>1316000000</v>
      </c>
      <c r="P183">
        <v>197000000</v>
      </c>
      <c r="Q183">
        <v>7170000000</v>
      </c>
      <c r="R183">
        <v>5372000000</v>
      </c>
      <c r="S183">
        <v>16241000000</v>
      </c>
      <c r="T183">
        <v>0</v>
      </c>
      <c r="U183">
        <v>989000000</v>
      </c>
      <c r="V183">
        <v>15062000000</v>
      </c>
      <c r="W183">
        <v>58501335330</v>
      </c>
      <c r="X183">
        <v>59490335330</v>
      </c>
      <c r="Y183">
        <v>4.8869395747778119</v>
      </c>
      <c r="Z183">
        <v>-7.7804751561356431</v>
      </c>
      <c r="AA183">
        <v>-16.763294436268069</v>
      </c>
      <c r="AB183">
        <v>-7.248219923863636</v>
      </c>
      <c r="AC183">
        <v>-7.3501193051394331</v>
      </c>
      <c r="AD183">
        <v>-7.6876383427744974</v>
      </c>
      <c r="AE183">
        <v>-7.2566888667967797</v>
      </c>
      <c r="AF183">
        <v>-7.1360496865089047</v>
      </c>
      <c r="AG183">
        <v>-6.8553048317584686</v>
      </c>
      <c r="AH183">
        <v>-6.7413384800645311</v>
      </c>
      <c r="AI183">
        <v>-15.63477932457293</v>
      </c>
      <c r="AJ183">
        <v>-6.7602653784090911</v>
      </c>
      <c r="AK183">
        <v>-15.37485816819974</v>
      </c>
      <c r="AL183">
        <v>-6.6478790147727276</v>
      </c>
      <c r="AM183">
        <v>4.557947849371744</v>
      </c>
      <c r="AN183">
        <v>4.4821740216058839</v>
      </c>
    </row>
    <row r="184" spans="1:40" x14ac:dyDescent="0.25">
      <c r="A184" s="1" t="s">
        <v>1317</v>
      </c>
      <c r="B184">
        <v>63249781560</v>
      </c>
      <c r="C184" t="s">
        <v>88</v>
      </c>
      <c r="D184" t="s">
        <v>127</v>
      </c>
      <c r="E184">
        <v>13052000000</v>
      </c>
      <c r="F184">
        <v>-8198000000</v>
      </c>
      <c r="G184">
        <v>-3805000000</v>
      </c>
      <c r="H184">
        <v>-8800000000</v>
      </c>
      <c r="I184">
        <v>-8678000000</v>
      </c>
      <c r="J184">
        <v>-8297000000</v>
      </c>
      <c r="K184">
        <v>12650000000</v>
      </c>
      <c r="L184">
        <v>0</v>
      </c>
      <c r="M184">
        <v>12650000000</v>
      </c>
      <c r="N184">
        <v>15153000000</v>
      </c>
      <c r="O184">
        <v>1316000000</v>
      </c>
      <c r="P184">
        <v>197000000</v>
      </c>
      <c r="Q184">
        <v>7170000000</v>
      </c>
      <c r="R184">
        <v>5372000000</v>
      </c>
      <c r="S184">
        <v>16241000000</v>
      </c>
      <c r="T184">
        <v>0</v>
      </c>
      <c r="U184">
        <v>989000000</v>
      </c>
      <c r="V184">
        <v>15062000000</v>
      </c>
      <c r="W184">
        <v>57966781560</v>
      </c>
      <c r="X184">
        <v>58955781560</v>
      </c>
      <c r="Y184">
        <v>4.8459838768004904</v>
      </c>
      <c r="Z184">
        <v>-7.7152697682361548</v>
      </c>
      <c r="AA184">
        <v>-16.622807243101182</v>
      </c>
      <c r="AB184">
        <v>-7.1874751772727272</v>
      </c>
      <c r="AC184">
        <v>-7.2885205761696241</v>
      </c>
      <c r="AD184">
        <v>-7.6232109871037723</v>
      </c>
      <c r="AE184">
        <v>-7.1914834788972923</v>
      </c>
      <c r="AF184">
        <v>-7.0708442986094173</v>
      </c>
      <c r="AG184">
        <v>-6.7937061027886614</v>
      </c>
      <c r="AH184">
        <v>-6.6797397510947221</v>
      </c>
      <c r="AI184">
        <v>-15.49429213140604</v>
      </c>
      <c r="AJ184">
        <v>-6.6995206318181806</v>
      </c>
      <c r="AK184">
        <v>-15.234370975032849</v>
      </c>
      <c r="AL184">
        <v>-6.5871342681818179</v>
      </c>
      <c r="AM184">
        <v>4.5169921513944216</v>
      </c>
      <c r="AN184">
        <v>4.4412183236285623</v>
      </c>
    </row>
    <row r="185" spans="1:40" x14ac:dyDescent="0.25">
      <c r="A185" s="1" t="s">
        <v>1316</v>
      </c>
      <c r="B185">
        <v>62577278430</v>
      </c>
      <c r="C185" t="s">
        <v>88</v>
      </c>
      <c r="D185" t="s">
        <v>127</v>
      </c>
      <c r="E185">
        <v>13052000000</v>
      </c>
      <c r="F185">
        <v>-8198000000</v>
      </c>
      <c r="G185">
        <v>-3805000000</v>
      </c>
      <c r="H185">
        <v>-8800000000</v>
      </c>
      <c r="I185">
        <v>-8678000000</v>
      </c>
      <c r="J185">
        <v>-8297000000</v>
      </c>
      <c r="K185">
        <v>12650000000</v>
      </c>
      <c r="L185">
        <v>0</v>
      </c>
      <c r="M185">
        <v>12650000000</v>
      </c>
      <c r="N185">
        <v>15153000000</v>
      </c>
      <c r="O185">
        <v>1316000000</v>
      </c>
      <c r="P185">
        <v>197000000</v>
      </c>
      <c r="Q185">
        <v>7170000000</v>
      </c>
      <c r="R185">
        <v>5372000000</v>
      </c>
      <c r="S185">
        <v>16241000000</v>
      </c>
      <c r="T185">
        <v>0</v>
      </c>
      <c r="U185">
        <v>989000000</v>
      </c>
      <c r="V185">
        <v>15062000000</v>
      </c>
      <c r="W185">
        <v>57294278430</v>
      </c>
      <c r="X185">
        <v>58283278430</v>
      </c>
      <c r="Y185">
        <v>4.7944589664419244</v>
      </c>
      <c r="Z185">
        <v>-7.6332371834593804</v>
      </c>
      <c r="AA185">
        <v>-16.446065290407361</v>
      </c>
      <c r="AB185">
        <v>-7.1110543670454547</v>
      </c>
      <c r="AC185">
        <v>-7.2110254010140586</v>
      </c>
      <c r="AD185">
        <v>-7.5421572170664097</v>
      </c>
      <c r="AE185">
        <v>-7.109450894120517</v>
      </c>
      <c r="AF185">
        <v>-6.988811713832642</v>
      </c>
      <c r="AG185">
        <v>-6.716210927633095</v>
      </c>
      <c r="AH185">
        <v>-6.6022445759391566</v>
      </c>
      <c r="AI185">
        <v>-15.317550178712221</v>
      </c>
      <c r="AJ185">
        <v>-6.6230998215909089</v>
      </c>
      <c r="AK185">
        <v>-15.057629022339031</v>
      </c>
      <c r="AL185">
        <v>-6.5107134579545454</v>
      </c>
      <c r="AM185">
        <v>4.4654672410358556</v>
      </c>
      <c r="AN185">
        <v>4.3896934132699972</v>
      </c>
    </row>
    <row r="186" spans="1:40" x14ac:dyDescent="0.25">
      <c r="A186" s="1" t="s">
        <v>1315</v>
      </c>
      <c r="B186">
        <v>64818955530</v>
      </c>
      <c r="C186" t="s">
        <v>88</v>
      </c>
      <c r="D186" t="s">
        <v>127</v>
      </c>
      <c r="E186">
        <v>13052000000</v>
      </c>
      <c r="F186">
        <v>-8198000000</v>
      </c>
      <c r="G186">
        <v>-3805000000</v>
      </c>
      <c r="H186">
        <v>-8800000000</v>
      </c>
      <c r="I186">
        <v>-8678000000</v>
      </c>
      <c r="J186">
        <v>-8297000000</v>
      </c>
      <c r="K186">
        <v>12650000000</v>
      </c>
      <c r="L186">
        <v>0</v>
      </c>
      <c r="M186">
        <v>12650000000</v>
      </c>
      <c r="N186">
        <v>15153000000</v>
      </c>
      <c r="O186">
        <v>1316000000</v>
      </c>
      <c r="P186">
        <v>197000000</v>
      </c>
      <c r="Q186">
        <v>7170000000</v>
      </c>
      <c r="R186">
        <v>5372000000</v>
      </c>
      <c r="S186">
        <v>16241000000</v>
      </c>
      <c r="T186">
        <v>0</v>
      </c>
      <c r="U186">
        <v>989000000</v>
      </c>
      <c r="V186">
        <v>15062000000</v>
      </c>
      <c r="W186">
        <v>59535955530</v>
      </c>
      <c r="X186">
        <v>60524955530</v>
      </c>
      <c r="Y186">
        <v>4.9662086676371437</v>
      </c>
      <c r="Z186">
        <v>-7.9066791327152961</v>
      </c>
      <c r="AA186">
        <v>-17.035205132720101</v>
      </c>
      <c r="AB186">
        <v>-7.3657904011363637</v>
      </c>
      <c r="AC186">
        <v>-7.4693426515326111</v>
      </c>
      <c r="AD186">
        <v>-7.8123364505242856</v>
      </c>
      <c r="AE186">
        <v>-7.3828928433764336</v>
      </c>
      <c r="AF186">
        <v>-7.2622536630885586</v>
      </c>
      <c r="AG186">
        <v>-6.9745281781516466</v>
      </c>
      <c r="AH186">
        <v>-6.8605618264577091</v>
      </c>
      <c r="AI186">
        <v>-15.90669002102497</v>
      </c>
      <c r="AJ186">
        <v>-6.877835855681818</v>
      </c>
      <c r="AK186">
        <v>-15.64676886465177</v>
      </c>
      <c r="AL186">
        <v>-6.7654494920454544</v>
      </c>
      <c r="AM186">
        <v>4.6372169422310758</v>
      </c>
      <c r="AN186">
        <v>4.5614431144652157</v>
      </c>
    </row>
    <row r="187" spans="1:40" x14ac:dyDescent="0.25">
      <c r="A187" s="1" t="s">
        <v>1314</v>
      </c>
      <c r="B187">
        <v>66439860510</v>
      </c>
      <c r="C187" t="s">
        <v>88</v>
      </c>
      <c r="D187" t="s">
        <v>127</v>
      </c>
      <c r="E187">
        <v>13052000000</v>
      </c>
      <c r="F187">
        <v>-8198000000</v>
      </c>
      <c r="G187">
        <v>-3805000000</v>
      </c>
      <c r="H187">
        <v>-8800000000</v>
      </c>
      <c r="I187">
        <v>-8678000000</v>
      </c>
      <c r="J187">
        <v>-8297000000</v>
      </c>
      <c r="K187">
        <v>12650000000</v>
      </c>
      <c r="L187">
        <v>0</v>
      </c>
      <c r="M187">
        <v>12650000000</v>
      </c>
      <c r="N187">
        <v>15153000000</v>
      </c>
      <c r="O187">
        <v>1316000000</v>
      </c>
      <c r="P187">
        <v>197000000</v>
      </c>
      <c r="Q187">
        <v>7170000000</v>
      </c>
      <c r="R187">
        <v>5372000000</v>
      </c>
      <c r="S187">
        <v>16241000000</v>
      </c>
      <c r="T187">
        <v>0</v>
      </c>
      <c r="U187">
        <v>989000000</v>
      </c>
      <c r="V187">
        <v>15062000000</v>
      </c>
      <c r="W187">
        <v>61156860510</v>
      </c>
      <c r="X187">
        <v>62145860510</v>
      </c>
      <c r="Y187">
        <v>5.0903969131167637</v>
      </c>
      <c r="Z187">
        <v>-8.10439869602342</v>
      </c>
      <c r="AA187">
        <v>-17.46119855716163</v>
      </c>
      <c r="AB187">
        <v>-7.5499841488636363</v>
      </c>
      <c r="AC187">
        <v>-7.6561258942152568</v>
      </c>
      <c r="AD187">
        <v>-8.0076968193322884</v>
      </c>
      <c r="AE187">
        <v>-7.5806124066845566</v>
      </c>
      <c r="AF187">
        <v>-7.4599732263966816</v>
      </c>
      <c r="AG187">
        <v>-7.1613114208342932</v>
      </c>
      <c r="AH187">
        <v>-7.0473450691403547</v>
      </c>
      <c r="AI187">
        <v>-16.33268344546649</v>
      </c>
      <c r="AJ187">
        <v>-7.0620296034090906</v>
      </c>
      <c r="AK187">
        <v>-16.072762289093301</v>
      </c>
      <c r="AL187">
        <v>-6.949643239772727</v>
      </c>
      <c r="AM187">
        <v>4.7614051877106958</v>
      </c>
      <c r="AN187">
        <v>4.6856313599448356</v>
      </c>
    </row>
    <row r="188" spans="1:40" x14ac:dyDescent="0.25">
      <c r="A188" s="1" t="s">
        <v>1313</v>
      </c>
      <c r="B188">
        <v>63473949270</v>
      </c>
      <c r="C188" t="s">
        <v>88</v>
      </c>
      <c r="D188" t="s">
        <v>127</v>
      </c>
      <c r="E188">
        <v>13052000000</v>
      </c>
      <c r="F188">
        <v>-8198000000</v>
      </c>
      <c r="G188">
        <v>-3805000000</v>
      </c>
      <c r="H188">
        <v>-8800000000</v>
      </c>
      <c r="I188">
        <v>-8678000000</v>
      </c>
      <c r="J188">
        <v>-8297000000</v>
      </c>
      <c r="K188">
        <v>12650000000</v>
      </c>
      <c r="L188">
        <v>0</v>
      </c>
      <c r="M188">
        <v>12650000000</v>
      </c>
      <c r="N188">
        <v>15153000000</v>
      </c>
      <c r="O188">
        <v>1316000000</v>
      </c>
      <c r="P188">
        <v>197000000</v>
      </c>
      <c r="Q188">
        <v>7170000000</v>
      </c>
      <c r="R188">
        <v>5372000000</v>
      </c>
      <c r="S188">
        <v>16241000000</v>
      </c>
      <c r="T188">
        <v>0</v>
      </c>
      <c r="U188">
        <v>989000000</v>
      </c>
      <c r="V188">
        <v>15062000000</v>
      </c>
      <c r="W188">
        <v>58190949270</v>
      </c>
      <c r="X188">
        <v>59179949270</v>
      </c>
      <c r="Y188">
        <v>4.8631588469200127</v>
      </c>
      <c r="Z188">
        <v>-7.7426139631617463</v>
      </c>
      <c r="AA188">
        <v>-16.68172122733246</v>
      </c>
      <c r="AB188">
        <v>-7.2129487806818178</v>
      </c>
      <c r="AC188">
        <v>-7.3143523012214793</v>
      </c>
      <c r="AD188">
        <v>-7.6502289104495604</v>
      </c>
      <c r="AE188">
        <v>-7.2188276738228838</v>
      </c>
      <c r="AF188">
        <v>-7.0981884935350088</v>
      </c>
      <c r="AG188">
        <v>-6.8195378278405174</v>
      </c>
      <c r="AH188">
        <v>-6.7055714761465772</v>
      </c>
      <c r="AI188">
        <v>-15.55320611563732</v>
      </c>
      <c r="AJ188">
        <v>-6.7249942352272729</v>
      </c>
      <c r="AK188">
        <v>-15.293284959264129</v>
      </c>
      <c r="AL188">
        <v>-6.6126078715909093</v>
      </c>
      <c r="AM188">
        <v>4.5341671215139439</v>
      </c>
      <c r="AN188">
        <v>4.4583932937480846</v>
      </c>
    </row>
    <row r="189" spans="1:40" x14ac:dyDescent="0.25">
      <c r="A189" s="1" t="s">
        <v>136</v>
      </c>
      <c r="B189">
        <v>63956772030</v>
      </c>
      <c r="C189" t="s">
        <v>88</v>
      </c>
      <c r="D189" t="s">
        <v>127</v>
      </c>
      <c r="E189">
        <v>13052000000</v>
      </c>
      <c r="F189">
        <v>-8198000000</v>
      </c>
      <c r="G189">
        <v>-3805000000</v>
      </c>
      <c r="H189">
        <v>-8800000000</v>
      </c>
      <c r="I189">
        <v>-8678000000</v>
      </c>
      <c r="J189">
        <v>-8297000000</v>
      </c>
      <c r="K189">
        <v>12650000000</v>
      </c>
      <c r="L189">
        <v>0</v>
      </c>
      <c r="M189">
        <v>12650000000</v>
      </c>
      <c r="N189">
        <v>15153000000</v>
      </c>
      <c r="O189">
        <v>1316000000</v>
      </c>
      <c r="P189">
        <v>197000000</v>
      </c>
      <c r="Q189">
        <v>7170000000</v>
      </c>
      <c r="R189">
        <v>5372000000</v>
      </c>
      <c r="S189">
        <v>16241000000</v>
      </c>
      <c r="T189">
        <v>0</v>
      </c>
      <c r="U189">
        <v>989000000</v>
      </c>
      <c r="V189">
        <v>15062000000</v>
      </c>
      <c r="W189">
        <v>58673772030</v>
      </c>
      <c r="X189">
        <v>59662772030</v>
      </c>
      <c r="Y189">
        <v>4.9001510902543668</v>
      </c>
      <c r="Z189">
        <v>-7.8015091522322519</v>
      </c>
      <c r="AA189">
        <v>-16.808612885676741</v>
      </c>
      <c r="AB189">
        <v>-7.2678150034090896</v>
      </c>
      <c r="AC189">
        <v>-7.3699898628716296</v>
      </c>
      <c r="AD189">
        <v>-7.7084213607327952</v>
      </c>
      <c r="AE189">
        <v>-7.2777228628933894</v>
      </c>
      <c r="AF189">
        <v>-7.1570836826055144</v>
      </c>
      <c r="AG189">
        <v>-6.875175389490666</v>
      </c>
      <c r="AH189">
        <v>-6.7612090377967284</v>
      </c>
      <c r="AI189">
        <v>-15.680097773981601</v>
      </c>
      <c r="AJ189">
        <v>-6.7798604579545456</v>
      </c>
      <c r="AK189">
        <v>-15.42017661760841</v>
      </c>
      <c r="AL189">
        <v>-6.6674740943181821</v>
      </c>
      <c r="AM189">
        <v>4.5711593648482989</v>
      </c>
      <c r="AN189">
        <v>4.4953855370824396</v>
      </c>
    </row>
    <row r="190" spans="1:40" x14ac:dyDescent="0.25">
      <c r="A190" s="1" t="s">
        <v>1312</v>
      </c>
      <c r="B190">
        <v>70061031210</v>
      </c>
      <c r="C190" t="s">
        <v>87</v>
      </c>
      <c r="D190" t="s">
        <v>127</v>
      </c>
      <c r="E190">
        <v>14147000000</v>
      </c>
      <c r="F190">
        <v>-8124000000</v>
      </c>
      <c r="G190">
        <v>-4909000000</v>
      </c>
      <c r="H190">
        <v>-8712000000</v>
      </c>
      <c r="I190">
        <v>-8596000000</v>
      </c>
      <c r="J190">
        <v>-8506000000</v>
      </c>
      <c r="K190">
        <v>10873000000</v>
      </c>
      <c r="L190">
        <v>440000000</v>
      </c>
      <c r="M190">
        <v>11313000000</v>
      </c>
      <c r="N190">
        <v>13925000000</v>
      </c>
      <c r="O190">
        <v>1299000000</v>
      </c>
      <c r="P190">
        <v>196000000</v>
      </c>
      <c r="Q190">
        <v>7230000000</v>
      </c>
      <c r="R190">
        <v>5639000000</v>
      </c>
      <c r="S190">
        <v>16578000000</v>
      </c>
      <c r="T190">
        <v>0</v>
      </c>
      <c r="U190">
        <v>993000000</v>
      </c>
      <c r="V190">
        <v>14190000000</v>
      </c>
      <c r="W190">
        <v>66174031210</v>
      </c>
      <c r="X190">
        <v>67167031210</v>
      </c>
      <c r="Y190">
        <v>4.952359596380858</v>
      </c>
      <c r="Z190">
        <v>-8.6239575590841948</v>
      </c>
      <c r="AA190">
        <v>-14.271955838256259</v>
      </c>
      <c r="AB190">
        <v>-8.0418998174931122</v>
      </c>
      <c r="AC190">
        <v>-8.1504224302000932</v>
      </c>
      <c r="AD190">
        <v>-8.2366601469550904</v>
      </c>
      <c r="AE190">
        <v>-8.2677291001969468</v>
      </c>
      <c r="AF190">
        <v>-8.145498671836533</v>
      </c>
      <c r="AG190">
        <v>-7.8137542124243833</v>
      </c>
      <c r="AH190">
        <v>-7.6982353664495111</v>
      </c>
      <c r="AI190">
        <v>-13.682426402525969</v>
      </c>
      <c r="AJ190">
        <v>-7.7097143262167123</v>
      </c>
      <c r="AK190">
        <v>-13.48014487879405</v>
      </c>
      <c r="AL190">
        <v>-7.5957336099632693</v>
      </c>
      <c r="AM190">
        <v>4.7477932572276806</v>
      </c>
      <c r="AN190">
        <v>4.6776016971796137</v>
      </c>
    </row>
    <row r="191" spans="1:40" x14ac:dyDescent="0.25">
      <c r="A191" s="1" t="s">
        <v>1311</v>
      </c>
      <c r="B191">
        <v>68991923670</v>
      </c>
      <c r="C191" t="s">
        <v>87</v>
      </c>
      <c r="D191" t="s">
        <v>127</v>
      </c>
      <c r="E191">
        <v>14147000000</v>
      </c>
      <c r="F191">
        <v>-8124000000</v>
      </c>
      <c r="G191">
        <v>-4909000000</v>
      </c>
      <c r="H191">
        <v>-8712000000</v>
      </c>
      <c r="I191">
        <v>-8596000000</v>
      </c>
      <c r="J191">
        <v>-8506000000</v>
      </c>
      <c r="K191">
        <v>10873000000</v>
      </c>
      <c r="L191">
        <v>440000000</v>
      </c>
      <c r="M191">
        <v>11313000000</v>
      </c>
      <c r="N191">
        <v>13925000000</v>
      </c>
      <c r="O191">
        <v>1299000000</v>
      </c>
      <c r="P191">
        <v>196000000</v>
      </c>
      <c r="Q191">
        <v>7230000000</v>
      </c>
      <c r="R191">
        <v>5639000000</v>
      </c>
      <c r="S191">
        <v>16578000000</v>
      </c>
      <c r="T191">
        <v>0</v>
      </c>
      <c r="U191">
        <v>993000000</v>
      </c>
      <c r="V191">
        <v>14190000000</v>
      </c>
      <c r="W191">
        <v>65104923670</v>
      </c>
      <c r="X191">
        <v>66097923670</v>
      </c>
      <c r="Y191">
        <v>4.876788271011522</v>
      </c>
      <c r="Z191">
        <v>-8.4923588958641059</v>
      </c>
      <c r="AA191">
        <v>-14.05417063964147</v>
      </c>
      <c r="AB191">
        <v>-7.9191831577134986</v>
      </c>
      <c r="AC191">
        <v>-8.02604975221033</v>
      </c>
      <c r="AD191">
        <v>-8.1109715106983309</v>
      </c>
      <c r="AE191">
        <v>-8.1361304369768579</v>
      </c>
      <c r="AF191">
        <v>-8.0139000086164458</v>
      </c>
      <c r="AG191">
        <v>-7.689381534434621</v>
      </c>
      <c r="AH191">
        <v>-7.5738626884597489</v>
      </c>
      <c r="AI191">
        <v>-13.46464120391118</v>
      </c>
      <c r="AJ191">
        <v>-7.5869976664370986</v>
      </c>
      <c r="AK191">
        <v>-13.26235968017926</v>
      </c>
      <c r="AL191">
        <v>-7.4730169501836547</v>
      </c>
      <c r="AM191">
        <v>4.6722219318583447</v>
      </c>
      <c r="AN191">
        <v>4.6020303718102777</v>
      </c>
    </row>
    <row r="192" spans="1:40" x14ac:dyDescent="0.25">
      <c r="A192" s="1" t="s">
        <v>1310</v>
      </c>
      <c r="B192">
        <v>71164626090</v>
      </c>
      <c r="C192" t="s">
        <v>87</v>
      </c>
      <c r="D192" t="s">
        <v>127</v>
      </c>
      <c r="E192">
        <v>14147000000</v>
      </c>
      <c r="F192">
        <v>-8124000000</v>
      </c>
      <c r="G192">
        <v>-4909000000</v>
      </c>
      <c r="H192">
        <v>-8712000000</v>
      </c>
      <c r="I192">
        <v>-8596000000</v>
      </c>
      <c r="J192">
        <v>-8506000000</v>
      </c>
      <c r="K192">
        <v>10873000000</v>
      </c>
      <c r="L192">
        <v>440000000</v>
      </c>
      <c r="M192">
        <v>11313000000</v>
      </c>
      <c r="N192">
        <v>13925000000</v>
      </c>
      <c r="O192">
        <v>1299000000</v>
      </c>
      <c r="P192">
        <v>196000000</v>
      </c>
      <c r="Q192">
        <v>7230000000</v>
      </c>
      <c r="R192">
        <v>5639000000</v>
      </c>
      <c r="S192">
        <v>16578000000</v>
      </c>
      <c r="T192">
        <v>0</v>
      </c>
      <c r="U192">
        <v>993000000</v>
      </c>
      <c r="V192">
        <v>14190000000</v>
      </c>
      <c r="W192">
        <v>67277626090</v>
      </c>
      <c r="X192">
        <v>68270626090</v>
      </c>
      <c r="Y192">
        <v>5.0303687064395266</v>
      </c>
      <c r="Z192">
        <v>-8.7598013404726736</v>
      </c>
      <c r="AA192">
        <v>-14.49676636585863</v>
      </c>
      <c r="AB192">
        <v>-8.1685750792011014</v>
      </c>
      <c r="AC192">
        <v>-8.2788071300604926</v>
      </c>
      <c r="AD192">
        <v>-8.3664032553491658</v>
      </c>
      <c r="AE192">
        <v>-8.4035728815854256</v>
      </c>
      <c r="AF192">
        <v>-8.2813424532250117</v>
      </c>
      <c r="AG192">
        <v>-7.9421389122847836</v>
      </c>
      <c r="AH192">
        <v>-7.8266200663099106</v>
      </c>
      <c r="AI192">
        <v>-13.90723693012834</v>
      </c>
      <c r="AJ192">
        <v>-7.8363895879247014</v>
      </c>
      <c r="AK192">
        <v>-13.704955406396421</v>
      </c>
      <c r="AL192">
        <v>-7.7224088716712576</v>
      </c>
      <c r="AM192">
        <v>4.8258023672863501</v>
      </c>
      <c r="AN192">
        <v>4.7556108072382841</v>
      </c>
    </row>
    <row r="193" spans="1:40" x14ac:dyDescent="0.25">
      <c r="A193" s="1" t="s">
        <v>1309</v>
      </c>
      <c r="B193">
        <v>71130138750</v>
      </c>
      <c r="C193" t="s">
        <v>87</v>
      </c>
      <c r="D193" t="s">
        <v>127</v>
      </c>
      <c r="E193">
        <v>14147000000</v>
      </c>
      <c r="F193">
        <v>-8124000000</v>
      </c>
      <c r="G193">
        <v>-4909000000</v>
      </c>
      <c r="H193">
        <v>-8712000000</v>
      </c>
      <c r="I193">
        <v>-8596000000</v>
      </c>
      <c r="J193">
        <v>-8506000000</v>
      </c>
      <c r="K193">
        <v>10873000000</v>
      </c>
      <c r="L193">
        <v>440000000</v>
      </c>
      <c r="M193">
        <v>11313000000</v>
      </c>
      <c r="N193">
        <v>13925000000</v>
      </c>
      <c r="O193">
        <v>1299000000</v>
      </c>
      <c r="P193">
        <v>196000000</v>
      </c>
      <c r="Q193">
        <v>7230000000</v>
      </c>
      <c r="R193">
        <v>5639000000</v>
      </c>
      <c r="S193">
        <v>16578000000</v>
      </c>
      <c r="T193">
        <v>0</v>
      </c>
      <c r="U193">
        <v>993000000</v>
      </c>
      <c r="V193">
        <v>14190000000</v>
      </c>
      <c r="W193">
        <v>67243138750</v>
      </c>
      <c r="X193">
        <v>68236138750</v>
      </c>
      <c r="Y193">
        <v>5.027930921750194</v>
      </c>
      <c r="Z193">
        <v>-8.7555562223042838</v>
      </c>
      <c r="AA193">
        <v>-14.489741036871051</v>
      </c>
      <c r="AB193">
        <v>-8.1646164772727268</v>
      </c>
      <c r="AC193">
        <v>-8.2747951081898563</v>
      </c>
      <c r="AD193">
        <v>-8.3623487832118499</v>
      </c>
      <c r="AE193">
        <v>-8.3993277634170358</v>
      </c>
      <c r="AF193">
        <v>-8.2770973350566219</v>
      </c>
      <c r="AG193">
        <v>-7.9381268904141464</v>
      </c>
      <c r="AH193">
        <v>-7.8226080444392743</v>
      </c>
      <c r="AI193">
        <v>-13.900211601140761</v>
      </c>
      <c r="AJ193">
        <v>-7.8324309859963268</v>
      </c>
      <c r="AK193">
        <v>-13.69793007740884</v>
      </c>
      <c r="AL193">
        <v>-7.718450269742883</v>
      </c>
      <c r="AM193">
        <v>4.8233645825970166</v>
      </c>
      <c r="AN193">
        <v>4.7531730225489506</v>
      </c>
    </row>
    <row r="194" spans="1:40" x14ac:dyDescent="0.25">
      <c r="A194" s="1" t="s">
        <v>1308</v>
      </c>
      <c r="B194">
        <v>69129873030</v>
      </c>
      <c r="C194" t="s">
        <v>87</v>
      </c>
      <c r="D194" t="s">
        <v>127</v>
      </c>
      <c r="E194">
        <v>14147000000</v>
      </c>
      <c r="F194">
        <v>-8124000000</v>
      </c>
      <c r="G194">
        <v>-4909000000</v>
      </c>
      <c r="H194">
        <v>-8712000000</v>
      </c>
      <c r="I194">
        <v>-8596000000</v>
      </c>
      <c r="J194">
        <v>-8506000000</v>
      </c>
      <c r="K194">
        <v>10873000000</v>
      </c>
      <c r="L194">
        <v>440000000</v>
      </c>
      <c r="M194">
        <v>11313000000</v>
      </c>
      <c r="N194">
        <v>13925000000</v>
      </c>
      <c r="O194">
        <v>1299000000</v>
      </c>
      <c r="P194">
        <v>196000000</v>
      </c>
      <c r="Q194">
        <v>7230000000</v>
      </c>
      <c r="R194">
        <v>5639000000</v>
      </c>
      <c r="S194">
        <v>16578000000</v>
      </c>
      <c r="T194">
        <v>0</v>
      </c>
      <c r="U194">
        <v>993000000</v>
      </c>
      <c r="V194">
        <v>14190000000</v>
      </c>
      <c r="W194">
        <v>65242873030</v>
      </c>
      <c r="X194">
        <v>66235873030</v>
      </c>
      <c r="Y194">
        <v>4.8865394097688553</v>
      </c>
      <c r="Z194">
        <v>-8.5093393685376668</v>
      </c>
      <c r="AA194">
        <v>-14.08227195559177</v>
      </c>
      <c r="AB194">
        <v>-7.935017565426997</v>
      </c>
      <c r="AC194">
        <v>-8.0420978396928806</v>
      </c>
      <c r="AD194">
        <v>-8.1271893992475892</v>
      </c>
      <c r="AE194">
        <v>-8.1531109096504188</v>
      </c>
      <c r="AF194">
        <v>-8.030880481290005</v>
      </c>
      <c r="AG194">
        <v>-7.7054296219171707</v>
      </c>
      <c r="AH194">
        <v>-7.5899107759422986</v>
      </c>
      <c r="AI194">
        <v>-13.49274251986148</v>
      </c>
      <c r="AJ194">
        <v>-7.602832074150597</v>
      </c>
      <c r="AK194">
        <v>-13.290460996129561</v>
      </c>
      <c r="AL194">
        <v>-7.4888513578971532</v>
      </c>
      <c r="AM194">
        <v>4.6819730706156779</v>
      </c>
      <c r="AN194">
        <v>4.6117815105676119</v>
      </c>
    </row>
    <row r="195" spans="1:40" x14ac:dyDescent="0.25">
      <c r="A195" s="1" t="s">
        <v>1307</v>
      </c>
      <c r="B195">
        <v>68388395219</v>
      </c>
      <c r="C195" t="s">
        <v>87</v>
      </c>
      <c r="D195" t="s">
        <v>127</v>
      </c>
      <c r="E195">
        <v>14147000000</v>
      </c>
      <c r="F195">
        <v>-8124000000</v>
      </c>
      <c r="G195">
        <v>-4909000000</v>
      </c>
      <c r="H195">
        <v>-8712000000</v>
      </c>
      <c r="I195">
        <v>-8596000000</v>
      </c>
      <c r="J195">
        <v>-8506000000</v>
      </c>
      <c r="K195">
        <v>10873000000</v>
      </c>
      <c r="L195">
        <v>440000000</v>
      </c>
      <c r="M195">
        <v>11313000000</v>
      </c>
      <c r="N195">
        <v>13925000000</v>
      </c>
      <c r="O195">
        <v>1299000000</v>
      </c>
      <c r="P195">
        <v>196000000</v>
      </c>
      <c r="Q195">
        <v>7230000000</v>
      </c>
      <c r="R195">
        <v>5639000000</v>
      </c>
      <c r="S195">
        <v>16578000000</v>
      </c>
      <c r="T195">
        <v>0</v>
      </c>
      <c r="U195">
        <v>993000000</v>
      </c>
      <c r="V195">
        <v>14190000000</v>
      </c>
      <c r="W195">
        <v>64501395219</v>
      </c>
      <c r="X195">
        <v>65494395219</v>
      </c>
      <c r="Y195">
        <v>4.8341270388775008</v>
      </c>
      <c r="Z195">
        <v>-8.4180693277941909</v>
      </c>
      <c r="AA195">
        <v>-13.931227382155219</v>
      </c>
      <c r="AB195">
        <v>-7.8499076238521583</v>
      </c>
      <c r="AC195">
        <v>-7.9558393693578404</v>
      </c>
      <c r="AD195">
        <v>-8.0400182481777573</v>
      </c>
      <c r="AE195">
        <v>-8.061840868906943</v>
      </c>
      <c r="AF195">
        <v>-7.9396104405465291</v>
      </c>
      <c r="AG195">
        <v>-7.6191711515821314</v>
      </c>
      <c r="AH195">
        <v>-7.5036523056072593</v>
      </c>
      <c r="AI195">
        <v>-13.341697946424929</v>
      </c>
      <c r="AJ195">
        <v>-7.5177221325757566</v>
      </c>
      <c r="AK195">
        <v>-13.13941642269301</v>
      </c>
      <c r="AL195">
        <v>-7.4037414163223136</v>
      </c>
      <c r="AM195">
        <v>4.6295606997243226</v>
      </c>
      <c r="AN195">
        <v>4.5593691396762566</v>
      </c>
    </row>
    <row r="196" spans="1:40" x14ac:dyDescent="0.25">
      <c r="A196" s="1" t="s">
        <v>1306</v>
      </c>
      <c r="B196">
        <v>69285066060</v>
      </c>
      <c r="C196" t="s">
        <v>87</v>
      </c>
      <c r="D196" t="s">
        <v>127</v>
      </c>
      <c r="E196">
        <v>14147000000</v>
      </c>
      <c r="F196">
        <v>-8124000000</v>
      </c>
      <c r="G196">
        <v>-4909000000</v>
      </c>
      <c r="H196">
        <v>-8712000000</v>
      </c>
      <c r="I196">
        <v>-8596000000</v>
      </c>
      <c r="J196">
        <v>-8506000000</v>
      </c>
      <c r="K196">
        <v>10873000000</v>
      </c>
      <c r="L196">
        <v>440000000</v>
      </c>
      <c r="M196">
        <v>11313000000</v>
      </c>
      <c r="N196">
        <v>13925000000</v>
      </c>
      <c r="O196">
        <v>1299000000</v>
      </c>
      <c r="P196">
        <v>196000000</v>
      </c>
      <c r="Q196">
        <v>7230000000</v>
      </c>
      <c r="R196">
        <v>5639000000</v>
      </c>
      <c r="S196">
        <v>16578000000</v>
      </c>
      <c r="T196">
        <v>0</v>
      </c>
      <c r="U196">
        <v>993000000</v>
      </c>
      <c r="V196">
        <v>14190000000</v>
      </c>
      <c r="W196">
        <v>65398066060</v>
      </c>
      <c r="X196">
        <v>66391066060</v>
      </c>
      <c r="Y196">
        <v>4.8975094408708557</v>
      </c>
      <c r="Z196">
        <v>-8.5284424002954218</v>
      </c>
      <c r="AA196">
        <v>-14.11388593603585</v>
      </c>
      <c r="AB196">
        <v>-7.9528312741046836</v>
      </c>
      <c r="AC196">
        <v>-8.0601519381107494</v>
      </c>
      <c r="AD196">
        <v>-8.1454345238655073</v>
      </c>
      <c r="AE196">
        <v>-8.1722139414081738</v>
      </c>
      <c r="AF196">
        <v>-8.0499835130477599</v>
      </c>
      <c r="AG196">
        <v>-7.7234837203350386</v>
      </c>
      <c r="AH196">
        <v>-7.6079648743601673</v>
      </c>
      <c r="AI196">
        <v>-13.52435650030556</v>
      </c>
      <c r="AJ196">
        <v>-7.6206457828282828</v>
      </c>
      <c r="AK196">
        <v>-13.32207497657364</v>
      </c>
      <c r="AL196">
        <v>-7.5066650665748389</v>
      </c>
      <c r="AM196">
        <v>4.6929431017176784</v>
      </c>
      <c r="AN196">
        <v>4.6227515416696123</v>
      </c>
    </row>
    <row r="197" spans="1:40" x14ac:dyDescent="0.25">
      <c r="A197" s="1" t="s">
        <v>1305</v>
      </c>
      <c r="B197">
        <v>70785265350</v>
      </c>
      <c r="C197" t="s">
        <v>87</v>
      </c>
      <c r="D197" t="s">
        <v>127</v>
      </c>
      <c r="E197">
        <v>14147000000</v>
      </c>
      <c r="F197">
        <v>-8124000000</v>
      </c>
      <c r="G197">
        <v>-4909000000</v>
      </c>
      <c r="H197">
        <v>-8712000000</v>
      </c>
      <c r="I197">
        <v>-8596000000</v>
      </c>
      <c r="J197">
        <v>-8506000000</v>
      </c>
      <c r="K197">
        <v>10873000000</v>
      </c>
      <c r="L197">
        <v>440000000</v>
      </c>
      <c r="M197">
        <v>11313000000</v>
      </c>
      <c r="N197">
        <v>13925000000</v>
      </c>
      <c r="O197">
        <v>1299000000</v>
      </c>
      <c r="P197">
        <v>196000000</v>
      </c>
      <c r="Q197">
        <v>7230000000</v>
      </c>
      <c r="R197">
        <v>5639000000</v>
      </c>
      <c r="S197">
        <v>16578000000</v>
      </c>
      <c r="T197">
        <v>0</v>
      </c>
      <c r="U197">
        <v>993000000</v>
      </c>
      <c r="V197">
        <v>14190000000</v>
      </c>
      <c r="W197">
        <v>66898265350</v>
      </c>
      <c r="X197">
        <v>67891265350</v>
      </c>
      <c r="Y197">
        <v>5.0035530748568604</v>
      </c>
      <c r="Z197">
        <v>-8.713105040620384</v>
      </c>
      <c r="AA197">
        <v>-14.419487746995321</v>
      </c>
      <c r="AB197">
        <v>-8.1250304579889807</v>
      </c>
      <c r="AC197">
        <v>-8.2346748894834807</v>
      </c>
      <c r="AD197">
        <v>-8.3218040618387015</v>
      </c>
      <c r="AE197">
        <v>-8.3568765817331361</v>
      </c>
      <c r="AF197">
        <v>-8.2346461533727222</v>
      </c>
      <c r="AG197">
        <v>-7.8980066717077708</v>
      </c>
      <c r="AH197">
        <v>-7.7824878257328987</v>
      </c>
      <c r="AI197">
        <v>-13.82995831126502</v>
      </c>
      <c r="AJ197">
        <v>-7.7928449667125808</v>
      </c>
      <c r="AK197">
        <v>-13.627676787533099</v>
      </c>
      <c r="AL197">
        <v>-7.6788642504591369</v>
      </c>
      <c r="AM197">
        <v>4.7989867357036831</v>
      </c>
      <c r="AN197">
        <v>4.7287951756556161</v>
      </c>
    </row>
    <row r="198" spans="1:40" x14ac:dyDescent="0.25">
      <c r="A198" s="1" t="s">
        <v>1304</v>
      </c>
      <c r="B198">
        <v>70561097640</v>
      </c>
      <c r="C198" t="s">
        <v>87</v>
      </c>
      <c r="D198" t="s">
        <v>127</v>
      </c>
      <c r="E198">
        <v>14147000000</v>
      </c>
      <c r="F198">
        <v>-8124000000</v>
      </c>
      <c r="G198">
        <v>-4909000000</v>
      </c>
      <c r="H198">
        <v>-8712000000</v>
      </c>
      <c r="I198">
        <v>-8596000000</v>
      </c>
      <c r="J198">
        <v>-8506000000</v>
      </c>
      <c r="K198">
        <v>10873000000</v>
      </c>
      <c r="L198">
        <v>440000000</v>
      </c>
      <c r="M198">
        <v>11313000000</v>
      </c>
      <c r="N198">
        <v>13925000000</v>
      </c>
      <c r="O198">
        <v>1299000000</v>
      </c>
      <c r="P198">
        <v>196000000</v>
      </c>
      <c r="Q198">
        <v>7230000000</v>
      </c>
      <c r="R198">
        <v>5639000000</v>
      </c>
      <c r="S198">
        <v>16578000000</v>
      </c>
      <c r="T198">
        <v>0</v>
      </c>
      <c r="U198">
        <v>993000000</v>
      </c>
      <c r="V198">
        <v>14190000000</v>
      </c>
      <c r="W198">
        <v>66674097640</v>
      </c>
      <c r="X198">
        <v>67667097640</v>
      </c>
      <c r="Y198">
        <v>4.9877074743761929</v>
      </c>
      <c r="Z198">
        <v>-8.6855117725258495</v>
      </c>
      <c r="AA198">
        <v>-14.373823108576079</v>
      </c>
      <c r="AB198">
        <v>-8.0992995454545458</v>
      </c>
      <c r="AC198">
        <v>-8.2085967473243375</v>
      </c>
      <c r="AD198">
        <v>-8.2954499929461551</v>
      </c>
      <c r="AE198">
        <v>-8.3292833136386015</v>
      </c>
      <c r="AF198">
        <v>-8.2070528852781877</v>
      </c>
      <c r="AG198">
        <v>-7.8719285295486277</v>
      </c>
      <c r="AH198">
        <v>-7.7564096835737546</v>
      </c>
      <c r="AI198">
        <v>-13.78429367284579</v>
      </c>
      <c r="AJ198">
        <v>-7.7671140541781449</v>
      </c>
      <c r="AK198">
        <v>-13.58201214911387</v>
      </c>
      <c r="AL198">
        <v>-7.653133337924702</v>
      </c>
      <c r="AM198">
        <v>4.7831411352230164</v>
      </c>
      <c r="AN198">
        <v>4.7129495751749486</v>
      </c>
    </row>
    <row r="199" spans="1:40" x14ac:dyDescent="0.25">
      <c r="A199" s="1" t="s">
        <v>1303</v>
      </c>
      <c r="B199">
        <v>70216224240</v>
      </c>
      <c r="C199" t="s">
        <v>87</v>
      </c>
      <c r="D199" t="s">
        <v>127</v>
      </c>
      <c r="E199">
        <v>14147000000</v>
      </c>
      <c r="F199">
        <v>-8124000000</v>
      </c>
      <c r="G199">
        <v>-4909000000</v>
      </c>
      <c r="H199">
        <v>-8712000000</v>
      </c>
      <c r="I199">
        <v>-8596000000</v>
      </c>
      <c r="J199">
        <v>-8506000000</v>
      </c>
      <c r="K199">
        <v>10873000000</v>
      </c>
      <c r="L199">
        <v>440000000</v>
      </c>
      <c r="M199">
        <v>11313000000</v>
      </c>
      <c r="N199">
        <v>13925000000</v>
      </c>
      <c r="O199">
        <v>1299000000</v>
      </c>
      <c r="P199">
        <v>196000000</v>
      </c>
      <c r="Q199">
        <v>7230000000</v>
      </c>
      <c r="R199">
        <v>5639000000</v>
      </c>
      <c r="S199">
        <v>16578000000</v>
      </c>
      <c r="T199">
        <v>0</v>
      </c>
      <c r="U199">
        <v>993000000</v>
      </c>
      <c r="V199">
        <v>14190000000</v>
      </c>
      <c r="W199">
        <v>66329224240</v>
      </c>
      <c r="X199">
        <v>67322224240</v>
      </c>
      <c r="Y199">
        <v>4.9633296274828584</v>
      </c>
      <c r="Z199">
        <v>-8.6430605908419498</v>
      </c>
      <c r="AA199">
        <v>-14.30356981870035</v>
      </c>
      <c r="AB199">
        <v>-8.0597135261707997</v>
      </c>
      <c r="AC199">
        <v>-8.1684765286179619</v>
      </c>
      <c r="AD199">
        <v>-8.2549052715730067</v>
      </c>
      <c r="AE199">
        <v>-8.2868321319547018</v>
      </c>
      <c r="AF199">
        <v>-8.1646017035942879</v>
      </c>
      <c r="AG199">
        <v>-7.831808310842252</v>
      </c>
      <c r="AH199">
        <v>-7.7162894648673799</v>
      </c>
      <c r="AI199">
        <v>-13.714040382970049</v>
      </c>
      <c r="AJ199">
        <v>-7.7275280348943989</v>
      </c>
      <c r="AK199">
        <v>-13.51175885923813</v>
      </c>
      <c r="AL199">
        <v>-7.613547318640955</v>
      </c>
      <c r="AM199">
        <v>4.7587632883296811</v>
      </c>
      <c r="AN199">
        <v>4.6885717282816142</v>
      </c>
    </row>
    <row r="200" spans="1:40" x14ac:dyDescent="0.25">
      <c r="A200" s="1" t="s">
        <v>1302</v>
      </c>
      <c r="B200">
        <v>66060499770</v>
      </c>
      <c r="C200" t="s">
        <v>87</v>
      </c>
      <c r="D200" t="s">
        <v>127</v>
      </c>
      <c r="E200">
        <v>14147000000</v>
      </c>
      <c r="F200">
        <v>-8124000000</v>
      </c>
      <c r="G200">
        <v>-4909000000</v>
      </c>
      <c r="H200">
        <v>-8712000000</v>
      </c>
      <c r="I200">
        <v>-8596000000</v>
      </c>
      <c r="J200">
        <v>-8506000000</v>
      </c>
      <c r="K200">
        <v>10873000000</v>
      </c>
      <c r="L200">
        <v>440000000</v>
      </c>
      <c r="M200">
        <v>11313000000</v>
      </c>
      <c r="N200">
        <v>13925000000</v>
      </c>
      <c r="O200">
        <v>1299000000</v>
      </c>
      <c r="P200">
        <v>196000000</v>
      </c>
      <c r="Q200">
        <v>7230000000</v>
      </c>
      <c r="R200">
        <v>5639000000</v>
      </c>
      <c r="S200">
        <v>16578000000</v>
      </c>
      <c r="T200">
        <v>0</v>
      </c>
      <c r="U200">
        <v>993000000</v>
      </c>
      <c r="V200">
        <v>14190000000</v>
      </c>
      <c r="W200">
        <v>62173499770</v>
      </c>
      <c r="X200">
        <v>63166499770</v>
      </c>
      <c r="Y200">
        <v>4.6695765724181806</v>
      </c>
      <c r="Z200">
        <v>-8.1315238515509609</v>
      </c>
      <c r="AA200">
        <v>-13.457017675697699</v>
      </c>
      <c r="AB200">
        <v>-7.5827019938016527</v>
      </c>
      <c r="AC200">
        <v>-7.6850278932061427</v>
      </c>
      <c r="AD200">
        <v>-7.7663413790265698</v>
      </c>
      <c r="AE200">
        <v>-7.7752953926637121</v>
      </c>
      <c r="AF200">
        <v>-7.6530649643032991</v>
      </c>
      <c r="AG200">
        <v>-7.3483596754304328</v>
      </c>
      <c r="AH200">
        <v>-7.2328408294555606</v>
      </c>
      <c r="AI200">
        <v>-12.867488239967409</v>
      </c>
      <c r="AJ200">
        <v>-7.2505165025252527</v>
      </c>
      <c r="AK200">
        <v>-12.66520671623549</v>
      </c>
      <c r="AL200">
        <v>-7.1365357862718088</v>
      </c>
      <c r="AM200">
        <v>4.4650102332650032</v>
      </c>
      <c r="AN200">
        <v>4.3948186732169363</v>
      </c>
    </row>
    <row r="201" spans="1:40" x14ac:dyDescent="0.25">
      <c r="A201" s="1" t="s">
        <v>1301</v>
      </c>
      <c r="B201">
        <v>61887531630</v>
      </c>
      <c r="C201" t="s">
        <v>87</v>
      </c>
      <c r="D201" t="s">
        <v>127</v>
      </c>
      <c r="E201">
        <v>14147000000</v>
      </c>
      <c r="F201">
        <v>-8124000000</v>
      </c>
      <c r="G201">
        <v>-4909000000</v>
      </c>
      <c r="H201">
        <v>-8712000000</v>
      </c>
      <c r="I201">
        <v>-8596000000</v>
      </c>
      <c r="J201">
        <v>-8506000000</v>
      </c>
      <c r="K201">
        <v>10873000000</v>
      </c>
      <c r="L201">
        <v>440000000</v>
      </c>
      <c r="M201">
        <v>11313000000</v>
      </c>
      <c r="N201">
        <v>13925000000</v>
      </c>
      <c r="O201">
        <v>1299000000</v>
      </c>
      <c r="P201">
        <v>196000000</v>
      </c>
      <c r="Q201">
        <v>7230000000</v>
      </c>
      <c r="R201">
        <v>5639000000</v>
      </c>
      <c r="S201">
        <v>16578000000</v>
      </c>
      <c r="T201">
        <v>0</v>
      </c>
      <c r="U201">
        <v>993000000</v>
      </c>
      <c r="V201">
        <v>14190000000</v>
      </c>
      <c r="W201">
        <v>58000531630</v>
      </c>
      <c r="X201">
        <v>58993531630</v>
      </c>
      <c r="Y201">
        <v>4.3746046250088364</v>
      </c>
      <c r="Z201">
        <v>-7.6178645531757754</v>
      </c>
      <c r="AA201">
        <v>-12.60695286820126</v>
      </c>
      <c r="AB201">
        <v>-7.1037111604683192</v>
      </c>
      <c r="AC201">
        <v>-7.1995732468590043</v>
      </c>
      <c r="AD201">
        <v>-7.2757502504114742</v>
      </c>
      <c r="AE201">
        <v>-7.2616360942885274</v>
      </c>
      <c r="AF201">
        <v>-7.1394056659281144</v>
      </c>
      <c r="AG201">
        <v>-6.8629050290832936</v>
      </c>
      <c r="AH201">
        <v>-6.7473861831084223</v>
      </c>
      <c r="AI201">
        <v>-12.01742343247097</v>
      </c>
      <c r="AJ201">
        <v>-6.7715256691919192</v>
      </c>
      <c r="AK201">
        <v>-11.815141908739051</v>
      </c>
      <c r="AL201">
        <v>-6.6575449529384754</v>
      </c>
      <c r="AM201">
        <v>4.1700382858556582</v>
      </c>
      <c r="AN201">
        <v>4.0998467258075921</v>
      </c>
    </row>
    <row r="202" spans="1:40" x14ac:dyDescent="0.25">
      <c r="A202" s="1" t="s">
        <v>1300</v>
      </c>
      <c r="B202">
        <v>59404443150</v>
      </c>
      <c r="C202" t="s">
        <v>87</v>
      </c>
      <c r="D202" t="s">
        <v>127</v>
      </c>
      <c r="E202">
        <v>14147000000</v>
      </c>
      <c r="F202">
        <v>-8124000000</v>
      </c>
      <c r="G202">
        <v>-4909000000</v>
      </c>
      <c r="H202">
        <v>-8712000000</v>
      </c>
      <c r="I202">
        <v>-8596000000</v>
      </c>
      <c r="J202">
        <v>-8506000000</v>
      </c>
      <c r="K202">
        <v>10873000000</v>
      </c>
      <c r="L202">
        <v>440000000</v>
      </c>
      <c r="M202">
        <v>11313000000</v>
      </c>
      <c r="N202">
        <v>13925000000</v>
      </c>
      <c r="O202">
        <v>1299000000</v>
      </c>
      <c r="P202">
        <v>196000000</v>
      </c>
      <c r="Q202">
        <v>7230000000</v>
      </c>
      <c r="R202">
        <v>5639000000</v>
      </c>
      <c r="S202">
        <v>16578000000</v>
      </c>
      <c r="T202">
        <v>0</v>
      </c>
      <c r="U202">
        <v>993000000</v>
      </c>
      <c r="V202">
        <v>14190000000</v>
      </c>
      <c r="W202">
        <v>55517443150</v>
      </c>
      <c r="X202">
        <v>56510443150</v>
      </c>
      <c r="Y202">
        <v>4.1990841273768291</v>
      </c>
      <c r="Z202">
        <v>-7.3122160450516986</v>
      </c>
      <c r="AA202">
        <v>-12.101129181095949</v>
      </c>
      <c r="AB202">
        <v>-6.818691821625344</v>
      </c>
      <c r="AC202">
        <v>-6.9107076721731033</v>
      </c>
      <c r="AD202">
        <v>-6.9838282565248058</v>
      </c>
      <c r="AE202">
        <v>-6.9559875861644507</v>
      </c>
      <c r="AF202">
        <v>-6.8337571578040377</v>
      </c>
      <c r="AG202">
        <v>-6.5740394543973943</v>
      </c>
      <c r="AH202">
        <v>-6.4585206084225222</v>
      </c>
      <c r="AI202">
        <v>-11.511599745365659</v>
      </c>
      <c r="AJ202">
        <v>-6.4865063303489441</v>
      </c>
      <c r="AK202">
        <v>-11.309318221633729</v>
      </c>
      <c r="AL202">
        <v>-6.3725256140955002</v>
      </c>
      <c r="AM202">
        <v>3.9945177882236522</v>
      </c>
      <c r="AN202">
        <v>3.9243262281755849</v>
      </c>
    </row>
    <row r="203" spans="1:40" x14ac:dyDescent="0.25">
      <c r="A203" s="1" t="s">
        <v>1299</v>
      </c>
      <c r="B203">
        <v>55955709150</v>
      </c>
      <c r="C203" t="s">
        <v>87</v>
      </c>
      <c r="D203" t="s">
        <v>127</v>
      </c>
      <c r="E203">
        <v>14147000000</v>
      </c>
      <c r="F203">
        <v>-8124000000</v>
      </c>
      <c r="G203">
        <v>-4909000000</v>
      </c>
      <c r="H203">
        <v>-8712000000</v>
      </c>
      <c r="I203">
        <v>-8596000000</v>
      </c>
      <c r="J203">
        <v>-8506000000</v>
      </c>
      <c r="K203">
        <v>10873000000</v>
      </c>
      <c r="L203">
        <v>440000000</v>
      </c>
      <c r="M203">
        <v>11313000000</v>
      </c>
      <c r="N203">
        <v>13925000000</v>
      </c>
      <c r="O203">
        <v>1299000000</v>
      </c>
      <c r="P203">
        <v>196000000</v>
      </c>
      <c r="Q203">
        <v>7230000000</v>
      </c>
      <c r="R203">
        <v>5639000000</v>
      </c>
      <c r="S203">
        <v>16578000000</v>
      </c>
      <c r="T203">
        <v>0</v>
      </c>
      <c r="U203">
        <v>993000000</v>
      </c>
      <c r="V203">
        <v>14190000000</v>
      </c>
      <c r="W203">
        <v>52068709150</v>
      </c>
      <c r="X203">
        <v>53061709150</v>
      </c>
      <c r="Y203">
        <v>3.955305658443486</v>
      </c>
      <c r="Z203">
        <v>-6.8877042282127032</v>
      </c>
      <c r="AA203">
        <v>-11.398596282338559</v>
      </c>
      <c r="AB203">
        <v>-6.4228316287878791</v>
      </c>
      <c r="AC203">
        <v>-6.5095054851093526</v>
      </c>
      <c r="AD203">
        <v>-6.578381042793322</v>
      </c>
      <c r="AE203">
        <v>-6.5314757693254553</v>
      </c>
      <c r="AF203">
        <v>-6.4092453409650423</v>
      </c>
      <c r="AG203">
        <v>-6.1728372673336436</v>
      </c>
      <c r="AH203">
        <v>-6.0573184213587714</v>
      </c>
      <c r="AI203">
        <v>-10.809066846608269</v>
      </c>
      <c r="AJ203">
        <v>-6.0906461375114782</v>
      </c>
      <c r="AK203">
        <v>-10.60678532287635</v>
      </c>
      <c r="AL203">
        <v>-5.9766654212580352</v>
      </c>
      <c r="AM203">
        <v>3.7507393192903091</v>
      </c>
      <c r="AN203">
        <v>3.6805477592422422</v>
      </c>
    </row>
    <row r="204" spans="1:40" x14ac:dyDescent="0.25">
      <c r="A204" s="1" t="s">
        <v>1298</v>
      </c>
      <c r="B204">
        <v>58404310289</v>
      </c>
      <c r="C204" t="s">
        <v>87</v>
      </c>
      <c r="D204" t="s">
        <v>127</v>
      </c>
      <c r="E204">
        <v>14147000000</v>
      </c>
      <c r="F204">
        <v>-8124000000</v>
      </c>
      <c r="G204">
        <v>-4909000000</v>
      </c>
      <c r="H204">
        <v>-8712000000</v>
      </c>
      <c r="I204">
        <v>-8596000000</v>
      </c>
      <c r="J204">
        <v>-8506000000</v>
      </c>
      <c r="K204">
        <v>10873000000</v>
      </c>
      <c r="L204">
        <v>440000000</v>
      </c>
      <c r="M204">
        <v>11313000000</v>
      </c>
      <c r="N204">
        <v>13925000000</v>
      </c>
      <c r="O204">
        <v>1299000000</v>
      </c>
      <c r="P204">
        <v>196000000</v>
      </c>
      <c r="Q204">
        <v>7230000000</v>
      </c>
      <c r="R204">
        <v>5639000000</v>
      </c>
      <c r="S204">
        <v>16578000000</v>
      </c>
      <c r="T204">
        <v>0</v>
      </c>
      <c r="U204">
        <v>993000000</v>
      </c>
      <c r="V204">
        <v>14190000000</v>
      </c>
      <c r="W204">
        <v>54517310289</v>
      </c>
      <c r="X204">
        <v>55510310289</v>
      </c>
      <c r="Y204">
        <v>4.1283883713154736</v>
      </c>
      <c r="Z204">
        <v>-7.1891076180452984</v>
      </c>
      <c r="AA204">
        <v>-11.8973946402526</v>
      </c>
      <c r="AB204">
        <v>-6.703892365587695</v>
      </c>
      <c r="AC204">
        <v>-6.7943590378082828</v>
      </c>
      <c r="AD204">
        <v>-6.8662485644251117</v>
      </c>
      <c r="AE204">
        <v>-6.8328791591580504</v>
      </c>
      <c r="AF204">
        <v>-6.7106487307976366</v>
      </c>
      <c r="AG204">
        <v>-6.4576908200325729</v>
      </c>
      <c r="AH204">
        <v>-6.3421719740577016</v>
      </c>
      <c r="AI204">
        <v>-11.30786520452231</v>
      </c>
      <c r="AJ204">
        <v>-6.371706874311295</v>
      </c>
      <c r="AK204">
        <v>-11.10558368079039</v>
      </c>
      <c r="AL204">
        <v>-6.2577261580578512</v>
      </c>
      <c r="AM204">
        <v>3.9238220321622959</v>
      </c>
      <c r="AN204">
        <v>3.8536304721142289</v>
      </c>
    </row>
    <row r="205" spans="1:40" x14ac:dyDescent="0.25">
      <c r="A205" s="1" t="s">
        <v>157</v>
      </c>
      <c r="B205">
        <v>56645455950</v>
      </c>
      <c r="C205" t="s">
        <v>87</v>
      </c>
      <c r="D205" t="s">
        <v>127</v>
      </c>
      <c r="E205">
        <v>14147000000</v>
      </c>
      <c r="F205">
        <v>-8124000000</v>
      </c>
      <c r="G205">
        <v>-4909000000</v>
      </c>
      <c r="H205">
        <v>-8712000000</v>
      </c>
      <c r="I205">
        <v>-8596000000</v>
      </c>
      <c r="J205">
        <v>-8506000000</v>
      </c>
      <c r="K205">
        <v>10873000000</v>
      </c>
      <c r="L205">
        <v>440000000</v>
      </c>
      <c r="M205">
        <v>11313000000</v>
      </c>
      <c r="N205">
        <v>13925000000</v>
      </c>
      <c r="O205">
        <v>1299000000</v>
      </c>
      <c r="P205">
        <v>196000000</v>
      </c>
      <c r="Q205">
        <v>7230000000</v>
      </c>
      <c r="R205">
        <v>5639000000</v>
      </c>
      <c r="S205">
        <v>16578000000</v>
      </c>
      <c r="T205">
        <v>0</v>
      </c>
      <c r="U205">
        <v>993000000</v>
      </c>
      <c r="V205">
        <v>14190000000</v>
      </c>
      <c r="W205">
        <v>52758455950</v>
      </c>
      <c r="X205">
        <v>53751455950</v>
      </c>
      <c r="Y205">
        <v>4.0040613522301536</v>
      </c>
      <c r="Z205">
        <v>-6.9726065915805018</v>
      </c>
      <c r="AA205">
        <v>-11.53910286209004</v>
      </c>
      <c r="AB205">
        <v>-6.5020036673553721</v>
      </c>
      <c r="AC205">
        <v>-6.5897459225221029</v>
      </c>
      <c r="AD205">
        <v>-6.659470485539619</v>
      </c>
      <c r="AE205">
        <v>-6.6163781326932547</v>
      </c>
      <c r="AF205">
        <v>-6.4941477043328408</v>
      </c>
      <c r="AG205">
        <v>-6.2530777047463939</v>
      </c>
      <c r="AH205">
        <v>-6.1375588587715217</v>
      </c>
      <c r="AI205">
        <v>-10.94957342635975</v>
      </c>
      <c r="AJ205">
        <v>-6.1698181760789712</v>
      </c>
      <c r="AK205">
        <v>-10.747291902627831</v>
      </c>
      <c r="AL205">
        <v>-6.0558374598255282</v>
      </c>
      <c r="AM205">
        <v>3.799495013076978</v>
      </c>
      <c r="AN205">
        <v>3.7293034530289111</v>
      </c>
    </row>
    <row r="206" spans="1:40" x14ac:dyDescent="0.25">
      <c r="A206" s="1" t="s">
        <v>1297</v>
      </c>
      <c r="B206">
        <v>56973085680</v>
      </c>
      <c r="C206" t="s">
        <v>87</v>
      </c>
      <c r="D206" t="s">
        <v>127</v>
      </c>
      <c r="E206">
        <v>14147000000</v>
      </c>
      <c r="F206">
        <v>-8124000000</v>
      </c>
      <c r="G206">
        <v>-4909000000</v>
      </c>
      <c r="H206">
        <v>-8712000000</v>
      </c>
      <c r="I206">
        <v>-8596000000</v>
      </c>
      <c r="J206">
        <v>-8506000000</v>
      </c>
      <c r="K206">
        <v>10873000000</v>
      </c>
      <c r="L206">
        <v>440000000</v>
      </c>
      <c r="M206">
        <v>11313000000</v>
      </c>
      <c r="N206">
        <v>13925000000</v>
      </c>
      <c r="O206">
        <v>1299000000</v>
      </c>
      <c r="P206">
        <v>196000000</v>
      </c>
      <c r="Q206">
        <v>7230000000</v>
      </c>
      <c r="R206">
        <v>5639000000</v>
      </c>
      <c r="S206">
        <v>16578000000</v>
      </c>
      <c r="T206">
        <v>0</v>
      </c>
      <c r="U206">
        <v>993000000</v>
      </c>
      <c r="V206">
        <v>14190000000</v>
      </c>
      <c r="W206">
        <v>53086085680</v>
      </c>
      <c r="X206">
        <v>54079085680</v>
      </c>
      <c r="Y206">
        <v>4.0272203067788226</v>
      </c>
      <c r="Z206">
        <v>-7.0129352141802066</v>
      </c>
      <c r="AA206">
        <v>-11.60584348747199</v>
      </c>
      <c r="AB206">
        <v>-6.5396103856749308</v>
      </c>
      <c r="AC206">
        <v>-6.6278601302931586</v>
      </c>
      <c r="AD206">
        <v>-6.6979879708441104</v>
      </c>
      <c r="AE206">
        <v>-6.6567067552929604</v>
      </c>
      <c r="AF206">
        <v>-6.5344763269325457</v>
      </c>
      <c r="AG206">
        <v>-6.2911919125174496</v>
      </c>
      <c r="AH206">
        <v>-6.1756730665425783</v>
      </c>
      <c r="AI206">
        <v>-11.0163140517417</v>
      </c>
      <c r="AJ206">
        <v>-6.2074248943985308</v>
      </c>
      <c r="AK206">
        <v>-10.814032528009781</v>
      </c>
      <c r="AL206">
        <v>-6.093444178145087</v>
      </c>
      <c r="AM206">
        <v>3.8226539676256448</v>
      </c>
      <c r="AN206">
        <v>3.7524624075775779</v>
      </c>
    </row>
    <row r="207" spans="1:40" x14ac:dyDescent="0.25">
      <c r="A207" s="1" t="s">
        <v>1296</v>
      </c>
      <c r="B207">
        <v>59542392510</v>
      </c>
      <c r="C207" t="s">
        <v>87</v>
      </c>
      <c r="D207" t="s">
        <v>127</v>
      </c>
      <c r="E207">
        <v>14147000000</v>
      </c>
      <c r="F207">
        <v>-8124000000</v>
      </c>
      <c r="G207">
        <v>-4909000000</v>
      </c>
      <c r="H207">
        <v>-8712000000</v>
      </c>
      <c r="I207">
        <v>-8596000000</v>
      </c>
      <c r="J207">
        <v>-8506000000</v>
      </c>
      <c r="K207">
        <v>10873000000</v>
      </c>
      <c r="L207">
        <v>440000000</v>
      </c>
      <c r="M207">
        <v>11313000000</v>
      </c>
      <c r="N207">
        <v>13925000000</v>
      </c>
      <c r="O207">
        <v>1299000000</v>
      </c>
      <c r="P207">
        <v>196000000</v>
      </c>
      <c r="Q207">
        <v>7230000000</v>
      </c>
      <c r="R207">
        <v>5639000000</v>
      </c>
      <c r="S207">
        <v>16578000000</v>
      </c>
      <c r="T207">
        <v>0</v>
      </c>
      <c r="U207">
        <v>993000000</v>
      </c>
      <c r="V207">
        <v>14190000000</v>
      </c>
      <c r="W207">
        <v>55655392510</v>
      </c>
      <c r="X207">
        <v>56648392510</v>
      </c>
      <c r="Y207">
        <v>4.2088352661341624</v>
      </c>
      <c r="Z207">
        <v>-7.3291965177252587</v>
      </c>
      <c r="AA207">
        <v>-12.12923049704624</v>
      </c>
      <c r="AB207">
        <v>-6.8345262293388434</v>
      </c>
      <c r="AC207">
        <v>-6.9267557596556539</v>
      </c>
      <c r="AD207">
        <v>-7.000046145074065</v>
      </c>
      <c r="AE207">
        <v>-6.9729680588380107</v>
      </c>
      <c r="AF207">
        <v>-6.8507376304775969</v>
      </c>
      <c r="AG207">
        <v>-6.5900875418799441</v>
      </c>
      <c r="AH207">
        <v>-6.4745686959050719</v>
      </c>
      <c r="AI207">
        <v>-11.539701061315951</v>
      </c>
      <c r="AJ207">
        <v>-6.5023407380624434</v>
      </c>
      <c r="AK207">
        <v>-11.337419537584029</v>
      </c>
      <c r="AL207">
        <v>-6.3883600218089986</v>
      </c>
      <c r="AM207">
        <v>4.004268926980985</v>
      </c>
      <c r="AN207">
        <v>3.934077366932919</v>
      </c>
    </row>
    <row r="208" spans="1:40" x14ac:dyDescent="0.25">
      <c r="A208" s="1" t="s">
        <v>1295</v>
      </c>
      <c r="B208">
        <v>55541861070</v>
      </c>
      <c r="C208" t="s">
        <v>87</v>
      </c>
      <c r="D208" t="s">
        <v>127</v>
      </c>
      <c r="E208">
        <v>14147000000</v>
      </c>
      <c r="F208">
        <v>-8124000000</v>
      </c>
      <c r="G208">
        <v>-4909000000</v>
      </c>
      <c r="H208">
        <v>-8712000000</v>
      </c>
      <c r="I208">
        <v>-8596000000</v>
      </c>
      <c r="J208">
        <v>-8506000000</v>
      </c>
      <c r="K208">
        <v>10873000000</v>
      </c>
      <c r="L208">
        <v>440000000</v>
      </c>
      <c r="M208">
        <v>11313000000</v>
      </c>
      <c r="N208">
        <v>13925000000</v>
      </c>
      <c r="O208">
        <v>1299000000</v>
      </c>
      <c r="P208">
        <v>196000000</v>
      </c>
      <c r="Q208">
        <v>7230000000</v>
      </c>
      <c r="R208">
        <v>5639000000</v>
      </c>
      <c r="S208">
        <v>16578000000</v>
      </c>
      <c r="T208">
        <v>0</v>
      </c>
      <c r="U208">
        <v>993000000</v>
      </c>
      <c r="V208">
        <v>14190000000</v>
      </c>
      <c r="W208">
        <v>51654861070</v>
      </c>
      <c r="X208">
        <v>52647861070</v>
      </c>
      <c r="Y208">
        <v>3.926052242171485</v>
      </c>
      <c r="Z208">
        <v>-6.8367628101920239</v>
      </c>
      <c r="AA208">
        <v>-11.31429233448767</v>
      </c>
      <c r="AB208">
        <v>-6.3753284056473829</v>
      </c>
      <c r="AC208">
        <v>-6.4613612226617034</v>
      </c>
      <c r="AD208">
        <v>-6.5297273771455444</v>
      </c>
      <c r="AE208">
        <v>-6.480534351304776</v>
      </c>
      <c r="AF208">
        <v>-6.3583039229443621</v>
      </c>
      <c r="AG208">
        <v>-6.1246930048859944</v>
      </c>
      <c r="AH208">
        <v>-6.0091741589111214</v>
      </c>
      <c r="AI208">
        <v>-10.72476289875739</v>
      </c>
      <c r="AJ208">
        <v>-6.0431429143709829</v>
      </c>
      <c r="AK208">
        <v>-10.52248137502546</v>
      </c>
      <c r="AL208">
        <v>-5.9291621981175391</v>
      </c>
      <c r="AM208">
        <v>3.7214859030183081</v>
      </c>
      <c r="AN208">
        <v>3.6512943429702411</v>
      </c>
    </row>
    <row r="209" spans="1:40" x14ac:dyDescent="0.25">
      <c r="A209" s="1" t="s">
        <v>1294</v>
      </c>
      <c r="B209">
        <v>54627946560</v>
      </c>
      <c r="C209" t="s">
        <v>87</v>
      </c>
      <c r="D209" t="s">
        <v>127</v>
      </c>
      <c r="E209">
        <v>14147000000</v>
      </c>
      <c r="F209">
        <v>-8124000000</v>
      </c>
      <c r="G209">
        <v>-4909000000</v>
      </c>
      <c r="H209">
        <v>-8712000000</v>
      </c>
      <c r="I209">
        <v>-8596000000</v>
      </c>
      <c r="J209">
        <v>-8506000000</v>
      </c>
      <c r="K209">
        <v>10873000000</v>
      </c>
      <c r="L209">
        <v>440000000</v>
      </c>
      <c r="M209">
        <v>11313000000</v>
      </c>
      <c r="N209">
        <v>13925000000</v>
      </c>
      <c r="O209">
        <v>1299000000</v>
      </c>
      <c r="P209">
        <v>196000000</v>
      </c>
      <c r="Q209">
        <v>7230000000</v>
      </c>
      <c r="R209">
        <v>5639000000</v>
      </c>
      <c r="S209">
        <v>16578000000</v>
      </c>
      <c r="T209">
        <v>0</v>
      </c>
      <c r="U209">
        <v>993000000</v>
      </c>
      <c r="V209">
        <v>14190000000</v>
      </c>
      <c r="W209">
        <v>50740946560</v>
      </c>
      <c r="X209">
        <v>51733946560</v>
      </c>
      <c r="Y209">
        <v>3.861450947904149</v>
      </c>
      <c r="Z209">
        <v>-6.7242671787296899</v>
      </c>
      <c r="AA209">
        <v>-11.12812111631697</v>
      </c>
      <c r="AB209">
        <v>-6.270425454545455</v>
      </c>
      <c r="AC209">
        <v>-6.355042643089809</v>
      </c>
      <c r="AD209">
        <v>-6.4222838655067012</v>
      </c>
      <c r="AE209">
        <v>-6.368038719842442</v>
      </c>
      <c r="AF209">
        <v>-6.245808291482029</v>
      </c>
      <c r="AG209">
        <v>-6.0183744253140992</v>
      </c>
      <c r="AH209">
        <v>-5.9028555793392279</v>
      </c>
      <c r="AI209">
        <v>-10.538591680586681</v>
      </c>
      <c r="AJ209">
        <v>-5.9382399632690541</v>
      </c>
      <c r="AK209">
        <v>-10.33631015685476</v>
      </c>
      <c r="AL209">
        <v>-5.8242592470156103</v>
      </c>
      <c r="AM209">
        <v>3.6568846087509721</v>
      </c>
      <c r="AN209">
        <v>3.5866930487029052</v>
      </c>
    </row>
    <row r="210" spans="1:40" x14ac:dyDescent="0.25">
      <c r="A210" s="1" t="s">
        <v>1293</v>
      </c>
      <c r="B210">
        <v>48575418390</v>
      </c>
      <c r="C210" t="s">
        <v>87</v>
      </c>
      <c r="D210" t="s">
        <v>127</v>
      </c>
      <c r="E210">
        <v>14147000000</v>
      </c>
      <c r="F210">
        <v>-8124000000</v>
      </c>
      <c r="G210">
        <v>-4909000000</v>
      </c>
      <c r="H210">
        <v>-8712000000</v>
      </c>
      <c r="I210">
        <v>-8596000000</v>
      </c>
      <c r="J210">
        <v>-8506000000</v>
      </c>
      <c r="K210">
        <v>10873000000</v>
      </c>
      <c r="L210">
        <v>440000000</v>
      </c>
      <c r="M210">
        <v>11313000000</v>
      </c>
      <c r="N210">
        <v>13925000000</v>
      </c>
      <c r="O210">
        <v>1299000000</v>
      </c>
      <c r="P210">
        <v>196000000</v>
      </c>
      <c r="Q210">
        <v>7230000000</v>
      </c>
      <c r="R210">
        <v>5639000000</v>
      </c>
      <c r="S210">
        <v>16578000000</v>
      </c>
      <c r="T210">
        <v>0</v>
      </c>
      <c r="U210">
        <v>993000000</v>
      </c>
      <c r="V210">
        <v>14190000000</v>
      </c>
      <c r="W210">
        <v>44688418390</v>
      </c>
      <c r="X210">
        <v>45681418390</v>
      </c>
      <c r="Y210">
        <v>3.433619734926133</v>
      </c>
      <c r="Z210">
        <v>-5.9792489401772526</v>
      </c>
      <c r="AA210">
        <v>-9.89517587899776</v>
      </c>
      <c r="AB210">
        <v>-5.5756908161157028</v>
      </c>
      <c r="AC210">
        <v>-5.6509328047929266</v>
      </c>
      <c r="AD210">
        <v>-5.7107240054079469</v>
      </c>
      <c r="AE210">
        <v>-5.6230204812900046</v>
      </c>
      <c r="AF210">
        <v>-5.5007900529295917</v>
      </c>
      <c r="AG210">
        <v>-5.3142645870172176</v>
      </c>
      <c r="AH210">
        <v>-5.1987457410423454</v>
      </c>
      <c r="AI210">
        <v>-9.3056464432674684</v>
      </c>
      <c r="AJ210">
        <v>-5.243505324839302</v>
      </c>
      <c r="AK210">
        <v>-9.1033649195355473</v>
      </c>
      <c r="AL210">
        <v>-5.129524608585859</v>
      </c>
      <c r="AM210">
        <v>3.2290533957729548</v>
      </c>
      <c r="AN210">
        <v>3.1588618357248892</v>
      </c>
    </row>
    <row r="211" spans="1:40" x14ac:dyDescent="0.25">
      <c r="A211" s="1" t="s">
        <v>1292</v>
      </c>
      <c r="B211">
        <v>49954911990</v>
      </c>
      <c r="C211" t="s">
        <v>87</v>
      </c>
      <c r="D211" t="s">
        <v>127</v>
      </c>
      <c r="E211">
        <v>14147000000</v>
      </c>
      <c r="F211">
        <v>-8124000000</v>
      </c>
      <c r="G211">
        <v>-4909000000</v>
      </c>
      <c r="H211">
        <v>-8712000000</v>
      </c>
      <c r="I211">
        <v>-8596000000</v>
      </c>
      <c r="J211">
        <v>-8506000000</v>
      </c>
      <c r="K211">
        <v>10873000000</v>
      </c>
      <c r="L211">
        <v>440000000</v>
      </c>
      <c r="M211">
        <v>11313000000</v>
      </c>
      <c r="N211">
        <v>13925000000</v>
      </c>
      <c r="O211">
        <v>1299000000</v>
      </c>
      <c r="P211">
        <v>196000000</v>
      </c>
      <c r="Q211">
        <v>7230000000</v>
      </c>
      <c r="R211">
        <v>5639000000</v>
      </c>
      <c r="S211">
        <v>16578000000</v>
      </c>
      <c r="T211">
        <v>0</v>
      </c>
      <c r="U211">
        <v>993000000</v>
      </c>
      <c r="V211">
        <v>14190000000</v>
      </c>
      <c r="W211">
        <v>46067911990</v>
      </c>
      <c r="X211">
        <v>47060911990</v>
      </c>
      <c r="Y211">
        <v>3.5311311224994699</v>
      </c>
      <c r="Z211">
        <v>-6.1490536669128506</v>
      </c>
      <c r="AA211">
        <v>-10.176189038500709</v>
      </c>
      <c r="AB211">
        <v>-5.7340348932506888</v>
      </c>
      <c r="AC211">
        <v>-5.8114136796184273</v>
      </c>
      <c r="AD211">
        <v>-5.8729028909005407</v>
      </c>
      <c r="AE211">
        <v>-5.7928252080256044</v>
      </c>
      <c r="AF211">
        <v>-5.6705947796651897</v>
      </c>
      <c r="AG211">
        <v>-5.4747454618427174</v>
      </c>
      <c r="AH211">
        <v>-5.3592266158678452</v>
      </c>
      <c r="AI211">
        <v>-9.5866596027704212</v>
      </c>
      <c r="AJ211">
        <v>-5.401849401974288</v>
      </c>
      <c r="AK211">
        <v>-9.3843780790385001</v>
      </c>
      <c r="AL211">
        <v>-5.287868685720845</v>
      </c>
      <c r="AM211">
        <v>3.326564783346293</v>
      </c>
      <c r="AN211">
        <v>3.2563732232982261</v>
      </c>
    </row>
    <row r="212" spans="1:40" x14ac:dyDescent="0.25">
      <c r="A212" s="1" t="s">
        <v>1291</v>
      </c>
      <c r="B212">
        <v>45247390080</v>
      </c>
      <c r="C212" t="s">
        <v>87</v>
      </c>
      <c r="D212" t="s">
        <v>127</v>
      </c>
      <c r="E212">
        <v>14147000000</v>
      </c>
      <c r="F212">
        <v>-8124000000</v>
      </c>
      <c r="G212">
        <v>-4909000000</v>
      </c>
      <c r="H212">
        <v>-8712000000</v>
      </c>
      <c r="I212">
        <v>-8596000000</v>
      </c>
      <c r="J212">
        <v>-8506000000</v>
      </c>
      <c r="K212">
        <v>10873000000</v>
      </c>
      <c r="L212">
        <v>440000000</v>
      </c>
      <c r="M212">
        <v>11313000000</v>
      </c>
      <c r="N212">
        <v>13925000000</v>
      </c>
      <c r="O212">
        <v>1299000000</v>
      </c>
      <c r="P212">
        <v>196000000</v>
      </c>
      <c r="Q212">
        <v>7230000000</v>
      </c>
      <c r="R212">
        <v>5639000000</v>
      </c>
      <c r="S212">
        <v>16578000000</v>
      </c>
      <c r="T212">
        <v>0</v>
      </c>
      <c r="U212">
        <v>993000000</v>
      </c>
      <c r="V212">
        <v>14190000000</v>
      </c>
      <c r="W212">
        <v>41360390080</v>
      </c>
      <c r="X212">
        <v>42353390080</v>
      </c>
      <c r="Y212">
        <v>3.1983735124054569</v>
      </c>
      <c r="Z212">
        <v>-5.5695950369276206</v>
      </c>
      <c r="AA212">
        <v>-9.2172316316968832</v>
      </c>
      <c r="AB212">
        <v>-5.1936857300275481</v>
      </c>
      <c r="AC212">
        <v>-5.2637726942764074</v>
      </c>
      <c r="AD212">
        <v>-5.3194674441570653</v>
      </c>
      <c r="AE212">
        <v>-5.2133665780403744</v>
      </c>
      <c r="AF212">
        <v>-5.0911361496799614</v>
      </c>
      <c r="AG212">
        <v>-4.9271044765006984</v>
      </c>
      <c r="AH212">
        <v>-4.8115856305258262</v>
      </c>
      <c r="AI212">
        <v>-8.6277021959665916</v>
      </c>
      <c r="AJ212">
        <v>-4.8615002387511481</v>
      </c>
      <c r="AK212">
        <v>-8.4254206722346705</v>
      </c>
      <c r="AL212">
        <v>-4.7475195224977043</v>
      </c>
      <c r="AM212">
        <v>2.99380717325228</v>
      </c>
      <c r="AN212">
        <v>2.923615613204213</v>
      </c>
    </row>
    <row r="213" spans="1:40" x14ac:dyDescent="0.25">
      <c r="A213" s="1" t="s">
        <v>1290</v>
      </c>
      <c r="B213">
        <v>38987937870</v>
      </c>
      <c r="C213" t="s">
        <v>87</v>
      </c>
      <c r="D213" t="s">
        <v>127</v>
      </c>
      <c r="E213">
        <v>14147000000</v>
      </c>
      <c r="F213">
        <v>-8124000000</v>
      </c>
      <c r="G213">
        <v>-4909000000</v>
      </c>
      <c r="H213">
        <v>-8712000000</v>
      </c>
      <c r="I213">
        <v>-8596000000</v>
      </c>
      <c r="J213">
        <v>-8506000000</v>
      </c>
      <c r="K213">
        <v>10873000000</v>
      </c>
      <c r="L213">
        <v>440000000</v>
      </c>
      <c r="M213">
        <v>11313000000</v>
      </c>
      <c r="N213">
        <v>13925000000</v>
      </c>
      <c r="O213">
        <v>1299000000</v>
      </c>
      <c r="P213">
        <v>196000000</v>
      </c>
      <c r="Q213">
        <v>7230000000</v>
      </c>
      <c r="R213">
        <v>5639000000</v>
      </c>
      <c r="S213">
        <v>16578000000</v>
      </c>
      <c r="T213">
        <v>0</v>
      </c>
      <c r="U213">
        <v>993000000</v>
      </c>
      <c r="V213">
        <v>14190000000</v>
      </c>
      <c r="W213">
        <v>35100937870</v>
      </c>
      <c r="X213">
        <v>36093937870</v>
      </c>
      <c r="Y213">
        <v>2.7559155912914401</v>
      </c>
      <c r="Z213">
        <v>-4.7991060893648454</v>
      </c>
      <c r="AA213">
        <v>-7.9421344204522306</v>
      </c>
      <c r="AB213">
        <v>-4.4751994800275483</v>
      </c>
      <c r="AC213">
        <v>-4.5355907247556999</v>
      </c>
      <c r="AD213">
        <v>-4.5835807512344227</v>
      </c>
      <c r="AE213">
        <v>-4.4428776304775974</v>
      </c>
      <c r="AF213">
        <v>-4.3206472021171836</v>
      </c>
      <c r="AG213">
        <v>-4.1989225069799909</v>
      </c>
      <c r="AH213">
        <v>-4.0834036610051188</v>
      </c>
      <c r="AI213">
        <v>-7.352604984721939</v>
      </c>
      <c r="AJ213">
        <v>-4.1430139887511466</v>
      </c>
      <c r="AK213">
        <v>-7.1503234609900179</v>
      </c>
      <c r="AL213">
        <v>-4.0290332724977036</v>
      </c>
      <c r="AM213">
        <v>2.5513492521382619</v>
      </c>
      <c r="AN213">
        <v>2.4811576920901959</v>
      </c>
    </row>
    <row r="214" spans="1:40" x14ac:dyDescent="0.25">
      <c r="A214" s="1" t="s">
        <v>1289</v>
      </c>
      <c r="B214">
        <v>38970694200</v>
      </c>
      <c r="C214" t="s">
        <v>87</v>
      </c>
      <c r="D214" t="s">
        <v>127</v>
      </c>
      <c r="E214">
        <v>14147000000</v>
      </c>
      <c r="F214">
        <v>-8124000000</v>
      </c>
      <c r="G214">
        <v>-4909000000</v>
      </c>
      <c r="H214">
        <v>-8712000000</v>
      </c>
      <c r="I214">
        <v>-8596000000</v>
      </c>
      <c r="J214">
        <v>-8506000000</v>
      </c>
      <c r="K214">
        <v>10873000000</v>
      </c>
      <c r="L214">
        <v>440000000</v>
      </c>
      <c r="M214">
        <v>11313000000</v>
      </c>
      <c r="N214">
        <v>13925000000</v>
      </c>
      <c r="O214">
        <v>1299000000</v>
      </c>
      <c r="P214">
        <v>196000000</v>
      </c>
      <c r="Q214">
        <v>7230000000</v>
      </c>
      <c r="R214">
        <v>5639000000</v>
      </c>
      <c r="S214">
        <v>16578000000</v>
      </c>
      <c r="T214">
        <v>0</v>
      </c>
      <c r="U214">
        <v>993000000</v>
      </c>
      <c r="V214">
        <v>14190000000</v>
      </c>
      <c r="W214">
        <v>35083694200</v>
      </c>
      <c r="X214">
        <v>36076694200</v>
      </c>
      <c r="Y214">
        <v>2.7546966989467729</v>
      </c>
      <c r="Z214">
        <v>-4.7969835302806496</v>
      </c>
      <c r="AA214">
        <v>-7.9386217559584438</v>
      </c>
      <c r="AB214">
        <v>-4.473220179063361</v>
      </c>
      <c r="AC214">
        <v>-4.5335847138203818</v>
      </c>
      <c r="AD214">
        <v>-4.5815535151657656</v>
      </c>
      <c r="AE214">
        <v>-4.4407550713934034</v>
      </c>
      <c r="AF214">
        <v>-4.3185246430329887</v>
      </c>
      <c r="AG214">
        <v>-4.1969164960446719</v>
      </c>
      <c r="AH214">
        <v>-4.0813976500697997</v>
      </c>
      <c r="AI214">
        <v>-7.3490923202281522</v>
      </c>
      <c r="AJ214">
        <v>-4.1410346877869602</v>
      </c>
      <c r="AK214">
        <v>-7.1468107964962311</v>
      </c>
      <c r="AL214">
        <v>-4.0270539715335172</v>
      </c>
      <c r="AM214">
        <v>2.550130359793596</v>
      </c>
      <c r="AN214">
        <v>2.4799387997455291</v>
      </c>
    </row>
    <row r="215" spans="1:40" x14ac:dyDescent="0.25">
      <c r="A215" s="1" t="s">
        <v>1288</v>
      </c>
      <c r="B215">
        <v>34987406430</v>
      </c>
      <c r="C215" t="s">
        <v>87</v>
      </c>
      <c r="D215" t="s">
        <v>127</v>
      </c>
      <c r="E215">
        <v>14147000000</v>
      </c>
      <c r="F215">
        <v>-8124000000</v>
      </c>
      <c r="G215">
        <v>-4909000000</v>
      </c>
      <c r="H215">
        <v>-8712000000</v>
      </c>
      <c r="I215">
        <v>-8596000000</v>
      </c>
      <c r="J215">
        <v>-8506000000</v>
      </c>
      <c r="K215">
        <v>10873000000</v>
      </c>
      <c r="L215">
        <v>440000000</v>
      </c>
      <c r="M215">
        <v>11313000000</v>
      </c>
      <c r="N215">
        <v>13925000000</v>
      </c>
      <c r="O215">
        <v>1299000000</v>
      </c>
      <c r="P215">
        <v>196000000</v>
      </c>
      <c r="Q215">
        <v>7230000000</v>
      </c>
      <c r="R215">
        <v>5639000000</v>
      </c>
      <c r="S215">
        <v>16578000000</v>
      </c>
      <c r="T215">
        <v>0</v>
      </c>
      <c r="U215">
        <v>993000000</v>
      </c>
      <c r="V215">
        <v>14190000000</v>
      </c>
      <c r="W215">
        <v>31100406430</v>
      </c>
      <c r="X215">
        <v>32093406430</v>
      </c>
      <c r="Y215">
        <v>2.4731325673287619</v>
      </c>
      <c r="Z215">
        <v>-4.3066723818316097</v>
      </c>
      <c r="AA215">
        <v>-7.1271962578936643</v>
      </c>
      <c r="AB215">
        <v>-4.0160016563360879</v>
      </c>
      <c r="AC215">
        <v>-4.0701961877617494</v>
      </c>
      <c r="AD215">
        <v>-4.1132619833059021</v>
      </c>
      <c r="AE215">
        <v>-3.9504439229443622</v>
      </c>
      <c r="AF215">
        <v>-3.8282134945839492</v>
      </c>
      <c r="AG215">
        <v>-3.73352796998604</v>
      </c>
      <c r="AH215">
        <v>-3.6180091240111678</v>
      </c>
      <c r="AI215">
        <v>-6.5376668221633736</v>
      </c>
      <c r="AJ215">
        <v>-3.6838161650596879</v>
      </c>
      <c r="AK215">
        <v>-6.3353852984314516</v>
      </c>
      <c r="AL215">
        <v>-3.569835448806244</v>
      </c>
      <c r="AM215">
        <v>2.268566228175585</v>
      </c>
      <c r="AN215">
        <v>2.198374668127518</v>
      </c>
    </row>
    <row r="216" spans="1:40" x14ac:dyDescent="0.25">
      <c r="A216" s="1" t="s">
        <v>1287</v>
      </c>
      <c r="B216">
        <v>32607779970</v>
      </c>
      <c r="C216" t="s">
        <v>87</v>
      </c>
      <c r="D216" t="s">
        <v>127</v>
      </c>
      <c r="E216">
        <v>14147000000</v>
      </c>
      <c r="F216">
        <v>-8124000000</v>
      </c>
      <c r="G216">
        <v>-4909000000</v>
      </c>
      <c r="H216">
        <v>-8712000000</v>
      </c>
      <c r="I216">
        <v>-8596000000</v>
      </c>
      <c r="J216">
        <v>-8506000000</v>
      </c>
      <c r="K216">
        <v>10873000000</v>
      </c>
      <c r="L216">
        <v>440000000</v>
      </c>
      <c r="M216">
        <v>11313000000</v>
      </c>
      <c r="N216">
        <v>13925000000</v>
      </c>
      <c r="O216">
        <v>1299000000</v>
      </c>
      <c r="P216">
        <v>196000000</v>
      </c>
      <c r="Q216">
        <v>7230000000</v>
      </c>
      <c r="R216">
        <v>5639000000</v>
      </c>
      <c r="S216">
        <v>16578000000</v>
      </c>
      <c r="T216">
        <v>0</v>
      </c>
      <c r="U216">
        <v>993000000</v>
      </c>
      <c r="V216">
        <v>14190000000</v>
      </c>
      <c r="W216">
        <v>28720779970</v>
      </c>
      <c r="X216">
        <v>29713779970</v>
      </c>
      <c r="Y216">
        <v>2.3049254237647561</v>
      </c>
      <c r="Z216">
        <v>-4.0137592282127033</v>
      </c>
      <c r="AA216">
        <v>-6.6424485577510692</v>
      </c>
      <c r="AB216">
        <v>-3.742858123278237</v>
      </c>
      <c r="AC216">
        <v>-3.7933666786877618</v>
      </c>
      <c r="AD216">
        <v>-3.8335034058311779</v>
      </c>
      <c r="AE216">
        <v>-3.6575307693254548</v>
      </c>
      <c r="AF216">
        <v>-3.5353003409650419</v>
      </c>
      <c r="AG216">
        <v>-3.4566984609120519</v>
      </c>
      <c r="AH216">
        <v>-3.3411796149371802</v>
      </c>
      <c r="AI216">
        <v>-6.0529191220207794</v>
      </c>
      <c r="AJ216">
        <v>-3.410672632001837</v>
      </c>
      <c r="AK216">
        <v>-5.8506375982888574</v>
      </c>
      <c r="AL216">
        <v>-3.2966919157483932</v>
      </c>
      <c r="AM216">
        <v>2.1003590846115778</v>
      </c>
      <c r="AN216">
        <v>2.0301675245635118</v>
      </c>
    </row>
    <row r="217" spans="1:40" x14ac:dyDescent="0.25">
      <c r="A217" s="1" t="s">
        <v>1286</v>
      </c>
      <c r="B217">
        <v>25555118940</v>
      </c>
      <c r="C217" t="s">
        <v>87</v>
      </c>
      <c r="D217" t="s">
        <v>127</v>
      </c>
      <c r="E217">
        <v>14147000000</v>
      </c>
      <c r="F217">
        <v>-8124000000</v>
      </c>
      <c r="G217">
        <v>-4909000000</v>
      </c>
      <c r="H217">
        <v>-8712000000</v>
      </c>
      <c r="I217">
        <v>-8596000000</v>
      </c>
      <c r="J217">
        <v>-8506000000</v>
      </c>
      <c r="K217">
        <v>10873000000</v>
      </c>
      <c r="L217">
        <v>440000000</v>
      </c>
      <c r="M217">
        <v>11313000000</v>
      </c>
      <c r="N217">
        <v>13925000000</v>
      </c>
      <c r="O217">
        <v>1299000000</v>
      </c>
      <c r="P217">
        <v>196000000</v>
      </c>
      <c r="Q217">
        <v>7230000000</v>
      </c>
      <c r="R217">
        <v>5639000000</v>
      </c>
      <c r="S217">
        <v>16578000000</v>
      </c>
      <c r="T217">
        <v>0</v>
      </c>
      <c r="U217">
        <v>993000000</v>
      </c>
      <c r="V217">
        <v>14190000000</v>
      </c>
      <c r="W217">
        <v>21668118940</v>
      </c>
      <c r="X217">
        <v>22661118940</v>
      </c>
      <c r="Y217">
        <v>1.8063984547960701</v>
      </c>
      <c r="Z217">
        <v>-3.145632562776957</v>
      </c>
      <c r="AA217">
        <v>-5.2057687797922183</v>
      </c>
      <c r="AB217">
        <v>-2.9333240289256199</v>
      </c>
      <c r="AC217">
        <v>-2.9729082061423919</v>
      </c>
      <c r="AD217">
        <v>-3.0043638537502941</v>
      </c>
      <c r="AE217">
        <v>-2.7894041038897091</v>
      </c>
      <c r="AF217">
        <v>-2.6671736755292961</v>
      </c>
      <c r="AG217">
        <v>-2.6362399883666821</v>
      </c>
      <c r="AH217">
        <v>-2.5207211423918099</v>
      </c>
      <c r="AI217">
        <v>-4.6162393440619267</v>
      </c>
      <c r="AJ217">
        <v>-2.60113853764922</v>
      </c>
      <c r="AK217">
        <v>-4.4139578203300056</v>
      </c>
      <c r="AL217">
        <v>-2.4871578213957761</v>
      </c>
      <c r="AM217">
        <v>1.601832115642893</v>
      </c>
      <c r="AN217">
        <v>1.531640555594826</v>
      </c>
    </row>
    <row r="218" spans="1:40" x14ac:dyDescent="0.25">
      <c r="A218" s="1" t="s">
        <v>1285</v>
      </c>
      <c r="B218">
        <v>35332279830</v>
      </c>
      <c r="C218" t="s">
        <v>87</v>
      </c>
      <c r="D218" t="s">
        <v>127</v>
      </c>
      <c r="E218">
        <v>14147000000</v>
      </c>
      <c r="F218">
        <v>-8124000000</v>
      </c>
      <c r="G218">
        <v>-4909000000</v>
      </c>
      <c r="H218">
        <v>-8712000000</v>
      </c>
      <c r="I218">
        <v>-8596000000</v>
      </c>
      <c r="J218">
        <v>-8506000000</v>
      </c>
      <c r="K218">
        <v>10873000000</v>
      </c>
      <c r="L218">
        <v>440000000</v>
      </c>
      <c r="M218">
        <v>11313000000</v>
      </c>
      <c r="N218">
        <v>13925000000</v>
      </c>
      <c r="O218">
        <v>1299000000</v>
      </c>
      <c r="P218">
        <v>196000000</v>
      </c>
      <c r="Q218">
        <v>7230000000</v>
      </c>
      <c r="R218">
        <v>5639000000</v>
      </c>
      <c r="S218">
        <v>16578000000</v>
      </c>
      <c r="T218">
        <v>0</v>
      </c>
      <c r="U218">
        <v>993000000</v>
      </c>
      <c r="V218">
        <v>14190000000</v>
      </c>
      <c r="W218">
        <v>31445279830</v>
      </c>
      <c r="X218">
        <v>32438279830</v>
      </c>
      <c r="Y218">
        <v>2.4975104142220972</v>
      </c>
      <c r="Z218">
        <v>-4.3491235635155094</v>
      </c>
      <c r="AA218">
        <v>-7.1974495477694029</v>
      </c>
      <c r="AB218">
        <v>-4.0555876756198348</v>
      </c>
      <c r="AC218">
        <v>-4.110316406468125</v>
      </c>
      <c r="AD218">
        <v>-4.1538067046790497</v>
      </c>
      <c r="AE218">
        <v>-3.9928951046282619</v>
      </c>
      <c r="AF218">
        <v>-3.870664676267848</v>
      </c>
      <c r="AG218">
        <v>-3.7736481886924151</v>
      </c>
      <c r="AH218">
        <v>-3.658129342717543</v>
      </c>
      <c r="AI218">
        <v>-6.6079201120391122</v>
      </c>
      <c r="AJ218">
        <v>-3.723402184343434</v>
      </c>
      <c r="AK218">
        <v>-6.4056385883071911</v>
      </c>
      <c r="AL218">
        <v>-3.609421468089991</v>
      </c>
      <c r="AM218">
        <v>2.292944075068919</v>
      </c>
      <c r="AN218">
        <v>2.222752515020852</v>
      </c>
    </row>
    <row r="219" spans="1:40" x14ac:dyDescent="0.25">
      <c r="A219" s="1" t="s">
        <v>1284</v>
      </c>
      <c r="B219">
        <v>36780748110</v>
      </c>
      <c r="C219" t="s">
        <v>87</v>
      </c>
      <c r="D219" t="s">
        <v>127</v>
      </c>
      <c r="E219">
        <v>14147000000</v>
      </c>
      <c r="F219">
        <v>-8124000000</v>
      </c>
      <c r="G219">
        <v>-4909000000</v>
      </c>
      <c r="H219">
        <v>-8712000000</v>
      </c>
      <c r="I219">
        <v>-8596000000</v>
      </c>
      <c r="J219">
        <v>-8506000000</v>
      </c>
      <c r="K219">
        <v>10873000000</v>
      </c>
      <c r="L219">
        <v>440000000</v>
      </c>
      <c r="M219">
        <v>11313000000</v>
      </c>
      <c r="N219">
        <v>13925000000</v>
      </c>
      <c r="O219">
        <v>1299000000</v>
      </c>
      <c r="P219">
        <v>196000000</v>
      </c>
      <c r="Q219">
        <v>7230000000</v>
      </c>
      <c r="R219">
        <v>5639000000</v>
      </c>
      <c r="S219">
        <v>16578000000</v>
      </c>
      <c r="T219">
        <v>0</v>
      </c>
      <c r="U219">
        <v>993000000</v>
      </c>
      <c r="V219">
        <v>14190000000</v>
      </c>
      <c r="W219">
        <v>32893748110</v>
      </c>
      <c r="X219">
        <v>33886748110</v>
      </c>
      <c r="Y219">
        <v>2.5998973711741011</v>
      </c>
      <c r="Z219">
        <v>-4.5274185265878879</v>
      </c>
      <c r="AA219">
        <v>-7.4925133652475049</v>
      </c>
      <c r="AB219">
        <v>-4.22184895661157</v>
      </c>
      <c r="AC219">
        <v>-4.2788213250349001</v>
      </c>
      <c r="AD219">
        <v>-4.3240945344462736</v>
      </c>
      <c r="AE219">
        <v>-4.1711900677006399</v>
      </c>
      <c r="AF219">
        <v>-4.0489596393402261</v>
      </c>
      <c r="AG219">
        <v>-3.9421531072591902</v>
      </c>
      <c r="AH219">
        <v>-3.8266342612843181</v>
      </c>
      <c r="AI219">
        <v>-6.9029839295172133</v>
      </c>
      <c r="AJ219">
        <v>-3.88966346533517</v>
      </c>
      <c r="AK219">
        <v>-6.7007024057852922</v>
      </c>
      <c r="AL219">
        <v>-3.7756827490817262</v>
      </c>
      <c r="AM219">
        <v>2.3953310320209229</v>
      </c>
      <c r="AN219">
        <v>2.325139471972856</v>
      </c>
    </row>
    <row r="220" spans="1:40" x14ac:dyDescent="0.25">
      <c r="A220" s="1" t="s">
        <v>1283</v>
      </c>
      <c r="B220">
        <v>38625820800</v>
      </c>
      <c r="C220" t="s">
        <v>87</v>
      </c>
      <c r="D220" t="s">
        <v>127</v>
      </c>
      <c r="E220">
        <v>14147000000</v>
      </c>
      <c r="F220">
        <v>-8124000000</v>
      </c>
      <c r="G220">
        <v>-4909000000</v>
      </c>
      <c r="H220">
        <v>-8712000000</v>
      </c>
      <c r="I220">
        <v>-8596000000</v>
      </c>
      <c r="J220">
        <v>-8506000000</v>
      </c>
      <c r="K220">
        <v>10873000000</v>
      </c>
      <c r="L220">
        <v>440000000</v>
      </c>
      <c r="M220">
        <v>11313000000</v>
      </c>
      <c r="N220">
        <v>13925000000</v>
      </c>
      <c r="O220">
        <v>1299000000</v>
      </c>
      <c r="P220">
        <v>196000000</v>
      </c>
      <c r="Q220">
        <v>7230000000</v>
      </c>
      <c r="R220">
        <v>5639000000</v>
      </c>
      <c r="S220">
        <v>16578000000</v>
      </c>
      <c r="T220">
        <v>0</v>
      </c>
      <c r="U220">
        <v>993000000</v>
      </c>
      <c r="V220">
        <v>14190000000</v>
      </c>
      <c r="W220">
        <v>34738820800</v>
      </c>
      <c r="X220">
        <v>35731820800</v>
      </c>
      <c r="Y220">
        <v>2.7303188520534389</v>
      </c>
      <c r="Z220">
        <v>-4.7545323485967508</v>
      </c>
      <c r="AA220">
        <v>-7.8683684660827051</v>
      </c>
      <c r="AB220">
        <v>-4.4336341597796141</v>
      </c>
      <c r="AC220">
        <v>-4.4934644951140061</v>
      </c>
      <c r="AD220">
        <v>-4.5410087937926171</v>
      </c>
      <c r="AE220">
        <v>-4.3983038897095028</v>
      </c>
      <c r="AF220">
        <v>-4.2760734613490889</v>
      </c>
      <c r="AG220">
        <v>-4.1567962773382972</v>
      </c>
      <c r="AH220">
        <v>-4.041277431363425</v>
      </c>
      <c r="AI220">
        <v>-7.2788390303524144</v>
      </c>
      <c r="AJ220">
        <v>-4.1014486685032141</v>
      </c>
      <c r="AK220">
        <v>-7.0765575066204933</v>
      </c>
      <c r="AL220">
        <v>-3.9874679522497698</v>
      </c>
      <c r="AM220">
        <v>2.525752512900262</v>
      </c>
      <c r="AN220">
        <v>2.4555609528521951</v>
      </c>
    </row>
    <row r="221" spans="1:40" x14ac:dyDescent="0.25">
      <c r="A221" s="1" t="s">
        <v>1282</v>
      </c>
      <c r="B221">
        <v>45506045130</v>
      </c>
      <c r="C221" t="s">
        <v>87</v>
      </c>
      <c r="D221" t="s">
        <v>127</v>
      </c>
      <c r="E221">
        <v>14147000000</v>
      </c>
      <c r="F221">
        <v>-8124000000</v>
      </c>
      <c r="G221">
        <v>-4909000000</v>
      </c>
      <c r="H221">
        <v>-8712000000</v>
      </c>
      <c r="I221">
        <v>-8596000000</v>
      </c>
      <c r="J221">
        <v>-8506000000</v>
      </c>
      <c r="K221">
        <v>10873000000</v>
      </c>
      <c r="L221">
        <v>440000000</v>
      </c>
      <c r="M221">
        <v>11313000000</v>
      </c>
      <c r="N221">
        <v>13925000000</v>
      </c>
      <c r="O221">
        <v>1299000000</v>
      </c>
      <c r="P221">
        <v>196000000</v>
      </c>
      <c r="Q221">
        <v>7230000000</v>
      </c>
      <c r="R221">
        <v>5639000000</v>
      </c>
      <c r="S221">
        <v>16578000000</v>
      </c>
      <c r="T221">
        <v>0</v>
      </c>
      <c r="U221">
        <v>993000000</v>
      </c>
      <c r="V221">
        <v>14190000000</v>
      </c>
      <c r="W221">
        <v>41619045130</v>
      </c>
      <c r="X221">
        <v>42612045130</v>
      </c>
      <c r="Y221">
        <v>3.216656897575457</v>
      </c>
      <c r="Z221">
        <v>-5.6014334231905467</v>
      </c>
      <c r="AA221">
        <v>-9.2699215991036876</v>
      </c>
      <c r="AB221">
        <v>-5.2233752444903594</v>
      </c>
      <c r="AC221">
        <v>-5.2938628583061886</v>
      </c>
      <c r="AD221">
        <v>-5.3498759851869266</v>
      </c>
      <c r="AE221">
        <v>-5.2452049643032987</v>
      </c>
      <c r="AF221">
        <v>-5.1229745359428849</v>
      </c>
      <c r="AG221">
        <v>-4.9571946405304796</v>
      </c>
      <c r="AH221">
        <v>-4.8416757945556066</v>
      </c>
      <c r="AI221">
        <v>-8.680392163373396</v>
      </c>
      <c r="AJ221">
        <v>-4.8911897532139577</v>
      </c>
      <c r="AK221">
        <v>-8.4781106396414749</v>
      </c>
      <c r="AL221">
        <v>-4.7772090369605138</v>
      </c>
      <c r="AM221">
        <v>3.0120905584222801</v>
      </c>
      <c r="AN221">
        <v>2.9418989983742141</v>
      </c>
    </row>
    <row r="222" spans="1:40" x14ac:dyDescent="0.25">
      <c r="A222" s="1" t="s">
        <v>1281</v>
      </c>
      <c r="B222">
        <v>45161171730</v>
      </c>
      <c r="C222" t="s">
        <v>87</v>
      </c>
      <c r="D222" t="s">
        <v>127</v>
      </c>
      <c r="E222">
        <v>14147000000</v>
      </c>
      <c r="F222">
        <v>-8124000000</v>
      </c>
      <c r="G222">
        <v>-4909000000</v>
      </c>
      <c r="H222">
        <v>-8712000000</v>
      </c>
      <c r="I222">
        <v>-8596000000</v>
      </c>
      <c r="J222">
        <v>-8506000000</v>
      </c>
      <c r="K222">
        <v>10873000000</v>
      </c>
      <c r="L222">
        <v>440000000</v>
      </c>
      <c r="M222">
        <v>11313000000</v>
      </c>
      <c r="N222">
        <v>13925000000</v>
      </c>
      <c r="O222">
        <v>1299000000</v>
      </c>
      <c r="P222">
        <v>196000000</v>
      </c>
      <c r="Q222">
        <v>7230000000</v>
      </c>
      <c r="R222">
        <v>5639000000</v>
      </c>
      <c r="S222">
        <v>16578000000</v>
      </c>
      <c r="T222">
        <v>0</v>
      </c>
      <c r="U222">
        <v>993000000</v>
      </c>
      <c r="V222">
        <v>14190000000</v>
      </c>
      <c r="W222">
        <v>41274171730</v>
      </c>
      <c r="X222">
        <v>42267171730</v>
      </c>
      <c r="Y222">
        <v>3.192279050682123</v>
      </c>
      <c r="Z222">
        <v>-5.558982241506647</v>
      </c>
      <c r="AA222">
        <v>-9.199668309227949</v>
      </c>
      <c r="AB222">
        <v>-5.1837892252066116</v>
      </c>
      <c r="AC222">
        <v>-5.2537426395998139</v>
      </c>
      <c r="AD222">
        <v>-5.3093312638137782</v>
      </c>
      <c r="AE222">
        <v>-5.202753782619399</v>
      </c>
      <c r="AF222">
        <v>-5.080523354258986</v>
      </c>
      <c r="AG222">
        <v>-4.917074421824104</v>
      </c>
      <c r="AH222">
        <v>-4.8015555758492319</v>
      </c>
      <c r="AI222">
        <v>-8.6101388734976574</v>
      </c>
      <c r="AJ222">
        <v>-4.8516037339302116</v>
      </c>
      <c r="AK222">
        <v>-8.4078573497657363</v>
      </c>
      <c r="AL222">
        <v>-4.7376230176767677</v>
      </c>
      <c r="AM222">
        <v>2.9877127115289461</v>
      </c>
      <c r="AN222">
        <v>2.9175211514808792</v>
      </c>
    </row>
    <row r="223" spans="1:40" x14ac:dyDescent="0.25">
      <c r="A223" s="1" t="s">
        <v>1280</v>
      </c>
      <c r="B223">
        <v>48489200040</v>
      </c>
      <c r="C223" t="s">
        <v>87</v>
      </c>
      <c r="D223" t="s">
        <v>127</v>
      </c>
      <c r="E223">
        <v>14147000000</v>
      </c>
      <c r="F223">
        <v>-8124000000</v>
      </c>
      <c r="G223">
        <v>-4909000000</v>
      </c>
      <c r="H223">
        <v>-8712000000</v>
      </c>
      <c r="I223">
        <v>-8596000000</v>
      </c>
      <c r="J223">
        <v>-8506000000</v>
      </c>
      <c r="K223">
        <v>10873000000</v>
      </c>
      <c r="L223">
        <v>440000000</v>
      </c>
      <c r="M223">
        <v>11313000000</v>
      </c>
      <c r="N223">
        <v>13925000000</v>
      </c>
      <c r="O223">
        <v>1299000000</v>
      </c>
      <c r="P223">
        <v>196000000</v>
      </c>
      <c r="Q223">
        <v>7230000000</v>
      </c>
      <c r="R223">
        <v>5639000000</v>
      </c>
      <c r="S223">
        <v>16578000000</v>
      </c>
      <c r="T223">
        <v>0</v>
      </c>
      <c r="U223">
        <v>993000000</v>
      </c>
      <c r="V223">
        <v>14190000000</v>
      </c>
      <c r="W223">
        <v>44602200040</v>
      </c>
      <c r="X223">
        <v>45595200040</v>
      </c>
      <c r="Y223">
        <v>3.4275252732027992</v>
      </c>
      <c r="Z223">
        <v>-5.9686361447562781</v>
      </c>
      <c r="AA223">
        <v>-9.877612556528824</v>
      </c>
      <c r="AB223">
        <v>-5.5657943112947654</v>
      </c>
      <c r="AC223">
        <v>-5.6409027501163331</v>
      </c>
      <c r="AD223">
        <v>-5.7005878250646607</v>
      </c>
      <c r="AE223">
        <v>-5.6124076858690302</v>
      </c>
      <c r="AF223">
        <v>-5.4901772575086163</v>
      </c>
      <c r="AG223">
        <v>-5.3042345323406233</v>
      </c>
      <c r="AH223">
        <v>-5.1887156863657511</v>
      </c>
      <c r="AI223">
        <v>-9.2880831207985342</v>
      </c>
      <c r="AJ223">
        <v>-5.2336088200183646</v>
      </c>
      <c r="AK223">
        <v>-9.0858015970666131</v>
      </c>
      <c r="AL223">
        <v>-5.1196281037649216</v>
      </c>
      <c r="AM223">
        <v>3.2229589340496219</v>
      </c>
      <c r="AN223">
        <v>3.1527673740015549</v>
      </c>
    </row>
    <row r="224" spans="1:40" x14ac:dyDescent="0.25">
      <c r="A224" s="1" t="s">
        <v>1279</v>
      </c>
      <c r="B224">
        <v>47040731760</v>
      </c>
      <c r="C224" t="s">
        <v>87</v>
      </c>
      <c r="D224" t="s">
        <v>127</v>
      </c>
      <c r="E224">
        <v>14147000000</v>
      </c>
      <c r="F224">
        <v>-8124000000</v>
      </c>
      <c r="G224">
        <v>-4909000000</v>
      </c>
      <c r="H224">
        <v>-8712000000</v>
      </c>
      <c r="I224">
        <v>-8596000000</v>
      </c>
      <c r="J224">
        <v>-8506000000</v>
      </c>
      <c r="K224">
        <v>10873000000</v>
      </c>
      <c r="L224">
        <v>440000000</v>
      </c>
      <c r="M224">
        <v>11313000000</v>
      </c>
      <c r="N224">
        <v>13925000000</v>
      </c>
      <c r="O224">
        <v>1299000000</v>
      </c>
      <c r="P224">
        <v>196000000</v>
      </c>
      <c r="Q224">
        <v>7230000000</v>
      </c>
      <c r="R224">
        <v>5639000000</v>
      </c>
      <c r="S224">
        <v>16578000000</v>
      </c>
      <c r="T224">
        <v>0</v>
      </c>
      <c r="U224">
        <v>993000000</v>
      </c>
      <c r="V224">
        <v>14190000000</v>
      </c>
      <c r="W224">
        <v>43153731760</v>
      </c>
      <c r="X224">
        <v>44146731760</v>
      </c>
      <c r="Y224">
        <v>3.3251383162507948</v>
      </c>
      <c r="Z224">
        <v>-5.7903411816838997</v>
      </c>
      <c r="AA224">
        <v>-9.5825487390507238</v>
      </c>
      <c r="AB224">
        <v>-5.3995330303030302</v>
      </c>
      <c r="AC224">
        <v>-5.4723978315495581</v>
      </c>
      <c r="AD224">
        <v>-5.5302999952974368</v>
      </c>
      <c r="AE224">
        <v>-5.4341127227966517</v>
      </c>
      <c r="AF224">
        <v>-5.3118822944362387</v>
      </c>
      <c r="AG224">
        <v>-5.1357296137738482</v>
      </c>
      <c r="AH224">
        <v>-5.020210767798976</v>
      </c>
      <c r="AI224">
        <v>-8.9930193033204322</v>
      </c>
      <c r="AJ224">
        <v>-5.0673475390266303</v>
      </c>
      <c r="AK224">
        <v>-8.7907377795885111</v>
      </c>
      <c r="AL224">
        <v>-4.9533668227731864</v>
      </c>
      <c r="AM224">
        <v>3.1205719770976179</v>
      </c>
      <c r="AN224">
        <v>3.050380417049551</v>
      </c>
    </row>
    <row r="225" spans="1:40" x14ac:dyDescent="0.25">
      <c r="A225" s="1" t="s">
        <v>1278</v>
      </c>
      <c r="B225">
        <v>47989133610</v>
      </c>
      <c r="C225" t="s">
        <v>87</v>
      </c>
      <c r="D225" t="s">
        <v>127</v>
      </c>
      <c r="E225">
        <v>14147000000</v>
      </c>
      <c r="F225">
        <v>-8124000000</v>
      </c>
      <c r="G225">
        <v>-4909000000</v>
      </c>
      <c r="H225">
        <v>-8712000000</v>
      </c>
      <c r="I225">
        <v>-8596000000</v>
      </c>
      <c r="J225">
        <v>-8506000000</v>
      </c>
      <c r="K225">
        <v>10873000000</v>
      </c>
      <c r="L225">
        <v>440000000</v>
      </c>
      <c r="M225">
        <v>11313000000</v>
      </c>
      <c r="N225">
        <v>13925000000</v>
      </c>
      <c r="O225">
        <v>1299000000</v>
      </c>
      <c r="P225">
        <v>196000000</v>
      </c>
      <c r="Q225">
        <v>7230000000</v>
      </c>
      <c r="R225">
        <v>5639000000</v>
      </c>
      <c r="S225">
        <v>16578000000</v>
      </c>
      <c r="T225">
        <v>0</v>
      </c>
      <c r="U225">
        <v>993000000</v>
      </c>
      <c r="V225">
        <v>14190000000</v>
      </c>
      <c r="W225">
        <v>44102133610</v>
      </c>
      <c r="X225">
        <v>45095133610</v>
      </c>
      <c r="Y225">
        <v>3.3921773952074639</v>
      </c>
      <c r="Z225">
        <v>-5.9070819313146226</v>
      </c>
      <c r="AA225">
        <v>-9.7757452862090037</v>
      </c>
      <c r="AB225">
        <v>-5.5083945833333336</v>
      </c>
      <c r="AC225">
        <v>-5.5827284329920897</v>
      </c>
      <c r="AD225">
        <v>-5.641797979073595</v>
      </c>
      <c r="AE225">
        <v>-5.5508534724273746</v>
      </c>
      <c r="AF225">
        <v>-5.4286230440669616</v>
      </c>
      <c r="AG225">
        <v>-5.2460602152163798</v>
      </c>
      <c r="AH225">
        <v>-5.1305413692415076</v>
      </c>
      <c r="AI225">
        <v>-9.1862158504787121</v>
      </c>
      <c r="AJ225">
        <v>-5.1762090920569328</v>
      </c>
      <c r="AK225">
        <v>-8.983934326746791</v>
      </c>
      <c r="AL225">
        <v>-5.0622283758034898</v>
      </c>
      <c r="AM225">
        <v>3.187611056054287</v>
      </c>
      <c r="AN225">
        <v>3.11741949600622</v>
      </c>
    </row>
    <row r="226" spans="1:40" x14ac:dyDescent="0.25">
      <c r="A226" s="1" t="s">
        <v>86</v>
      </c>
      <c r="B226">
        <v>48550004240</v>
      </c>
      <c r="C226" t="s">
        <v>87</v>
      </c>
      <c r="D226" t="s">
        <v>127</v>
      </c>
      <c r="E226">
        <v>14147000000</v>
      </c>
      <c r="F226">
        <v>-8124000000</v>
      </c>
      <c r="G226">
        <v>-4909000000</v>
      </c>
      <c r="H226">
        <v>-8712000000</v>
      </c>
      <c r="I226">
        <v>-8596000000</v>
      </c>
      <c r="J226">
        <v>-8506000000</v>
      </c>
      <c r="K226">
        <v>10873000000</v>
      </c>
      <c r="L226">
        <v>440000000</v>
      </c>
      <c r="M226">
        <v>11313000000</v>
      </c>
      <c r="N226">
        <v>13925000000</v>
      </c>
      <c r="O226">
        <v>1299000000</v>
      </c>
      <c r="P226">
        <v>196000000</v>
      </c>
      <c r="Q226">
        <v>7230000000</v>
      </c>
      <c r="R226">
        <v>5639000000</v>
      </c>
      <c r="S226">
        <v>16578000000</v>
      </c>
      <c r="T226">
        <v>0</v>
      </c>
      <c r="U226">
        <v>993000000</v>
      </c>
      <c r="V226">
        <v>14190000000</v>
      </c>
      <c r="W226">
        <v>44663004240</v>
      </c>
      <c r="X226">
        <v>45656004240</v>
      </c>
      <c r="Y226">
        <v>3.4318233010532269</v>
      </c>
      <c r="Z226">
        <v>-5.9761206597735104</v>
      </c>
      <c r="AA226">
        <v>-9.8899988266449377</v>
      </c>
      <c r="AB226">
        <v>-5.5727736730945816</v>
      </c>
      <c r="AC226">
        <v>-5.6479762959516053</v>
      </c>
      <c r="AD226">
        <v>-5.707736214436868</v>
      </c>
      <c r="AE226">
        <v>-5.6198922008862633</v>
      </c>
      <c r="AF226">
        <v>-5.4976617725258494</v>
      </c>
      <c r="AG226">
        <v>-5.3113080781758946</v>
      </c>
      <c r="AH226">
        <v>-5.1957892322010233</v>
      </c>
      <c r="AI226">
        <v>-9.3004693909146461</v>
      </c>
      <c r="AJ226">
        <v>-5.2405881818181816</v>
      </c>
      <c r="AK226">
        <v>-9.098187867182725</v>
      </c>
      <c r="AL226">
        <v>-5.1266074655647387</v>
      </c>
      <c r="AM226">
        <v>3.22725696190005</v>
      </c>
      <c r="AN226">
        <v>3.157065401851983</v>
      </c>
    </row>
    <row r="227" spans="1:40" x14ac:dyDescent="0.25">
      <c r="A227" s="1" t="s">
        <v>1277</v>
      </c>
      <c r="B227">
        <v>44202761740</v>
      </c>
      <c r="C227" t="s">
        <v>87</v>
      </c>
      <c r="D227" t="s">
        <v>127</v>
      </c>
      <c r="E227">
        <v>14147000000</v>
      </c>
      <c r="F227">
        <v>-8124000000</v>
      </c>
      <c r="G227">
        <v>-4909000000</v>
      </c>
      <c r="H227">
        <v>-8712000000</v>
      </c>
      <c r="I227">
        <v>-8596000000</v>
      </c>
      <c r="J227">
        <v>-8506000000</v>
      </c>
      <c r="K227">
        <v>10873000000</v>
      </c>
      <c r="L227">
        <v>440000000</v>
      </c>
      <c r="M227">
        <v>11313000000</v>
      </c>
      <c r="N227">
        <v>13925000000</v>
      </c>
      <c r="O227">
        <v>1299000000</v>
      </c>
      <c r="P227">
        <v>196000000</v>
      </c>
      <c r="Q227">
        <v>7230000000</v>
      </c>
      <c r="R227">
        <v>5639000000</v>
      </c>
      <c r="S227">
        <v>16578000000</v>
      </c>
      <c r="T227">
        <v>0</v>
      </c>
      <c r="U227">
        <v>993000000</v>
      </c>
      <c r="V227">
        <v>14190000000</v>
      </c>
      <c r="W227">
        <v>40315761740</v>
      </c>
      <c r="X227">
        <v>41308761740</v>
      </c>
      <c r="Y227">
        <v>3.1245325326924438</v>
      </c>
      <c r="Z227">
        <v>-5.4410095691777451</v>
      </c>
      <c r="AA227">
        <v>-9.0044330291301691</v>
      </c>
      <c r="AB227">
        <v>-5.0737788957759413</v>
      </c>
      <c r="AC227">
        <v>-5.1422477594229878</v>
      </c>
      <c r="AD227">
        <v>-5.1966566823418763</v>
      </c>
      <c r="AE227">
        <v>-5.0847811102904972</v>
      </c>
      <c r="AF227">
        <v>-4.9625506819300833</v>
      </c>
      <c r="AG227">
        <v>-4.805579541647278</v>
      </c>
      <c r="AH227">
        <v>-4.6900606956724058</v>
      </c>
      <c r="AI227">
        <v>-8.4149035933998775</v>
      </c>
      <c r="AJ227">
        <v>-4.7415934044995396</v>
      </c>
      <c r="AK227">
        <v>-8.2126220696679564</v>
      </c>
      <c r="AL227">
        <v>-4.6276126882460984</v>
      </c>
      <c r="AM227">
        <v>2.919966193539266</v>
      </c>
      <c r="AN227">
        <v>2.8497746334912</v>
      </c>
    </row>
    <row r="228" spans="1:40" x14ac:dyDescent="0.25">
      <c r="A228" s="1" t="s">
        <v>1276</v>
      </c>
      <c r="B228">
        <v>41177080960</v>
      </c>
      <c r="C228" t="s">
        <v>87</v>
      </c>
      <c r="D228" t="s">
        <v>127</v>
      </c>
      <c r="E228">
        <v>14147000000</v>
      </c>
      <c r="F228">
        <v>-8124000000</v>
      </c>
      <c r="G228">
        <v>-4909000000</v>
      </c>
      <c r="H228">
        <v>-8712000000</v>
      </c>
      <c r="I228">
        <v>-8596000000</v>
      </c>
      <c r="J228">
        <v>-8506000000</v>
      </c>
      <c r="K228">
        <v>10873000000</v>
      </c>
      <c r="L228">
        <v>440000000</v>
      </c>
      <c r="M228">
        <v>11313000000</v>
      </c>
      <c r="N228">
        <v>13925000000</v>
      </c>
      <c r="O228">
        <v>1299000000</v>
      </c>
      <c r="P228">
        <v>196000000</v>
      </c>
      <c r="Q228">
        <v>7230000000</v>
      </c>
      <c r="R228">
        <v>5639000000</v>
      </c>
      <c r="S228">
        <v>16578000000</v>
      </c>
      <c r="T228">
        <v>0</v>
      </c>
      <c r="U228">
        <v>993000000</v>
      </c>
      <c r="V228">
        <v>14190000000</v>
      </c>
      <c r="W228">
        <v>37290080960</v>
      </c>
      <c r="X228">
        <v>38283080960</v>
      </c>
      <c r="Y228">
        <v>2.910658157913339</v>
      </c>
      <c r="Z228">
        <v>-5.0685722501230916</v>
      </c>
      <c r="AA228">
        <v>-8.3880792340598909</v>
      </c>
      <c r="AB228">
        <v>-4.7264785307621668</v>
      </c>
      <c r="AC228">
        <v>-4.7902606979990692</v>
      </c>
      <c r="AD228">
        <v>-4.8409453280037624</v>
      </c>
      <c r="AE228">
        <v>-4.7123437912358446</v>
      </c>
      <c r="AF228">
        <v>-4.5901133628754307</v>
      </c>
      <c r="AG228">
        <v>-4.4535924802233593</v>
      </c>
      <c r="AH228">
        <v>-4.338073634248488</v>
      </c>
      <c r="AI228">
        <v>-7.7985497983295984</v>
      </c>
      <c r="AJ228">
        <v>-4.3942930394857669</v>
      </c>
      <c r="AK228">
        <v>-7.5962682745976782</v>
      </c>
      <c r="AL228">
        <v>-4.280312323232323</v>
      </c>
      <c r="AM228">
        <v>2.7060918187601608</v>
      </c>
      <c r="AN228">
        <v>2.6359002587120939</v>
      </c>
    </row>
    <row r="229" spans="1:40" x14ac:dyDescent="0.25">
      <c r="A229" s="1" t="s">
        <v>1275</v>
      </c>
      <c r="B229">
        <v>39681629540</v>
      </c>
      <c r="C229" t="s">
        <v>87</v>
      </c>
      <c r="D229" t="s">
        <v>127</v>
      </c>
      <c r="E229">
        <v>14147000000</v>
      </c>
      <c r="F229">
        <v>-8124000000</v>
      </c>
      <c r="G229">
        <v>-4909000000</v>
      </c>
      <c r="H229">
        <v>-8712000000</v>
      </c>
      <c r="I229">
        <v>-8596000000</v>
      </c>
      <c r="J229">
        <v>-8506000000</v>
      </c>
      <c r="K229">
        <v>10873000000</v>
      </c>
      <c r="L229">
        <v>440000000</v>
      </c>
      <c r="M229">
        <v>11313000000</v>
      </c>
      <c r="N229">
        <v>13925000000</v>
      </c>
      <c r="O229">
        <v>1299000000</v>
      </c>
      <c r="P229">
        <v>196000000</v>
      </c>
      <c r="Q229">
        <v>7230000000</v>
      </c>
      <c r="R229">
        <v>5639000000</v>
      </c>
      <c r="S229">
        <v>16578000000</v>
      </c>
      <c r="T229">
        <v>0</v>
      </c>
      <c r="U229">
        <v>993000000</v>
      </c>
      <c r="V229">
        <v>14190000000</v>
      </c>
      <c r="W229">
        <v>35794629540</v>
      </c>
      <c r="X229">
        <v>36787629540</v>
      </c>
      <c r="Y229">
        <v>2.8049501335972291</v>
      </c>
      <c r="Z229">
        <v>-4.8844940349581476</v>
      </c>
      <c r="AA229">
        <v>-8.0834445997148094</v>
      </c>
      <c r="AB229">
        <v>-4.554824327364555</v>
      </c>
      <c r="AC229">
        <v>-4.6162900814332248</v>
      </c>
      <c r="AD229">
        <v>-4.6651339689630849</v>
      </c>
      <c r="AE229">
        <v>-4.5282655760709014</v>
      </c>
      <c r="AF229">
        <v>-4.4060351477104884</v>
      </c>
      <c r="AG229">
        <v>-4.279621863657515</v>
      </c>
      <c r="AH229">
        <v>-4.1641030176826428</v>
      </c>
      <c r="AI229">
        <v>-7.4939151639845178</v>
      </c>
      <c r="AJ229">
        <v>-4.2226388360881542</v>
      </c>
      <c r="AK229">
        <v>-7.2916336402525976</v>
      </c>
      <c r="AL229">
        <v>-4.1086581198347112</v>
      </c>
      <c r="AM229">
        <v>2.6003837944440522</v>
      </c>
      <c r="AN229">
        <v>2.5301922343959848</v>
      </c>
    </row>
    <row r="230" spans="1:40" x14ac:dyDescent="0.25">
      <c r="A230" s="1" t="s">
        <v>1274</v>
      </c>
      <c r="B230">
        <v>45193933030</v>
      </c>
      <c r="C230" t="s">
        <v>87</v>
      </c>
      <c r="D230" t="s">
        <v>127</v>
      </c>
      <c r="E230">
        <v>14147000000</v>
      </c>
      <c r="F230">
        <v>-8124000000</v>
      </c>
      <c r="G230">
        <v>-4909000000</v>
      </c>
      <c r="H230">
        <v>-8712000000</v>
      </c>
      <c r="I230">
        <v>-8596000000</v>
      </c>
      <c r="J230">
        <v>-8506000000</v>
      </c>
      <c r="K230">
        <v>10873000000</v>
      </c>
      <c r="L230">
        <v>440000000</v>
      </c>
      <c r="M230">
        <v>11313000000</v>
      </c>
      <c r="N230">
        <v>13925000000</v>
      </c>
      <c r="O230">
        <v>1299000000</v>
      </c>
      <c r="P230">
        <v>196000000</v>
      </c>
      <c r="Q230">
        <v>7230000000</v>
      </c>
      <c r="R230">
        <v>5639000000</v>
      </c>
      <c r="S230">
        <v>16578000000</v>
      </c>
      <c r="T230">
        <v>0</v>
      </c>
      <c r="U230">
        <v>993000000</v>
      </c>
      <c r="V230">
        <v>14190000000</v>
      </c>
      <c r="W230">
        <v>41306933030</v>
      </c>
      <c r="X230">
        <v>42299933030</v>
      </c>
      <c r="Y230">
        <v>3.194594827878702</v>
      </c>
      <c r="Z230">
        <v>-5.5630148978335798</v>
      </c>
      <c r="AA230">
        <v>-9.2063420309635369</v>
      </c>
      <c r="AB230">
        <v>-5.1875497050045913</v>
      </c>
      <c r="AC230">
        <v>-5.257553865751512</v>
      </c>
      <c r="AD230">
        <v>-5.3131828156595349</v>
      </c>
      <c r="AE230">
        <v>-5.2067864389463319</v>
      </c>
      <c r="AF230">
        <v>-5.084556010585918</v>
      </c>
      <c r="AG230">
        <v>-4.920885647975803</v>
      </c>
      <c r="AH230">
        <v>-4.8053668020009308</v>
      </c>
      <c r="AI230">
        <v>-8.6168125952332453</v>
      </c>
      <c r="AJ230">
        <v>-4.8553642137281914</v>
      </c>
      <c r="AK230">
        <v>-8.4145310715013242</v>
      </c>
      <c r="AL230">
        <v>-4.7413834974747484</v>
      </c>
      <c r="AM230">
        <v>2.9900284887255251</v>
      </c>
      <c r="AN230">
        <v>2.9198369286774581</v>
      </c>
    </row>
    <row r="231" spans="1:40" x14ac:dyDescent="0.25">
      <c r="A231" s="1" t="s">
        <v>1273</v>
      </c>
      <c r="B231">
        <v>44759208780</v>
      </c>
      <c r="C231" t="s">
        <v>87</v>
      </c>
      <c r="D231" t="s">
        <v>127</v>
      </c>
      <c r="E231">
        <v>14147000000</v>
      </c>
      <c r="F231">
        <v>-8124000000</v>
      </c>
      <c r="G231">
        <v>-4909000000</v>
      </c>
      <c r="H231">
        <v>-8712000000</v>
      </c>
      <c r="I231">
        <v>-8596000000</v>
      </c>
      <c r="J231">
        <v>-8506000000</v>
      </c>
      <c r="K231">
        <v>10873000000</v>
      </c>
      <c r="L231">
        <v>440000000</v>
      </c>
      <c r="M231">
        <v>11313000000</v>
      </c>
      <c r="N231">
        <v>13925000000</v>
      </c>
      <c r="O231">
        <v>1299000000</v>
      </c>
      <c r="P231">
        <v>196000000</v>
      </c>
      <c r="Q231">
        <v>7230000000</v>
      </c>
      <c r="R231">
        <v>5639000000</v>
      </c>
      <c r="S231">
        <v>16578000000</v>
      </c>
      <c r="T231">
        <v>0</v>
      </c>
      <c r="U231">
        <v>993000000</v>
      </c>
      <c r="V231">
        <v>14190000000</v>
      </c>
      <c r="W231">
        <v>40872208780</v>
      </c>
      <c r="X231">
        <v>41865208780</v>
      </c>
      <c r="Y231">
        <v>3.163865751042624</v>
      </c>
      <c r="Z231">
        <v>-5.509503788774003</v>
      </c>
      <c r="AA231">
        <v>-9.1177854512120593</v>
      </c>
      <c r="AB231">
        <v>-5.1376502272727276</v>
      </c>
      <c r="AC231">
        <v>-5.2069810120986508</v>
      </c>
      <c r="AD231">
        <v>-5.2620748624500351</v>
      </c>
      <c r="AE231">
        <v>-5.1532753298867551</v>
      </c>
      <c r="AF231">
        <v>-5.0310449015263421</v>
      </c>
      <c r="AG231">
        <v>-4.870312794322941</v>
      </c>
      <c r="AH231">
        <v>-4.7547939483480688</v>
      </c>
      <c r="AI231">
        <v>-8.5282560154817677</v>
      </c>
      <c r="AJ231">
        <v>-4.8054647359963267</v>
      </c>
      <c r="AK231">
        <v>-8.3259744917498466</v>
      </c>
      <c r="AL231">
        <v>-4.6914840197428838</v>
      </c>
      <c r="AM231">
        <v>2.9592994118894471</v>
      </c>
      <c r="AN231">
        <v>2.8891078518413802</v>
      </c>
    </row>
    <row r="232" spans="1:40" x14ac:dyDescent="0.25">
      <c r="A232" s="1" t="s">
        <v>1272</v>
      </c>
      <c r="B232">
        <v>46845885180</v>
      </c>
      <c r="C232" t="s">
        <v>87</v>
      </c>
      <c r="D232" t="s">
        <v>127</v>
      </c>
      <c r="E232">
        <v>14147000000</v>
      </c>
      <c r="F232">
        <v>-8124000000</v>
      </c>
      <c r="G232">
        <v>-4909000000</v>
      </c>
      <c r="H232">
        <v>-8712000000</v>
      </c>
      <c r="I232">
        <v>-8596000000</v>
      </c>
      <c r="J232">
        <v>-8506000000</v>
      </c>
      <c r="K232">
        <v>10873000000</v>
      </c>
      <c r="L232">
        <v>440000000</v>
      </c>
      <c r="M232">
        <v>11313000000</v>
      </c>
      <c r="N232">
        <v>13925000000</v>
      </c>
      <c r="O232">
        <v>1299000000</v>
      </c>
      <c r="P232">
        <v>196000000</v>
      </c>
      <c r="Q232">
        <v>7230000000</v>
      </c>
      <c r="R232">
        <v>5639000000</v>
      </c>
      <c r="S232">
        <v>16578000000</v>
      </c>
      <c r="T232">
        <v>0</v>
      </c>
      <c r="U232">
        <v>993000000</v>
      </c>
      <c r="V232">
        <v>14190000000</v>
      </c>
      <c r="W232">
        <v>42958885180</v>
      </c>
      <c r="X232">
        <v>43951885180</v>
      </c>
      <c r="Y232">
        <v>3.3113653198558</v>
      </c>
      <c r="Z232">
        <v>-5.7663571122599704</v>
      </c>
      <c r="AA232">
        <v>-9.5428570340191481</v>
      </c>
      <c r="AB232">
        <v>-5.3771677203856747</v>
      </c>
      <c r="AC232">
        <v>-5.4497307096323873</v>
      </c>
      <c r="AD232">
        <v>-5.5073930378556311</v>
      </c>
      <c r="AE232">
        <v>-5.4101286533727224</v>
      </c>
      <c r="AF232">
        <v>-5.2878982250123094</v>
      </c>
      <c r="AG232">
        <v>-5.1130624918566774</v>
      </c>
      <c r="AH232">
        <v>-4.9975436458818052</v>
      </c>
      <c r="AI232">
        <v>-8.9533275982888565</v>
      </c>
      <c r="AJ232">
        <v>-5.0449822291092747</v>
      </c>
      <c r="AK232">
        <v>-8.7510460745569354</v>
      </c>
      <c r="AL232">
        <v>-4.9310015128558309</v>
      </c>
      <c r="AM232">
        <v>3.1067989807026231</v>
      </c>
      <c r="AN232">
        <v>3.0366074206545561</v>
      </c>
    </row>
    <row r="233" spans="1:40" x14ac:dyDescent="0.25">
      <c r="A233" s="1" t="s">
        <v>1271</v>
      </c>
      <c r="B233">
        <v>47141497670</v>
      </c>
      <c r="C233" t="s">
        <v>87</v>
      </c>
      <c r="D233" t="s">
        <v>127</v>
      </c>
      <c r="E233">
        <v>14147000000</v>
      </c>
      <c r="F233">
        <v>-8124000000</v>
      </c>
      <c r="G233">
        <v>-4909000000</v>
      </c>
      <c r="H233">
        <v>-8712000000</v>
      </c>
      <c r="I233">
        <v>-8596000000</v>
      </c>
      <c r="J233">
        <v>-8506000000</v>
      </c>
      <c r="K233">
        <v>10873000000</v>
      </c>
      <c r="L233">
        <v>440000000</v>
      </c>
      <c r="M233">
        <v>11313000000</v>
      </c>
      <c r="N233">
        <v>13925000000</v>
      </c>
      <c r="O233">
        <v>1299000000</v>
      </c>
      <c r="P233">
        <v>196000000</v>
      </c>
      <c r="Q233">
        <v>7230000000</v>
      </c>
      <c r="R233">
        <v>5639000000</v>
      </c>
      <c r="S233">
        <v>16578000000</v>
      </c>
      <c r="T233">
        <v>0</v>
      </c>
      <c r="U233">
        <v>993000000</v>
      </c>
      <c r="V233">
        <v>14190000000</v>
      </c>
      <c r="W233">
        <v>43254497670</v>
      </c>
      <c r="X233">
        <v>44247497670</v>
      </c>
      <c r="Y233">
        <v>3.332261092104333</v>
      </c>
      <c r="Z233">
        <v>-5.8027446664204829</v>
      </c>
      <c r="AA233">
        <v>-9.6030755082501535</v>
      </c>
      <c r="AB233">
        <v>-5.4110993652433423</v>
      </c>
      <c r="AC233">
        <v>-5.4841202501163329</v>
      </c>
      <c r="AD233">
        <v>-5.5421464460380907</v>
      </c>
      <c r="AE233">
        <v>-5.446516207533235</v>
      </c>
      <c r="AF233">
        <v>-5.3242857791728211</v>
      </c>
      <c r="AG233">
        <v>-5.1474520323406239</v>
      </c>
      <c r="AH233">
        <v>-5.0319331863657517</v>
      </c>
      <c r="AI233">
        <v>-9.013546072519862</v>
      </c>
      <c r="AJ233">
        <v>-5.0789138739669424</v>
      </c>
      <c r="AK233">
        <v>-8.8112645487879409</v>
      </c>
      <c r="AL233">
        <v>-4.9649331577134994</v>
      </c>
      <c r="AM233">
        <v>3.1276947529511561</v>
      </c>
      <c r="AN233">
        <v>3.0575031929030891</v>
      </c>
    </row>
    <row r="234" spans="1:40" x14ac:dyDescent="0.25">
      <c r="A234" s="1" t="s">
        <v>1270</v>
      </c>
      <c r="B234">
        <v>48671727030</v>
      </c>
      <c r="C234" t="s">
        <v>87</v>
      </c>
      <c r="D234" t="s">
        <v>127</v>
      </c>
      <c r="E234">
        <v>14147000000</v>
      </c>
      <c r="F234">
        <v>-8124000000</v>
      </c>
      <c r="G234">
        <v>-4909000000</v>
      </c>
      <c r="H234">
        <v>-8712000000</v>
      </c>
      <c r="I234">
        <v>-8596000000</v>
      </c>
      <c r="J234">
        <v>-8506000000</v>
      </c>
      <c r="K234">
        <v>10873000000</v>
      </c>
      <c r="L234">
        <v>440000000</v>
      </c>
      <c r="M234">
        <v>11313000000</v>
      </c>
      <c r="N234">
        <v>13925000000</v>
      </c>
      <c r="O234">
        <v>1299000000</v>
      </c>
      <c r="P234">
        <v>196000000</v>
      </c>
      <c r="Q234">
        <v>7230000000</v>
      </c>
      <c r="R234">
        <v>5639000000</v>
      </c>
      <c r="S234">
        <v>16578000000</v>
      </c>
      <c r="T234">
        <v>0</v>
      </c>
      <c r="U234">
        <v>993000000</v>
      </c>
      <c r="V234">
        <v>14190000000</v>
      </c>
      <c r="W234">
        <v>44784727030</v>
      </c>
      <c r="X234">
        <v>45777727030</v>
      </c>
      <c r="Y234">
        <v>3.4404274425673291</v>
      </c>
      <c r="Z234">
        <v>-5.9911037703101924</v>
      </c>
      <c r="AA234">
        <v>-9.9147946689753521</v>
      </c>
      <c r="AB234">
        <v>-5.5867455268595041</v>
      </c>
      <c r="AC234">
        <v>-5.6621366949744063</v>
      </c>
      <c r="AD234">
        <v>-5.7220464413355279</v>
      </c>
      <c r="AE234">
        <v>-5.6348753114229444</v>
      </c>
      <c r="AF234">
        <v>-5.5126448830625314</v>
      </c>
      <c r="AG234">
        <v>-5.3254684771986973</v>
      </c>
      <c r="AH234">
        <v>-5.2099496312238252</v>
      </c>
      <c r="AI234">
        <v>-9.3252652332450605</v>
      </c>
      <c r="AJ234">
        <v>-5.2545600355831041</v>
      </c>
      <c r="AK234">
        <v>-9.1229837095131394</v>
      </c>
      <c r="AL234">
        <v>-5.1405793193296603</v>
      </c>
      <c r="AM234">
        <v>3.2358611034141509</v>
      </c>
      <c r="AN234">
        <v>3.1656695433660849</v>
      </c>
    </row>
    <row r="235" spans="1:40" x14ac:dyDescent="0.25">
      <c r="A235" s="1" t="s">
        <v>1269</v>
      </c>
      <c r="B235">
        <v>48254391750</v>
      </c>
      <c r="C235" t="s">
        <v>87</v>
      </c>
      <c r="D235" t="s">
        <v>127</v>
      </c>
      <c r="E235">
        <v>14147000000</v>
      </c>
      <c r="F235">
        <v>-8124000000</v>
      </c>
      <c r="G235">
        <v>-4909000000</v>
      </c>
      <c r="H235">
        <v>-8712000000</v>
      </c>
      <c r="I235">
        <v>-8596000000</v>
      </c>
      <c r="J235">
        <v>-8506000000</v>
      </c>
      <c r="K235">
        <v>10873000000</v>
      </c>
      <c r="L235">
        <v>440000000</v>
      </c>
      <c r="M235">
        <v>11313000000</v>
      </c>
      <c r="N235">
        <v>13925000000</v>
      </c>
      <c r="O235">
        <v>1299000000</v>
      </c>
      <c r="P235">
        <v>196000000</v>
      </c>
      <c r="Q235">
        <v>7230000000</v>
      </c>
      <c r="R235">
        <v>5639000000</v>
      </c>
      <c r="S235">
        <v>16578000000</v>
      </c>
      <c r="T235">
        <v>0</v>
      </c>
      <c r="U235">
        <v>993000000</v>
      </c>
      <c r="V235">
        <v>14190000000</v>
      </c>
      <c r="W235">
        <v>44367391750</v>
      </c>
      <c r="X235">
        <v>45360391750</v>
      </c>
      <c r="Y235">
        <v>3.410927528804693</v>
      </c>
      <c r="Z235">
        <v>-5.9397331056129987</v>
      </c>
      <c r="AA235">
        <v>-9.829780352413934</v>
      </c>
      <c r="AB235">
        <v>-5.5388420282369148</v>
      </c>
      <c r="AC235">
        <v>-5.6135867554676597</v>
      </c>
      <c r="AD235">
        <v>-5.6729828062544083</v>
      </c>
      <c r="AE235">
        <v>-5.5835046467257508</v>
      </c>
      <c r="AF235">
        <v>-5.4612742183653369</v>
      </c>
      <c r="AG235">
        <v>-5.2769185376919499</v>
      </c>
      <c r="AH235">
        <v>-5.1613996917170777</v>
      </c>
      <c r="AI235">
        <v>-9.2402509166836424</v>
      </c>
      <c r="AJ235">
        <v>-5.206656536960514</v>
      </c>
      <c r="AK235">
        <v>-9.0379693929517213</v>
      </c>
      <c r="AL235">
        <v>-5.092675820707071</v>
      </c>
      <c r="AM235">
        <v>3.2063611896515161</v>
      </c>
      <c r="AN235">
        <v>3.13616962960345</v>
      </c>
    </row>
    <row r="236" spans="1:40" x14ac:dyDescent="0.25">
      <c r="A236" s="1" t="s">
        <v>1268</v>
      </c>
      <c r="B236">
        <v>47663166770</v>
      </c>
      <c r="C236" t="s">
        <v>87</v>
      </c>
      <c r="D236" t="s">
        <v>127</v>
      </c>
      <c r="E236">
        <v>14147000000</v>
      </c>
      <c r="F236">
        <v>-8124000000</v>
      </c>
      <c r="G236">
        <v>-4909000000</v>
      </c>
      <c r="H236">
        <v>-8712000000</v>
      </c>
      <c r="I236">
        <v>-8596000000</v>
      </c>
      <c r="J236">
        <v>-8506000000</v>
      </c>
      <c r="K236">
        <v>10873000000</v>
      </c>
      <c r="L236">
        <v>440000000</v>
      </c>
      <c r="M236">
        <v>11313000000</v>
      </c>
      <c r="N236">
        <v>13925000000</v>
      </c>
      <c r="O236">
        <v>1299000000</v>
      </c>
      <c r="P236">
        <v>196000000</v>
      </c>
      <c r="Q236">
        <v>7230000000</v>
      </c>
      <c r="R236">
        <v>5639000000</v>
      </c>
      <c r="S236">
        <v>16578000000</v>
      </c>
      <c r="T236">
        <v>0</v>
      </c>
      <c r="U236">
        <v>993000000</v>
      </c>
      <c r="V236">
        <v>14190000000</v>
      </c>
      <c r="W236">
        <v>43776166770</v>
      </c>
      <c r="X236">
        <v>44769166770</v>
      </c>
      <c r="Y236">
        <v>3.369135984307627</v>
      </c>
      <c r="Z236">
        <v>-5.8669579972919754</v>
      </c>
      <c r="AA236">
        <v>-9.7093434039519249</v>
      </c>
      <c r="AB236">
        <v>-5.4709787385215796</v>
      </c>
      <c r="AC236">
        <v>-5.5448076744997676</v>
      </c>
      <c r="AD236">
        <v>-5.6034759898894899</v>
      </c>
      <c r="AE236">
        <v>-5.5107295384047266</v>
      </c>
      <c r="AF236">
        <v>-5.3884991100443136</v>
      </c>
      <c r="AG236">
        <v>-5.2081394567240578</v>
      </c>
      <c r="AH236">
        <v>-5.0926206107491856</v>
      </c>
      <c r="AI236">
        <v>-9.1198139682216333</v>
      </c>
      <c r="AJ236">
        <v>-5.1387932472451787</v>
      </c>
      <c r="AK236">
        <v>-8.9175324444897122</v>
      </c>
      <c r="AL236">
        <v>-5.0248125309917357</v>
      </c>
      <c r="AM236">
        <v>3.1645696451544501</v>
      </c>
      <c r="AN236">
        <v>3.0943780851063831</v>
      </c>
    </row>
    <row r="237" spans="1:40" x14ac:dyDescent="0.25">
      <c r="A237" s="1" t="s">
        <v>1267</v>
      </c>
      <c r="B237">
        <v>47002385910</v>
      </c>
      <c r="C237" t="s">
        <v>87</v>
      </c>
      <c r="D237" t="s">
        <v>127</v>
      </c>
      <c r="E237">
        <v>14147000000</v>
      </c>
      <c r="F237">
        <v>-8124000000</v>
      </c>
      <c r="G237">
        <v>-4909000000</v>
      </c>
      <c r="H237">
        <v>-8712000000</v>
      </c>
      <c r="I237">
        <v>-8596000000</v>
      </c>
      <c r="J237">
        <v>-8506000000</v>
      </c>
      <c r="K237">
        <v>10873000000</v>
      </c>
      <c r="L237">
        <v>440000000</v>
      </c>
      <c r="M237">
        <v>11313000000</v>
      </c>
      <c r="N237">
        <v>13925000000</v>
      </c>
      <c r="O237">
        <v>1299000000</v>
      </c>
      <c r="P237">
        <v>196000000</v>
      </c>
      <c r="Q237">
        <v>7230000000</v>
      </c>
      <c r="R237">
        <v>5639000000</v>
      </c>
      <c r="S237">
        <v>16578000000</v>
      </c>
      <c r="T237">
        <v>0</v>
      </c>
      <c r="U237">
        <v>993000000</v>
      </c>
      <c r="V237">
        <v>14190000000</v>
      </c>
      <c r="W237">
        <v>43115385910</v>
      </c>
      <c r="X237">
        <v>44108385910</v>
      </c>
      <c r="Y237">
        <v>3.322427787516788</v>
      </c>
      <c r="Z237">
        <v>-5.7856211115214178</v>
      </c>
      <c r="AA237">
        <v>-9.5747374027296797</v>
      </c>
      <c r="AB237">
        <v>-5.3951315323691462</v>
      </c>
      <c r="AC237">
        <v>-5.4679369369474173</v>
      </c>
      <c r="AD237">
        <v>-5.5257919010110514</v>
      </c>
      <c r="AE237">
        <v>-5.4293926526341707</v>
      </c>
      <c r="AF237">
        <v>-5.3071622242737568</v>
      </c>
      <c r="AG237">
        <v>-5.1312687191717066</v>
      </c>
      <c r="AH237">
        <v>-5.0157498731968353</v>
      </c>
      <c r="AI237">
        <v>-8.9852079669993881</v>
      </c>
      <c r="AJ237">
        <v>-5.0629460410927454</v>
      </c>
      <c r="AK237">
        <v>-8.7829264432674687</v>
      </c>
      <c r="AL237">
        <v>-4.9489653248393024</v>
      </c>
      <c r="AM237">
        <v>3.1178614483636111</v>
      </c>
      <c r="AN237">
        <v>3.0476698883155442</v>
      </c>
    </row>
    <row r="238" spans="1:40" x14ac:dyDescent="0.25">
      <c r="A238" s="1" t="s">
        <v>1266</v>
      </c>
      <c r="B238">
        <v>48689116000</v>
      </c>
      <c r="C238" t="s">
        <v>87</v>
      </c>
      <c r="D238" t="s">
        <v>127</v>
      </c>
      <c r="E238">
        <v>14147000000</v>
      </c>
      <c r="F238">
        <v>-8124000000</v>
      </c>
      <c r="G238">
        <v>-4909000000</v>
      </c>
      <c r="H238">
        <v>-8712000000</v>
      </c>
      <c r="I238">
        <v>-8596000000</v>
      </c>
      <c r="J238">
        <v>-8506000000</v>
      </c>
      <c r="K238">
        <v>10873000000</v>
      </c>
      <c r="L238">
        <v>440000000</v>
      </c>
      <c r="M238">
        <v>11313000000</v>
      </c>
      <c r="N238">
        <v>13925000000</v>
      </c>
      <c r="O238">
        <v>1299000000</v>
      </c>
      <c r="P238">
        <v>196000000</v>
      </c>
      <c r="Q238">
        <v>7230000000</v>
      </c>
      <c r="R238">
        <v>5639000000</v>
      </c>
      <c r="S238">
        <v>16578000000</v>
      </c>
      <c r="T238">
        <v>0</v>
      </c>
      <c r="U238">
        <v>993000000</v>
      </c>
      <c r="V238">
        <v>14190000000</v>
      </c>
      <c r="W238">
        <v>44802116000</v>
      </c>
      <c r="X238">
        <v>45795116000</v>
      </c>
      <c r="Y238">
        <v>3.4416566056407718</v>
      </c>
      <c r="Z238">
        <v>-5.9932442146725764</v>
      </c>
      <c r="AA238">
        <v>-9.9183369321654098</v>
      </c>
      <c r="AB238">
        <v>-5.5887415059687786</v>
      </c>
      <c r="AC238">
        <v>-5.6641596091205209</v>
      </c>
      <c r="AD238">
        <v>-5.7240907594639081</v>
      </c>
      <c r="AE238">
        <v>-5.6370157557853284</v>
      </c>
      <c r="AF238">
        <v>-5.5147853274249137</v>
      </c>
      <c r="AG238">
        <v>-5.3274913913448119</v>
      </c>
      <c r="AH238">
        <v>-5.2119725453699397</v>
      </c>
      <c r="AI238">
        <v>-9.32880749643512</v>
      </c>
      <c r="AJ238">
        <v>-5.2565560146923787</v>
      </c>
      <c r="AK238">
        <v>-9.1265259727031989</v>
      </c>
      <c r="AL238">
        <v>-5.1425752984389348</v>
      </c>
      <c r="AM238">
        <v>3.237090266487594</v>
      </c>
      <c r="AN238">
        <v>3.166898706439528</v>
      </c>
    </row>
    <row r="239" spans="1:40" x14ac:dyDescent="0.25">
      <c r="A239" s="1" t="s">
        <v>1265</v>
      </c>
      <c r="B239">
        <v>49019506430</v>
      </c>
      <c r="C239" t="s">
        <v>87</v>
      </c>
      <c r="D239" t="s">
        <v>127</v>
      </c>
      <c r="E239">
        <v>14147000000</v>
      </c>
      <c r="F239">
        <v>-8124000000</v>
      </c>
      <c r="G239">
        <v>-4909000000</v>
      </c>
      <c r="H239">
        <v>-8712000000</v>
      </c>
      <c r="I239">
        <v>-8596000000</v>
      </c>
      <c r="J239">
        <v>-8506000000</v>
      </c>
      <c r="K239">
        <v>10873000000</v>
      </c>
      <c r="L239">
        <v>440000000</v>
      </c>
      <c r="M239">
        <v>11313000000</v>
      </c>
      <c r="N239">
        <v>13925000000</v>
      </c>
      <c r="O239">
        <v>1299000000</v>
      </c>
      <c r="P239">
        <v>196000000</v>
      </c>
      <c r="Q239">
        <v>7230000000</v>
      </c>
      <c r="R239">
        <v>5639000000</v>
      </c>
      <c r="S239">
        <v>16578000000</v>
      </c>
      <c r="T239">
        <v>0</v>
      </c>
      <c r="U239">
        <v>993000000</v>
      </c>
      <c r="V239">
        <v>14190000000</v>
      </c>
      <c r="W239">
        <v>45132506430</v>
      </c>
      <c r="X239">
        <v>46125506430</v>
      </c>
      <c r="Y239">
        <v>3.465010704036191</v>
      </c>
      <c r="Z239">
        <v>-6.0339126575578534</v>
      </c>
      <c r="AA239">
        <v>-9.9856399327765324</v>
      </c>
      <c r="AB239">
        <v>-5.6266651090449953</v>
      </c>
      <c r="AC239">
        <v>-5.7025949778966956</v>
      </c>
      <c r="AD239">
        <v>-5.7629328039031273</v>
      </c>
      <c r="AE239">
        <v>-5.6776841986706046</v>
      </c>
      <c r="AF239">
        <v>-5.5554537703101916</v>
      </c>
      <c r="AG239">
        <v>-5.3659267601209866</v>
      </c>
      <c r="AH239">
        <v>-5.2504079141461144</v>
      </c>
      <c r="AI239">
        <v>-9.3961104970462408</v>
      </c>
      <c r="AJ239">
        <v>-5.2944796177685953</v>
      </c>
      <c r="AK239">
        <v>-9.1938289733143215</v>
      </c>
      <c r="AL239">
        <v>-5.1804989015151506</v>
      </c>
      <c r="AM239">
        <v>3.2604443648830141</v>
      </c>
      <c r="AN239">
        <v>3.1902528048349472</v>
      </c>
    </row>
    <row r="240" spans="1:40" x14ac:dyDescent="0.25">
      <c r="A240" s="1" t="s">
        <v>1264</v>
      </c>
      <c r="B240">
        <v>47280609430</v>
      </c>
      <c r="C240" t="s">
        <v>87</v>
      </c>
      <c r="D240" t="s">
        <v>127</v>
      </c>
      <c r="E240">
        <v>14147000000</v>
      </c>
      <c r="F240">
        <v>-8124000000</v>
      </c>
      <c r="G240">
        <v>-4909000000</v>
      </c>
      <c r="H240">
        <v>-8712000000</v>
      </c>
      <c r="I240">
        <v>-8596000000</v>
      </c>
      <c r="J240">
        <v>-8506000000</v>
      </c>
      <c r="K240">
        <v>10873000000</v>
      </c>
      <c r="L240">
        <v>440000000</v>
      </c>
      <c r="M240">
        <v>11313000000</v>
      </c>
      <c r="N240">
        <v>13925000000</v>
      </c>
      <c r="O240">
        <v>1299000000</v>
      </c>
      <c r="P240">
        <v>196000000</v>
      </c>
      <c r="Q240">
        <v>7230000000</v>
      </c>
      <c r="R240">
        <v>5639000000</v>
      </c>
      <c r="S240">
        <v>16578000000</v>
      </c>
      <c r="T240">
        <v>0</v>
      </c>
      <c r="U240">
        <v>993000000</v>
      </c>
      <c r="V240">
        <v>14190000000</v>
      </c>
      <c r="W240">
        <v>43393609430</v>
      </c>
      <c r="X240">
        <v>44386609430</v>
      </c>
      <c r="Y240">
        <v>3.3420943966918779</v>
      </c>
      <c r="Z240">
        <v>-5.8198682213195472</v>
      </c>
      <c r="AA240">
        <v>-9.6314136137706257</v>
      </c>
      <c r="AB240">
        <v>-5.4270671981175393</v>
      </c>
      <c r="AC240">
        <v>-5.5003035632852493</v>
      </c>
      <c r="AD240">
        <v>-5.5585009910651308</v>
      </c>
      <c r="AE240">
        <v>-5.4636397624322992</v>
      </c>
      <c r="AF240">
        <v>-5.3414093340718853</v>
      </c>
      <c r="AG240">
        <v>-5.1636353455095394</v>
      </c>
      <c r="AH240">
        <v>-5.0481164995346672</v>
      </c>
      <c r="AI240">
        <v>-9.0418841780403341</v>
      </c>
      <c r="AJ240">
        <v>-5.0948817068411394</v>
      </c>
      <c r="AK240">
        <v>-8.839602654308413</v>
      </c>
      <c r="AL240">
        <v>-4.9809009905876964</v>
      </c>
      <c r="AM240">
        <v>3.137528057538701</v>
      </c>
      <c r="AN240">
        <v>3.0673364974906341</v>
      </c>
    </row>
    <row r="241" spans="1:40" x14ac:dyDescent="0.25">
      <c r="A241" s="1" t="s">
        <v>1263</v>
      </c>
      <c r="B241">
        <v>49106451280</v>
      </c>
      <c r="C241" t="s">
        <v>87</v>
      </c>
      <c r="D241" t="s">
        <v>127</v>
      </c>
      <c r="E241">
        <v>14147000000</v>
      </c>
      <c r="F241">
        <v>-8124000000</v>
      </c>
      <c r="G241">
        <v>-4909000000</v>
      </c>
      <c r="H241">
        <v>-8712000000</v>
      </c>
      <c r="I241">
        <v>-8596000000</v>
      </c>
      <c r="J241">
        <v>-8506000000</v>
      </c>
      <c r="K241">
        <v>10873000000</v>
      </c>
      <c r="L241">
        <v>440000000</v>
      </c>
      <c r="M241">
        <v>11313000000</v>
      </c>
      <c r="N241">
        <v>13925000000</v>
      </c>
      <c r="O241">
        <v>1299000000</v>
      </c>
      <c r="P241">
        <v>196000000</v>
      </c>
      <c r="Q241">
        <v>7230000000</v>
      </c>
      <c r="R241">
        <v>5639000000</v>
      </c>
      <c r="S241">
        <v>16578000000</v>
      </c>
      <c r="T241">
        <v>0</v>
      </c>
      <c r="U241">
        <v>993000000</v>
      </c>
      <c r="V241">
        <v>14190000000</v>
      </c>
      <c r="W241">
        <v>45219451280</v>
      </c>
      <c r="X241">
        <v>46212451280</v>
      </c>
      <c r="Y241">
        <v>3.4711565194034071</v>
      </c>
      <c r="Z241">
        <v>-6.0446148793697683</v>
      </c>
      <c r="AA241">
        <v>-10.00335124872683</v>
      </c>
      <c r="AB241">
        <v>-5.6366450045913679</v>
      </c>
      <c r="AC241">
        <v>-5.7127095486272683</v>
      </c>
      <c r="AD241">
        <v>-5.7731543945450268</v>
      </c>
      <c r="AE241">
        <v>-5.6883864204825212</v>
      </c>
      <c r="AF241">
        <v>-5.5661559921221073</v>
      </c>
      <c r="AG241">
        <v>-5.3760413308515584</v>
      </c>
      <c r="AH241">
        <v>-5.2605224848766872</v>
      </c>
      <c r="AI241">
        <v>-9.4138218129965363</v>
      </c>
      <c r="AJ241">
        <v>-5.3044595133149679</v>
      </c>
      <c r="AK241">
        <v>-9.2115402892646152</v>
      </c>
      <c r="AL241">
        <v>-5.190478797061524</v>
      </c>
      <c r="AM241">
        <v>3.2665901802502302</v>
      </c>
      <c r="AN241">
        <v>3.1963986202021628</v>
      </c>
    </row>
    <row r="242" spans="1:40" x14ac:dyDescent="0.25">
      <c r="A242" s="1" t="s">
        <v>1262</v>
      </c>
      <c r="B242">
        <v>49262952010</v>
      </c>
      <c r="C242" t="s">
        <v>87</v>
      </c>
      <c r="D242" t="s">
        <v>127</v>
      </c>
      <c r="E242">
        <v>14147000000</v>
      </c>
      <c r="F242">
        <v>-8124000000</v>
      </c>
      <c r="G242">
        <v>-4909000000</v>
      </c>
      <c r="H242">
        <v>-8712000000</v>
      </c>
      <c r="I242">
        <v>-8596000000</v>
      </c>
      <c r="J242">
        <v>-8506000000</v>
      </c>
      <c r="K242">
        <v>10873000000</v>
      </c>
      <c r="L242">
        <v>440000000</v>
      </c>
      <c r="M242">
        <v>11313000000</v>
      </c>
      <c r="N242">
        <v>13925000000</v>
      </c>
      <c r="O242">
        <v>1299000000</v>
      </c>
      <c r="P242">
        <v>196000000</v>
      </c>
      <c r="Q242">
        <v>7230000000</v>
      </c>
      <c r="R242">
        <v>5639000000</v>
      </c>
      <c r="S242">
        <v>16578000000</v>
      </c>
      <c r="T242">
        <v>0</v>
      </c>
      <c r="U242">
        <v>993000000</v>
      </c>
      <c r="V242">
        <v>14190000000</v>
      </c>
      <c r="W242">
        <v>45375952010</v>
      </c>
      <c r="X242">
        <v>46368952010</v>
      </c>
      <c r="Y242">
        <v>3.4822189870643951</v>
      </c>
      <c r="Z242">
        <v>-6.0638788786312174</v>
      </c>
      <c r="AA242">
        <v>-10.035231617437359</v>
      </c>
      <c r="AB242">
        <v>-5.6546088165748394</v>
      </c>
      <c r="AC242">
        <v>-5.7309157759422984</v>
      </c>
      <c r="AD242">
        <v>-5.7915532577004472</v>
      </c>
      <c r="AE242">
        <v>-5.7076504197439686</v>
      </c>
      <c r="AF242">
        <v>-5.5854199913835547</v>
      </c>
      <c r="AG242">
        <v>-5.3942475581665894</v>
      </c>
      <c r="AH242">
        <v>-5.2787287121917172</v>
      </c>
      <c r="AI242">
        <v>-9.4457021817070679</v>
      </c>
      <c r="AJ242">
        <v>-5.3224233252984394</v>
      </c>
      <c r="AK242">
        <v>-9.2434206579751486</v>
      </c>
      <c r="AL242">
        <v>-5.2084426090449956</v>
      </c>
      <c r="AM242">
        <v>3.2776526479112178</v>
      </c>
      <c r="AN242">
        <v>3.2074610878631509</v>
      </c>
    </row>
    <row r="243" spans="1:40" x14ac:dyDescent="0.25">
      <c r="A243" s="1" t="s">
        <v>1261</v>
      </c>
      <c r="B243">
        <v>51280072530</v>
      </c>
      <c r="C243" t="s">
        <v>87</v>
      </c>
      <c r="D243" t="s">
        <v>127</v>
      </c>
      <c r="E243">
        <v>14147000000</v>
      </c>
      <c r="F243">
        <v>-8124000000</v>
      </c>
      <c r="G243">
        <v>-4909000000</v>
      </c>
      <c r="H243">
        <v>-8712000000</v>
      </c>
      <c r="I243">
        <v>-8596000000</v>
      </c>
      <c r="J243">
        <v>-8506000000</v>
      </c>
      <c r="K243">
        <v>10873000000</v>
      </c>
      <c r="L243">
        <v>440000000</v>
      </c>
      <c r="M243">
        <v>11313000000</v>
      </c>
      <c r="N243">
        <v>13925000000</v>
      </c>
      <c r="O243">
        <v>1299000000</v>
      </c>
      <c r="P243">
        <v>196000000</v>
      </c>
      <c r="Q243">
        <v>7230000000</v>
      </c>
      <c r="R243">
        <v>5639000000</v>
      </c>
      <c r="S243">
        <v>16578000000</v>
      </c>
      <c r="T243">
        <v>0</v>
      </c>
      <c r="U243">
        <v>993000000</v>
      </c>
      <c r="V243">
        <v>14190000000</v>
      </c>
      <c r="W243">
        <v>47393072530</v>
      </c>
      <c r="X243">
        <v>48386072530</v>
      </c>
      <c r="Y243">
        <v>3.6248019035837991</v>
      </c>
      <c r="Z243">
        <v>-6.3121704246676513</v>
      </c>
      <c r="AA243">
        <v>-10.44613414748421</v>
      </c>
      <c r="AB243">
        <v>-5.8861423932506884</v>
      </c>
      <c r="AC243">
        <v>-5.9655738168915784</v>
      </c>
      <c r="AD243">
        <v>-6.0286941605925231</v>
      </c>
      <c r="AE243">
        <v>-5.9559419657804034</v>
      </c>
      <c r="AF243">
        <v>-5.8337115374199904</v>
      </c>
      <c r="AG243">
        <v>-5.6289055991158676</v>
      </c>
      <c r="AH243">
        <v>-5.5133867531409946</v>
      </c>
      <c r="AI243">
        <v>-9.8566047117539206</v>
      </c>
      <c r="AJ243">
        <v>-5.5539569019742876</v>
      </c>
      <c r="AK243">
        <v>-9.6543231880220013</v>
      </c>
      <c r="AL243">
        <v>-5.4399761857208446</v>
      </c>
      <c r="AM243">
        <v>3.4202355644306208</v>
      </c>
      <c r="AN243">
        <v>3.3500440043825548</v>
      </c>
    </row>
    <row r="244" spans="1:40" x14ac:dyDescent="0.25">
      <c r="A244" s="1" t="s">
        <v>1260</v>
      </c>
      <c r="B244">
        <v>52306021760</v>
      </c>
      <c r="C244" t="s">
        <v>87</v>
      </c>
      <c r="D244" t="s">
        <v>127</v>
      </c>
      <c r="E244">
        <v>14147000000</v>
      </c>
      <c r="F244">
        <v>-8124000000</v>
      </c>
      <c r="G244">
        <v>-4909000000</v>
      </c>
      <c r="H244">
        <v>-8712000000</v>
      </c>
      <c r="I244">
        <v>-8596000000</v>
      </c>
      <c r="J244">
        <v>-8506000000</v>
      </c>
      <c r="K244">
        <v>10873000000</v>
      </c>
      <c r="L244">
        <v>440000000</v>
      </c>
      <c r="M244">
        <v>11313000000</v>
      </c>
      <c r="N244">
        <v>13925000000</v>
      </c>
      <c r="O244">
        <v>1299000000</v>
      </c>
      <c r="P244">
        <v>196000000</v>
      </c>
      <c r="Q244">
        <v>7230000000</v>
      </c>
      <c r="R244">
        <v>5639000000</v>
      </c>
      <c r="S244">
        <v>16578000000</v>
      </c>
      <c r="T244">
        <v>0</v>
      </c>
      <c r="U244">
        <v>993000000</v>
      </c>
      <c r="V244">
        <v>14190000000</v>
      </c>
      <c r="W244">
        <v>48419021760</v>
      </c>
      <c r="X244">
        <v>49412021760</v>
      </c>
      <c r="Y244">
        <v>3.697322524916943</v>
      </c>
      <c r="Z244">
        <v>-6.4384566420482523</v>
      </c>
      <c r="AA244">
        <v>-10.655127675697701</v>
      </c>
      <c r="AB244">
        <v>-6.0039051606978884</v>
      </c>
      <c r="AC244">
        <v>-6.0849257515123316</v>
      </c>
      <c r="AD244">
        <v>-6.1493089301669412</v>
      </c>
      <c r="AE244">
        <v>-6.0822281831610043</v>
      </c>
      <c r="AF244">
        <v>-5.9599977548005896</v>
      </c>
      <c r="AG244">
        <v>-5.7482575337366217</v>
      </c>
      <c r="AH244">
        <v>-5.6327386877617496</v>
      </c>
      <c r="AI244">
        <v>-10.065598239967411</v>
      </c>
      <c r="AJ244">
        <v>-5.6717196694214884</v>
      </c>
      <c r="AK244">
        <v>-9.8633167162354862</v>
      </c>
      <c r="AL244">
        <v>-5.5577389531680437</v>
      </c>
      <c r="AM244">
        <v>3.4927561857637661</v>
      </c>
      <c r="AN244">
        <v>3.4225646257157001</v>
      </c>
    </row>
    <row r="245" spans="1:40" x14ac:dyDescent="0.25">
      <c r="A245" s="1" t="s">
        <v>1259</v>
      </c>
      <c r="B245">
        <v>52375577640</v>
      </c>
      <c r="C245" t="s">
        <v>87</v>
      </c>
      <c r="D245" t="s">
        <v>127</v>
      </c>
      <c r="E245">
        <v>14147000000</v>
      </c>
      <c r="F245">
        <v>-8124000000</v>
      </c>
      <c r="G245">
        <v>-4909000000</v>
      </c>
      <c r="H245">
        <v>-8712000000</v>
      </c>
      <c r="I245">
        <v>-8596000000</v>
      </c>
      <c r="J245">
        <v>-8506000000</v>
      </c>
      <c r="K245">
        <v>10873000000</v>
      </c>
      <c r="L245">
        <v>440000000</v>
      </c>
      <c r="M245">
        <v>11313000000</v>
      </c>
      <c r="N245">
        <v>13925000000</v>
      </c>
      <c r="O245">
        <v>1299000000</v>
      </c>
      <c r="P245">
        <v>196000000</v>
      </c>
      <c r="Q245">
        <v>7230000000</v>
      </c>
      <c r="R245">
        <v>5639000000</v>
      </c>
      <c r="S245">
        <v>16578000000</v>
      </c>
      <c r="T245">
        <v>0</v>
      </c>
      <c r="U245">
        <v>993000000</v>
      </c>
      <c r="V245">
        <v>14190000000</v>
      </c>
      <c r="W245">
        <v>48488577640</v>
      </c>
      <c r="X245">
        <v>49481577640</v>
      </c>
      <c r="Y245">
        <v>3.7022391772107159</v>
      </c>
      <c r="Z245">
        <v>-6.447018419497784</v>
      </c>
      <c r="AA245">
        <v>-10.66929672845793</v>
      </c>
      <c r="AB245">
        <v>-6.0118890771349864</v>
      </c>
      <c r="AC245">
        <v>-6.0930174080967889</v>
      </c>
      <c r="AD245">
        <v>-6.1574862026804604</v>
      </c>
      <c r="AE245">
        <v>-6.0907899606105369</v>
      </c>
      <c r="AF245">
        <v>-5.968559532250123</v>
      </c>
      <c r="AG245">
        <v>-5.7563491903210799</v>
      </c>
      <c r="AH245">
        <v>-5.6408303443462078</v>
      </c>
      <c r="AI245">
        <v>-10.07976729272764</v>
      </c>
      <c r="AJ245">
        <v>-5.6797035858585856</v>
      </c>
      <c r="AK245">
        <v>-9.8774857689957223</v>
      </c>
      <c r="AL245">
        <v>-5.5657228696051426</v>
      </c>
      <c r="AM245">
        <v>3.497672838057539</v>
      </c>
      <c r="AN245">
        <v>3.4274812780094721</v>
      </c>
    </row>
    <row r="246" spans="1:40" x14ac:dyDescent="0.25">
      <c r="A246" s="1" t="s">
        <v>1258</v>
      </c>
      <c r="B246">
        <v>54549198890</v>
      </c>
      <c r="C246" t="s">
        <v>87</v>
      </c>
      <c r="D246" t="s">
        <v>127</v>
      </c>
      <c r="E246">
        <v>14147000000</v>
      </c>
      <c r="F246">
        <v>-8124000000</v>
      </c>
      <c r="G246">
        <v>-4909000000</v>
      </c>
      <c r="H246">
        <v>-8712000000</v>
      </c>
      <c r="I246">
        <v>-8596000000</v>
      </c>
      <c r="J246">
        <v>-8506000000</v>
      </c>
      <c r="K246">
        <v>10873000000</v>
      </c>
      <c r="L246">
        <v>440000000</v>
      </c>
      <c r="M246">
        <v>11313000000</v>
      </c>
      <c r="N246">
        <v>13925000000</v>
      </c>
      <c r="O246">
        <v>1299000000</v>
      </c>
      <c r="P246">
        <v>196000000</v>
      </c>
      <c r="Q246">
        <v>7230000000</v>
      </c>
      <c r="R246">
        <v>5639000000</v>
      </c>
      <c r="S246">
        <v>16578000000</v>
      </c>
      <c r="T246">
        <v>0</v>
      </c>
      <c r="U246">
        <v>993000000</v>
      </c>
      <c r="V246">
        <v>14190000000</v>
      </c>
      <c r="W246">
        <v>50662198890</v>
      </c>
      <c r="X246">
        <v>51655198890</v>
      </c>
      <c r="Y246">
        <v>3.855884561391107</v>
      </c>
      <c r="Z246">
        <v>-6.714573964795667</v>
      </c>
      <c r="AA246">
        <v>-11.112079627215319</v>
      </c>
      <c r="AB246">
        <v>-6.261386465794307</v>
      </c>
      <c r="AC246">
        <v>-6.3458816763610981</v>
      </c>
      <c r="AD246">
        <v>-6.4130259687279567</v>
      </c>
      <c r="AE246">
        <v>-6.3583455059084191</v>
      </c>
      <c r="AF246">
        <v>-6.2361150775480061</v>
      </c>
      <c r="AG246">
        <v>-6.0092134585853882</v>
      </c>
      <c r="AH246">
        <v>-5.8936946126105161</v>
      </c>
      <c r="AI246">
        <v>-10.522550191485029</v>
      </c>
      <c r="AJ246">
        <v>-5.9292009745179062</v>
      </c>
      <c r="AK246">
        <v>-10.32026866775311</v>
      </c>
      <c r="AL246">
        <v>-5.8152202582644632</v>
      </c>
      <c r="AM246">
        <v>3.6513182222379301</v>
      </c>
      <c r="AN246">
        <v>3.5811266621898641</v>
      </c>
    </row>
    <row r="247" spans="1:40" x14ac:dyDescent="0.25">
      <c r="A247" s="1" t="s">
        <v>1257</v>
      </c>
      <c r="B247">
        <v>52636412190</v>
      </c>
      <c r="C247" t="s">
        <v>87</v>
      </c>
      <c r="D247" t="s">
        <v>127</v>
      </c>
      <c r="E247">
        <v>14147000000</v>
      </c>
      <c r="F247">
        <v>-8124000000</v>
      </c>
      <c r="G247">
        <v>-4909000000</v>
      </c>
      <c r="H247">
        <v>-8712000000</v>
      </c>
      <c r="I247">
        <v>-8596000000</v>
      </c>
      <c r="J247">
        <v>-8506000000</v>
      </c>
      <c r="K247">
        <v>10873000000</v>
      </c>
      <c r="L247">
        <v>440000000</v>
      </c>
      <c r="M247">
        <v>11313000000</v>
      </c>
      <c r="N247">
        <v>13925000000</v>
      </c>
      <c r="O247">
        <v>1299000000</v>
      </c>
      <c r="P247">
        <v>196000000</v>
      </c>
      <c r="Q247">
        <v>7230000000</v>
      </c>
      <c r="R247">
        <v>5639000000</v>
      </c>
      <c r="S247">
        <v>16578000000</v>
      </c>
      <c r="T247">
        <v>0</v>
      </c>
      <c r="U247">
        <v>993000000</v>
      </c>
      <c r="V247">
        <v>14190000000</v>
      </c>
      <c r="W247">
        <v>48749412190</v>
      </c>
      <c r="X247">
        <v>49742412190</v>
      </c>
      <c r="Y247">
        <v>3.7206766233123632</v>
      </c>
      <c r="Z247">
        <v>-6.4791250849335302</v>
      </c>
      <c r="AA247">
        <v>-10.72243067630882</v>
      </c>
      <c r="AB247">
        <v>-6.041828763774105</v>
      </c>
      <c r="AC247">
        <v>-6.1233611202885063</v>
      </c>
      <c r="AD247">
        <v>-6.1881509746061596</v>
      </c>
      <c r="AE247">
        <v>-6.1228966260462823</v>
      </c>
      <c r="AF247">
        <v>-6.0006661976858693</v>
      </c>
      <c r="AG247">
        <v>-5.7866929025127964</v>
      </c>
      <c r="AH247">
        <v>-5.6711740565379243</v>
      </c>
      <c r="AI247">
        <v>-10.13290124057853</v>
      </c>
      <c r="AJ247">
        <v>-5.7096432724977042</v>
      </c>
      <c r="AK247">
        <v>-9.9306197168466088</v>
      </c>
      <c r="AL247">
        <v>-5.5956625562442612</v>
      </c>
      <c r="AM247">
        <v>3.5161102841591858</v>
      </c>
      <c r="AN247">
        <v>3.4459187241111189</v>
      </c>
    </row>
    <row r="248" spans="1:40" x14ac:dyDescent="0.25">
      <c r="A248" s="1" t="s">
        <v>1256</v>
      </c>
      <c r="B248">
        <v>49367285830</v>
      </c>
      <c r="C248" t="s">
        <v>87</v>
      </c>
      <c r="D248" t="s">
        <v>127</v>
      </c>
      <c r="E248">
        <v>14147000000</v>
      </c>
      <c r="F248">
        <v>-8124000000</v>
      </c>
      <c r="G248">
        <v>-4909000000</v>
      </c>
      <c r="H248">
        <v>-8712000000</v>
      </c>
      <c r="I248">
        <v>-8596000000</v>
      </c>
      <c r="J248">
        <v>-8506000000</v>
      </c>
      <c r="K248">
        <v>10873000000</v>
      </c>
      <c r="L248">
        <v>440000000</v>
      </c>
      <c r="M248">
        <v>11313000000</v>
      </c>
      <c r="N248">
        <v>13925000000</v>
      </c>
      <c r="O248">
        <v>1299000000</v>
      </c>
      <c r="P248">
        <v>196000000</v>
      </c>
      <c r="Q248">
        <v>7230000000</v>
      </c>
      <c r="R248">
        <v>5639000000</v>
      </c>
      <c r="S248">
        <v>16578000000</v>
      </c>
      <c r="T248">
        <v>0</v>
      </c>
      <c r="U248">
        <v>993000000</v>
      </c>
      <c r="V248">
        <v>14190000000</v>
      </c>
      <c r="W248">
        <v>45480285830</v>
      </c>
      <c r="X248">
        <v>46473285830</v>
      </c>
      <c r="Y248">
        <v>3.4895939655050539</v>
      </c>
      <c r="Z248">
        <v>-6.0767215448055154</v>
      </c>
      <c r="AA248">
        <v>-10.056485196577709</v>
      </c>
      <c r="AB248">
        <v>-5.6665846912304856</v>
      </c>
      <c r="AC248">
        <v>-5.7430532608189857</v>
      </c>
      <c r="AD248">
        <v>-5.8038191664707268</v>
      </c>
      <c r="AE248">
        <v>-5.7204930859182674</v>
      </c>
      <c r="AF248">
        <v>-5.5982626575578536</v>
      </c>
      <c r="AG248">
        <v>-5.4063850430432758</v>
      </c>
      <c r="AH248">
        <v>-5.2908661970684037</v>
      </c>
      <c r="AI248">
        <v>-9.4669557608474229</v>
      </c>
      <c r="AJ248">
        <v>-5.3343991999540874</v>
      </c>
      <c r="AK248">
        <v>-9.2646742371155018</v>
      </c>
      <c r="AL248">
        <v>-5.2204184837006427</v>
      </c>
      <c r="AM248">
        <v>3.285027626351877</v>
      </c>
      <c r="AN248">
        <v>3.21483606630381</v>
      </c>
    </row>
    <row r="249" spans="1:40" x14ac:dyDescent="0.25">
      <c r="A249" s="1" t="s">
        <v>1255</v>
      </c>
      <c r="B249">
        <v>47680555740</v>
      </c>
      <c r="C249" t="s">
        <v>87</v>
      </c>
      <c r="D249" t="s">
        <v>127</v>
      </c>
      <c r="E249">
        <v>14147000000</v>
      </c>
      <c r="F249">
        <v>-8124000000</v>
      </c>
      <c r="G249">
        <v>-4909000000</v>
      </c>
      <c r="H249">
        <v>-8712000000</v>
      </c>
      <c r="I249">
        <v>-8596000000</v>
      </c>
      <c r="J249">
        <v>-8506000000</v>
      </c>
      <c r="K249">
        <v>10873000000</v>
      </c>
      <c r="L249">
        <v>440000000</v>
      </c>
      <c r="M249">
        <v>11313000000</v>
      </c>
      <c r="N249">
        <v>13925000000</v>
      </c>
      <c r="O249">
        <v>1299000000</v>
      </c>
      <c r="P249">
        <v>196000000</v>
      </c>
      <c r="Q249">
        <v>7230000000</v>
      </c>
      <c r="R249">
        <v>5639000000</v>
      </c>
      <c r="S249">
        <v>16578000000</v>
      </c>
      <c r="T249">
        <v>0</v>
      </c>
      <c r="U249">
        <v>993000000</v>
      </c>
      <c r="V249">
        <v>14190000000</v>
      </c>
      <c r="W249">
        <v>43793555740</v>
      </c>
      <c r="X249">
        <v>44786555740</v>
      </c>
      <c r="Y249">
        <v>3.3703651473810701</v>
      </c>
      <c r="Z249">
        <v>-5.8690984416543577</v>
      </c>
      <c r="AA249">
        <v>-9.7128856671419843</v>
      </c>
      <c r="AB249">
        <v>-5.4729747176308541</v>
      </c>
      <c r="AC249">
        <v>-5.5468305886458822</v>
      </c>
      <c r="AD249">
        <v>-5.6055203080178702</v>
      </c>
      <c r="AE249">
        <v>-5.5128699827671097</v>
      </c>
      <c r="AF249">
        <v>-5.3906395544066958</v>
      </c>
      <c r="AG249">
        <v>-5.2101623708701723</v>
      </c>
      <c r="AH249">
        <v>-5.0946435248953001</v>
      </c>
      <c r="AI249">
        <v>-9.1233562314116927</v>
      </c>
      <c r="AJ249">
        <v>-5.1407892263544532</v>
      </c>
      <c r="AK249">
        <v>-8.9210747076797716</v>
      </c>
      <c r="AL249">
        <v>-5.0268085101010103</v>
      </c>
      <c r="AM249">
        <v>3.1657988082278932</v>
      </c>
      <c r="AN249">
        <v>3.0956072481798258</v>
      </c>
    </row>
    <row r="250" spans="1:40" x14ac:dyDescent="0.25">
      <c r="A250" s="1" t="s">
        <v>1254</v>
      </c>
      <c r="B250">
        <v>48810838790</v>
      </c>
      <c r="C250" t="s">
        <v>87</v>
      </c>
      <c r="D250" t="s">
        <v>127</v>
      </c>
      <c r="E250">
        <v>14147000000</v>
      </c>
      <c r="F250">
        <v>-8124000000</v>
      </c>
      <c r="G250">
        <v>-4909000000</v>
      </c>
      <c r="H250">
        <v>-8712000000</v>
      </c>
      <c r="I250">
        <v>-8596000000</v>
      </c>
      <c r="J250">
        <v>-8506000000</v>
      </c>
      <c r="K250">
        <v>10873000000</v>
      </c>
      <c r="L250">
        <v>440000000</v>
      </c>
      <c r="M250">
        <v>11313000000</v>
      </c>
      <c r="N250">
        <v>13925000000</v>
      </c>
      <c r="O250">
        <v>1299000000</v>
      </c>
      <c r="P250">
        <v>196000000</v>
      </c>
      <c r="Q250">
        <v>7230000000</v>
      </c>
      <c r="R250">
        <v>5639000000</v>
      </c>
      <c r="S250">
        <v>16578000000</v>
      </c>
      <c r="T250">
        <v>0</v>
      </c>
      <c r="U250">
        <v>993000000</v>
      </c>
      <c r="V250">
        <v>14190000000</v>
      </c>
      <c r="W250">
        <v>44923838790</v>
      </c>
      <c r="X250">
        <v>45916838790</v>
      </c>
      <c r="Y250">
        <v>3.4502607471548741</v>
      </c>
      <c r="Z250">
        <v>-6.0082273252092566</v>
      </c>
      <c r="AA250">
        <v>-9.9431327744958242</v>
      </c>
      <c r="AB250">
        <v>-5.6027133597337002</v>
      </c>
      <c r="AC250">
        <v>-5.6783200081433227</v>
      </c>
      <c r="AD250">
        <v>-5.738400986362568</v>
      </c>
      <c r="AE250">
        <v>-5.6519988663220087</v>
      </c>
      <c r="AF250">
        <v>-5.5297684379615957</v>
      </c>
      <c r="AG250">
        <v>-5.3416517903676128</v>
      </c>
      <c r="AH250">
        <v>-5.2261329443927407</v>
      </c>
      <c r="AI250">
        <v>-9.3536033387655326</v>
      </c>
      <c r="AJ250">
        <v>-5.2705278684573003</v>
      </c>
      <c r="AK250">
        <v>-9.1513218150336115</v>
      </c>
      <c r="AL250">
        <v>-5.1565471522038564</v>
      </c>
      <c r="AM250">
        <v>3.2456944080016958</v>
      </c>
      <c r="AN250">
        <v>3.1755028479536298</v>
      </c>
    </row>
    <row r="251" spans="1:40" x14ac:dyDescent="0.25">
      <c r="A251" s="1" t="s">
        <v>1253</v>
      </c>
      <c r="B251">
        <v>48376114540</v>
      </c>
      <c r="C251" t="s">
        <v>87</v>
      </c>
      <c r="D251" t="s">
        <v>127</v>
      </c>
      <c r="E251">
        <v>14147000000</v>
      </c>
      <c r="F251">
        <v>-8124000000</v>
      </c>
      <c r="G251">
        <v>-4909000000</v>
      </c>
      <c r="H251">
        <v>-8712000000</v>
      </c>
      <c r="I251">
        <v>-8596000000</v>
      </c>
      <c r="J251">
        <v>-8506000000</v>
      </c>
      <c r="K251">
        <v>10873000000</v>
      </c>
      <c r="L251">
        <v>440000000</v>
      </c>
      <c r="M251">
        <v>11313000000</v>
      </c>
      <c r="N251">
        <v>13925000000</v>
      </c>
      <c r="O251">
        <v>1299000000</v>
      </c>
      <c r="P251">
        <v>196000000</v>
      </c>
      <c r="Q251">
        <v>7230000000</v>
      </c>
      <c r="R251">
        <v>5639000000</v>
      </c>
      <c r="S251">
        <v>16578000000</v>
      </c>
      <c r="T251">
        <v>0</v>
      </c>
      <c r="U251">
        <v>993000000</v>
      </c>
      <c r="V251">
        <v>14190000000</v>
      </c>
      <c r="W251">
        <v>44489114540</v>
      </c>
      <c r="X251">
        <v>45482114540</v>
      </c>
      <c r="Y251">
        <v>3.4195316703187961</v>
      </c>
      <c r="Z251">
        <v>-5.9547162161496798</v>
      </c>
      <c r="AA251">
        <v>-9.8545761947443467</v>
      </c>
      <c r="AB251">
        <v>-5.5528138820018356</v>
      </c>
      <c r="AC251">
        <v>-5.6277471544904607</v>
      </c>
      <c r="AD251">
        <v>-5.6872930331530682</v>
      </c>
      <c r="AE251">
        <v>-5.5984877572624319</v>
      </c>
      <c r="AF251">
        <v>-5.4762573289020189</v>
      </c>
      <c r="AG251">
        <v>-5.2910789367147508</v>
      </c>
      <c r="AH251">
        <v>-5.1755600907398787</v>
      </c>
      <c r="AI251">
        <v>-9.2650467590140551</v>
      </c>
      <c r="AJ251">
        <v>-5.2206283907254356</v>
      </c>
      <c r="AK251">
        <v>-9.0627652352821357</v>
      </c>
      <c r="AL251">
        <v>-5.1066476744719926</v>
      </c>
      <c r="AM251">
        <v>3.2149653311656179</v>
      </c>
      <c r="AN251">
        <v>3.144773771117551</v>
      </c>
    </row>
    <row r="252" spans="1:40" x14ac:dyDescent="0.25">
      <c r="A252" s="1" t="s">
        <v>135</v>
      </c>
      <c r="B252">
        <v>53784084210</v>
      </c>
      <c r="C252" t="s">
        <v>87</v>
      </c>
      <c r="D252" t="s">
        <v>127</v>
      </c>
      <c r="E252">
        <v>14147000000</v>
      </c>
      <c r="F252">
        <v>-8124000000</v>
      </c>
      <c r="G252">
        <v>-4909000000</v>
      </c>
      <c r="H252">
        <v>-8712000000</v>
      </c>
      <c r="I252">
        <v>-8596000000</v>
      </c>
      <c r="J252">
        <v>-8506000000</v>
      </c>
      <c r="K252">
        <v>10873000000</v>
      </c>
      <c r="L252">
        <v>440000000</v>
      </c>
      <c r="M252">
        <v>11313000000</v>
      </c>
      <c r="N252">
        <v>13925000000</v>
      </c>
      <c r="O252">
        <v>1299000000</v>
      </c>
      <c r="P252">
        <v>196000000</v>
      </c>
      <c r="Q252">
        <v>7230000000</v>
      </c>
      <c r="R252">
        <v>5639000000</v>
      </c>
      <c r="S252">
        <v>16578000000</v>
      </c>
      <c r="T252">
        <v>0</v>
      </c>
      <c r="U252">
        <v>993000000</v>
      </c>
      <c r="V252">
        <v>14190000000</v>
      </c>
      <c r="W252">
        <v>49897084210</v>
      </c>
      <c r="X252">
        <v>50890084210</v>
      </c>
      <c r="Y252">
        <v>3.8018013861596098</v>
      </c>
      <c r="Z252">
        <v>-6.6203944128508123</v>
      </c>
      <c r="AA252">
        <v>-10.956220046852721</v>
      </c>
      <c r="AB252">
        <v>-6.1735633849862257</v>
      </c>
      <c r="AC252">
        <v>-6.2568734539320614</v>
      </c>
      <c r="AD252">
        <v>-6.3230759710792386</v>
      </c>
      <c r="AE252">
        <v>-6.2641659539635643</v>
      </c>
      <c r="AF252">
        <v>-6.1419355256031514</v>
      </c>
      <c r="AG252">
        <v>-5.9202052361563524</v>
      </c>
      <c r="AH252">
        <v>-5.8046863901814794</v>
      </c>
      <c r="AI252">
        <v>-10.366690611122429</v>
      </c>
      <c r="AJ252">
        <v>-5.8413778937098257</v>
      </c>
      <c r="AK252">
        <v>-10.16440908739051</v>
      </c>
      <c r="AL252">
        <v>-5.7273971774563819</v>
      </c>
      <c r="AM252">
        <v>3.597235047006432</v>
      </c>
      <c r="AN252">
        <v>3.527043486958366</v>
      </c>
    </row>
    <row r="253" spans="1:40" x14ac:dyDescent="0.25">
      <c r="A253" s="1" t="s">
        <v>1252</v>
      </c>
      <c r="B253">
        <v>57018432630</v>
      </c>
      <c r="C253" t="s">
        <v>86</v>
      </c>
      <c r="D253" t="s">
        <v>127</v>
      </c>
      <c r="E253">
        <v>14591000000</v>
      </c>
      <c r="F253">
        <v>-8371000000</v>
      </c>
      <c r="G253">
        <v>-4719000000</v>
      </c>
      <c r="H253">
        <v>-9028000000</v>
      </c>
      <c r="I253">
        <v>-8825000000</v>
      </c>
      <c r="J253">
        <v>-10430000000</v>
      </c>
      <c r="K253">
        <v>8165000000</v>
      </c>
      <c r="L253">
        <v>831000000</v>
      </c>
      <c r="M253">
        <v>8996000000</v>
      </c>
      <c r="N253">
        <v>11114000000</v>
      </c>
      <c r="O253">
        <v>1242000000</v>
      </c>
      <c r="P253">
        <v>205000000</v>
      </c>
      <c r="Q253">
        <v>7222000000</v>
      </c>
      <c r="R253">
        <v>6631000000</v>
      </c>
      <c r="S253">
        <v>17772000000</v>
      </c>
      <c r="T253">
        <v>0</v>
      </c>
      <c r="U253">
        <v>976000000</v>
      </c>
      <c r="V253">
        <v>11342000000</v>
      </c>
      <c r="W253">
        <v>55449432630</v>
      </c>
      <c r="X253">
        <v>56425432630</v>
      </c>
      <c r="Y253">
        <v>3.907781004043589</v>
      </c>
      <c r="Z253">
        <v>-6.8114242778640541</v>
      </c>
      <c r="AA253">
        <v>-12.08273630642085</v>
      </c>
      <c r="AB253">
        <v>-6.3157324579087284</v>
      </c>
      <c r="AC253">
        <v>-6.4610121960339946</v>
      </c>
      <c r="AD253">
        <v>-5.4667720642377757</v>
      </c>
      <c r="AE253">
        <v>-6.7405844737785214</v>
      </c>
      <c r="AF253">
        <v>-6.6239914741369006</v>
      </c>
      <c r="AG253">
        <v>-6.3938167286118981</v>
      </c>
      <c r="AH253">
        <v>-6.2832218277620404</v>
      </c>
      <c r="AI253">
        <v>-11.95707408984955</v>
      </c>
      <c r="AJ253">
        <v>-6.2500479209127162</v>
      </c>
      <c r="AK253">
        <v>-11.75025061029879</v>
      </c>
      <c r="AL253">
        <v>-6.1419398128046083</v>
      </c>
      <c r="AM253">
        <v>3.867139512713317</v>
      </c>
      <c r="AN253">
        <v>3.8002489637447741</v>
      </c>
    </row>
    <row r="254" spans="1:40" x14ac:dyDescent="0.25">
      <c r="A254" s="1" t="s">
        <v>1251</v>
      </c>
      <c r="B254">
        <v>55018701080</v>
      </c>
      <c r="C254" t="s">
        <v>86</v>
      </c>
      <c r="D254" t="s">
        <v>127</v>
      </c>
      <c r="E254">
        <v>14591000000</v>
      </c>
      <c r="F254">
        <v>-8371000000</v>
      </c>
      <c r="G254">
        <v>-4719000000</v>
      </c>
      <c r="H254">
        <v>-9028000000</v>
      </c>
      <c r="I254">
        <v>-8825000000</v>
      </c>
      <c r="J254">
        <v>-10430000000</v>
      </c>
      <c r="K254">
        <v>8165000000</v>
      </c>
      <c r="L254">
        <v>831000000</v>
      </c>
      <c r="M254">
        <v>8996000000</v>
      </c>
      <c r="N254">
        <v>11114000000</v>
      </c>
      <c r="O254">
        <v>1242000000</v>
      </c>
      <c r="P254">
        <v>205000000</v>
      </c>
      <c r="Q254">
        <v>7222000000</v>
      </c>
      <c r="R254">
        <v>6631000000</v>
      </c>
      <c r="S254">
        <v>17772000000</v>
      </c>
      <c r="T254">
        <v>0</v>
      </c>
      <c r="U254">
        <v>976000000</v>
      </c>
      <c r="V254">
        <v>11342000000</v>
      </c>
      <c r="W254">
        <v>53449701080</v>
      </c>
      <c r="X254">
        <v>54425701080</v>
      </c>
      <c r="Y254">
        <v>3.7707286053046398</v>
      </c>
      <c r="Z254">
        <v>-6.5725362656791306</v>
      </c>
      <c r="AA254">
        <v>-11.658974587836409</v>
      </c>
      <c r="AB254">
        <v>-6.0942291847585288</v>
      </c>
      <c r="AC254">
        <v>-6.2344137201133147</v>
      </c>
      <c r="AD254">
        <v>-5.2750432483221479</v>
      </c>
      <c r="AE254">
        <v>-6.501696461593597</v>
      </c>
      <c r="AF254">
        <v>-6.3851034619519771</v>
      </c>
      <c r="AG254">
        <v>-6.1672182526912183</v>
      </c>
      <c r="AH254">
        <v>-6.0566233518413597</v>
      </c>
      <c r="AI254">
        <v>-11.533312371265099</v>
      </c>
      <c r="AJ254">
        <v>-6.0285446477625166</v>
      </c>
      <c r="AK254">
        <v>-11.32648889171435</v>
      </c>
      <c r="AL254">
        <v>-5.9204365396544087</v>
      </c>
      <c r="AM254">
        <v>3.7300871139743679</v>
      </c>
      <c r="AN254">
        <v>3.6631965650058249</v>
      </c>
    </row>
    <row r="255" spans="1:40" x14ac:dyDescent="0.25">
      <c r="A255" s="1" t="s">
        <v>1250</v>
      </c>
      <c r="B255">
        <v>56340262800</v>
      </c>
      <c r="C255" t="s">
        <v>86</v>
      </c>
      <c r="D255" t="s">
        <v>127</v>
      </c>
      <c r="E255">
        <v>14591000000</v>
      </c>
      <c r="F255">
        <v>-8371000000</v>
      </c>
      <c r="G255">
        <v>-4719000000</v>
      </c>
      <c r="H255">
        <v>-9028000000</v>
      </c>
      <c r="I255">
        <v>-8825000000</v>
      </c>
      <c r="J255">
        <v>-10430000000</v>
      </c>
      <c r="K255">
        <v>8165000000</v>
      </c>
      <c r="L255">
        <v>831000000</v>
      </c>
      <c r="M255">
        <v>8996000000</v>
      </c>
      <c r="N255">
        <v>11114000000</v>
      </c>
      <c r="O255">
        <v>1242000000</v>
      </c>
      <c r="P255">
        <v>205000000</v>
      </c>
      <c r="Q255">
        <v>7222000000</v>
      </c>
      <c r="R255">
        <v>6631000000</v>
      </c>
      <c r="S255">
        <v>17772000000</v>
      </c>
      <c r="T255">
        <v>0</v>
      </c>
      <c r="U255">
        <v>976000000</v>
      </c>
      <c r="V255">
        <v>11342000000</v>
      </c>
      <c r="W255">
        <v>54771262800</v>
      </c>
      <c r="X255">
        <v>55747262800</v>
      </c>
      <c r="Y255">
        <v>3.861302364471249</v>
      </c>
      <c r="Z255">
        <v>-6.7304100824274284</v>
      </c>
      <c r="AA255">
        <v>-11.93902581055308</v>
      </c>
      <c r="AB255">
        <v>-6.24061395657953</v>
      </c>
      <c r="AC255">
        <v>-6.384165756373938</v>
      </c>
      <c r="AD255">
        <v>-5.4017509875359542</v>
      </c>
      <c r="AE255">
        <v>-6.6595702783418949</v>
      </c>
      <c r="AF255">
        <v>-6.5429772787002749</v>
      </c>
      <c r="AG255">
        <v>-6.3169702889518424</v>
      </c>
      <c r="AH255">
        <v>-6.206375388101983</v>
      </c>
      <c r="AI255">
        <v>-11.81336359398178</v>
      </c>
      <c r="AJ255">
        <v>-6.1749294195835178</v>
      </c>
      <c r="AK255">
        <v>-11.60654011443102</v>
      </c>
      <c r="AL255">
        <v>-6.0668213114754099</v>
      </c>
      <c r="AM255">
        <v>3.820660873140977</v>
      </c>
      <c r="AN255">
        <v>3.7537703241724349</v>
      </c>
    </row>
    <row r="256" spans="1:40" x14ac:dyDescent="0.25">
      <c r="A256" s="1" t="s">
        <v>1249</v>
      </c>
      <c r="B256">
        <v>57418378940</v>
      </c>
      <c r="C256" t="s">
        <v>86</v>
      </c>
      <c r="D256" t="s">
        <v>127</v>
      </c>
      <c r="E256">
        <v>14591000000</v>
      </c>
      <c r="F256">
        <v>-8371000000</v>
      </c>
      <c r="G256">
        <v>-4719000000</v>
      </c>
      <c r="H256">
        <v>-9028000000</v>
      </c>
      <c r="I256">
        <v>-8825000000</v>
      </c>
      <c r="J256">
        <v>-10430000000</v>
      </c>
      <c r="K256">
        <v>8165000000</v>
      </c>
      <c r="L256">
        <v>831000000</v>
      </c>
      <c r="M256">
        <v>8996000000</v>
      </c>
      <c r="N256">
        <v>11114000000</v>
      </c>
      <c r="O256">
        <v>1242000000</v>
      </c>
      <c r="P256">
        <v>205000000</v>
      </c>
      <c r="Q256">
        <v>7222000000</v>
      </c>
      <c r="R256">
        <v>6631000000</v>
      </c>
      <c r="S256">
        <v>17772000000</v>
      </c>
      <c r="T256">
        <v>0</v>
      </c>
      <c r="U256">
        <v>976000000</v>
      </c>
      <c r="V256">
        <v>11342000000</v>
      </c>
      <c r="W256">
        <v>55849378940</v>
      </c>
      <c r="X256">
        <v>56825378940</v>
      </c>
      <c r="Y256">
        <v>3.9351914837913782</v>
      </c>
      <c r="Z256">
        <v>-6.8592018803010397</v>
      </c>
      <c r="AA256">
        <v>-12.16748865013774</v>
      </c>
      <c r="AB256">
        <v>-6.3600331125387681</v>
      </c>
      <c r="AC256">
        <v>-6.5063318912181307</v>
      </c>
      <c r="AD256">
        <v>-5.5051178274209009</v>
      </c>
      <c r="AE256">
        <v>-6.7883620762155061</v>
      </c>
      <c r="AF256">
        <v>-6.6717690765738862</v>
      </c>
      <c r="AG256">
        <v>-6.4391364237960342</v>
      </c>
      <c r="AH256">
        <v>-6.3285415229461757</v>
      </c>
      <c r="AI256">
        <v>-12.041826433566429</v>
      </c>
      <c r="AJ256">
        <v>-6.294348575542756</v>
      </c>
      <c r="AK256">
        <v>-11.83500295401568</v>
      </c>
      <c r="AL256">
        <v>-6.1862404674346481</v>
      </c>
      <c r="AM256">
        <v>3.8945499924611058</v>
      </c>
      <c r="AN256">
        <v>3.8276594434925642</v>
      </c>
    </row>
    <row r="257" spans="1:40" x14ac:dyDescent="0.25">
      <c r="A257" s="1" t="s">
        <v>1248</v>
      </c>
      <c r="B257">
        <v>57018432630</v>
      </c>
      <c r="C257" t="s">
        <v>86</v>
      </c>
      <c r="D257" t="s">
        <v>127</v>
      </c>
      <c r="E257">
        <v>14591000000</v>
      </c>
      <c r="F257">
        <v>-8371000000</v>
      </c>
      <c r="G257">
        <v>-4719000000</v>
      </c>
      <c r="H257">
        <v>-9028000000</v>
      </c>
      <c r="I257">
        <v>-8825000000</v>
      </c>
      <c r="J257">
        <v>-10430000000</v>
      </c>
      <c r="K257">
        <v>8165000000</v>
      </c>
      <c r="L257">
        <v>831000000</v>
      </c>
      <c r="M257">
        <v>8996000000</v>
      </c>
      <c r="N257">
        <v>11114000000</v>
      </c>
      <c r="O257">
        <v>1242000000</v>
      </c>
      <c r="P257">
        <v>205000000</v>
      </c>
      <c r="Q257">
        <v>7222000000</v>
      </c>
      <c r="R257">
        <v>6631000000</v>
      </c>
      <c r="S257">
        <v>17772000000</v>
      </c>
      <c r="T257">
        <v>0</v>
      </c>
      <c r="U257">
        <v>976000000</v>
      </c>
      <c r="V257">
        <v>11342000000</v>
      </c>
      <c r="W257">
        <v>55449432630</v>
      </c>
      <c r="X257">
        <v>56425432630</v>
      </c>
      <c r="Y257">
        <v>3.907781004043589</v>
      </c>
      <c r="Z257">
        <v>-6.8114242778640541</v>
      </c>
      <c r="AA257">
        <v>-12.08273630642085</v>
      </c>
      <c r="AB257">
        <v>-6.3157324579087284</v>
      </c>
      <c r="AC257">
        <v>-6.4610121960339946</v>
      </c>
      <c r="AD257">
        <v>-5.4667720642377757</v>
      </c>
      <c r="AE257">
        <v>-6.7405844737785214</v>
      </c>
      <c r="AF257">
        <v>-6.6239914741369006</v>
      </c>
      <c r="AG257">
        <v>-6.3938167286118981</v>
      </c>
      <c r="AH257">
        <v>-6.2832218277620404</v>
      </c>
      <c r="AI257">
        <v>-11.95707408984955</v>
      </c>
      <c r="AJ257">
        <v>-6.2500479209127162</v>
      </c>
      <c r="AK257">
        <v>-11.75025061029879</v>
      </c>
      <c r="AL257">
        <v>-6.1419398128046083</v>
      </c>
      <c r="AM257">
        <v>3.867139512713317</v>
      </c>
      <c r="AN257">
        <v>3.8002489637447741</v>
      </c>
    </row>
    <row r="258" spans="1:40" x14ac:dyDescent="0.25">
      <c r="A258" s="1" t="s">
        <v>1247</v>
      </c>
      <c r="B258">
        <v>56461985590</v>
      </c>
      <c r="C258" t="s">
        <v>86</v>
      </c>
      <c r="D258" t="s">
        <v>127</v>
      </c>
      <c r="E258">
        <v>14591000000</v>
      </c>
      <c r="F258">
        <v>-8371000000</v>
      </c>
      <c r="G258">
        <v>-4719000000</v>
      </c>
      <c r="H258">
        <v>-9028000000</v>
      </c>
      <c r="I258">
        <v>-8825000000</v>
      </c>
      <c r="J258">
        <v>-10430000000</v>
      </c>
      <c r="K258">
        <v>8165000000</v>
      </c>
      <c r="L258">
        <v>831000000</v>
      </c>
      <c r="M258">
        <v>8996000000</v>
      </c>
      <c r="N258">
        <v>11114000000</v>
      </c>
      <c r="O258">
        <v>1242000000</v>
      </c>
      <c r="P258">
        <v>205000000</v>
      </c>
      <c r="Q258">
        <v>7222000000</v>
      </c>
      <c r="R258">
        <v>6631000000</v>
      </c>
      <c r="S258">
        <v>17772000000</v>
      </c>
      <c r="T258">
        <v>0</v>
      </c>
      <c r="U258">
        <v>976000000</v>
      </c>
      <c r="V258">
        <v>11342000000</v>
      </c>
      <c r="W258">
        <v>54892985590</v>
      </c>
      <c r="X258">
        <v>55868985590</v>
      </c>
      <c r="Y258">
        <v>3.8696446843944901</v>
      </c>
      <c r="Z258">
        <v>-6.7449510918647713</v>
      </c>
      <c r="AA258">
        <v>-11.96482000211909</v>
      </c>
      <c r="AB258">
        <v>-6.254096764510412</v>
      </c>
      <c r="AC258">
        <v>-6.3979587070821529</v>
      </c>
      <c r="AD258">
        <v>-5.4134214372003839</v>
      </c>
      <c r="AE258">
        <v>-6.6741112877792377</v>
      </c>
      <c r="AF258">
        <v>-6.5575182881376177</v>
      </c>
      <c r="AG258">
        <v>-6.3307632396600564</v>
      </c>
      <c r="AH258">
        <v>-6.2201683388101987</v>
      </c>
      <c r="AI258">
        <v>-11.839157785547791</v>
      </c>
      <c r="AJ258">
        <v>-6.1884122275143998</v>
      </c>
      <c r="AK258">
        <v>-11.632334305997031</v>
      </c>
      <c r="AL258">
        <v>-6.0803041194062919</v>
      </c>
      <c r="AM258">
        <v>3.8290031930642181</v>
      </c>
      <c r="AN258">
        <v>3.762112644095676</v>
      </c>
    </row>
    <row r="259" spans="1:40" x14ac:dyDescent="0.25">
      <c r="A259" s="1" t="s">
        <v>1246</v>
      </c>
      <c r="B259">
        <v>58461717139</v>
      </c>
      <c r="C259" t="s">
        <v>86</v>
      </c>
      <c r="D259" t="s">
        <v>127</v>
      </c>
      <c r="E259">
        <v>14591000000</v>
      </c>
      <c r="F259">
        <v>-8371000000</v>
      </c>
      <c r="G259">
        <v>-4719000000</v>
      </c>
      <c r="H259">
        <v>-9028000000</v>
      </c>
      <c r="I259">
        <v>-8825000000</v>
      </c>
      <c r="J259">
        <v>-10430000000</v>
      </c>
      <c r="K259">
        <v>8165000000</v>
      </c>
      <c r="L259">
        <v>831000000</v>
      </c>
      <c r="M259">
        <v>8996000000</v>
      </c>
      <c r="N259">
        <v>11114000000</v>
      </c>
      <c r="O259">
        <v>1242000000</v>
      </c>
      <c r="P259">
        <v>205000000</v>
      </c>
      <c r="Q259">
        <v>7222000000</v>
      </c>
      <c r="R259">
        <v>6631000000</v>
      </c>
      <c r="S259">
        <v>17772000000</v>
      </c>
      <c r="T259">
        <v>0</v>
      </c>
      <c r="U259">
        <v>976000000</v>
      </c>
      <c r="V259">
        <v>11342000000</v>
      </c>
      <c r="W259">
        <v>56892717139</v>
      </c>
      <c r="X259">
        <v>57868717139</v>
      </c>
      <c r="Y259">
        <v>4.0066970830649034</v>
      </c>
      <c r="Z259">
        <v>-6.9838391039302357</v>
      </c>
      <c r="AA259">
        <v>-12.388581720491629</v>
      </c>
      <c r="AB259">
        <v>-6.475600037549845</v>
      </c>
      <c r="AC259">
        <v>-6.624557182889518</v>
      </c>
      <c r="AD259">
        <v>-5.6051502530201338</v>
      </c>
      <c r="AE259">
        <v>-6.9129992998447021</v>
      </c>
      <c r="AF259">
        <v>-6.7964063002030821</v>
      </c>
      <c r="AG259">
        <v>-6.5573617154674224</v>
      </c>
      <c r="AH259">
        <v>-6.4467668146175638</v>
      </c>
      <c r="AI259">
        <v>-12.262919503920321</v>
      </c>
      <c r="AJ259">
        <v>-6.4099155005538329</v>
      </c>
      <c r="AK259">
        <v>-12.05609602436957</v>
      </c>
      <c r="AL259">
        <v>-6.3018073924457241</v>
      </c>
      <c r="AM259">
        <v>3.966055591734631</v>
      </c>
      <c r="AN259">
        <v>3.8991650427660889</v>
      </c>
    </row>
    <row r="260" spans="1:40" x14ac:dyDescent="0.25">
      <c r="A260" s="1" t="s">
        <v>1245</v>
      </c>
      <c r="B260">
        <v>58079159800</v>
      </c>
      <c r="C260" t="s">
        <v>86</v>
      </c>
      <c r="D260" t="s">
        <v>127</v>
      </c>
      <c r="E260">
        <v>14591000000</v>
      </c>
      <c r="F260">
        <v>-8371000000</v>
      </c>
      <c r="G260">
        <v>-4719000000</v>
      </c>
      <c r="H260">
        <v>-9028000000</v>
      </c>
      <c r="I260">
        <v>-8825000000</v>
      </c>
      <c r="J260">
        <v>-10430000000</v>
      </c>
      <c r="K260">
        <v>8165000000</v>
      </c>
      <c r="L260">
        <v>831000000</v>
      </c>
      <c r="M260">
        <v>8996000000</v>
      </c>
      <c r="N260">
        <v>11114000000</v>
      </c>
      <c r="O260">
        <v>1242000000</v>
      </c>
      <c r="P260">
        <v>205000000</v>
      </c>
      <c r="Q260">
        <v>7222000000</v>
      </c>
      <c r="R260">
        <v>6631000000</v>
      </c>
      <c r="S260">
        <v>17772000000</v>
      </c>
      <c r="T260">
        <v>0</v>
      </c>
      <c r="U260">
        <v>976000000</v>
      </c>
      <c r="V260">
        <v>11342000000</v>
      </c>
      <c r="W260">
        <v>56510159800</v>
      </c>
      <c r="X260">
        <v>57486159800</v>
      </c>
      <c r="Y260">
        <v>3.980478363374683</v>
      </c>
      <c r="Z260">
        <v>-6.9381387886751877</v>
      </c>
      <c r="AA260">
        <v>-12.307514261496079</v>
      </c>
      <c r="AB260">
        <v>-6.4332254984492687</v>
      </c>
      <c r="AC260">
        <v>-6.5812079093484419</v>
      </c>
      <c r="AD260">
        <v>-5.5684716970278041</v>
      </c>
      <c r="AE260">
        <v>-6.867298984589655</v>
      </c>
      <c r="AF260">
        <v>-6.7507059849480351</v>
      </c>
      <c r="AG260">
        <v>-6.5140124419263454</v>
      </c>
      <c r="AH260">
        <v>-6.4034175410764869</v>
      </c>
      <c r="AI260">
        <v>-12.181852044924771</v>
      </c>
      <c r="AJ260">
        <v>-6.3675409614532574</v>
      </c>
      <c r="AK260">
        <v>-11.97502856537402</v>
      </c>
      <c r="AL260">
        <v>-6.2594328533451487</v>
      </c>
      <c r="AM260">
        <v>3.939836872044411</v>
      </c>
      <c r="AN260">
        <v>3.8729463230758689</v>
      </c>
    </row>
    <row r="261" spans="1:40" x14ac:dyDescent="0.25">
      <c r="A261" s="1" t="s">
        <v>1244</v>
      </c>
      <c r="B261">
        <v>59957168559</v>
      </c>
      <c r="C261" t="s">
        <v>86</v>
      </c>
      <c r="D261" t="s">
        <v>127</v>
      </c>
      <c r="E261">
        <v>14591000000</v>
      </c>
      <c r="F261">
        <v>-8371000000</v>
      </c>
      <c r="G261">
        <v>-4719000000</v>
      </c>
      <c r="H261">
        <v>-9028000000</v>
      </c>
      <c r="I261">
        <v>-8825000000</v>
      </c>
      <c r="J261">
        <v>-10430000000</v>
      </c>
      <c r="K261">
        <v>8165000000</v>
      </c>
      <c r="L261">
        <v>831000000</v>
      </c>
      <c r="M261">
        <v>8996000000</v>
      </c>
      <c r="N261">
        <v>11114000000</v>
      </c>
      <c r="O261">
        <v>1242000000</v>
      </c>
      <c r="P261">
        <v>205000000</v>
      </c>
      <c r="Q261">
        <v>7222000000</v>
      </c>
      <c r="R261">
        <v>6631000000</v>
      </c>
      <c r="S261">
        <v>17772000000</v>
      </c>
      <c r="T261">
        <v>0</v>
      </c>
      <c r="U261">
        <v>976000000</v>
      </c>
      <c r="V261">
        <v>11342000000</v>
      </c>
      <c r="W261">
        <v>58388168559</v>
      </c>
      <c r="X261">
        <v>59364168559</v>
      </c>
      <c r="Y261">
        <v>4.1091884421218561</v>
      </c>
      <c r="Z261">
        <v>-7.1624857913033093</v>
      </c>
      <c r="AA261">
        <v>-12.70548178830261</v>
      </c>
      <c r="AB261">
        <v>-6.6412459635578198</v>
      </c>
      <c r="AC261">
        <v>-6.7940134344475922</v>
      </c>
      <c r="AD261">
        <v>-5.748530063183126</v>
      </c>
      <c r="AE261">
        <v>-7.0916459872177757</v>
      </c>
      <c r="AF261">
        <v>-6.9750529875761558</v>
      </c>
      <c r="AG261">
        <v>-6.7268179670254957</v>
      </c>
      <c r="AH261">
        <v>-6.6162230661756372</v>
      </c>
      <c r="AI261">
        <v>-12.579819571731299</v>
      </c>
      <c r="AJ261">
        <v>-6.5755614265618076</v>
      </c>
      <c r="AK261">
        <v>-12.37299609218055</v>
      </c>
      <c r="AL261">
        <v>-6.4674533184536998</v>
      </c>
      <c r="AM261">
        <v>4.0685469507915837</v>
      </c>
      <c r="AN261">
        <v>4.0016564018230412</v>
      </c>
    </row>
    <row r="262" spans="1:40" x14ac:dyDescent="0.25">
      <c r="A262" s="1" t="s">
        <v>1243</v>
      </c>
      <c r="B262">
        <v>59574611220</v>
      </c>
      <c r="C262" t="s">
        <v>86</v>
      </c>
      <c r="D262" t="s">
        <v>127</v>
      </c>
      <c r="E262">
        <v>14591000000</v>
      </c>
      <c r="F262">
        <v>-8371000000</v>
      </c>
      <c r="G262">
        <v>-4719000000</v>
      </c>
      <c r="H262">
        <v>-9028000000</v>
      </c>
      <c r="I262">
        <v>-8825000000</v>
      </c>
      <c r="J262">
        <v>-10430000000</v>
      </c>
      <c r="K262">
        <v>8165000000</v>
      </c>
      <c r="L262">
        <v>831000000</v>
      </c>
      <c r="M262">
        <v>8996000000</v>
      </c>
      <c r="N262">
        <v>11114000000</v>
      </c>
      <c r="O262">
        <v>1242000000</v>
      </c>
      <c r="P262">
        <v>205000000</v>
      </c>
      <c r="Q262">
        <v>7222000000</v>
      </c>
      <c r="R262">
        <v>6631000000</v>
      </c>
      <c r="S262">
        <v>17772000000</v>
      </c>
      <c r="T262">
        <v>0</v>
      </c>
      <c r="U262">
        <v>976000000</v>
      </c>
      <c r="V262">
        <v>11342000000</v>
      </c>
      <c r="W262">
        <v>58005611220</v>
      </c>
      <c r="X262">
        <v>58981611220</v>
      </c>
      <c r="Y262">
        <v>4.0829697224316357</v>
      </c>
      <c r="Z262">
        <v>-7.1167854760482623</v>
      </c>
      <c r="AA262">
        <v>-12.62441432930706</v>
      </c>
      <c r="AB262">
        <v>-6.5988714244572444</v>
      </c>
      <c r="AC262">
        <v>-6.7506641609065152</v>
      </c>
      <c r="AD262">
        <v>-5.7118515071907954</v>
      </c>
      <c r="AE262">
        <v>-7.0459456719627287</v>
      </c>
      <c r="AF262">
        <v>-6.9293526723211087</v>
      </c>
      <c r="AG262">
        <v>-6.6834686934844196</v>
      </c>
      <c r="AH262">
        <v>-6.5728737926345611</v>
      </c>
      <c r="AI262">
        <v>-12.498752112735749</v>
      </c>
      <c r="AJ262">
        <v>-6.5331868874612313</v>
      </c>
      <c r="AK262">
        <v>-12.291928633185</v>
      </c>
      <c r="AL262">
        <v>-6.4250787793531234</v>
      </c>
      <c r="AM262">
        <v>4.0423282311013642</v>
      </c>
      <c r="AN262">
        <v>3.9754376821328221</v>
      </c>
    </row>
    <row r="263" spans="1:40" x14ac:dyDescent="0.25">
      <c r="A263" s="1" t="s">
        <v>1242</v>
      </c>
      <c r="B263">
        <v>60565782510</v>
      </c>
      <c r="C263" t="s">
        <v>86</v>
      </c>
      <c r="D263" t="s">
        <v>127</v>
      </c>
      <c r="E263">
        <v>14591000000</v>
      </c>
      <c r="F263">
        <v>-8371000000</v>
      </c>
      <c r="G263">
        <v>-4719000000</v>
      </c>
      <c r="H263">
        <v>-9028000000</v>
      </c>
      <c r="I263">
        <v>-8825000000</v>
      </c>
      <c r="J263">
        <v>-10430000000</v>
      </c>
      <c r="K263">
        <v>8165000000</v>
      </c>
      <c r="L263">
        <v>831000000</v>
      </c>
      <c r="M263">
        <v>8996000000</v>
      </c>
      <c r="N263">
        <v>11114000000</v>
      </c>
      <c r="O263">
        <v>1242000000</v>
      </c>
      <c r="P263">
        <v>205000000</v>
      </c>
      <c r="Q263">
        <v>7222000000</v>
      </c>
      <c r="R263">
        <v>6631000000</v>
      </c>
      <c r="S263">
        <v>17772000000</v>
      </c>
      <c r="T263">
        <v>0</v>
      </c>
      <c r="U263">
        <v>976000000</v>
      </c>
      <c r="V263">
        <v>11342000000</v>
      </c>
      <c r="W263">
        <v>58996782510</v>
      </c>
      <c r="X263">
        <v>59972782510</v>
      </c>
      <c r="Y263">
        <v>4.1509000418065929</v>
      </c>
      <c r="Z263">
        <v>-7.2351908386094852</v>
      </c>
      <c r="AA263">
        <v>-12.83445274634456</v>
      </c>
      <c r="AB263">
        <v>-6.7086600033229953</v>
      </c>
      <c r="AC263">
        <v>-6.8629781881019829</v>
      </c>
      <c r="AD263">
        <v>-5.8068823116011501</v>
      </c>
      <c r="AE263">
        <v>-7.1643510345239516</v>
      </c>
      <c r="AF263">
        <v>-7.0477580348823317</v>
      </c>
      <c r="AG263">
        <v>-6.7957827206798864</v>
      </c>
      <c r="AH263">
        <v>-6.6851878198300287</v>
      </c>
      <c r="AI263">
        <v>-12.70879052977326</v>
      </c>
      <c r="AJ263">
        <v>-6.6429754663269831</v>
      </c>
      <c r="AK263">
        <v>-12.5019670502225</v>
      </c>
      <c r="AL263">
        <v>-6.5348673582188743</v>
      </c>
      <c r="AM263">
        <v>4.1102585504763214</v>
      </c>
      <c r="AN263">
        <v>4.0433680015077789</v>
      </c>
    </row>
    <row r="264" spans="1:40" x14ac:dyDescent="0.25">
      <c r="A264" s="1" t="s">
        <v>1241</v>
      </c>
      <c r="B264">
        <v>60096280320</v>
      </c>
      <c r="C264" t="s">
        <v>86</v>
      </c>
      <c r="D264" t="s">
        <v>127</v>
      </c>
      <c r="E264">
        <v>14591000000</v>
      </c>
      <c r="F264">
        <v>-8371000000</v>
      </c>
      <c r="G264">
        <v>-4719000000</v>
      </c>
      <c r="H264">
        <v>-9028000000</v>
      </c>
      <c r="I264">
        <v>-8825000000</v>
      </c>
      <c r="J264">
        <v>-10430000000</v>
      </c>
      <c r="K264">
        <v>8165000000</v>
      </c>
      <c r="L264">
        <v>831000000</v>
      </c>
      <c r="M264">
        <v>8996000000</v>
      </c>
      <c r="N264">
        <v>11114000000</v>
      </c>
      <c r="O264">
        <v>1242000000</v>
      </c>
      <c r="P264">
        <v>205000000</v>
      </c>
      <c r="Q264">
        <v>7222000000</v>
      </c>
      <c r="R264">
        <v>6631000000</v>
      </c>
      <c r="S264">
        <v>17772000000</v>
      </c>
      <c r="T264">
        <v>0</v>
      </c>
      <c r="U264">
        <v>976000000</v>
      </c>
      <c r="V264">
        <v>11342000000</v>
      </c>
      <c r="W264">
        <v>58527280320</v>
      </c>
      <c r="X264">
        <v>59503280320</v>
      </c>
      <c r="Y264">
        <v>4.118722522102666</v>
      </c>
      <c r="Z264">
        <v>-7.1791040879225898</v>
      </c>
      <c r="AA264">
        <v>-12.73496086458996</v>
      </c>
      <c r="AB264">
        <v>-6.6566548870181661</v>
      </c>
      <c r="AC264">
        <v>-6.8097768067988671</v>
      </c>
      <c r="AD264">
        <v>-5.7618677200383512</v>
      </c>
      <c r="AE264">
        <v>-7.1082642838370562</v>
      </c>
      <c r="AF264">
        <v>-6.9916712841954363</v>
      </c>
      <c r="AG264">
        <v>-6.7425813393767706</v>
      </c>
      <c r="AH264">
        <v>-6.6319864385269121</v>
      </c>
      <c r="AI264">
        <v>-12.609298648018649</v>
      </c>
      <c r="AJ264">
        <v>-6.590970350022153</v>
      </c>
      <c r="AK264">
        <v>-12.4024751684679</v>
      </c>
      <c r="AL264">
        <v>-6.4828622419140451</v>
      </c>
      <c r="AM264">
        <v>4.0780810307723936</v>
      </c>
      <c r="AN264">
        <v>4.011190481803852</v>
      </c>
    </row>
    <row r="265" spans="1:40" x14ac:dyDescent="0.25">
      <c r="A265" s="1" t="s">
        <v>1240</v>
      </c>
      <c r="B265">
        <v>60652727360</v>
      </c>
      <c r="C265" t="s">
        <v>86</v>
      </c>
      <c r="D265" t="s">
        <v>127</v>
      </c>
      <c r="E265">
        <v>14591000000</v>
      </c>
      <c r="F265">
        <v>-8371000000</v>
      </c>
      <c r="G265">
        <v>-4719000000</v>
      </c>
      <c r="H265">
        <v>-9028000000</v>
      </c>
      <c r="I265">
        <v>-8825000000</v>
      </c>
      <c r="J265">
        <v>-10430000000</v>
      </c>
      <c r="K265">
        <v>8165000000</v>
      </c>
      <c r="L265">
        <v>831000000</v>
      </c>
      <c r="M265">
        <v>8996000000</v>
      </c>
      <c r="N265">
        <v>11114000000</v>
      </c>
      <c r="O265">
        <v>1242000000</v>
      </c>
      <c r="P265">
        <v>205000000</v>
      </c>
      <c r="Q265">
        <v>7222000000</v>
      </c>
      <c r="R265">
        <v>6631000000</v>
      </c>
      <c r="S265">
        <v>17772000000</v>
      </c>
      <c r="T265">
        <v>0</v>
      </c>
      <c r="U265">
        <v>976000000</v>
      </c>
      <c r="V265">
        <v>11342000000</v>
      </c>
      <c r="W265">
        <v>59083727360</v>
      </c>
      <c r="X265">
        <v>60059727360</v>
      </c>
      <c r="Y265">
        <v>4.1568588417517649</v>
      </c>
      <c r="Z265">
        <v>-7.2455772739218736</v>
      </c>
      <c r="AA265">
        <v>-12.852877168891711</v>
      </c>
      <c r="AB265">
        <v>-6.7182905804164816</v>
      </c>
      <c r="AC265">
        <v>-6.8728302957507079</v>
      </c>
      <c r="AD265">
        <v>-5.815218347075743</v>
      </c>
      <c r="AE265">
        <v>-7.17473746983634</v>
      </c>
      <c r="AF265">
        <v>-7.05814447019472</v>
      </c>
      <c r="AG265">
        <v>-6.8056348283286123</v>
      </c>
      <c r="AH265">
        <v>-6.6950399274787538</v>
      </c>
      <c r="AI265">
        <v>-12.727214952320409</v>
      </c>
      <c r="AJ265">
        <v>-6.6526060434204686</v>
      </c>
      <c r="AK265">
        <v>-12.520391472769649</v>
      </c>
      <c r="AL265">
        <v>-6.5444979353123616</v>
      </c>
      <c r="AM265">
        <v>4.1162173504214934</v>
      </c>
      <c r="AN265">
        <v>4.0493268014529509</v>
      </c>
    </row>
    <row r="266" spans="1:40" x14ac:dyDescent="0.25">
      <c r="A266" s="1" t="s">
        <v>1239</v>
      </c>
      <c r="B266">
        <v>59383332550</v>
      </c>
      <c r="C266" t="s">
        <v>86</v>
      </c>
      <c r="D266" t="s">
        <v>127</v>
      </c>
      <c r="E266">
        <v>14591000000</v>
      </c>
      <c r="F266">
        <v>-8371000000</v>
      </c>
      <c r="G266">
        <v>-4719000000</v>
      </c>
      <c r="H266">
        <v>-9028000000</v>
      </c>
      <c r="I266">
        <v>-8825000000</v>
      </c>
      <c r="J266">
        <v>-10430000000</v>
      </c>
      <c r="K266">
        <v>8165000000</v>
      </c>
      <c r="L266">
        <v>831000000</v>
      </c>
      <c r="M266">
        <v>8996000000</v>
      </c>
      <c r="N266">
        <v>11114000000</v>
      </c>
      <c r="O266">
        <v>1242000000</v>
      </c>
      <c r="P266">
        <v>205000000</v>
      </c>
      <c r="Q266">
        <v>7222000000</v>
      </c>
      <c r="R266">
        <v>6631000000</v>
      </c>
      <c r="S266">
        <v>17772000000</v>
      </c>
      <c r="T266">
        <v>0</v>
      </c>
      <c r="U266">
        <v>976000000</v>
      </c>
      <c r="V266">
        <v>11342000000</v>
      </c>
      <c r="W266">
        <v>57814332550</v>
      </c>
      <c r="X266">
        <v>58790332550</v>
      </c>
      <c r="Y266">
        <v>4.0698603625522578</v>
      </c>
      <c r="Z266">
        <v>-7.0939353183610079</v>
      </c>
      <c r="AA266">
        <v>-12.583880599703329</v>
      </c>
      <c r="AB266">
        <v>-6.577684154851573</v>
      </c>
      <c r="AC266">
        <v>-6.7289895240793198</v>
      </c>
      <c r="AD266">
        <v>-5.693512229146692</v>
      </c>
      <c r="AE266">
        <v>-7.0230955142754752</v>
      </c>
      <c r="AF266">
        <v>-6.9065025146338552</v>
      </c>
      <c r="AG266">
        <v>-6.6617940566572242</v>
      </c>
      <c r="AH266">
        <v>-6.5511991558073657</v>
      </c>
      <c r="AI266">
        <v>-12.458218383132021</v>
      </c>
      <c r="AJ266">
        <v>-6.5119996178555608</v>
      </c>
      <c r="AK266">
        <v>-12.25139490358127</v>
      </c>
      <c r="AL266">
        <v>-6.403891509747452</v>
      </c>
      <c r="AM266">
        <v>4.0292188712219863</v>
      </c>
      <c r="AN266">
        <v>3.9623283222534438</v>
      </c>
    </row>
    <row r="267" spans="1:40" x14ac:dyDescent="0.25">
      <c r="A267" s="1" t="s">
        <v>1238</v>
      </c>
      <c r="B267">
        <v>63156739040</v>
      </c>
      <c r="C267" t="s">
        <v>86</v>
      </c>
      <c r="D267" t="s">
        <v>127</v>
      </c>
      <c r="E267">
        <v>14591000000</v>
      </c>
      <c r="F267">
        <v>-8371000000</v>
      </c>
      <c r="G267">
        <v>-4719000000</v>
      </c>
      <c r="H267">
        <v>-9028000000</v>
      </c>
      <c r="I267">
        <v>-8825000000</v>
      </c>
      <c r="J267">
        <v>-10430000000</v>
      </c>
      <c r="K267">
        <v>8165000000</v>
      </c>
      <c r="L267">
        <v>831000000</v>
      </c>
      <c r="M267">
        <v>8996000000</v>
      </c>
      <c r="N267">
        <v>11114000000</v>
      </c>
      <c r="O267">
        <v>1242000000</v>
      </c>
      <c r="P267">
        <v>205000000</v>
      </c>
      <c r="Q267">
        <v>7222000000</v>
      </c>
      <c r="R267">
        <v>6631000000</v>
      </c>
      <c r="S267">
        <v>17772000000</v>
      </c>
      <c r="T267">
        <v>0</v>
      </c>
      <c r="U267">
        <v>976000000</v>
      </c>
      <c r="V267">
        <v>11342000000</v>
      </c>
      <c r="W267">
        <v>61587739040</v>
      </c>
      <c r="X267">
        <v>62563739040</v>
      </c>
      <c r="Y267">
        <v>4.3284722801727096</v>
      </c>
      <c r="Z267">
        <v>-7.5447066109186478</v>
      </c>
      <c r="AA267">
        <v>-13.383500538249629</v>
      </c>
      <c r="AB267">
        <v>-6.995651200708906</v>
      </c>
      <c r="AC267">
        <v>-7.1565709960339943</v>
      </c>
      <c r="AD267">
        <v>-6.0552961687440066</v>
      </c>
      <c r="AE267">
        <v>-7.4738668068331142</v>
      </c>
      <c r="AF267">
        <v>-7.3572738071914943</v>
      </c>
      <c r="AG267">
        <v>-7.0893755286118978</v>
      </c>
      <c r="AH267">
        <v>-6.9787806277620392</v>
      </c>
      <c r="AI267">
        <v>-13.257838321678321</v>
      </c>
      <c r="AJ267">
        <v>-6.9299666637128929</v>
      </c>
      <c r="AK267">
        <v>-13.05101484212757</v>
      </c>
      <c r="AL267">
        <v>-6.821858555604785</v>
      </c>
      <c r="AM267">
        <v>4.2878307888424372</v>
      </c>
      <c r="AN267">
        <v>4.2209402398738947</v>
      </c>
    </row>
    <row r="268" spans="1:40" x14ac:dyDescent="0.25">
      <c r="A268" s="1" t="s">
        <v>1237</v>
      </c>
      <c r="B268">
        <v>62287290540</v>
      </c>
      <c r="C268" t="s">
        <v>86</v>
      </c>
      <c r="D268" t="s">
        <v>127</v>
      </c>
      <c r="E268">
        <v>14591000000</v>
      </c>
      <c r="F268">
        <v>-8371000000</v>
      </c>
      <c r="G268">
        <v>-4719000000</v>
      </c>
      <c r="H268">
        <v>-9028000000</v>
      </c>
      <c r="I268">
        <v>-8825000000</v>
      </c>
      <c r="J268">
        <v>-10430000000</v>
      </c>
      <c r="K268">
        <v>8165000000</v>
      </c>
      <c r="L268">
        <v>831000000</v>
      </c>
      <c r="M268">
        <v>8996000000</v>
      </c>
      <c r="N268">
        <v>11114000000</v>
      </c>
      <c r="O268">
        <v>1242000000</v>
      </c>
      <c r="P268">
        <v>205000000</v>
      </c>
      <c r="Q268">
        <v>7222000000</v>
      </c>
      <c r="R268">
        <v>6631000000</v>
      </c>
      <c r="S268">
        <v>17772000000</v>
      </c>
      <c r="T268">
        <v>0</v>
      </c>
      <c r="U268">
        <v>976000000</v>
      </c>
      <c r="V268">
        <v>11342000000</v>
      </c>
      <c r="W268">
        <v>60718290540</v>
      </c>
      <c r="X268">
        <v>61694290540</v>
      </c>
      <c r="Y268">
        <v>4.2688842807209921</v>
      </c>
      <c r="Z268">
        <v>-7.4408422577947677</v>
      </c>
      <c r="AA268">
        <v>-13.199256312778131</v>
      </c>
      <c r="AB268">
        <v>-6.8993454297740362</v>
      </c>
      <c r="AC268">
        <v>-7.0580499195467423</v>
      </c>
      <c r="AD268">
        <v>-5.9719358139980816</v>
      </c>
      <c r="AE268">
        <v>-7.3700024537092341</v>
      </c>
      <c r="AF268">
        <v>-7.2534094540676142</v>
      </c>
      <c r="AG268">
        <v>-6.9908544521246458</v>
      </c>
      <c r="AH268">
        <v>-6.8802595512747873</v>
      </c>
      <c r="AI268">
        <v>-13.07359409620682</v>
      </c>
      <c r="AJ268">
        <v>-6.833660892778024</v>
      </c>
      <c r="AK268">
        <v>-12.866770616656069</v>
      </c>
      <c r="AL268">
        <v>-6.7255527846699161</v>
      </c>
      <c r="AM268">
        <v>4.2282427893907206</v>
      </c>
      <c r="AN268">
        <v>4.1613522404221781</v>
      </c>
    </row>
    <row r="269" spans="1:40" x14ac:dyDescent="0.25">
      <c r="A269" s="1" t="s">
        <v>1236</v>
      </c>
      <c r="B269">
        <v>62269901570</v>
      </c>
      <c r="C269" t="s">
        <v>86</v>
      </c>
      <c r="D269" t="s">
        <v>127</v>
      </c>
      <c r="E269">
        <v>14591000000</v>
      </c>
      <c r="F269">
        <v>-8371000000</v>
      </c>
      <c r="G269">
        <v>-4719000000</v>
      </c>
      <c r="H269">
        <v>-9028000000</v>
      </c>
      <c r="I269">
        <v>-8825000000</v>
      </c>
      <c r="J269">
        <v>-10430000000</v>
      </c>
      <c r="K269">
        <v>8165000000</v>
      </c>
      <c r="L269">
        <v>831000000</v>
      </c>
      <c r="M269">
        <v>8996000000</v>
      </c>
      <c r="N269">
        <v>11114000000</v>
      </c>
      <c r="O269">
        <v>1242000000</v>
      </c>
      <c r="P269">
        <v>205000000</v>
      </c>
      <c r="Q269">
        <v>7222000000</v>
      </c>
      <c r="R269">
        <v>6631000000</v>
      </c>
      <c r="S269">
        <v>17772000000</v>
      </c>
      <c r="T269">
        <v>0</v>
      </c>
      <c r="U269">
        <v>976000000</v>
      </c>
      <c r="V269">
        <v>11342000000</v>
      </c>
      <c r="W269">
        <v>60700901570</v>
      </c>
      <c r="X269">
        <v>61676901570</v>
      </c>
      <c r="Y269">
        <v>4.2676925207319583</v>
      </c>
      <c r="Z269">
        <v>-7.43876497073229</v>
      </c>
      <c r="AA269">
        <v>-13.1955714282687</v>
      </c>
      <c r="AB269">
        <v>-6.8974193143553393</v>
      </c>
      <c r="AC269">
        <v>-7.056079498016997</v>
      </c>
      <c r="AD269">
        <v>-5.9702686069031641</v>
      </c>
      <c r="AE269">
        <v>-7.3679251666467556</v>
      </c>
      <c r="AF269">
        <v>-7.2513321670051356</v>
      </c>
      <c r="AG269">
        <v>-6.9888840305948996</v>
      </c>
      <c r="AH269">
        <v>-6.8782891297450428</v>
      </c>
      <c r="AI269">
        <v>-13.069909211697389</v>
      </c>
      <c r="AJ269">
        <v>-6.8317347773593262</v>
      </c>
      <c r="AK269">
        <v>-12.86308573214664</v>
      </c>
      <c r="AL269">
        <v>-6.7236266692512183</v>
      </c>
      <c r="AM269">
        <v>4.2270510294016859</v>
      </c>
      <c r="AN269">
        <v>4.1601604804331433</v>
      </c>
    </row>
    <row r="270" spans="1:40" x14ac:dyDescent="0.25">
      <c r="A270" s="1" t="s">
        <v>1235</v>
      </c>
      <c r="B270">
        <v>63904464750</v>
      </c>
      <c r="C270" t="s">
        <v>86</v>
      </c>
      <c r="D270" t="s">
        <v>127</v>
      </c>
      <c r="E270">
        <v>14591000000</v>
      </c>
      <c r="F270">
        <v>-8371000000</v>
      </c>
      <c r="G270">
        <v>-4719000000</v>
      </c>
      <c r="H270">
        <v>-9028000000</v>
      </c>
      <c r="I270">
        <v>-8825000000</v>
      </c>
      <c r="J270">
        <v>-10430000000</v>
      </c>
      <c r="K270">
        <v>8165000000</v>
      </c>
      <c r="L270">
        <v>831000000</v>
      </c>
      <c r="M270">
        <v>8996000000</v>
      </c>
      <c r="N270">
        <v>11114000000</v>
      </c>
      <c r="O270">
        <v>1242000000</v>
      </c>
      <c r="P270">
        <v>205000000</v>
      </c>
      <c r="Q270">
        <v>7222000000</v>
      </c>
      <c r="R270">
        <v>6631000000</v>
      </c>
      <c r="S270">
        <v>17772000000</v>
      </c>
      <c r="T270">
        <v>0</v>
      </c>
      <c r="U270">
        <v>976000000</v>
      </c>
      <c r="V270">
        <v>11342000000</v>
      </c>
      <c r="W270">
        <v>62335464750</v>
      </c>
      <c r="X270">
        <v>63311464750</v>
      </c>
      <c r="Y270">
        <v>4.3797179597011846</v>
      </c>
      <c r="Z270">
        <v>-7.6340299546051842</v>
      </c>
      <c r="AA270">
        <v>-13.54195057215512</v>
      </c>
      <c r="AB270">
        <v>-7.078474163712893</v>
      </c>
      <c r="AC270">
        <v>-7.2412991218130314</v>
      </c>
      <c r="AD270">
        <v>-6.1269860738255044</v>
      </c>
      <c r="AE270">
        <v>-7.5631901505196506</v>
      </c>
      <c r="AF270">
        <v>-7.4465971508780324</v>
      </c>
      <c r="AG270">
        <v>-7.1741036543909349</v>
      </c>
      <c r="AH270">
        <v>-7.0635087535410763</v>
      </c>
      <c r="AI270">
        <v>-13.416288355583809</v>
      </c>
      <c r="AJ270">
        <v>-7.0127896267168808</v>
      </c>
      <c r="AK270">
        <v>-13.20946487603306</v>
      </c>
      <c r="AL270">
        <v>-6.9046815186087729</v>
      </c>
      <c r="AM270">
        <v>4.339076468370914</v>
      </c>
      <c r="AN270">
        <v>4.2721859194023706</v>
      </c>
    </row>
    <row r="271" spans="1:40" x14ac:dyDescent="0.25">
      <c r="A271" s="1" t="s">
        <v>1234</v>
      </c>
      <c r="B271">
        <v>63348017710</v>
      </c>
      <c r="C271" t="s">
        <v>86</v>
      </c>
      <c r="D271" t="s">
        <v>127</v>
      </c>
      <c r="E271">
        <v>14591000000</v>
      </c>
      <c r="F271">
        <v>-8371000000</v>
      </c>
      <c r="G271">
        <v>-4719000000</v>
      </c>
      <c r="H271">
        <v>-9028000000</v>
      </c>
      <c r="I271">
        <v>-8825000000</v>
      </c>
      <c r="J271">
        <v>-10430000000</v>
      </c>
      <c r="K271">
        <v>8165000000</v>
      </c>
      <c r="L271">
        <v>831000000</v>
      </c>
      <c r="M271">
        <v>8996000000</v>
      </c>
      <c r="N271">
        <v>11114000000</v>
      </c>
      <c r="O271">
        <v>1242000000</v>
      </c>
      <c r="P271">
        <v>205000000</v>
      </c>
      <c r="Q271">
        <v>7222000000</v>
      </c>
      <c r="R271">
        <v>6631000000</v>
      </c>
      <c r="S271">
        <v>17772000000</v>
      </c>
      <c r="T271">
        <v>0</v>
      </c>
      <c r="U271">
        <v>976000000</v>
      </c>
      <c r="V271">
        <v>11342000000</v>
      </c>
      <c r="W271">
        <v>61779017710</v>
      </c>
      <c r="X271">
        <v>62755017710</v>
      </c>
      <c r="Y271">
        <v>4.3415816400520866</v>
      </c>
      <c r="Z271">
        <v>-7.5675567686059013</v>
      </c>
      <c r="AA271">
        <v>-13.42403426785336</v>
      </c>
      <c r="AB271">
        <v>-7.0168384703145774</v>
      </c>
      <c r="AC271">
        <v>-7.1782456328611897</v>
      </c>
      <c r="AD271">
        <v>-6.0736354467881108</v>
      </c>
      <c r="AE271">
        <v>-7.4967169645203677</v>
      </c>
      <c r="AF271">
        <v>-7.3801239648787478</v>
      </c>
      <c r="AG271">
        <v>-7.1110501654390932</v>
      </c>
      <c r="AH271">
        <v>-7.0004552645892364</v>
      </c>
      <c r="AI271">
        <v>-13.298372051282049</v>
      </c>
      <c r="AJ271">
        <v>-6.9511539333185643</v>
      </c>
      <c r="AK271">
        <v>-13.0915485717313</v>
      </c>
      <c r="AL271">
        <v>-6.8430458252104556</v>
      </c>
      <c r="AM271">
        <v>4.3009401487218151</v>
      </c>
      <c r="AN271">
        <v>4.2340495997532734</v>
      </c>
    </row>
    <row r="272" spans="1:40" x14ac:dyDescent="0.25">
      <c r="A272" s="1" t="s">
        <v>1233</v>
      </c>
      <c r="B272">
        <v>64704357370</v>
      </c>
      <c r="C272" t="s">
        <v>86</v>
      </c>
      <c r="D272" t="s">
        <v>127</v>
      </c>
      <c r="E272">
        <v>14591000000</v>
      </c>
      <c r="F272">
        <v>-8371000000</v>
      </c>
      <c r="G272">
        <v>-4719000000</v>
      </c>
      <c r="H272">
        <v>-9028000000</v>
      </c>
      <c r="I272">
        <v>-8825000000</v>
      </c>
      <c r="J272">
        <v>-10430000000</v>
      </c>
      <c r="K272">
        <v>8165000000</v>
      </c>
      <c r="L272">
        <v>831000000</v>
      </c>
      <c r="M272">
        <v>8996000000</v>
      </c>
      <c r="N272">
        <v>11114000000</v>
      </c>
      <c r="O272">
        <v>1242000000</v>
      </c>
      <c r="P272">
        <v>205000000</v>
      </c>
      <c r="Q272">
        <v>7222000000</v>
      </c>
      <c r="R272">
        <v>6631000000</v>
      </c>
      <c r="S272">
        <v>17772000000</v>
      </c>
      <c r="T272">
        <v>0</v>
      </c>
      <c r="U272">
        <v>976000000</v>
      </c>
      <c r="V272">
        <v>11342000000</v>
      </c>
      <c r="W272">
        <v>63135357370</v>
      </c>
      <c r="X272">
        <v>64111357370</v>
      </c>
      <c r="Y272">
        <v>4.4345389191967648</v>
      </c>
      <c r="Z272">
        <v>-7.7295851594791536</v>
      </c>
      <c r="AA272">
        <v>-13.711455259588901</v>
      </c>
      <c r="AB272">
        <v>-7.1670754729729733</v>
      </c>
      <c r="AC272">
        <v>-7.3319385121813028</v>
      </c>
      <c r="AD272">
        <v>-6.2036776001917548</v>
      </c>
      <c r="AE272">
        <v>-7.6587453553936209</v>
      </c>
      <c r="AF272">
        <v>-7.5421523557520009</v>
      </c>
      <c r="AG272">
        <v>-7.2647430447592072</v>
      </c>
      <c r="AH272">
        <v>-7.1541481439093486</v>
      </c>
      <c r="AI272">
        <v>-13.58579304301759</v>
      </c>
      <c r="AJ272">
        <v>-7.1013909359769603</v>
      </c>
      <c r="AK272">
        <v>-13.378969563466841</v>
      </c>
      <c r="AL272">
        <v>-6.9932828278688524</v>
      </c>
      <c r="AM272">
        <v>4.3938974278664933</v>
      </c>
      <c r="AN272">
        <v>4.3270068788979508</v>
      </c>
    </row>
    <row r="273" spans="1:40" x14ac:dyDescent="0.25">
      <c r="A273" s="1" t="s">
        <v>1232</v>
      </c>
      <c r="B273">
        <v>64478300760</v>
      </c>
      <c r="C273" t="s">
        <v>86</v>
      </c>
      <c r="D273" t="s">
        <v>127</v>
      </c>
      <c r="E273">
        <v>14591000000</v>
      </c>
      <c r="F273">
        <v>-8371000000</v>
      </c>
      <c r="G273">
        <v>-4719000000</v>
      </c>
      <c r="H273">
        <v>-9028000000</v>
      </c>
      <c r="I273">
        <v>-8825000000</v>
      </c>
      <c r="J273">
        <v>-10430000000</v>
      </c>
      <c r="K273">
        <v>8165000000</v>
      </c>
      <c r="L273">
        <v>831000000</v>
      </c>
      <c r="M273">
        <v>8996000000</v>
      </c>
      <c r="N273">
        <v>11114000000</v>
      </c>
      <c r="O273">
        <v>1242000000</v>
      </c>
      <c r="P273">
        <v>205000000</v>
      </c>
      <c r="Q273">
        <v>7222000000</v>
      </c>
      <c r="R273">
        <v>6631000000</v>
      </c>
      <c r="S273">
        <v>17772000000</v>
      </c>
      <c r="T273">
        <v>0</v>
      </c>
      <c r="U273">
        <v>976000000</v>
      </c>
      <c r="V273">
        <v>11342000000</v>
      </c>
      <c r="W273">
        <v>62909300760</v>
      </c>
      <c r="X273">
        <v>63885300760</v>
      </c>
      <c r="Y273">
        <v>4.4190460393393192</v>
      </c>
      <c r="Z273">
        <v>-7.7025804276669456</v>
      </c>
      <c r="AA273">
        <v>-13.66355176096631</v>
      </c>
      <c r="AB273">
        <v>-7.1420359725299072</v>
      </c>
      <c r="AC273">
        <v>-7.3063230322946184</v>
      </c>
      <c r="AD273">
        <v>-6.1820039079578137</v>
      </c>
      <c r="AE273">
        <v>-7.631740623581412</v>
      </c>
      <c r="AF273">
        <v>-7.5151476239397921</v>
      </c>
      <c r="AG273">
        <v>-7.2391275648725211</v>
      </c>
      <c r="AH273">
        <v>-7.1285326640226634</v>
      </c>
      <c r="AI273">
        <v>-13.537889544395</v>
      </c>
      <c r="AJ273">
        <v>-7.0763514355338941</v>
      </c>
      <c r="AK273">
        <v>-13.331066064844251</v>
      </c>
      <c r="AL273">
        <v>-6.9682433274257862</v>
      </c>
      <c r="AM273">
        <v>4.3784045480090468</v>
      </c>
      <c r="AN273">
        <v>4.3115139990405043</v>
      </c>
    </row>
    <row r="274" spans="1:40" x14ac:dyDescent="0.25">
      <c r="A274" s="1" t="s">
        <v>1231</v>
      </c>
      <c r="B274">
        <v>63626241230</v>
      </c>
      <c r="C274" t="s">
        <v>86</v>
      </c>
      <c r="D274" t="s">
        <v>127</v>
      </c>
      <c r="E274">
        <v>14591000000</v>
      </c>
      <c r="F274">
        <v>-8371000000</v>
      </c>
      <c r="G274">
        <v>-4719000000</v>
      </c>
      <c r="H274">
        <v>-9028000000</v>
      </c>
      <c r="I274">
        <v>-8825000000</v>
      </c>
      <c r="J274">
        <v>-10430000000</v>
      </c>
      <c r="K274">
        <v>8165000000</v>
      </c>
      <c r="L274">
        <v>831000000</v>
      </c>
      <c r="M274">
        <v>8996000000</v>
      </c>
      <c r="N274">
        <v>11114000000</v>
      </c>
      <c r="O274">
        <v>1242000000</v>
      </c>
      <c r="P274">
        <v>205000000</v>
      </c>
      <c r="Q274">
        <v>7222000000</v>
      </c>
      <c r="R274">
        <v>6631000000</v>
      </c>
      <c r="S274">
        <v>17772000000</v>
      </c>
      <c r="T274">
        <v>0</v>
      </c>
      <c r="U274">
        <v>976000000</v>
      </c>
      <c r="V274">
        <v>11342000000</v>
      </c>
      <c r="W274">
        <v>62057241230</v>
      </c>
      <c r="X274">
        <v>63033241230</v>
      </c>
      <c r="Y274">
        <v>4.3606497998766356</v>
      </c>
      <c r="Z274">
        <v>-7.6007933616055432</v>
      </c>
      <c r="AA274">
        <v>-13.482992420004241</v>
      </c>
      <c r="AB274">
        <v>-7.0476563170137352</v>
      </c>
      <c r="AC274">
        <v>-7.2097723773371101</v>
      </c>
      <c r="AD274">
        <v>-6.1003107603068072</v>
      </c>
      <c r="AE274">
        <v>-7.5299535575200096</v>
      </c>
      <c r="AF274">
        <v>-7.4133605578783897</v>
      </c>
      <c r="AG274">
        <v>-7.1425769099150136</v>
      </c>
      <c r="AH274">
        <v>-7.0319820090651559</v>
      </c>
      <c r="AI274">
        <v>-13.35733020343293</v>
      </c>
      <c r="AJ274">
        <v>-6.981971780017723</v>
      </c>
      <c r="AK274">
        <v>-13.150506723882179</v>
      </c>
      <c r="AL274">
        <v>-6.8738636719096142</v>
      </c>
      <c r="AM274">
        <v>4.3200083085463641</v>
      </c>
      <c r="AN274">
        <v>4.2531177595778216</v>
      </c>
    </row>
    <row r="275" spans="1:40" x14ac:dyDescent="0.25">
      <c r="A275" s="1" t="s">
        <v>1230</v>
      </c>
      <c r="B275">
        <v>60565782510</v>
      </c>
      <c r="C275" t="s">
        <v>86</v>
      </c>
      <c r="D275" t="s">
        <v>127</v>
      </c>
      <c r="E275">
        <v>14591000000</v>
      </c>
      <c r="F275">
        <v>-8371000000</v>
      </c>
      <c r="G275">
        <v>-4719000000</v>
      </c>
      <c r="H275">
        <v>-9028000000</v>
      </c>
      <c r="I275">
        <v>-8825000000</v>
      </c>
      <c r="J275">
        <v>-10430000000</v>
      </c>
      <c r="K275">
        <v>8165000000</v>
      </c>
      <c r="L275">
        <v>831000000</v>
      </c>
      <c r="M275">
        <v>8996000000</v>
      </c>
      <c r="N275">
        <v>11114000000</v>
      </c>
      <c r="O275">
        <v>1242000000</v>
      </c>
      <c r="P275">
        <v>205000000</v>
      </c>
      <c r="Q275">
        <v>7222000000</v>
      </c>
      <c r="R275">
        <v>6631000000</v>
      </c>
      <c r="S275">
        <v>17772000000</v>
      </c>
      <c r="T275">
        <v>0</v>
      </c>
      <c r="U275">
        <v>976000000</v>
      </c>
      <c r="V275">
        <v>11342000000</v>
      </c>
      <c r="W275">
        <v>58996782510</v>
      </c>
      <c r="X275">
        <v>59972782510</v>
      </c>
      <c r="Y275">
        <v>4.1509000418065929</v>
      </c>
      <c r="Z275">
        <v>-7.2351908386094852</v>
      </c>
      <c r="AA275">
        <v>-12.83445274634456</v>
      </c>
      <c r="AB275">
        <v>-6.7086600033229953</v>
      </c>
      <c r="AC275">
        <v>-6.8629781881019829</v>
      </c>
      <c r="AD275">
        <v>-5.8068823116011501</v>
      </c>
      <c r="AE275">
        <v>-7.1643510345239516</v>
      </c>
      <c r="AF275">
        <v>-7.0477580348823317</v>
      </c>
      <c r="AG275">
        <v>-6.7957827206798864</v>
      </c>
      <c r="AH275">
        <v>-6.6851878198300287</v>
      </c>
      <c r="AI275">
        <v>-12.70879052977326</v>
      </c>
      <c r="AJ275">
        <v>-6.6429754663269831</v>
      </c>
      <c r="AK275">
        <v>-12.5019670502225</v>
      </c>
      <c r="AL275">
        <v>-6.5348673582188743</v>
      </c>
      <c r="AM275">
        <v>4.1102585504763214</v>
      </c>
      <c r="AN275">
        <v>4.0433680015077789</v>
      </c>
    </row>
    <row r="276" spans="1:40" x14ac:dyDescent="0.25">
      <c r="A276" s="1" t="s">
        <v>1229</v>
      </c>
      <c r="B276">
        <v>54079696700</v>
      </c>
      <c r="C276" t="s">
        <v>86</v>
      </c>
      <c r="D276" t="s">
        <v>127</v>
      </c>
      <c r="E276">
        <v>14591000000</v>
      </c>
      <c r="F276">
        <v>-8371000000</v>
      </c>
      <c r="G276">
        <v>-4719000000</v>
      </c>
      <c r="H276">
        <v>-9028000000</v>
      </c>
      <c r="I276">
        <v>-8825000000</v>
      </c>
      <c r="J276">
        <v>-10430000000</v>
      </c>
      <c r="K276">
        <v>8165000000</v>
      </c>
      <c r="L276">
        <v>831000000</v>
      </c>
      <c r="M276">
        <v>8996000000</v>
      </c>
      <c r="N276">
        <v>11114000000</v>
      </c>
      <c r="O276">
        <v>1242000000</v>
      </c>
      <c r="P276">
        <v>205000000</v>
      </c>
      <c r="Q276">
        <v>7222000000</v>
      </c>
      <c r="R276">
        <v>6631000000</v>
      </c>
      <c r="S276">
        <v>17772000000</v>
      </c>
      <c r="T276">
        <v>0</v>
      </c>
      <c r="U276">
        <v>976000000</v>
      </c>
      <c r="V276">
        <v>11342000000</v>
      </c>
      <c r="W276">
        <v>52510696700</v>
      </c>
      <c r="X276">
        <v>53486696700</v>
      </c>
      <c r="Y276">
        <v>3.706373565896786</v>
      </c>
      <c r="Z276">
        <v>-6.4603627643053398</v>
      </c>
      <c r="AA276">
        <v>-11.459990824327191</v>
      </c>
      <c r="AB276">
        <v>-5.9902189521488696</v>
      </c>
      <c r="AC276">
        <v>-6.1280109575070822</v>
      </c>
      <c r="AD276">
        <v>-5.1850140651965484</v>
      </c>
      <c r="AE276">
        <v>-6.3895229602198063</v>
      </c>
      <c r="AF276">
        <v>-6.2729299605781863</v>
      </c>
      <c r="AG276">
        <v>-6.0608154900849858</v>
      </c>
      <c r="AH276">
        <v>-5.9502205892351272</v>
      </c>
      <c r="AI276">
        <v>-11.33432860775588</v>
      </c>
      <c r="AJ276">
        <v>-5.9245344151528574</v>
      </c>
      <c r="AK276">
        <v>-11.127505128205129</v>
      </c>
      <c r="AL276">
        <v>-5.8164263070447486</v>
      </c>
      <c r="AM276">
        <v>3.6657320745665141</v>
      </c>
      <c r="AN276">
        <v>3.598841525597972</v>
      </c>
    </row>
    <row r="277" spans="1:40" x14ac:dyDescent="0.25">
      <c r="A277" s="1" t="s">
        <v>1228</v>
      </c>
      <c r="B277">
        <v>56062039280</v>
      </c>
      <c r="C277" t="s">
        <v>86</v>
      </c>
      <c r="D277" t="s">
        <v>127</v>
      </c>
      <c r="E277">
        <v>14591000000</v>
      </c>
      <c r="F277">
        <v>-8371000000</v>
      </c>
      <c r="G277">
        <v>-4719000000</v>
      </c>
      <c r="H277">
        <v>-9028000000</v>
      </c>
      <c r="I277">
        <v>-8825000000</v>
      </c>
      <c r="J277">
        <v>-10430000000</v>
      </c>
      <c r="K277">
        <v>8165000000</v>
      </c>
      <c r="L277">
        <v>831000000</v>
      </c>
      <c r="M277">
        <v>8996000000</v>
      </c>
      <c r="N277">
        <v>11114000000</v>
      </c>
      <c r="O277">
        <v>1242000000</v>
      </c>
      <c r="P277">
        <v>205000000</v>
      </c>
      <c r="Q277">
        <v>7222000000</v>
      </c>
      <c r="R277">
        <v>6631000000</v>
      </c>
      <c r="S277">
        <v>17772000000</v>
      </c>
      <c r="T277">
        <v>0</v>
      </c>
      <c r="U277">
        <v>976000000</v>
      </c>
      <c r="V277">
        <v>11342000000</v>
      </c>
      <c r="W277">
        <v>54493039280</v>
      </c>
      <c r="X277">
        <v>55469039280</v>
      </c>
      <c r="Y277">
        <v>3.8422342046467</v>
      </c>
      <c r="Z277">
        <v>-6.6971734894277866</v>
      </c>
      <c r="AA277">
        <v>-11.880067658402201</v>
      </c>
      <c r="AB277">
        <v>-6.2097961098803722</v>
      </c>
      <c r="AC277">
        <v>-6.3526390118980167</v>
      </c>
      <c r="AD277">
        <v>-5.3750756740172578</v>
      </c>
      <c r="AE277">
        <v>-6.626333685342253</v>
      </c>
      <c r="AF277">
        <v>-6.509740685700633</v>
      </c>
      <c r="AG277">
        <v>-6.2854435444759202</v>
      </c>
      <c r="AH277">
        <v>-6.1748486436260626</v>
      </c>
      <c r="AI277">
        <v>-11.754405441830899</v>
      </c>
      <c r="AJ277">
        <v>-6.1441115728843601</v>
      </c>
      <c r="AK277">
        <v>-11.547581962280139</v>
      </c>
      <c r="AL277">
        <v>-6.0360034647762513</v>
      </c>
      <c r="AM277">
        <v>3.801592713316428</v>
      </c>
      <c r="AN277">
        <v>3.734702164347885</v>
      </c>
    </row>
    <row r="278" spans="1:40" x14ac:dyDescent="0.25">
      <c r="A278" s="1" t="s">
        <v>1227</v>
      </c>
      <c r="B278">
        <v>56809764990</v>
      </c>
      <c r="C278" t="s">
        <v>86</v>
      </c>
      <c r="D278" t="s">
        <v>127</v>
      </c>
      <c r="E278">
        <v>14591000000</v>
      </c>
      <c r="F278">
        <v>-8371000000</v>
      </c>
      <c r="G278">
        <v>-4719000000</v>
      </c>
      <c r="H278">
        <v>-9028000000</v>
      </c>
      <c r="I278">
        <v>-8825000000</v>
      </c>
      <c r="J278">
        <v>-10430000000</v>
      </c>
      <c r="K278">
        <v>8165000000</v>
      </c>
      <c r="L278">
        <v>831000000</v>
      </c>
      <c r="M278">
        <v>8996000000</v>
      </c>
      <c r="N278">
        <v>11114000000</v>
      </c>
      <c r="O278">
        <v>1242000000</v>
      </c>
      <c r="P278">
        <v>205000000</v>
      </c>
      <c r="Q278">
        <v>7222000000</v>
      </c>
      <c r="R278">
        <v>6631000000</v>
      </c>
      <c r="S278">
        <v>17772000000</v>
      </c>
      <c r="T278">
        <v>0</v>
      </c>
      <c r="U278">
        <v>976000000</v>
      </c>
      <c r="V278">
        <v>11342000000</v>
      </c>
      <c r="W278">
        <v>55240764990</v>
      </c>
      <c r="X278">
        <v>56216764990</v>
      </c>
      <c r="Y278">
        <v>3.8934798841751759</v>
      </c>
      <c r="Z278">
        <v>-6.7864968331143229</v>
      </c>
      <c r="AA278">
        <v>-12.038517692307691</v>
      </c>
      <c r="AB278">
        <v>-6.2926190728843601</v>
      </c>
      <c r="AC278">
        <v>-6.4373671376770538</v>
      </c>
      <c r="AD278">
        <v>-5.4467655790987539</v>
      </c>
      <c r="AE278">
        <v>-6.7156570290287902</v>
      </c>
      <c r="AF278">
        <v>-6.5990640293871703</v>
      </c>
      <c r="AG278">
        <v>-6.3701716702549573</v>
      </c>
      <c r="AH278">
        <v>-6.2595767694050988</v>
      </c>
      <c r="AI278">
        <v>-11.91285547573638</v>
      </c>
      <c r="AJ278">
        <v>-6.226934535888347</v>
      </c>
      <c r="AK278">
        <v>-11.706031996185629</v>
      </c>
      <c r="AL278">
        <v>-6.1188264277802391</v>
      </c>
      <c r="AM278">
        <v>3.8528383928449039</v>
      </c>
      <c r="AN278">
        <v>3.7859478438763619</v>
      </c>
    </row>
    <row r="279" spans="1:40" x14ac:dyDescent="0.25">
      <c r="A279" s="1" t="s">
        <v>1226</v>
      </c>
      <c r="B279">
        <v>58235660530</v>
      </c>
      <c r="C279" t="s">
        <v>86</v>
      </c>
      <c r="D279" t="s">
        <v>127</v>
      </c>
      <c r="E279">
        <v>14591000000</v>
      </c>
      <c r="F279">
        <v>-8371000000</v>
      </c>
      <c r="G279">
        <v>-4719000000</v>
      </c>
      <c r="H279">
        <v>-9028000000</v>
      </c>
      <c r="I279">
        <v>-8825000000</v>
      </c>
      <c r="J279">
        <v>-10430000000</v>
      </c>
      <c r="K279">
        <v>8165000000</v>
      </c>
      <c r="L279">
        <v>831000000</v>
      </c>
      <c r="M279">
        <v>8996000000</v>
      </c>
      <c r="N279">
        <v>11114000000</v>
      </c>
      <c r="O279">
        <v>1242000000</v>
      </c>
      <c r="P279">
        <v>205000000</v>
      </c>
      <c r="Q279">
        <v>7222000000</v>
      </c>
      <c r="R279">
        <v>6631000000</v>
      </c>
      <c r="S279">
        <v>17772000000</v>
      </c>
      <c r="T279">
        <v>0</v>
      </c>
      <c r="U279">
        <v>976000000</v>
      </c>
      <c r="V279">
        <v>11342000000</v>
      </c>
      <c r="W279">
        <v>56666660530</v>
      </c>
      <c r="X279">
        <v>57642660530</v>
      </c>
      <c r="Y279">
        <v>3.9912042032759918</v>
      </c>
      <c r="Z279">
        <v>-6.9568343722374868</v>
      </c>
      <c r="AA279">
        <v>-12.34067822208095</v>
      </c>
      <c r="AB279">
        <v>-6.4505605372175454</v>
      </c>
      <c r="AC279">
        <v>-6.5989417031161466</v>
      </c>
      <c r="AD279">
        <v>-5.5834765608820707</v>
      </c>
      <c r="AE279">
        <v>-6.8859945681519532</v>
      </c>
      <c r="AF279">
        <v>-6.7694015685103333</v>
      </c>
      <c r="AG279">
        <v>-6.531746235694051</v>
      </c>
      <c r="AH279">
        <v>-6.4211513348441924</v>
      </c>
      <c r="AI279">
        <v>-12.215016005509639</v>
      </c>
      <c r="AJ279">
        <v>-6.3848760002215332</v>
      </c>
      <c r="AK279">
        <v>-12.00819252595889</v>
      </c>
      <c r="AL279">
        <v>-6.2767678921134253</v>
      </c>
      <c r="AM279">
        <v>3.9505627119457198</v>
      </c>
      <c r="AN279">
        <v>3.8836721629771782</v>
      </c>
    </row>
    <row r="280" spans="1:40" x14ac:dyDescent="0.25">
      <c r="A280" s="1" t="s">
        <v>1225</v>
      </c>
      <c r="B280">
        <v>57887881130</v>
      </c>
      <c r="C280" t="s">
        <v>86</v>
      </c>
      <c r="D280" t="s">
        <v>127</v>
      </c>
      <c r="E280">
        <v>14591000000</v>
      </c>
      <c r="F280">
        <v>-8371000000</v>
      </c>
      <c r="G280">
        <v>-4719000000</v>
      </c>
      <c r="H280">
        <v>-9028000000</v>
      </c>
      <c r="I280">
        <v>-8825000000</v>
      </c>
      <c r="J280">
        <v>-10430000000</v>
      </c>
      <c r="K280">
        <v>8165000000</v>
      </c>
      <c r="L280">
        <v>831000000</v>
      </c>
      <c r="M280">
        <v>8996000000</v>
      </c>
      <c r="N280">
        <v>11114000000</v>
      </c>
      <c r="O280">
        <v>1242000000</v>
      </c>
      <c r="P280">
        <v>205000000</v>
      </c>
      <c r="Q280">
        <v>7222000000</v>
      </c>
      <c r="R280">
        <v>6631000000</v>
      </c>
      <c r="S280">
        <v>17772000000</v>
      </c>
      <c r="T280">
        <v>0</v>
      </c>
      <c r="U280">
        <v>976000000</v>
      </c>
      <c r="V280">
        <v>11342000000</v>
      </c>
      <c r="W280">
        <v>56318881130</v>
      </c>
      <c r="X280">
        <v>57294881130</v>
      </c>
      <c r="Y280">
        <v>3.967369003495306</v>
      </c>
      <c r="Z280">
        <v>-6.9152886309879342</v>
      </c>
      <c r="AA280">
        <v>-12.266980531892351</v>
      </c>
      <c r="AB280">
        <v>-6.4120382288435973</v>
      </c>
      <c r="AC280">
        <v>-6.5595332725212474</v>
      </c>
      <c r="AD280">
        <v>-5.5501324189837007</v>
      </c>
      <c r="AE280">
        <v>-6.8444488269024024</v>
      </c>
      <c r="AF280">
        <v>-6.7278558272607816</v>
      </c>
      <c r="AG280">
        <v>-6.49233780509915</v>
      </c>
      <c r="AH280">
        <v>-6.3817429042492906</v>
      </c>
      <c r="AI280">
        <v>-12.14131831532104</v>
      </c>
      <c r="AJ280">
        <v>-6.3463536918475851</v>
      </c>
      <c r="AK280">
        <v>-11.934494835770289</v>
      </c>
      <c r="AL280">
        <v>-6.2382455837394772</v>
      </c>
      <c r="AM280">
        <v>3.9267275121650331</v>
      </c>
      <c r="AN280">
        <v>3.8598369631964911</v>
      </c>
    </row>
    <row r="281" spans="1:40" x14ac:dyDescent="0.25">
      <c r="A281" s="1" t="s">
        <v>1224</v>
      </c>
      <c r="B281">
        <v>58079159800</v>
      </c>
      <c r="C281" t="s">
        <v>86</v>
      </c>
      <c r="D281" t="s">
        <v>127</v>
      </c>
      <c r="E281">
        <v>14591000000</v>
      </c>
      <c r="F281">
        <v>-8371000000</v>
      </c>
      <c r="G281">
        <v>-4719000000</v>
      </c>
      <c r="H281">
        <v>-9028000000</v>
      </c>
      <c r="I281">
        <v>-8825000000</v>
      </c>
      <c r="J281">
        <v>-10430000000</v>
      </c>
      <c r="K281">
        <v>8165000000</v>
      </c>
      <c r="L281">
        <v>831000000</v>
      </c>
      <c r="M281">
        <v>8996000000</v>
      </c>
      <c r="N281">
        <v>11114000000</v>
      </c>
      <c r="O281">
        <v>1242000000</v>
      </c>
      <c r="P281">
        <v>205000000</v>
      </c>
      <c r="Q281">
        <v>7222000000</v>
      </c>
      <c r="R281">
        <v>6631000000</v>
      </c>
      <c r="S281">
        <v>17772000000</v>
      </c>
      <c r="T281">
        <v>0</v>
      </c>
      <c r="U281">
        <v>976000000</v>
      </c>
      <c r="V281">
        <v>11342000000</v>
      </c>
      <c r="W281">
        <v>56510159800</v>
      </c>
      <c r="X281">
        <v>57486159800</v>
      </c>
      <c r="Y281">
        <v>3.980478363374683</v>
      </c>
      <c r="Z281">
        <v>-6.9381387886751877</v>
      </c>
      <c r="AA281">
        <v>-12.307514261496079</v>
      </c>
      <c r="AB281">
        <v>-6.4332254984492687</v>
      </c>
      <c r="AC281">
        <v>-6.5812079093484419</v>
      </c>
      <c r="AD281">
        <v>-5.5684716970278041</v>
      </c>
      <c r="AE281">
        <v>-6.867298984589655</v>
      </c>
      <c r="AF281">
        <v>-6.7507059849480351</v>
      </c>
      <c r="AG281">
        <v>-6.5140124419263454</v>
      </c>
      <c r="AH281">
        <v>-6.4034175410764869</v>
      </c>
      <c r="AI281">
        <v>-12.181852044924771</v>
      </c>
      <c r="AJ281">
        <v>-6.3675409614532574</v>
      </c>
      <c r="AK281">
        <v>-11.97502856537402</v>
      </c>
      <c r="AL281">
        <v>-6.2594328533451487</v>
      </c>
      <c r="AM281">
        <v>3.939836872044411</v>
      </c>
      <c r="AN281">
        <v>3.8729463230758689</v>
      </c>
    </row>
    <row r="282" spans="1:40" x14ac:dyDescent="0.25">
      <c r="A282" s="1" t="s">
        <v>1223</v>
      </c>
      <c r="B282">
        <v>56166373099</v>
      </c>
      <c r="C282" t="s">
        <v>86</v>
      </c>
      <c r="D282" t="s">
        <v>127</v>
      </c>
      <c r="E282">
        <v>14591000000</v>
      </c>
      <c r="F282">
        <v>-8371000000</v>
      </c>
      <c r="G282">
        <v>-4719000000</v>
      </c>
      <c r="H282">
        <v>-9028000000</v>
      </c>
      <c r="I282">
        <v>-8825000000</v>
      </c>
      <c r="J282">
        <v>-10430000000</v>
      </c>
      <c r="K282">
        <v>8165000000</v>
      </c>
      <c r="L282">
        <v>831000000</v>
      </c>
      <c r="M282">
        <v>8996000000</v>
      </c>
      <c r="N282">
        <v>11114000000</v>
      </c>
      <c r="O282">
        <v>1242000000</v>
      </c>
      <c r="P282">
        <v>205000000</v>
      </c>
      <c r="Q282">
        <v>7222000000</v>
      </c>
      <c r="R282">
        <v>6631000000</v>
      </c>
      <c r="S282">
        <v>17772000000</v>
      </c>
      <c r="T282">
        <v>0</v>
      </c>
      <c r="U282">
        <v>976000000</v>
      </c>
      <c r="V282">
        <v>11342000000</v>
      </c>
      <c r="W282">
        <v>54597373099</v>
      </c>
      <c r="X282">
        <v>55573373099</v>
      </c>
      <c r="Y282">
        <v>3.84938476451237</v>
      </c>
      <c r="Z282">
        <v>-6.7096372116831917</v>
      </c>
      <c r="AA282">
        <v>-11.902176965246881</v>
      </c>
      <c r="AB282">
        <v>-6.2213528022817899</v>
      </c>
      <c r="AC282">
        <v>-6.3644615409631724</v>
      </c>
      <c r="AD282">
        <v>-5.3850789164908921</v>
      </c>
      <c r="AE282">
        <v>-6.638797407597659</v>
      </c>
      <c r="AF282">
        <v>-6.5222044079560391</v>
      </c>
      <c r="AG282">
        <v>-6.2972660735410768</v>
      </c>
      <c r="AH282">
        <v>-6.1866711726912182</v>
      </c>
      <c r="AI282">
        <v>-11.77651474867557</v>
      </c>
      <c r="AJ282">
        <v>-6.1556682652857777</v>
      </c>
      <c r="AK282">
        <v>-11.56969126912481</v>
      </c>
      <c r="AL282">
        <v>-6.0475601571776698</v>
      </c>
      <c r="AM282">
        <v>3.808743273182098</v>
      </c>
      <c r="AN282">
        <v>3.741852724213556</v>
      </c>
    </row>
    <row r="283" spans="1:40" x14ac:dyDescent="0.25">
      <c r="A283" s="1" t="s">
        <v>1222</v>
      </c>
      <c r="B283">
        <v>56827153960</v>
      </c>
      <c r="C283" t="s">
        <v>86</v>
      </c>
      <c r="D283" t="s">
        <v>127</v>
      </c>
      <c r="E283">
        <v>14591000000</v>
      </c>
      <c r="F283">
        <v>-8371000000</v>
      </c>
      <c r="G283">
        <v>-4719000000</v>
      </c>
      <c r="H283">
        <v>-9028000000</v>
      </c>
      <c r="I283">
        <v>-8825000000</v>
      </c>
      <c r="J283">
        <v>-10430000000</v>
      </c>
      <c r="K283">
        <v>8165000000</v>
      </c>
      <c r="L283">
        <v>831000000</v>
      </c>
      <c r="M283">
        <v>8996000000</v>
      </c>
      <c r="N283">
        <v>11114000000</v>
      </c>
      <c r="O283">
        <v>1242000000</v>
      </c>
      <c r="P283">
        <v>205000000</v>
      </c>
      <c r="Q283">
        <v>7222000000</v>
      </c>
      <c r="R283">
        <v>6631000000</v>
      </c>
      <c r="S283">
        <v>17772000000</v>
      </c>
      <c r="T283">
        <v>0</v>
      </c>
      <c r="U283">
        <v>976000000</v>
      </c>
      <c r="V283">
        <v>11342000000</v>
      </c>
      <c r="W283">
        <v>55258153960</v>
      </c>
      <c r="X283">
        <v>56234153960</v>
      </c>
      <c r="Y283">
        <v>3.8946716441642111</v>
      </c>
      <c r="Z283">
        <v>-6.7885741201768006</v>
      </c>
      <c r="AA283">
        <v>-12.04220257681712</v>
      </c>
      <c r="AB283">
        <v>-6.294545188303057</v>
      </c>
      <c r="AC283">
        <v>-6.4393375592067992</v>
      </c>
      <c r="AD283">
        <v>-5.4484327861936723</v>
      </c>
      <c r="AE283">
        <v>-6.717734316091267</v>
      </c>
      <c r="AF283">
        <v>-6.601141316449648</v>
      </c>
      <c r="AG283">
        <v>-6.3721420917847027</v>
      </c>
      <c r="AH283">
        <v>-6.2615471909348441</v>
      </c>
      <c r="AI283">
        <v>-11.91654036024581</v>
      </c>
      <c r="AJ283">
        <v>-6.2288606513070448</v>
      </c>
      <c r="AK283">
        <v>-11.70971688069506</v>
      </c>
      <c r="AL283">
        <v>-6.1207525431989369</v>
      </c>
      <c r="AM283">
        <v>3.8540301528339391</v>
      </c>
      <c r="AN283">
        <v>3.7871396038653971</v>
      </c>
    </row>
    <row r="284" spans="1:40" x14ac:dyDescent="0.25">
      <c r="A284" s="1" t="s">
        <v>1221</v>
      </c>
      <c r="B284">
        <v>57470545849</v>
      </c>
      <c r="C284" t="s">
        <v>86</v>
      </c>
      <c r="D284" t="s">
        <v>127</v>
      </c>
      <c r="E284">
        <v>14591000000</v>
      </c>
      <c r="F284">
        <v>-8371000000</v>
      </c>
      <c r="G284">
        <v>-4719000000</v>
      </c>
      <c r="H284">
        <v>-9028000000</v>
      </c>
      <c r="I284">
        <v>-8825000000</v>
      </c>
      <c r="J284">
        <v>-10430000000</v>
      </c>
      <c r="K284">
        <v>8165000000</v>
      </c>
      <c r="L284">
        <v>831000000</v>
      </c>
      <c r="M284">
        <v>8996000000</v>
      </c>
      <c r="N284">
        <v>11114000000</v>
      </c>
      <c r="O284">
        <v>1242000000</v>
      </c>
      <c r="P284">
        <v>205000000</v>
      </c>
      <c r="Q284">
        <v>7222000000</v>
      </c>
      <c r="R284">
        <v>6631000000</v>
      </c>
      <c r="S284">
        <v>17772000000</v>
      </c>
      <c r="T284">
        <v>0</v>
      </c>
      <c r="U284">
        <v>976000000</v>
      </c>
      <c r="V284">
        <v>11342000000</v>
      </c>
      <c r="W284">
        <v>55901545849</v>
      </c>
      <c r="X284">
        <v>56877545849</v>
      </c>
      <c r="Y284">
        <v>3.9387667636899462</v>
      </c>
      <c r="Z284">
        <v>-6.8654337413690119</v>
      </c>
      <c r="AA284">
        <v>-12.17854330345412</v>
      </c>
      <c r="AB284">
        <v>-6.3658114586840941</v>
      </c>
      <c r="AC284">
        <v>-6.5122431556940512</v>
      </c>
      <c r="AD284">
        <v>-5.5101194486097791</v>
      </c>
      <c r="AE284">
        <v>-6.7945939372834783</v>
      </c>
      <c r="AF284">
        <v>-6.6780009376418592</v>
      </c>
      <c r="AG284">
        <v>-6.4450476882719547</v>
      </c>
      <c r="AH284">
        <v>-6.3344527874220962</v>
      </c>
      <c r="AI284">
        <v>-12.05288108688281</v>
      </c>
      <c r="AJ284">
        <v>-6.3001269216880811</v>
      </c>
      <c r="AK284">
        <v>-11.84605760733206</v>
      </c>
      <c r="AL284">
        <v>-6.1920188135799732</v>
      </c>
      <c r="AM284">
        <v>3.8981252723596742</v>
      </c>
      <c r="AN284">
        <v>3.8312347233911321</v>
      </c>
    </row>
    <row r="285" spans="1:40" x14ac:dyDescent="0.25">
      <c r="A285" s="1" t="s">
        <v>1220</v>
      </c>
      <c r="B285">
        <v>52966802620</v>
      </c>
      <c r="C285" t="s">
        <v>86</v>
      </c>
      <c r="D285" t="s">
        <v>127</v>
      </c>
      <c r="E285">
        <v>14591000000</v>
      </c>
      <c r="F285">
        <v>-8371000000</v>
      </c>
      <c r="G285">
        <v>-4719000000</v>
      </c>
      <c r="H285">
        <v>-9028000000</v>
      </c>
      <c r="I285">
        <v>-8825000000</v>
      </c>
      <c r="J285">
        <v>-10430000000</v>
      </c>
      <c r="K285">
        <v>8165000000</v>
      </c>
      <c r="L285">
        <v>831000000</v>
      </c>
      <c r="M285">
        <v>8996000000</v>
      </c>
      <c r="N285">
        <v>11114000000</v>
      </c>
      <c r="O285">
        <v>1242000000</v>
      </c>
      <c r="P285">
        <v>205000000</v>
      </c>
      <c r="Q285">
        <v>7222000000</v>
      </c>
      <c r="R285">
        <v>6631000000</v>
      </c>
      <c r="S285">
        <v>17772000000</v>
      </c>
      <c r="T285">
        <v>0</v>
      </c>
      <c r="U285">
        <v>976000000</v>
      </c>
      <c r="V285">
        <v>11342000000</v>
      </c>
      <c r="W285">
        <v>51397802620</v>
      </c>
      <c r="X285">
        <v>52373802620</v>
      </c>
      <c r="Y285">
        <v>3.6301009265985882</v>
      </c>
      <c r="Z285">
        <v>-6.3274163923067732</v>
      </c>
      <c r="AA285">
        <v>-11.224158215723669</v>
      </c>
      <c r="AB285">
        <v>-5.8669475653522376</v>
      </c>
      <c r="AC285">
        <v>-6.0019039796033997</v>
      </c>
      <c r="AD285">
        <v>-5.0783128111217639</v>
      </c>
      <c r="AE285">
        <v>-6.2565765882212396</v>
      </c>
      <c r="AF285">
        <v>-6.1399835885796197</v>
      </c>
      <c r="AG285">
        <v>-5.9347085121813032</v>
      </c>
      <c r="AH285">
        <v>-5.8241136113314447</v>
      </c>
      <c r="AI285">
        <v>-11.098495999152361</v>
      </c>
      <c r="AJ285">
        <v>-5.8012630283562254</v>
      </c>
      <c r="AK285">
        <v>-10.89167251960161</v>
      </c>
      <c r="AL285">
        <v>-5.6931549202481166</v>
      </c>
      <c r="AM285">
        <v>3.5894594352683158</v>
      </c>
      <c r="AN285">
        <v>3.5225688862997742</v>
      </c>
    </row>
    <row r="286" spans="1:40" x14ac:dyDescent="0.25">
      <c r="A286" s="1" t="s">
        <v>1219</v>
      </c>
      <c r="B286">
        <v>53175470260</v>
      </c>
      <c r="C286" t="s">
        <v>86</v>
      </c>
      <c r="D286" t="s">
        <v>127</v>
      </c>
      <c r="E286">
        <v>14591000000</v>
      </c>
      <c r="F286">
        <v>-8371000000</v>
      </c>
      <c r="G286">
        <v>-4719000000</v>
      </c>
      <c r="H286">
        <v>-9028000000</v>
      </c>
      <c r="I286">
        <v>-8825000000</v>
      </c>
      <c r="J286">
        <v>-10430000000</v>
      </c>
      <c r="K286">
        <v>8165000000</v>
      </c>
      <c r="L286">
        <v>831000000</v>
      </c>
      <c r="M286">
        <v>8996000000</v>
      </c>
      <c r="N286">
        <v>11114000000</v>
      </c>
      <c r="O286">
        <v>1242000000</v>
      </c>
      <c r="P286">
        <v>205000000</v>
      </c>
      <c r="Q286">
        <v>7222000000</v>
      </c>
      <c r="R286">
        <v>6631000000</v>
      </c>
      <c r="S286">
        <v>17772000000</v>
      </c>
      <c r="T286">
        <v>0</v>
      </c>
      <c r="U286">
        <v>976000000</v>
      </c>
      <c r="V286">
        <v>11342000000</v>
      </c>
      <c r="W286">
        <v>51606470260</v>
      </c>
      <c r="X286">
        <v>52582470260</v>
      </c>
      <c r="Y286">
        <v>3.6444020464669999</v>
      </c>
      <c r="Z286">
        <v>-6.3523438370565044</v>
      </c>
      <c r="AA286">
        <v>-11.26837682983683</v>
      </c>
      <c r="AB286">
        <v>-5.8900609503766059</v>
      </c>
      <c r="AC286">
        <v>-6.0255490379603396</v>
      </c>
      <c r="AD286">
        <v>-5.0983192962607866</v>
      </c>
      <c r="AE286">
        <v>-6.2815040329709708</v>
      </c>
      <c r="AF286">
        <v>-6.1649110333293518</v>
      </c>
      <c r="AG286">
        <v>-5.958353570538244</v>
      </c>
      <c r="AH286">
        <v>-5.8477586696883854</v>
      </c>
      <c r="AI286">
        <v>-11.14271461326552</v>
      </c>
      <c r="AJ286">
        <v>-5.8243764133805938</v>
      </c>
      <c r="AK286">
        <v>-10.935891133714771</v>
      </c>
      <c r="AL286">
        <v>-5.7162683052724859</v>
      </c>
      <c r="AM286">
        <v>3.603760555136728</v>
      </c>
      <c r="AN286">
        <v>3.5368700061681859</v>
      </c>
    </row>
    <row r="287" spans="1:40" x14ac:dyDescent="0.25">
      <c r="A287" s="1" t="s">
        <v>1218</v>
      </c>
      <c r="B287">
        <v>51488740170</v>
      </c>
      <c r="C287" t="s">
        <v>86</v>
      </c>
      <c r="D287" t="s">
        <v>127</v>
      </c>
      <c r="E287">
        <v>14591000000</v>
      </c>
      <c r="F287">
        <v>-8371000000</v>
      </c>
      <c r="G287">
        <v>-4719000000</v>
      </c>
      <c r="H287">
        <v>-9028000000</v>
      </c>
      <c r="I287">
        <v>-8825000000</v>
      </c>
      <c r="J287">
        <v>-10430000000</v>
      </c>
      <c r="K287">
        <v>8165000000</v>
      </c>
      <c r="L287">
        <v>831000000</v>
      </c>
      <c r="M287">
        <v>8996000000</v>
      </c>
      <c r="N287">
        <v>11114000000</v>
      </c>
      <c r="O287">
        <v>1242000000</v>
      </c>
      <c r="P287">
        <v>205000000</v>
      </c>
      <c r="Q287">
        <v>7222000000</v>
      </c>
      <c r="R287">
        <v>6631000000</v>
      </c>
      <c r="S287">
        <v>17772000000</v>
      </c>
      <c r="T287">
        <v>0</v>
      </c>
      <c r="U287">
        <v>976000000</v>
      </c>
      <c r="V287">
        <v>11342000000</v>
      </c>
      <c r="W287">
        <v>49919740170</v>
      </c>
      <c r="X287">
        <v>50895740170</v>
      </c>
      <c r="Y287">
        <v>3.5288013275306702</v>
      </c>
      <c r="Z287">
        <v>-6.1508469919961772</v>
      </c>
      <c r="AA287">
        <v>-10.91094303242212</v>
      </c>
      <c r="AB287">
        <v>-5.7032277547629597</v>
      </c>
      <c r="AC287">
        <v>-5.8344181495750709</v>
      </c>
      <c r="AD287">
        <v>-4.936600208053691</v>
      </c>
      <c r="AE287">
        <v>-6.0800071879106437</v>
      </c>
      <c r="AF287">
        <v>-5.9634141882690237</v>
      </c>
      <c r="AG287">
        <v>-5.7672226821529744</v>
      </c>
      <c r="AH287">
        <v>-5.6566277813031158</v>
      </c>
      <c r="AI287">
        <v>-10.78528081585082</v>
      </c>
      <c r="AJ287">
        <v>-5.6375432177669476</v>
      </c>
      <c r="AK287">
        <v>-10.57845733630006</v>
      </c>
      <c r="AL287">
        <v>-5.5294351096588388</v>
      </c>
      <c r="AM287">
        <v>3.4881598362003969</v>
      </c>
      <c r="AN287">
        <v>3.4212692872318549</v>
      </c>
    </row>
    <row r="288" spans="1:40" x14ac:dyDescent="0.25">
      <c r="A288" s="1" t="s">
        <v>1217</v>
      </c>
      <c r="B288">
        <v>51523518110</v>
      </c>
      <c r="C288" t="s">
        <v>86</v>
      </c>
      <c r="D288" t="s">
        <v>127</v>
      </c>
      <c r="E288">
        <v>14591000000</v>
      </c>
      <c r="F288">
        <v>-8371000000</v>
      </c>
      <c r="G288">
        <v>-4719000000</v>
      </c>
      <c r="H288">
        <v>-9028000000</v>
      </c>
      <c r="I288">
        <v>-8825000000</v>
      </c>
      <c r="J288">
        <v>-10430000000</v>
      </c>
      <c r="K288">
        <v>8165000000</v>
      </c>
      <c r="L288">
        <v>831000000</v>
      </c>
      <c r="M288">
        <v>8996000000</v>
      </c>
      <c r="N288">
        <v>11114000000</v>
      </c>
      <c r="O288">
        <v>1242000000</v>
      </c>
      <c r="P288">
        <v>205000000</v>
      </c>
      <c r="Q288">
        <v>7222000000</v>
      </c>
      <c r="R288">
        <v>6631000000</v>
      </c>
      <c r="S288">
        <v>17772000000</v>
      </c>
      <c r="T288">
        <v>0</v>
      </c>
      <c r="U288">
        <v>976000000</v>
      </c>
      <c r="V288">
        <v>11342000000</v>
      </c>
      <c r="W288">
        <v>49954518110</v>
      </c>
      <c r="X288">
        <v>50930518110</v>
      </c>
      <c r="Y288">
        <v>3.531184847508738</v>
      </c>
      <c r="Z288">
        <v>-6.1550015661211326</v>
      </c>
      <c r="AA288">
        <v>-10.91831280144098</v>
      </c>
      <c r="AB288">
        <v>-5.7070799856003536</v>
      </c>
      <c r="AC288">
        <v>-5.8383589926345607</v>
      </c>
      <c r="AD288">
        <v>-4.9399346222435279</v>
      </c>
      <c r="AE288">
        <v>-6.084161762035599</v>
      </c>
      <c r="AF288">
        <v>-5.967568762393979</v>
      </c>
      <c r="AG288">
        <v>-5.7711635252124642</v>
      </c>
      <c r="AH288">
        <v>-5.6605686243626074</v>
      </c>
      <c r="AI288">
        <v>-10.79265058486968</v>
      </c>
      <c r="AJ288">
        <v>-5.6413954486043423</v>
      </c>
      <c r="AK288">
        <v>-10.58582710531892</v>
      </c>
      <c r="AL288">
        <v>-5.5332873404962326</v>
      </c>
      <c r="AM288">
        <v>3.490543356178466</v>
      </c>
      <c r="AN288">
        <v>3.4236528072099239</v>
      </c>
    </row>
    <row r="289" spans="1:40" x14ac:dyDescent="0.25">
      <c r="A289" s="1" t="s">
        <v>85</v>
      </c>
      <c r="B289">
        <v>54546301320</v>
      </c>
      <c r="C289" t="s">
        <v>86</v>
      </c>
      <c r="D289" t="s">
        <v>127</v>
      </c>
      <c r="E289">
        <v>14591000000</v>
      </c>
      <c r="F289">
        <v>-8371000000</v>
      </c>
      <c r="G289">
        <v>-4719000000</v>
      </c>
      <c r="H289">
        <v>-9028000000</v>
      </c>
      <c r="I289">
        <v>-8825000000</v>
      </c>
      <c r="J289">
        <v>-10430000000</v>
      </c>
      <c r="K289">
        <v>8165000000</v>
      </c>
      <c r="L289">
        <v>831000000</v>
      </c>
      <c r="M289">
        <v>8996000000</v>
      </c>
      <c r="N289">
        <v>11114000000</v>
      </c>
      <c r="O289">
        <v>1242000000</v>
      </c>
      <c r="P289">
        <v>205000000</v>
      </c>
      <c r="Q289">
        <v>7222000000</v>
      </c>
      <c r="R289">
        <v>6631000000</v>
      </c>
      <c r="S289">
        <v>17772000000</v>
      </c>
      <c r="T289">
        <v>0</v>
      </c>
      <c r="U289">
        <v>976000000</v>
      </c>
      <c r="V289">
        <v>11342000000</v>
      </c>
      <c r="W289">
        <v>52977301320</v>
      </c>
      <c r="X289">
        <v>53953301320</v>
      </c>
      <c r="Y289">
        <v>3.738352499485984</v>
      </c>
      <c r="Z289">
        <v>-6.5161033711623464</v>
      </c>
      <c r="AA289">
        <v>-11.55886868404323</v>
      </c>
      <c r="AB289">
        <v>-6.0419031147540982</v>
      </c>
      <c r="AC289">
        <v>-6.1808840022662892</v>
      </c>
      <c r="AD289">
        <v>-5.2297508456375841</v>
      </c>
      <c r="AE289">
        <v>-6.4452635670768128</v>
      </c>
      <c r="AF289">
        <v>-6.3286705674351929</v>
      </c>
      <c r="AG289">
        <v>-6.1136885348441927</v>
      </c>
      <c r="AH289">
        <v>-6.0030936339943342</v>
      </c>
      <c r="AI289">
        <v>-11.433206467471919</v>
      </c>
      <c r="AJ289">
        <v>-5.9762185777580861</v>
      </c>
      <c r="AK289">
        <v>-11.22638298792117</v>
      </c>
      <c r="AL289">
        <v>-5.8681104696499782</v>
      </c>
      <c r="AM289">
        <v>3.697711008155713</v>
      </c>
      <c r="AN289">
        <v>3.63082045918717</v>
      </c>
    </row>
    <row r="290" spans="1:40" x14ac:dyDescent="0.25">
      <c r="A290" s="1" t="s">
        <v>1216</v>
      </c>
      <c r="B290">
        <v>53405532470</v>
      </c>
      <c r="C290" t="s">
        <v>86</v>
      </c>
      <c r="D290" t="s">
        <v>127</v>
      </c>
      <c r="E290">
        <v>14591000000</v>
      </c>
      <c r="F290">
        <v>-8371000000</v>
      </c>
      <c r="G290">
        <v>-4719000000</v>
      </c>
      <c r="H290">
        <v>-9028000000</v>
      </c>
      <c r="I290">
        <v>-8825000000</v>
      </c>
      <c r="J290">
        <v>-10430000000</v>
      </c>
      <c r="K290">
        <v>8165000000</v>
      </c>
      <c r="L290">
        <v>831000000</v>
      </c>
      <c r="M290">
        <v>8996000000</v>
      </c>
      <c r="N290">
        <v>11114000000</v>
      </c>
      <c r="O290">
        <v>1242000000</v>
      </c>
      <c r="P290">
        <v>205000000</v>
      </c>
      <c r="Q290">
        <v>7222000000</v>
      </c>
      <c r="R290">
        <v>6631000000</v>
      </c>
      <c r="S290">
        <v>17772000000</v>
      </c>
      <c r="T290">
        <v>0</v>
      </c>
      <c r="U290">
        <v>976000000</v>
      </c>
      <c r="V290">
        <v>11342000000</v>
      </c>
      <c r="W290">
        <v>51836532470</v>
      </c>
      <c r="X290">
        <v>52812532470</v>
      </c>
      <c r="Y290">
        <v>3.6601694517168122</v>
      </c>
      <c r="Z290">
        <v>-6.3798270780074056</v>
      </c>
      <c r="AA290">
        <v>-11.31712915236279</v>
      </c>
      <c r="AB290">
        <v>-5.9155441371289319</v>
      </c>
      <c r="AC290">
        <v>-6.0516184101983006</v>
      </c>
      <c r="AD290">
        <v>-5.1203770345158199</v>
      </c>
      <c r="AE290">
        <v>-6.3089872739218729</v>
      </c>
      <c r="AF290">
        <v>-6.1923942742802529</v>
      </c>
      <c r="AG290">
        <v>-5.9844229427762041</v>
      </c>
      <c r="AH290">
        <v>-5.8738280419263464</v>
      </c>
      <c r="AI290">
        <v>-11.19146693579148</v>
      </c>
      <c r="AJ290">
        <v>-5.8498596001329197</v>
      </c>
      <c r="AK290">
        <v>-10.984643456240731</v>
      </c>
      <c r="AL290">
        <v>-5.7417514920248118</v>
      </c>
      <c r="AM290">
        <v>3.6195279603865398</v>
      </c>
      <c r="AN290">
        <v>3.5526374114179968</v>
      </c>
    </row>
    <row r="291" spans="1:40" x14ac:dyDescent="0.25">
      <c r="A291" s="1" t="s">
        <v>1215</v>
      </c>
      <c r="B291">
        <v>53844289720</v>
      </c>
      <c r="C291" t="s">
        <v>86</v>
      </c>
      <c r="D291" t="s">
        <v>127</v>
      </c>
      <c r="E291">
        <v>14591000000</v>
      </c>
      <c r="F291">
        <v>-8371000000</v>
      </c>
      <c r="G291">
        <v>-4719000000</v>
      </c>
      <c r="H291">
        <v>-9028000000</v>
      </c>
      <c r="I291">
        <v>-8825000000</v>
      </c>
      <c r="J291">
        <v>-10430000000</v>
      </c>
      <c r="K291">
        <v>8165000000</v>
      </c>
      <c r="L291">
        <v>831000000</v>
      </c>
      <c r="M291">
        <v>8996000000</v>
      </c>
      <c r="N291">
        <v>11114000000</v>
      </c>
      <c r="O291">
        <v>1242000000</v>
      </c>
      <c r="P291">
        <v>205000000</v>
      </c>
      <c r="Q291">
        <v>7222000000</v>
      </c>
      <c r="R291">
        <v>6631000000</v>
      </c>
      <c r="S291">
        <v>17772000000</v>
      </c>
      <c r="T291">
        <v>0</v>
      </c>
      <c r="U291">
        <v>976000000</v>
      </c>
      <c r="V291">
        <v>11342000000</v>
      </c>
      <c r="W291">
        <v>52275289720</v>
      </c>
      <c r="X291">
        <v>53251289720</v>
      </c>
      <c r="Y291">
        <v>3.6902398547049549</v>
      </c>
      <c r="Z291">
        <v>-6.4322410369131529</v>
      </c>
      <c r="AA291">
        <v>-11.4101058953168</v>
      </c>
      <c r="AB291">
        <v>-5.964143743907842</v>
      </c>
      <c r="AC291">
        <v>-6.1013359456090646</v>
      </c>
      <c r="AD291">
        <v>-5.1624438849472671</v>
      </c>
      <c r="AE291">
        <v>-6.3614012328276193</v>
      </c>
      <c r="AF291">
        <v>-6.2448082331859993</v>
      </c>
      <c r="AG291">
        <v>-6.034140478186969</v>
      </c>
      <c r="AH291">
        <v>-5.9235455773371104</v>
      </c>
      <c r="AI291">
        <v>-11.2844436787455</v>
      </c>
      <c r="AJ291">
        <v>-5.8984592069118298</v>
      </c>
      <c r="AK291">
        <v>-11.07762019919474</v>
      </c>
      <c r="AL291">
        <v>-5.7903510988037219</v>
      </c>
      <c r="AM291">
        <v>3.6495983633746829</v>
      </c>
      <c r="AN291">
        <v>3.5827078144061408</v>
      </c>
    </row>
    <row r="292" spans="1:40" x14ac:dyDescent="0.25">
      <c r="A292" s="1" t="s">
        <v>1214</v>
      </c>
      <c r="B292">
        <v>57073543080</v>
      </c>
      <c r="C292" t="s">
        <v>86</v>
      </c>
      <c r="D292" t="s">
        <v>127</v>
      </c>
      <c r="E292">
        <v>14591000000</v>
      </c>
      <c r="F292">
        <v>-8371000000</v>
      </c>
      <c r="G292">
        <v>-4719000000</v>
      </c>
      <c r="H292">
        <v>-9028000000</v>
      </c>
      <c r="I292">
        <v>-8825000000</v>
      </c>
      <c r="J292">
        <v>-10430000000</v>
      </c>
      <c r="K292">
        <v>8165000000</v>
      </c>
      <c r="L292">
        <v>831000000</v>
      </c>
      <c r="M292">
        <v>8996000000</v>
      </c>
      <c r="N292">
        <v>11114000000</v>
      </c>
      <c r="O292">
        <v>1242000000</v>
      </c>
      <c r="P292">
        <v>205000000</v>
      </c>
      <c r="Q292">
        <v>7222000000</v>
      </c>
      <c r="R292">
        <v>6631000000</v>
      </c>
      <c r="S292">
        <v>17772000000</v>
      </c>
      <c r="T292">
        <v>0</v>
      </c>
      <c r="U292">
        <v>976000000</v>
      </c>
      <c r="V292">
        <v>11342000000</v>
      </c>
      <c r="W292">
        <v>55504543080</v>
      </c>
      <c r="X292">
        <v>56480543080</v>
      </c>
      <c r="Y292">
        <v>3.911558020697691</v>
      </c>
      <c r="Z292">
        <v>-6.8180077744594429</v>
      </c>
      <c r="AA292">
        <v>-12.09441472345836</v>
      </c>
      <c r="AB292">
        <v>-6.3218368498006203</v>
      </c>
      <c r="AC292">
        <v>-6.4672570062322947</v>
      </c>
      <c r="AD292">
        <v>-5.4720559041227226</v>
      </c>
      <c r="AE292">
        <v>-6.7471679703739103</v>
      </c>
      <c r="AF292">
        <v>-6.6305749707322903</v>
      </c>
      <c r="AG292">
        <v>-6.4000615388101982</v>
      </c>
      <c r="AH292">
        <v>-6.2894666379603397</v>
      </c>
      <c r="AI292">
        <v>-11.96875250688705</v>
      </c>
      <c r="AJ292">
        <v>-6.2561523128046082</v>
      </c>
      <c r="AK292">
        <v>-11.761929027336301</v>
      </c>
      <c r="AL292">
        <v>-6.1480442046964994</v>
      </c>
      <c r="AM292">
        <v>3.8709165293674181</v>
      </c>
      <c r="AN292">
        <v>3.8040259803988761</v>
      </c>
    </row>
    <row r="293" spans="1:40" x14ac:dyDescent="0.25">
      <c r="A293" s="1" t="s">
        <v>1213</v>
      </c>
      <c r="B293">
        <v>57600051780</v>
      </c>
      <c r="C293" t="s">
        <v>86</v>
      </c>
      <c r="D293" t="s">
        <v>127</v>
      </c>
      <c r="E293">
        <v>14591000000</v>
      </c>
      <c r="F293">
        <v>-8371000000</v>
      </c>
      <c r="G293">
        <v>-4719000000</v>
      </c>
      <c r="H293">
        <v>-9028000000</v>
      </c>
      <c r="I293">
        <v>-8825000000</v>
      </c>
      <c r="J293">
        <v>-10430000000</v>
      </c>
      <c r="K293">
        <v>8165000000</v>
      </c>
      <c r="L293">
        <v>831000000</v>
      </c>
      <c r="M293">
        <v>8996000000</v>
      </c>
      <c r="N293">
        <v>11114000000</v>
      </c>
      <c r="O293">
        <v>1242000000</v>
      </c>
      <c r="P293">
        <v>205000000</v>
      </c>
      <c r="Q293">
        <v>7222000000</v>
      </c>
      <c r="R293">
        <v>6631000000</v>
      </c>
      <c r="S293">
        <v>17772000000</v>
      </c>
      <c r="T293">
        <v>0</v>
      </c>
      <c r="U293">
        <v>976000000</v>
      </c>
      <c r="V293">
        <v>11342000000</v>
      </c>
      <c r="W293">
        <v>56031051780</v>
      </c>
      <c r="X293">
        <v>57007051780</v>
      </c>
      <c r="Y293">
        <v>3.9476425042834622</v>
      </c>
      <c r="Z293">
        <v>-6.880904525146339</v>
      </c>
      <c r="AA293">
        <v>-12.205986815003181</v>
      </c>
      <c r="AB293">
        <v>-6.3801563779353128</v>
      </c>
      <c r="AC293">
        <v>-6.5269180487252134</v>
      </c>
      <c r="AD293">
        <v>-5.5225361246404603</v>
      </c>
      <c r="AE293">
        <v>-6.8100647210608054</v>
      </c>
      <c r="AF293">
        <v>-6.6934717214191846</v>
      </c>
      <c r="AG293">
        <v>-6.4597225813031161</v>
      </c>
      <c r="AH293">
        <v>-6.3491276804532566</v>
      </c>
      <c r="AI293">
        <v>-12.08032459843187</v>
      </c>
      <c r="AJ293">
        <v>-6.3144718409392997</v>
      </c>
      <c r="AK293">
        <v>-11.873501118881119</v>
      </c>
      <c r="AL293">
        <v>-6.2063637328311918</v>
      </c>
      <c r="AM293">
        <v>3.9070010129531898</v>
      </c>
      <c r="AN293">
        <v>3.8401104639846482</v>
      </c>
    </row>
    <row r="294" spans="1:40" x14ac:dyDescent="0.25">
      <c r="A294" s="1" t="s">
        <v>1212</v>
      </c>
      <c r="B294">
        <v>59548133970</v>
      </c>
      <c r="C294" t="s">
        <v>86</v>
      </c>
      <c r="D294" t="s">
        <v>127</v>
      </c>
      <c r="E294">
        <v>14591000000</v>
      </c>
      <c r="F294">
        <v>-8371000000</v>
      </c>
      <c r="G294">
        <v>-4719000000</v>
      </c>
      <c r="H294">
        <v>-9028000000</v>
      </c>
      <c r="I294">
        <v>-8825000000</v>
      </c>
      <c r="J294">
        <v>-10430000000</v>
      </c>
      <c r="K294">
        <v>8165000000</v>
      </c>
      <c r="L294">
        <v>831000000</v>
      </c>
      <c r="M294">
        <v>8996000000</v>
      </c>
      <c r="N294">
        <v>11114000000</v>
      </c>
      <c r="O294">
        <v>1242000000</v>
      </c>
      <c r="P294">
        <v>205000000</v>
      </c>
      <c r="Q294">
        <v>7222000000</v>
      </c>
      <c r="R294">
        <v>6631000000</v>
      </c>
      <c r="S294">
        <v>17772000000</v>
      </c>
      <c r="T294">
        <v>0</v>
      </c>
      <c r="U294">
        <v>976000000</v>
      </c>
      <c r="V294">
        <v>11342000000</v>
      </c>
      <c r="W294">
        <v>57979133970</v>
      </c>
      <c r="X294">
        <v>58955133970</v>
      </c>
      <c r="Y294">
        <v>4.0811550935508194</v>
      </c>
      <c r="Z294">
        <v>-7.1136225026878508</v>
      </c>
      <c r="AA294">
        <v>-12.61880355371901</v>
      </c>
      <c r="AB294">
        <v>-6.5959386320336728</v>
      </c>
      <c r="AC294">
        <v>-6.7476639059490076</v>
      </c>
      <c r="AD294">
        <v>-5.7093129405560878</v>
      </c>
      <c r="AE294">
        <v>-7.0427826986023172</v>
      </c>
      <c r="AF294">
        <v>-6.9261896989606972</v>
      </c>
      <c r="AG294">
        <v>-6.680468438526912</v>
      </c>
      <c r="AH294">
        <v>-6.5698735376770534</v>
      </c>
      <c r="AI294">
        <v>-12.4931413371477</v>
      </c>
      <c r="AJ294">
        <v>-6.5302540950376606</v>
      </c>
      <c r="AK294">
        <v>-12.28631785759695</v>
      </c>
      <c r="AL294">
        <v>-6.4221459869295527</v>
      </c>
      <c r="AM294">
        <v>4.040513602220547</v>
      </c>
      <c r="AN294">
        <v>3.973623053252004</v>
      </c>
    </row>
    <row r="295" spans="1:40" x14ac:dyDescent="0.25">
      <c r="A295" s="1" t="s">
        <v>1211</v>
      </c>
      <c r="B295">
        <v>58179211350</v>
      </c>
      <c r="C295" t="s">
        <v>86</v>
      </c>
      <c r="D295" t="s">
        <v>127</v>
      </c>
      <c r="E295">
        <v>14591000000</v>
      </c>
      <c r="F295">
        <v>-8371000000</v>
      </c>
      <c r="G295">
        <v>-4719000000</v>
      </c>
      <c r="H295">
        <v>-9028000000</v>
      </c>
      <c r="I295">
        <v>-8825000000</v>
      </c>
      <c r="J295">
        <v>-10430000000</v>
      </c>
      <c r="K295">
        <v>8165000000</v>
      </c>
      <c r="L295">
        <v>831000000</v>
      </c>
      <c r="M295">
        <v>8996000000</v>
      </c>
      <c r="N295">
        <v>11114000000</v>
      </c>
      <c r="O295">
        <v>1242000000</v>
      </c>
      <c r="P295">
        <v>205000000</v>
      </c>
      <c r="Q295">
        <v>7222000000</v>
      </c>
      <c r="R295">
        <v>6631000000</v>
      </c>
      <c r="S295">
        <v>17772000000</v>
      </c>
      <c r="T295">
        <v>0</v>
      </c>
      <c r="U295">
        <v>976000000</v>
      </c>
      <c r="V295">
        <v>11342000000</v>
      </c>
      <c r="W295">
        <v>56610211350</v>
      </c>
      <c r="X295">
        <v>57586211350</v>
      </c>
      <c r="Y295">
        <v>3.9873354362278119</v>
      </c>
      <c r="Z295">
        <v>-6.9500909509019237</v>
      </c>
      <c r="AA295">
        <v>-12.32871611570248</v>
      </c>
      <c r="AB295">
        <v>-6.4443078588834739</v>
      </c>
      <c r="AC295">
        <v>-6.5925451954674221</v>
      </c>
      <c r="AD295">
        <v>-5.5780643672099712</v>
      </c>
      <c r="AE295">
        <v>-6.8792511468163902</v>
      </c>
      <c r="AF295">
        <v>-6.7626581471747702</v>
      </c>
      <c r="AG295">
        <v>-6.5253497280453256</v>
      </c>
      <c r="AH295">
        <v>-6.4147548271954671</v>
      </c>
      <c r="AI295">
        <v>-12.20305389913117</v>
      </c>
      <c r="AJ295">
        <v>-6.3786233218874608</v>
      </c>
      <c r="AK295">
        <v>-11.996230419580421</v>
      </c>
      <c r="AL295">
        <v>-6.2705152137793529</v>
      </c>
      <c r="AM295">
        <v>3.94669394489754</v>
      </c>
      <c r="AN295">
        <v>3.879803395928997</v>
      </c>
    </row>
    <row r="296" spans="1:40" x14ac:dyDescent="0.25">
      <c r="A296" s="1" t="s">
        <v>1210</v>
      </c>
      <c r="B296">
        <v>58161661060</v>
      </c>
      <c r="C296" t="s">
        <v>86</v>
      </c>
      <c r="D296" t="s">
        <v>127</v>
      </c>
      <c r="E296">
        <v>14591000000</v>
      </c>
      <c r="F296">
        <v>-8371000000</v>
      </c>
      <c r="G296">
        <v>-4719000000</v>
      </c>
      <c r="H296">
        <v>-9028000000</v>
      </c>
      <c r="I296">
        <v>-8825000000</v>
      </c>
      <c r="J296">
        <v>-10430000000</v>
      </c>
      <c r="K296">
        <v>8165000000</v>
      </c>
      <c r="L296">
        <v>831000000</v>
      </c>
      <c r="M296">
        <v>8996000000</v>
      </c>
      <c r="N296">
        <v>11114000000</v>
      </c>
      <c r="O296">
        <v>1242000000</v>
      </c>
      <c r="P296">
        <v>205000000</v>
      </c>
      <c r="Q296">
        <v>7222000000</v>
      </c>
      <c r="R296">
        <v>6631000000</v>
      </c>
      <c r="S296">
        <v>17772000000</v>
      </c>
      <c r="T296">
        <v>0</v>
      </c>
      <c r="U296">
        <v>976000000</v>
      </c>
      <c r="V296">
        <v>11342000000</v>
      </c>
      <c r="W296">
        <v>56592661060</v>
      </c>
      <c r="X296">
        <v>57568661060</v>
      </c>
      <c r="Y296">
        <v>3.9861326201082861</v>
      </c>
      <c r="Z296">
        <v>-6.9479943925456933</v>
      </c>
      <c r="AA296">
        <v>-12.32499704598432</v>
      </c>
      <c r="AB296">
        <v>-6.4423638746123171</v>
      </c>
      <c r="AC296">
        <v>-6.5905564940509924</v>
      </c>
      <c r="AD296">
        <v>-5.5763816931927126</v>
      </c>
      <c r="AE296">
        <v>-6.8771545884601597</v>
      </c>
      <c r="AF296">
        <v>-6.7605615888185406</v>
      </c>
      <c r="AG296">
        <v>-6.5233610266288951</v>
      </c>
      <c r="AH296">
        <v>-6.4127661257790356</v>
      </c>
      <c r="AI296">
        <v>-12.19933482941301</v>
      </c>
      <c r="AJ296">
        <v>-6.3766793376163049</v>
      </c>
      <c r="AK296">
        <v>-11.99251134986226</v>
      </c>
      <c r="AL296">
        <v>-6.268571229508197</v>
      </c>
      <c r="AM296">
        <v>3.9454911287780141</v>
      </c>
      <c r="AN296">
        <v>3.878600579809472</v>
      </c>
    </row>
    <row r="297" spans="1:40" x14ac:dyDescent="0.25">
      <c r="A297" s="1" t="s">
        <v>1209</v>
      </c>
      <c r="B297">
        <v>55669519880</v>
      </c>
      <c r="C297" t="s">
        <v>86</v>
      </c>
      <c r="D297" t="s">
        <v>127</v>
      </c>
      <c r="E297">
        <v>14591000000</v>
      </c>
      <c r="F297">
        <v>-8371000000</v>
      </c>
      <c r="G297">
        <v>-4719000000</v>
      </c>
      <c r="H297">
        <v>-9028000000</v>
      </c>
      <c r="I297">
        <v>-8825000000</v>
      </c>
      <c r="J297">
        <v>-10430000000</v>
      </c>
      <c r="K297">
        <v>8165000000</v>
      </c>
      <c r="L297">
        <v>831000000</v>
      </c>
      <c r="M297">
        <v>8996000000</v>
      </c>
      <c r="N297">
        <v>11114000000</v>
      </c>
      <c r="O297">
        <v>1242000000</v>
      </c>
      <c r="P297">
        <v>205000000</v>
      </c>
      <c r="Q297">
        <v>7222000000</v>
      </c>
      <c r="R297">
        <v>6631000000</v>
      </c>
      <c r="S297">
        <v>17772000000</v>
      </c>
      <c r="T297">
        <v>0</v>
      </c>
      <c r="U297">
        <v>976000000</v>
      </c>
      <c r="V297">
        <v>11342000000</v>
      </c>
      <c r="W297">
        <v>54100519880</v>
      </c>
      <c r="X297">
        <v>55076519880</v>
      </c>
      <c r="Y297">
        <v>3.8153327311356322</v>
      </c>
      <c r="Z297">
        <v>-6.6502831059610559</v>
      </c>
      <c r="AA297">
        <v>-11.79688914600551</v>
      </c>
      <c r="AB297">
        <v>-6.1663181081081078</v>
      </c>
      <c r="AC297">
        <v>-6.3081608929178472</v>
      </c>
      <c r="AD297">
        <v>-5.3374419827420896</v>
      </c>
      <c r="AE297">
        <v>-6.5794433018755223</v>
      </c>
      <c r="AF297">
        <v>-6.4628503022339023</v>
      </c>
      <c r="AG297">
        <v>-6.2409654254957507</v>
      </c>
      <c r="AH297">
        <v>-6.1303705246458922</v>
      </c>
      <c r="AI297">
        <v>-11.6712269294342</v>
      </c>
      <c r="AJ297">
        <v>-6.1006335711120956</v>
      </c>
      <c r="AK297">
        <v>-11.46440344988345</v>
      </c>
      <c r="AL297">
        <v>-5.9925254630039877</v>
      </c>
      <c r="AM297">
        <v>3.7746912398053589</v>
      </c>
      <c r="AN297">
        <v>3.7078006908368168</v>
      </c>
    </row>
    <row r="298" spans="1:40" x14ac:dyDescent="0.25">
      <c r="A298" s="1" t="s">
        <v>1208</v>
      </c>
      <c r="B298">
        <v>54283046970</v>
      </c>
      <c r="C298" t="s">
        <v>86</v>
      </c>
      <c r="D298" t="s">
        <v>127</v>
      </c>
      <c r="E298">
        <v>14591000000</v>
      </c>
      <c r="F298">
        <v>-8371000000</v>
      </c>
      <c r="G298">
        <v>-4719000000</v>
      </c>
      <c r="H298">
        <v>-9028000000</v>
      </c>
      <c r="I298">
        <v>-8825000000</v>
      </c>
      <c r="J298">
        <v>-10430000000</v>
      </c>
      <c r="K298">
        <v>8165000000</v>
      </c>
      <c r="L298">
        <v>831000000</v>
      </c>
      <c r="M298">
        <v>8996000000</v>
      </c>
      <c r="N298">
        <v>11114000000</v>
      </c>
      <c r="O298">
        <v>1242000000</v>
      </c>
      <c r="P298">
        <v>205000000</v>
      </c>
      <c r="Q298">
        <v>7222000000</v>
      </c>
      <c r="R298">
        <v>6631000000</v>
      </c>
      <c r="S298">
        <v>17772000000</v>
      </c>
      <c r="T298">
        <v>0</v>
      </c>
      <c r="U298">
        <v>976000000</v>
      </c>
      <c r="V298">
        <v>11342000000</v>
      </c>
      <c r="W298">
        <v>52714046970</v>
      </c>
      <c r="X298">
        <v>53690046970</v>
      </c>
      <c r="Y298">
        <v>3.720310257693098</v>
      </c>
      <c r="Z298">
        <v>-6.4846549958188984</v>
      </c>
      <c r="AA298">
        <v>-11.50308263827082</v>
      </c>
      <c r="AB298">
        <v>-6.012743350686752</v>
      </c>
      <c r="AC298">
        <v>-6.1510534810198303</v>
      </c>
      <c r="AD298">
        <v>-5.2045107353787152</v>
      </c>
      <c r="AE298">
        <v>-6.4138151917333648</v>
      </c>
      <c r="AF298">
        <v>-6.2972221920917457</v>
      </c>
      <c r="AG298">
        <v>-6.0838580135977338</v>
      </c>
      <c r="AH298">
        <v>-5.9732631127478752</v>
      </c>
      <c r="AI298">
        <v>-11.37742042169951</v>
      </c>
      <c r="AJ298">
        <v>-5.9470588136907399</v>
      </c>
      <c r="AK298">
        <v>-11.170596942148761</v>
      </c>
      <c r="AL298">
        <v>-5.838950705582632</v>
      </c>
      <c r="AM298">
        <v>3.679668766362826</v>
      </c>
      <c r="AN298">
        <v>3.612778217394284</v>
      </c>
    </row>
    <row r="299" spans="1:40" x14ac:dyDescent="0.25">
      <c r="A299" s="1" t="s">
        <v>1207</v>
      </c>
      <c r="B299">
        <v>57582501490</v>
      </c>
      <c r="C299" t="s">
        <v>86</v>
      </c>
      <c r="D299" t="s">
        <v>127</v>
      </c>
      <c r="E299">
        <v>14591000000</v>
      </c>
      <c r="F299">
        <v>-8371000000</v>
      </c>
      <c r="G299">
        <v>-4719000000</v>
      </c>
      <c r="H299">
        <v>-9028000000</v>
      </c>
      <c r="I299">
        <v>-8825000000</v>
      </c>
      <c r="J299">
        <v>-10430000000</v>
      </c>
      <c r="K299">
        <v>8165000000</v>
      </c>
      <c r="L299">
        <v>831000000</v>
      </c>
      <c r="M299">
        <v>8996000000</v>
      </c>
      <c r="N299">
        <v>11114000000</v>
      </c>
      <c r="O299">
        <v>1242000000</v>
      </c>
      <c r="P299">
        <v>205000000</v>
      </c>
      <c r="Q299">
        <v>7222000000</v>
      </c>
      <c r="R299">
        <v>6631000000</v>
      </c>
      <c r="S299">
        <v>17772000000</v>
      </c>
      <c r="T299">
        <v>0</v>
      </c>
      <c r="U299">
        <v>976000000</v>
      </c>
      <c r="V299">
        <v>11342000000</v>
      </c>
      <c r="W299">
        <v>56013501490</v>
      </c>
      <c r="X299">
        <v>56989501490</v>
      </c>
      <c r="Y299">
        <v>3.9464396881639372</v>
      </c>
      <c r="Z299">
        <v>-6.8788079667901094</v>
      </c>
      <c r="AA299">
        <v>-12.20226774528502</v>
      </c>
      <c r="AB299">
        <v>-6.3782123936641559</v>
      </c>
      <c r="AC299">
        <v>-6.5249293473087819</v>
      </c>
      <c r="AD299">
        <v>-5.5208534506232034</v>
      </c>
      <c r="AE299">
        <v>-6.8079681627045749</v>
      </c>
      <c r="AF299">
        <v>-6.6913751630629559</v>
      </c>
      <c r="AG299">
        <v>-6.4577338798866846</v>
      </c>
      <c r="AH299">
        <v>-6.3471389790368269</v>
      </c>
      <c r="AI299">
        <v>-12.07660552871371</v>
      </c>
      <c r="AJ299">
        <v>-6.3125278566681438</v>
      </c>
      <c r="AK299">
        <v>-11.869782049162961</v>
      </c>
      <c r="AL299">
        <v>-6.2044197485600359</v>
      </c>
      <c r="AM299">
        <v>3.9057981968336648</v>
      </c>
      <c r="AN299">
        <v>3.8389076478651218</v>
      </c>
    </row>
    <row r="300" spans="1:40" x14ac:dyDescent="0.25">
      <c r="A300" s="1" t="s">
        <v>1206</v>
      </c>
      <c r="B300">
        <v>56775188150</v>
      </c>
      <c r="C300" t="s">
        <v>86</v>
      </c>
      <c r="D300" t="s">
        <v>127</v>
      </c>
      <c r="E300">
        <v>14591000000</v>
      </c>
      <c r="F300">
        <v>-8371000000</v>
      </c>
      <c r="G300">
        <v>-4719000000</v>
      </c>
      <c r="H300">
        <v>-9028000000</v>
      </c>
      <c r="I300">
        <v>-8825000000</v>
      </c>
      <c r="J300">
        <v>-10430000000</v>
      </c>
      <c r="K300">
        <v>8165000000</v>
      </c>
      <c r="L300">
        <v>831000000</v>
      </c>
      <c r="M300">
        <v>8996000000</v>
      </c>
      <c r="N300">
        <v>11114000000</v>
      </c>
      <c r="O300">
        <v>1242000000</v>
      </c>
      <c r="P300">
        <v>205000000</v>
      </c>
      <c r="Q300">
        <v>7222000000</v>
      </c>
      <c r="R300">
        <v>6631000000</v>
      </c>
      <c r="S300">
        <v>17772000000</v>
      </c>
      <c r="T300">
        <v>0</v>
      </c>
      <c r="U300">
        <v>976000000</v>
      </c>
      <c r="V300">
        <v>11342000000</v>
      </c>
      <c r="W300">
        <v>55206188150</v>
      </c>
      <c r="X300">
        <v>56182188150</v>
      </c>
      <c r="Y300">
        <v>3.8911101466657532</v>
      </c>
      <c r="Z300">
        <v>-6.7823662824035358</v>
      </c>
      <c r="AA300">
        <v>-12.03119053824963</v>
      </c>
      <c r="AB300">
        <v>-6.2887891171909613</v>
      </c>
      <c r="AC300">
        <v>-6.4334490821529746</v>
      </c>
      <c r="AD300">
        <v>-5.4434504458293382</v>
      </c>
      <c r="AE300">
        <v>-6.7115264783180022</v>
      </c>
      <c r="AF300">
        <v>-6.5949334786763831</v>
      </c>
      <c r="AG300">
        <v>-6.3662536147308781</v>
      </c>
      <c r="AH300">
        <v>-6.2556587138810196</v>
      </c>
      <c r="AI300">
        <v>-11.90552832167832</v>
      </c>
      <c r="AJ300">
        <v>-6.2231045801949492</v>
      </c>
      <c r="AK300">
        <v>-11.698704842127571</v>
      </c>
      <c r="AL300">
        <v>-6.1149964720868413</v>
      </c>
      <c r="AM300">
        <v>3.8504686553354812</v>
      </c>
      <c r="AN300">
        <v>3.7835781063669391</v>
      </c>
    </row>
    <row r="301" spans="1:40" x14ac:dyDescent="0.25">
      <c r="A301" s="1" t="s">
        <v>1205</v>
      </c>
      <c r="B301">
        <v>57126193949</v>
      </c>
      <c r="C301" t="s">
        <v>86</v>
      </c>
      <c r="D301" t="s">
        <v>127</v>
      </c>
      <c r="E301">
        <v>14591000000</v>
      </c>
      <c r="F301">
        <v>-8371000000</v>
      </c>
      <c r="G301">
        <v>-4719000000</v>
      </c>
      <c r="H301">
        <v>-9028000000</v>
      </c>
      <c r="I301">
        <v>-8825000000</v>
      </c>
      <c r="J301">
        <v>-10430000000</v>
      </c>
      <c r="K301">
        <v>8165000000</v>
      </c>
      <c r="L301">
        <v>831000000</v>
      </c>
      <c r="M301">
        <v>8996000000</v>
      </c>
      <c r="N301">
        <v>11114000000</v>
      </c>
      <c r="O301">
        <v>1242000000</v>
      </c>
      <c r="P301">
        <v>205000000</v>
      </c>
      <c r="Q301">
        <v>7222000000</v>
      </c>
      <c r="R301">
        <v>6631000000</v>
      </c>
      <c r="S301">
        <v>17772000000</v>
      </c>
      <c r="T301">
        <v>0</v>
      </c>
      <c r="U301">
        <v>976000000</v>
      </c>
      <c r="V301">
        <v>11342000000</v>
      </c>
      <c r="W301">
        <v>55557193949</v>
      </c>
      <c r="X301">
        <v>56533193949</v>
      </c>
      <c r="Y301">
        <v>3.9151664689877319</v>
      </c>
      <c r="Z301">
        <v>-6.8242974494086734</v>
      </c>
      <c r="AA301">
        <v>-12.105571932400929</v>
      </c>
      <c r="AB301">
        <v>-6.3276688025033234</v>
      </c>
      <c r="AC301">
        <v>-6.4732231103682718</v>
      </c>
      <c r="AD301">
        <v>-5.4771039260786196</v>
      </c>
      <c r="AE301">
        <v>-6.753457645323139</v>
      </c>
      <c r="AF301">
        <v>-6.6368646456815199</v>
      </c>
      <c r="AG301">
        <v>-6.4060276429461753</v>
      </c>
      <c r="AH301">
        <v>-6.2954327420963176</v>
      </c>
      <c r="AI301">
        <v>-11.979909715829621</v>
      </c>
      <c r="AJ301">
        <v>-6.2619842655073104</v>
      </c>
      <c r="AK301">
        <v>-11.77308623627887</v>
      </c>
      <c r="AL301">
        <v>-6.1538761573992016</v>
      </c>
      <c r="AM301">
        <v>3.87452497765746</v>
      </c>
      <c r="AN301">
        <v>3.8076344286889179</v>
      </c>
    </row>
    <row r="302" spans="1:40" x14ac:dyDescent="0.25">
      <c r="A302" s="1" t="s">
        <v>1204</v>
      </c>
      <c r="B302">
        <v>59074276139</v>
      </c>
      <c r="C302" t="s">
        <v>86</v>
      </c>
      <c r="D302" t="s">
        <v>127</v>
      </c>
      <c r="E302">
        <v>14591000000</v>
      </c>
      <c r="F302">
        <v>-8371000000</v>
      </c>
      <c r="G302">
        <v>-4719000000</v>
      </c>
      <c r="H302">
        <v>-9028000000</v>
      </c>
      <c r="I302">
        <v>-8825000000</v>
      </c>
      <c r="J302">
        <v>-10430000000</v>
      </c>
      <c r="K302">
        <v>8165000000</v>
      </c>
      <c r="L302">
        <v>831000000</v>
      </c>
      <c r="M302">
        <v>8996000000</v>
      </c>
      <c r="N302">
        <v>11114000000</v>
      </c>
      <c r="O302">
        <v>1242000000</v>
      </c>
      <c r="P302">
        <v>205000000</v>
      </c>
      <c r="Q302">
        <v>7222000000</v>
      </c>
      <c r="R302">
        <v>6631000000</v>
      </c>
      <c r="S302">
        <v>17772000000</v>
      </c>
      <c r="T302">
        <v>0</v>
      </c>
      <c r="U302">
        <v>976000000</v>
      </c>
      <c r="V302">
        <v>11342000000</v>
      </c>
      <c r="W302">
        <v>57505276139</v>
      </c>
      <c r="X302">
        <v>58481276139</v>
      </c>
      <c r="Y302">
        <v>4.0486790582550887</v>
      </c>
      <c r="Z302">
        <v>-7.0570154269501852</v>
      </c>
      <c r="AA302">
        <v>-12.51838867111676</v>
      </c>
      <c r="AB302">
        <v>-6.5434510566016826</v>
      </c>
      <c r="AC302">
        <v>-6.6939689675920677</v>
      </c>
      <c r="AD302">
        <v>-5.6638807419942472</v>
      </c>
      <c r="AE302">
        <v>-6.9861756228646517</v>
      </c>
      <c r="AF302">
        <v>-6.8695826232230317</v>
      </c>
      <c r="AG302">
        <v>-6.6267735001699712</v>
      </c>
      <c r="AH302">
        <v>-6.5161785993201136</v>
      </c>
      <c r="AI302">
        <v>-12.392726454545461</v>
      </c>
      <c r="AJ302">
        <v>-6.4777665196056713</v>
      </c>
      <c r="AK302">
        <v>-12.185902974994701</v>
      </c>
      <c r="AL302">
        <v>-6.3696584114975634</v>
      </c>
      <c r="AM302">
        <v>4.0080375669248163</v>
      </c>
      <c r="AN302">
        <v>3.9411470179562742</v>
      </c>
    </row>
    <row r="303" spans="1:40" x14ac:dyDescent="0.25">
      <c r="A303" s="1" t="s">
        <v>1203</v>
      </c>
      <c r="B303">
        <v>57126193949</v>
      </c>
      <c r="C303" t="s">
        <v>86</v>
      </c>
      <c r="D303" t="s">
        <v>127</v>
      </c>
      <c r="E303">
        <v>14591000000</v>
      </c>
      <c r="F303">
        <v>-8371000000</v>
      </c>
      <c r="G303">
        <v>-4719000000</v>
      </c>
      <c r="H303">
        <v>-9028000000</v>
      </c>
      <c r="I303">
        <v>-8825000000</v>
      </c>
      <c r="J303">
        <v>-10430000000</v>
      </c>
      <c r="K303">
        <v>8165000000</v>
      </c>
      <c r="L303">
        <v>831000000</v>
      </c>
      <c r="M303">
        <v>8996000000</v>
      </c>
      <c r="N303">
        <v>11114000000</v>
      </c>
      <c r="O303">
        <v>1242000000</v>
      </c>
      <c r="P303">
        <v>205000000</v>
      </c>
      <c r="Q303">
        <v>7222000000</v>
      </c>
      <c r="R303">
        <v>6631000000</v>
      </c>
      <c r="S303">
        <v>17772000000</v>
      </c>
      <c r="T303">
        <v>0</v>
      </c>
      <c r="U303">
        <v>976000000</v>
      </c>
      <c r="V303">
        <v>11342000000</v>
      </c>
      <c r="W303">
        <v>55557193949</v>
      </c>
      <c r="X303">
        <v>56533193949</v>
      </c>
      <c r="Y303">
        <v>3.9151664689877319</v>
      </c>
      <c r="Z303">
        <v>-6.8242974494086734</v>
      </c>
      <c r="AA303">
        <v>-12.105571932400929</v>
      </c>
      <c r="AB303">
        <v>-6.3276688025033234</v>
      </c>
      <c r="AC303">
        <v>-6.4732231103682718</v>
      </c>
      <c r="AD303">
        <v>-5.4771039260786196</v>
      </c>
      <c r="AE303">
        <v>-6.753457645323139</v>
      </c>
      <c r="AF303">
        <v>-6.6368646456815199</v>
      </c>
      <c r="AG303">
        <v>-6.4060276429461753</v>
      </c>
      <c r="AH303">
        <v>-6.2954327420963176</v>
      </c>
      <c r="AI303">
        <v>-11.979909715829621</v>
      </c>
      <c r="AJ303">
        <v>-6.2619842655073104</v>
      </c>
      <c r="AK303">
        <v>-11.77308623627887</v>
      </c>
      <c r="AL303">
        <v>-6.1538761573992016</v>
      </c>
      <c r="AM303">
        <v>3.87452497765746</v>
      </c>
      <c r="AN303">
        <v>3.8076344286889179</v>
      </c>
    </row>
    <row r="304" spans="1:40" x14ac:dyDescent="0.25">
      <c r="A304" s="1" t="s">
        <v>1202</v>
      </c>
      <c r="B304">
        <v>57319247139</v>
      </c>
      <c r="C304" t="s">
        <v>86</v>
      </c>
      <c r="D304" t="s">
        <v>127</v>
      </c>
      <c r="E304">
        <v>14591000000</v>
      </c>
      <c r="F304">
        <v>-8371000000</v>
      </c>
      <c r="G304">
        <v>-4719000000</v>
      </c>
      <c r="H304">
        <v>-9028000000</v>
      </c>
      <c r="I304">
        <v>-8825000000</v>
      </c>
      <c r="J304">
        <v>-10430000000</v>
      </c>
      <c r="K304">
        <v>8165000000</v>
      </c>
      <c r="L304">
        <v>831000000</v>
      </c>
      <c r="M304">
        <v>8996000000</v>
      </c>
      <c r="N304">
        <v>11114000000</v>
      </c>
      <c r="O304">
        <v>1242000000</v>
      </c>
      <c r="P304">
        <v>205000000</v>
      </c>
      <c r="Q304">
        <v>7222000000</v>
      </c>
      <c r="R304">
        <v>6631000000</v>
      </c>
      <c r="S304">
        <v>17772000000</v>
      </c>
      <c r="T304">
        <v>0</v>
      </c>
      <c r="U304">
        <v>976000000</v>
      </c>
      <c r="V304">
        <v>11342000000</v>
      </c>
      <c r="W304">
        <v>55750247139</v>
      </c>
      <c r="X304">
        <v>56726247139</v>
      </c>
      <c r="Y304">
        <v>3.9283974463025149</v>
      </c>
      <c r="Z304">
        <v>-6.8473595913272014</v>
      </c>
      <c r="AA304">
        <v>-12.146481699300701</v>
      </c>
      <c r="AB304">
        <v>-6.3490526294860432</v>
      </c>
      <c r="AC304">
        <v>-6.4950988259490083</v>
      </c>
      <c r="AD304">
        <v>-5.4956133402684566</v>
      </c>
      <c r="AE304">
        <v>-6.7765197872416678</v>
      </c>
      <c r="AF304">
        <v>-6.6599267876000479</v>
      </c>
      <c r="AG304">
        <v>-6.4279033585269119</v>
      </c>
      <c r="AH304">
        <v>-6.3173084576770542</v>
      </c>
      <c r="AI304">
        <v>-12.02081948272939</v>
      </c>
      <c r="AJ304">
        <v>-6.283368092490031</v>
      </c>
      <c r="AK304">
        <v>-11.813996003178641</v>
      </c>
      <c r="AL304">
        <v>-6.1752599843819231</v>
      </c>
      <c r="AM304">
        <v>3.8877559549722429</v>
      </c>
      <c r="AN304">
        <v>3.8208654060037008</v>
      </c>
    </row>
    <row r="305" spans="1:40" x14ac:dyDescent="0.25">
      <c r="A305" s="1" t="s">
        <v>1201</v>
      </c>
      <c r="B305">
        <v>56459282930</v>
      </c>
      <c r="C305" t="s">
        <v>86</v>
      </c>
      <c r="D305" t="s">
        <v>127</v>
      </c>
      <c r="E305">
        <v>14591000000</v>
      </c>
      <c r="F305">
        <v>-8371000000</v>
      </c>
      <c r="G305">
        <v>-4719000000</v>
      </c>
      <c r="H305">
        <v>-9028000000</v>
      </c>
      <c r="I305">
        <v>-8825000000</v>
      </c>
      <c r="J305">
        <v>-10430000000</v>
      </c>
      <c r="K305">
        <v>8165000000</v>
      </c>
      <c r="L305">
        <v>831000000</v>
      </c>
      <c r="M305">
        <v>8996000000</v>
      </c>
      <c r="N305">
        <v>11114000000</v>
      </c>
      <c r="O305">
        <v>1242000000</v>
      </c>
      <c r="P305">
        <v>205000000</v>
      </c>
      <c r="Q305">
        <v>7222000000</v>
      </c>
      <c r="R305">
        <v>6631000000</v>
      </c>
      <c r="S305">
        <v>17772000000</v>
      </c>
      <c r="T305">
        <v>0</v>
      </c>
      <c r="U305">
        <v>976000000</v>
      </c>
      <c r="V305">
        <v>11342000000</v>
      </c>
      <c r="W305">
        <v>54890282930</v>
      </c>
      <c r="X305">
        <v>55866282930</v>
      </c>
      <c r="Y305">
        <v>3.869459456514289</v>
      </c>
      <c r="Z305">
        <v>-6.744628231991399</v>
      </c>
      <c r="AA305">
        <v>-11.96424728332274</v>
      </c>
      <c r="AB305">
        <v>-6.2537974003101464</v>
      </c>
      <c r="AC305">
        <v>-6.3976524566572239</v>
      </c>
      <c r="AD305">
        <v>-5.4131623135186961</v>
      </c>
      <c r="AE305">
        <v>-6.6737884279058646</v>
      </c>
      <c r="AF305">
        <v>-6.5571954282642464</v>
      </c>
      <c r="AG305">
        <v>-6.3304569892351266</v>
      </c>
      <c r="AH305">
        <v>-6.2198620883852689</v>
      </c>
      <c r="AI305">
        <v>-11.838585066751429</v>
      </c>
      <c r="AJ305">
        <v>-6.1881128633141342</v>
      </c>
      <c r="AK305">
        <v>-11.63176158720068</v>
      </c>
      <c r="AL305">
        <v>-6.0800047552060246</v>
      </c>
      <c r="AM305">
        <v>3.828817965184018</v>
      </c>
      <c r="AN305">
        <v>3.761927416215475</v>
      </c>
    </row>
    <row r="306" spans="1:40" x14ac:dyDescent="0.25">
      <c r="A306" s="1" t="s">
        <v>1200</v>
      </c>
      <c r="B306">
        <v>54721804220</v>
      </c>
      <c r="C306" t="s">
        <v>86</v>
      </c>
      <c r="D306" t="s">
        <v>127</v>
      </c>
      <c r="E306">
        <v>14591000000</v>
      </c>
      <c r="F306">
        <v>-8371000000</v>
      </c>
      <c r="G306">
        <v>-4719000000</v>
      </c>
      <c r="H306">
        <v>-9028000000</v>
      </c>
      <c r="I306">
        <v>-8825000000</v>
      </c>
      <c r="J306">
        <v>-10430000000</v>
      </c>
      <c r="K306">
        <v>8165000000</v>
      </c>
      <c r="L306">
        <v>831000000</v>
      </c>
      <c r="M306">
        <v>8996000000</v>
      </c>
      <c r="N306">
        <v>11114000000</v>
      </c>
      <c r="O306">
        <v>1242000000</v>
      </c>
      <c r="P306">
        <v>205000000</v>
      </c>
      <c r="Q306">
        <v>7222000000</v>
      </c>
      <c r="R306">
        <v>6631000000</v>
      </c>
      <c r="S306">
        <v>17772000000</v>
      </c>
      <c r="T306">
        <v>0</v>
      </c>
      <c r="U306">
        <v>976000000</v>
      </c>
      <c r="V306">
        <v>11342000000</v>
      </c>
      <c r="W306">
        <v>53152804220</v>
      </c>
      <c r="X306">
        <v>54128804220</v>
      </c>
      <c r="Y306">
        <v>3.750380660681242</v>
      </c>
      <c r="Z306">
        <v>-6.5370689547246448</v>
      </c>
      <c r="AA306">
        <v>-11.59605938122484</v>
      </c>
      <c r="AB306">
        <v>-6.0613429574656621</v>
      </c>
      <c r="AC306">
        <v>-6.2007710164305951</v>
      </c>
      <c r="AD306">
        <v>-5.2465775858101633</v>
      </c>
      <c r="AE306">
        <v>-6.4662291506391112</v>
      </c>
      <c r="AF306">
        <v>-6.3496361509974912</v>
      </c>
      <c r="AG306">
        <v>-6.1335755490084987</v>
      </c>
      <c r="AH306">
        <v>-6.0229806481586401</v>
      </c>
      <c r="AI306">
        <v>-11.47039716465353</v>
      </c>
      <c r="AJ306">
        <v>-5.9956584204696499</v>
      </c>
      <c r="AK306">
        <v>-11.263573685102781</v>
      </c>
      <c r="AL306">
        <v>-5.887550312361542</v>
      </c>
      <c r="AM306">
        <v>3.70973916935097</v>
      </c>
      <c r="AN306">
        <v>3.642848620382428</v>
      </c>
    </row>
    <row r="307" spans="1:40" x14ac:dyDescent="0.25">
      <c r="A307" s="1" t="s">
        <v>1199</v>
      </c>
      <c r="B307">
        <v>54388348710</v>
      </c>
      <c r="C307" t="s">
        <v>86</v>
      </c>
      <c r="D307" t="s">
        <v>127</v>
      </c>
      <c r="E307">
        <v>14591000000</v>
      </c>
      <c r="F307">
        <v>-8371000000</v>
      </c>
      <c r="G307">
        <v>-4719000000</v>
      </c>
      <c r="H307">
        <v>-9028000000</v>
      </c>
      <c r="I307">
        <v>-8825000000</v>
      </c>
      <c r="J307">
        <v>-10430000000</v>
      </c>
      <c r="K307">
        <v>8165000000</v>
      </c>
      <c r="L307">
        <v>831000000</v>
      </c>
      <c r="M307">
        <v>8996000000</v>
      </c>
      <c r="N307">
        <v>11114000000</v>
      </c>
      <c r="O307">
        <v>1242000000</v>
      </c>
      <c r="P307">
        <v>205000000</v>
      </c>
      <c r="Q307">
        <v>7222000000</v>
      </c>
      <c r="R307">
        <v>6631000000</v>
      </c>
      <c r="S307">
        <v>17772000000</v>
      </c>
      <c r="T307">
        <v>0</v>
      </c>
      <c r="U307">
        <v>976000000</v>
      </c>
      <c r="V307">
        <v>11342000000</v>
      </c>
      <c r="W307">
        <v>52819348710</v>
      </c>
      <c r="X307">
        <v>53795348710</v>
      </c>
      <c r="Y307">
        <v>3.7275271544102528</v>
      </c>
      <c r="Z307">
        <v>-6.4972343459562776</v>
      </c>
      <c r="AA307">
        <v>-11.525397056579781</v>
      </c>
      <c r="AB307">
        <v>-6.0244072563136903</v>
      </c>
      <c r="AC307">
        <v>-6.1629856895184139</v>
      </c>
      <c r="AD307">
        <v>-5.2146067794822626</v>
      </c>
      <c r="AE307">
        <v>-6.426394541870744</v>
      </c>
      <c r="AF307">
        <v>-6.309801542229124</v>
      </c>
      <c r="AG307">
        <v>-6.0957902220963174</v>
      </c>
      <c r="AH307">
        <v>-5.9851953212464588</v>
      </c>
      <c r="AI307">
        <v>-11.399734840008479</v>
      </c>
      <c r="AJ307">
        <v>-5.9587227193176782</v>
      </c>
      <c r="AK307">
        <v>-11.192911360457719</v>
      </c>
      <c r="AL307">
        <v>-5.8506146112095703</v>
      </c>
      <c r="AM307">
        <v>3.6868856630799809</v>
      </c>
      <c r="AN307">
        <v>3.6199951141114379</v>
      </c>
    </row>
    <row r="308" spans="1:40" x14ac:dyDescent="0.25">
      <c r="A308" s="1" t="s">
        <v>1198</v>
      </c>
      <c r="B308">
        <v>54072443490</v>
      </c>
      <c r="C308" t="s">
        <v>86</v>
      </c>
      <c r="D308" t="s">
        <v>127</v>
      </c>
      <c r="E308">
        <v>14591000000</v>
      </c>
      <c r="F308">
        <v>-8371000000</v>
      </c>
      <c r="G308">
        <v>-4719000000</v>
      </c>
      <c r="H308">
        <v>-9028000000</v>
      </c>
      <c r="I308">
        <v>-8825000000</v>
      </c>
      <c r="J308">
        <v>-10430000000</v>
      </c>
      <c r="K308">
        <v>8165000000</v>
      </c>
      <c r="L308">
        <v>831000000</v>
      </c>
      <c r="M308">
        <v>8996000000</v>
      </c>
      <c r="N308">
        <v>11114000000</v>
      </c>
      <c r="O308">
        <v>1242000000</v>
      </c>
      <c r="P308">
        <v>205000000</v>
      </c>
      <c r="Q308">
        <v>7222000000</v>
      </c>
      <c r="R308">
        <v>6631000000</v>
      </c>
      <c r="S308">
        <v>17772000000</v>
      </c>
      <c r="T308">
        <v>0</v>
      </c>
      <c r="U308">
        <v>976000000</v>
      </c>
      <c r="V308">
        <v>11342000000</v>
      </c>
      <c r="W308">
        <v>52503443490</v>
      </c>
      <c r="X308">
        <v>53479443490</v>
      </c>
      <c r="Y308">
        <v>3.70587646425879</v>
      </c>
      <c r="Z308">
        <v>-6.4594962955441408</v>
      </c>
      <c r="AA308">
        <v>-11.45845380165289</v>
      </c>
      <c r="AB308">
        <v>-5.9894155394328754</v>
      </c>
      <c r="AC308">
        <v>-6.1271890640226632</v>
      </c>
      <c r="AD308">
        <v>-5.1843186471716196</v>
      </c>
      <c r="AE308">
        <v>-6.3886564914586073</v>
      </c>
      <c r="AF308">
        <v>-6.2720634918169873</v>
      </c>
      <c r="AG308">
        <v>-6.0599935966005667</v>
      </c>
      <c r="AH308">
        <v>-5.9493986957507081</v>
      </c>
      <c r="AI308">
        <v>-11.332791585081591</v>
      </c>
      <c r="AJ308">
        <v>-5.9237310024368632</v>
      </c>
      <c r="AK308">
        <v>-11.125968105530831</v>
      </c>
      <c r="AL308">
        <v>-5.8156228943287553</v>
      </c>
      <c r="AM308">
        <v>3.6652349729285181</v>
      </c>
      <c r="AN308">
        <v>3.5983444239599751</v>
      </c>
    </row>
    <row r="309" spans="1:40" x14ac:dyDescent="0.25">
      <c r="A309" s="1" t="s">
        <v>1197</v>
      </c>
      <c r="B309">
        <v>54440999580</v>
      </c>
      <c r="C309" t="s">
        <v>86</v>
      </c>
      <c r="D309" t="s">
        <v>127</v>
      </c>
      <c r="E309">
        <v>14591000000</v>
      </c>
      <c r="F309">
        <v>-8371000000</v>
      </c>
      <c r="G309">
        <v>-4719000000</v>
      </c>
      <c r="H309">
        <v>-9028000000</v>
      </c>
      <c r="I309">
        <v>-8825000000</v>
      </c>
      <c r="J309">
        <v>-10430000000</v>
      </c>
      <c r="K309">
        <v>8165000000</v>
      </c>
      <c r="L309">
        <v>831000000</v>
      </c>
      <c r="M309">
        <v>8996000000</v>
      </c>
      <c r="N309">
        <v>11114000000</v>
      </c>
      <c r="O309">
        <v>1242000000</v>
      </c>
      <c r="P309">
        <v>205000000</v>
      </c>
      <c r="Q309">
        <v>7222000000</v>
      </c>
      <c r="R309">
        <v>6631000000</v>
      </c>
      <c r="S309">
        <v>17772000000</v>
      </c>
      <c r="T309">
        <v>0</v>
      </c>
      <c r="U309">
        <v>976000000</v>
      </c>
      <c r="V309">
        <v>11342000000</v>
      </c>
      <c r="W309">
        <v>52871999580</v>
      </c>
      <c r="X309">
        <v>53847999580</v>
      </c>
      <c r="Y309">
        <v>3.7311356027688301</v>
      </c>
      <c r="Z309">
        <v>-6.5035240210249672</v>
      </c>
      <c r="AA309">
        <v>-11.536554265734271</v>
      </c>
      <c r="AB309">
        <v>-6.0302392091271599</v>
      </c>
      <c r="AC309">
        <v>-6.1689517937677056</v>
      </c>
      <c r="AD309">
        <v>-5.2196548015340367</v>
      </c>
      <c r="AE309">
        <v>-6.4326842169394336</v>
      </c>
      <c r="AF309">
        <v>-6.3160912172978136</v>
      </c>
      <c r="AG309">
        <v>-6.1017563263456092</v>
      </c>
      <c r="AH309">
        <v>-5.9911614254957506</v>
      </c>
      <c r="AI309">
        <v>-11.41089204916296</v>
      </c>
      <c r="AJ309">
        <v>-5.9645546721311478</v>
      </c>
      <c r="AK309">
        <v>-11.204068569612209</v>
      </c>
      <c r="AL309">
        <v>-5.8564465640230399</v>
      </c>
      <c r="AM309">
        <v>3.6904941114385581</v>
      </c>
      <c r="AN309">
        <v>3.623603562470016</v>
      </c>
    </row>
    <row r="310" spans="1:40" x14ac:dyDescent="0.25">
      <c r="A310" s="1" t="s">
        <v>1196</v>
      </c>
      <c r="B310">
        <v>53072076960</v>
      </c>
      <c r="C310" t="s">
        <v>86</v>
      </c>
      <c r="D310" t="s">
        <v>127</v>
      </c>
      <c r="E310">
        <v>14591000000</v>
      </c>
      <c r="F310">
        <v>-8371000000</v>
      </c>
      <c r="G310">
        <v>-4719000000</v>
      </c>
      <c r="H310">
        <v>-9028000000</v>
      </c>
      <c r="I310">
        <v>-8825000000</v>
      </c>
      <c r="J310">
        <v>-10430000000</v>
      </c>
      <c r="K310">
        <v>8165000000</v>
      </c>
      <c r="L310">
        <v>831000000</v>
      </c>
      <c r="M310">
        <v>8996000000</v>
      </c>
      <c r="N310">
        <v>11114000000</v>
      </c>
      <c r="O310">
        <v>1242000000</v>
      </c>
      <c r="P310">
        <v>205000000</v>
      </c>
      <c r="Q310">
        <v>7222000000</v>
      </c>
      <c r="R310">
        <v>6631000000</v>
      </c>
      <c r="S310">
        <v>17772000000</v>
      </c>
      <c r="T310">
        <v>0</v>
      </c>
      <c r="U310">
        <v>976000000</v>
      </c>
      <c r="V310">
        <v>11342000000</v>
      </c>
      <c r="W310">
        <v>51503076960</v>
      </c>
      <c r="X310">
        <v>52479076960</v>
      </c>
      <c r="Y310">
        <v>3.637315945445823</v>
      </c>
      <c r="Z310">
        <v>-6.3399924692390393</v>
      </c>
      <c r="AA310">
        <v>-11.24646682771774</v>
      </c>
      <c r="AB310">
        <v>-5.8786084359769601</v>
      </c>
      <c r="AC310">
        <v>-6.0138330832861193</v>
      </c>
      <c r="AD310">
        <v>-5.0884062281879192</v>
      </c>
      <c r="AE310">
        <v>-6.2691526651535074</v>
      </c>
      <c r="AF310">
        <v>-6.1525596655118866</v>
      </c>
      <c r="AG310">
        <v>-5.9466376158640228</v>
      </c>
      <c r="AH310">
        <v>-5.8360427150141643</v>
      </c>
      <c r="AI310">
        <v>-11.120804611146429</v>
      </c>
      <c r="AJ310">
        <v>-5.812923898980948</v>
      </c>
      <c r="AK310">
        <v>-10.91398113159568</v>
      </c>
      <c r="AL310">
        <v>-5.7048157908728401</v>
      </c>
      <c r="AM310">
        <v>3.5966744541155511</v>
      </c>
      <c r="AN310">
        <v>3.529783905147009</v>
      </c>
    </row>
    <row r="311" spans="1:40" x14ac:dyDescent="0.25">
      <c r="A311" s="1" t="s">
        <v>1195</v>
      </c>
      <c r="B311">
        <v>53107177540</v>
      </c>
      <c r="C311" t="s">
        <v>86</v>
      </c>
      <c r="D311" t="s">
        <v>127</v>
      </c>
      <c r="E311">
        <v>14591000000</v>
      </c>
      <c r="F311">
        <v>-8371000000</v>
      </c>
      <c r="G311">
        <v>-4719000000</v>
      </c>
      <c r="H311">
        <v>-9028000000</v>
      </c>
      <c r="I311">
        <v>-8825000000</v>
      </c>
      <c r="J311">
        <v>-10430000000</v>
      </c>
      <c r="K311">
        <v>8165000000</v>
      </c>
      <c r="L311">
        <v>831000000</v>
      </c>
      <c r="M311">
        <v>8996000000</v>
      </c>
      <c r="N311">
        <v>11114000000</v>
      </c>
      <c r="O311">
        <v>1242000000</v>
      </c>
      <c r="P311">
        <v>205000000</v>
      </c>
      <c r="Q311">
        <v>7222000000</v>
      </c>
      <c r="R311">
        <v>6631000000</v>
      </c>
      <c r="S311">
        <v>17772000000</v>
      </c>
      <c r="T311">
        <v>0</v>
      </c>
      <c r="U311">
        <v>976000000</v>
      </c>
      <c r="V311">
        <v>11342000000</v>
      </c>
      <c r="W311">
        <v>51538177540</v>
      </c>
      <c r="X311">
        <v>52514177540</v>
      </c>
      <c r="Y311">
        <v>3.6397215776848739</v>
      </c>
      <c r="Z311">
        <v>-6.3441855859514993</v>
      </c>
      <c r="AA311">
        <v>-11.25390496715406</v>
      </c>
      <c r="AB311">
        <v>-5.8824964045192738</v>
      </c>
      <c r="AC311">
        <v>-6.0178104861189814</v>
      </c>
      <c r="AD311">
        <v>-5.0917715762224356</v>
      </c>
      <c r="AE311">
        <v>-6.2733457818659657</v>
      </c>
      <c r="AF311">
        <v>-6.1567527822243457</v>
      </c>
      <c r="AG311">
        <v>-5.950615018696884</v>
      </c>
      <c r="AH311">
        <v>-5.8400201178470246</v>
      </c>
      <c r="AI311">
        <v>-11.12824275058275</v>
      </c>
      <c r="AJ311">
        <v>-5.8168118675232607</v>
      </c>
      <c r="AK311">
        <v>-10.921419271032001</v>
      </c>
      <c r="AL311">
        <v>-5.7087037594151528</v>
      </c>
      <c r="AM311">
        <v>3.599080086354602</v>
      </c>
      <c r="AN311">
        <v>3.5321895373860599</v>
      </c>
    </row>
    <row r="312" spans="1:40" x14ac:dyDescent="0.25">
      <c r="A312" s="1" t="s">
        <v>1194</v>
      </c>
      <c r="B312">
        <v>54739354510</v>
      </c>
      <c r="C312" t="s">
        <v>86</v>
      </c>
      <c r="D312" t="s">
        <v>127</v>
      </c>
      <c r="E312">
        <v>14591000000</v>
      </c>
      <c r="F312">
        <v>-8371000000</v>
      </c>
      <c r="G312">
        <v>-4719000000</v>
      </c>
      <c r="H312">
        <v>-9028000000</v>
      </c>
      <c r="I312">
        <v>-8825000000</v>
      </c>
      <c r="J312">
        <v>-10430000000</v>
      </c>
      <c r="K312">
        <v>8165000000</v>
      </c>
      <c r="L312">
        <v>831000000</v>
      </c>
      <c r="M312">
        <v>8996000000</v>
      </c>
      <c r="N312">
        <v>11114000000</v>
      </c>
      <c r="O312">
        <v>1242000000</v>
      </c>
      <c r="P312">
        <v>205000000</v>
      </c>
      <c r="Q312">
        <v>7222000000</v>
      </c>
      <c r="R312">
        <v>6631000000</v>
      </c>
      <c r="S312">
        <v>17772000000</v>
      </c>
      <c r="T312">
        <v>0</v>
      </c>
      <c r="U312">
        <v>976000000</v>
      </c>
      <c r="V312">
        <v>11342000000</v>
      </c>
      <c r="W312">
        <v>53170354510</v>
      </c>
      <c r="X312">
        <v>54146354510</v>
      </c>
      <c r="Y312">
        <v>3.751583476800767</v>
      </c>
      <c r="Z312">
        <v>-6.5391655130808743</v>
      </c>
      <c r="AA312">
        <v>-11.599778450943001</v>
      </c>
      <c r="AB312">
        <v>-6.0632869417368189</v>
      </c>
      <c r="AC312">
        <v>-6.2027597178470257</v>
      </c>
      <c r="AD312">
        <v>-5.2482602598274211</v>
      </c>
      <c r="AE312">
        <v>-6.4683257089953408</v>
      </c>
      <c r="AF312">
        <v>-6.3517327093537208</v>
      </c>
      <c r="AG312">
        <v>-6.1355642504249293</v>
      </c>
      <c r="AH312">
        <v>-6.0249693495750707</v>
      </c>
      <c r="AI312">
        <v>-11.47411623437169</v>
      </c>
      <c r="AJ312">
        <v>-5.9976024047408067</v>
      </c>
      <c r="AK312">
        <v>-11.267292754820939</v>
      </c>
      <c r="AL312">
        <v>-5.889494296632698</v>
      </c>
      <c r="AM312">
        <v>3.710941985470495</v>
      </c>
      <c r="AN312">
        <v>3.644051436501953</v>
      </c>
    </row>
    <row r="313" spans="1:40" x14ac:dyDescent="0.25">
      <c r="A313" s="1" t="s">
        <v>1193</v>
      </c>
      <c r="B313">
        <v>57354347720</v>
      </c>
      <c r="C313" t="s">
        <v>86</v>
      </c>
      <c r="D313" t="s">
        <v>127</v>
      </c>
      <c r="E313">
        <v>14591000000</v>
      </c>
      <c r="F313">
        <v>-8371000000</v>
      </c>
      <c r="G313">
        <v>-4719000000</v>
      </c>
      <c r="H313">
        <v>-9028000000</v>
      </c>
      <c r="I313">
        <v>-8825000000</v>
      </c>
      <c r="J313">
        <v>-10430000000</v>
      </c>
      <c r="K313">
        <v>8165000000</v>
      </c>
      <c r="L313">
        <v>831000000</v>
      </c>
      <c r="M313">
        <v>8996000000</v>
      </c>
      <c r="N313">
        <v>11114000000</v>
      </c>
      <c r="O313">
        <v>1242000000</v>
      </c>
      <c r="P313">
        <v>205000000</v>
      </c>
      <c r="Q313">
        <v>7222000000</v>
      </c>
      <c r="R313">
        <v>6631000000</v>
      </c>
      <c r="S313">
        <v>17772000000</v>
      </c>
      <c r="T313">
        <v>0</v>
      </c>
      <c r="U313">
        <v>976000000</v>
      </c>
      <c r="V313">
        <v>11342000000</v>
      </c>
      <c r="W313">
        <v>55785347720</v>
      </c>
      <c r="X313">
        <v>56761347720</v>
      </c>
      <c r="Y313">
        <v>3.930803078610102</v>
      </c>
      <c r="Z313">
        <v>-6.8515527081591214</v>
      </c>
      <c r="AA313">
        <v>-12.15391983894893</v>
      </c>
      <c r="AB313">
        <v>-6.3529405981391216</v>
      </c>
      <c r="AC313">
        <v>-6.4990762288951842</v>
      </c>
      <c r="AD313">
        <v>-5.4989786883988492</v>
      </c>
      <c r="AE313">
        <v>-6.780712904073587</v>
      </c>
      <c r="AF313">
        <v>-6.6641199044319679</v>
      </c>
      <c r="AG313">
        <v>-6.4318807614730877</v>
      </c>
      <c r="AH313">
        <v>-6.3212858606232292</v>
      </c>
      <c r="AI313">
        <v>-12.02825762237762</v>
      </c>
      <c r="AJ313">
        <v>-6.2872560611431103</v>
      </c>
      <c r="AK313">
        <v>-11.82143414282687</v>
      </c>
      <c r="AL313">
        <v>-6.1791479530350024</v>
      </c>
      <c r="AM313">
        <v>3.8901615872798301</v>
      </c>
      <c r="AN313">
        <v>3.823271038311288</v>
      </c>
    </row>
    <row r="314" spans="1:40" x14ac:dyDescent="0.25">
      <c r="A314" s="1" t="s">
        <v>1192</v>
      </c>
      <c r="B314">
        <v>58266962800</v>
      </c>
      <c r="C314" t="s">
        <v>86</v>
      </c>
      <c r="D314" t="s">
        <v>127</v>
      </c>
      <c r="E314">
        <v>14591000000</v>
      </c>
      <c r="F314">
        <v>-8371000000</v>
      </c>
      <c r="G314">
        <v>-4719000000</v>
      </c>
      <c r="H314">
        <v>-9028000000</v>
      </c>
      <c r="I314">
        <v>-8825000000</v>
      </c>
      <c r="J314">
        <v>-10430000000</v>
      </c>
      <c r="K314">
        <v>8165000000</v>
      </c>
      <c r="L314">
        <v>831000000</v>
      </c>
      <c r="M314">
        <v>8996000000</v>
      </c>
      <c r="N314">
        <v>11114000000</v>
      </c>
      <c r="O314">
        <v>1242000000</v>
      </c>
      <c r="P314">
        <v>205000000</v>
      </c>
      <c r="Q314">
        <v>7222000000</v>
      </c>
      <c r="R314">
        <v>6631000000</v>
      </c>
      <c r="S314">
        <v>17772000000</v>
      </c>
      <c r="T314">
        <v>0</v>
      </c>
      <c r="U314">
        <v>976000000</v>
      </c>
      <c r="V314">
        <v>11342000000</v>
      </c>
      <c r="W314">
        <v>56697962800</v>
      </c>
      <c r="X314">
        <v>57673962800</v>
      </c>
      <c r="Y314">
        <v>3.99334951682544</v>
      </c>
      <c r="Z314">
        <v>-6.9605737426830716</v>
      </c>
      <c r="AA314">
        <v>-12.347311464293281</v>
      </c>
      <c r="AB314">
        <v>-6.4540277802392554</v>
      </c>
      <c r="AC314">
        <v>-6.6024887025495751</v>
      </c>
      <c r="AD314">
        <v>-5.5864777372962608</v>
      </c>
      <c r="AE314">
        <v>-6.8897339385975389</v>
      </c>
      <c r="AF314">
        <v>-6.773140938955919</v>
      </c>
      <c r="AG314">
        <v>-6.5352932351274786</v>
      </c>
      <c r="AH314">
        <v>-6.42469833427762</v>
      </c>
      <c r="AI314">
        <v>-12.221649247721979</v>
      </c>
      <c r="AJ314">
        <v>-6.3883432432432432</v>
      </c>
      <c r="AK314">
        <v>-12.014825768171219</v>
      </c>
      <c r="AL314">
        <v>-6.2802351351351353</v>
      </c>
      <c r="AM314">
        <v>3.9527080254951681</v>
      </c>
      <c r="AN314">
        <v>3.885817476526626</v>
      </c>
    </row>
    <row r="315" spans="1:40" x14ac:dyDescent="0.25">
      <c r="A315" s="1" t="s">
        <v>134</v>
      </c>
      <c r="B315">
        <v>60917056590</v>
      </c>
      <c r="C315" t="s">
        <v>86</v>
      </c>
      <c r="D315" t="s">
        <v>127</v>
      </c>
      <c r="E315">
        <v>14591000000</v>
      </c>
      <c r="F315">
        <v>-8371000000</v>
      </c>
      <c r="G315">
        <v>-4719000000</v>
      </c>
      <c r="H315">
        <v>-9028000000</v>
      </c>
      <c r="I315">
        <v>-8825000000</v>
      </c>
      <c r="J315">
        <v>-10430000000</v>
      </c>
      <c r="K315">
        <v>8165000000</v>
      </c>
      <c r="L315">
        <v>831000000</v>
      </c>
      <c r="M315">
        <v>8996000000</v>
      </c>
      <c r="N315">
        <v>11114000000</v>
      </c>
      <c r="O315">
        <v>1242000000</v>
      </c>
      <c r="P315">
        <v>205000000</v>
      </c>
      <c r="Q315">
        <v>7222000000</v>
      </c>
      <c r="R315">
        <v>6631000000</v>
      </c>
      <c r="S315">
        <v>17772000000</v>
      </c>
      <c r="T315">
        <v>0</v>
      </c>
      <c r="U315">
        <v>976000000</v>
      </c>
      <c r="V315">
        <v>11342000000</v>
      </c>
      <c r="W315">
        <v>59348056590</v>
      </c>
      <c r="X315">
        <v>60324056590</v>
      </c>
      <c r="Y315">
        <v>4.174974750873826</v>
      </c>
      <c r="Z315">
        <v>-7.2771540544737787</v>
      </c>
      <c r="AA315">
        <v>-12.908890991735539</v>
      </c>
      <c r="AB315">
        <v>-6.7475694051838726</v>
      </c>
      <c r="AC315">
        <v>-6.9027826164305948</v>
      </c>
      <c r="AD315">
        <v>-5.8405615139022053</v>
      </c>
      <c r="AE315">
        <v>-7.2063142503882451</v>
      </c>
      <c r="AF315">
        <v>-7.0897212507466252</v>
      </c>
      <c r="AG315">
        <v>-6.8355871490084983</v>
      </c>
      <c r="AH315">
        <v>-6.7249922481586406</v>
      </c>
      <c r="AI315">
        <v>-12.783228775164231</v>
      </c>
      <c r="AJ315">
        <v>-6.6818848681878604</v>
      </c>
      <c r="AK315">
        <v>-12.57640529561348</v>
      </c>
      <c r="AL315">
        <v>-6.5737767600797516</v>
      </c>
      <c r="AM315">
        <v>4.1343332595435536</v>
      </c>
      <c r="AN315">
        <v>4.0674427105750119</v>
      </c>
    </row>
    <row r="316" spans="1:40" x14ac:dyDescent="0.25">
      <c r="A316" s="1" t="s">
        <v>1191</v>
      </c>
      <c r="B316">
        <v>57740454100</v>
      </c>
      <c r="C316" t="s">
        <v>85</v>
      </c>
      <c r="D316" t="s">
        <v>127</v>
      </c>
      <c r="E316">
        <v>13666000000</v>
      </c>
      <c r="F316">
        <v>-4487000000</v>
      </c>
      <c r="G316">
        <v>-4884000000</v>
      </c>
      <c r="H316">
        <v>-5160000000</v>
      </c>
      <c r="I316">
        <v>-4947000000</v>
      </c>
      <c r="J316">
        <v>-6969000000</v>
      </c>
      <c r="K316">
        <v>6754000000</v>
      </c>
      <c r="L316">
        <v>1033000000</v>
      </c>
      <c r="M316">
        <v>7787000000</v>
      </c>
      <c r="N316">
        <v>9662000000</v>
      </c>
      <c r="O316">
        <v>1148000000</v>
      </c>
      <c r="P316">
        <v>188000000</v>
      </c>
      <c r="Q316">
        <v>8216000000</v>
      </c>
      <c r="R316">
        <v>5891000000</v>
      </c>
      <c r="S316">
        <v>17719000000</v>
      </c>
      <c r="T316">
        <v>0</v>
      </c>
      <c r="U316">
        <v>971000000</v>
      </c>
      <c r="V316">
        <v>9550000000</v>
      </c>
      <c r="W316">
        <v>58357454100</v>
      </c>
      <c r="X316">
        <v>59328454100</v>
      </c>
      <c r="Y316">
        <v>4.2251173788965319</v>
      </c>
      <c r="Z316">
        <v>-12.86838736349454</v>
      </c>
      <c r="AA316">
        <v>-11.8223697993448</v>
      </c>
      <c r="AB316">
        <v>-11.190010484496121</v>
      </c>
      <c r="AC316">
        <v>-11.671812027491409</v>
      </c>
      <c r="AD316">
        <v>-8.2853284689338498</v>
      </c>
      <c r="AE316">
        <v>-13.222298662803659</v>
      </c>
      <c r="AF316">
        <v>-13.005895720971701</v>
      </c>
      <c r="AG316">
        <v>-11.99281465534667</v>
      </c>
      <c r="AH316">
        <v>-11.79653408126137</v>
      </c>
      <c r="AI316">
        <v>-12.147513124488119</v>
      </c>
      <c r="AJ316">
        <v>-11.497762422480619</v>
      </c>
      <c r="AK316">
        <v>-11.94870067567568</v>
      </c>
      <c r="AL316">
        <v>-11.30958412790698</v>
      </c>
      <c r="AM316">
        <v>4.3413181691789839</v>
      </c>
      <c r="AN316">
        <v>4.2702659227279378</v>
      </c>
    </row>
    <row r="317" spans="1:40" x14ac:dyDescent="0.25">
      <c r="A317" s="1" t="s">
        <v>1190</v>
      </c>
      <c r="B317">
        <v>56634785830</v>
      </c>
      <c r="C317" t="s">
        <v>85</v>
      </c>
      <c r="D317" t="s">
        <v>127</v>
      </c>
      <c r="E317">
        <v>13666000000</v>
      </c>
      <c r="F317">
        <v>-4487000000</v>
      </c>
      <c r="G317">
        <v>-4884000000</v>
      </c>
      <c r="H317">
        <v>-5160000000</v>
      </c>
      <c r="I317">
        <v>-4947000000</v>
      </c>
      <c r="J317">
        <v>-6969000000</v>
      </c>
      <c r="K317">
        <v>6754000000</v>
      </c>
      <c r="L317">
        <v>1033000000</v>
      </c>
      <c r="M317">
        <v>7787000000</v>
      </c>
      <c r="N317">
        <v>9662000000</v>
      </c>
      <c r="O317">
        <v>1148000000</v>
      </c>
      <c r="P317">
        <v>188000000</v>
      </c>
      <c r="Q317">
        <v>8216000000</v>
      </c>
      <c r="R317">
        <v>5891000000</v>
      </c>
      <c r="S317">
        <v>17719000000</v>
      </c>
      <c r="T317">
        <v>0</v>
      </c>
      <c r="U317">
        <v>971000000</v>
      </c>
      <c r="V317">
        <v>9550000000</v>
      </c>
      <c r="W317">
        <v>57251785830</v>
      </c>
      <c r="X317">
        <v>58222785830</v>
      </c>
      <c r="Y317">
        <v>4.1442108758963849</v>
      </c>
      <c r="Z317">
        <v>-12.621971435257411</v>
      </c>
      <c r="AA317">
        <v>-11.595983994676491</v>
      </c>
      <c r="AB317">
        <v>-10.9757336879845</v>
      </c>
      <c r="AC317">
        <v>-11.44830924398625</v>
      </c>
      <c r="AD317">
        <v>-8.1266732429329895</v>
      </c>
      <c r="AE317">
        <v>-12.975882734566531</v>
      </c>
      <c r="AF317">
        <v>-12.75947979273457</v>
      </c>
      <c r="AG317">
        <v>-11.76931187184152</v>
      </c>
      <c r="AH317">
        <v>-11.57303129775622</v>
      </c>
      <c r="AI317">
        <v>-11.921127319819821</v>
      </c>
      <c r="AJ317">
        <v>-11.283485625968989</v>
      </c>
      <c r="AK317">
        <v>-11.72231487100737</v>
      </c>
      <c r="AL317">
        <v>-11.09530733139535</v>
      </c>
      <c r="AM317">
        <v>4.2604116661788378</v>
      </c>
      <c r="AN317">
        <v>4.1893594197277917</v>
      </c>
    </row>
    <row r="318" spans="1:40" x14ac:dyDescent="0.25">
      <c r="A318" s="1" t="s">
        <v>1189</v>
      </c>
      <c r="B318">
        <v>54774455090</v>
      </c>
      <c r="C318" t="s">
        <v>85</v>
      </c>
      <c r="D318" t="s">
        <v>127</v>
      </c>
      <c r="E318">
        <v>13666000000</v>
      </c>
      <c r="F318">
        <v>-4487000000</v>
      </c>
      <c r="G318">
        <v>-4884000000</v>
      </c>
      <c r="H318">
        <v>-5160000000</v>
      </c>
      <c r="I318">
        <v>-4947000000</v>
      </c>
      <c r="J318">
        <v>-6969000000</v>
      </c>
      <c r="K318">
        <v>6754000000</v>
      </c>
      <c r="L318">
        <v>1033000000</v>
      </c>
      <c r="M318">
        <v>7787000000</v>
      </c>
      <c r="N318">
        <v>9662000000</v>
      </c>
      <c r="O318">
        <v>1148000000</v>
      </c>
      <c r="P318">
        <v>188000000</v>
      </c>
      <c r="Q318">
        <v>8216000000</v>
      </c>
      <c r="R318">
        <v>5891000000</v>
      </c>
      <c r="S318">
        <v>17719000000</v>
      </c>
      <c r="T318">
        <v>0</v>
      </c>
      <c r="U318">
        <v>971000000</v>
      </c>
      <c r="V318">
        <v>9550000000</v>
      </c>
      <c r="W318">
        <v>55391455090</v>
      </c>
      <c r="X318">
        <v>56362455090</v>
      </c>
      <c r="Y318">
        <v>4.0080824740231229</v>
      </c>
      <c r="Z318">
        <v>-12.207366857588591</v>
      </c>
      <c r="AA318">
        <v>-11.21508089475839</v>
      </c>
      <c r="AB318">
        <v>-10.6152044748062</v>
      </c>
      <c r="AC318">
        <v>-11.072256941580759</v>
      </c>
      <c r="AD318">
        <v>-7.8597295293442384</v>
      </c>
      <c r="AE318">
        <v>-12.561278156897711</v>
      </c>
      <c r="AF318">
        <v>-12.344875215065739</v>
      </c>
      <c r="AG318">
        <v>-11.393259569436021</v>
      </c>
      <c r="AH318">
        <v>-11.196978995350721</v>
      </c>
      <c r="AI318">
        <v>-11.54022421990172</v>
      </c>
      <c r="AJ318">
        <v>-10.9229564127907</v>
      </c>
      <c r="AK318">
        <v>-11.34141177108927</v>
      </c>
      <c r="AL318">
        <v>-10.734778118217051</v>
      </c>
      <c r="AM318">
        <v>4.1242832643055758</v>
      </c>
      <c r="AN318">
        <v>4.0532310178545297</v>
      </c>
    </row>
    <row r="319" spans="1:40" x14ac:dyDescent="0.25">
      <c r="A319" s="1" t="s">
        <v>1188</v>
      </c>
      <c r="B319">
        <v>54125094360</v>
      </c>
      <c r="C319" t="s">
        <v>85</v>
      </c>
      <c r="D319" t="s">
        <v>127</v>
      </c>
      <c r="E319">
        <v>13666000000</v>
      </c>
      <c r="F319">
        <v>-4487000000</v>
      </c>
      <c r="G319">
        <v>-4884000000</v>
      </c>
      <c r="H319">
        <v>-5160000000</v>
      </c>
      <c r="I319">
        <v>-4947000000</v>
      </c>
      <c r="J319">
        <v>-6969000000</v>
      </c>
      <c r="K319">
        <v>6754000000</v>
      </c>
      <c r="L319">
        <v>1033000000</v>
      </c>
      <c r="M319">
        <v>7787000000</v>
      </c>
      <c r="N319">
        <v>9662000000</v>
      </c>
      <c r="O319">
        <v>1148000000</v>
      </c>
      <c r="P319">
        <v>188000000</v>
      </c>
      <c r="Q319">
        <v>8216000000</v>
      </c>
      <c r="R319">
        <v>5891000000</v>
      </c>
      <c r="S319">
        <v>17719000000</v>
      </c>
      <c r="T319">
        <v>0</v>
      </c>
      <c r="U319">
        <v>971000000</v>
      </c>
      <c r="V319">
        <v>9550000000</v>
      </c>
      <c r="W319">
        <v>54742094360</v>
      </c>
      <c r="X319">
        <v>55713094360</v>
      </c>
      <c r="Y319">
        <v>3.960565956388117</v>
      </c>
      <c r="Z319">
        <v>-12.06264639179853</v>
      </c>
      <c r="AA319">
        <v>-11.082124152334149</v>
      </c>
      <c r="AB319">
        <v>-10.48935937209302</v>
      </c>
      <c r="AC319">
        <v>-10.94099340206186</v>
      </c>
      <c r="AD319">
        <v>-7.7665510632802413</v>
      </c>
      <c r="AE319">
        <v>-12.41655769110764</v>
      </c>
      <c r="AF319">
        <v>-12.200154749275679</v>
      </c>
      <c r="AG319">
        <v>-11.261996029917119</v>
      </c>
      <c r="AH319">
        <v>-11.065715455831819</v>
      </c>
      <c r="AI319">
        <v>-11.407267477477481</v>
      </c>
      <c r="AJ319">
        <v>-10.79711131007752</v>
      </c>
      <c r="AK319">
        <v>-11.20845502866503</v>
      </c>
      <c r="AL319">
        <v>-10.608933015503879</v>
      </c>
      <c r="AM319">
        <v>4.076766746670569</v>
      </c>
      <c r="AN319">
        <v>4.0057145002195229</v>
      </c>
    </row>
    <row r="320" spans="1:40" x14ac:dyDescent="0.25">
      <c r="A320" s="1" t="s">
        <v>1187</v>
      </c>
      <c r="B320">
        <v>53458183340</v>
      </c>
      <c r="C320" t="s">
        <v>85</v>
      </c>
      <c r="D320" t="s">
        <v>127</v>
      </c>
      <c r="E320">
        <v>13666000000</v>
      </c>
      <c r="F320">
        <v>-4487000000</v>
      </c>
      <c r="G320">
        <v>-4884000000</v>
      </c>
      <c r="H320">
        <v>-5160000000</v>
      </c>
      <c r="I320">
        <v>-4947000000</v>
      </c>
      <c r="J320">
        <v>-6969000000</v>
      </c>
      <c r="K320">
        <v>6754000000</v>
      </c>
      <c r="L320">
        <v>1033000000</v>
      </c>
      <c r="M320">
        <v>7787000000</v>
      </c>
      <c r="N320">
        <v>9662000000</v>
      </c>
      <c r="O320">
        <v>1148000000</v>
      </c>
      <c r="P320">
        <v>188000000</v>
      </c>
      <c r="Q320">
        <v>8216000000</v>
      </c>
      <c r="R320">
        <v>5891000000</v>
      </c>
      <c r="S320">
        <v>17719000000</v>
      </c>
      <c r="T320">
        <v>0</v>
      </c>
      <c r="U320">
        <v>971000000</v>
      </c>
      <c r="V320">
        <v>9550000000</v>
      </c>
      <c r="W320">
        <v>54075183340</v>
      </c>
      <c r="X320">
        <v>55046183340</v>
      </c>
      <c r="Y320">
        <v>3.911765208546758</v>
      </c>
      <c r="Z320">
        <v>-11.9140145620682</v>
      </c>
      <c r="AA320">
        <v>-10.94557398443898</v>
      </c>
      <c r="AB320">
        <v>-10.3601130503876</v>
      </c>
      <c r="AC320">
        <v>-10.806182199312721</v>
      </c>
      <c r="AD320">
        <v>-7.6708542602955951</v>
      </c>
      <c r="AE320">
        <v>-12.267925861377311</v>
      </c>
      <c r="AF320">
        <v>-12.05152291954535</v>
      </c>
      <c r="AG320">
        <v>-11.12718482716798</v>
      </c>
      <c r="AH320">
        <v>-10.93090425308268</v>
      </c>
      <c r="AI320">
        <v>-11.270717309582309</v>
      </c>
      <c r="AJ320">
        <v>-10.66786498837209</v>
      </c>
      <c r="AK320">
        <v>-11.071904860769861</v>
      </c>
      <c r="AL320">
        <v>-10.479686693798451</v>
      </c>
      <c r="AM320">
        <v>4.0279659988292114</v>
      </c>
      <c r="AN320">
        <v>3.9569137523781648</v>
      </c>
    </row>
    <row r="321" spans="1:40" x14ac:dyDescent="0.25">
      <c r="A321" s="1" t="s">
        <v>1186</v>
      </c>
      <c r="B321">
        <v>52633319710</v>
      </c>
      <c r="C321" t="s">
        <v>85</v>
      </c>
      <c r="D321" t="s">
        <v>127</v>
      </c>
      <c r="E321">
        <v>13666000000</v>
      </c>
      <c r="F321">
        <v>-4487000000</v>
      </c>
      <c r="G321">
        <v>-4884000000</v>
      </c>
      <c r="H321">
        <v>-5160000000</v>
      </c>
      <c r="I321">
        <v>-4947000000</v>
      </c>
      <c r="J321">
        <v>-6969000000</v>
      </c>
      <c r="K321">
        <v>6754000000</v>
      </c>
      <c r="L321">
        <v>1033000000</v>
      </c>
      <c r="M321">
        <v>7787000000</v>
      </c>
      <c r="N321">
        <v>9662000000</v>
      </c>
      <c r="O321">
        <v>1148000000</v>
      </c>
      <c r="P321">
        <v>188000000</v>
      </c>
      <c r="Q321">
        <v>8216000000</v>
      </c>
      <c r="R321">
        <v>5891000000</v>
      </c>
      <c r="S321">
        <v>17719000000</v>
      </c>
      <c r="T321">
        <v>0</v>
      </c>
      <c r="U321">
        <v>971000000</v>
      </c>
      <c r="V321">
        <v>9550000000</v>
      </c>
      <c r="W321">
        <v>53250319710</v>
      </c>
      <c r="X321">
        <v>54221319710</v>
      </c>
      <c r="Y321">
        <v>3.8514063888482371</v>
      </c>
      <c r="Z321">
        <v>-11.73018045687542</v>
      </c>
      <c r="AA321">
        <v>-10.77668298730549</v>
      </c>
      <c r="AB321">
        <v>-10.20025575775194</v>
      </c>
      <c r="AC321">
        <v>-10.639442027491411</v>
      </c>
      <c r="AD321">
        <v>-7.5524924250251111</v>
      </c>
      <c r="AE321">
        <v>-12.084091756184529</v>
      </c>
      <c r="AF321">
        <v>-11.867688814352571</v>
      </c>
      <c r="AG321">
        <v>-10.960444655346681</v>
      </c>
      <c r="AH321">
        <v>-10.76416408126137</v>
      </c>
      <c r="AI321">
        <v>-11.101826312448811</v>
      </c>
      <c r="AJ321">
        <v>-10.508007695736429</v>
      </c>
      <c r="AK321">
        <v>-10.90301386363636</v>
      </c>
      <c r="AL321">
        <v>-10.31982940116279</v>
      </c>
      <c r="AM321">
        <v>3.9676071791306891</v>
      </c>
      <c r="AN321">
        <v>3.8965549326796429</v>
      </c>
    </row>
    <row r="322" spans="1:40" x14ac:dyDescent="0.25">
      <c r="A322" s="1" t="s">
        <v>1185</v>
      </c>
      <c r="B322">
        <v>51738254920</v>
      </c>
      <c r="C322" t="s">
        <v>85</v>
      </c>
      <c r="D322" t="s">
        <v>127</v>
      </c>
      <c r="E322">
        <v>13666000000</v>
      </c>
      <c r="F322">
        <v>-4487000000</v>
      </c>
      <c r="G322">
        <v>-4884000000</v>
      </c>
      <c r="H322">
        <v>-5160000000</v>
      </c>
      <c r="I322">
        <v>-4947000000</v>
      </c>
      <c r="J322">
        <v>-6969000000</v>
      </c>
      <c r="K322">
        <v>6754000000</v>
      </c>
      <c r="L322">
        <v>1033000000</v>
      </c>
      <c r="M322">
        <v>7787000000</v>
      </c>
      <c r="N322">
        <v>9662000000</v>
      </c>
      <c r="O322">
        <v>1148000000</v>
      </c>
      <c r="P322">
        <v>188000000</v>
      </c>
      <c r="Q322">
        <v>8216000000</v>
      </c>
      <c r="R322">
        <v>5891000000</v>
      </c>
      <c r="S322">
        <v>17719000000</v>
      </c>
      <c r="T322">
        <v>0</v>
      </c>
      <c r="U322">
        <v>971000000</v>
      </c>
      <c r="V322">
        <v>9550000000</v>
      </c>
      <c r="W322">
        <v>52355254920</v>
      </c>
      <c r="X322">
        <v>53326254920</v>
      </c>
      <c r="Y322">
        <v>3.7859106483243079</v>
      </c>
      <c r="Z322">
        <v>-11.53070089592155</v>
      </c>
      <c r="AA322">
        <v>-10.593418288288291</v>
      </c>
      <c r="AB322">
        <v>-10.026793589147291</v>
      </c>
      <c r="AC322">
        <v>-10.45851120274914</v>
      </c>
      <c r="AD322">
        <v>-7.424057242072033</v>
      </c>
      <c r="AE322">
        <v>-11.88461219523067</v>
      </c>
      <c r="AF322">
        <v>-11.668209253398709</v>
      </c>
      <c r="AG322">
        <v>-10.77951383060441</v>
      </c>
      <c r="AH322">
        <v>-10.583233256519099</v>
      </c>
      <c r="AI322">
        <v>-10.91856161343161</v>
      </c>
      <c r="AJ322">
        <v>-10.33454552713178</v>
      </c>
      <c r="AK322">
        <v>-10.719749164619159</v>
      </c>
      <c r="AL322">
        <v>-10.14636723255814</v>
      </c>
      <c r="AM322">
        <v>3.9021114386067608</v>
      </c>
      <c r="AN322">
        <v>3.8310591921557151</v>
      </c>
    </row>
    <row r="323" spans="1:40" x14ac:dyDescent="0.25">
      <c r="A323" s="1" t="s">
        <v>1184</v>
      </c>
      <c r="B323">
        <v>52791272320</v>
      </c>
      <c r="C323" t="s">
        <v>85</v>
      </c>
      <c r="D323" t="s">
        <v>127</v>
      </c>
      <c r="E323">
        <v>13666000000</v>
      </c>
      <c r="F323">
        <v>-4487000000</v>
      </c>
      <c r="G323">
        <v>-4884000000</v>
      </c>
      <c r="H323">
        <v>-5160000000</v>
      </c>
      <c r="I323">
        <v>-4947000000</v>
      </c>
      <c r="J323">
        <v>-6969000000</v>
      </c>
      <c r="K323">
        <v>6754000000</v>
      </c>
      <c r="L323">
        <v>1033000000</v>
      </c>
      <c r="M323">
        <v>7787000000</v>
      </c>
      <c r="N323">
        <v>9662000000</v>
      </c>
      <c r="O323">
        <v>1148000000</v>
      </c>
      <c r="P323">
        <v>188000000</v>
      </c>
      <c r="Q323">
        <v>8216000000</v>
      </c>
      <c r="R323">
        <v>5891000000</v>
      </c>
      <c r="S323">
        <v>17719000000</v>
      </c>
      <c r="T323">
        <v>0</v>
      </c>
      <c r="U323">
        <v>971000000</v>
      </c>
      <c r="V323">
        <v>9550000000</v>
      </c>
      <c r="W323">
        <v>53408272320</v>
      </c>
      <c r="X323">
        <v>54379272320</v>
      </c>
      <c r="Y323">
        <v>3.8629644607053999</v>
      </c>
      <c r="Z323">
        <v>-11.765382732337869</v>
      </c>
      <c r="AA323">
        <v>-10.809023816543821</v>
      </c>
      <c r="AB323">
        <v>-10.23086672868217</v>
      </c>
      <c r="AC323">
        <v>-10.671370996563571</v>
      </c>
      <c r="AD323">
        <v>-7.5751574573109481</v>
      </c>
      <c r="AE323">
        <v>-12.11929403164698</v>
      </c>
      <c r="AF323">
        <v>-11.90289108981502</v>
      </c>
      <c r="AG323">
        <v>-10.992373624418841</v>
      </c>
      <c r="AH323">
        <v>-10.796093050333541</v>
      </c>
      <c r="AI323">
        <v>-11.13416714168714</v>
      </c>
      <c r="AJ323">
        <v>-10.53861866666667</v>
      </c>
      <c r="AK323">
        <v>-10.935354692874689</v>
      </c>
      <c r="AL323">
        <v>-10.35044037209302</v>
      </c>
      <c r="AM323">
        <v>3.9791652509878528</v>
      </c>
      <c r="AN323">
        <v>3.9081130045368071</v>
      </c>
    </row>
    <row r="324" spans="1:40" x14ac:dyDescent="0.25">
      <c r="A324" s="1" t="s">
        <v>1183</v>
      </c>
      <c r="B324">
        <v>51632953180</v>
      </c>
      <c r="C324" t="s">
        <v>85</v>
      </c>
      <c r="D324" t="s">
        <v>127</v>
      </c>
      <c r="E324">
        <v>13666000000</v>
      </c>
      <c r="F324">
        <v>-4487000000</v>
      </c>
      <c r="G324">
        <v>-4884000000</v>
      </c>
      <c r="H324">
        <v>-5160000000</v>
      </c>
      <c r="I324">
        <v>-4947000000</v>
      </c>
      <c r="J324">
        <v>-6969000000</v>
      </c>
      <c r="K324">
        <v>6754000000</v>
      </c>
      <c r="L324">
        <v>1033000000</v>
      </c>
      <c r="M324">
        <v>7787000000</v>
      </c>
      <c r="N324">
        <v>9662000000</v>
      </c>
      <c r="O324">
        <v>1148000000</v>
      </c>
      <c r="P324">
        <v>188000000</v>
      </c>
      <c r="Q324">
        <v>8216000000</v>
      </c>
      <c r="R324">
        <v>5891000000</v>
      </c>
      <c r="S324">
        <v>17719000000</v>
      </c>
      <c r="T324">
        <v>0</v>
      </c>
      <c r="U324">
        <v>971000000</v>
      </c>
      <c r="V324">
        <v>9550000000</v>
      </c>
      <c r="W324">
        <v>52249953180</v>
      </c>
      <c r="X324">
        <v>53220953180</v>
      </c>
      <c r="Y324">
        <v>3.7782052670861992</v>
      </c>
      <c r="Z324">
        <v>-11.507232712279921</v>
      </c>
      <c r="AA324">
        <v>-10.571857735462739</v>
      </c>
      <c r="AB324">
        <v>-10.006386275193799</v>
      </c>
      <c r="AC324">
        <v>-10.437225223367699</v>
      </c>
      <c r="AD324">
        <v>-7.4089472205481419</v>
      </c>
      <c r="AE324">
        <v>-11.86114401158903</v>
      </c>
      <c r="AF324">
        <v>-11.64474106975708</v>
      </c>
      <c r="AG324">
        <v>-10.75822785122296</v>
      </c>
      <c r="AH324">
        <v>-10.56194727713766</v>
      </c>
      <c r="AI324">
        <v>-10.89700106060606</v>
      </c>
      <c r="AJ324">
        <v>-10.314138213178291</v>
      </c>
      <c r="AK324">
        <v>-10.69818861179361</v>
      </c>
      <c r="AL324">
        <v>-10.12595991860465</v>
      </c>
      <c r="AM324">
        <v>3.8944060573686521</v>
      </c>
      <c r="AN324">
        <v>3.823353810917606</v>
      </c>
    </row>
    <row r="325" spans="1:40" x14ac:dyDescent="0.25">
      <c r="A325" s="1" t="s">
        <v>1182</v>
      </c>
      <c r="B325">
        <v>55125460890</v>
      </c>
      <c r="C325" t="s">
        <v>85</v>
      </c>
      <c r="D325" t="s">
        <v>127</v>
      </c>
      <c r="E325">
        <v>13666000000</v>
      </c>
      <c r="F325">
        <v>-4487000000</v>
      </c>
      <c r="G325">
        <v>-4884000000</v>
      </c>
      <c r="H325">
        <v>-5160000000</v>
      </c>
      <c r="I325">
        <v>-4947000000</v>
      </c>
      <c r="J325">
        <v>-6969000000</v>
      </c>
      <c r="K325">
        <v>6754000000</v>
      </c>
      <c r="L325">
        <v>1033000000</v>
      </c>
      <c r="M325">
        <v>7787000000</v>
      </c>
      <c r="N325">
        <v>9662000000</v>
      </c>
      <c r="O325">
        <v>1148000000</v>
      </c>
      <c r="P325">
        <v>188000000</v>
      </c>
      <c r="Q325">
        <v>8216000000</v>
      </c>
      <c r="R325">
        <v>5891000000</v>
      </c>
      <c r="S325">
        <v>17719000000</v>
      </c>
      <c r="T325">
        <v>0</v>
      </c>
      <c r="U325">
        <v>971000000</v>
      </c>
      <c r="V325">
        <v>9550000000</v>
      </c>
      <c r="W325">
        <v>55742460890</v>
      </c>
      <c r="X325">
        <v>56713460890</v>
      </c>
      <c r="Y325">
        <v>4.033767078150154</v>
      </c>
      <c r="Z325">
        <v>-12.28559413639403</v>
      </c>
      <c r="AA325">
        <v>-11.2869494041769</v>
      </c>
      <c r="AB325">
        <v>-10.68322885465116</v>
      </c>
      <c r="AC325">
        <v>-11.14321020618557</v>
      </c>
      <c r="AD325">
        <v>-7.9100962677572104</v>
      </c>
      <c r="AE325">
        <v>-12.639505435703139</v>
      </c>
      <c r="AF325">
        <v>-12.42310249387118</v>
      </c>
      <c r="AG325">
        <v>-11.464212834040829</v>
      </c>
      <c r="AH325">
        <v>-11.267932259955529</v>
      </c>
      <c r="AI325">
        <v>-11.61209272932023</v>
      </c>
      <c r="AJ325">
        <v>-10.990980792635661</v>
      </c>
      <c r="AK325">
        <v>-11.413280280507781</v>
      </c>
      <c r="AL325">
        <v>-10.80280249806202</v>
      </c>
      <c r="AM325">
        <v>4.1499678684326069</v>
      </c>
      <c r="AN325">
        <v>4.0789156219815599</v>
      </c>
    </row>
    <row r="326" spans="1:40" x14ac:dyDescent="0.25">
      <c r="A326" s="1" t="s">
        <v>1181</v>
      </c>
      <c r="B326">
        <v>54107544070</v>
      </c>
      <c r="C326" t="s">
        <v>85</v>
      </c>
      <c r="D326" t="s">
        <v>127</v>
      </c>
      <c r="E326">
        <v>13666000000</v>
      </c>
      <c r="F326">
        <v>-4487000000</v>
      </c>
      <c r="G326">
        <v>-4884000000</v>
      </c>
      <c r="H326">
        <v>-5160000000</v>
      </c>
      <c r="I326">
        <v>-4947000000</v>
      </c>
      <c r="J326">
        <v>-6969000000</v>
      </c>
      <c r="K326">
        <v>6754000000</v>
      </c>
      <c r="L326">
        <v>1033000000</v>
      </c>
      <c r="M326">
        <v>7787000000</v>
      </c>
      <c r="N326">
        <v>9662000000</v>
      </c>
      <c r="O326">
        <v>1148000000</v>
      </c>
      <c r="P326">
        <v>188000000</v>
      </c>
      <c r="Q326">
        <v>8216000000</v>
      </c>
      <c r="R326">
        <v>5891000000</v>
      </c>
      <c r="S326">
        <v>17719000000</v>
      </c>
      <c r="T326">
        <v>0</v>
      </c>
      <c r="U326">
        <v>971000000</v>
      </c>
      <c r="V326">
        <v>9550000000</v>
      </c>
      <c r="W326">
        <v>54724544070</v>
      </c>
      <c r="X326">
        <v>55695544070</v>
      </c>
      <c r="Y326">
        <v>3.9592817261817652</v>
      </c>
      <c r="Z326">
        <v>-12.05873502785826</v>
      </c>
      <c r="AA326">
        <v>-11.07853072686323</v>
      </c>
      <c r="AB326">
        <v>-10.48595815310077</v>
      </c>
      <c r="AC326">
        <v>-10.93744573883161</v>
      </c>
      <c r="AD326">
        <v>-7.7640327263595923</v>
      </c>
      <c r="AE326">
        <v>-12.412646327167369</v>
      </c>
      <c r="AF326">
        <v>-12.196243385335411</v>
      </c>
      <c r="AG326">
        <v>-11.25844836668688</v>
      </c>
      <c r="AH326">
        <v>-11.06216779260158</v>
      </c>
      <c r="AI326">
        <v>-11.403674052006551</v>
      </c>
      <c r="AJ326">
        <v>-10.79371009108527</v>
      </c>
      <c r="AK326">
        <v>-11.2048616031941</v>
      </c>
      <c r="AL326">
        <v>-10.605531796511629</v>
      </c>
      <c r="AM326">
        <v>4.0754825164642181</v>
      </c>
      <c r="AN326">
        <v>4.0044302700131711</v>
      </c>
    </row>
    <row r="327" spans="1:40" x14ac:dyDescent="0.25">
      <c r="A327" s="1" t="s">
        <v>1180</v>
      </c>
      <c r="B327">
        <v>54476100160</v>
      </c>
      <c r="C327" t="s">
        <v>85</v>
      </c>
      <c r="D327" t="s">
        <v>127</v>
      </c>
      <c r="E327">
        <v>13666000000</v>
      </c>
      <c r="F327">
        <v>-4487000000</v>
      </c>
      <c r="G327">
        <v>-4884000000</v>
      </c>
      <c r="H327">
        <v>-5160000000</v>
      </c>
      <c r="I327">
        <v>-4947000000</v>
      </c>
      <c r="J327">
        <v>-6969000000</v>
      </c>
      <c r="K327">
        <v>6754000000</v>
      </c>
      <c r="L327">
        <v>1033000000</v>
      </c>
      <c r="M327">
        <v>7787000000</v>
      </c>
      <c r="N327">
        <v>9662000000</v>
      </c>
      <c r="O327">
        <v>1148000000</v>
      </c>
      <c r="P327">
        <v>188000000</v>
      </c>
      <c r="Q327">
        <v>8216000000</v>
      </c>
      <c r="R327">
        <v>5891000000</v>
      </c>
      <c r="S327">
        <v>17719000000</v>
      </c>
      <c r="T327">
        <v>0</v>
      </c>
      <c r="U327">
        <v>971000000</v>
      </c>
      <c r="V327">
        <v>9550000000</v>
      </c>
      <c r="W327">
        <v>55093100160</v>
      </c>
      <c r="X327">
        <v>56064100160</v>
      </c>
      <c r="Y327">
        <v>3.9862505605151468</v>
      </c>
      <c r="Z327">
        <v>-12.14087367060397</v>
      </c>
      <c r="AA327">
        <v>-11.15399266175266</v>
      </c>
      <c r="AB327">
        <v>-10.55738375193798</v>
      </c>
      <c r="AC327">
        <v>-11.01194666666667</v>
      </c>
      <c r="AD327">
        <v>-7.8169178016932124</v>
      </c>
      <c r="AE327">
        <v>-12.494784969913081</v>
      </c>
      <c r="AF327">
        <v>-12.27838202808112</v>
      </c>
      <c r="AG327">
        <v>-11.33294929452193</v>
      </c>
      <c r="AH327">
        <v>-11.13666872043663</v>
      </c>
      <c r="AI327">
        <v>-11.47913598689599</v>
      </c>
      <c r="AJ327">
        <v>-10.86513568992248</v>
      </c>
      <c r="AK327">
        <v>-11.28032353808354</v>
      </c>
      <c r="AL327">
        <v>-10.67695739534884</v>
      </c>
      <c r="AM327">
        <v>4.1024513507976001</v>
      </c>
      <c r="AN327">
        <v>4.0313991043465531</v>
      </c>
    </row>
    <row r="328" spans="1:40" x14ac:dyDescent="0.25">
      <c r="A328" s="1" t="s">
        <v>1179</v>
      </c>
      <c r="B328">
        <v>54739354510</v>
      </c>
      <c r="C328" t="s">
        <v>85</v>
      </c>
      <c r="D328" t="s">
        <v>127</v>
      </c>
      <c r="E328">
        <v>13666000000</v>
      </c>
      <c r="F328">
        <v>-4487000000</v>
      </c>
      <c r="G328">
        <v>-4884000000</v>
      </c>
      <c r="H328">
        <v>-5160000000</v>
      </c>
      <c r="I328">
        <v>-4947000000</v>
      </c>
      <c r="J328">
        <v>-6969000000</v>
      </c>
      <c r="K328">
        <v>6754000000</v>
      </c>
      <c r="L328">
        <v>1033000000</v>
      </c>
      <c r="M328">
        <v>7787000000</v>
      </c>
      <c r="N328">
        <v>9662000000</v>
      </c>
      <c r="O328">
        <v>1148000000</v>
      </c>
      <c r="P328">
        <v>188000000</v>
      </c>
      <c r="Q328">
        <v>8216000000</v>
      </c>
      <c r="R328">
        <v>5891000000</v>
      </c>
      <c r="S328">
        <v>17719000000</v>
      </c>
      <c r="T328">
        <v>0</v>
      </c>
      <c r="U328">
        <v>971000000</v>
      </c>
      <c r="V328">
        <v>9550000000</v>
      </c>
      <c r="W328">
        <v>55356354510</v>
      </c>
      <c r="X328">
        <v>56327354510</v>
      </c>
      <c r="Y328">
        <v>4.0055140136104201</v>
      </c>
      <c r="Z328">
        <v>-12.199544129708039</v>
      </c>
      <c r="AA328">
        <v>-11.207894043816539</v>
      </c>
      <c r="AB328">
        <v>-10.608402036821699</v>
      </c>
      <c r="AC328">
        <v>-11.065161615120269</v>
      </c>
      <c r="AD328">
        <v>-7.8546928555029414</v>
      </c>
      <c r="AE328">
        <v>-12.553455429017159</v>
      </c>
      <c r="AF328">
        <v>-12.337052487185201</v>
      </c>
      <c r="AG328">
        <v>-11.386164242975539</v>
      </c>
      <c r="AH328">
        <v>-11.189883668890239</v>
      </c>
      <c r="AI328">
        <v>-11.533037368959871</v>
      </c>
      <c r="AJ328">
        <v>-10.9161539748062</v>
      </c>
      <c r="AK328">
        <v>-11.33422492014742</v>
      </c>
      <c r="AL328">
        <v>-10.727975680232561</v>
      </c>
      <c r="AM328">
        <v>4.121714803892873</v>
      </c>
      <c r="AN328">
        <v>4.050662557441826</v>
      </c>
    </row>
    <row r="329" spans="1:40" x14ac:dyDescent="0.25">
      <c r="A329" s="1" t="s">
        <v>1178</v>
      </c>
      <c r="B329">
        <v>56687436699</v>
      </c>
      <c r="C329" t="s">
        <v>85</v>
      </c>
      <c r="D329" t="s">
        <v>127</v>
      </c>
      <c r="E329">
        <v>13666000000</v>
      </c>
      <c r="F329">
        <v>-4487000000</v>
      </c>
      <c r="G329">
        <v>-4884000000</v>
      </c>
      <c r="H329">
        <v>-5160000000</v>
      </c>
      <c r="I329">
        <v>-4947000000</v>
      </c>
      <c r="J329">
        <v>-6969000000</v>
      </c>
      <c r="K329">
        <v>6754000000</v>
      </c>
      <c r="L329">
        <v>1033000000</v>
      </c>
      <c r="M329">
        <v>7787000000</v>
      </c>
      <c r="N329">
        <v>9662000000</v>
      </c>
      <c r="O329">
        <v>1148000000</v>
      </c>
      <c r="P329">
        <v>188000000</v>
      </c>
      <c r="Q329">
        <v>8216000000</v>
      </c>
      <c r="R329">
        <v>5891000000</v>
      </c>
      <c r="S329">
        <v>17719000000</v>
      </c>
      <c r="T329">
        <v>0</v>
      </c>
      <c r="U329">
        <v>971000000</v>
      </c>
      <c r="V329">
        <v>9550000000</v>
      </c>
      <c r="W329">
        <v>57304436699</v>
      </c>
      <c r="X329">
        <v>58275436699</v>
      </c>
      <c r="Y329">
        <v>4.1480635664422651</v>
      </c>
      <c r="Z329">
        <v>-12.63370552685536</v>
      </c>
      <c r="AA329">
        <v>-11.60676427088452</v>
      </c>
      <c r="AB329">
        <v>-10.985937344767439</v>
      </c>
      <c r="AC329">
        <v>-11.458952233474831</v>
      </c>
      <c r="AD329">
        <v>-8.1342282535514414</v>
      </c>
      <c r="AE329">
        <v>-12.987616826164469</v>
      </c>
      <c r="AF329">
        <v>-12.77121388433252</v>
      </c>
      <c r="AG329">
        <v>-11.779954861330101</v>
      </c>
      <c r="AH329">
        <v>-11.583674287244801</v>
      </c>
      <c r="AI329">
        <v>-11.93190759602785</v>
      </c>
      <c r="AJ329">
        <v>-11.29368928275194</v>
      </c>
      <c r="AK329">
        <v>-11.733095147215399</v>
      </c>
      <c r="AL329">
        <v>-11.105510988178301</v>
      </c>
      <c r="AM329">
        <v>4.264264356724718</v>
      </c>
      <c r="AN329">
        <v>4.1932121102736719</v>
      </c>
    </row>
    <row r="330" spans="1:40" x14ac:dyDescent="0.25">
      <c r="A330" s="1" t="s">
        <v>1177</v>
      </c>
      <c r="B330">
        <v>57564951199</v>
      </c>
      <c r="C330" t="s">
        <v>85</v>
      </c>
      <c r="D330" t="s">
        <v>127</v>
      </c>
      <c r="E330">
        <v>13666000000</v>
      </c>
      <c r="F330">
        <v>-4487000000</v>
      </c>
      <c r="G330">
        <v>-4884000000</v>
      </c>
      <c r="H330">
        <v>-5160000000</v>
      </c>
      <c r="I330">
        <v>-4947000000</v>
      </c>
      <c r="J330">
        <v>-6969000000</v>
      </c>
      <c r="K330">
        <v>6754000000</v>
      </c>
      <c r="L330">
        <v>1033000000</v>
      </c>
      <c r="M330">
        <v>7787000000</v>
      </c>
      <c r="N330">
        <v>9662000000</v>
      </c>
      <c r="O330">
        <v>1148000000</v>
      </c>
      <c r="P330">
        <v>188000000</v>
      </c>
      <c r="Q330">
        <v>8216000000</v>
      </c>
      <c r="R330">
        <v>5891000000</v>
      </c>
      <c r="S330">
        <v>17719000000</v>
      </c>
      <c r="T330">
        <v>0</v>
      </c>
      <c r="U330">
        <v>971000000</v>
      </c>
      <c r="V330">
        <v>9550000000</v>
      </c>
      <c r="W330">
        <v>58181951199</v>
      </c>
      <c r="X330">
        <v>59152951199</v>
      </c>
      <c r="Y330">
        <v>4.212275076759842</v>
      </c>
      <c r="Z330">
        <v>-12.829273723868949</v>
      </c>
      <c r="AA330">
        <v>-11.786435544430789</v>
      </c>
      <c r="AB330">
        <v>-11.155998294379851</v>
      </c>
      <c r="AC330">
        <v>-11.63633539498686</v>
      </c>
      <c r="AD330">
        <v>-8.2601450995838714</v>
      </c>
      <c r="AE330">
        <v>-13.183185023178069</v>
      </c>
      <c r="AF330">
        <v>-12.966782081346111</v>
      </c>
      <c r="AG330">
        <v>-11.95733802284213</v>
      </c>
      <c r="AH330">
        <v>-11.761057448756819</v>
      </c>
      <c r="AI330">
        <v>-12.111578869574121</v>
      </c>
      <c r="AJ330">
        <v>-11.46375023236434</v>
      </c>
      <c r="AK330">
        <v>-11.91276642076167</v>
      </c>
      <c r="AL330">
        <v>-11.2755719377907</v>
      </c>
      <c r="AM330">
        <v>4.3284758670422949</v>
      </c>
      <c r="AN330">
        <v>4.2574236205912488</v>
      </c>
    </row>
    <row r="331" spans="1:40" x14ac:dyDescent="0.25">
      <c r="A331" s="1" t="s">
        <v>1176</v>
      </c>
      <c r="B331">
        <v>59319980199</v>
      </c>
      <c r="C331" t="s">
        <v>85</v>
      </c>
      <c r="D331" t="s">
        <v>127</v>
      </c>
      <c r="E331">
        <v>13666000000</v>
      </c>
      <c r="F331">
        <v>-4487000000</v>
      </c>
      <c r="G331">
        <v>-4884000000</v>
      </c>
      <c r="H331">
        <v>-5160000000</v>
      </c>
      <c r="I331">
        <v>-4947000000</v>
      </c>
      <c r="J331">
        <v>-6969000000</v>
      </c>
      <c r="K331">
        <v>6754000000</v>
      </c>
      <c r="L331">
        <v>1033000000</v>
      </c>
      <c r="M331">
        <v>7787000000</v>
      </c>
      <c r="N331">
        <v>9662000000</v>
      </c>
      <c r="O331">
        <v>1148000000</v>
      </c>
      <c r="P331">
        <v>188000000</v>
      </c>
      <c r="Q331">
        <v>8216000000</v>
      </c>
      <c r="R331">
        <v>5891000000</v>
      </c>
      <c r="S331">
        <v>17719000000</v>
      </c>
      <c r="T331">
        <v>0</v>
      </c>
      <c r="U331">
        <v>971000000</v>
      </c>
      <c r="V331">
        <v>9550000000</v>
      </c>
      <c r="W331">
        <v>59936980199</v>
      </c>
      <c r="X331">
        <v>60907980199</v>
      </c>
      <c r="Y331">
        <v>4.3406980973949949</v>
      </c>
      <c r="Z331">
        <v>-13.22041011789614</v>
      </c>
      <c r="AA331">
        <v>-12.14577809152334</v>
      </c>
      <c r="AB331">
        <v>-11.49612019360465</v>
      </c>
      <c r="AC331">
        <v>-11.991101718010921</v>
      </c>
      <c r="AD331">
        <v>-8.5119787916487297</v>
      </c>
      <c r="AE331">
        <v>-13.57432141720526</v>
      </c>
      <c r="AF331">
        <v>-13.3579184753733</v>
      </c>
      <c r="AG331">
        <v>-12.31210434586618</v>
      </c>
      <c r="AH331">
        <v>-12.11582377178088</v>
      </c>
      <c r="AI331">
        <v>-12.47092141666667</v>
      </c>
      <c r="AJ331">
        <v>-11.80387213158915</v>
      </c>
      <c r="AK331">
        <v>-12.272108967854219</v>
      </c>
      <c r="AL331">
        <v>-11.615693837015501</v>
      </c>
      <c r="AM331">
        <v>4.4568988876774478</v>
      </c>
      <c r="AN331">
        <v>4.3858466412264017</v>
      </c>
    </row>
    <row r="332" spans="1:40" x14ac:dyDescent="0.25">
      <c r="A332" s="1" t="s">
        <v>1175</v>
      </c>
      <c r="B332">
        <v>59021625270</v>
      </c>
      <c r="C332" t="s">
        <v>85</v>
      </c>
      <c r="D332" t="s">
        <v>127</v>
      </c>
      <c r="E332">
        <v>13666000000</v>
      </c>
      <c r="F332">
        <v>-4487000000</v>
      </c>
      <c r="G332">
        <v>-4884000000</v>
      </c>
      <c r="H332">
        <v>-5160000000</v>
      </c>
      <c r="I332">
        <v>-4947000000</v>
      </c>
      <c r="J332">
        <v>-6969000000</v>
      </c>
      <c r="K332">
        <v>6754000000</v>
      </c>
      <c r="L332">
        <v>1033000000</v>
      </c>
      <c r="M332">
        <v>7787000000</v>
      </c>
      <c r="N332">
        <v>9662000000</v>
      </c>
      <c r="O332">
        <v>1148000000</v>
      </c>
      <c r="P332">
        <v>188000000</v>
      </c>
      <c r="Q332">
        <v>8216000000</v>
      </c>
      <c r="R332">
        <v>5891000000</v>
      </c>
      <c r="S332">
        <v>17719000000</v>
      </c>
      <c r="T332">
        <v>0</v>
      </c>
      <c r="U332">
        <v>971000000</v>
      </c>
      <c r="V332">
        <v>9550000000</v>
      </c>
      <c r="W332">
        <v>59638625270</v>
      </c>
      <c r="X332">
        <v>60609625270</v>
      </c>
      <c r="Y332">
        <v>4.3188661839601936</v>
      </c>
      <c r="Z332">
        <v>-13.15391693113439</v>
      </c>
      <c r="AA332">
        <v>-12.08468985872236</v>
      </c>
      <c r="AB332">
        <v>-11.438299470930231</v>
      </c>
      <c r="AC332">
        <v>-11.93079144329897</v>
      </c>
      <c r="AD332">
        <v>-8.469167064141196</v>
      </c>
      <c r="AE332">
        <v>-13.507828230443501</v>
      </c>
      <c r="AF332">
        <v>-13.29142528861154</v>
      </c>
      <c r="AG332">
        <v>-12.251794071154229</v>
      </c>
      <c r="AH332">
        <v>-12.055513497068929</v>
      </c>
      <c r="AI332">
        <v>-12.409833183865681</v>
      </c>
      <c r="AJ332">
        <v>-11.746051408914729</v>
      </c>
      <c r="AK332">
        <v>-12.211020735053239</v>
      </c>
      <c r="AL332">
        <v>-11.55787311434108</v>
      </c>
      <c r="AM332">
        <v>4.4350669742426456</v>
      </c>
      <c r="AN332">
        <v>4.3640147277915986</v>
      </c>
    </row>
    <row r="333" spans="1:40" x14ac:dyDescent="0.25">
      <c r="A333" s="1" t="s">
        <v>1174</v>
      </c>
      <c r="B333">
        <v>60197494699</v>
      </c>
      <c r="C333" t="s">
        <v>85</v>
      </c>
      <c r="D333" t="s">
        <v>127</v>
      </c>
      <c r="E333">
        <v>13666000000</v>
      </c>
      <c r="F333">
        <v>-4487000000</v>
      </c>
      <c r="G333">
        <v>-4884000000</v>
      </c>
      <c r="H333">
        <v>-5160000000</v>
      </c>
      <c r="I333">
        <v>-4947000000</v>
      </c>
      <c r="J333">
        <v>-6969000000</v>
      </c>
      <c r="K333">
        <v>6754000000</v>
      </c>
      <c r="L333">
        <v>1033000000</v>
      </c>
      <c r="M333">
        <v>7787000000</v>
      </c>
      <c r="N333">
        <v>9662000000</v>
      </c>
      <c r="O333">
        <v>1148000000</v>
      </c>
      <c r="P333">
        <v>188000000</v>
      </c>
      <c r="Q333">
        <v>8216000000</v>
      </c>
      <c r="R333">
        <v>5891000000</v>
      </c>
      <c r="S333">
        <v>17719000000</v>
      </c>
      <c r="T333">
        <v>0</v>
      </c>
      <c r="U333">
        <v>971000000</v>
      </c>
      <c r="V333">
        <v>9550000000</v>
      </c>
      <c r="W333">
        <v>60814494699</v>
      </c>
      <c r="X333">
        <v>61785494699</v>
      </c>
      <c r="Y333">
        <v>4.4049096077125718</v>
      </c>
      <c r="Z333">
        <v>-13.41597831490974</v>
      </c>
      <c r="AA333">
        <v>-12.325449365069611</v>
      </c>
      <c r="AB333">
        <v>-11.666181143217051</v>
      </c>
      <c r="AC333">
        <v>-12.168484879522939</v>
      </c>
      <c r="AD333">
        <v>-8.6378956376811598</v>
      </c>
      <c r="AE333">
        <v>-13.769889614218849</v>
      </c>
      <c r="AF333">
        <v>-13.553486672386899</v>
      </c>
      <c r="AG333">
        <v>-12.489487507378209</v>
      </c>
      <c r="AH333">
        <v>-12.2932069332929</v>
      </c>
      <c r="AI333">
        <v>-12.650592690212941</v>
      </c>
      <c r="AJ333">
        <v>-11.973933081201549</v>
      </c>
      <c r="AK333">
        <v>-12.45178024140049</v>
      </c>
      <c r="AL333">
        <v>-11.78575478662791</v>
      </c>
      <c r="AM333">
        <v>4.5211103979950238</v>
      </c>
      <c r="AN333">
        <v>4.4500581515439777</v>
      </c>
    </row>
    <row r="334" spans="1:40" x14ac:dyDescent="0.25">
      <c r="A334" s="1" t="s">
        <v>1173</v>
      </c>
      <c r="B334">
        <v>60320346729</v>
      </c>
      <c r="C334" t="s">
        <v>85</v>
      </c>
      <c r="D334" t="s">
        <v>127</v>
      </c>
      <c r="E334">
        <v>13666000000</v>
      </c>
      <c r="F334">
        <v>-4487000000</v>
      </c>
      <c r="G334">
        <v>-4884000000</v>
      </c>
      <c r="H334">
        <v>-5160000000</v>
      </c>
      <c r="I334">
        <v>-4947000000</v>
      </c>
      <c r="J334">
        <v>-6969000000</v>
      </c>
      <c r="K334">
        <v>6754000000</v>
      </c>
      <c r="L334">
        <v>1033000000</v>
      </c>
      <c r="M334">
        <v>7787000000</v>
      </c>
      <c r="N334">
        <v>9662000000</v>
      </c>
      <c r="O334">
        <v>1148000000</v>
      </c>
      <c r="P334">
        <v>188000000</v>
      </c>
      <c r="Q334">
        <v>8216000000</v>
      </c>
      <c r="R334">
        <v>5891000000</v>
      </c>
      <c r="S334">
        <v>17719000000</v>
      </c>
      <c r="T334">
        <v>0</v>
      </c>
      <c r="U334">
        <v>971000000</v>
      </c>
      <c r="V334">
        <v>9550000000</v>
      </c>
      <c r="W334">
        <v>60937346729</v>
      </c>
      <c r="X334">
        <v>61908346729</v>
      </c>
      <c r="Y334">
        <v>4.4138992191570319</v>
      </c>
      <c r="Z334">
        <v>-13.44335786249164</v>
      </c>
      <c r="AA334">
        <v>-12.350603343366091</v>
      </c>
      <c r="AB334">
        <v>-11.68998967616279</v>
      </c>
      <c r="AC334">
        <v>-12.19331852213463</v>
      </c>
      <c r="AD334">
        <v>-8.6555239961256998</v>
      </c>
      <c r="AE334">
        <v>-13.797269161800759</v>
      </c>
      <c r="AF334">
        <v>-13.580866219968801</v>
      </c>
      <c r="AG334">
        <v>-12.51432114998989</v>
      </c>
      <c r="AH334">
        <v>-12.31804057590459</v>
      </c>
      <c r="AI334">
        <v>-12.67574666850942</v>
      </c>
      <c r="AJ334">
        <v>-11.997741614147291</v>
      </c>
      <c r="AK334">
        <v>-12.47693421969697</v>
      </c>
      <c r="AL334">
        <v>-11.809563319573639</v>
      </c>
      <c r="AM334">
        <v>4.5301000094394848</v>
      </c>
      <c r="AN334">
        <v>4.4590477629884386</v>
      </c>
    </row>
    <row r="335" spans="1:40" x14ac:dyDescent="0.25">
      <c r="A335" s="1" t="s">
        <v>1172</v>
      </c>
      <c r="B335">
        <v>58635518889</v>
      </c>
      <c r="C335" t="s">
        <v>85</v>
      </c>
      <c r="D335" t="s">
        <v>127</v>
      </c>
      <c r="E335">
        <v>13666000000</v>
      </c>
      <c r="F335">
        <v>-4487000000</v>
      </c>
      <c r="G335">
        <v>-4884000000</v>
      </c>
      <c r="H335">
        <v>-5160000000</v>
      </c>
      <c r="I335">
        <v>-4947000000</v>
      </c>
      <c r="J335">
        <v>-6969000000</v>
      </c>
      <c r="K335">
        <v>6754000000</v>
      </c>
      <c r="L335">
        <v>1033000000</v>
      </c>
      <c r="M335">
        <v>7787000000</v>
      </c>
      <c r="N335">
        <v>9662000000</v>
      </c>
      <c r="O335">
        <v>1148000000</v>
      </c>
      <c r="P335">
        <v>188000000</v>
      </c>
      <c r="Q335">
        <v>8216000000</v>
      </c>
      <c r="R335">
        <v>5891000000</v>
      </c>
      <c r="S335">
        <v>17719000000</v>
      </c>
      <c r="T335">
        <v>0</v>
      </c>
      <c r="U335">
        <v>971000000</v>
      </c>
      <c r="V335">
        <v>9550000000</v>
      </c>
      <c r="W335">
        <v>59252518889</v>
      </c>
      <c r="X335">
        <v>60223518889</v>
      </c>
      <c r="Y335">
        <v>4.2906131193472854</v>
      </c>
      <c r="Z335">
        <v>-13.067866924225539</v>
      </c>
      <c r="AA335">
        <v>-12.005634498157249</v>
      </c>
      <c r="AB335">
        <v>-11.36347265290698</v>
      </c>
      <c r="AC335">
        <v>-11.852742852031531</v>
      </c>
      <c r="AD335">
        <v>-8.4137636517434355</v>
      </c>
      <c r="AE335">
        <v>-13.421778223534661</v>
      </c>
      <c r="AF335">
        <v>-13.2053752817027</v>
      </c>
      <c r="AG335">
        <v>-12.173745479886801</v>
      </c>
      <c r="AH335">
        <v>-11.977464905801501</v>
      </c>
      <c r="AI335">
        <v>-12.33077782330057</v>
      </c>
      <c r="AJ335">
        <v>-11.67122459089147</v>
      </c>
      <c r="AK335">
        <v>-12.13196537448813</v>
      </c>
      <c r="AL335">
        <v>-11.483046296317831</v>
      </c>
      <c r="AM335">
        <v>4.4068139096297383</v>
      </c>
      <c r="AN335">
        <v>4.3357616631786913</v>
      </c>
    </row>
    <row r="336" spans="1:40" x14ac:dyDescent="0.25">
      <c r="A336" s="1" t="s">
        <v>1171</v>
      </c>
      <c r="B336">
        <v>58337163960</v>
      </c>
      <c r="C336" t="s">
        <v>85</v>
      </c>
      <c r="D336" t="s">
        <v>127</v>
      </c>
      <c r="E336">
        <v>13666000000</v>
      </c>
      <c r="F336">
        <v>-4487000000</v>
      </c>
      <c r="G336">
        <v>-4884000000</v>
      </c>
      <c r="H336">
        <v>-5160000000</v>
      </c>
      <c r="I336">
        <v>-4947000000</v>
      </c>
      <c r="J336">
        <v>-6969000000</v>
      </c>
      <c r="K336">
        <v>6754000000</v>
      </c>
      <c r="L336">
        <v>1033000000</v>
      </c>
      <c r="M336">
        <v>7787000000</v>
      </c>
      <c r="N336">
        <v>9662000000</v>
      </c>
      <c r="O336">
        <v>1148000000</v>
      </c>
      <c r="P336">
        <v>188000000</v>
      </c>
      <c r="Q336">
        <v>8216000000</v>
      </c>
      <c r="R336">
        <v>5891000000</v>
      </c>
      <c r="S336">
        <v>17719000000</v>
      </c>
      <c r="T336">
        <v>0</v>
      </c>
      <c r="U336">
        <v>971000000</v>
      </c>
      <c r="V336">
        <v>9550000000</v>
      </c>
      <c r="W336">
        <v>58954163960</v>
      </c>
      <c r="X336">
        <v>59925163960</v>
      </c>
      <c r="Y336">
        <v>4.2687812059124832</v>
      </c>
      <c r="Z336">
        <v>-13.00137373746378</v>
      </c>
      <c r="AA336">
        <v>-11.944546265356269</v>
      </c>
      <c r="AB336">
        <v>-11.30565193023256</v>
      </c>
      <c r="AC336">
        <v>-11.792432577319589</v>
      </c>
      <c r="AD336">
        <v>-8.3709519242359018</v>
      </c>
      <c r="AE336">
        <v>-13.3552850367729</v>
      </c>
      <c r="AF336">
        <v>-13.138882094940939</v>
      </c>
      <c r="AG336">
        <v>-12.11343520517485</v>
      </c>
      <c r="AH336">
        <v>-11.91715463108955</v>
      </c>
      <c r="AI336">
        <v>-12.26968959049959</v>
      </c>
      <c r="AJ336">
        <v>-11.61340386821705</v>
      </c>
      <c r="AK336">
        <v>-12.07087714168714</v>
      </c>
      <c r="AL336">
        <v>-11.425225573643409</v>
      </c>
      <c r="AM336">
        <v>4.3849819961949361</v>
      </c>
      <c r="AN336">
        <v>4.31392974974389</v>
      </c>
    </row>
    <row r="337" spans="1:40" x14ac:dyDescent="0.25">
      <c r="A337" s="1" t="s">
        <v>1170</v>
      </c>
      <c r="B337">
        <v>60232595280</v>
      </c>
      <c r="C337" t="s">
        <v>85</v>
      </c>
      <c r="D337" t="s">
        <v>127</v>
      </c>
      <c r="E337">
        <v>13666000000</v>
      </c>
      <c r="F337">
        <v>-4487000000</v>
      </c>
      <c r="G337">
        <v>-4884000000</v>
      </c>
      <c r="H337">
        <v>-5160000000</v>
      </c>
      <c r="I337">
        <v>-4947000000</v>
      </c>
      <c r="J337">
        <v>-6969000000</v>
      </c>
      <c r="K337">
        <v>6754000000</v>
      </c>
      <c r="L337">
        <v>1033000000</v>
      </c>
      <c r="M337">
        <v>7787000000</v>
      </c>
      <c r="N337">
        <v>9662000000</v>
      </c>
      <c r="O337">
        <v>1148000000</v>
      </c>
      <c r="P337">
        <v>188000000</v>
      </c>
      <c r="Q337">
        <v>8216000000</v>
      </c>
      <c r="R337">
        <v>5891000000</v>
      </c>
      <c r="S337">
        <v>17719000000</v>
      </c>
      <c r="T337">
        <v>0</v>
      </c>
      <c r="U337">
        <v>971000000</v>
      </c>
      <c r="V337">
        <v>9550000000</v>
      </c>
      <c r="W337">
        <v>60849595280</v>
      </c>
      <c r="X337">
        <v>61820595280</v>
      </c>
      <c r="Y337">
        <v>4.4074780681984489</v>
      </c>
      <c r="Z337">
        <v>-13.42380104301315</v>
      </c>
      <c r="AA337">
        <v>-12.332636216216221</v>
      </c>
      <c r="AB337">
        <v>-11.67298358139535</v>
      </c>
      <c r="AC337">
        <v>-12.17558020618557</v>
      </c>
      <c r="AD337">
        <v>-8.64293231166595</v>
      </c>
      <c r="AE337">
        <v>-13.77771234232226</v>
      </c>
      <c r="AF337">
        <v>-13.561309400490311</v>
      </c>
      <c r="AG337">
        <v>-12.496582834040829</v>
      </c>
      <c r="AH337">
        <v>-12.300302259955529</v>
      </c>
      <c r="AI337">
        <v>-12.65777954135954</v>
      </c>
      <c r="AJ337">
        <v>-11.98073551937985</v>
      </c>
      <c r="AK337">
        <v>-12.458967092547089</v>
      </c>
      <c r="AL337">
        <v>-11.792557224806201</v>
      </c>
      <c r="AM337">
        <v>4.5236788584809018</v>
      </c>
      <c r="AN337">
        <v>4.4526266120298548</v>
      </c>
    </row>
    <row r="338" spans="1:40" x14ac:dyDescent="0.25">
      <c r="A338" s="1" t="s">
        <v>1169</v>
      </c>
      <c r="B338">
        <v>61443565290</v>
      </c>
      <c r="C338" t="s">
        <v>85</v>
      </c>
      <c r="D338" t="s">
        <v>127</v>
      </c>
      <c r="E338">
        <v>13666000000</v>
      </c>
      <c r="F338">
        <v>-4487000000</v>
      </c>
      <c r="G338">
        <v>-4884000000</v>
      </c>
      <c r="H338">
        <v>-5160000000</v>
      </c>
      <c r="I338">
        <v>-4947000000</v>
      </c>
      <c r="J338">
        <v>-6969000000</v>
      </c>
      <c r="K338">
        <v>6754000000</v>
      </c>
      <c r="L338">
        <v>1033000000</v>
      </c>
      <c r="M338">
        <v>7787000000</v>
      </c>
      <c r="N338">
        <v>9662000000</v>
      </c>
      <c r="O338">
        <v>1148000000</v>
      </c>
      <c r="P338">
        <v>188000000</v>
      </c>
      <c r="Q338">
        <v>8216000000</v>
      </c>
      <c r="R338">
        <v>5891000000</v>
      </c>
      <c r="S338">
        <v>17719000000</v>
      </c>
      <c r="T338">
        <v>0</v>
      </c>
      <c r="U338">
        <v>971000000</v>
      </c>
      <c r="V338">
        <v>9550000000</v>
      </c>
      <c r="W338">
        <v>62060565290</v>
      </c>
      <c r="X338">
        <v>63031565290</v>
      </c>
      <c r="Y338">
        <v>4.4960899524367042</v>
      </c>
      <c r="Z338">
        <v>-13.693685154891909</v>
      </c>
      <c r="AA338">
        <v>-12.580582573710069</v>
      </c>
      <c r="AB338">
        <v>-11.907667691860469</v>
      </c>
      <c r="AC338">
        <v>-12.420368969072159</v>
      </c>
      <c r="AD338">
        <v>-8.8166975591907022</v>
      </c>
      <c r="AE338">
        <v>-14.047596454201029</v>
      </c>
      <c r="AF338">
        <v>-13.831193512369071</v>
      </c>
      <c r="AG338">
        <v>-12.741371596927429</v>
      </c>
      <c r="AH338">
        <v>-12.545091022842129</v>
      </c>
      <c r="AI338">
        <v>-12.905725898853399</v>
      </c>
      <c r="AJ338">
        <v>-12.215419629844961</v>
      </c>
      <c r="AK338">
        <v>-12.70691345004095</v>
      </c>
      <c r="AL338">
        <v>-12.02724133527132</v>
      </c>
      <c r="AM338">
        <v>4.6122907427191571</v>
      </c>
      <c r="AN338">
        <v>4.5412384962681109</v>
      </c>
    </row>
    <row r="339" spans="1:40" x14ac:dyDescent="0.25">
      <c r="A339" s="1" t="s">
        <v>1168</v>
      </c>
      <c r="B339">
        <v>63145943419</v>
      </c>
      <c r="C339" t="s">
        <v>85</v>
      </c>
      <c r="D339" t="s">
        <v>127</v>
      </c>
      <c r="E339">
        <v>13666000000</v>
      </c>
      <c r="F339">
        <v>-4487000000</v>
      </c>
      <c r="G339">
        <v>-4884000000</v>
      </c>
      <c r="H339">
        <v>-5160000000</v>
      </c>
      <c r="I339">
        <v>-4947000000</v>
      </c>
      <c r="J339">
        <v>-6969000000</v>
      </c>
      <c r="K339">
        <v>6754000000</v>
      </c>
      <c r="L339">
        <v>1033000000</v>
      </c>
      <c r="M339">
        <v>7787000000</v>
      </c>
      <c r="N339">
        <v>9662000000</v>
      </c>
      <c r="O339">
        <v>1148000000</v>
      </c>
      <c r="P339">
        <v>188000000</v>
      </c>
      <c r="Q339">
        <v>8216000000</v>
      </c>
      <c r="R339">
        <v>5891000000</v>
      </c>
      <c r="S339">
        <v>17719000000</v>
      </c>
      <c r="T339">
        <v>0</v>
      </c>
      <c r="U339">
        <v>971000000</v>
      </c>
      <c r="V339">
        <v>9550000000</v>
      </c>
      <c r="W339">
        <v>63762943419</v>
      </c>
      <c r="X339">
        <v>64733943419</v>
      </c>
      <c r="Y339">
        <v>4.6206602823796281</v>
      </c>
      <c r="Z339">
        <v>-14.07308745687542</v>
      </c>
      <c r="AA339">
        <v>-12.929144844185091</v>
      </c>
      <c r="AB339">
        <v>-12.23758593391473</v>
      </c>
      <c r="AC339">
        <v>-12.76449230220336</v>
      </c>
      <c r="AD339">
        <v>-9.0609762403501222</v>
      </c>
      <c r="AE339">
        <v>-14.426998756184529</v>
      </c>
      <c r="AF339">
        <v>-14.210595814352571</v>
      </c>
      <c r="AG339">
        <v>-13.085494930058619</v>
      </c>
      <c r="AH339">
        <v>-12.889214355973319</v>
      </c>
      <c r="AI339">
        <v>-13.25428816932842</v>
      </c>
      <c r="AJ339">
        <v>-12.545337871899219</v>
      </c>
      <c r="AK339">
        <v>-13.05547572051597</v>
      </c>
      <c r="AL339">
        <v>-12.35715957732558</v>
      </c>
      <c r="AM339">
        <v>4.736861072662081</v>
      </c>
      <c r="AN339">
        <v>4.6658088262110349</v>
      </c>
    </row>
    <row r="340" spans="1:40" x14ac:dyDescent="0.25">
      <c r="A340" s="1" t="s">
        <v>1167</v>
      </c>
      <c r="B340">
        <v>64900972419</v>
      </c>
      <c r="C340" t="s">
        <v>85</v>
      </c>
      <c r="D340" t="s">
        <v>127</v>
      </c>
      <c r="E340">
        <v>13666000000</v>
      </c>
      <c r="F340">
        <v>-4487000000</v>
      </c>
      <c r="G340">
        <v>-4884000000</v>
      </c>
      <c r="H340">
        <v>-5160000000</v>
      </c>
      <c r="I340">
        <v>-4947000000</v>
      </c>
      <c r="J340">
        <v>-6969000000</v>
      </c>
      <c r="K340">
        <v>6754000000</v>
      </c>
      <c r="L340">
        <v>1033000000</v>
      </c>
      <c r="M340">
        <v>7787000000</v>
      </c>
      <c r="N340">
        <v>9662000000</v>
      </c>
      <c r="O340">
        <v>1148000000</v>
      </c>
      <c r="P340">
        <v>188000000</v>
      </c>
      <c r="Q340">
        <v>8216000000</v>
      </c>
      <c r="R340">
        <v>5891000000</v>
      </c>
      <c r="S340">
        <v>17719000000</v>
      </c>
      <c r="T340">
        <v>0</v>
      </c>
      <c r="U340">
        <v>971000000</v>
      </c>
      <c r="V340">
        <v>9550000000</v>
      </c>
      <c r="W340">
        <v>65517972419</v>
      </c>
      <c r="X340">
        <v>66488972419</v>
      </c>
      <c r="Y340">
        <v>4.749083303014781</v>
      </c>
      <c r="Z340">
        <v>-14.464223850902609</v>
      </c>
      <c r="AA340">
        <v>-13.28848739127764</v>
      </c>
      <c r="AB340">
        <v>-12.577707833139529</v>
      </c>
      <c r="AC340">
        <v>-13.11925862522741</v>
      </c>
      <c r="AD340">
        <v>-9.3128099324149805</v>
      </c>
      <c r="AE340">
        <v>-14.81813515021172</v>
      </c>
      <c r="AF340">
        <v>-14.60173220837976</v>
      </c>
      <c r="AG340">
        <v>-13.44026125308268</v>
      </c>
      <c r="AH340">
        <v>-13.243980678997371</v>
      </c>
      <c r="AI340">
        <v>-13.613630716420969</v>
      </c>
      <c r="AJ340">
        <v>-12.88545977112403</v>
      </c>
      <c r="AK340">
        <v>-13.414818267608521</v>
      </c>
      <c r="AL340">
        <v>-12.697281476550391</v>
      </c>
      <c r="AM340">
        <v>4.8652840932972339</v>
      </c>
      <c r="AN340">
        <v>4.7942318468461878</v>
      </c>
    </row>
    <row r="341" spans="1:40" x14ac:dyDescent="0.25">
      <c r="A341" s="1" t="s">
        <v>1166</v>
      </c>
      <c r="B341">
        <v>66603350550</v>
      </c>
      <c r="C341" t="s">
        <v>85</v>
      </c>
      <c r="D341" t="s">
        <v>127</v>
      </c>
      <c r="E341">
        <v>13666000000</v>
      </c>
      <c r="F341">
        <v>-4487000000</v>
      </c>
      <c r="G341">
        <v>-4884000000</v>
      </c>
      <c r="H341">
        <v>-5160000000</v>
      </c>
      <c r="I341">
        <v>-4947000000</v>
      </c>
      <c r="J341">
        <v>-6969000000</v>
      </c>
      <c r="K341">
        <v>6754000000</v>
      </c>
      <c r="L341">
        <v>1033000000</v>
      </c>
      <c r="M341">
        <v>7787000000</v>
      </c>
      <c r="N341">
        <v>9662000000</v>
      </c>
      <c r="O341">
        <v>1148000000</v>
      </c>
      <c r="P341">
        <v>188000000</v>
      </c>
      <c r="Q341">
        <v>8216000000</v>
      </c>
      <c r="R341">
        <v>5891000000</v>
      </c>
      <c r="S341">
        <v>17719000000</v>
      </c>
      <c r="T341">
        <v>0</v>
      </c>
      <c r="U341">
        <v>971000000</v>
      </c>
      <c r="V341">
        <v>9550000000</v>
      </c>
      <c r="W341">
        <v>67220350550</v>
      </c>
      <c r="X341">
        <v>68191350550</v>
      </c>
      <c r="Y341">
        <v>4.8736536331040536</v>
      </c>
      <c r="Z341">
        <v>-14.843626153331851</v>
      </c>
      <c r="AA341">
        <v>-13.637049662162161</v>
      </c>
      <c r="AB341">
        <v>-12.907626075581399</v>
      </c>
      <c r="AC341">
        <v>-13.46338195876289</v>
      </c>
      <c r="AD341">
        <v>-9.5570886138613869</v>
      </c>
      <c r="AE341">
        <v>-15.19753745264096</v>
      </c>
      <c r="AF341">
        <v>-14.981134510808999</v>
      </c>
      <c r="AG341">
        <v>-13.784384586618151</v>
      </c>
      <c r="AH341">
        <v>-13.588104012532851</v>
      </c>
      <c r="AI341">
        <v>-13.962192987305491</v>
      </c>
      <c r="AJ341">
        <v>-13.215378013565889</v>
      </c>
      <c r="AK341">
        <v>-13.76338053849304</v>
      </c>
      <c r="AL341">
        <v>-13.02719971899225</v>
      </c>
      <c r="AM341">
        <v>4.9898544233865074</v>
      </c>
      <c r="AN341">
        <v>4.9188021769354604</v>
      </c>
    </row>
    <row r="342" spans="1:40" x14ac:dyDescent="0.25">
      <c r="A342" s="1" t="s">
        <v>1165</v>
      </c>
      <c r="B342">
        <v>65760936630</v>
      </c>
      <c r="C342" t="s">
        <v>85</v>
      </c>
      <c r="D342" t="s">
        <v>127</v>
      </c>
      <c r="E342">
        <v>13666000000</v>
      </c>
      <c r="F342">
        <v>-4487000000</v>
      </c>
      <c r="G342">
        <v>-4884000000</v>
      </c>
      <c r="H342">
        <v>-5160000000</v>
      </c>
      <c r="I342">
        <v>-4947000000</v>
      </c>
      <c r="J342">
        <v>-6969000000</v>
      </c>
      <c r="K342">
        <v>6754000000</v>
      </c>
      <c r="L342">
        <v>1033000000</v>
      </c>
      <c r="M342">
        <v>7787000000</v>
      </c>
      <c r="N342">
        <v>9662000000</v>
      </c>
      <c r="O342">
        <v>1148000000</v>
      </c>
      <c r="P342">
        <v>188000000</v>
      </c>
      <c r="Q342">
        <v>8216000000</v>
      </c>
      <c r="R342">
        <v>5891000000</v>
      </c>
      <c r="S342">
        <v>17719000000</v>
      </c>
      <c r="T342">
        <v>0</v>
      </c>
      <c r="U342">
        <v>971000000</v>
      </c>
      <c r="V342">
        <v>9550000000</v>
      </c>
      <c r="W342">
        <v>66377936630</v>
      </c>
      <c r="X342">
        <v>67348936630</v>
      </c>
      <c r="Y342">
        <v>4.8120105831991804</v>
      </c>
      <c r="Z342">
        <v>-14.655880684198801</v>
      </c>
      <c r="AA342">
        <v>-13.464565239557739</v>
      </c>
      <c r="AB342">
        <v>-12.744367563953491</v>
      </c>
      <c r="AC342">
        <v>-13.29309412371134</v>
      </c>
      <c r="AD342">
        <v>-9.4362084416702547</v>
      </c>
      <c r="AE342">
        <v>-15.00979198350791</v>
      </c>
      <c r="AF342">
        <v>-14.793389041675949</v>
      </c>
      <c r="AG342">
        <v>-13.61409675156661</v>
      </c>
      <c r="AH342">
        <v>-13.417816177481299</v>
      </c>
      <c r="AI342">
        <v>-13.789708564701071</v>
      </c>
      <c r="AJ342">
        <v>-13.05211950193798</v>
      </c>
      <c r="AK342">
        <v>-13.59089611588862</v>
      </c>
      <c r="AL342">
        <v>-12.86394120736434</v>
      </c>
      <c r="AM342">
        <v>4.9282113734816333</v>
      </c>
      <c r="AN342">
        <v>4.8571591270305872</v>
      </c>
    </row>
    <row r="343" spans="1:40" x14ac:dyDescent="0.25">
      <c r="A343" s="1" t="s">
        <v>1164</v>
      </c>
      <c r="B343">
        <v>66094392139</v>
      </c>
      <c r="C343" t="s">
        <v>85</v>
      </c>
      <c r="D343" t="s">
        <v>127</v>
      </c>
      <c r="E343">
        <v>13666000000</v>
      </c>
      <c r="F343">
        <v>-4487000000</v>
      </c>
      <c r="G343">
        <v>-4884000000</v>
      </c>
      <c r="H343">
        <v>-5160000000</v>
      </c>
      <c r="I343">
        <v>-4947000000</v>
      </c>
      <c r="J343">
        <v>-6969000000</v>
      </c>
      <c r="K343">
        <v>6754000000</v>
      </c>
      <c r="L343">
        <v>1033000000</v>
      </c>
      <c r="M343">
        <v>7787000000</v>
      </c>
      <c r="N343">
        <v>9662000000</v>
      </c>
      <c r="O343">
        <v>1148000000</v>
      </c>
      <c r="P343">
        <v>188000000</v>
      </c>
      <c r="Q343">
        <v>8216000000</v>
      </c>
      <c r="R343">
        <v>5891000000</v>
      </c>
      <c r="S343">
        <v>17719000000</v>
      </c>
      <c r="T343">
        <v>0</v>
      </c>
      <c r="U343">
        <v>971000000</v>
      </c>
      <c r="V343">
        <v>9550000000</v>
      </c>
      <c r="W343">
        <v>66711392139</v>
      </c>
      <c r="X343">
        <v>67682392139</v>
      </c>
      <c r="Y343">
        <v>4.8364109570466853</v>
      </c>
      <c r="Z343">
        <v>-14.730196598841101</v>
      </c>
      <c r="AA343">
        <v>-13.532840323300571</v>
      </c>
      <c r="AB343">
        <v>-12.8089907246124</v>
      </c>
      <c r="AC343">
        <v>-13.36049972488377</v>
      </c>
      <c r="AD343">
        <v>-9.4840568430190846</v>
      </c>
      <c r="AE343">
        <v>-15.08410789815021</v>
      </c>
      <c r="AF343">
        <v>-14.867704956318249</v>
      </c>
      <c r="AG343">
        <v>-13.681502352739029</v>
      </c>
      <c r="AH343">
        <v>-13.485221778653729</v>
      </c>
      <c r="AI343">
        <v>-13.8579836484439</v>
      </c>
      <c r="AJ343">
        <v>-13.1167426625969</v>
      </c>
      <c r="AK343">
        <v>-13.65917119963145</v>
      </c>
      <c r="AL343">
        <v>-12.92856436802326</v>
      </c>
      <c r="AM343">
        <v>4.9526117473291382</v>
      </c>
      <c r="AN343">
        <v>4.8815595008780912</v>
      </c>
    </row>
    <row r="344" spans="1:40" x14ac:dyDescent="0.25">
      <c r="A344" s="1" t="s">
        <v>1163</v>
      </c>
      <c r="B344">
        <v>65041374740</v>
      </c>
      <c r="C344" t="s">
        <v>85</v>
      </c>
      <c r="D344" t="s">
        <v>127</v>
      </c>
      <c r="E344">
        <v>13666000000</v>
      </c>
      <c r="F344">
        <v>-4487000000</v>
      </c>
      <c r="G344">
        <v>-4884000000</v>
      </c>
      <c r="H344">
        <v>-5160000000</v>
      </c>
      <c r="I344">
        <v>-4947000000</v>
      </c>
      <c r="J344">
        <v>-6969000000</v>
      </c>
      <c r="K344">
        <v>6754000000</v>
      </c>
      <c r="L344">
        <v>1033000000</v>
      </c>
      <c r="M344">
        <v>7787000000</v>
      </c>
      <c r="N344">
        <v>9662000000</v>
      </c>
      <c r="O344">
        <v>1148000000</v>
      </c>
      <c r="P344">
        <v>188000000</v>
      </c>
      <c r="Q344">
        <v>8216000000</v>
      </c>
      <c r="R344">
        <v>5891000000</v>
      </c>
      <c r="S344">
        <v>17719000000</v>
      </c>
      <c r="T344">
        <v>0</v>
      </c>
      <c r="U344">
        <v>971000000</v>
      </c>
      <c r="V344">
        <v>9550000000</v>
      </c>
      <c r="W344">
        <v>65658374740</v>
      </c>
      <c r="X344">
        <v>66629374740</v>
      </c>
      <c r="Y344">
        <v>4.7593571447387681</v>
      </c>
      <c r="Z344">
        <v>-14.49551476264765</v>
      </c>
      <c r="AA344">
        <v>-13.317234795249799</v>
      </c>
      <c r="AB344">
        <v>-12.60491758527132</v>
      </c>
      <c r="AC344">
        <v>-13.147639931271479</v>
      </c>
      <c r="AD344">
        <v>-9.3329566279236627</v>
      </c>
      <c r="AE344">
        <v>-14.849426061956761</v>
      </c>
      <c r="AF344">
        <v>-14.633023120124809</v>
      </c>
      <c r="AG344">
        <v>-13.46864255912674</v>
      </c>
      <c r="AH344">
        <v>-13.27236198504144</v>
      </c>
      <c r="AI344">
        <v>-13.64237812039312</v>
      </c>
      <c r="AJ344">
        <v>-12.91266952325581</v>
      </c>
      <c r="AK344">
        <v>-13.44356567158067</v>
      </c>
      <c r="AL344">
        <v>-12.724491228682171</v>
      </c>
      <c r="AM344">
        <v>4.8755579350212201</v>
      </c>
      <c r="AN344">
        <v>4.804505688570174</v>
      </c>
    </row>
    <row r="345" spans="1:40" x14ac:dyDescent="0.25">
      <c r="A345" s="1" t="s">
        <v>1162</v>
      </c>
      <c r="B345">
        <v>65146676479</v>
      </c>
      <c r="C345" t="s">
        <v>85</v>
      </c>
      <c r="D345" t="s">
        <v>127</v>
      </c>
      <c r="E345">
        <v>13666000000</v>
      </c>
      <c r="F345">
        <v>-4487000000</v>
      </c>
      <c r="G345">
        <v>-4884000000</v>
      </c>
      <c r="H345">
        <v>-5160000000</v>
      </c>
      <c r="I345">
        <v>-4947000000</v>
      </c>
      <c r="J345">
        <v>-6969000000</v>
      </c>
      <c r="K345">
        <v>6754000000</v>
      </c>
      <c r="L345">
        <v>1033000000</v>
      </c>
      <c r="M345">
        <v>7787000000</v>
      </c>
      <c r="N345">
        <v>9662000000</v>
      </c>
      <c r="O345">
        <v>1148000000</v>
      </c>
      <c r="P345">
        <v>188000000</v>
      </c>
      <c r="Q345">
        <v>8216000000</v>
      </c>
      <c r="R345">
        <v>5891000000</v>
      </c>
      <c r="S345">
        <v>17719000000</v>
      </c>
      <c r="T345">
        <v>0</v>
      </c>
      <c r="U345">
        <v>971000000</v>
      </c>
      <c r="V345">
        <v>9550000000</v>
      </c>
      <c r="W345">
        <v>65763676479</v>
      </c>
      <c r="X345">
        <v>66734676479</v>
      </c>
      <c r="Y345">
        <v>4.7670625259037029</v>
      </c>
      <c r="Z345">
        <v>-14.51898294606641</v>
      </c>
      <c r="AA345">
        <v>-13.338795347870599</v>
      </c>
      <c r="AB345">
        <v>-12.625324899031011</v>
      </c>
      <c r="AC345">
        <v>-13.168925910450779</v>
      </c>
      <c r="AD345">
        <v>-9.3480666493040605</v>
      </c>
      <c r="AE345">
        <v>-14.87289424537553</v>
      </c>
      <c r="AF345">
        <v>-14.65649130354357</v>
      </c>
      <c r="AG345">
        <v>-13.489928538306041</v>
      </c>
      <c r="AH345">
        <v>-13.293647964220741</v>
      </c>
      <c r="AI345">
        <v>-13.66393867301392</v>
      </c>
      <c r="AJ345">
        <v>-12.9330768370155</v>
      </c>
      <c r="AK345">
        <v>-13.46512622420147</v>
      </c>
      <c r="AL345">
        <v>-12.744898542441859</v>
      </c>
      <c r="AM345">
        <v>4.8832633161861558</v>
      </c>
      <c r="AN345">
        <v>4.8122110697351088</v>
      </c>
    </row>
    <row r="346" spans="1:40" x14ac:dyDescent="0.25">
      <c r="A346" s="1" t="s">
        <v>1161</v>
      </c>
      <c r="B346">
        <v>64041008210</v>
      </c>
      <c r="C346" t="s">
        <v>85</v>
      </c>
      <c r="D346" t="s">
        <v>127</v>
      </c>
      <c r="E346">
        <v>13666000000</v>
      </c>
      <c r="F346">
        <v>-4487000000</v>
      </c>
      <c r="G346">
        <v>-4884000000</v>
      </c>
      <c r="H346">
        <v>-5160000000</v>
      </c>
      <c r="I346">
        <v>-4947000000</v>
      </c>
      <c r="J346">
        <v>-6969000000</v>
      </c>
      <c r="K346">
        <v>6754000000</v>
      </c>
      <c r="L346">
        <v>1033000000</v>
      </c>
      <c r="M346">
        <v>7787000000</v>
      </c>
      <c r="N346">
        <v>9662000000</v>
      </c>
      <c r="O346">
        <v>1148000000</v>
      </c>
      <c r="P346">
        <v>188000000</v>
      </c>
      <c r="Q346">
        <v>8216000000</v>
      </c>
      <c r="R346">
        <v>5891000000</v>
      </c>
      <c r="S346">
        <v>17719000000</v>
      </c>
      <c r="T346">
        <v>0</v>
      </c>
      <c r="U346">
        <v>971000000</v>
      </c>
      <c r="V346">
        <v>9550000000</v>
      </c>
      <c r="W346">
        <v>64658008210</v>
      </c>
      <c r="X346">
        <v>65629008210</v>
      </c>
      <c r="Y346">
        <v>4.6861560229767303</v>
      </c>
      <c r="Z346">
        <v>-14.27256701805215</v>
      </c>
      <c r="AA346">
        <v>-13.11240954340704</v>
      </c>
      <c r="AB346">
        <v>-12.411048102713179</v>
      </c>
      <c r="AC346">
        <v>-12.94542312714777</v>
      </c>
      <c r="AD346">
        <v>-9.1894114234466926</v>
      </c>
      <c r="AE346">
        <v>-14.62647831736127</v>
      </c>
      <c r="AF346">
        <v>-14.41007537552931</v>
      </c>
      <c r="AG346">
        <v>-13.266425755003031</v>
      </c>
      <c r="AH346">
        <v>-13.070145180917731</v>
      </c>
      <c r="AI346">
        <v>-13.43755286855037</v>
      </c>
      <c r="AJ346">
        <v>-12.718800040697669</v>
      </c>
      <c r="AK346">
        <v>-13.238740419737921</v>
      </c>
      <c r="AL346">
        <v>-12.53062174612403</v>
      </c>
      <c r="AM346">
        <v>4.8023568132591832</v>
      </c>
      <c r="AN346">
        <v>4.731304566808137</v>
      </c>
    </row>
    <row r="347" spans="1:40" x14ac:dyDescent="0.25">
      <c r="A347" s="1" t="s">
        <v>1160</v>
      </c>
      <c r="B347">
        <v>60372997600</v>
      </c>
      <c r="C347" t="s">
        <v>85</v>
      </c>
      <c r="D347" t="s">
        <v>127</v>
      </c>
      <c r="E347">
        <v>13666000000</v>
      </c>
      <c r="F347">
        <v>-4487000000</v>
      </c>
      <c r="G347">
        <v>-4884000000</v>
      </c>
      <c r="H347">
        <v>-5160000000</v>
      </c>
      <c r="I347">
        <v>-4947000000</v>
      </c>
      <c r="J347">
        <v>-6969000000</v>
      </c>
      <c r="K347">
        <v>6754000000</v>
      </c>
      <c r="L347">
        <v>1033000000</v>
      </c>
      <c r="M347">
        <v>7787000000</v>
      </c>
      <c r="N347">
        <v>9662000000</v>
      </c>
      <c r="O347">
        <v>1148000000</v>
      </c>
      <c r="P347">
        <v>188000000</v>
      </c>
      <c r="Q347">
        <v>8216000000</v>
      </c>
      <c r="R347">
        <v>5891000000</v>
      </c>
      <c r="S347">
        <v>17719000000</v>
      </c>
      <c r="T347">
        <v>0</v>
      </c>
      <c r="U347">
        <v>971000000</v>
      </c>
      <c r="V347">
        <v>9550000000</v>
      </c>
      <c r="W347">
        <v>60989997600</v>
      </c>
      <c r="X347">
        <v>61960997600</v>
      </c>
      <c r="Y347">
        <v>4.4177519098492608</v>
      </c>
      <c r="Z347">
        <v>-13.45509195453532</v>
      </c>
      <c r="AA347">
        <v>-12.36138361998362</v>
      </c>
      <c r="AB347">
        <v>-11.700193333333329</v>
      </c>
      <c r="AC347">
        <v>-12.20396151202749</v>
      </c>
      <c r="AD347">
        <v>-8.6630790070311381</v>
      </c>
      <c r="AE347">
        <v>-13.809003253844439</v>
      </c>
      <c r="AF347">
        <v>-13.592600312012481</v>
      </c>
      <c r="AG347">
        <v>-12.52496413988276</v>
      </c>
      <c r="AH347">
        <v>-12.32868356579745</v>
      </c>
      <c r="AI347">
        <v>-12.686526945126939</v>
      </c>
      <c r="AJ347">
        <v>-12.00794527131783</v>
      </c>
      <c r="AK347">
        <v>-12.487714496314499</v>
      </c>
      <c r="AL347">
        <v>-11.819766976744191</v>
      </c>
      <c r="AM347">
        <v>4.5339527001317137</v>
      </c>
      <c r="AN347">
        <v>4.4629004536806676</v>
      </c>
    </row>
    <row r="348" spans="1:40" x14ac:dyDescent="0.25">
      <c r="A348" s="1" t="s">
        <v>1159</v>
      </c>
      <c r="B348">
        <v>58881222949</v>
      </c>
      <c r="C348" t="s">
        <v>85</v>
      </c>
      <c r="D348" t="s">
        <v>127</v>
      </c>
      <c r="E348">
        <v>13666000000</v>
      </c>
      <c r="F348">
        <v>-4487000000</v>
      </c>
      <c r="G348">
        <v>-4884000000</v>
      </c>
      <c r="H348">
        <v>-5160000000</v>
      </c>
      <c r="I348">
        <v>-4947000000</v>
      </c>
      <c r="J348">
        <v>-6969000000</v>
      </c>
      <c r="K348">
        <v>6754000000</v>
      </c>
      <c r="L348">
        <v>1033000000</v>
      </c>
      <c r="M348">
        <v>7787000000</v>
      </c>
      <c r="N348">
        <v>9662000000</v>
      </c>
      <c r="O348">
        <v>1148000000</v>
      </c>
      <c r="P348">
        <v>188000000</v>
      </c>
      <c r="Q348">
        <v>8216000000</v>
      </c>
      <c r="R348">
        <v>5891000000</v>
      </c>
      <c r="S348">
        <v>17719000000</v>
      </c>
      <c r="T348">
        <v>0</v>
      </c>
      <c r="U348">
        <v>971000000</v>
      </c>
      <c r="V348">
        <v>9550000000</v>
      </c>
      <c r="W348">
        <v>59498222949</v>
      </c>
      <c r="X348">
        <v>60469222949</v>
      </c>
      <c r="Y348">
        <v>4.3085923422362056</v>
      </c>
      <c r="Z348">
        <v>-13.122626019389349</v>
      </c>
      <c r="AA348">
        <v>-12.055942454750211</v>
      </c>
      <c r="AB348">
        <v>-11.411089718798451</v>
      </c>
      <c r="AC348">
        <v>-11.9024101372549</v>
      </c>
      <c r="AD348">
        <v>-8.4490203686325156</v>
      </c>
      <c r="AE348">
        <v>-13.47653731869846</v>
      </c>
      <c r="AF348">
        <v>-13.2601343768665</v>
      </c>
      <c r="AG348">
        <v>-12.22341276511017</v>
      </c>
      <c r="AH348">
        <v>-12.02713219102486</v>
      </c>
      <c r="AI348">
        <v>-12.38108577989353</v>
      </c>
      <c r="AJ348">
        <v>-11.718841656782949</v>
      </c>
      <c r="AK348">
        <v>-12.182273331081079</v>
      </c>
      <c r="AL348">
        <v>-11.5306633622093</v>
      </c>
      <c r="AM348">
        <v>4.4247931325186594</v>
      </c>
      <c r="AN348">
        <v>4.3537408860676132</v>
      </c>
    </row>
    <row r="349" spans="1:40" x14ac:dyDescent="0.25">
      <c r="A349" s="1" t="s">
        <v>1158</v>
      </c>
      <c r="B349">
        <v>58530217150</v>
      </c>
      <c r="C349" t="s">
        <v>85</v>
      </c>
      <c r="D349" t="s">
        <v>127</v>
      </c>
      <c r="E349">
        <v>13666000000</v>
      </c>
      <c r="F349">
        <v>-4487000000</v>
      </c>
      <c r="G349">
        <v>-4884000000</v>
      </c>
      <c r="H349">
        <v>-5160000000</v>
      </c>
      <c r="I349">
        <v>-4947000000</v>
      </c>
      <c r="J349">
        <v>-6969000000</v>
      </c>
      <c r="K349">
        <v>6754000000</v>
      </c>
      <c r="L349">
        <v>1033000000</v>
      </c>
      <c r="M349">
        <v>7787000000</v>
      </c>
      <c r="N349">
        <v>9662000000</v>
      </c>
      <c r="O349">
        <v>1148000000</v>
      </c>
      <c r="P349">
        <v>188000000</v>
      </c>
      <c r="Q349">
        <v>8216000000</v>
      </c>
      <c r="R349">
        <v>5891000000</v>
      </c>
      <c r="S349">
        <v>17719000000</v>
      </c>
      <c r="T349">
        <v>0</v>
      </c>
      <c r="U349">
        <v>971000000</v>
      </c>
      <c r="V349">
        <v>9550000000</v>
      </c>
      <c r="W349">
        <v>59147217150</v>
      </c>
      <c r="X349">
        <v>60118217150</v>
      </c>
      <c r="Y349">
        <v>4.2829077381823506</v>
      </c>
      <c r="Z349">
        <v>-13.044398740806781</v>
      </c>
      <c r="AA349">
        <v>-11.98407394553645</v>
      </c>
      <c r="AB349">
        <v>-11.343065339147291</v>
      </c>
      <c r="AC349">
        <v>-11.831456872852231</v>
      </c>
      <c r="AD349">
        <v>-8.3986536303630359</v>
      </c>
      <c r="AE349">
        <v>-13.39831004011589</v>
      </c>
      <c r="AF349">
        <v>-13.181907098283929</v>
      </c>
      <c r="AG349">
        <v>-12.152459500707501</v>
      </c>
      <c r="AH349">
        <v>-11.956178926622201</v>
      </c>
      <c r="AI349">
        <v>-12.30921727067977</v>
      </c>
      <c r="AJ349">
        <v>-11.650817277131781</v>
      </c>
      <c r="AK349">
        <v>-12.11040482186732</v>
      </c>
      <c r="AL349">
        <v>-11.46263898255814</v>
      </c>
      <c r="AM349">
        <v>4.3991085284648026</v>
      </c>
      <c r="AN349">
        <v>4.3280562820137556</v>
      </c>
    </row>
    <row r="350" spans="1:40" x14ac:dyDescent="0.25">
      <c r="A350" s="1" t="s">
        <v>1157</v>
      </c>
      <c r="B350">
        <v>60478299340</v>
      </c>
      <c r="C350" t="s">
        <v>85</v>
      </c>
      <c r="D350" t="s">
        <v>127</v>
      </c>
      <c r="E350">
        <v>13666000000</v>
      </c>
      <c r="F350">
        <v>-4487000000</v>
      </c>
      <c r="G350">
        <v>-4884000000</v>
      </c>
      <c r="H350">
        <v>-5160000000</v>
      </c>
      <c r="I350">
        <v>-4947000000</v>
      </c>
      <c r="J350">
        <v>-6969000000</v>
      </c>
      <c r="K350">
        <v>6754000000</v>
      </c>
      <c r="L350">
        <v>1033000000</v>
      </c>
      <c r="M350">
        <v>7787000000</v>
      </c>
      <c r="N350">
        <v>9662000000</v>
      </c>
      <c r="O350">
        <v>1148000000</v>
      </c>
      <c r="P350">
        <v>188000000</v>
      </c>
      <c r="Q350">
        <v>8216000000</v>
      </c>
      <c r="R350">
        <v>5891000000</v>
      </c>
      <c r="S350">
        <v>17719000000</v>
      </c>
      <c r="T350">
        <v>0</v>
      </c>
      <c r="U350">
        <v>971000000</v>
      </c>
      <c r="V350">
        <v>9550000000</v>
      </c>
      <c r="W350">
        <v>61095299340</v>
      </c>
      <c r="X350">
        <v>62066299340</v>
      </c>
      <c r="Y350">
        <v>4.42545729108737</v>
      </c>
      <c r="Z350">
        <v>-13.47856013817696</v>
      </c>
      <c r="AA350">
        <v>-12.38294417280917</v>
      </c>
      <c r="AB350">
        <v>-11.720600647286821</v>
      </c>
      <c r="AC350">
        <v>-12.225247491408931</v>
      </c>
      <c r="AD350">
        <v>-8.67818902855503</v>
      </c>
      <c r="AE350">
        <v>-13.83247143748607</v>
      </c>
      <c r="AF350">
        <v>-13.61606849565411</v>
      </c>
      <c r="AG350">
        <v>-12.546250119264201</v>
      </c>
      <c r="AH350">
        <v>-12.349969545178901</v>
      </c>
      <c r="AI350">
        <v>-12.7080874979525</v>
      </c>
      <c r="AJ350">
        <v>-12.028352585271319</v>
      </c>
      <c r="AK350">
        <v>-12.509275049140051</v>
      </c>
      <c r="AL350">
        <v>-11.84017429069768</v>
      </c>
      <c r="AM350">
        <v>4.5416580813698229</v>
      </c>
      <c r="AN350">
        <v>4.4706058349187767</v>
      </c>
    </row>
    <row r="351" spans="1:40" x14ac:dyDescent="0.25">
      <c r="A351" s="1" t="s">
        <v>1156</v>
      </c>
      <c r="B351">
        <v>62408831240</v>
      </c>
      <c r="C351" t="s">
        <v>85</v>
      </c>
      <c r="D351" t="s">
        <v>127</v>
      </c>
      <c r="E351">
        <v>13666000000</v>
      </c>
      <c r="F351">
        <v>-4487000000</v>
      </c>
      <c r="G351">
        <v>-4884000000</v>
      </c>
      <c r="H351">
        <v>-5160000000</v>
      </c>
      <c r="I351">
        <v>-4947000000</v>
      </c>
      <c r="J351">
        <v>-6969000000</v>
      </c>
      <c r="K351">
        <v>6754000000</v>
      </c>
      <c r="L351">
        <v>1033000000</v>
      </c>
      <c r="M351">
        <v>7787000000</v>
      </c>
      <c r="N351">
        <v>9662000000</v>
      </c>
      <c r="O351">
        <v>1148000000</v>
      </c>
      <c r="P351">
        <v>188000000</v>
      </c>
      <c r="Q351">
        <v>8216000000</v>
      </c>
      <c r="R351">
        <v>5891000000</v>
      </c>
      <c r="S351">
        <v>17719000000</v>
      </c>
      <c r="T351">
        <v>0</v>
      </c>
      <c r="U351">
        <v>971000000</v>
      </c>
      <c r="V351">
        <v>9550000000</v>
      </c>
      <c r="W351">
        <v>63025831240</v>
      </c>
      <c r="X351">
        <v>63996831240</v>
      </c>
      <c r="Y351">
        <v>4.5667226137860384</v>
      </c>
      <c r="Z351">
        <v>-13.908810171606859</v>
      </c>
      <c r="AA351">
        <v>-12.778220974610971</v>
      </c>
      <c r="AB351">
        <v>-12.094734736434109</v>
      </c>
      <c r="AC351">
        <v>-12.615490446735389</v>
      </c>
      <c r="AD351">
        <v>-8.9552060898263743</v>
      </c>
      <c r="AE351">
        <v>-14.262721470915981</v>
      </c>
      <c r="AF351">
        <v>-14.04631852908402</v>
      </c>
      <c r="AG351">
        <v>-12.936493074590659</v>
      </c>
      <c r="AH351">
        <v>-12.740212500505359</v>
      </c>
      <c r="AI351">
        <v>-13.103364299754301</v>
      </c>
      <c r="AJ351">
        <v>-12.402486674418601</v>
      </c>
      <c r="AK351">
        <v>-12.90455185094185</v>
      </c>
      <c r="AL351">
        <v>-12.21430837984496</v>
      </c>
      <c r="AM351">
        <v>4.6829234040684913</v>
      </c>
      <c r="AN351">
        <v>4.6118711576174451</v>
      </c>
    </row>
    <row r="352" spans="1:40" x14ac:dyDescent="0.25">
      <c r="A352" s="1" t="s">
        <v>1155</v>
      </c>
      <c r="B352">
        <v>62180677470</v>
      </c>
      <c r="C352" t="s">
        <v>85</v>
      </c>
      <c r="D352" t="s">
        <v>127</v>
      </c>
      <c r="E352">
        <v>13666000000</v>
      </c>
      <c r="F352">
        <v>-4487000000</v>
      </c>
      <c r="G352">
        <v>-4884000000</v>
      </c>
      <c r="H352">
        <v>-5160000000</v>
      </c>
      <c r="I352">
        <v>-4947000000</v>
      </c>
      <c r="J352">
        <v>-6969000000</v>
      </c>
      <c r="K352">
        <v>6754000000</v>
      </c>
      <c r="L352">
        <v>1033000000</v>
      </c>
      <c r="M352">
        <v>7787000000</v>
      </c>
      <c r="N352">
        <v>9662000000</v>
      </c>
      <c r="O352">
        <v>1148000000</v>
      </c>
      <c r="P352">
        <v>188000000</v>
      </c>
      <c r="Q352">
        <v>8216000000</v>
      </c>
      <c r="R352">
        <v>5891000000</v>
      </c>
      <c r="S352">
        <v>17719000000</v>
      </c>
      <c r="T352">
        <v>0</v>
      </c>
      <c r="U352">
        <v>971000000</v>
      </c>
      <c r="V352">
        <v>9550000000</v>
      </c>
      <c r="W352">
        <v>62797677470</v>
      </c>
      <c r="X352">
        <v>63768677470</v>
      </c>
      <c r="Y352">
        <v>4.5500276211034683</v>
      </c>
      <c r="Z352">
        <v>-13.85796244038333</v>
      </c>
      <c r="AA352">
        <v>-12.731506443488939</v>
      </c>
      <c r="AB352">
        <v>-12.05051888953488</v>
      </c>
      <c r="AC352">
        <v>-12.56937082474227</v>
      </c>
      <c r="AD352">
        <v>-8.9224677098579424</v>
      </c>
      <c r="AE352">
        <v>-14.21187373969244</v>
      </c>
      <c r="AF352">
        <v>-13.99547079786049</v>
      </c>
      <c r="AG352">
        <v>-12.89037345259753</v>
      </c>
      <c r="AH352">
        <v>-12.69409287851223</v>
      </c>
      <c r="AI352">
        <v>-13.056649768632269</v>
      </c>
      <c r="AJ352">
        <v>-12.35827082751938</v>
      </c>
      <c r="AK352">
        <v>-12.85783731981982</v>
      </c>
      <c r="AL352">
        <v>-12.170092532945739</v>
      </c>
      <c r="AM352">
        <v>4.6662284113859211</v>
      </c>
      <c r="AN352">
        <v>4.595176164934875</v>
      </c>
    </row>
    <row r="353" spans="1:40" x14ac:dyDescent="0.25">
      <c r="A353" s="1" t="s">
        <v>84</v>
      </c>
      <c r="B353">
        <v>65080611730</v>
      </c>
      <c r="C353" t="s">
        <v>85</v>
      </c>
      <c r="D353" t="s">
        <v>127</v>
      </c>
      <c r="E353">
        <v>13666000000</v>
      </c>
      <c r="F353">
        <v>-4487000000</v>
      </c>
      <c r="G353">
        <v>-4884000000</v>
      </c>
      <c r="H353">
        <v>-5160000000</v>
      </c>
      <c r="I353">
        <v>-4947000000</v>
      </c>
      <c r="J353">
        <v>-6969000000</v>
      </c>
      <c r="K353">
        <v>6754000000</v>
      </c>
      <c r="L353">
        <v>1033000000</v>
      </c>
      <c r="M353">
        <v>7787000000</v>
      </c>
      <c r="N353">
        <v>9662000000</v>
      </c>
      <c r="O353">
        <v>1148000000</v>
      </c>
      <c r="P353">
        <v>188000000</v>
      </c>
      <c r="Q353">
        <v>8216000000</v>
      </c>
      <c r="R353">
        <v>5891000000</v>
      </c>
      <c r="S353">
        <v>17719000000</v>
      </c>
      <c r="T353">
        <v>0</v>
      </c>
      <c r="U353">
        <v>971000000</v>
      </c>
      <c r="V353">
        <v>9550000000</v>
      </c>
      <c r="W353">
        <v>65697611730</v>
      </c>
      <c r="X353">
        <v>66668611730</v>
      </c>
      <c r="Y353">
        <v>4.7622282840626369</v>
      </c>
      <c r="Z353">
        <v>-14.504259355917091</v>
      </c>
      <c r="AA353">
        <v>-13.32526857698608</v>
      </c>
      <c r="AB353">
        <v>-12.612521653100769</v>
      </c>
      <c r="AC353">
        <v>-13.15557140287043</v>
      </c>
      <c r="AD353">
        <v>-9.3385868460324293</v>
      </c>
      <c r="AE353">
        <v>-14.85817065522621</v>
      </c>
      <c r="AF353">
        <v>-14.64176771339425</v>
      </c>
      <c r="AG353">
        <v>-13.47657403072569</v>
      </c>
      <c r="AH353">
        <v>-13.28029345664039</v>
      </c>
      <c r="AI353">
        <v>-13.650411902129401</v>
      </c>
      <c r="AJ353">
        <v>-12.92027359108527</v>
      </c>
      <c r="AK353">
        <v>-13.45159945331695</v>
      </c>
      <c r="AL353">
        <v>-12.732095296511631</v>
      </c>
      <c r="AM353">
        <v>4.8784290743450898</v>
      </c>
      <c r="AN353">
        <v>4.8073768278940436</v>
      </c>
    </row>
    <row r="354" spans="1:40" x14ac:dyDescent="0.25">
      <c r="A354" s="1" t="s">
        <v>1154</v>
      </c>
      <c r="B354">
        <v>66258057008</v>
      </c>
      <c r="C354" t="s">
        <v>85</v>
      </c>
      <c r="D354" t="s">
        <v>127</v>
      </c>
      <c r="E354">
        <v>13666000000</v>
      </c>
      <c r="F354">
        <v>-4487000000</v>
      </c>
      <c r="G354">
        <v>-4884000000</v>
      </c>
      <c r="H354">
        <v>-5160000000</v>
      </c>
      <c r="I354">
        <v>-4947000000</v>
      </c>
      <c r="J354">
        <v>-6969000000</v>
      </c>
      <c r="K354">
        <v>6754000000</v>
      </c>
      <c r="L354">
        <v>1033000000</v>
      </c>
      <c r="M354">
        <v>7787000000</v>
      </c>
      <c r="N354">
        <v>9662000000</v>
      </c>
      <c r="O354">
        <v>1148000000</v>
      </c>
      <c r="P354">
        <v>188000000</v>
      </c>
      <c r="Q354">
        <v>8216000000</v>
      </c>
      <c r="R354">
        <v>5891000000</v>
      </c>
      <c r="S354">
        <v>17719000000</v>
      </c>
      <c r="T354">
        <v>0</v>
      </c>
      <c r="U354">
        <v>971000000</v>
      </c>
      <c r="V354">
        <v>9550000000</v>
      </c>
      <c r="W354">
        <v>66875057008</v>
      </c>
      <c r="X354">
        <v>67846057008</v>
      </c>
      <c r="Y354">
        <v>4.8483870194643641</v>
      </c>
      <c r="Z354">
        <v>-14.76667194294629</v>
      </c>
      <c r="AA354">
        <v>-13.566350738738739</v>
      </c>
      <c r="AB354">
        <v>-12.84070872248062</v>
      </c>
      <c r="AC354">
        <v>-13.393583385486149</v>
      </c>
      <c r="AD354">
        <v>-9.5075415422585738</v>
      </c>
      <c r="AE354">
        <v>-15.1205832422554</v>
      </c>
      <c r="AF354">
        <v>-14.90418030042345</v>
      </c>
      <c r="AG354">
        <v>-13.714586013341419</v>
      </c>
      <c r="AH354">
        <v>-13.51830543925611</v>
      </c>
      <c r="AI354">
        <v>-13.89149406388206</v>
      </c>
      <c r="AJ354">
        <v>-13.148460660465121</v>
      </c>
      <c r="AK354">
        <v>-13.69268161506962</v>
      </c>
      <c r="AL354">
        <v>-12.960282365891469</v>
      </c>
      <c r="AM354">
        <v>4.964587809746817</v>
      </c>
      <c r="AN354">
        <v>4.8935355632957709</v>
      </c>
    </row>
    <row r="355" spans="1:40" x14ac:dyDescent="0.25">
      <c r="A355" s="1" t="s">
        <v>1153</v>
      </c>
      <c r="B355">
        <v>67292781646</v>
      </c>
      <c r="C355" t="s">
        <v>85</v>
      </c>
      <c r="D355" t="s">
        <v>127</v>
      </c>
      <c r="E355">
        <v>13666000000</v>
      </c>
      <c r="F355">
        <v>-4487000000</v>
      </c>
      <c r="G355">
        <v>-4884000000</v>
      </c>
      <c r="H355">
        <v>-5160000000</v>
      </c>
      <c r="I355">
        <v>-4947000000</v>
      </c>
      <c r="J355">
        <v>-6969000000</v>
      </c>
      <c r="K355">
        <v>6754000000</v>
      </c>
      <c r="L355">
        <v>1033000000</v>
      </c>
      <c r="M355">
        <v>7787000000</v>
      </c>
      <c r="N355">
        <v>9662000000</v>
      </c>
      <c r="O355">
        <v>1148000000</v>
      </c>
      <c r="P355">
        <v>188000000</v>
      </c>
      <c r="Q355">
        <v>8216000000</v>
      </c>
      <c r="R355">
        <v>5891000000</v>
      </c>
      <c r="S355">
        <v>17719000000</v>
      </c>
      <c r="T355">
        <v>0</v>
      </c>
      <c r="U355">
        <v>971000000</v>
      </c>
      <c r="V355">
        <v>9550000000</v>
      </c>
      <c r="W355">
        <v>67909781646</v>
      </c>
      <c r="X355">
        <v>68880781646</v>
      </c>
      <c r="Y355">
        <v>4.924102271769355</v>
      </c>
      <c r="Z355">
        <v>-14.99727694361489</v>
      </c>
      <c r="AA355">
        <v>-13.778210820229321</v>
      </c>
      <c r="AB355">
        <v>-13.04123675310078</v>
      </c>
      <c r="AC355">
        <v>-13.60274543076612</v>
      </c>
      <c r="AD355">
        <v>-9.6560168813316114</v>
      </c>
      <c r="AE355">
        <v>-15.351188242924</v>
      </c>
      <c r="AF355">
        <v>-15.134785301092039</v>
      </c>
      <c r="AG355">
        <v>-13.92374805862139</v>
      </c>
      <c r="AH355">
        <v>-13.72746748453608</v>
      </c>
      <c r="AI355">
        <v>-14.10335414537264</v>
      </c>
      <c r="AJ355">
        <v>-13.348988691085269</v>
      </c>
      <c r="AK355">
        <v>-13.9045416965602</v>
      </c>
      <c r="AL355">
        <v>-13.16081039651163</v>
      </c>
      <c r="AM355">
        <v>5.040303062051807</v>
      </c>
      <c r="AN355">
        <v>4.9692508156007609</v>
      </c>
    </row>
    <row r="356" spans="1:40" x14ac:dyDescent="0.25">
      <c r="A356" s="1" t="s">
        <v>1152</v>
      </c>
      <c r="B356">
        <v>66258057008</v>
      </c>
      <c r="C356" t="s">
        <v>85</v>
      </c>
      <c r="D356" t="s">
        <v>127</v>
      </c>
      <c r="E356">
        <v>13666000000</v>
      </c>
      <c r="F356">
        <v>-4487000000</v>
      </c>
      <c r="G356">
        <v>-4884000000</v>
      </c>
      <c r="H356">
        <v>-5160000000</v>
      </c>
      <c r="I356">
        <v>-4947000000</v>
      </c>
      <c r="J356">
        <v>-6969000000</v>
      </c>
      <c r="K356">
        <v>6754000000</v>
      </c>
      <c r="L356">
        <v>1033000000</v>
      </c>
      <c r="M356">
        <v>7787000000</v>
      </c>
      <c r="N356">
        <v>9662000000</v>
      </c>
      <c r="O356">
        <v>1148000000</v>
      </c>
      <c r="P356">
        <v>188000000</v>
      </c>
      <c r="Q356">
        <v>8216000000</v>
      </c>
      <c r="R356">
        <v>5891000000</v>
      </c>
      <c r="S356">
        <v>17719000000</v>
      </c>
      <c r="T356">
        <v>0</v>
      </c>
      <c r="U356">
        <v>971000000</v>
      </c>
      <c r="V356">
        <v>9550000000</v>
      </c>
      <c r="W356">
        <v>66875057008</v>
      </c>
      <c r="X356">
        <v>67846057008</v>
      </c>
      <c r="Y356">
        <v>4.8483870194643641</v>
      </c>
      <c r="Z356">
        <v>-14.76667194294629</v>
      </c>
      <c r="AA356">
        <v>-13.566350738738739</v>
      </c>
      <c r="AB356">
        <v>-12.84070872248062</v>
      </c>
      <c r="AC356">
        <v>-13.393583385486149</v>
      </c>
      <c r="AD356">
        <v>-9.5075415422585738</v>
      </c>
      <c r="AE356">
        <v>-15.1205832422554</v>
      </c>
      <c r="AF356">
        <v>-14.90418030042345</v>
      </c>
      <c r="AG356">
        <v>-13.714586013341419</v>
      </c>
      <c r="AH356">
        <v>-13.51830543925611</v>
      </c>
      <c r="AI356">
        <v>-13.89149406388206</v>
      </c>
      <c r="AJ356">
        <v>-13.148460660465121</v>
      </c>
      <c r="AK356">
        <v>-13.69268161506962</v>
      </c>
      <c r="AL356">
        <v>-12.960282365891469</v>
      </c>
      <c r="AM356">
        <v>4.964587809746817</v>
      </c>
      <c r="AN356">
        <v>4.8935355632957709</v>
      </c>
    </row>
    <row r="357" spans="1:40" x14ac:dyDescent="0.25">
      <c r="A357" s="1" t="s">
        <v>1151</v>
      </c>
      <c r="B357">
        <v>64688129971</v>
      </c>
      <c r="C357" t="s">
        <v>85</v>
      </c>
      <c r="D357" t="s">
        <v>127</v>
      </c>
      <c r="E357">
        <v>13666000000</v>
      </c>
      <c r="F357">
        <v>-4487000000</v>
      </c>
      <c r="G357">
        <v>-4884000000</v>
      </c>
      <c r="H357">
        <v>-5160000000</v>
      </c>
      <c r="I357">
        <v>-4947000000</v>
      </c>
      <c r="J357">
        <v>-6969000000</v>
      </c>
      <c r="K357">
        <v>6754000000</v>
      </c>
      <c r="L357">
        <v>1033000000</v>
      </c>
      <c r="M357">
        <v>7787000000</v>
      </c>
      <c r="N357">
        <v>9662000000</v>
      </c>
      <c r="O357">
        <v>1148000000</v>
      </c>
      <c r="P357">
        <v>188000000</v>
      </c>
      <c r="Q357">
        <v>8216000000</v>
      </c>
      <c r="R357">
        <v>5891000000</v>
      </c>
      <c r="S357">
        <v>17719000000</v>
      </c>
      <c r="T357">
        <v>0</v>
      </c>
      <c r="U357">
        <v>971000000</v>
      </c>
      <c r="V357">
        <v>9550000000</v>
      </c>
      <c r="W357">
        <v>65305129971</v>
      </c>
      <c r="X357">
        <v>66276129971</v>
      </c>
      <c r="Y357">
        <v>4.7335087056197862</v>
      </c>
      <c r="Z357">
        <v>-14.416788493648321</v>
      </c>
      <c r="AA357">
        <v>-13.24490785647011</v>
      </c>
      <c r="AB357">
        <v>-12.536459296705431</v>
      </c>
      <c r="AC357">
        <v>-13.076234075399229</v>
      </c>
      <c r="AD357">
        <v>-9.2822686140048791</v>
      </c>
      <c r="AE357">
        <v>-14.77069979295743</v>
      </c>
      <c r="AF357">
        <v>-14.55429685112547</v>
      </c>
      <c r="AG357">
        <v>-13.397236703254499</v>
      </c>
      <c r="AH357">
        <v>-13.200956129169191</v>
      </c>
      <c r="AI357">
        <v>-13.570051181613429</v>
      </c>
      <c r="AJ357">
        <v>-12.84421123468992</v>
      </c>
      <c r="AK357">
        <v>-13.371238732800981</v>
      </c>
      <c r="AL357">
        <v>-12.65603294011628</v>
      </c>
      <c r="AM357">
        <v>4.8497094959022391</v>
      </c>
      <c r="AN357">
        <v>4.778657249451193</v>
      </c>
    </row>
    <row r="358" spans="1:40" x14ac:dyDescent="0.25">
      <c r="A358" s="1" t="s">
        <v>1150</v>
      </c>
      <c r="B358">
        <v>65615814129</v>
      </c>
      <c r="C358" t="s">
        <v>85</v>
      </c>
      <c r="D358" t="s">
        <v>127</v>
      </c>
      <c r="E358">
        <v>13666000000</v>
      </c>
      <c r="F358">
        <v>-4487000000</v>
      </c>
      <c r="G358">
        <v>-4884000000</v>
      </c>
      <c r="H358">
        <v>-5160000000</v>
      </c>
      <c r="I358">
        <v>-4947000000</v>
      </c>
      <c r="J358">
        <v>-6969000000</v>
      </c>
      <c r="K358">
        <v>6754000000</v>
      </c>
      <c r="L358">
        <v>1033000000</v>
      </c>
      <c r="M358">
        <v>7787000000</v>
      </c>
      <c r="N358">
        <v>9662000000</v>
      </c>
      <c r="O358">
        <v>1148000000</v>
      </c>
      <c r="P358">
        <v>188000000</v>
      </c>
      <c r="Q358">
        <v>8216000000</v>
      </c>
      <c r="R358">
        <v>5891000000</v>
      </c>
      <c r="S358">
        <v>17719000000</v>
      </c>
      <c r="T358">
        <v>0</v>
      </c>
      <c r="U358">
        <v>971000000</v>
      </c>
      <c r="V358">
        <v>9550000000</v>
      </c>
      <c r="W358">
        <v>66232814129</v>
      </c>
      <c r="X358">
        <v>67203814129</v>
      </c>
      <c r="Y358">
        <v>4.8013913456022248</v>
      </c>
      <c r="Z358">
        <v>-14.623537804546469</v>
      </c>
      <c r="AA358">
        <v>-13.434851377764129</v>
      </c>
      <c r="AB358">
        <v>-12.71624304825581</v>
      </c>
      <c r="AC358">
        <v>-13.263758667677379</v>
      </c>
      <c r="AD358">
        <v>-9.4153844352130864</v>
      </c>
      <c r="AE358">
        <v>-14.97744910385558</v>
      </c>
      <c r="AF358">
        <v>-14.76104616202362</v>
      </c>
      <c r="AG358">
        <v>-13.584761295532649</v>
      </c>
      <c r="AH358">
        <v>-13.38848072144734</v>
      </c>
      <c r="AI358">
        <v>-13.75999470290745</v>
      </c>
      <c r="AJ358">
        <v>-13.023994986240311</v>
      </c>
      <c r="AK358">
        <v>-13.561182254095</v>
      </c>
      <c r="AL358">
        <v>-12.83581669166667</v>
      </c>
      <c r="AM358">
        <v>4.9175921358846777</v>
      </c>
      <c r="AN358">
        <v>4.8465398894336307</v>
      </c>
    </row>
    <row r="359" spans="1:40" x14ac:dyDescent="0.25">
      <c r="A359" s="1" t="s">
        <v>1149</v>
      </c>
      <c r="B359">
        <v>66614858607</v>
      </c>
      <c r="C359" t="s">
        <v>85</v>
      </c>
      <c r="D359" t="s">
        <v>127</v>
      </c>
      <c r="E359">
        <v>13666000000</v>
      </c>
      <c r="F359">
        <v>-4487000000</v>
      </c>
      <c r="G359">
        <v>-4884000000</v>
      </c>
      <c r="H359">
        <v>-5160000000</v>
      </c>
      <c r="I359">
        <v>-4947000000</v>
      </c>
      <c r="J359">
        <v>-6969000000</v>
      </c>
      <c r="K359">
        <v>6754000000</v>
      </c>
      <c r="L359">
        <v>1033000000</v>
      </c>
      <c r="M359">
        <v>7787000000</v>
      </c>
      <c r="N359">
        <v>9662000000</v>
      </c>
      <c r="O359">
        <v>1148000000</v>
      </c>
      <c r="P359">
        <v>188000000</v>
      </c>
      <c r="Q359">
        <v>8216000000</v>
      </c>
      <c r="R359">
        <v>5891000000</v>
      </c>
      <c r="S359">
        <v>17719000000</v>
      </c>
      <c r="T359">
        <v>0</v>
      </c>
      <c r="U359">
        <v>971000000</v>
      </c>
      <c r="V359">
        <v>9550000000</v>
      </c>
      <c r="W359">
        <v>67231858607</v>
      </c>
      <c r="X359">
        <v>68202858607</v>
      </c>
      <c r="Y359">
        <v>4.8744957271330307</v>
      </c>
      <c r="Z359">
        <v>-14.846190908624919</v>
      </c>
      <c r="AA359">
        <v>-13.63940593918919</v>
      </c>
      <c r="AB359">
        <v>-12.90985631918605</v>
      </c>
      <c r="AC359">
        <v>-13.465708228623409</v>
      </c>
      <c r="AD359">
        <v>-9.5587399349978472</v>
      </c>
      <c r="AE359">
        <v>-15.20010220793403</v>
      </c>
      <c r="AF359">
        <v>-14.98369926610207</v>
      </c>
      <c r="AG359">
        <v>-13.78671085647867</v>
      </c>
      <c r="AH359">
        <v>-13.59043028239337</v>
      </c>
      <c r="AI359">
        <v>-13.96454926433251</v>
      </c>
      <c r="AJ359">
        <v>-13.217608257170539</v>
      </c>
      <c r="AK359">
        <v>-13.76573681552007</v>
      </c>
      <c r="AL359">
        <v>-13.0294299625969</v>
      </c>
      <c r="AM359">
        <v>4.9906965174154836</v>
      </c>
      <c r="AN359">
        <v>4.9196442709644366</v>
      </c>
    </row>
    <row r="360" spans="1:40" x14ac:dyDescent="0.25">
      <c r="A360" s="1" t="s">
        <v>1148</v>
      </c>
      <c r="B360">
        <v>66489978048</v>
      </c>
      <c r="C360" t="s">
        <v>85</v>
      </c>
      <c r="D360" t="s">
        <v>127</v>
      </c>
      <c r="E360">
        <v>13666000000</v>
      </c>
      <c r="F360">
        <v>-4487000000</v>
      </c>
      <c r="G360">
        <v>-4884000000</v>
      </c>
      <c r="H360">
        <v>-5160000000</v>
      </c>
      <c r="I360">
        <v>-4947000000</v>
      </c>
      <c r="J360">
        <v>-6969000000</v>
      </c>
      <c r="K360">
        <v>6754000000</v>
      </c>
      <c r="L360">
        <v>1033000000</v>
      </c>
      <c r="M360">
        <v>7787000000</v>
      </c>
      <c r="N360">
        <v>9662000000</v>
      </c>
      <c r="O360">
        <v>1148000000</v>
      </c>
      <c r="P360">
        <v>188000000</v>
      </c>
      <c r="Q360">
        <v>8216000000</v>
      </c>
      <c r="R360">
        <v>5891000000</v>
      </c>
      <c r="S360">
        <v>17719000000</v>
      </c>
      <c r="T360">
        <v>0</v>
      </c>
      <c r="U360">
        <v>971000000</v>
      </c>
      <c r="V360">
        <v>9550000000</v>
      </c>
      <c r="W360">
        <v>67106978048</v>
      </c>
      <c r="X360">
        <v>68077978048</v>
      </c>
      <c r="Y360">
        <v>4.8653576794965607</v>
      </c>
      <c r="Z360">
        <v>-14.81835927078226</v>
      </c>
      <c r="AA360">
        <v>-13.613836619164619</v>
      </c>
      <c r="AB360">
        <v>-12.88565466046512</v>
      </c>
      <c r="AC360">
        <v>-13.44046453365676</v>
      </c>
      <c r="AD360">
        <v>-9.5408204976323727</v>
      </c>
      <c r="AE360">
        <v>-15.172270570091371</v>
      </c>
      <c r="AF360">
        <v>-14.955867628259419</v>
      </c>
      <c r="AG360">
        <v>-13.76146716151203</v>
      </c>
      <c r="AH360">
        <v>-13.565186587426719</v>
      </c>
      <c r="AI360">
        <v>-13.93897994430794</v>
      </c>
      <c r="AJ360">
        <v>-13.193406598449609</v>
      </c>
      <c r="AK360">
        <v>-13.74016749549549</v>
      </c>
      <c r="AL360">
        <v>-13.00522830387597</v>
      </c>
      <c r="AM360">
        <v>4.9815584697790136</v>
      </c>
      <c r="AN360">
        <v>4.9105062233279666</v>
      </c>
    </row>
    <row r="361" spans="1:40" x14ac:dyDescent="0.25">
      <c r="A361" s="1" t="s">
        <v>1147</v>
      </c>
      <c r="B361">
        <v>64688129971</v>
      </c>
      <c r="C361" t="s">
        <v>85</v>
      </c>
      <c r="D361" t="s">
        <v>127</v>
      </c>
      <c r="E361">
        <v>13666000000</v>
      </c>
      <c r="F361">
        <v>-4487000000</v>
      </c>
      <c r="G361">
        <v>-4884000000</v>
      </c>
      <c r="H361">
        <v>-5160000000</v>
      </c>
      <c r="I361">
        <v>-4947000000</v>
      </c>
      <c r="J361">
        <v>-6969000000</v>
      </c>
      <c r="K361">
        <v>6754000000</v>
      </c>
      <c r="L361">
        <v>1033000000</v>
      </c>
      <c r="M361">
        <v>7787000000</v>
      </c>
      <c r="N361">
        <v>9662000000</v>
      </c>
      <c r="O361">
        <v>1148000000</v>
      </c>
      <c r="P361">
        <v>188000000</v>
      </c>
      <c r="Q361">
        <v>8216000000</v>
      </c>
      <c r="R361">
        <v>5891000000</v>
      </c>
      <c r="S361">
        <v>17719000000</v>
      </c>
      <c r="T361">
        <v>0</v>
      </c>
      <c r="U361">
        <v>971000000</v>
      </c>
      <c r="V361">
        <v>9550000000</v>
      </c>
      <c r="W361">
        <v>65305129971</v>
      </c>
      <c r="X361">
        <v>66276129971</v>
      </c>
      <c r="Y361">
        <v>4.7335087056197862</v>
      </c>
      <c r="Z361">
        <v>-14.416788493648321</v>
      </c>
      <c r="AA361">
        <v>-13.24490785647011</v>
      </c>
      <c r="AB361">
        <v>-12.536459296705431</v>
      </c>
      <c r="AC361">
        <v>-13.076234075399229</v>
      </c>
      <c r="AD361">
        <v>-9.2822686140048791</v>
      </c>
      <c r="AE361">
        <v>-14.77069979295743</v>
      </c>
      <c r="AF361">
        <v>-14.55429685112547</v>
      </c>
      <c r="AG361">
        <v>-13.397236703254499</v>
      </c>
      <c r="AH361">
        <v>-13.200956129169191</v>
      </c>
      <c r="AI361">
        <v>-13.570051181613429</v>
      </c>
      <c r="AJ361">
        <v>-12.84421123468992</v>
      </c>
      <c r="AK361">
        <v>-13.371238732800981</v>
      </c>
      <c r="AL361">
        <v>-12.65603294011628</v>
      </c>
      <c r="AM361">
        <v>4.8497094959022391</v>
      </c>
      <c r="AN361">
        <v>4.778657249451193</v>
      </c>
    </row>
    <row r="362" spans="1:40" x14ac:dyDescent="0.25">
      <c r="A362" s="1" t="s">
        <v>1146</v>
      </c>
      <c r="B362">
        <v>63439324373</v>
      </c>
      <c r="C362" t="s">
        <v>85</v>
      </c>
      <c r="D362" t="s">
        <v>127</v>
      </c>
      <c r="E362">
        <v>13666000000</v>
      </c>
      <c r="F362">
        <v>-4487000000</v>
      </c>
      <c r="G362">
        <v>-4884000000</v>
      </c>
      <c r="H362">
        <v>-5160000000</v>
      </c>
      <c r="I362">
        <v>-4947000000</v>
      </c>
      <c r="J362">
        <v>-6969000000</v>
      </c>
      <c r="K362">
        <v>6754000000</v>
      </c>
      <c r="L362">
        <v>1033000000</v>
      </c>
      <c r="M362">
        <v>7787000000</v>
      </c>
      <c r="N362">
        <v>9662000000</v>
      </c>
      <c r="O362">
        <v>1148000000</v>
      </c>
      <c r="P362">
        <v>188000000</v>
      </c>
      <c r="Q362">
        <v>8216000000</v>
      </c>
      <c r="R362">
        <v>5891000000</v>
      </c>
      <c r="S362">
        <v>17719000000</v>
      </c>
      <c r="T362">
        <v>0</v>
      </c>
      <c r="U362">
        <v>971000000</v>
      </c>
      <c r="V362">
        <v>9550000000</v>
      </c>
      <c r="W362">
        <v>64056324373</v>
      </c>
      <c r="X362">
        <v>65027324373</v>
      </c>
      <c r="Y362">
        <v>4.6421282286696908</v>
      </c>
      <c r="Z362">
        <v>-14.138472113438819</v>
      </c>
      <c r="AA362">
        <v>-12.98921465458641</v>
      </c>
      <c r="AB362">
        <v>-12.294442707945739</v>
      </c>
      <c r="AC362">
        <v>-12.823797124115631</v>
      </c>
      <c r="AD362">
        <v>-9.1030742392021811</v>
      </c>
      <c r="AE362">
        <v>-14.492383412747939</v>
      </c>
      <c r="AF362">
        <v>-14.275980470915981</v>
      </c>
      <c r="AG362">
        <v>-13.14479975197089</v>
      </c>
      <c r="AH362">
        <v>-12.94851917788559</v>
      </c>
      <c r="AI362">
        <v>-13.31435797972973</v>
      </c>
      <c r="AJ362">
        <v>-12.602194645930229</v>
      </c>
      <c r="AK362">
        <v>-13.115545530917281</v>
      </c>
      <c r="AL362">
        <v>-12.41401635135659</v>
      </c>
      <c r="AM362">
        <v>4.7583290189521437</v>
      </c>
      <c r="AN362">
        <v>4.6872767725010984</v>
      </c>
    </row>
    <row r="363" spans="1:40" x14ac:dyDescent="0.25">
      <c r="A363" s="1" t="s">
        <v>1145</v>
      </c>
      <c r="B363">
        <v>62636520774</v>
      </c>
      <c r="C363" t="s">
        <v>85</v>
      </c>
      <c r="D363" t="s">
        <v>127</v>
      </c>
      <c r="E363">
        <v>13666000000</v>
      </c>
      <c r="F363">
        <v>-4487000000</v>
      </c>
      <c r="G363">
        <v>-4884000000</v>
      </c>
      <c r="H363">
        <v>-5160000000</v>
      </c>
      <c r="I363">
        <v>-4947000000</v>
      </c>
      <c r="J363">
        <v>-6969000000</v>
      </c>
      <c r="K363">
        <v>6754000000</v>
      </c>
      <c r="L363">
        <v>1033000000</v>
      </c>
      <c r="M363">
        <v>7787000000</v>
      </c>
      <c r="N363">
        <v>9662000000</v>
      </c>
      <c r="O363">
        <v>1148000000</v>
      </c>
      <c r="P363">
        <v>188000000</v>
      </c>
      <c r="Q363">
        <v>8216000000</v>
      </c>
      <c r="R363">
        <v>5891000000</v>
      </c>
      <c r="S363">
        <v>17719000000</v>
      </c>
      <c r="T363">
        <v>0</v>
      </c>
      <c r="U363">
        <v>971000000</v>
      </c>
      <c r="V363">
        <v>9550000000</v>
      </c>
      <c r="W363">
        <v>63253520774</v>
      </c>
      <c r="X363">
        <v>64224520774</v>
      </c>
      <c r="Y363">
        <v>4.583383636323723</v>
      </c>
      <c r="Z363">
        <v>-13.95955444038333</v>
      </c>
      <c r="AA363">
        <v>-12.82484045331695</v>
      </c>
      <c r="AB363">
        <v>-12.138860615116281</v>
      </c>
      <c r="AC363">
        <v>-12.661516226804119</v>
      </c>
      <c r="AD363">
        <v>-8.9878778553594483</v>
      </c>
      <c r="AE363">
        <v>-14.31346573969244</v>
      </c>
      <c r="AF363">
        <v>-14.09706279786049</v>
      </c>
      <c r="AG363">
        <v>-12.982518854659389</v>
      </c>
      <c r="AH363">
        <v>-12.786238280574089</v>
      </c>
      <c r="AI363">
        <v>-13.14998377846028</v>
      </c>
      <c r="AJ363">
        <v>-12.446612553100779</v>
      </c>
      <c r="AK363">
        <v>-12.951171329647829</v>
      </c>
      <c r="AL363">
        <v>-12.25843425852713</v>
      </c>
      <c r="AM363">
        <v>4.6995844266061759</v>
      </c>
      <c r="AN363">
        <v>4.6285321801551298</v>
      </c>
    </row>
    <row r="364" spans="1:40" x14ac:dyDescent="0.25">
      <c r="A364" s="1" t="s">
        <v>1144</v>
      </c>
      <c r="B364">
        <v>61120113977</v>
      </c>
      <c r="C364" t="s">
        <v>85</v>
      </c>
      <c r="D364" t="s">
        <v>127</v>
      </c>
      <c r="E364">
        <v>13666000000</v>
      </c>
      <c r="F364">
        <v>-4487000000</v>
      </c>
      <c r="G364">
        <v>-4884000000</v>
      </c>
      <c r="H364">
        <v>-5160000000</v>
      </c>
      <c r="I364">
        <v>-4947000000</v>
      </c>
      <c r="J364">
        <v>-6969000000</v>
      </c>
      <c r="K364">
        <v>6754000000</v>
      </c>
      <c r="L364">
        <v>1033000000</v>
      </c>
      <c r="M364">
        <v>7787000000</v>
      </c>
      <c r="N364">
        <v>9662000000</v>
      </c>
      <c r="O364">
        <v>1148000000</v>
      </c>
      <c r="P364">
        <v>188000000</v>
      </c>
      <c r="Q364">
        <v>8216000000</v>
      </c>
      <c r="R364">
        <v>5891000000</v>
      </c>
      <c r="S364">
        <v>17719000000</v>
      </c>
      <c r="T364">
        <v>0</v>
      </c>
      <c r="U364">
        <v>971000000</v>
      </c>
      <c r="V364">
        <v>9550000000</v>
      </c>
      <c r="W364">
        <v>61737113977</v>
      </c>
      <c r="X364">
        <v>62708113977</v>
      </c>
      <c r="Y364">
        <v>4.4724216286404213</v>
      </c>
      <c r="Z364">
        <v>-13.62159883597058</v>
      </c>
      <c r="AA364">
        <v>-12.5143558511466</v>
      </c>
      <c r="AB364">
        <v>-11.844983328875969</v>
      </c>
      <c r="AC364">
        <v>-12.354985643218111</v>
      </c>
      <c r="AD364">
        <v>-8.7702846860381687</v>
      </c>
      <c r="AE364">
        <v>-13.9755101352797</v>
      </c>
      <c r="AF364">
        <v>-13.75910719344774</v>
      </c>
      <c r="AG364">
        <v>-12.675988271073381</v>
      </c>
      <c r="AH364">
        <v>-12.47970769698807</v>
      </c>
      <c r="AI364">
        <v>-12.83949917628993</v>
      </c>
      <c r="AJ364">
        <v>-12.152735266860461</v>
      </c>
      <c r="AK364">
        <v>-12.64068672747748</v>
      </c>
      <c r="AL364">
        <v>-11.96455697228682</v>
      </c>
      <c r="AM364">
        <v>4.5886224189228741</v>
      </c>
      <c r="AN364">
        <v>4.517570172471828</v>
      </c>
    </row>
    <row r="365" spans="1:40" x14ac:dyDescent="0.25">
      <c r="A365" s="1" t="s">
        <v>1143</v>
      </c>
      <c r="B365">
        <v>60156749658</v>
      </c>
      <c r="C365" t="s">
        <v>85</v>
      </c>
      <c r="D365" t="s">
        <v>127</v>
      </c>
      <c r="E365">
        <v>13666000000</v>
      </c>
      <c r="F365">
        <v>-4487000000</v>
      </c>
      <c r="G365">
        <v>-4884000000</v>
      </c>
      <c r="H365">
        <v>-5160000000</v>
      </c>
      <c r="I365">
        <v>-4947000000</v>
      </c>
      <c r="J365">
        <v>-6969000000</v>
      </c>
      <c r="K365">
        <v>6754000000</v>
      </c>
      <c r="L365">
        <v>1033000000</v>
      </c>
      <c r="M365">
        <v>7787000000</v>
      </c>
      <c r="N365">
        <v>9662000000</v>
      </c>
      <c r="O365">
        <v>1148000000</v>
      </c>
      <c r="P365">
        <v>188000000</v>
      </c>
      <c r="Q365">
        <v>8216000000</v>
      </c>
      <c r="R365">
        <v>5891000000</v>
      </c>
      <c r="S365">
        <v>17719000000</v>
      </c>
      <c r="T365">
        <v>0</v>
      </c>
      <c r="U365">
        <v>971000000</v>
      </c>
      <c r="V365">
        <v>9550000000</v>
      </c>
      <c r="W365">
        <v>60773749658</v>
      </c>
      <c r="X365">
        <v>61744749658</v>
      </c>
      <c r="Y365">
        <v>4.4019281178106251</v>
      </c>
      <c r="Z365">
        <v>-13.40689762825942</v>
      </c>
      <c r="AA365">
        <v>-12.31710680958231</v>
      </c>
      <c r="AB365">
        <v>-11.65828481744186</v>
      </c>
      <c r="AC365">
        <v>-12.16024856640388</v>
      </c>
      <c r="AD365">
        <v>-8.6320490253981923</v>
      </c>
      <c r="AE365">
        <v>-13.760808927568529</v>
      </c>
      <c r="AF365">
        <v>-13.544405985736571</v>
      </c>
      <c r="AG365">
        <v>-12.48125119425915</v>
      </c>
      <c r="AH365">
        <v>-12.284970620173841</v>
      </c>
      <c r="AI365">
        <v>-12.64225013472563</v>
      </c>
      <c r="AJ365">
        <v>-11.96603675542636</v>
      </c>
      <c r="AK365">
        <v>-12.443437685913191</v>
      </c>
      <c r="AL365">
        <v>-11.777858460852711</v>
      </c>
      <c r="AM365">
        <v>4.518128908093078</v>
      </c>
      <c r="AN365">
        <v>4.447076661642031</v>
      </c>
    </row>
    <row r="366" spans="1:40" x14ac:dyDescent="0.25">
      <c r="A366" s="1" t="s">
        <v>1142</v>
      </c>
      <c r="B366">
        <v>61048753657</v>
      </c>
      <c r="C366" t="s">
        <v>85</v>
      </c>
      <c r="D366" t="s">
        <v>127</v>
      </c>
      <c r="E366">
        <v>13666000000</v>
      </c>
      <c r="F366">
        <v>-4487000000</v>
      </c>
      <c r="G366">
        <v>-4884000000</v>
      </c>
      <c r="H366">
        <v>-5160000000</v>
      </c>
      <c r="I366">
        <v>-4947000000</v>
      </c>
      <c r="J366">
        <v>-6969000000</v>
      </c>
      <c r="K366">
        <v>6754000000</v>
      </c>
      <c r="L366">
        <v>1033000000</v>
      </c>
      <c r="M366">
        <v>7787000000</v>
      </c>
      <c r="N366">
        <v>9662000000</v>
      </c>
      <c r="O366">
        <v>1148000000</v>
      </c>
      <c r="P366">
        <v>188000000</v>
      </c>
      <c r="Q366">
        <v>8216000000</v>
      </c>
      <c r="R366">
        <v>5891000000</v>
      </c>
      <c r="S366">
        <v>17719000000</v>
      </c>
      <c r="T366">
        <v>0</v>
      </c>
      <c r="U366">
        <v>971000000</v>
      </c>
      <c r="V366">
        <v>9550000000</v>
      </c>
      <c r="W366">
        <v>61665753657</v>
      </c>
      <c r="X366">
        <v>62636753657</v>
      </c>
      <c r="Y366">
        <v>4.4671998870920531</v>
      </c>
      <c r="Z366">
        <v>-13.605695042790281</v>
      </c>
      <c r="AA366">
        <v>-12.49974481101556</v>
      </c>
      <c r="AB366">
        <v>-11.83115380949612</v>
      </c>
      <c r="AC366">
        <v>-12.340560674550231</v>
      </c>
      <c r="AD366">
        <v>-8.7600450074616152</v>
      </c>
      <c r="AE366">
        <v>-13.9596063420994</v>
      </c>
      <c r="AF366">
        <v>-13.74320340026744</v>
      </c>
      <c r="AG366">
        <v>-12.661563302405501</v>
      </c>
      <c r="AH366">
        <v>-12.46528272832019</v>
      </c>
      <c r="AI366">
        <v>-12.82488813615889</v>
      </c>
      <c r="AJ366">
        <v>-12.138905747480621</v>
      </c>
      <c r="AK366">
        <v>-12.626075687346439</v>
      </c>
      <c r="AL366">
        <v>-11.95072745290698</v>
      </c>
      <c r="AM366">
        <v>4.583400677374506</v>
      </c>
      <c r="AN366">
        <v>4.5123484309234598</v>
      </c>
    </row>
    <row r="367" spans="1:40" x14ac:dyDescent="0.25">
      <c r="A367" s="1" t="s">
        <v>1141</v>
      </c>
      <c r="B367">
        <v>64777330371</v>
      </c>
      <c r="C367" t="s">
        <v>85</v>
      </c>
      <c r="D367" t="s">
        <v>127</v>
      </c>
      <c r="E367">
        <v>13666000000</v>
      </c>
      <c r="F367">
        <v>-4487000000</v>
      </c>
      <c r="G367">
        <v>-4884000000</v>
      </c>
      <c r="H367">
        <v>-5160000000</v>
      </c>
      <c r="I367">
        <v>-4947000000</v>
      </c>
      <c r="J367">
        <v>-6969000000</v>
      </c>
      <c r="K367">
        <v>6754000000</v>
      </c>
      <c r="L367">
        <v>1033000000</v>
      </c>
      <c r="M367">
        <v>7787000000</v>
      </c>
      <c r="N367">
        <v>9662000000</v>
      </c>
      <c r="O367">
        <v>1148000000</v>
      </c>
      <c r="P367">
        <v>188000000</v>
      </c>
      <c r="Q367">
        <v>8216000000</v>
      </c>
      <c r="R367">
        <v>5891000000</v>
      </c>
      <c r="S367">
        <v>17719000000</v>
      </c>
      <c r="T367">
        <v>0</v>
      </c>
      <c r="U367">
        <v>971000000</v>
      </c>
      <c r="V367">
        <v>9550000000</v>
      </c>
      <c r="W367">
        <v>65394330371</v>
      </c>
      <c r="X367">
        <v>66365330371</v>
      </c>
      <c r="Y367">
        <v>4.7400358825552464</v>
      </c>
      <c r="Z367">
        <v>-14.43666823512369</v>
      </c>
      <c r="AA367">
        <v>-13.26317165663391</v>
      </c>
      <c r="AB367">
        <v>-12.553746195930231</v>
      </c>
      <c r="AC367">
        <v>-13.09426528623408</v>
      </c>
      <c r="AD367">
        <v>-9.295068212225571</v>
      </c>
      <c r="AE367">
        <v>-14.79057953443281</v>
      </c>
      <c r="AF367">
        <v>-14.57417659260085</v>
      </c>
      <c r="AG367">
        <v>-13.41526791408935</v>
      </c>
      <c r="AH367">
        <v>-13.218987340004039</v>
      </c>
      <c r="AI367">
        <v>-13.588314981777231</v>
      </c>
      <c r="AJ367">
        <v>-12.861498133914729</v>
      </c>
      <c r="AK367">
        <v>-13.38950253296478</v>
      </c>
      <c r="AL367">
        <v>-12.67331983934108</v>
      </c>
      <c r="AM367">
        <v>4.8562366728376993</v>
      </c>
      <c r="AN367">
        <v>4.7851844263866532</v>
      </c>
    </row>
    <row r="368" spans="1:40" x14ac:dyDescent="0.25">
      <c r="A368" s="1" t="s">
        <v>1140</v>
      </c>
      <c r="B368">
        <v>62797081494</v>
      </c>
      <c r="C368" t="s">
        <v>85</v>
      </c>
      <c r="D368" t="s">
        <v>127</v>
      </c>
      <c r="E368">
        <v>13666000000</v>
      </c>
      <c r="F368">
        <v>-4487000000</v>
      </c>
      <c r="G368">
        <v>-4884000000</v>
      </c>
      <c r="H368">
        <v>-5160000000</v>
      </c>
      <c r="I368">
        <v>-4947000000</v>
      </c>
      <c r="J368">
        <v>-6969000000</v>
      </c>
      <c r="K368">
        <v>6754000000</v>
      </c>
      <c r="L368">
        <v>1033000000</v>
      </c>
      <c r="M368">
        <v>7787000000</v>
      </c>
      <c r="N368">
        <v>9662000000</v>
      </c>
      <c r="O368">
        <v>1148000000</v>
      </c>
      <c r="P368">
        <v>188000000</v>
      </c>
      <c r="Q368">
        <v>8216000000</v>
      </c>
      <c r="R368">
        <v>5891000000</v>
      </c>
      <c r="S368">
        <v>17719000000</v>
      </c>
      <c r="T368">
        <v>0</v>
      </c>
      <c r="U368">
        <v>971000000</v>
      </c>
      <c r="V368">
        <v>9550000000</v>
      </c>
      <c r="W368">
        <v>63414081494</v>
      </c>
      <c r="X368">
        <v>64385081494</v>
      </c>
      <c r="Y368">
        <v>4.5951325548075506</v>
      </c>
      <c r="Z368">
        <v>-13.995337975039</v>
      </c>
      <c r="AA368">
        <v>-12.85771529361179</v>
      </c>
      <c r="AB368">
        <v>-12.169977033720929</v>
      </c>
      <c r="AC368">
        <v>-12.69397240630685</v>
      </c>
      <c r="AD368">
        <v>-9.0109171321566937</v>
      </c>
      <c r="AE368">
        <v>-14.34924927434812</v>
      </c>
      <c r="AF368">
        <v>-14.132846332516159</v>
      </c>
      <c r="AG368">
        <v>-13.01497503416212</v>
      </c>
      <c r="AH368">
        <v>-12.818694460076809</v>
      </c>
      <c r="AI368">
        <v>-13.18285861875512</v>
      </c>
      <c r="AJ368">
        <v>-12.47772897170543</v>
      </c>
      <c r="AK368">
        <v>-12.984046169942671</v>
      </c>
      <c r="AL368">
        <v>-12.28955067713178</v>
      </c>
      <c r="AM368">
        <v>4.7113333450900043</v>
      </c>
      <c r="AN368">
        <v>4.6402810986389582</v>
      </c>
    </row>
    <row r="369" spans="1:40" x14ac:dyDescent="0.25">
      <c r="A369" s="1" t="s">
        <v>1139</v>
      </c>
      <c r="B369">
        <v>65473093489</v>
      </c>
      <c r="C369" t="s">
        <v>85</v>
      </c>
      <c r="D369" t="s">
        <v>127</v>
      </c>
      <c r="E369">
        <v>13666000000</v>
      </c>
      <c r="F369">
        <v>-4487000000</v>
      </c>
      <c r="G369">
        <v>-4884000000</v>
      </c>
      <c r="H369">
        <v>-5160000000</v>
      </c>
      <c r="I369">
        <v>-4947000000</v>
      </c>
      <c r="J369">
        <v>-6969000000</v>
      </c>
      <c r="K369">
        <v>6754000000</v>
      </c>
      <c r="L369">
        <v>1033000000</v>
      </c>
      <c r="M369">
        <v>7787000000</v>
      </c>
      <c r="N369">
        <v>9662000000</v>
      </c>
      <c r="O369">
        <v>1148000000</v>
      </c>
      <c r="P369">
        <v>188000000</v>
      </c>
      <c r="Q369">
        <v>8216000000</v>
      </c>
      <c r="R369">
        <v>5891000000</v>
      </c>
      <c r="S369">
        <v>17719000000</v>
      </c>
      <c r="T369">
        <v>0</v>
      </c>
      <c r="U369">
        <v>971000000</v>
      </c>
      <c r="V369">
        <v>9550000000</v>
      </c>
      <c r="W369">
        <v>66090093489</v>
      </c>
      <c r="X369">
        <v>67061093489</v>
      </c>
      <c r="Y369">
        <v>4.7909478625054884</v>
      </c>
      <c r="Z369">
        <v>-14.591730218185869</v>
      </c>
      <c r="AA369">
        <v>-13.405629297502051</v>
      </c>
      <c r="AB369">
        <v>-12.68858400949612</v>
      </c>
      <c r="AC369">
        <v>-13.234908730341621</v>
      </c>
      <c r="AD369">
        <v>-9.3949050780599794</v>
      </c>
      <c r="AE369">
        <v>-14.945641517494989</v>
      </c>
      <c r="AF369">
        <v>-14.729238575663031</v>
      </c>
      <c r="AG369">
        <v>-13.555911358196891</v>
      </c>
      <c r="AH369">
        <v>-13.35963078411158</v>
      </c>
      <c r="AI369">
        <v>-13.73077262264537</v>
      </c>
      <c r="AJ369">
        <v>-12.99633594748062</v>
      </c>
      <c r="AK369">
        <v>-13.531960173832919</v>
      </c>
      <c r="AL369">
        <v>-12.80815765290698</v>
      </c>
      <c r="AM369">
        <v>4.9071486527879404</v>
      </c>
      <c r="AN369">
        <v>4.8360964063368943</v>
      </c>
    </row>
    <row r="370" spans="1:40" x14ac:dyDescent="0.25">
      <c r="A370" s="1" t="s">
        <v>1138</v>
      </c>
      <c r="B370">
        <v>65562293889</v>
      </c>
      <c r="C370" t="s">
        <v>85</v>
      </c>
      <c r="D370" t="s">
        <v>127</v>
      </c>
      <c r="E370">
        <v>13666000000</v>
      </c>
      <c r="F370">
        <v>-4487000000</v>
      </c>
      <c r="G370">
        <v>-4884000000</v>
      </c>
      <c r="H370">
        <v>-5160000000</v>
      </c>
      <c r="I370">
        <v>-4947000000</v>
      </c>
      <c r="J370">
        <v>-6969000000</v>
      </c>
      <c r="K370">
        <v>6754000000</v>
      </c>
      <c r="L370">
        <v>1033000000</v>
      </c>
      <c r="M370">
        <v>7787000000</v>
      </c>
      <c r="N370">
        <v>9662000000</v>
      </c>
      <c r="O370">
        <v>1148000000</v>
      </c>
      <c r="P370">
        <v>188000000</v>
      </c>
      <c r="Q370">
        <v>8216000000</v>
      </c>
      <c r="R370">
        <v>5891000000</v>
      </c>
      <c r="S370">
        <v>17719000000</v>
      </c>
      <c r="T370">
        <v>0</v>
      </c>
      <c r="U370">
        <v>971000000</v>
      </c>
      <c r="V370">
        <v>9550000000</v>
      </c>
      <c r="W370">
        <v>66179293889</v>
      </c>
      <c r="X370">
        <v>67150293889</v>
      </c>
      <c r="Y370">
        <v>4.7974750394409487</v>
      </c>
      <c r="Z370">
        <v>-14.611609959661241</v>
      </c>
      <c r="AA370">
        <v>-13.42389309766585</v>
      </c>
      <c r="AB370">
        <v>-12.705870908720931</v>
      </c>
      <c r="AC370">
        <v>-13.25293994117647</v>
      </c>
      <c r="AD370">
        <v>-9.4077046762806713</v>
      </c>
      <c r="AE370">
        <v>-14.965521258970361</v>
      </c>
      <c r="AF370">
        <v>-14.7491183171384</v>
      </c>
      <c r="AG370">
        <v>-13.57394256903174</v>
      </c>
      <c r="AH370">
        <v>-13.377661994946431</v>
      </c>
      <c r="AI370">
        <v>-13.749036422809169</v>
      </c>
      <c r="AJ370">
        <v>-13.013622846705429</v>
      </c>
      <c r="AK370">
        <v>-13.550223973996721</v>
      </c>
      <c r="AL370">
        <v>-12.825444552131779</v>
      </c>
      <c r="AM370">
        <v>4.9136758297234024</v>
      </c>
      <c r="AN370">
        <v>4.8426235832723554</v>
      </c>
    </row>
    <row r="371" spans="1:40" x14ac:dyDescent="0.25">
      <c r="A371" s="1" t="s">
        <v>1137</v>
      </c>
      <c r="B371">
        <v>63314443813</v>
      </c>
      <c r="C371" t="s">
        <v>85</v>
      </c>
      <c r="D371" t="s">
        <v>127</v>
      </c>
      <c r="E371">
        <v>13666000000</v>
      </c>
      <c r="F371">
        <v>-4487000000</v>
      </c>
      <c r="G371">
        <v>-4884000000</v>
      </c>
      <c r="H371">
        <v>-5160000000</v>
      </c>
      <c r="I371">
        <v>-4947000000</v>
      </c>
      <c r="J371">
        <v>-6969000000</v>
      </c>
      <c r="K371">
        <v>6754000000</v>
      </c>
      <c r="L371">
        <v>1033000000</v>
      </c>
      <c r="M371">
        <v>7787000000</v>
      </c>
      <c r="N371">
        <v>9662000000</v>
      </c>
      <c r="O371">
        <v>1148000000</v>
      </c>
      <c r="P371">
        <v>188000000</v>
      </c>
      <c r="Q371">
        <v>8216000000</v>
      </c>
      <c r="R371">
        <v>5891000000</v>
      </c>
      <c r="S371">
        <v>17719000000</v>
      </c>
      <c r="T371">
        <v>0</v>
      </c>
      <c r="U371">
        <v>971000000</v>
      </c>
      <c r="V371">
        <v>9550000000</v>
      </c>
      <c r="W371">
        <v>63931443813</v>
      </c>
      <c r="X371">
        <v>64902443813</v>
      </c>
      <c r="Y371">
        <v>4.6329901809600456</v>
      </c>
      <c r="Z371">
        <v>-14.1106404753733</v>
      </c>
      <c r="AA371">
        <v>-12.96364533435708</v>
      </c>
      <c r="AB371">
        <v>-12.270241049031011</v>
      </c>
      <c r="AC371">
        <v>-12.798553428946841</v>
      </c>
      <c r="AD371">
        <v>-9.0851548016932124</v>
      </c>
      <c r="AE371">
        <v>-14.46455177468242</v>
      </c>
      <c r="AF371">
        <v>-14.248148832850459</v>
      </c>
      <c r="AG371">
        <v>-13.1195560568021</v>
      </c>
      <c r="AH371">
        <v>-12.9232754827168</v>
      </c>
      <c r="AI371">
        <v>-13.28878865950041</v>
      </c>
      <c r="AJ371">
        <v>-12.577992987015501</v>
      </c>
      <c r="AK371">
        <v>-13.08997621068796</v>
      </c>
      <c r="AL371">
        <v>-12.38981469244186</v>
      </c>
      <c r="AM371">
        <v>4.7491909712424993</v>
      </c>
      <c r="AN371">
        <v>4.6781387247914532</v>
      </c>
    </row>
    <row r="372" spans="1:40" x14ac:dyDescent="0.25">
      <c r="A372" s="1" t="s">
        <v>1136</v>
      </c>
      <c r="B372">
        <v>60941713177</v>
      </c>
      <c r="C372" t="s">
        <v>85</v>
      </c>
      <c r="D372" t="s">
        <v>127</v>
      </c>
      <c r="E372">
        <v>13666000000</v>
      </c>
      <c r="F372">
        <v>-4487000000</v>
      </c>
      <c r="G372">
        <v>-4884000000</v>
      </c>
      <c r="H372">
        <v>-5160000000</v>
      </c>
      <c r="I372">
        <v>-4947000000</v>
      </c>
      <c r="J372">
        <v>-6969000000</v>
      </c>
      <c r="K372">
        <v>6754000000</v>
      </c>
      <c r="L372">
        <v>1033000000</v>
      </c>
      <c r="M372">
        <v>7787000000</v>
      </c>
      <c r="N372">
        <v>9662000000</v>
      </c>
      <c r="O372">
        <v>1148000000</v>
      </c>
      <c r="P372">
        <v>188000000</v>
      </c>
      <c r="Q372">
        <v>8216000000</v>
      </c>
      <c r="R372">
        <v>5891000000</v>
      </c>
      <c r="S372">
        <v>17719000000</v>
      </c>
      <c r="T372">
        <v>0</v>
      </c>
      <c r="U372">
        <v>971000000</v>
      </c>
      <c r="V372">
        <v>9550000000</v>
      </c>
      <c r="W372">
        <v>61558713177</v>
      </c>
      <c r="X372">
        <v>62529713177</v>
      </c>
      <c r="Y372">
        <v>4.4593672747695008</v>
      </c>
      <c r="Z372">
        <v>-13.581839353019831</v>
      </c>
      <c r="AA372">
        <v>-12.477828250819</v>
      </c>
      <c r="AB372">
        <v>-11.810409530426361</v>
      </c>
      <c r="AC372">
        <v>-12.31892322154841</v>
      </c>
      <c r="AD372">
        <v>-8.7446854895967849</v>
      </c>
      <c r="AE372">
        <v>-13.93575065232895</v>
      </c>
      <c r="AF372">
        <v>-13.71934771049699</v>
      </c>
      <c r="AG372">
        <v>-12.63992584940368</v>
      </c>
      <c r="AH372">
        <v>-12.443645275318371</v>
      </c>
      <c r="AI372">
        <v>-12.80297157596233</v>
      </c>
      <c r="AJ372">
        <v>-12.11816146841085</v>
      </c>
      <c r="AK372">
        <v>-12.604159127149879</v>
      </c>
      <c r="AL372">
        <v>-11.92998317383721</v>
      </c>
      <c r="AM372">
        <v>4.5755680650519537</v>
      </c>
      <c r="AN372">
        <v>4.5045158186009084</v>
      </c>
    </row>
    <row r="373" spans="1:40" x14ac:dyDescent="0.25">
      <c r="A373" s="1" t="s">
        <v>1135</v>
      </c>
      <c r="B373">
        <v>60031869099</v>
      </c>
      <c r="C373" t="s">
        <v>85</v>
      </c>
      <c r="D373" t="s">
        <v>127</v>
      </c>
      <c r="E373">
        <v>13666000000</v>
      </c>
      <c r="F373">
        <v>-4487000000</v>
      </c>
      <c r="G373">
        <v>-4884000000</v>
      </c>
      <c r="H373">
        <v>-5160000000</v>
      </c>
      <c r="I373">
        <v>-4947000000</v>
      </c>
      <c r="J373">
        <v>-6969000000</v>
      </c>
      <c r="K373">
        <v>6754000000</v>
      </c>
      <c r="L373">
        <v>1033000000</v>
      </c>
      <c r="M373">
        <v>7787000000</v>
      </c>
      <c r="N373">
        <v>9662000000</v>
      </c>
      <c r="O373">
        <v>1148000000</v>
      </c>
      <c r="P373">
        <v>188000000</v>
      </c>
      <c r="Q373">
        <v>8216000000</v>
      </c>
      <c r="R373">
        <v>5891000000</v>
      </c>
      <c r="S373">
        <v>17719000000</v>
      </c>
      <c r="T373">
        <v>0</v>
      </c>
      <c r="U373">
        <v>971000000</v>
      </c>
      <c r="V373">
        <v>9550000000</v>
      </c>
      <c r="W373">
        <v>60648869099</v>
      </c>
      <c r="X373">
        <v>61619869099</v>
      </c>
      <c r="Y373">
        <v>4.3927900701741551</v>
      </c>
      <c r="Z373">
        <v>-13.379065990416761</v>
      </c>
      <c r="AA373">
        <v>-12.29153748955774</v>
      </c>
      <c r="AB373">
        <v>-11.63408315872093</v>
      </c>
      <c r="AC373">
        <v>-12.13500487143723</v>
      </c>
      <c r="AD373">
        <v>-8.614129588032716</v>
      </c>
      <c r="AE373">
        <v>-13.732977289725881</v>
      </c>
      <c r="AF373">
        <v>-13.51657434789391</v>
      </c>
      <c r="AG373">
        <v>-12.4560074992925</v>
      </c>
      <c r="AH373">
        <v>-12.2597269252072</v>
      </c>
      <c r="AI373">
        <v>-12.616680814701059</v>
      </c>
      <c r="AJ373">
        <v>-11.941835096705431</v>
      </c>
      <c r="AK373">
        <v>-12.417868365888619</v>
      </c>
      <c r="AL373">
        <v>-11.753656802131781</v>
      </c>
      <c r="AM373">
        <v>4.508990860456608</v>
      </c>
      <c r="AN373">
        <v>4.437938614005561</v>
      </c>
    </row>
    <row r="374" spans="1:40" x14ac:dyDescent="0.25">
      <c r="A374" s="1" t="s">
        <v>1134</v>
      </c>
      <c r="B374">
        <v>60763312377</v>
      </c>
      <c r="C374" t="s">
        <v>85</v>
      </c>
      <c r="D374" t="s">
        <v>127</v>
      </c>
      <c r="E374">
        <v>13666000000</v>
      </c>
      <c r="F374">
        <v>-4487000000</v>
      </c>
      <c r="G374">
        <v>-4884000000</v>
      </c>
      <c r="H374">
        <v>-5160000000</v>
      </c>
      <c r="I374">
        <v>-4947000000</v>
      </c>
      <c r="J374">
        <v>-6969000000</v>
      </c>
      <c r="K374">
        <v>6754000000</v>
      </c>
      <c r="L374">
        <v>1033000000</v>
      </c>
      <c r="M374">
        <v>7787000000</v>
      </c>
      <c r="N374">
        <v>9662000000</v>
      </c>
      <c r="O374">
        <v>1148000000</v>
      </c>
      <c r="P374">
        <v>188000000</v>
      </c>
      <c r="Q374">
        <v>8216000000</v>
      </c>
      <c r="R374">
        <v>5891000000</v>
      </c>
      <c r="S374">
        <v>17719000000</v>
      </c>
      <c r="T374">
        <v>0</v>
      </c>
      <c r="U374">
        <v>971000000</v>
      </c>
      <c r="V374">
        <v>9550000000</v>
      </c>
      <c r="W374">
        <v>61380312377</v>
      </c>
      <c r="X374">
        <v>62351312377</v>
      </c>
      <c r="Y374">
        <v>4.4463129208985803</v>
      </c>
      <c r="Z374">
        <v>-13.54207987006909</v>
      </c>
      <c r="AA374">
        <v>-12.441300650491399</v>
      </c>
      <c r="AB374">
        <v>-11.775835731976739</v>
      </c>
      <c r="AC374">
        <v>-12.28286079987871</v>
      </c>
      <c r="AD374">
        <v>-8.719086293155403</v>
      </c>
      <c r="AE374">
        <v>-13.895991169378201</v>
      </c>
      <c r="AF374">
        <v>-13.67958822754624</v>
      </c>
      <c r="AG374">
        <v>-12.60386342773398</v>
      </c>
      <c r="AH374">
        <v>-12.40758285364868</v>
      </c>
      <c r="AI374">
        <v>-12.766443975634729</v>
      </c>
      <c r="AJ374">
        <v>-12.08358766996124</v>
      </c>
      <c r="AK374">
        <v>-12.56763152682228</v>
      </c>
      <c r="AL374">
        <v>-11.895409375387599</v>
      </c>
      <c r="AM374">
        <v>4.5625137111810332</v>
      </c>
      <c r="AN374">
        <v>4.4914614647299871</v>
      </c>
    </row>
    <row r="375" spans="1:40" x14ac:dyDescent="0.25">
      <c r="A375" s="1" t="s">
        <v>1133</v>
      </c>
      <c r="B375">
        <v>59603707179</v>
      </c>
      <c r="C375" t="s">
        <v>85</v>
      </c>
      <c r="D375" t="s">
        <v>127</v>
      </c>
      <c r="E375">
        <v>13666000000</v>
      </c>
      <c r="F375">
        <v>-4487000000</v>
      </c>
      <c r="G375">
        <v>-4884000000</v>
      </c>
      <c r="H375">
        <v>-5160000000</v>
      </c>
      <c r="I375">
        <v>-4947000000</v>
      </c>
      <c r="J375">
        <v>-6969000000</v>
      </c>
      <c r="K375">
        <v>6754000000</v>
      </c>
      <c r="L375">
        <v>1033000000</v>
      </c>
      <c r="M375">
        <v>7787000000</v>
      </c>
      <c r="N375">
        <v>9662000000</v>
      </c>
      <c r="O375">
        <v>1148000000</v>
      </c>
      <c r="P375">
        <v>188000000</v>
      </c>
      <c r="Q375">
        <v>8216000000</v>
      </c>
      <c r="R375">
        <v>5891000000</v>
      </c>
      <c r="S375">
        <v>17719000000</v>
      </c>
      <c r="T375">
        <v>0</v>
      </c>
      <c r="U375">
        <v>971000000</v>
      </c>
      <c r="V375">
        <v>9550000000</v>
      </c>
      <c r="W375">
        <v>60220707179</v>
      </c>
      <c r="X375">
        <v>61191707179</v>
      </c>
      <c r="Y375">
        <v>4.3614596208839451</v>
      </c>
      <c r="Z375">
        <v>-13.28364323133497</v>
      </c>
      <c r="AA375">
        <v>-12.203871248771501</v>
      </c>
      <c r="AB375">
        <v>-11.551106042441861</v>
      </c>
      <c r="AC375">
        <v>-12.04845505942996</v>
      </c>
      <c r="AD375">
        <v>-8.5526915165733968</v>
      </c>
      <c r="AE375">
        <v>-13.63755453064408</v>
      </c>
      <c r="AF375">
        <v>-13.421151588812119</v>
      </c>
      <c r="AG375">
        <v>-12.36945768728522</v>
      </c>
      <c r="AH375">
        <v>-12.17317711319992</v>
      </c>
      <c r="AI375">
        <v>-12.52901457391482</v>
      </c>
      <c r="AJ375">
        <v>-11.858857980426359</v>
      </c>
      <c r="AK375">
        <v>-12.330202125102369</v>
      </c>
      <c r="AL375">
        <v>-11.67067968585271</v>
      </c>
      <c r="AM375">
        <v>4.477660411166398</v>
      </c>
      <c r="AN375">
        <v>4.4066081647153519</v>
      </c>
    </row>
    <row r="376" spans="1:40" x14ac:dyDescent="0.25">
      <c r="A376" s="1" t="s">
        <v>1132</v>
      </c>
      <c r="B376">
        <v>62101318375</v>
      </c>
      <c r="C376" t="s">
        <v>85</v>
      </c>
      <c r="D376" t="s">
        <v>127</v>
      </c>
      <c r="E376">
        <v>13666000000</v>
      </c>
      <c r="F376">
        <v>-4487000000</v>
      </c>
      <c r="G376">
        <v>-4884000000</v>
      </c>
      <c r="H376">
        <v>-5160000000</v>
      </c>
      <c r="I376">
        <v>-4947000000</v>
      </c>
      <c r="J376">
        <v>-6969000000</v>
      </c>
      <c r="K376">
        <v>6754000000</v>
      </c>
      <c r="L376">
        <v>1033000000</v>
      </c>
      <c r="M376">
        <v>7787000000</v>
      </c>
      <c r="N376">
        <v>9662000000</v>
      </c>
      <c r="O376">
        <v>1148000000</v>
      </c>
      <c r="P376">
        <v>188000000</v>
      </c>
      <c r="Q376">
        <v>8216000000</v>
      </c>
      <c r="R376">
        <v>5891000000</v>
      </c>
      <c r="S376">
        <v>17719000000</v>
      </c>
      <c r="T376">
        <v>0</v>
      </c>
      <c r="U376">
        <v>971000000</v>
      </c>
      <c r="V376">
        <v>9550000000</v>
      </c>
      <c r="W376">
        <v>62718318375</v>
      </c>
      <c r="X376">
        <v>63689318375</v>
      </c>
      <c r="Y376">
        <v>4.544220574784136</v>
      </c>
      <c r="Z376">
        <v>-13.840275991753961</v>
      </c>
      <c r="AA376">
        <v>-12.715257652538901</v>
      </c>
      <c r="AB376">
        <v>-12.035139219961239</v>
      </c>
      <c r="AC376">
        <v>-12.55332896199717</v>
      </c>
      <c r="AD376">
        <v>-8.9110802661787911</v>
      </c>
      <c r="AE376">
        <v>-14.19418729106307</v>
      </c>
      <c r="AF376">
        <v>-13.97778434923111</v>
      </c>
      <c r="AG376">
        <v>-12.87433158985244</v>
      </c>
      <c r="AH376">
        <v>-12.67805101576713</v>
      </c>
      <c r="AI376">
        <v>-13.04040097768223</v>
      </c>
      <c r="AJ376">
        <v>-12.34289115794574</v>
      </c>
      <c r="AK376">
        <v>-12.84158852886978</v>
      </c>
      <c r="AL376">
        <v>-12.15471286337209</v>
      </c>
      <c r="AM376">
        <v>4.6604213650665889</v>
      </c>
      <c r="AN376">
        <v>4.5893691186155419</v>
      </c>
    </row>
    <row r="377" spans="1:40" x14ac:dyDescent="0.25">
      <c r="A377" s="1" t="s">
        <v>1131</v>
      </c>
      <c r="B377">
        <v>63813966052</v>
      </c>
      <c r="C377" t="s">
        <v>85</v>
      </c>
      <c r="D377" t="s">
        <v>127</v>
      </c>
      <c r="E377">
        <v>13666000000</v>
      </c>
      <c r="F377">
        <v>-4487000000</v>
      </c>
      <c r="G377">
        <v>-4884000000</v>
      </c>
      <c r="H377">
        <v>-5160000000</v>
      </c>
      <c r="I377">
        <v>-4947000000</v>
      </c>
      <c r="J377">
        <v>-6969000000</v>
      </c>
      <c r="K377">
        <v>6754000000</v>
      </c>
      <c r="L377">
        <v>1033000000</v>
      </c>
      <c r="M377">
        <v>7787000000</v>
      </c>
      <c r="N377">
        <v>9662000000</v>
      </c>
      <c r="O377">
        <v>1148000000</v>
      </c>
      <c r="P377">
        <v>188000000</v>
      </c>
      <c r="Q377">
        <v>8216000000</v>
      </c>
      <c r="R377">
        <v>5891000000</v>
      </c>
      <c r="S377">
        <v>17719000000</v>
      </c>
      <c r="T377">
        <v>0</v>
      </c>
      <c r="U377">
        <v>971000000</v>
      </c>
      <c r="V377">
        <v>9550000000</v>
      </c>
      <c r="W377">
        <v>64430966052</v>
      </c>
      <c r="X377">
        <v>65401966052</v>
      </c>
      <c r="Y377">
        <v>4.6695423717254503</v>
      </c>
      <c r="Z377">
        <v>-14.22196702741252</v>
      </c>
      <c r="AA377">
        <v>-13.065922615069621</v>
      </c>
      <c r="AB377">
        <v>-12.36704768449612</v>
      </c>
      <c r="AC377">
        <v>-12.89952820941985</v>
      </c>
      <c r="AD377">
        <v>-9.1568325515855928</v>
      </c>
      <c r="AE377">
        <v>-14.575878326721639</v>
      </c>
      <c r="AF377">
        <v>-14.359475384889681</v>
      </c>
      <c r="AG377">
        <v>-13.22053083727512</v>
      </c>
      <c r="AH377">
        <v>-13.02425026318981</v>
      </c>
      <c r="AI377">
        <v>-13.39106594021294</v>
      </c>
      <c r="AJ377">
        <v>-12.67479962248062</v>
      </c>
      <c r="AK377">
        <v>-13.192253491400489</v>
      </c>
      <c r="AL377">
        <v>-12.486621327906979</v>
      </c>
      <c r="AM377">
        <v>4.7857431620079032</v>
      </c>
      <c r="AN377">
        <v>4.7146909155568562</v>
      </c>
    </row>
    <row r="378" spans="1:40" x14ac:dyDescent="0.25">
      <c r="A378" s="1" t="s">
        <v>1130</v>
      </c>
      <c r="B378">
        <v>73126487797</v>
      </c>
      <c r="C378" t="s">
        <v>85</v>
      </c>
      <c r="D378" t="s">
        <v>127</v>
      </c>
      <c r="E378">
        <v>13666000000</v>
      </c>
      <c r="F378">
        <v>-4487000000</v>
      </c>
      <c r="G378">
        <v>-4884000000</v>
      </c>
      <c r="H378">
        <v>-5160000000</v>
      </c>
      <c r="I378">
        <v>-4947000000</v>
      </c>
      <c r="J378">
        <v>-6969000000</v>
      </c>
      <c r="K378">
        <v>6754000000</v>
      </c>
      <c r="L378">
        <v>1033000000</v>
      </c>
      <c r="M378">
        <v>7787000000</v>
      </c>
      <c r="N378">
        <v>9662000000</v>
      </c>
      <c r="O378">
        <v>1148000000</v>
      </c>
      <c r="P378">
        <v>188000000</v>
      </c>
      <c r="Q378">
        <v>8216000000</v>
      </c>
      <c r="R378">
        <v>5891000000</v>
      </c>
      <c r="S378">
        <v>17719000000</v>
      </c>
      <c r="T378">
        <v>0</v>
      </c>
      <c r="U378">
        <v>971000000</v>
      </c>
      <c r="V378">
        <v>9550000000</v>
      </c>
      <c r="W378">
        <v>73743487797</v>
      </c>
      <c r="X378">
        <v>74714487797</v>
      </c>
      <c r="Y378">
        <v>5.3509796426898877</v>
      </c>
      <c r="Z378">
        <v>-16.29741203409851</v>
      </c>
      <c r="AA378">
        <v>-14.972663349099101</v>
      </c>
      <c r="AB378">
        <v>-14.171799960658911</v>
      </c>
      <c r="AC378">
        <v>-14.781986617545989</v>
      </c>
      <c r="AD378">
        <v>-10.49311060367341</v>
      </c>
      <c r="AE378">
        <v>-16.651323333407621</v>
      </c>
      <c r="AF378">
        <v>-16.434920391575659</v>
      </c>
      <c r="AG378">
        <v>-15.10298924540125</v>
      </c>
      <c r="AH378">
        <v>-14.90670867131595</v>
      </c>
      <c r="AI378">
        <v>-15.29780667424243</v>
      </c>
      <c r="AJ378">
        <v>-14.479551898643409</v>
      </c>
      <c r="AK378">
        <v>-15.09899422542998</v>
      </c>
      <c r="AL378">
        <v>-14.29137360406977</v>
      </c>
      <c r="AM378">
        <v>5.4671804329723397</v>
      </c>
      <c r="AN378">
        <v>5.3961281865212936</v>
      </c>
    </row>
    <row r="379" spans="1:40" x14ac:dyDescent="0.25">
      <c r="A379" s="1" t="s">
        <v>133</v>
      </c>
      <c r="B379">
        <v>74856975554</v>
      </c>
      <c r="C379" t="s">
        <v>85</v>
      </c>
      <c r="D379" t="s">
        <v>127</v>
      </c>
      <c r="E379">
        <v>13666000000</v>
      </c>
      <c r="F379">
        <v>-4487000000</v>
      </c>
      <c r="G379">
        <v>-4884000000</v>
      </c>
      <c r="H379">
        <v>-5160000000</v>
      </c>
      <c r="I379">
        <v>-4947000000</v>
      </c>
      <c r="J379">
        <v>-6969000000</v>
      </c>
      <c r="K379">
        <v>6754000000</v>
      </c>
      <c r="L379">
        <v>1033000000</v>
      </c>
      <c r="M379">
        <v>7787000000</v>
      </c>
      <c r="N379">
        <v>9662000000</v>
      </c>
      <c r="O379">
        <v>1148000000</v>
      </c>
      <c r="P379">
        <v>188000000</v>
      </c>
      <c r="Q379">
        <v>8216000000</v>
      </c>
      <c r="R379">
        <v>5891000000</v>
      </c>
      <c r="S379">
        <v>17719000000</v>
      </c>
      <c r="T379">
        <v>0</v>
      </c>
      <c r="U379">
        <v>971000000</v>
      </c>
      <c r="V379">
        <v>9550000000</v>
      </c>
      <c r="W379">
        <v>75473975554</v>
      </c>
      <c r="X379">
        <v>76444975554</v>
      </c>
      <c r="Y379">
        <v>5.477606875018294</v>
      </c>
      <c r="Z379">
        <v>-16.683079018052151</v>
      </c>
      <c r="AA379">
        <v>-15.326981071662569</v>
      </c>
      <c r="AB379">
        <v>-14.50716580503876</v>
      </c>
      <c r="AC379">
        <v>-15.13179210713564</v>
      </c>
      <c r="AD379">
        <v>-10.74142280872435</v>
      </c>
      <c r="AE379">
        <v>-17.036990317361269</v>
      </c>
      <c r="AF379">
        <v>-16.82058737552931</v>
      </c>
      <c r="AG379">
        <v>-15.452794734990899</v>
      </c>
      <c r="AH379">
        <v>-15.256514160905599</v>
      </c>
      <c r="AI379">
        <v>-15.652124396805901</v>
      </c>
      <c r="AJ379">
        <v>-14.81491774302326</v>
      </c>
      <c r="AK379">
        <v>-15.45331194799345</v>
      </c>
      <c r="AL379">
        <v>-14.62673944844961</v>
      </c>
      <c r="AM379">
        <v>5.593807665300746</v>
      </c>
      <c r="AN379">
        <v>5.5227554188496999</v>
      </c>
    </row>
    <row r="380" spans="1:40" x14ac:dyDescent="0.25">
      <c r="A380" s="1" t="s">
        <v>1129</v>
      </c>
      <c r="B380">
        <v>80048438825</v>
      </c>
      <c r="C380" t="s">
        <v>84</v>
      </c>
      <c r="D380" t="s">
        <v>127</v>
      </c>
      <c r="E380">
        <v>12982000000</v>
      </c>
      <c r="F380">
        <v>-4461000000</v>
      </c>
      <c r="G380">
        <v>-4414000000</v>
      </c>
      <c r="H380">
        <v>-5136000000</v>
      </c>
      <c r="I380">
        <v>-4957000000</v>
      </c>
      <c r="J380">
        <v>-6896000000</v>
      </c>
      <c r="K380">
        <v>6154000000</v>
      </c>
      <c r="L380">
        <v>1132000000</v>
      </c>
      <c r="M380">
        <v>7286000000</v>
      </c>
      <c r="N380">
        <v>9412000000</v>
      </c>
      <c r="O380">
        <v>1135000000</v>
      </c>
      <c r="P380">
        <v>175000000</v>
      </c>
      <c r="Q380">
        <v>8194000000</v>
      </c>
      <c r="R380">
        <v>6921000000</v>
      </c>
      <c r="S380">
        <v>18712000000</v>
      </c>
      <c r="T380">
        <v>0</v>
      </c>
      <c r="U380">
        <v>1240000000</v>
      </c>
      <c r="V380">
        <v>8942000000</v>
      </c>
      <c r="W380">
        <v>81131438825</v>
      </c>
      <c r="X380">
        <v>82371438825</v>
      </c>
      <c r="Y380">
        <v>6.1661099079494681</v>
      </c>
      <c r="Z380">
        <v>-17.944057122842409</v>
      </c>
      <c r="AA380">
        <v>-18.13512433733575</v>
      </c>
      <c r="AB380">
        <v>-15.58575522293614</v>
      </c>
      <c r="AC380">
        <v>-16.148565427678029</v>
      </c>
      <c r="AD380">
        <v>-11.60795226580627</v>
      </c>
      <c r="AE380">
        <v>-18.46479238399462</v>
      </c>
      <c r="AF380">
        <v>-18.186827802062322</v>
      </c>
      <c r="AG380">
        <v>-16.617195647569091</v>
      </c>
      <c r="AH380">
        <v>-16.367044346378862</v>
      </c>
      <c r="AI380">
        <v>-18.661404355459901</v>
      </c>
      <c r="AJ380">
        <v>-16.038052730724299</v>
      </c>
      <c r="AK380">
        <v>-18.38048002378795</v>
      </c>
      <c r="AL380">
        <v>-15.796619708917451</v>
      </c>
      <c r="AM380">
        <v>6.3450499788168244</v>
      </c>
      <c r="AN380">
        <v>6.249533109305192</v>
      </c>
    </row>
    <row r="381" spans="1:40" x14ac:dyDescent="0.25">
      <c r="A381" s="1" t="s">
        <v>1128</v>
      </c>
      <c r="B381">
        <v>85953505295</v>
      </c>
      <c r="C381" t="s">
        <v>84</v>
      </c>
      <c r="D381" t="s">
        <v>127</v>
      </c>
      <c r="E381">
        <v>12982000000</v>
      </c>
      <c r="F381">
        <v>-4461000000</v>
      </c>
      <c r="G381">
        <v>-4414000000</v>
      </c>
      <c r="H381">
        <v>-5136000000</v>
      </c>
      <c r="I381">
        <v>-4957000000</v>
      </c>
      <c r="J381">
        <v>-6896000000</v>
      </c>
      <c r="K381">
        <v>6154000000</v>
      </c>
      <c r="L381">
        <v>1132000000</v>
      </c>
      <c r="M381">
        <v>7286000000</v>
      </c>
      <c r="N381">
        <v>9412000000</v>
      </c>
      <c r="O381">
        <v>1135000000</v>
      </c>
      <c r="P381">
        <v>175000000</v>
      </c>
      <c r="Q381">
        <v>8194000000</v>
      </c>
      <c r="R381">
        <v>6921000000</v>
      </c>
      <c r="S381">
        <v>18712000000</v>
      </c>
      <c r="T381">
        <v>0</v>
      </c>
      <c r="U381">
        <v>1240000000</v>
      </c>
      <c r="V381">
        <v>8942000000</v>
      </c>
      <c r="W381">
        <v>87036505295</v>
      </c>
      <c r="X381">
        <v>88276505295</v>
      </c>
      <c r="Y381">
        <v>6.620975604298259</v>
      </c>
      <c r="Z381">
        <v>-19.26776626204887</v>
      </c>
      <c r="AA381">
        <v>-19.472928249886721</v>
      </c>
      <c r="AB381">
        <v>-16.735495579244549</v>
      </c>
      <c r="AC381">
        <v>-17.339823541456521</v>
      </c>
      <c r="AD381">
        <v>-12.464255408207659</v>
      </c>
      <c r="AE381">
        <v>-19.788501523201081</v>
      </c>
      <c r="AF381">
        <v>-19.510536941268779</v>
      </c>
      <c r="AG381">
        <v>-17.80845376134759</v>
      </c>
      <c r="AH381">
        <v>-17.55830246015735</v>
      </c>
      <c r="AI381">
        <v>-19.999208268010879</v>
      </c>
      <c r="AJ381">
        <v>-17.187793087032709</v>
      </c>
      <c r="AK381">
        <v>-19.718283936338921</v>
      </c>
      <c r="AL381">
        <v>-16.946360065225861</v>
      </c>
      <c r="AM381">
        <v>6.7999156751656136</v>
      </c>
      <c r="AN381">
        <v>6.7043988056539821</v>
      </c>
    </row>
    <row r="382" spans="1:40" x14ac:dyDescent="0.25">
      <c r="A382" s="1" t="s">
        <v>1127</v>
      </c>
      <c r="B382">
        <v>83848375859</v>
      </c>
      <c r="C382" t="s">
        <v>84</v>
      </c>
      <c r="D382" t="s">
        <v>127</v>
      </c>
      <c r="E382">
        <v>12982000000</v>
      </c>
      <c r="F382">
        <v>-4461000000</v>
      </c>
      <c r="G382">
        <v>-4414000000</v>
      </c>
      <c r="H382">
        <v>-5136000000</v>
      </c>
      <c r="I382">
        <v>-4957000000</v>
      </c>
      <c r="J382">
        <v>-6896000000</v>
      </c>
      <c r="K382">
        <v>6154000000</v>
      </c>
      <c r="L382">
        <v>1132000000</v>
      </c>
      <c r="M382">
        <v>7286000000</v>
      </c>
      <c r="N382">
        <v>9412000000</v>
      </c>
      <c r="O382">
        <v>1135000000</v>
      </c>
      <c r="P382">
        <v>175000000</v>
      </c>
      <c r="Q382">
        <v>8194000000</v>
      </c>
      <c r="R382">
        <v>6921000000</v>
      </c>
      <c r="S382">
        <v>18712000000</v>
      </c>
      <c r="T382">
        <v>0</v>
      </c>
      <c r="U382">
        <v>1240000000</v>
      </c>
      <c r="V382">
        <v>8942000000</v>
      </c>
      <c r="W382">
        <v>84931375859</v>
      </c>
      <c r="X382">
        <v>86171375859</v>
      </c>
      <c r="Y382">
        <v>6.4588180449083348</v>
      </c>
      <c r="Z382">
        <v>-18.795869952701189</v>
      </c>
      <c r="AA382">
        <v>-18.996007217716361</v>
      </c>
      <c r="AB382">
        <v>-16.32561835260903</v>
      </c>
      <c r="AC382">
        <v>-16.915145422432921</v>
      </c>
      <c r="AD382">
        <v>-12.158987218532481</v>
      </c>
      <c r="AE382">
        <v>-19.3166052138534</v>
      </c>
      <c r="AF382">
        <v>-19.038640631921091</v>
      </c>
      <c r="AG382">
        <v>-17.38377564232399</v>
      </c>
      <c r="AH382">
        <v>-17.13362434113375</v>
      </c>
      <c r="AI382">
        <v>-19.522287235840508</v>
      </c>
      <c r="AJ382">
        <v>-16.777915860397201</v>
      </c>
      <c r="AK382">
        <v>-19.24136290416855</v>
      </c>
      <c r="AL382">
        <v>-16.536482838590342</v>
      </c>
      <c r="AM382">
        <v>6.6377581157756893</v>
      </c>
      <c r="AN382">
        <v>6.5422412462640578</v>
      </c>
    </row>
    <row r="383" spans="1:40" x14ac:dyDescent="0.25">
      <c r="A383" s="1" t="s">
        <v>1126</v>
      </c>
      <c r="B383">
        <v>82474689701</v>
      </c>
      <c r="C383" t="s">
        <v>84</v>
      </c>
      <c r="D383" t="s">
        <v>127</v>
      </c>
      <c r="E383">
        <v>12982000000</v>
      </c>
      <c r="F383">
        <v>-4461000000</v>
      </c>
      <c r="G383">
        <v>-4414000000</v>
      </c>
      <c r="H383">
        <v>-5136000000</v>
      </c>
      <c r="I383">
        <v>-4957000000</v>
      </c>
      <c r="J383">
        <v>-6896000000</v>
      </c>
      <c r="K383">
        <v>6154000000</v>
      </c>
      <c r="L383">
        <v>1132000000</v>
      </c>
      <c r="M383">
        <v>7286000000</v>
      </c>
      <c r="N383">
        <v>9412000000</v>
      </c>
      <c r="O383">
        <v>1135000000</v>
      </c>
      <c r="P383">
        <v>175000000</v>
      </c>
      <c r="Q383">
        <v>8194000000</v>
      </c>
      <c r="R383">
        <v>6921000000</v>
      </c>
      <c r="S383">
        <v>18712000000</v>
      </c>
      <c r="T383">
        <v>0</v>
      </c>
      <c r="U383">
        <v>1240000000</v>
      </c>
      <c r="V383">
        <v>8942000000</v>
      </c>
      <c r="W383">
        <v>83557689701</v>
      </c>
      <c r="X383">
        <v>84797689701</v>
      </c>
      <c r="Y383">
        <v>6.3530033662763827</v>
      </c>
      <c r="Z383">
        <v>-18.48793761510872</v>
      </c>
      <c r="AA383">
        <v>-18.684796035568649</v>
      </c>
      <c r="AB383">
        <v>-16.05815609443146</v>
      </c>
      <c r="AC383">
        <v>-16.638024954811382</v>
      </c>
      <c r="AD383">
        <v>-11.95978678958817</v>
      </c>
      <c r="AE383">
        <v>-19.008672876260931</v>
      </c>
      <c r="AF383">
        <v>-18.730708294328629</v>
      </c>
      <c r="AG383">
        <v>-17.106655174702439</v>
      </c>
      <c r="AH383">
        <v>-16.85650387351221</v>
      </c>
      <c r="AI383">
        <v>-19.2110760536928</v>
      </c>
      <c r="AJ383">
        <v>-16.510453602219631</v>
      </c>
      <c r="AK383">
        <v>-18.930151722020842</v>
      </c>
      <c r="AL383">
        <v>-16.269020580412771</v>
      </c>
      <c r="AM383">
        <v>6.5319434371437373</v>
      </c>
      <c r="AN383">
        <v>6.4364265676321057</v>
      </c>
    </row>
    <row r="384" spans="1:40" x14ac:dyDescent="0.25">
      <c r="A384" s="1" t="s">
        <v>1125</v>
      </c>
      <c r="B384">
        <v>82777971060</v>
      </c>
      <c r="C384" t="s">
        <v>84</v>
      </c>
      <c r="D384" t="s">
        <v>127</v>
      </c>
      <c r="E384">
        <v>12982000000</v>
      </c>
      <c r="F384">
        <v>-4461000000</v>
      </c>
      <c r="G384">
        <v>-4414000000</v>
      </c>
      <c r="H384">
        <v>-5136000000</v>
      </c>
      <c r="I384">
        <v>-4957000000</v>
      </c>
      <c r="J384">
        <v>-6896000000</v>
      </c>
      <c r="K384">
        <v>6154000000</v>
      </c>
      <c r="L384">
        <v>1132000000</v>
      </c>
      <c r="M384">
        <v>7286000000</v>
      </c>
      <c r="N384">
        <v>9412000000</v>
      </c>
      <c r="O384">
        <v>1135000000</v>
      </c>
      <c r="P384">
        <v>175000000</v>
      </c>
      <c r="Q384">
        <v>8194000000</v>
      </c>
      <c r="R384">
        <v>6921000000</v>
      </c>
      <c r="S384">
        <v>18712000000</v>
      </c>
      <c r="T384">
        <v>0</v>
      </c>
      <c r="U384">
        <v>1240000000</v>
      </c>
      <c r="V384">
        <v>8942000000</v>
      </c>
      <c r="W384">
        <v>83860971060</v>
      </c>
      <c r="X384">
        <v>85100971060</v>
      </c>
      <c r="Y384">
        <v>6.376365048528732</v>
      </c>
      <c r="Z384">
        <v>-18.555922676529921</v>
      </c>
      <c r="AA384">
        <v>-18.753504997734481</v>
      </c>
      <c r="AB384">
        <v>-16.117206203271031</v>
      </c>
      <c r="AC384">
        <v>-16.69920739560218</v>
      </c>
      <c r="AD384">
        <v>-12.003766104988401</v>
      </c>
      <c r="AE384">
        <v>-19.076657937682139</v>
      </c>
      <c r="AF384">
        <v>-18.79869335574983</v>
      </c>
      <c r="AG384">
        <v>-17.167837615493241</v>
      </c>
      <c r="AH384">
        <v>-16.917686314303001</v>
      </c>
      <c r="AI384">
        <v>-19.279785015858629</v>
      </c>
      <c r="AJ384">
        <v>-16.569503711059191</v>
      </c>
      <c r="AK384">
        <v>-18.998860684186681</v>
      </c>
      <c r="AL384">
        <v>-16.328070689252339</v>
      </c>
      <c r="AM384">
        <v>6.5553051193960874</v>
      </c>
      <c r="AN384">
        <v>6.459788249884455</v>
      </c>
    </row>
    <row r="385" spans="1:40" x14ac:dyDescent="0.25">
      <c r="A385" s="1" t="s">
        <v>1124</v>
      </c>
      <c r="B385">
        <v>84936620737</v>
      </c>
      <c r="C385" t="s">
        <v>84</v>
      </c>
      <c r="D385" t="s">
        <v>127</v>
      </c>
      <c r="E385">
        <v>12982000000</v>
      </c>
      <c r="F385">
        <v>-4461000000</v>
      </c>
      <c r="G385">
        <v>-4414000000</v>
      </c>
      <c r="H385">
        <v>-5136000000</v>
      </c>
      <c r="I385">
        <v>-4957000000</v>
      </c>
      <c r="J385">
        <v>-6896000000</v>
      </c>
      <c r="K385">
        <v>6154000000</v>
      </c>
      <c r="L385">
        <v>1132000000</v>
      </c>
      <c r="M385">
        <v>7286000000</v>
      </c>
      <c r="N385">
        <v>9412000000</v>
      </c>
      <c r="O385">
        <v>1135000000</v>
      </c>
      <c r="P385">
        <v>175000000</v>
      </c>
      <c r="Q385">
        <v>8194000000</v>
      </c>
      <c r="R385">
        <v>6921000000</v>
      </c>
      <c r="S385">
        <v>18712000000</v>
      </c>
      <c r="T385">
        <v>0</v>
      </c>
      <c r="U385">
        <v>1240000000</v>
      </c>
      <c r="V385">
        <v>8942000000</v>
      </c>
      <c r="W385">
        <v>86019620737</v>
      </c>
      <c r="X385">
        <v>87259620737</v>
      </c>
      <c r="Y385">
        <v>6.5426452578185179</v>
      </c>
      <c r="Z385">
        <v>-19.039816349921541</v>
      </c>
      <c r="AA385">
        <v>-19.242551141141821</v>
      </c>
      <c r="AB385">
        <v>-16.537504037577879</v>
      </c>
      <c r="AC385">
        <v>-17.134682416179139</v>
      </c>
      <c r="AD385">
        <v>-12.31679535049304</v>
      </c>
      <c r="AE385">
        <v>-19.560551611073748</v>
      </c>
      <c r="AF385">
        <v>-19.28258702914145</v>
      </c>
      <c r="AG385">
        <v>-17.6033126360702</v>
      </c>
      <c r="AH385">
        <v>-17.353161334879971</v>
      </c>
      <c r="AI385">
        <v>-19.768831159265972</v>
      </c>
      <c r="AJ385">
        <v>-16.989801545366038</v>
      </c>
      <c r="AK385">
        <v>-19.487906827594021</v>
      </c>
      <c r="AL385">
        <v>-16.74836852355919</v>
      </c>
      <c r="AM385">
        <v>6.7215853286858724</v>
      </c>
      <c r="AN385">
        <v>6.6260684591742409</v>
      </c>
    </row>
    <row r="386" spans="1:40" x14ac:dyDescent="0.25">
      <c r="A386" s="1" t="s">
        <v>1123</v>
      </c>
      <c r="B386">
        <v>87791033532</v>
      </c>
      <c r="C386" t="s">
        <v>84</v>
      </c>
      <c r="D386" t="s">
        <v>127</v>
      </c>
      <c r="E386">
        <v>12982000000</v>
      </c>
      <c r="F386">
        <v>-4461000000</v>
      </c>
      <c r="G386">
        <v>-4414000000</v>
      </c>
      <c r="H386">
        <v>-5136000000</v>
      </c>
      <c r="I386">
        <v>-4957000000</v>
      </c>
      <c r="J386">
        <v>-6896000000</v>
      </c>
      <c r="K386">
        <v>6154000000</v>
      </c>
      <c r="L386">
        <v>1132000000</v>
      </c>
      <c r="M386">
        <v>7286000000</v>
      </c>
      <c r="N386">
        <v>9412000000</v>
      </c>
      <c r="O386">
        <v>1135000000</v>
      </c>
      <c r="P386">
        <v>175000000</v>
      </c>
      <c r="Q386">
        <v>8194000000</v>
      </c>
      <c r="R386">
        <v>6921000000</v>
      </c>
      <c r="S386">
        <v>18712000000</v>
      </c>
      <c r="T386">
        <v>0</v>
      </c>
      <c r="U386">
        <v>1240000000</v>
      </c>
      <c r="V386">
        <v>8942000000</v>
      </c>
      <c r="W386">
        <v>88874033532</v>
      </c>
      <c r="X386">
        <v>90114033532</v>
      </c>
      <c r="Y386">
        <v>6.7625199146510564</v>
      </c>
      <c r="Z386">
        <v>-19.67967575252186</v>
      </c>
      <c r="AA386">
        <v>-19.889223727231531</v>
      </c>
      <c r="AB386">
        <v>-17.093269768691592</v>
      </c>
      <c r="AC386">
        <v>-17.710517153923739</v>
      </c>
      <c r="AD386">
        <v>-12.73071831960557</v>
      </c>
      <c r="AE386">
        <v>-20.20041101367406</v>
      </c>
      <c r="AF386">
        <v>-19.922446431741761</v>
      </c>
      <c r="AG386">
        <v>-18.179147373814811</v>
      </c>
      <c r="AH386">
        <v>-17.928996072624571</v>
      </c>
      <c r="AI386">
        <v>-20.415503745355689</v>
      </c>
      <c r="AJ386">
        <v>-17.545567276479751</v>
      </c>
      <c r="AK386">
        <v>-20.134579413683731</v>
      </c>
      <c r="AL386">
        <v>-17.304134254672899</v>
      </c>
      <c r="AM386">
        <v>6.94145998551841</v>
      </c>
      <c r="AN386">
        <v>6.8459431160067794</v>
      </c>
    </row>
    <row r="387" spans="1:40" x14ac:dyDescent="0.25">
      <c r="A387" s="1" t="s">
        <v>1122</v>
      </c>
      <c r="B387">
        <v>87220150973</v>
      </c>
      <c r="C387" t="s">
        <v>84</v>
      </c>
      <c r="D387" t="s">
        <v>127</v>
      </c>
      <c r="E387">
        <v>12982000000</v>
      </c>
      <c r="F387">
        <v>-4461000000</v>
      </c>
      <c r="G387">
        <v>-4414000000</v>
      </c>
      <c r="H387">
        <v>-5136000000</v>
      </c>
      <c r="I387">
        <v>-4957000000</v>
      </c>
      <c r="J387">
        <v>-6896000000</v>
      </c>
      <c r="K387">
        <v>6154000000</v>
      </c>
      <c r="L387">
        <v>1132000000</v>
      </c>
      <c r="M387">
        <v>7286000000</v>
      </c>
      <c r="N387">
        <v>9412000000</v>
      </c>
      <c r="O387">
        <v>1135000000</v>
      </c>
      <c r="P387">
        <v>175000000</v>
      </c>
      <c r="Q387">
        <v>8194000000</v>
      </c>
      <c r="R387">
        <v>6921000000</v>
      </c>
      <c r="S387">
        <v>18712000000</v>
      </c>
      <c r="T387">
        <v>0</v>
      </c>
      <c r="U387">
        <v>1240000000</v>
      </c>
      <c r="V387">
        <v>8942000000</v>
      </c>
      <c r="W387">
        <v>88303150973</v>
      </c>
      <c r="X387">
        <v>89543150973</v>
      </c>
      <c r="Y387">
        <v>6.7185449832845476</v>
      </c>
      <c r="Z387">
        <v>-19.551703872001799</v>
      </c>
      <c r="AA387">
        <v>-19.75988921001359</v>
      </c>
      <c r="AB387">
        <v>-16.982116622468851</v>
      </c>
      <c r="AC387">
        <v>-17.595350206374821</v>
      </c>
      <c r="AD387">
        <v>-12.64793372578306</v>
      </c>
      <c r="AE387">
        <v>-20.072439133153999</v>
      </c>
      <c r="AF387">
        <v>-19.7944745512217</v>
      </c>
      <c r="AG387">
        <v>-18.063980426265889</v>
      </c>
      <c r="AH387">
        <v>-17.81382912507565</v>
      </c>
      <c r="AI387">
        <v>-20.286169228137741</v>
      </c>
      <c r="AJ387">
        <v>-17.434414130257011</v>
      </c>
      <c r="AK387">
        <v>-20.00524489646579</v>
      </c>
      <c r="AL387">
        <v>-17.192981108450159</v>
      </c>
      <c r="AM387">
        <v>6.8974850541519031</v>
      </c>
      <c r="AN387">
        <v>6.8019681846402724</v>
      </c>
    </row>
    <row r="388" spans="1:40" x14ac:dyDescent="0.25">
      <c r="A388" s="1" t="s">
        <v>1121</v>
      </c>
      <c r="B388">
        <v>87612632732</v>
      </c>
      <c r="C388" t="s">
        <v>84</v>
      </c>
      <c r="D388" t="s">
        <v>127</v>
      </c>
      <c r="E388">
        <v>12982000000</v>
      </c>
      <c r="F388">
        <v>-4461000000</v>
      </c>
      <c r="G388">
        <v>-4414000000</v>
      </c>
      <c r="H388">
        <v>-5136000000</v>
      </c>
      <c r="I388">
        <v>-4957000000</v>
      </c>
      <c r="J388">
        <v>-6896000000</v>
      </c>
      <c r="K388">
        <v>6154000000</v>
      </c>
      <c r="L388">
        <v>1132000000</v>
      </c>
      <c r="M388">
        <v>7286000000</v>
      </c>
      <c r="N388">
        <v>9412000000</v>
      </c>
      <c r="O388">
        <v>1135000000</v>
      </c>
      <c r="P388">
        <v>175000000</v>
      </c>
      <c r="Q388">
        <v>8194000000</v>
      </c>
      <c r="R388">
        <v>6921000000</v>
      </c>
      <c r="S388">
        <v>18712000000</v>
      </c>
      <c r="T388">
        <v>0</v>
      </c>
      <c r="U388">
        <v>1240000000</v>
      </c>
      <c r="V388">
        <v>8942000000</v>
      </c>
      <c r="W388">
        <v>88695632732</v>
      </c>
      <c r="X388">
        <v>89935632732</v>
      </c>
      <c r="Y388">
        <v>6.7487777485749501</v>
      </c>
      <c r="Z388">
        <v>-19.63968453978929</v>
      </c>
      <c r="AA388">
        <v>-19.848806690530129</v>
      </c>
      <c r="AB388">
        <v>-17.058534410436138</v>
      </c>
      <c r="AC388">
        <v>-17.67452748275166</v>
      </c>
      <c r="AD388">
        <v>-12.704848133990721</v>
      </c>
      <c r="AE388">
        <v>-20.16041980094149</v>
      </c>
      <c r="AF388">
        <v>-19.882455219009191</v>
      </c>
      <c r="AG388">
        <v>-18.143157702642728</v>
      </c>
      <c r="AH388">
        <v>-17.893006401452489</v>
      </c>
      <c r="AI388">
        <v>-20.37508670865428</v>
      </c>
      <c r="AJ388">
        <v>-17.510831918224302</v>
      </c>
      <c r="AK388">
        <v>-20.094162376982329</v>
      </c>
      <c r="AL388">
        <v>-17.269398896417449</v>
      </c>
      <c r="AM388">
        <v>6.9277178194423046</v>
      </c>
      <c r="AN388">
        <v>6.8322009499306731</v>
      </c>
    </row>
    <row r="389" spans="1:40" x14ac:dyDescent="0.25">
      <c r="A389" s="1" t="s">
        <v>1120</v>
      </c>
      <c r="B389">
        <v>87880233932</v>
      </c>
      <c r="C389" t="s">
        <v>84</v>
      </c>
      <c r="D389" t="s">
        <v>127</v>
      </c>
      <c r="E389">
        <v>12982000000</v>
      </c>
      <c r="F389">
        <v>-4461000000</v>
      </c>
      <c r="G389">
        <v>-4414000000</v>
      </c>
      <c r="H389">
        <v>-5136000000</v>
      </c>
      <c r="I389">
        <v>-4957000000</v>
      </c>
      <c r="J389">
        <v>-6896000000</v>
      </c>
      <c r="K389">
        <v>6154000000</v>
      </c>
      <c r="L389">
        <v>1132000000</v>
      </c>
      <c r="M389">
        <v>7286000000</v>
      </c>
      <c r="N389">
        <v>9412000000</v>
      </c>
      <c r="O389">
        <v>1135000000</v>
      </c>
      <c r="P389">
        <v>175000000</v>
      </c>
      <c r="Q389">
        <v>8194000000</v>
      </c>
      <c r="R389">
        <v>6921000000</v>
      </c>
      <c r="S389">
        <v>18712000000</v>
      </c>
      <c r="T389">
        <v>0</v>
      </c>
      <c r="U389">
        <v>1240000000</v>
      </c>
      <c r="V389">
        <v>8942000000</v>
      </c>
      <c r="W389">
        <v>88963233932</v>
      </c>
      <c r="X389">
        <v>90203233932</v>
      </c>
      <c r="Y389">
        <v>6.7693909976891078</v>
      </c>
      <c r="Z389">
        <v>-19.699671358888139</v>
      </c>
      <c r="AA389">
        <v>-19.909432245582241</v>
      </c>
      <c r="AB389">
        <v>-17.110637447819311</v>
      </c>
      <c r="AC389">
        <v>-17.72851198950978</v>
      </c>
      <c r="AD389">
        <v>-12.743653412412989</v>
      </c>
      <c r="AE389">
        <v>-20.22040662004035</v>
      </c>
      <c r="AF389">
        <v>-19.942442038108052</v>
      </c>
      <c r="AG389">
        <v>-18.197142209400852</v>
      </c>
      <c r="AH389">
        <v>-17.946990908210608</v>
      </c>
      <c r="AI389">
        <v>-20.435712263706389</v>
      </c>
      <c r="AJ389">
        <v>-17.562934955607481</v>
      </c>
      <c r="AK389">
        <v>-20.154787932034431</v>
      </c>
      <c r="AL389">
        <v>-17.321501933800619</v>
      </c>
      <c r="AM389">
        <v>6.9483310685564632</v>
      </c>
      <c r="AN389">
        <v>6.8528141990448317</v>
      </c>
    </row>
    <row r="390" spans="1:40" x14ac:dyDescent="0.25">
      <c r="A390" s="1" t="s">
        <v>1119</v>
      </c>
      <c r="B390">
        <v>86399507294</v>
      </c>
      <c r="C390" t="s">
        <v>84</v>
      </c>
      <c r="D390" t="s">
        <v>127</v>
      </c>
      <c r="E390">
        <v>12982000000</v>
      </c>
      <c r="F390">
        <v>-4461000000</v>
      </c>
      <c r="G390">
        <v>-4414000000</v>
      </c>
      <c r="H390">
        <v>-5136000000</v>
      </c>
      <c r="I390">
        <v>-4957000000</v>
      </c>
      <c r="J390">
        <v>-6896000000</v>
      </c>
      <c r="K390">
        <v>6154000000</v>
      </c>
      <c r="L390">
        <v>1132000000</v>
      </c>
      <c r="M390">
        <v>7286000000</v>
      </c>
      <c r="N390">
        <v>9412000000</v>
      </c>
      <c r="O390">
        <v>1135000000</v>
      </c>
      <c r="P390">
        <v>175000000</v>
      </c>
      <c r="Q390">
        <v>8194000000</v>
      </c>
      <c r="R390">
        <v>6921000000</v>
      </c>
      <c r="S390">
        <v>18712000000</v>
      </c>
      <c r="T390">
        <v>0</v>
      </c>
      <c r="U390">
        <v>1240000000</v>
      </c>
      <c r="V390">
        <v>8942000000</v>
      </c>
      <c r="W390">
        <v>87482507294</v>
      </c>
      <c r="X390">
        <v>88722507294</v>
      </c>
      <c r="Y390">
        <v>6.6553310194114932</v>
      </c>
      <c r="Z390">
        <v>-19.367744293656131</v>
      </c>
      <c r="AA390">
        <v>-19.573970841413679</v>
      </c>
      <c r="AB390">
        <v>-16.822333974688469</v>
      </c>
      <c r="AC390">
        <v>-17.42979771918499</v>
      </c>
      <c r="AD390">
        <v>-12.528930872099769</v>
      </c>
      <c r="AE390">
        <v>-19.888479554808342</v>
      </c>
      <c r="AF390">
        <v>-19.61051497287604</v>
      </c>
      <c r="AG390">
        <v>-17.898427939076051</v>
      </c>
      <c r="AH390">
        <v>-17.648276637885822</v>
      </c>
      <c r="AI390">
        <v>-20.10025085953783</v>
      </c>
      <c r="AJ390">
        <v>-17.274631482476639</v>
      </c>
      <c r="AK390">
        <v>-19.819326527865879</v>
      </c>
      <c r="AL390">
        <v>-17.03319846066978</v>
      </c>
      <c r="AM390">
        <v>6.8342710902788477</v>
      </c>
      <c r="AN390">
        <v>6.7387542207672162</v>
      </c>
    </row>
    <row r="391" spans="1:40" x14ac:dyDescent="0.25">
      <c r="A391" s="1" t="s">
        <v>1118</v>
      </c>
      <c r="B391">
        <v>89271760169</v>
      </c>
      <c r="C391" t="s">
        <v>84</v>
      </c>
      <c r="D391" t="s">
        <v>127</v>
      </c>
      <c r="E391">
        <v>12982000000</v>
      </c>
      <c r="F391">
        <v>-4461000000</v>
      </c>
      <c r="G391">
        <v>-4414000000</v>
      </c>
      <c r="H391">
        <v>-5136000000</v>
      </c>
      <c r="I391">
        <v>-4957000000</v>
      </c>
      <c r="J391">
        <v>-6896000000</v>
      </c>
      <c r="K391">
        <v>6154000000</v>
      </c>
      <c r="L391">
        <v>1132000000</v>
      </c>
      <c r="M391">
        <v>7286000000</v>
      </c>
      <c r="N391">
        <v>9412000000</v>
      </c>
      <c r="O391">
        <v>1135000000</v>
      </c>
      <c r="P391">
        <v>175000000</v>
      </c>
      <c r="Q391">
        <v>8194000000</v>
      </c>
      <c r="R391">
        <v>6921000000</v>
      </c>
      <c r="S391">
        <v>18712000000</v>
      </c>
      <c r="T391">
        <v>0</v>
      </c>
      <c r="U391">
        <v>1240000000</v>
      </c>
      <c r="V391">
        <v>8942000000</v>
      </c>
      <c r="W391">
        <v>90354760169</v>
      </c>
      <c r="X391">
        <v>91594760169</v>
      </c>
      <c r="Y391">
        <v>6.8765798928516411</v>
      </c>
      <c r="Z391">
        <v>-20.011602817529699</v>
      </c>
      <c r="AA391">
        <v>-20.22468513117354</v>
      </c>
      <c r="AB391">
        <v>-17.381573241627731</v>
      </c>
      <c r="AC391">
        <v>-18.009231424046799</v>
      </c>
      <c r="AD391">
        <v>-12.945440859773781</v>
      </c>
      <c r="AE391">
        <v>-20.53233807868191</v>
      </c>
      <c r="AF391">
        <v>-20.254373496749611</v>
      </c>
      <c r="AG391">
        <v>-18.477861643937871</v>
      </c>
      <c r="AH391">
        <v>-18.227710342747631</v>
      </c>
      <c r="AI391">
        <v>-20.750965149297691</v>
      </c>
      <c r="AJ391">
        <v>-17.83387074941589</v>
      </c>
      <c r="AK391">
        <v>-20.47004081762574</v>
      </c>
      <c r="AL391">
        <v>-17.592437727609031</v>
      </c>
      <c r="AM391">
        <v>7.0555199637189956</v>
      </c>
      <c r="AN391">
        <v>6.9600030942073641</v>
      </c>
    </row>
    <row r="392" spans="1:40" x14ac:dyDescent="0.25">
      <c r="A392" s="1" t="s">
        <v>1117</v>
      </c>
      <c r="B392">
        <v>91448249926</v>
      </c>
      <c r="C392" t="s">
        <v>84</v>
      </c>
      <c r="D392" t="s">
        <v>127</v>
      </c>
      <c r="E392">
        <v>12982000000</v>
      </c>
      <c r="F392">
        <v>-4461000000</v>
      </c>
      <c r="G392">
        <v>-4414000000</v>
      </c>
      <c r="H392">
        <v>-5136000000</v>
      </c>
      <c r="I392">
        <v>-4957000000</v>
      </c>
      <c r="J392">
        <v>-6896000000</v>
      </c>
      <c r="K392">
        <v>6154000000</v>
      </c>
      <c r="L392">
        <v>1132000000</v>
      </c>
      <c r="M392">
        <v>7286000000</v>
      </c>
      <c r="N392">
        <v>9412000000</v>
      </c>
      <c r="O392">
        <v>1135000000</v>
      </c>
      <c r="P392">
        <v>175000000</v>
      </c>
      <c r="Q392">
        <v>8194000000</v>
      </c>
      <c r="R392">
        <v>6921000000</v>
      </c>
      <c r="S392">
        <v>18712000000</v>
      </c>
      <c r="T392">
        <v>0</v>
      </c>
      <c r="U392">
        <v>1240000000</v>
      </c>
      <c r="V392">
        <v>8942000000</v>
      </c>
      <c r="W392">
        <v>92531249926</v>
      </c>
      <c r="X392">
        <v>93771249926</v>
      </c>
      <c r="Y392">
        <v>7.0442343187490373</v>
      </c>
      <c r="Z392">
        <v>-20.499495612194579</v>
      </c>
      <c r="AA392">
        <v>-20.71777297825102</v>
      </c>
      <c r="AB392">
        <v>-17.80534461176012</v>
      </c>
      <c r="AC392">
        <v>-18.448305411740971</v>
      </c>
      <c r="AD392">
        <v>-13.26105712383991</v>
      </c>
      <c r="AE392">
        <v>-21.02023087334678</v>
      </c>
      <c r="AF392">
        <v>-20.742266291414481</v>
      </c>
      <c r="AG392">
        <v>-18.91693563163204</v>
      </c>
      <c r="AH392">
        <v>-18.6667843304418</v>
      </c>
      <c r="AI392">
        <v>-21.244052996375171</v>
      </c>
      <c r="AJ392">
        <v>-18.25764211954829</v>
      </c>
      <c r="AK392">
        <v>-20.96312866470322</v>
      </c>
      <c r="AL392">
        <v>-18.016209097741431</v>
      </c>
      <c r="AM392">
        <v>7.2231743896163918</v>
      </c>
      <c r="AN392">
        <v>7.1276575201047603</v>
      </c>
    </row>
    <row r="393" spans="1:40" x14ac:dyDescent="0.25">
      <c r="A393" s="1" t="s">
        <v>1116</v>
      </c>
      <c r="B393">
        <v>90627606247</v>
      </c>
      <c r="C393" t="s">
        <v>84</v>
      </c>
      <c r="D393" t="s">
        <v>127</v>
      </c>
      <c r="E393">
        <v>12982000000</v>
      </c>
      <c r="F393">
        <v>-4461000000</v>
      </c>
      <c r="G393">
        <v>-4414000000</v>
      </c>
      <c r="H393">
        <v>-5136000000</v>
      </c>
      <c r="I393">
        <v>-4957000000</v>
      </c>
      <c r="J393">
        <v>-6896000000</v>
      </c>
      <c r="K393">
        <v>6154000000</v>
      </c>
      <c r="L393">
        <v>1132000000</v>
      </c>
      <c r="M393">
        <v>7286000000</v>
      </c>
      <c r="N393">
        <v>9412000000</v>
      </c>
      <c r="O393">
        <v>1135000000</v>
      </c>
      <c r="P393">
        <v>175000000</v>
      </c>
      <c r="Q393">
        <v>8194000000</v>
      </c>
      <c r="R393">
        <v>6921000000</v>
      </c>
      <c r="S393">
        <v>18712000000</v>
      </c>
      <c r="T393">
        <v>0</v>
      </c>
      <c r="U393">
        <v>1240000000</v>
      </c>
      <c r="V393">
        <v>8942000000</v>
      </c>
      <c r="W393">
        <v>91710606247</v>
      </c>
      <c r="X393">
        <v>92950606247</v>
      </c>
      <c r="Y393">
        <v>6.9810203548759819</v>
      </c>
      <c r="Z393">
        <v>-20.315536033848911</v>
      </c>
      <c r="AA393">
        <v>-20.531854609651109</v>
      </c>
      <c r="AB393">
        <v>-17.645561963979748</v>
      </c>
      <c r="AC393">
        <v>-18.28275292455114</v>
      </c>
      <c r="AD393">
        <v>-13.14205427015661</v>
      </c>
      <c r="AE393">
        <v>-20.836271295001119</v>
      </c>
      <c r="AF393">
        <v>-20.55830671306882</v>
      </c>
      <c r="AG393">
        <v>-18.751383144442201</v>
      </c>
      <c r="AH393">
        <v>-18.501231843251968</v>
      </c>
      <c r="AI393">
        <v>-21.05813462777526</v>
      </c>
      <c r="AJ393">
        <v>-18.097859471767912</v>
      </c>
      <c r="AK393">
        <v>-20.777210296103309</v>
      </c>
      <c r="AL393">
        <v>-17.856426449961059</v>
      </c>
      <c r="AM393">
        <v>7.1599604257433374</v>
      </c>
      <c r="AN393">
        <v>7.0644435562317058</v>
      </c>
    </row>
    <row r="394" spans="1:40" x14ac:dyDescent="0.25">
      <c r="A394" s="1" t="s">
        <v>1115</v>
      </c>
      <c r="B394">
        <v>90484885607</v>
      </c>
      <c r="C394" t="s">
        <v>84</v>
      </c>
      <c r="D394" t="s">
        <v>127</v>
      </c>
      <c r="E394">
        <v>12982000000</v>
      </c>
      <c r="F394">
        <v>-4461000000</v>
      </c>
      <c r="G394">
        <v>-4414000000</v>
      </c>
      <c r="H394">
        <v>-5136000000</v>
      </c>
      <c r="I394">
        <v>-4957000000</v>
      </c>
      <c r="J394">
        <v>-6896000000</v>
      </c>
      <c r="K394">
        <v>6154000000</v>
      </c>
      <c r="L394">
        <v>1132000000</v>
      </c>
      <c r="M394">
        <v>7286000000</v>
      </c>
      <c r="N394">
        <v>9412000000</v>
      </c>
      <c r="O394">
        <v>1135000000</v>
      </c>
      <c r="P394">
        <v>175000000</v>
      </c>
      <c r="Q394">
        <v>8194000000</v>
      </c>
      <c r="R394">
        <v>6921000000</v>
      </c>
      <c r="S394">
        <v>18712000000</v>
      </c>
      <c r="T394">
        <v>0</v>
      </c>
      <c r="U394">
        <v>1240000000</v>
      </c>
      <c r="V394">
        <v>8942000000</v>
      </c>
      <c r="W394">
        <v>91567885607</v>
      </c>
      <c r="X394">
        <v>92807885607</v>
      </c>
      <c r="Y394">
        <v>6.9700266220150979</v>
      </c>
      <c r="Z394">
        <v>-20.283543063662851</v>
      </c>
      <c r="AA394">
        <v>-20.49952098028999</v>
      </c>
      <c r="AB394">
        <v>-17.617773677375389</v>
      </c>
      <c r="AC394">
        <v>-18.253961187613481</v>
      </c>
      <c r="AD394">
        <v>-13.121358121664731</v>
      </c>
      <c r="AE394">
        <v>-20.804278324815069</v>
      </c>
      <c r="AF394">
        <v>-20.52631374288276</v>
      </c>
      <c r="AG394">
        <v>-18.722591407504542</v>
      </c>
      <c r="AH394">
        <v>-18.472440106314298</v>
      </c>
      <c r="AI394">
        <v>-21.025800998414141</v>
      </c>
      <c r="AJ394">
        <v>-18.070071185163549</v>
      </c>
      <c r="AK394">
        <v>-20.744876666742179</v>
      </c>
      <c r="AL394">
        <v>-17.8286381633567</v>
      </c>
      <c r="AM394">
        <v>7.1489666928824516</v>
      </c>
      <c r="AN394">
        <v>7.0534498233708209</v>
      </c>
    </row>
    <row r="395" spans="1:40" x14ac:dyDescent="0.25">
      <c r="A395" s="1" t="s">
        <v>1114</v>
      </c>
      <c r="B395">
        <v>88593837131</v>
      </c>
      <c r="C395" t="s">
        <v>84</v>
      </c>
      <c r="D395" t="s">
        <v>127</v>
      </c>
      <c r="E395">
        <v>12982000000</v>
      </c>
      <c r="F395">
        <v>-4461000000</v>
      </c>
      <c r="G395">
        <v>-4414000000</v>
      </c>
      <c r="H395">
        <v>-5136000000</v>
      </c>
      <c r="I395">
        <v>-4957000000</v>
      </c>
      <c r="J395">
        <v>-6896000000</v>
      </c>
      <c r="K395">
        <v>6154000000</v>
      </c>
      <c r="L395">
        <v>1132000000</v>
      </c>
      <c r="M395">
        <v>7286000000</v>
      </c>
      <c r="N395">
        <v>9412000000</v>
      </c>
      <c r="O395">
        <v>1135000000</v>
      </c>
      <c r="P395">
        <v>175000000</v>
      </c>
      <c r="Q395">
        <v>8194000000</v>
      </c>
      <c r="R395">
        <v>6921000000</v>
      </c>
      <c r="S395">
        <v>18712000000</v>
      </c>
      <c r="T395">
        <v>0</v>
      </c>
      <c r="U395">
        <v>1240000000</v>
      </c>
      <c r="V395">
        <v>8942000000</v>
      </c>
      <c r="W395">
        <v>89676837131</v>
      </c>
      <c r="X395">
        <v>90916837131</v>
      </c>
      <c r="Y395">
        <v>6.8243596619164997</v>
      </c>
      <c r="Z395">
        <v>-19.85963620959426</v>
      </c>
      <c r="AA395">
        <v>-20.071100392161309</v>
      </c>
      <c r="AB395">
        <v>-17.249578880646421</v>
      </c>
      <c r="AC395">
        <v>-17.872470673996371</v>
      </c>
      <c r="AD395">
        <v>-12.84713415472738</v>
      </c>
      <c r="AE395">
        <v>-20.380371470746471</v>
      </c>
      <c r="AF395">
        <v>-20.102406888814169</v>
      </c>
      <c r="AG395">
        <v>-18.341100893887429</v>
      </c>
      <c r="AH395">
        <v>-18.0909495926972</v>
      </c>
      <c r="AI395">
        <v>-20.59738041028546</v>
      </c>
      <c r="AJ395">
        <v>-17.701876388434581</v>
      </c>
      <c r="AK395">
        <v>-20.316456078613498</v>
      </c>
      <c r="AL395">
        <v>-17.460443366627729</v>
      </c>
      <c r="AM395">
        <v>7.0032997327838542</v>
      </c>
      <c r="AN395">
        <v>6.9077828632722227</v>
      </c>
    </row>
    <row r="396" spans="1:40" x14ac:dyDescent="0.25">
      <c r="A396" s="1" t="s">
        <v>1113</v>
      </c>
      <c r="B396">
        <v>88540316891</v>
      </c>
      <c r="C396" t="s">
        <v>84</v>
      </c>
      <c r="D396" t="s">
        <v>127</v>
      </c>
      <c r="E396">
        <v>12982000000</v>
      </c>
      <c r="F396">
        <v>-4461000000</v>
      </c>
      <c r="G396">
        <v>-4414000000</v>
      </c>
      <c r="H396">
        <v>-5136000000</v>
      </c>
      <c r="I396">
        <v>-4957000000</v>
      </c>
      <c r="J396">
        <v>-6896000000</v>
      </c>
      <c r="K396">
        <v>6154000000</v>
      </c>
      <c r="L396">
        <v>1132000000</v>
      </c>
      <c r="M396">
        <v>7286000000</v>
      </c>
      <c r="N396">
        <v>9412000000</v>
      </c>
      <c r="O396">
        <v>1135000000</v>
      </c>
      <c r="P396">
        <v>175000000</v>
      </c>
      <c r="Q396">
        <v>8194000000</v>
      </c>
      <c r="R396">
        <v>6921000000</v>
      </c>
      <c r="S396">
        <v>18712000000</v>
      </c>
      <c r="T396">
        <v>0</v>
      </c>
      <c r="U396">
        <v>1240000000</v>
      </c>
      <c r="V396">
        <v>8942000000</v>
      </c>
      <c r="W396">
        <v>89623316891</v>
      </c>
      <c r="X396">
        <v>90863316891</v>
      </c>
      <c r="Y396">
        <v>6.8202370120936679</v>
      </c>
      <c r="Z396">
        <v>-19.84763884577449</v>
      </c>
      <c r="AA396">
        <v>-20.058975281150879</v>
      </c>
      <c r="AB396">
        <v>-17.239158273169782</v>
      </c>
      <c r="AC396">
        <v>-17.86167377264475</v>
      </c>
      <c r="AD396">
        <v>-12.83937309904292</v>
      </c>
      <c r="AE396">
        <v>-20.368374106926701</v>
      </c>
      <c r="AF396">
        <v>-20.090409524994399</v>
      </c>
      <c r="AG396">
        <v>-18.330303992535811</v>
      </c>
      <c r="AH396">
        <v>-18.080152691345571</v>
      </c>
      <c r="AI396">
        <v>-20.58525529927503</v>
      </c>
      <c r="AJ396">
        <v>-17.691455780957941</v>
      </c>
      <c r="AK396">
        <v>-20.304330967603079</v>
      </c>
      <c r="AL396">
        <v>-17.450022759151089</v>
      </c>
      <c r="AM396">
        <v>6.9991770829610234</v>
      </c>
      <c r="AN396">
        <v>6.9036602134493918</v>
      </c>
    </row>
    <row r="397" spans="1:40" x14ac:dyDescent="0.25">
      <c r="A397" s="1" t="s">
        <v>1112</v>
      </c>
      <c r="B397">
        <v>94712984560</v>
      </c>
      <c r="C397" t="s">
        <v>84</v>
      </c>
      <c r="D397" t="s">
        <v>127</v>
      </c>
      <c r="E397">
        <v>12982000000</v>
      </c>
      <c r="F397">
        <v>-4461000000</v>
      </c>
      <c r="G397">
        <v>-4414000000</v>
      </c>
      <c r="H397">
        <v>-5136000000</v>
      </c>
      <c r="I397">
        <v>-4957000000</v>
      </c>
      <c r="J397">
        <v>-6896000000</v>
      </c>
      <c r="K397">
        <v>6154000000</v>
      </c>
      <c r="L397">
        <v>1132000000</v>
      </c>
      <c r="M397">
        <v>7286000000</v>
      </c>
      <c r="N397">
        <v>9412000000</v>
      </c>
      <c r="O397">
        <v>1135000000</v>
      </c>
      <c r="P397">
        <v>175000000</v>
      </c>
      <c r="Q397">
        <v>8194000000</v>
      </c>
      <c r="R397">
        <v>6921000000</v>
      </c>
      <c r="S397">
        <v>18712000000</v>
      </c>
      <c r="T397">
        <v>0</v>
      </c>
      <c r="U397">
        <v>1240000000</v>
      </c>
      <c r="V397">
        <v>8942000000</v>
      </c>
      <c r="W397">
        <v>95795984560</v>
      </c>
      <c r="X397">
        <v>97035984560</v>
      </c>
      <c r="Y397">
        <v>7.2957159574795867</v>
      </c>
      <c r="Z397">
        <v>-21.231334803855638</v>
      </c>
      <c r="AA397">
        <v>-21.457404748527409</v>
      </c>
      <c r="AB397">
        <v>-18.441001666666661</v>
      </c>
      <c r="AC397">
        <v>-19.10691639297962</v>
      </c>
      <c r="AD397">
        <v>-13.73448151972158</v>
      </c>
      <c r="AE397">
        <v>-21.75207006500785</v>
      </c>
      <c r="AF397">
        <v>-21.47410548307554</v>
      </c>
      <c r="AG397">
        <v>-19.575546612870689</v>
      </c>
      <c r="AH397">
        <v>-19.325395311680449</v>
      </c>
      <c r="AI397">
        <v>-21.98368476665156</v>
      </c>
      <c r="AJ397">
        <v>-18.893299174454832</v>
      </c>
      <c r="AK397">
        <v>-21.702760434979609</v>
      </c>
      <c r="AL397">
        <v>-18.65186615264798</v>
      </c>
      <c r="AM397">
        <v>7.4746560283469421</v>
      </c>
      <c r="AN397">
        <v>7.3791391588353106</v>
      </c>
    </row>
    <row r="398" spans="1:40" x14ac:dyDescent="0.25">
      <c r="A398" s="1" t="s">
        <v>1111</v>
      </c>
      <c r="B398">
        <v>93696100002</v>
      </c>
      <c r="C398" t="s">
        <v>84</v>
      </c>
      <c r="D398" t="s">
        <v>127</v>
      </c>
      <c r="E398">
        <v>12982000000</v>
      </c>
      <c r="F398">
        <v>-4461000000</v>
      </c>
      <c r="G398">
        <v>-4414000000</v>
      </c>
      <c r="H398">
        <v>-5136000000</v>
      </c>
      <c r="I398">
        <v>-4957000000</v>
      </c>
      <c r="J398">
        <v>-6896000000</v>
      </c>
      <c r="K398">
        <v>6154000000</v>
      </c>
      <c r="L398">
        <v>1132000000</v>
      </c>
      <c r="M398">
        <v>7286000000</v>
      </c>
      <c r="N398">
        <v>9412000000</v>
      </c>
      <c r="O398">
        <v>1135000000</v>
      </c>
      <c r="P398">
        <v>175000000</v>
      </c>
      <c r="Q398">
        <v>8194000000</v>
      </c>
      <c r="R398">
        <v>6921000000</v>
      </c>
      <c r="S398">
        <v>18712000000</v>
      </c>
      <c r="T398">
        <v>0</v>
      </c>
      <c r="U398">
        <v>1240000000</v>
      </c>
      <c r="V398">
        <v>8942000000</v>
      </c>
      <c r="W398">
        <v>94779100002</v>
      </c>
      <c r="X398">
        <v>96019100002</v>
      </c>
      <c r="Y398">
        <v>7.2173856109998464</v>
      </c>
      <c r="Z398">
        <v>-21.003384891728309</v>
      </c>
      <c r="AA398">
        <v>-21.227027639782509</v>
      </c>
      <c r="AB398">
        <v>-18.243010125000001</v>
      </c>
      <c r="AC398">
        <v>-18.901775267702241</v>
      </c>
      <c r="AD398">
        <v>-13.587021462006961</v>
      </c>
      <c r="AE398">
        <v>-21.524120152880521</v>
      </c>
      <c r="AF398">
        <v>-21.246155570948218</v>
      </c>
      <c r="AG398">
        <v>-19.370405487593299</v>
      </c>
      <c r="AH398">
        <v>-19.12025418640307</v>
      </c>
      <c r="AI398">
        <v>-21.75330765790666</v>
      </c>
      <c r="AJ398">
        <v>-18.695307632788161</v>
      </c>
      <c r="AK398">
        <v>-21.472383326234709</v>
      </c>
      <c r="AL398">
        <v>-18.453874610981309</v>
      </c>
      <c r="AM398">
        <v>7.396325681867201</v>
      </c>
      <c r="AN398">
        <v>7.3008088123555694</v>
      </c>
    </row>
    <row r="399" spans="1:40" x14ac:dyDescent="0.25">
      <c r="A399" s="1" t="s">
        <v>1110</v>
      </c>
      <c r="B399">
        <v>97870678715</v>
      </c>
      <c r="C399" t="s">
        <v>84</v>
      </c>
      <c r="D399" t="s">
        <v>127</v>
      </c>
      <c r="E399">
        <v>12982000000</v>
      </c>
      <c r="F399">
        <v>-4461000000</v>
      </c>
      <c r="G399">
        <v>-4414000000</v>
      </c>
      <c r="H399">
        <v>-5136000000</v>
      </c>
      <c r="I399">
        <v>-4957000000</v>
      </c>
      <c r="J399">
        <v>-6896000000</v>
      </c>
      <c r="K399">
        <v>6154000000</v>
      </c>
      <c r="L399">
        <v>1132000000</v>
      </c>
      <c r="M399">
        <v>7286000000</v>
      </c>
      <c r="N399">
        <v>9412000000</v>
      </c>
      <c r="O399">
        <v>1135000000</v>
      </c>
      <c r="P399">
        <v>175000000</v>
      </c>
      <c r="Q399">
        <v>8194000000</v>
      </c>
      <c r="R399">
        <v>6921000000</v>
      </c>
      <c r="S399">
        <v>18712000000</v>
      </c>
      <c r="T399">
        <v>0</v>
      </c>
      <c r="U399">
        <v>1240000000</v>
      </c>
      <c r="V399">
        <v>8942000000</v>
      </c>
      <c r="W399">
        <v>98953678715</v>
      </c>
      <c r="X399">
        <v>100193678715</v>
      </c>
      <c r="Y399">
        <v>7.5389522966415026</v>
      </c>
      <c r="Z399">
        <v>-21.93917926810132</v>
      </c>
      <c r="AA399">
        <v>-22.17278629700952</v>
      </c>
      <c r="AB399">
        <v>-19.055817506814641</v>
      </c>
      <c r="AC399">
        <v>-19.743933571716759</v>
      </c>
      <c r="AD399">
        <v>-14.19238380437935</v>
      </c>
      <c r="AE399">
        <v>-22.459914529253531</v>
      </c>
      <c r="AF399">
        <v>-22.181949947321229</v>
      </c>
      <c r="AG399">
        <v>-20.212563791607831</v>
      </c>
      <c r="AH399">
        <v>-19.962412490417591</v>
      </c>
      <c r="AI399">
        <v>-22.69906631513367</v>
      </c>
      <c r="AJ399">
        <v>-19.508115014602801</v>
      </c>
      <c r="AK399">
        <v>-22.418141983461709</v>
      </c>
      <c r="AL399">
        <v>-19.266681992795949</v>
      </c>
      <c r="AM399">
        <v>7.717892367508858</v>
      </c>
      <c r="AN399">
        <v>7.6223754979972274</v>
      </c>
    </row>
    <row r="400" spans="1:40" x14ac:dyDescent="0.25">
      <c r="A400" s="1" t="s">
        <v>1109</v>
      </c>
      <c r="B400">
        <v>95979630238</v>
      </c>
      <c r="C400" t="s">
        <v>84</v>
      </c>
      <c r="D400" t="s">
        <v>127</v>
      </c>
      <c r="E400">
        <v>12982000000</v>
      </c>
      <c r="F400">
        <v>-4461000000</v>
      </c>
      <c r="G400">
        <v>-4414000000</v>
      </c>
      <c r="H400">
        <v>-5136000000</v>
      </c>
      <c r="I400">
        <v>-4957000000</v>
      </c>
      <c r="J400">
        <v>-6896000000</v>
      </c>
      <c r="K400">
        <v>6154000000</v>
      </c>
      <c r="L400">
        <v>1132000000</v>
      </c>
      <c r="M400">
        <v>7286000000</v>
      </c>
      <c r="N400">
        <v>9412000000</v>
      </c>
      <c r="O400">
        <v>1135000000</v>
      </c>
      <c r="P400">
        <v>175000000</v>
      </c>
      <c r="Q400">
        <v>8194000000</v>
      </c>
      <c r="R400">
        <v>6921000000</v>
      </c>
      <c r="S400">
        <v>18712000000</v>
      </c>
      <c r="T400">
        <v>0</v>
      </c>
      <c r="U400">
        <v>1240000000</v>
      </c>
      <c r="V400">
        <v>8942000000</v>
      </c>
      <c r="W400">
        <v>97062630238</v>
      </c>
      <c r="X400">
        <v>98302630238</v>
      </c>
      <c r="Y400">
        <v>7.3932853364658762</v>
      </c>
      <c r="Z400">
        <v>-21.51527241380856</v>
      </c>
      <c r="AA400">
        <v>-21.744365708654279</v>
      </c>
      <c r="AB400">
        <v>-18.68762270989097</v>
      </c>
      <c r="AC400">
        <v>-19.36244305789792</v>
      </c>
      <c r="AD400">
        <v>-13.918159837296979</v>
      </c>
      <c r="AE400">
        <v>-22.036007674960771</v>
      </c>
      <c r="AF400">
        <v>-21.758043093028469</v>
      </c>
      <c r="AG400">
        <v>-19.831073277788981</v>
      </c>
      <c r="AH400">
        <v>-19.580921976598749</v>
      </c>
      <c r="AI400">
        <v>-22.270645726778429</v>
      </c>
      <c r="AJ400">
        <v>-19.13992021767913</v>
      </c>
      <c r="AK400">
        <v>-21.989721395106478</v>
      </c>
      <c r="AL400">
        <v>-18.898487195872271</v>
      </c>
      <c r="AM400">
        <v>7.5722254073332307</v>
      </c>
      <c r="AN400">
        <v>7.4767085378215992</v>
      </c>
    </row>
    <row r="401" spans="1:40" x14ac:dyDescent="0.25">
      <c r="A401" s="1" t="s">
        <v>1108</v>
      </c>
      <c r="B401">
        <v>94570263920</v>
      </c>
      <c r="C401" t="s">
        <v>84</v>
      </c>
      <c r="D401" t="s">
        <v>127</v>
      </c>
      <c r="E401">
        <v>12982000000</v>
      </c>
      <c r="F401">
        <v>-4461000000</v>
      </c>
      <c r="G401">
        <v>-4414000000</v>
      </c>
      <c r="H401">
        <v>-5136000000</v>
      </c>
      <c r="I401">
        <v>-4957000000</v>
      </c>
      <c r="J401">
        <v>-6896000000</v>
      </c>
      <c r="K401">
        <v>6154000000</v>
      </c>
      <c r="L401">
        <v>1132000000</v>
      </c>
      <c r="M401">
        <v>7286000000</v>
      </c>
      <c r="N401">
        <v>9412000000</v>
      </c>
      <c r="O401">
        <v>1135000000</v>
      </c>
      <c r="P401">
        <v>175000000</v>
      </c>
      <c r="Q401">
        <v>8194000000</v>
      </c>
      <c r="R401">
        <v>6921000000</v>
      </c>
      <c r="S401">
        <v>18712000000</v>
      </c>
      <c r="T401">
        <v>0</v>
      </c>
      <c r="U401">
        <v>1240000000</v>
      </c>
      <c r="V401">
        <v>8942000000</v>
      </c>
      <c r="W401">
        <v>95653263920</v>
      </c>
      <c r="X401">
        <v>96893263920</v>
      </c>
      <c r="Y401">
        <v>7.2847222246187027</v>
      </c>
      <c r="Z401">
        <v>-21.199341833669578</v>
      </c>
      <c r="AA401">
        <v>-21.42507111916629</v>
      </c>
      <c r="AB401">
        <v>-18.413213380062309</v>
      </c>
      <c r="AC401">
        <v>-19.078124656041961</v>
      </c>
      <c r="AD401">
        <v>-13.713785371229701</v>
      </c>
      <c r="AE401">
        <v>-21.720077094821789</v>
      </c>
      <c r="AF401">
        <v>-21.442112512889491</v>
      </c>
      <c r="AG401">
        <v>-19.546754875933029</v>
      </c>
      <c r="AH401">
        <v>-19.29660357474279</v>
      </c>
      <c r="AI401">
        <v>-21.951351137290441</v>
      </c>
      <c r="AJ401">
        <v>-18.865510887850469</v>
      </c>
      <c r="AK401">
        <v>-21.67042680561849</v>
      </c>
      <c r="AL401">
        <v>-18.62407786604361</v>
      </c>
      <c r="AM401">
        <v>7.4636622954860572</v>
      </c>
      <c r="AN401">
        <v>7.3681454259744266</v>
      </c>
    </row>
    <row r="402" spans="1:40" x14ac:dyDescent="0.25">
      <c r="A402" s="1" t="s">
        <v>1107</v>
      </c>
      <c r="B402">
        <v>95961790158</v>
      </c>
      <c r="C402" t="s">
        <v>84</v>
      </c>
      <c r="D402" t="s">
        <v>127</v>
      </c>
      <c r="E402">
        <v>12982000000</v>
      </c>
      <c r="F402">
        <v>-4461000000</v>
      </c>
      <c r="G402">
        <v>-4414000000</v>
      </c>
      <c r="H402">
        <v>-5136000000</v>
      </c>
      <c r="I402">
        <v>-4957000000</v>
      </c>
      <c r="J402">
        <v>-6896000000</v>
      </c>
      <c r="K402">
        <v>6154000000</v>
      </c>
      <c r="L402">
        <v>1132000000</v>
      </c>
      <c r="M402">
        <v>7286000000</v>
      </c>
      <c r="N402">
        <v>9412000000</v>
      </c>
      <c r="O402">
        <v>1135000000</v>
      </c>
      <c r="P402">
        <v>175000000</v>
      </c>
      <c r="Q402">
        <v>8194000000</v>
      </c>
      <c r="R402">
        <v>6921000000</v>
      </c>
      <c r="S402">
        <v>18712000000</v>
      </c>
      <c r="T402">
        <v>0</v>
      </c>
      <c r="U402">
        <v>1240000000</v>
      </c>
      <c r="V402">
        <v>8942000000</v>
      </c>
      <c r="W402">
        <v>97044790158</v>
      </c>
      <c r="X402">
        <v>98284790158</v>
      </c>
      <c r="Y402">
        <v>7.391911119858265</v>
      </c>
      <c r="Z402">
        <v>-21.511273292535311</v>
      </c>
      <c r="AA402">
        <v>-21.740324004984139</v>
      </c>
      <c r="AB402">
        <v>-18.684149174065421</v>
      </c>
      <c r="AC402">
        <v>-19.35884409078071</v>
      </c>
      <c r="AD402">
        <v>-13.9155728187355</v>
      </c>
      <c r="AE402">
        <v>-22.032008553687511</v>
      </c>
      <c r="AF402">
        <v>-21.754043971755209</v>
      </c>
      <c r="AG402">
        <v>-19.827474310671779</v>
      </c>
      <c r="AH402">
        <v>-19.577323009481539</v>
      </c>
      <c r="AI402">
        <v>-22.26660402310829</v>
      </c>
      <c r="AJ402">
        <v>-19.136446681853581</v>
      </c>
      <c r="AK402">
        <v>-21.985679691436339</v>
      </c>
      <c r="AL402">
        <v>-18.895013660046729</v>
      </c>
      <c r="AM402">
        <v>7.5708511907256204</v>
      </c>
      <c r="AN402">
        <v>7.4753343212139889</v>
      </c>
    </row>
    <row r="403" spans="1:40" x14ac:dyDescent="0.25">
      <c r="A403" s="1" t="s">
        <v>1106</v>
      </c>
      <c r="B403">
        <v>96960834636</v>
      </c>
      <c r="C403" t="s">
        <v>84</v>
      </c>
      <c r="D403" t="s">
        <v>127</v>
      </c>
      <c r="E403">
        <v>12982000000</v>
      </c>
      <c r="F403">
        <v>-4461000000</v>
      </c>
      <c r="G403">
        <v>-4414000000</v>
      </c>
      <c r="H403">
        <v>-5136000000</v>
      </c>
      <c r="I403">
        <v>-4957000000</v>
      </c>
      <c r="J403">
        <v>-6896000000</v>
      </c>
      <c r="K403">
        <v>6154000000</v>
      </c>
      <c r="L403">
        <v>1132000000</v>
      </c>
      <c r="M403">
        <v>7286000000</v>
      </c>
      <c r="N403">
        <v>9412000000</v>
      </c>
      <c r="O403">
        <v>1135000000</v>
      </c>
      <c r="P403">
        <v>175000000</v>
      </c>
      <c r="Q403">
        <v>8194000000</v>
      </c>
      <c r="R403">
        <v>6921000000</v>
      </c>
      <c r="S403">
        <v>18712000000</v>
      </c>
      <c r="T403">
        <v>0</v>
      </c>
      <c r="U403">
        <v>1240000000</v>
      </c>
      <c r="V403">
        <v>8942000000</v>
      </c>
      <c r="W403">
        <v>98043834636</v>
      </c>
      <c r="X403">
        <v>99283834636</v>
      </c>
      <c r="Y403">
        <v>7.4688672497303958</v>
      </c>
      <c r="Z403">
        <v>-21.73522408338938</v>
      </c>
      <c r="AA403">
        <v>-21.966659410058899</v>
      </c>
      <c r="AB403">
        <v>-18.87866717990654</v>
      </c>
      <c r="AC403">
        <v>-19.56038624894089</v>
      </c>
      <c r="AD403">
        <v>-14.060445857888631</v>
      </c>
      <c r="AE403">
        <v>-22.25595934454158</v>
      </c>
      <c r="AF403">
        <v>-21.977994762609281</v>
      </c>
      <c r="AG403">
        <v>-20.029016468831951</v>
      </c>
      <c r="AH403">
        <v>-19.778865167641719</v>
      </c>
      <c r="AI403">
        <v>-22.49293942818305</v>
      </c>
      <c r="AJ403">
        <v>-19.330964687694699</v>
      </c>
      <c r="AK403">
        <v>-22.212015096511099</v>
      </c>
      <c r="AL403">
        <v>-19.089531665887851</v>
      </c>
      <c r="AM403">
        <v>7.6478073205977504</v>
      </c>
      <c r="AN403">
        <v>7.5522904510861188</v>
      </c>
    </row>
    <row r="404" spans="1:40" x14ac:dyDescent="0.25">
      <c r="A404" s="1" t="s">
        <v>1105</v>
      </c>
      <c r="B404">
        <v>93892340882</v>
      </c>
      <c r="C404" t="s">
        <v>84</v>
      </c>
      <c r="D404" t="s">
        <v>127</v>
      </c>
      <c r="E404">
        <v>12982000000</v>
      </c>
      <c r="F404">
        <v>-4461000000</v>
      </c>
      <c r="G404">
        <v>-4414000000</v>
      </c>
      <c r="H404">
        <v>-5136000000</v>
      </c>
      <c r="I404">
        <v>-4957000000</v>
      </c>
      <c r="J404">
        <v>-6896000000</v>
      </c>
      <c r="K404">
        <v>6154000000</v>
      </c>
      <c r="L404">
        <v>1132000000</v>
      </c>
      <c r="M404">
        <v>7286000000</v>
      </c>
      <c r="N404">
        <v>9412000000</v>
      </c>
      <c r="O404">
        <v>1135000000</v>
      </c>
      <c r="P404">
        <v>175000000</v>
      </c>
      <c r="Q404">
        <v>8194000000</v>
      </c>
      <c r="R404">
        <v>6921000000</v>
      </c>
      <c r="S404">
        <v>18712000000</v>
      </c>
      <c r="T404">
        <v>0</v>
      </c>
      <c r="U404">
        <v>1240000000</v>
      </c>
      <c r="V404">
        <v>8942000000</v>
      </c>
      <c r="W404">
        <v>94975340882</v>
      </c>
      <c r="X404">
        <v>96215340882</v>
      </c>
      <c r="Y404">
        <v>7.2325019936835622</v>
      </c>
      <c r="Z404">
        <v>-21.04737522573414</v>
      </c>
      <c r="AA404">
        <v>-21.271486380154059</v>
      </c>
      <c r="AB404">
        <v>-18.281219019081</v>
      </c>
      <c r="AC404">
        <v>-18.94136390599153</v>
      </c>
      <c r="AD404">
        <v>-13.615478666183289</v>
      </c>
      <c r="AE404">
        <v>-21.568110486886351</v>
      </c>
      <c r="AF404">
        <v>-21.290145904954041</v>
      </c>
      <c r="AG404">
        <v>-19.409994125882591</v>
      </c>
      <c r="AH404">
        <v>-19.159842824692351</v>
      </c>
      <c r="AI404">
        <v>-21.79776639827821</v>
      </c>
      <c r="AJ404">
        <v>-18.73351652686916</v>
      </c>
      <c r="AK404">
        <v>-21.516842066606252</v>
      </c>
      <c r="AL404">
        <v>-18.4920835050623</v>
      </c>
      <c r="AM404">
        <v>7.4114420645509167</v>
      </c>
      <c r="AN404">
        <v>7.3159251950392852</v>
      </c>
    </row>
    <row r="405" spans="1:40" x14ac:dyDescent="0.25">
      <c r="A405" s="1" t="s">
        <v>1104</v>
      </c>
      <c r="B405">
        <v>91805051525</v>
      </c>
      <c r="C405" t="s">
        <v>84</v>
      </c>
      <c r="D405" t="s">
        <v>127</v>
      </c>
      <c r="E405">
        <v>12982000000</v>
      </c>
      <c r="F405">
        <v>-4461000000</v>
      </c>
      <c r="G405">
        <v>-4414000000</v>
      </c>
      <c r="H405">
        <v>-5136000000</v>
      </c>
      <c r="I405">
        <v>-4957000000</v>
      </c>
      <c r="J405">
        <v>-6896000000</v>
      </c>
      <c r="K405">
        <v>6154000000</v>
      </c>
      <c r="L405">
        <v>1132000000</v>
      </c>
      <c r="M405">
        <v>7286000000</v>
      </c>
      <c r="N405">
        <v>9412000000</v>
      </c>
      <c r="O405">
        <v>1135000000</v>
      </c>
      <c r="P405">
        <v>175000000</v>
      </c>
      <c r="Q405">
        <v>8194000000</v>
      </c>
      <c r="R405">
        <v>6921000000</v>
      </c>
      <c r="S405">
        <v>18712000000</v>
      </c>
      <c r="T405">
        <v>0</v>
      </c>
      <c r="U405">
        <v>1240000000</v>
      </c>
      <c r="V405">
        <v>8942000000</v>
      </c>
      <c r="W405">
        <v>92888051525</v>
      </c>
      <c r="X405">
        <v>94128051525</v>
      </c>
      <c r="Y405">
        <v>7.0717186508242182</v>
      </c>
      <c r="Z405">
        <v>-20.57947803743555</v>
      </c>
      <c r="AA405">
        <v>-20.798607051427279</v>
      </c>
      <c r="AB405">
        <v>-17.87481532807632</v>
      </c>
      <c r="AC405">
        <v>-18.520284753883399</v>
      </c>
      <c r="AD405">
        <v>-13.31279749492459</v>
      </c>
      <c r="AE405">
        <v>-21.100213298587761</v>
      </c>
      <c r="AF405">
        <v>-20.822248716655459</v>
      </c>
      <c r="AG405">
        <v>-18.98891497377446</v>
      </c>
      <c r="AH405">
        <v>-18.73876367258422</v>
      </c>
      <c r="AI405">
        <v>-21.32488706955143</v>
      </c>
      <c r="AJ405">
        <v>-18.32711283586449</v>
      </c>
      <c r="AK405">
        <v>-21.043962737879479</v>
      </c>
      <c r="AL405">
        <v>-18.085679814057631</v>
      </c>
      <c r="AM405">
        <v>7.2506587216915728</v>
      </c>
      <c r="AN405">
        <v>7.1551418521799413</v>
      </c>
    </row>
    <row r="406" spans="1:40" x14ac:dyDescent="0.25">
      <c r="A406" s="1" t="s">
        <v>1103</v>
      </c>
      <c r="B406">
        <v>90984407847</v>
      </c>
      <c r="C406" t="s">
        <v>84</v>
      </c>
      <c r="D406" t="s">
        <v>127</v>
      </c>
      <c r="E406">
        <v>12982000000</v>
      </c>
      <c r="F406">
        <v>-4461000000</v>
      </c>
      <c r="G406">
        <v>-4414000000</v>
      </c>
      <c r="H406">
        <v>-5136000000</v>
      </c>
      <c r="I406">
        <v>-4957000000</v>
      </c>
      <c r="J406">
        <v>-6896000000</v>
      </c>
      <c r="K406">
        <v>6154000000</v>
      </c>
      <c r="L406">
        <v>1132000000</v>
      </c>
      <c r="M406">
        <v>7286000000</v>
      </c>
      <c r="N406">
        <v>9412000000</v>
      </c>
      <c r="O406">
        <v>1135000000</v>
      </c>
      <c r="P406">
        <v>175000000</v>
      </c>
      <c r="Q406">
        <v>8194000000</v>
      </c>
      <c r="R406">
        <v>6921000000</v>
      </c>
      <c r="S406">
        <v>18712000000</v>
      </c>
      <c r="T406">
        <v>0</v>
      </c>
      <c r="U406">
        <v>1240000000</v>
      </c>
      <c r="V406">
        <v>8942000000</v>
      </c>
      <c r="W406">
        <v>92067407847</v>
      </c>
      <c r="X406">
        <v>93307407847</v>
      </c>
      <c r="Y406">
        <v>7.0085046870281928</v>
      </c>
      <c r="Z406">
        <v>-20.395518459314051</v>
      </c>
      <c r="AA406">
        <v>-20.612688683053921</v>
      </c>
      <c r="AB406">
        <v>-17.715032680490651</v>
      </c>
      <c r="AC406">
        <v>-18.354732266895301</v>
      </c>
      <c r="AD406">
        <v>-13.19379464138631</v>
      </c>
      <c r="AE406">
        <v>-20.916253720466258</v>
      </c>
      <c r="AF406">
        <v>-20.63828913853396</v>
      </c>
      <c r="AG406">
        <v>-18.823362486786358</v>
      </c>
      <c r="AH406">
        <v>-18.573211185596129</v>
      </c>
      <c r="AI406">
        <v>-21.138968701178069</v>
      </c>
      <c r="AJ406">
        <v>-18.167330188278811</v>
      </c>
      <c r="AK406">
        <v>-20.858044369506121</v>
      </c>
      <c r="AL406">
        <v>-17.925897166471959</v>
      </c>
      <c r="AM406">
        <v>7.1874447578955474</v>
      </c>
      <c r="AN406">
        <v>7.0919278883839159</v>
      </c>
    </row>
    <row r="407" spans="1:40" x14ac:dyDescent="0.25">
      <c r="A407" s="1" t="s">
        <v>1102</v>
      </c>
      <c r="B407">
        <v>90074563768</v>
      </c>
      <c r="C407" t="s">
        <v>84</v>
      </c>
      <c r="D407" t="s">
        <v>127</v>
      </c>
      <c r="E407">
        <v>12982000000</v>
      </c>
      <c r="F407">
        <v>-4461000000</v>
      </c>
      <c r="G407">
        <v>-4414000000</v>
      </c>
      <c r="H407">
        <v>-5136000000</v>
      </c>
      <c r="I407">
        <v>-4957000000</v>
      </c>
      <c r="J407">
        <v>-6896000000</v>
      </c>
      <c r="K407">
        <v>6154000000</v>
      </c>
      <c r="L407">
        <v>1132000000</v>
      </c>
      <c r="M407">
        <v>7286000000</v>
      </c>
      <c r="N407">
        <v>9412000000</v>
      </c>
      <c r="O407">
        <v>1135000000</v>
      </c>
      <c r="P407">
        <v>175000000</v>
      </c>
      <c r="Q407">
        <v>8194000000</v>
      </c>
      <c r="R407">
        <v>6921000000</v>
      </c>
      <c r="S407">
        <v>18712000000</v>
      </c>
      <c r="T407">
        <v>0</v>
      </c>
      <c r="U407">
        <v>1240000000</v>
      </c>
      <c r="V407">
        <v>8942000000</v>
      </c>
      <c r="W407">
        <v>91157563768</v>
      </c>
      <c r="X407">
        <v>92397563768</v>
      </c>
      <c r="Y407">
        <v>6.9384196401170852</v>
      </c>
      <c r="Z407">
        <v>-20.19156327460211</v>
      </c>
      <c r="AA407">
        <v>-20.406561796103311</v>
      </c>
      <c r="AB407">
        <v>-17.53788235358255</v>
      </c>
      <c r="AC407">
        <v>-18.171184944119432</v>
      </c>
      <c r="AD407">
        <v>-13.061856694895591</v>
      </c>
      <c r="AE407">
        <v>-20.712298535754311</v>
      </c>
      <c r="AF407">
        <v>-20.434333953822009</v>
      </c>
      <c r="AG407">
        <v>-18.639815164010489</v>
      </c>
      <c r="AH407">
        <v>-18.38966386282025</v>
      </c>
      <c r="AI407">
        <v>-20.932841814227459</v>
      </c>
      <c r="AJ407">
        <v>-17.99017986137072</v>
      </c>
      <c r="AK407">
        <v>-20.651917482555501</v>
      </c>
      <c r="AL407">
        <v>-17.748746839563861</v>
      </c>
      <c r="AM407">
        <v>7.1173597109844398</v>
      </c>
      <c r="AN407">
        <v>7.0218428414728082</v>
      </c>
    </row>
    <row r="408" spans="1:40" x14ac:dyDescent="0.25">
      <c r="A408" s="1" t="s">
        <v>1101</v>
      </c>
      <c r="B408">
        <v>90324324888</v>
      </c>
      <c r="C408" t="s">
        <v>84</v>
      </c>
      <c r="D408" t="s">
        <v>127</v>
      </c>
      <c r="E408">
        <v>12982000000</v>
      </c>
      <c r="F408">
        <v>-4461000000</v>
      </c>
      <c r="G408">
        <v>-4414000000</v>
      </c>
      <c r="H408">
        <v>-5136000000</v>
      </c>
      <c r="I408">
        <v>-4957000000</v>
      </c>
      <c r="J408">
        <v>-6896000000</v>
      </c>
      <c r="K408">
        <v>6154000000</v>
      </c>
      <c r="L408">
        <v>1132000000</v>
      </c>
      <c r="M408">
        <v>7286000000</v>
      </c>
      <c r="N408">
        <v>9412000000</v>
      </c>
      <c r="O408">
        <v>1135000000</v>
      </c>
      <c r="P408">
        <v>175000000</v>
      </c>
      <c r="Q408">
        <v>8194000000</v>
      </c>
      <c r="R408">
        <v>6921000000</v>
      </c>
      <c r="S408">
        <v>18712000000</v>
      </c>
      <c r="T408">
        <v>0</v>
      </c>
      <c r="U408">
        <v>1240000000</v>
      </c>
      <c r="V408">
        <v>8942000000</v>
      </c>
      <c r="W408">
        <v>91407324888</v>
      </c>
      <c r="X408">
        <v>92647324888</v>
      </c>
      <c r="Y408">
        <v>6.9576586726236327</v>
      </c>
      <c r="Z408">
        <v>-20.24755097242771</v>
      </c>
      <c r="AA408">
        <v>-20.46314564748527</v>
      </c>
      <c r="AB408">
        <v>-17.586511855140191</v>
      </c>
      <c r="AC408">
        <v>-18.221570483760338</v>
      </c>
      <c r="AD408">
        <v>-13.098074954756379</v>
      </c>
      <c r="AE408">
        <v>-20.768286233579911</v>
      </c>
      <c r="AF408">
        <v>-20.490321651647609</v>
      </c>
      <c r="AG408">
        <v>-18.690200703651399</v>
      </c>
      <c r="AH408">
        <v>-18.44004940246117</v>
      </c>
      <c r="AI408">
        <v>-20.989425665609421</v>
      </c>
      <c r="AJ408">
        <v>-18.038809362928351</v>
      </c>
      <c r="AK408">
        <v>-20.70850133393747</v>
      </c>
      <c r="AL408">
        <v>-17.797376341121499</v>
      </c>
      <c r="AM408">
        <v>7.1365987434909872</v>
      </c>
      <c r="AN408">
        <v>7.0410818739793557</v>
      </c>
    </row>
    <row r="409" spans="1:40" x14ac:dyDescent="0.25">
      <c r="A409" s="1" t="s">
        <v>1100</v>
      </c>
      <c r="B409">
        <v>90306484808</v>
      </c>
      <c r="C409" t="s">
        <v>84</v>
      </c>
      <c r="D409" t="s">
        <v>127</v>
      </c>
      <c r="E409">
        <v>12982000000</v>
      </c>
      <c r="F409">
        <v>-4461000000</v>
      </c>
      <c r="G409">
        <v>-4414000000</v>
      </c>
      <c r="H409">
        <v>-5136000000</v>
      </c>
      <c r="I409">
        <v>-4957000000</v>
      </c>
      <c r="J409">
        <v>-6896000000</v>
      </c>
      <c r="K409">
        <v>6154000000</v>
      </c>
      <c r="L409">
        <v>1132000000</v>
      </c>
      <c r="M409">
        <v>7286000000</v>
      </c>
      <c r="N409">
        <v>9412000000</v>
      </c>
      <c r="O409">
        <v>1135000000</v>
      </c>
      <c r="P409">
        <v>175000000</v>
      </c>
      <c r="Q409">
        <v>8194000000</v>
      </c>
      <c r="R409">
        <v>6921000000</v>
      </c>
      <c r="S409">
        <v>18712000000</v>
      </c>
      <c r="T409">
        <v>0</v>
      </c>
      <c r="U409">
        <v>1240000000</v>
      </c>
      <c r="V409">
        <v>8942000000</v>
      </c>
      <c r="W409">
        <v>91389484808</v>
      </c>
      <c r="X409">
        <v>92629484808</v>
      </c>
      <c r="Y409">
        <v>6.9562844560160224</v>
      </c>
      <c r="Z409">
        <v>-20.24355185115445</v>
      </c>
      <c r="AA409">
        <v>-20.45910394381513</v>
      </c>
      <c r="AB409">
        <v>-17.583038319314639</v>
      </c>
      <c r="AC409">
        <v>-18.217971516643129</v>
      </c>
      <c r="AD409">
        <v>-13.0954879361949</v>
      </c>
      <c r="AE409">
        <v>-20.764287112306661</v>
      </c>
      <c r="AF409">
        <v>-20.486322530374359</v>
      </c>
      <c r="AG409">
        <v>-18.68660173653419</v>
      </c>
      <c r="AH409">
        <v>-18.436450435343961</v>
      </c>
      <c r="AI409">
        <v>-20.985383961939281</v>
      </c>
      <c r="AJ409">
        <v>-18.035335827102799</v>
      </c>
      <c r="AK409">
        <v>-20.70445963026733</v>
      </c>
      <c r="AL409">
        <v>-17.79390280529595</v>
      </c>
      <c r="AM409">
        <v>7.1352245268833769</v>
      </c>
      <c r="AN409">
        <v>7.0397076573717454</v>
      </c>
    </row>
    <row r="410" spans="1:40" x14ac:dyDescent="0.25">
      <c r="A410" s="1" t="s">
        <v>1099</v>
      </c>
      <c r="B410">
        <v>92411614244</v>
      </c>
      <c r="C410" t="s">
        <v>84</v>
      </c>
      <c r="D410" t="s">
        <v>127</v>
      </c>
      <c r="E410">
        <v>12982000000</v>
      </c>
      <c r="F410">
        <v>-4461000000</v>
      </c>
      <c r="G410">
        <v>-4414000000</v>
      </c>
      <c r="H410">
        <v>-5136000000</v>
      </c>
      <c r="I410">
        <v>-4957000000</v>
      </c>
      <c r="J410">
        <v>-6896000000</v>
      </c>
      <c r="K410">
        <v>6154000000</v>
      </c>
      <c r="L410">
        <v>1132000000</v>
      </c>
      <c r="M410">
        <v>7286000000</v>
      </c>
      <c r="N410">
        <v>9412000000</v>
      </c>
      <c r="O410">
        <v>1135000000</v>
      </c>
      <c r="P410">
        <v>175000000</v>
      </c>
      <c r="Q410">
        <v>8194000000</v>
      </c>
      <c r="R410">
        <v>6921000000</v>
      </c>
      <c r="S410">
        <v>18712000000</v>
      </c>
      <c r="T410">
        <v>0</v>
      </c>
      <c r="U410">
        <v>1240000000</v>
      </c>
      <c r="V410">
        <v>8942000000</v>
      </c>
      <c r="W410">
        <v>93494614244</v>
      </c>
      <c r="X410">
        <v>94734614244</v>
      </c>
      <c r="Y410">
        <v>7.1184420154059467</v>
      </c>
      <c r="Z410">
        <v>-20.715448160502131</v>
      </c>
      <c r="AA410">
        <v>-20.9360249759855</v>
      </c>
      <c r="AB410">
        <v>-17.992915545950151</v>
      </c>
      <c r="AC410">
        <v>-18.642649635666729</v>
      </c>
      <c r="AD410">
        <v>-13.400756125870069</v>
      </c>
      <c r="AE410">
        <v>-21.236183421654339</v>
      </c>
      <c r="AF410">
        <v>-20.95821883972204</v>
      </c>
      <c r="AG410">
        <v>-19.1112798555578</v>
      </c>
      <c r="AH410">
        <v>-18.861128554367561</v>
      </c>
      <c r="AI410">
        <v>-21.462304994109651</v>
      </c>
      <c r="AJ410">
        <v>-18.445213053738321</v>
      </c>
      <c r="AK410">
        <v>-21.1813806624377</v>
      </c>
      <c r="AL410">
        <v>-18.203780031931469</v>
      </c>
      <c r="AM410">
        <v>7.2973820862733012</v>
      </c>
      <c r="AN410">
        <v>7.2018652167616697</v>
      </c>
    </row>
    <row r="411" spans="1:40" x14ac:dyDescent="0.25">
      <c r="A411" s="1" t="s">
        <v>1098</v>
      </c>
      <c r="B411">
        <v>95943950078</v>
      </c>
      <c r="C411" t="s">
        <v>84</v>
      </c>
      <c r="D411" t="s">
        <v>127</v>
      </c>
      <c r="E411">
        <v>12982000000</v>
      </c>
      <c r="F411">
        <v>-4461000000</v>
      </c>
      <c r="G411">
        <v>-4414000000</v>
      </c>
      <c r="H411">
        <v>-5136000000</v>
      </c>
      <c r="I411">
        <v>-4957000000</v>
      </c>
      <c r="J411">
        <v>-6896000000</v>
      </c>
      <c r="K411">
        <v>6154000000</v>
      </c>
      <c r="L411">
        <v>1132000000</v>
      </c>
      <c r="M411">
        <v>7286000000</v>
      </c>
      <c r="N411">
        <v>9412000000</v>
      </c>
      <c r="O411">
        <v>1135000000</v>
      </c>
      <c r="P411">
        <v>175000000</v>
      </c>
      <c r="Q411">
        <v>8194000000</v>
      </c>
      <c r="R411">
        <v>6921000000</v>
      </c>
      <c r="S411">
        <v>18712000000</v>
      </c>
      <c r="T411">
        <v>0</v>
      </c>
      <c r="U411">
        <v>1240000000</v>
      </c>
      <c r="V411">
        <v>8942000000</v>
      </c>
      <c r="W411">
        <v>97026950078</v>
      </c>
      <c r="X411">
        <v>98266950078</v>
      </c>
      <c r="Y411">
        <v>7.3905369032506547</v>
      </c>
      <c r="Z411">
        <v>-21.507274171262051</v>
      </c>
      <c r="AA411">
        <v>-21.736282301313999</v>
      </c>
      <c r="AB411">
        <v>-18.68067563823988</v>
      </c>
      <c r="AC411">
        <v>-19.355245123663511</v>
      </c>
      <c r="AD411">
        <v>-13.91298580017401</v>
      </c>
      <c r="AE411">
        <v>-22.028009432414262</v>
      </c>
      <c r="AF411">
        <v>-21.750044850481959</v>
      </c>
      <c r="AG411">
        <v>-19.823875343554569</v>
      </c>
      <c r="AH411">
        <v>-19.573724042364329</v>
      </c>
      <c r="AI411">
        <v>-22.26256231943815</v>
      </c>
      <c r="AJ411">
        <v>-19.132973146028039</v>
      </c>
      <c r="AK411">
        <v>-21.981637987766199</v>
      </c>
      <c r="AL411">
        <v>-18.89154012422118</v>
      </c>
      <c r="AM411">
        <v>7.5694769741180092</v>
      </c>
      <c r="AN411">
        <v>7.4739601046063777</v>
      </c>
    </row>
    <row r="412" spans="1:40" x14ac:dyDescent="0.25">
      <c r="A412" s="1" t="s">
        <v>1097</v>
      </c>
      <c r="B412">
        <v>95819069518</v>
      </c>
      <c r="C412" t="s">
        <v>84</v>
      </c>
      <c r="D412" t="s">
        <v>127</v>
      </c>
      <c r="E412">
        <v>12982000000</v>
      </c>
      <c r="F412">
        <v>-4461000000</v>
      </c>
      <c r="G412">
        <v>-4414000000</v>
      </c>
      <c r="H412">
        <v>-5136000000</v>
      </c>
      <c r="I412">
        <v>-4957000000</v>
      </c>
      <c r="J412">
        <v>-6896000000</v>
      </c>
      <c r="K412">
        <v>6154000000</v>
      </c>
      <c r="L412">
        <v>1132000000</v>
      </c>
      <c r="M412">
        <v>7286000000</v>
      </c>
      <c r="N412">
        <v>9412000000</v>
      </c>
      <c r="O412">
        <v>1135000000</v>
      </c>
      <c r="P412">
        <v>175000000</v>
      </c>
      <c r="Q412">
        <v>8194000000</v>
      </c>
      <c r="R412">
        <v>6921000000</v>
      </c>
      <c r="S412">
        <v>18712000000</v>
      </c>
      <c r="T412">
        <v>0</v>
      </c>
      <c r="U412">
        <v>1240000000</v>
      </c>
      <c r="V412">
        <v>8942000000</v>
      </c>
      <c r="W412">
        <v>96902069518</v>
      </c>
      <c r="X412">
        <v>98142069518</v>
      </c>
      <c r="Y412">
        <v>7.380917386997381</v>
      </c>
      <c r="Z412">
        <v>-21.479280322349251</v>
      </c>
      <c r="AA412">
        <v>-21.707990375623019</v>
      </c>
      <c r="AB412">
        <v>-18.656360887461059</v>
      </c>
      <c r="AC412">
        <v>-19.330052353843051</v>
      </c>
      <c r="AD412">
        <v>-13.894876670243621</v>
      </c>
      <c r="AE412">
        <v>-22.000015583501462</v>
      </c>
      <c r="AF412">
        <v>-21.722051001569159</v>
      </c>
      <c r="AG412">
        <v>-19.798682573734109</v>
      </c>
      <c r="AH412">
        <v>-19.54853127254388</v>
      </c>
      <c r="AI412">
        <v>-22.23427039374717</v>
      </c>
      <c r="AJ412">
        <v>-19.108658395249218</v>
      </c>
      <c r="AK412">
        <v>-21.953346062075219</v>
      </c>
      <c r="AL412">
        <v>-18.86722537344237</v>
      </c>
      <c r="AM412">
        <v>7.5598574578647364</v>
      </c>
      <c r="AN412">
        <v>7.464340588353104</v>
      </c>
    </row>
    <row r="413" spans="1:40" x14ac:dyDescent="0.25">
      <c r="A413" s="1" t="s">
        <v>1096</v>
      </c>
      <c r="B413">
        <v>94338342881</v>
      </c>
      <c r="C413" t="s">
        <v>84</v>
      </c>
      <c r="D413" t="s">
        <v>127</v>
      </c>
      <c r="E413">
        <v>12982000000</v>
      </c>
      <c r="F413">
        <v>-4461000000</v>
      </c>
      <c r="G413">
        <v>-4414000000</v>
      </c>
      <c r="H413">
        <v>-5136000000</v>
      </c>
      <c r="I413">
        <v>-4957000000</v>
      </c>
      <c r="J413">
        <v>-6896000000</v>
      </c>
      <c r="K413">
        <v>6154000000</v>
      </c>
      <c r="L413">
        <v>1132000000</v>
      </c>
      <c r="M413">
        <v>7286000000</v>
      </c>
      <c r="N413">
        <v>9412000000</v>
      </c>
      <c r="O413">
        <v>1135000000</v>
      </c>
      <c r="P413">
        <v>175000000</v>
      </c>
      <c r="Q413">
        <v>8194000000</v>
      </c>
      <c r="R413">
        <v>6921000000</v>
      </c>
      <c r="S413">
        <v>18712000000</v>
      </c>
      <c r="T413">
        <v>0</v>
      </c>
      <c r="U413">
        <v>1240000000</v>
      </c>
      <c r="V413">
        <v>8942000000</v>
      </c>
      <c r="W413">
        <v>95421342881</v>
      </c>
      <c r="X413">
        <v>96661342881</v>
      </c>
      <c r="Y413">
        <v>7.2668574087967954</v>
      </c>
      <c r="Z413">
        <v>-21.1473532573414</v>
      </c>
      <c r="AA413">
        <v>-21.37252897168101</v>
      </c>
      <c r="AB413">
        <v>-18.36805741452492</v>
      </c>
      <c r="AC413">
        <v>-19.031338083719991</v>
      </c>
      <c r="AD413">
        <v>-13.68015413007541</v>
      </c>
      <c r="AE413">
        <v>-21.668088518493612</v>
      </c>
      <c r="AF413">
        <v>-21.390123936561309</v>
      </c>
      <c r="AG413">
        <v>-19.499968303611059</v>
      </c>
      <c r="AH413">
        <v>-19.249817002420819</v>
      </c>
      <c r="AI413">
        <v>-21.898808989805161</v>
      </c>
      <c r="AJ413">
        <v>-18.820354922313079</v>
      </c>
      <c r="AK413">
        <v>-21.61788465813321</v>
      </c>
      <c r="AL413">
        <v>-18.578921900506231</v>
      </c>
      <c r="AM413">
        <v>7.44579747966415</v>
      </c>
      <c r="AN413">
        <v>7.3502806101525184</v>
      </c>
    </row>
    <row r="414" spans="1:40" x14ac:dyDescent="0.25">
      <c r="A414" s="1" t="s">
        <v>1095</v>
      </c>
      <c r="B414">
        <v>92714895604</v>
      </c>
      <c r="C414" t="s">
        <v>84</v>
      </c>
      <c r="D414" t="s">
        <v>127</v>
      </c>
      <c r="E414">
        <v>12982000000</v>
      </c>
      <c r="F414">
        <v>-4461000000</v>
      </c>
      <c r="G414">
        <v>-4414000000</v>
      </c>
      <c r="H414">
        <v>-5136000000</v>
      </c>
      <c r="I414">
        <v>-4957000000</v>
      </c>
      <c r="J414">
        <v>-6896000000</v>
      </c>
      <c r="K414">
        <v>6154000000</v>
      </c>
      <c r="L414">
        <v>1132000000</v>
      </c>
      <c r="M414">
        <v>7286000000</v>
      </c>
      <c r="N414">
        <v>9412000000</v>
      </c>
      <c r="O414">
        <v>1135000000</v>
      </c>
      <c r="P414">
        <v>175000000</v>
      </c>
      <c r="Q414">
        <v>8194000000</v>
      </c>
      <c r="R414">
        <v>6921000000</v>
      </c>
      <c r="S414">
        <v>18712000000</v>
      </c>
      <c r="T414">
        <v>0</v>
      </c>
      <c r="U414">
        <v>1240000000</v>
      </c>
      <c r="V414">
        <v>8942000000</v>
      </c>
      <c r="W414">
        <v>93797895604</v>
      </c>
      <c r="X414">
        <v>95037895604</v>
      </c>
      <c r="Y414">
        <v>7.1418036977353259</v>
      </c>
      <c r="Z414">
        <v>-20.783433222147501</v>
      </c>
      <c r="AA414">
        <v>-21.004733938377889</v>
      </c>
      <c r="AB414">
        <v>-18.051965654984421</v>
      </c>
      <c r="AC414">
        <v>-18.703832076659271</v>
      </c>
      <c r="AD414">
        <v>-13.444735441415309</v>
      </c>
      <c r="AE414">
        <v>-21.304168483299708</v>
      </c>
      <c r="AF414">
        <v>-21.02620390136741</v>
      </c>
      <c r="AG414">
        <v>-19.172462296550329</v>
      </c>
      <c r="AH414">
        <v>-18.9223109953601</v>
      </c>
      <c r="AI414">
        <v>-21.53101395650204</v>
      </c>
      <c r="AJ414">
        <v>-18.504263162772581</v>
      </c>
      <c r="AK414">
        <v>-21.250089624830089</v>
      </c>
      <c r="AL414">
        <v>-18.262830140965729</v>
      </c>
      <c r="AM414">
        <v>7.3207437686026804</v>
      </c>
      <c r="AN414">
        <v>7.2252268990910489</v>
      </c>
    </row>
    <row r="415" spans="1:40" x14ac:dyDescent="0.25">
      <c r="A415" s="1" t="s">
        <v>1094</v>
      </c>
      <c r="B415">
        <v>93250098003</v>
      </c>
      <c r="C415" t="s">
        <v>84</v>
      </c>
      <c r="D415" t="s">
        <v>127</v>
      </c>
      <c r="E415">
        <v>12982000000</v>
      </c>
      <c r="F415">
        <v>-4461000000</v>
      </c>
      <c r="G415">
        <v>-4414000000</v>
      </c>
      <c r="H415">
        <v>-5136000000</v>
      </c>
      <c r="I415">
        <v>-4957000000</v>
      </c>
      <c r="J415">
        <v>-6896000000</v>
      </c>
      <c r="K415">
        <v>6154000000</v>
      </c>
      <c r="L415">
        <v>1132000000</v>
      </c>
      <c r="M415">
        <v>7286000000</v>
      </c>
      <c r="N415">
        <v>9412000000</v>
      </c>
      <c r="O415">
        <v>1135000000</v>
      </c>
      <c r="P415">
        <v>175000000</v>
      </c>
      <c r="Q415">
        <v>8194000000</v>
      </c>
      <c r="R415">
        <v>6921000000</v>
      </c>
      <c r="S415">
        <v>18712000000</v>
      </c>
      <c r="T415">
        <v>0</v>
      </c>
      <c r="U415">
        <v>1240000000</v>
      </c>
      <c r="V415">
        <v>8942000000</v>
      </c>
      <c r="W415">
        <v>94333098003</v>
      </c>
      <c r="X415">
        <v>95573098003</v>
      </c>
      <c r="Y415">
        <v>7.1830301958866123</v>
      </c>
      <c r="Z415">
        <v>-20.903406860121049</v>
      </c>
      <c r="AA415">
        <v>-21.125985048255551</v>
      </c>
      <c r="AB415">
        <v>-18.156171729556071</v>
      </c>
      <c r="AC415">
        <v>-18.81180108997377</v>
      </c>
      <c r="AD415">
        <v>-13.522345998114851</v>
      </c>
      <c r="AE415">
        <v>-21.42414212127326</v>
      </c>
      <c r="AF415">
        <v>-21.14617753934095</v>
      </c>
      <c r="AG415">
        <v>-19.280431309864841</v>
      </c>
      <c r="AH415">
        <v>-19.030280008674598</v>
      </c>
      <c r="AI415">
        <v>-21.652265066379702</v>
      </c>
      <c r="AJ415">
        <v>-18.608469237344242</v>
      </c>
      <c r="AK415">
        <v>-21.371340734707751</v>
      </c>
      <c r="AL415">
        <v>-18.367036215537379</v>
      </c>
      <c r="AM415">
        <v>7.3619702667539668</v>
      </c>
      <c r="AN415">
        <v>7.2664533972423353</v>
      </c>
    </row>
    <row r="416" spans="1:40" x14ac:dyDescent="0.25">
      <c r="A416" s="1" t="s">
        <v>1093</v>
      </c>
      <c r="B416">
        <v>94820025040</v>
      </c>
      <c r="C416" t="s">
        <v>84</v>
      </c>
      <c r="D416" t="s">
        <v>127</v>
      </c>
      <c r="E416">
        <v>12982000000</v>
      </c>
      <c r="F416">
        <v>-4461000000</v>
      </c>
      <c r="G416">
        <v>-4414000000</v>
      </c>
      <c r="H416">
        <v>-5136000000</v>
      </c>
      <c r="I416">
        <v>-4957000000</v>
      </c>
      <c r="J416">
        <v>-6896000000</v>
      </c>
      <c r="K416">
        <v>6154000000</v>
      </c>
      <c r="L416">
        <v>1132000000</v>
      </c>
      <c r="M416">
        <v>7286000000</v>
      </c>
      <c r="N416">
        <v>9412000000</v>
      </c>
      <c r="O416">
        <v>1135000000</v>
      </c>
      <c r="P416">
        <v>175000000</v>
      </c>
      <c r="Q416">
        <v>8194000000</v>
      </c>
      <c r="R416">
        <v>6921000000</v>
      </c>
      <c r="S416">
        <v>18712000000</v>
      </c>
      <c r="T416">
        <v>0</v>
      </c>
      <c r="U416">
        <v>1240000000</v>
      </c>
      <c r="V416">
        <v>8942000000</v>
      </c>
      <c r="W416">
        <v>95903025040</v>
      </c>
      <c r="X416">
        <v>97143025040</v>
      </c>
      <c r="Y416">
        <v>7.3039612571252501</v>
      </c>
      <c r="Z416">
        <v>-21.255329531495178</v>
      </c>
      <c r="AA416">
        <v>-21.481654970548259</v>
      </c>
      <c r="AB416">
        <v>-18.46184288161994</v>
      </c>
      <c r="AC416">
        <v>-19.128510195682871</v>
      </c>
      <c r="AD416">
        <v>-13.75000363109049</v>
      </c>
      <c r="AE416">
        <v>-21.776064792647389</v>
      </c>
      <c r="AF416">
        <v>-21.498100210715091</v>
      </c>
      <c r="AG416">
        <v>-19.597140415573939</v>
      </c>
      <c r="AH416">
        <v>-19.3469891143837</v>
      </c>
      <c r="AI416">
        <v>-22.00793498867241</v>
      </c>
      <c r="AJ416">
        <v>-18.9141403894081</v>
      </c>
      <c r="AK416">
        <v>-21.727010657000449</v>
      </c>
      <c r="AL416">
        <v>-18.672707367601241</v>
      </c>
      <c r="AM416">
        <v>7.4829013279926064</v>
      </c>
      <c r="AN416">
        <v>7.387384458480974</v>
      </c>
    </row>
    <row r="417" spans="1:40" x14ac:dyDescent="0.25">
      <c r="A417" s="1" t="s">
        <v>83</v>
      </c>
      <c r="B417">
        <v>91800000000</v>
      </c>
      <c r="C417" t="s">
        <v>84</v>
      </c>
      <c r="D417" t="s">
        <v>127</v>
      </c>
      <c r="E417">
        <v>12982000000</v>
      </c>
      <c r="F417">
        <v>-4461000000</v>
      </c>
      <c r="G417">
        <v>-4414000000</v>
      </c>
      <c r="H417">
        <v>-5136000000</v>
      </c>
      <c r="I417">
        <v>-4957000000</v>
      </c>
      <c r="J417">
        <v>-6896000000</v>
      </c>
      <c r="K417">
        <v>6154000000</v>
      </c>
      <c r="L417">
        <v>1132000000</v>
      </c>
      <c r="M417">
        <v>7286000000</v>
      </c>
      <c r="N417">
        <v>9412000000</v>
      </c>
      <c r="O417">
        <v>1135000000</v>
      </c>
      <c r="P417">
        <v>175000000</v>
      </c>
      <c r="Q417">
        <v>8194000000</v>
      </c>
      <c r="R417">
        <v>6921000000</v>
      </c>
      <c r="S417">
        <v>18712000000</v>
      </c>
      <c r="T417">
        <v>0</v>
      </c>
      <c r="U417">
        <v>1240000000</v>
      </c>
      <c r="V417">
        <v>8942000000</v>
      </c>
      <c r="W417">
        <v>92883000000</v>
      </c>
      <c r="X417">
        <v>94123000000</v>
      </c>
      <c r="Y417">
        <v>7.0713295331998154</v>
      </c>
      <c r="Z417">
        <v>-20.578345662407528</v>
      </c>
      <c r="AA417">
        <v>-20.79746261893974</v>
      </c>
      <c r="AB417">
        <v>-17.873831775700939</v>
      </c>
      <c r="AC417">
        <v>-18.519265684890051</v>
      </c>
      <c r="AD417">
        <v>-13.312064965197219</v>
      </c>
      <c r="AE417">
        <v>-21.09908092355974</v>
      </c>
      <c r="AF417">
        <v>-20.821116341627441</v>
      </c>
      <c r="AG417">
        <v>-18.987895904781119</v>
      </c>
      <c r="AH417">
        <v>-18.73774460359088</v>
      </c>
      <c r="AI417">
        <v>-21.323742637063891</v>
      </c>
      <c r="AJ417">
        <v>-18.326129283489099</v>
      </c>
      <c r="AK417">
        <v>-21.04281830539194</v>
      </c>
      <c r="AL417">
        <v>-18.08469626168224</v>
      </c>
      <c r="AM417">
        <v>7.2502696040671699</v>
      </c>
      <c r="AN417">
        <v>7.1547527345555384</v>
      </c>
    </row>
    <row r="418" spans="1:40" x14ac:dyDescent="0.25">
      <c r="A418" s="1" t="s">
        <v>1092</v>
      </c>
      <c r="B418">
        <v>92052000000</v>
      </c>
      <c r="C418" t="s">
        <v>84</v>
      </c>
      <c r="D418" t="s">
        <v>127</v>
      </c>
      <c r="E418">
        <v>12982000000</v>
      </c>
      <c r="F418">
        <v>-4461000000</v>
      </c>
      <c r="G418">
        <v>-4414000000</v>
      </c>
      <c r="H418">
        <v>-5136000000</v>
      </c>
      <c r="I418">
        <v>-4957000000</v>
      </c>
      <c r="J418">
        <v>-6896000000</v>
      </c>
      <c r="K418">
        <v>6154000000</v>
      </c>
      <c r="L418">
        <v>1132000000</v>
      </c>
      <c r="M418">
        <v>7286000000</v>
      </c>
      <c r="N418">
        <v>9412000000</v>
      </c>
      <c r="O418">
        <v>1135000000</v>
      </c>
      <c r="P418">
        <v>175000000</v>
      </c>
      <c r="Q418">
        <v>8194000000</v>
      </c>
      <c r="R418">
        <v>6921000000</v>
      </c>
      <c r="S418">
        <v>18712000000</v>
      </c>
      <c r="T418">
        <v>0</v>
      </c>
      <c r="U418">
        <v>1240000000</v>
      </c>
      <c r="V418">
        <v>8942000000</v>
      </c>
      <c r="W418">
        <v>93135000000</v>
      </c>
      <c r="X418">
        <v>94375000000</v>
      </c>
      <c r="Y418">
        <v>7.0907410260360502</v>
      </c>
      <c r="Z418">
        <v>-20.634835238735711</v>
      </c>
      <c r="AA418">
        <v>-20.854553692795651</v>
      </c>
      <c r="AB418">
        <v>-17.92289719626168</v>
      </c>
      <c r="AC418">
        <v>-18.570102884809359</v>
      </c>
      <c r="AD418">
        <v>-13.34860788863109</v>
      </c>
      <c r="AE418">
        <v>-21.155570499887919</v>
      </c>
      <c r="AF418">
        <v>-20.87760591795562</v>
      </c>
      <c r="AG418">
        <v>-19.03873310470042</v>
      </c>
      <c r="AH418">
        <v>-18.788581803510191</v>
      </c>
      <c r="AI418">
        <v>-21.380833710919799</v>
      </c>
      <c r="AJ418">
        <v>-18.375194704049839</v>
      </c>
      <c r="AK418">
        <v>-21.099909379247851</v>
      </c>
      <c r="AL418">
        <v>-18.133761682242991</v>
      </c>
      <c r="AM418">
        <v>7.2696810969034047</v>
      </c>
      <c r="AN418">
        <v>7.1741642273917732</v>
      </c>
    </row>
    <row r="419" spans="1:40" x14ac:dyDescent="0.25">
      <c r="A419" s="1" t="s">
        <v>1091</v>
      </c>
      <c r="B419">
        <v>97218000000</v>
      </c>
      <c r="C419" t="s">
        <v>84</v>
      </c>
      <c r="D419" t="s">
        <v>127</v>
      </c>
      <c r="E419">
        <v>12982000000</v>
      </c>
      <c r="F419">
        <v>-4461000000</v>
      </c>
      <c r="G419">
        <v>-4414000000</v>
      </c>
      <c r="H419">
        <v>-5136000000</v>
      </c>
      <c r="I419">
        <v>-4957000000</v>
      </c>
      <c r="J419">
        <v>-6896000000</v>
      </c>
      <c r="K419">
        <v>6154000000</v>
      </c>
      <c r="L419">
        <v>1132000000</v>
      </c>
      <c r="M419">
        <v>7286000000</v>
      </c>
      <c r="N419">
        <v>9412000000</v>
      </c>
      <c r="O419">
        <v>1135000000</v>
      </c>
      <c r="P419">
        <v>175000000</v>
      </c>
      <c r="Q419">
        <v>8194000000</v>
      </c>
      <c r="R419">
        <v>6921000000</v>
      </c>
      <c r="S419">
        <v>18712000000</v>
      </c>
      <c r="T419">
        <v>0</v>
      </c>
      <c r="U419">
        <v>1240000000</v>
      </c>
      <c r="V419">
        <v>8942000000</v>
      </c>
      <c r="W419">
        <v>98301000000</v>
      </c>
      <c r="X419">
        <v>99541000000</v>
      </c>
      <c r="Y419">
        <v>7.4886766291788627</v>
      </c>
      <c r="Z419">
        <v>-21.79287155346335</v>
      </c>
      <c r="AA419">
        <v>-22.024920706841868</v>
      </c>
      <c r="AB419">
        <v>-18.928738317757009</v>
      </c>
      <c r="AC419">
        <v>-19.612265483155131</v>
      </c>
      <c r="AD419">
        <v>-14.09773781902552</v>
      </c>
      <c r="AE419">
        <v>-22.313606814615561</v>
      </c>
      <c r="AF419">
        <v>-22.035642232683259</v>
      </c>
      <c r="AG419">
        <v>-20.080895703046199</v>
      </c>
      <c r="AH419">
        <v>-19.830744401855959</v>
      </c>
      <c r="AI419">
        <v>-22.551200724966019</v>
      </c>
      <c r="AJ419">
        <v>-19.381035825545169</v>
      </c>
      <c r="AK419">
        <v>-22.270276393294061</v>
      </c>
      <c r="AL419">
        <v>-19.13960280373832</v>
      </c>
      <c r="AM419">
        <v>7.6676167000462181</v>
      </c>
      <c r="AN419">
        <v>7.5720998305345866</v>
      </c>
    </row>
    <row r="420" spans="1:40" x14ac:dyDescent="0.25">
      <c r="A420" s="1" t="s">
        <v>1090</v>
      </c>
      <c r="B420">
        <v>94464000000</v>
      </c>
      <c r="C420" t="s">
        <v>84</v>
      </c>
      <c r="D420" t="s">
        <v>127</v>
      </c>
      <c r="E420">
        <v>12982000000</v>
      </c>
      <c r="F420">
        <v>-4461000000</v>
      </c>
      <c r="G420">
        <v>-4414000000</v>
      </c>
      <c r="H420">
        <v>-5136000000</v>
      </c>
      <c r="I420">
        <v>-4957000000</v>
      </c>
      <c r="J420">
        <v>-6896000000</v>
      </c>
      <c r="K420">
        <v>6154000000</v>
      </c>
      <c r="L420">
        <v>1132000000</v>
      </c>
      <c r="M420">
        <v>7286000000</v>
      </c>
      <c r="N420">
        <v>9412000000</v>
      </c>
      <c r="O420">
        <v>1135000000</v>
      </c>
      <c r="P420">
        <v>175000000</v>
      </c>
      <c r="Q420">
        <v>8194000000</v>
      </c>
      <c r="R420">
        <v>6921000000</v>
      </c>
      <c r="S420">
        <v>18712000000</v>
      </c>
      <c r="T420">
        <v>0</v>
      </c>
      <c r="U420">
        <v>1240000000</v>
      </c>
      <c r="V420">
        <v>8942000000</v>
      </c>
      <c r="W420">
        <v>95547000000</v>
      </c>
      <c r="X420">
        <v>96787000000</v>
      </c>
      <c r="Y420">
        <v>7.2765367431828682</v>
      </c>
      <c r="Z420">
        <v>-21.175521183591119</v>
      </c>
      <c r="AA420">
        <v>-21.40099682827368</v>
      </c>
      <c r="AB420">
        <v>-18.392523364485982</v>
      </c>
      <c r="AC420">
        <v>-19.056687512608431</v>
      </c>
      <c r="AD420">
        <v>-13.69837587006961</v>
      </c>
      <c r="AE420">
        <v>-21.69625644474333</v>
      </c>
      <c r="AF420">
        <v>-21.418291862811031</v>
      </c>
      <c r="AG420">
        <v>-19.525317732499499</v>
      </c>
      <c r="AH420">
        <v>-19.275166431309259</v>
      </c>
      <c r="AI420">
        <v>-21.92727684639782</v>
      </c>
      <c r="AJ420">
        <v>-18.844820872274141</v>
      </c>
      <c r="AK420">
        <v>-21.646352514725869</v>
      </c>
      <c r="AL420">
        <v>-18.603387850467289</v>
      </c>
      <c r="AM420">
        <v>7.4554768140502237</v>
      </c>
      <c r="AN420">
        <v>7.3599599445385921</v>
      </c>
    </row>
    <row r="421" spans="1:40" x14ac:dyDescent="0.25">
      <c r="A421" s="1" t="s">
        <v>1089</v>
      </c>
      <c r="B421">
        <v>101034000000</v>
      </c>
      <c r="C421" t="s">
        <v>84</v>
      </c>
      <c r="D421" t="s">
        <v>127</v>
      </c>
      <c r="E421">
        <v>12982000000</v>
      </c>
      <c r="F421">
        <v>-4461000000</v>
      </c>
      <c r="G421">
        <v>-4414000000</v>
      </c>
      <c r="H421">
        <v>-5136000000</v>
      </c>
      <c r="I421">
        <v>-4957000000</v>
      </c>
      <c r="J421">
        <v>-6896000000</v>
      </c>
      <c r="K421">
        <v>6154000000</v>
      </c>
      <c r="L421">
        <v>1132000000</v>
      </c>
      <c r="M421">
        <v>7286000000</v>
      </c>
      <c r="N421">
        <v>9412000000</v>
      </c>
      <c r="O421">
        <v>1135000000</v>
      </c>
      <c r="P421">
        <v>175000000</v>
      </c>
      <c r="Q421">
        <v>8194000000</v>
      </c>
      <c r="R421">
        <v>6921000000</v>
      </c>
      <c r="S421">
        <v>18712000000</v>
      </c>
      <c r="T421">
        <v>0</v>
      </c>
      <c r="U421">
        <v>1240000000</v>
      </c>
      <c r="V421">
        <v>8942000000</v>
      </c>
      <c r="W421">
        <v>102117000000</v>
      </c>
      <c r="X421">
        <v>103357000000</v>
      </c>
      <c r="Y421">
        <v>7.7826220921275624</v>
      </c>
      <c r="Z421">
        <v>-22.648285137861471</v>
      </c>
      <c r="AA421">
        <v>-22.889442682374259</v>
      </c>
      <c r="AB421">
        <v>-19.671728971962619</v>
      </c>
      <c r="AC421">
        <v>-20.382085939076049</v>
      </c>
      <c r="AD421">
        <v>-14.65110208816705</v>
      </c>
      <c r="AE421">
        <v>-23.169020399013679</v>
      </c>
      <c r="AF421">
        <v>-22.891055817081369</v>
      </c>
      <c r="AG421">
        <v>-20.850716158967121</v>
      </c>
      <c r="AH421">
        <v>-20.600564857776881</v>
      </c>
      <c r="AI421">
        <v>-23.41572270049841</v>
      </c>
      <c r="AJ421">
        <v>-20.124026479750778</v>
      </c>
      <c r="AK421">
        <v>-23.134798368826459</v>
      </c>
      <c r="AL421">
        <v>-19.88259345794393</v>
      </c>
      <c r="AM421">
        <v>7.961562162994916</v>
      </c>
      <c r="AN421">
        <v>7.8660452934832854</v>
      </c>
    </row>
    <row r="422" spans="1:40" x14ac:dyDescent="0.25">
      <c r="A422" s="1" t="s">
        <v>1088</v>
      </c>
      <c r="B422">
        <v>95904000000</v>
      </c>
      <c r="C422" t="s">
        <v>84</v>
      </c>
      <c r="D422" t="s">
        <v>127</v>
      </c>
      <c r="E422">
        <v>12982000000</v>
      </c>
      <c r="F422">
        <v>-4461000000</v>
      </c>
      <c r="G422">
        <v>-4414000000</v>
      </c>
      <c r="H422">
        <v>-5136000000</v>
      </c>
      <c r="I422">
        <v>-4957000000</v>
      </c>
      <c r="J422">
        <v>-6896000000</v>
      </c>
      <c r="K422">
        <v>6154000000</v>
      </c>
      <c r="L422">
        <v>1132000000</v>
      </c>
      <c r="M422">
        <v>7286000000</v>
      </c>
      <c r="N422">
        <v>9412000000</v>
      </c>
      <c r="O422">
        <v>1135000000</v>
      </c>
      <c r="P422">
        <v>175000000</v>
      </c>
      <c r="Q422">
        <v>8194000000</v>
      </c>
      <c r="R422">
        <v>6921000000</v>
      </c>
      <c r="S422">
        <v>18712000000</v>
      </c>
      <c r="T422">
        <v>0</v>
      </c>
      <c r="U422">
        <v>1240000000</v>
      </c>
      <c r="V422">
        <v>8942000000</v>
      </c>
      <c r="W422">
        <v>96987000000</v>
      </c>
      <c r="X422">
        <v>98227000000</v>
      </c>
      <c r="Y422">
        <v>7.3874595593899244</v>
      </c>
      <c r="Z422">
        <v>-21.49831876260928</v>
      </c>
      <c r="AA422">
        <v>-21.727231536021751</v>
      </c>
      <c r="AB422">
        <v>-18.67289719626168</v>
      </c>
      <c r="AC422">
        <v>-19.347185797861609</v>
      </c>
      <c r="AD422">
        <v>-13.907192575406031</v>
      </c>
      <c r="AE422">
        <v>-22.019054023761491</v>
      </c>
      <c r="AF422">
        <v>-21.741089441829189</v>
      </c>
      <c r="AG422">
        <v>-19.81581601775267</v>
      </c>
      <c r="AH422">
        <v>-19.565664716562441</v>
      </c>
      <c r="AI422">
        <v>-22.253511554145899</v>
      </c>
      <c r="AJ422">
        <v>-19.125194704049839</v>
      </c>
      <c r="AK422">
        <v>-21.972587222473951</v>
      </c>
      <c r="AL422">
        <v>-18.883761682242991</v>
      </c>
      <c r="AM422">
        <v>7.5663996302572789</v>
      </c>
      <c r="AN422">
        <v>7.4708827607456474</v>
      </c>
    </row>
    <row r="423" spans="1:40" x14ac:dyDescent="0.25">
      <c r="A423" s="1" t="s">
        <v>1087</v>
      </c>
      <c r="B423">
        <v>98262000000</v>
      </c>
      <c r="C423" t="s">
        <v>84</v>
      </c>
      <c r="D423" t="s">
        <v>127</v>
      </c>
      <c r="E423">
        <v>12982000000</v>
      </c>
      <c r="F423">
        <v>-4461000000</v>
      </c>
      <c r="G423">
        <v>-4414000000</v>
      </c>
      <c r="H423">
        <v>-5136000000</v>
      </c>
      <c r="I423">
        <v>-4957000000</v>
      </c>
      <c r="J423">
        <v>-6896000000</v>
      </c>
      <c r="K423">
        <v>6154000000</v>
      </c>
      <c r="L423">
        <v>1132000000</v>
      </c>
      <c r="M423">
        <v>7286000000</v>
      </c>
      <c r="N423">
        <v>9412000000</v>
      </c>
      <c r="O423">
        <v>1135000000</v>
      </c>
      <c r="P423">
        <v>175000000</v>
      </c>
      <c r="Q423">
        <v>8194000000</v>
      </c>
      <c r="R423">
        <v>6921000000</v>
      </c>
      <c r="S423">
        <v>18712000000</v>
      </c>
      <c r="T423">
        <v>0</v>
      </c>
      <c r="U423">
        <v>1240000000</v>
      </c>
      <c r="V423">
        <v>8942000000</v>
      </c>
      <c r="W423">
        <v>99345000000</v>
      </c>
      <c r="X423">
        <v>100585000000</v>
      </c>
      <c r="Y423">
        <v>7.5690956709289789</v>
      </c>
      <c r="Z423">
        <v>-22.02689979825151</v>
      </c>
      <c r="AA423">
        <v>-22.26144086995922</v>
      </c>
      <c r="AB423">
        <v>-19.13200934579439</v>
      </c>
      <c r="AC423">
        <v>-19.822876739963689</v>
      </c>
      <c r="AD423">
        <v>-14.24912993039443</v>
      </c>
      <c r="AE423">
        <v>-22.547635059403721</v>
      </c>
      <c r="AF423">
        <v>-22.269670477471418</v>
      </c>
      <c r="AG423">
        <v>-20.29150695985475</v>
      </c>
      <c r="AH423">
        <v>-20.041355658664511</v>
      </c>
      <c r="AI423">
        <v>-22.787720888083371</v>
      </c>
      <c r="AJ423">
        <v>-19.58430685358255</v>
      </c>
      <c r="AK423">
        <v>-22.50679655641142</v>
      </c>
      <c r="AL423">
        <v>-19.342873831775702</v>
      </c>
      <c r="AM423">
        <v>7.7480357417963326</v>
      </c>
      <c r="AN423">
        <v>7.652518872284702</v>
      </c>
    </row>
    <row r="424" spans="1:40" x14ac:dyDescent="0.25">
      <c r="A424" s="1" t="s">
        <v>1086</v>
      </c>
      <c r="B424">
        <v>105372000000</v>
      </c>
      <c r="C424" t="s">
        <v>84</v>
      </c>
      <c r="D424" t="s">
        <v>127</v>
      </c>
      <c r="E424">
        <v>12982000000</v>
      </c>
      <c r="F424">
        <v>-4461000000</v>
      </c>
      <c r="G424">
        <v>-4414000000</v>
      </c>
      <c r="H424">
        <v>-5136000000</v>
      </c>
      <c r="I424">
        <v>-4957000000</v>
      </c>
      <c r="J424">
        <v>-6896000000</v>
      </c>
      <c r="K424">
        <v>6154000000</v>
      </c>
      <c r="L424">
        <v>1132000000</v>
      </c>
      <c r="M424">
        <v>7286000000</v>
      </c>
      <c r="N424">
        <v>9412000000</v>
      </c>
      <c r="O424">
        <v>1135000000</v>
      </c>
      <c r="P424">
        <v>175000000</v>
      </c>
      <c r="Q424">
        <v>8194000000</v>
      </c>
      <c r="R424">
        <v>6921000000</v>
      </c>
      <c r="S424">
        <v>18712000000</v>
      </c>
      <c r="T424">
        <v>0</v>
      </c>
      <c r="U424">
        <v>1240000000</v>
      </c>
      <c r="V424">
        <v>8942000000</v>
      </c>
      <c r="W424">
        <v>106455000000</v>
      </c>
      <c r="X424">
        <v>107695000000</v>
      </c>
      <c r="Y424">
        <v>8.1167770759513171</v>
      </c>
      <c r="Z424">
        <v>-23.62071284465366</v>
      </c>
      <c r="AA424">
        <v>-23.872224739465342</v>
      </c>
      <c r="AB424">
        <v>-20.516355140186921</v>
      </c>
      <c r="AC424">
        <v>-21.257212023401252</v>
      </c>
      <c r="AD424">
        <v>-15.28016241299304</v>
      </c>
      <c r="AE424">
        <v>-24.141448105805871</v>
      </c>
      <c r="AF424">
        <v>-23.863483523873569</v>
      </c>
      <c r="AG424">
        <v>-21.725842243292309</v>
      </c>
      <c r="AH424">
        <v>-21.47569094210208</v>
      </c>
      <c r="AI424">
        <v>-24.398504757589489</v>
      </c>
      <c r="AJ424">
        <v>-20.96865264797508</v>
      </c>
      <c r="AK424">
        <v>-24.117580425917531</v>
      </c>
      <c r="AL424">
        <v>-20.727219626168221</v>
      </c>
      <c r="AM424">
        <v>8.2957171468186726</v>
      </c>
      <c r="AN424">
        <v>8.2002002773070402</v>
      </c>
    </row>
    <row r="425" spans="1:40" x14ac:dyDescent="0.25">
      <c r="A425" s="1" t="s">
        <v>1085</v>
      </c>
      <c r="B425">
        <v>106920000000</v>
      </c>
      <c r="C425" t="s">
        <v>84</v>
      </c>
      <c r="D425" t="s">
        <v>127</v>
      </c>
      <c r="E425">
        <v>12982000000</v>
      </c>
      <c r="F425">
        <v>-4461000000</v>
      </c>
      <c r="G425">
        <v>-4414000000</v>
      </c>
      <c r="H425">
        <v>-5136000000</v>
      </c>
      <c r="I425">
        <v>-4957000000</v>
      </c>
      <c r="J425">
        <v>-6896000000</v>
      </c>
      <c r="K425">
        <v>6154000000</v>
      </c>
      <c r="L425">
        <v>1132000000</v>
      </c>
      <c r="M425">
        <v>7286000000</v>
      </c>
      <c r="N425">
        <v>9412000000</v>
      </c>
      <c r="O425">
        <v>1135000000</v>
      </c>
      <c r="P425">
        <v>175000000</v>
      </c>
      <c r="Q425">
        <v>8194000000</v>
      </c>
      <c r="R425">
        <v>6921000000</v>
      </c>
      <c r="S425">
        <v>18712000000</v>
      </c>
      <c r="T425">
        <v>0</v>
      </c>
      <c r="U425">
        <v>1240000000</v>
      </c>
      <c r="V425">
        <v>8942000000</v>
      </c>
      <c r="W425">
        <v>108003000000</v>
      </c>
      <c r="X425">
        <v>109243000000</v>
      </c>
      <c r="Y425">
        <v>8.2360191033739021</v>
      </c>
      <c r="Z425">
        <v>-23.967720242098181</v>
      </c>
      <c r="AA425">
        <v>-24.222927050294519</v>
      </c>
      <c r="AB425">
        <v>-20.81775700934579</v>
      </c>
      <c r="AC425">
        <v>-21.569497680048421</v>
      </c>
      <c r="AD425">
        <v>-15.5046403712297</v>
      </c>
      <c r="AE425">
        <v>-24.488455503250389</v>
      </c>
      <c r="AF425">
        <v>-24.21049092131809</v>
      </c>
      <c r="AG425">
        <v>-22.038127899939479</v>
      </c>
      <c r="AH425">
        <v>-21.787976598749239</v>
      </c>
      <c r="AI425">
        <v>-24.74920706841867</v>
      </c>
      <c r="AJ425">
        <v>-21.270054517133961</v>
      </c>
      <c r="AK425">
        <v>-24.468282736746719</v>
      </c>
      <c r="AL425">
        <v>-21.028621495327101</v>
      </c>
      <c r="AM425">
        <v>8.4149591742412575</v>
      </c>
      <c r="AN425">
        <v>8.3194423047296251</v>
      </c>
    </row>
    <row r="426" spans="1:40" x14ac:dyDescent="0.25">
      <c r="A426" s="1" t="s">
        <v>1084</v>
      </c>
      <c r="B426">
        <v>102438000000</v>
      </c>
      <c r="C426" t="s">
        <v>84</v>
      </c>
      <c r="D426" t="s">
        <v>127</v>
      </c>
      <c r="E426">
        <v>12982000000</v>
      </c>
      <c r="F426">
        <v>-4461000000</v>
      </c>
      <c r="G426">
        <v>-4414000000</v>
      </c>
      <c r="H426">
        <v>-5136000000</v>
      </c>
      <c r="I426">
        <v>-4957000000</v>
      </c>
      <c r="J426">
        <v>-6896000000</v>
      </c>
      <c r="K426">
        <v>6154000000</v>
      </c>
      <c r="L426">
        <v>1132000000</v>
      </c>
      <c r="M426">
        <v>7286000000</v>
      </c>
      <c r="N426">
        <v>9412000000</v>
      </c>
      <c r="O426">
        <v>1135000000</v>
      </c>
      <c r="P426">
        <v>175000000</v>
      </c>
      <c r="Q426">
        <v>8194000000</v>
      </c>
      <c r="R426">
        <v>6921000000</v>
      </c>
      <c r="S426">
        <v>18712000000</v>
      </c>
      <c r="T426">
        <v>0</v>
      </c>
      <c r="U426">
        <v>1240000000</v>
      </c>
      <c r="V426">
        <v>8942000000</v>
      </c>
      <c r="W426">
        <v>103521000000</v>
      </c>
      <c r="X426">
        <v>104761000000</v>
      </c>
      <c r="Y426">
        <v>7.8907718379294396</v>
      </c>
      <c r="Z426">
        <v>-22.96301277740417</v>
      </c>
      <c r="AA426">
        <v>-23.207521522428639</v>
      </c>
      <c r="AB426">
        <v>-19.94509345794393</v>
      </c>
      <c r="AC426">
        <v>-20.665321767197899</v>
      </c>
      <c r="AD426">
        <v>-14.85469837587007</v>
      </c>
      <c r="AE426">
        <v>-23.483748038556381</v>
      </c>
      <c r="AF426">
        <v>-23.205783456624079</v>
      </c>
      <c r="AG426">
        <v>-21.13395198708897</v>
      </c>
      <c r="AH426">
        <v>-20.883800685898731</v>
      </c>
      <c r="AI426">
        <v>-23.73380154055279</v>
      </c>
      <c r="AJ426">
        <v>-20.39739096573209</v>
      </c>
      <c r="AK426">
        <v>-23.452877208880839</v>
      </c>
      <c r="AL426">
        <v>-20.15595794392523</v>
      </c>
      <c r="AM426">
        <v>8.0697119087967959</v>
      </c>
      <c r="AN426">
        <v>7.9741950392851644</v>
      </c>
    </row>
    <row r="427" spans="1:40" x14ac:dyDescent="0.25">
      <c r="A427" s="1" t="s">
        <v>1083</v>
      </c>
      <c r="B427">
        <v>99936000000</v>
      </c>
      <c r="C427" t="s">
        <v>84</v>
      </c>
      <c r="D427" t="s">
        <v>127</v>
      </c>
      <c r="E427">
        <v>12982000000</v>
      </c>
      <c r="F427">
        <v>-4461000000</v>
      </c>
      <c r="G427">
        <v>-4414000000</v>
      </c>
      <c r="H427">
        <v>-5136000000</v>
      </c>
      <c r="I427">
        <v>-4957000000</v>
      </c>
      <c r="J427">
        <v>-6896000000</v>
      </c>
      <c r="K427">
        <v>6154000000</v>
      </c>
      <c r="L427">
        <v>1132000000</v>
      </c>
      <c r="M427">
        <v>7286000000</v>
      </c>
      <c r="N427">
        <v>9412000000</v>
      </c>
      <c r="O427">
        <v>1135000000</v>
      </c>
      <c r="P427">
        <v>175000000</v>
      </c>
      <c r="Q427">
        <v>8194000000</v>
      </c>
      <c r="R427">
        <v>6921000000</v>
      </c>
      <c r="S427">
        <v>18712000000</v>
      </c>
      <c r="T427">
        <v>0</v>
      </c>
      <c r="U427">
        <v>1240000000</v>
      </c>
      <c r="V427">
        <v>8942000000</v>
      </c>
      <c r="W427">
        <v>101019000000</v>
      </c>
      <c r="X427">
        <v>102259000000</v>
      </c>
      <c r="Y427">
        <v>7.6980434447696808</v>
      </c>
      <c r="Z427">
        <v>-22.402151983860119</v>
      </c>
      <c r="AA427">
        <v>-22.640688717716358</v>
      </c>
      <c r="AB427">
        <v>-19.45794392523365</v>
      </c>
      <c r="AC427">
        <v>-20.160580996570509</v>
      </c>
      <c r="AD427">
        <v>-14.491879350348031</v>
      </c>
      <c r="AE427">
        <v>-22.92288724501233</v>
      </c>
      <c r="AF427">
        <v>-22.644922663080031</v>
      </c>
      <c r="AG427">
        <v>-20.62921121646157</v>
      </c>
      <c r="AH427">
        <v>-20.379059915271331</v>
      </c>
      <c r="AI427">
        <v>-23.166968735840509</v>
      </c>
      <c r="AJ427">
        <v>-19.91024143302181</v>
      </c>
      <c r="AK427">
        <v>-22.886044404168551</v>
      </c>
      <c r="AL427">
        <v>-19.66880841121495</v>
      </c>
      <c r="AM427">
        <v>7.8769835156370362</v>
      </c>
      <c r="AN427">
        <v>7.7814666461254047</v>
      </c>
    </row>
    <row r="428" spans="1:40" x14ac:dyDescent="0.25">
      <c r="A428" s="1" t="s">
        <v>1082</v>
      </c>
      <c r="B428">
        <v>101340000000</v>
      </c>
      <c r="C428" t="s">
        <v>84</v>
      </c>
      <c r="D428" t="s">
        <v>127</v>
      </c>
      <c r="E428">
        <v>12982000000</v>
      </c>
      <c r="F428">
        <v>-4461000000</v>
      </c>
      <c r="G428">
        <v>-4414000000</v>
      </c>
      <c r="H428">
        <v>-5136000000</v>
      </c>
      <c r="I428">
        <v>-4957000000</v>
      </c>
      <c r="J428">
        <v>-6896000000</v>
      </c>
      <c r="K428">
        <v>6154000000</v>
      </c>
      <c r="L428">
        <v>1132000000</v>
      </c>
      <c r="M428">
        <v>7286000000</v>
      </c>
      <c r="N428">
        <v>9412000000</v>
      </c>
      <c r="O428">
        <v>1135000000</v>
      </c>
      <c r="P428">
        <v>175000000</v>
      </c>
      <c r="Q428">
        <v>8194000000</v>
      </c>
      <c r="R428">
        <v>6921000000</v>
      </c>
      <c r="S428">
        <v>18712000000</v>
      </c>
      <c r="T428">
        <v>0</v>
      </c>
      <c r="U428">
        <v>1240000000</v>
      </c>
      <c r="V428">
        <v>8942000000</v>
      </c>
      <c r="W428">
        <v>102423000000</v>
      </c>
      <c r="X428">
        <v>103663000000</v>
      </c>
      <c r="Y428">
        <v>7.8061931905715607</v>
      </c>
      <c r="Z428">
        <v>-22.716879623402821</v>
      </c>
      <c r="AA428">
        <v>-22.958767557770731</v>
      </c>
      <c r="AB428">
        <v>-19.73130841121495</v>
      </c>
      <c r="AC428">
        <v>-20.443816824692359</v>
      </c>
      <c r="AD428">
        <v>-14.69547563805104</v>
      </c>
      <c r="AE428">
        <v>-23.237614884555029</v>
      </c>
      <c r="AF428">
        <v>-22.95965030262273</v>
      </c>
      <c r="AG428">
        <v>-20.91244704458342</v>
      </c>
      <c r="AH428">
        <v>-20.66229574339318</v>
      </c>
      <c r="AI428">
        <v>-23.485047575894878</v>
      </c>
      <c r="AJ428">
        <v>-20.18360591900311</v>
      </c>
      <c r="AK428">
        <v>-23.204123244222931</v>
      </c>
      <c r="AL428">
        <v>-19.942172897196262</v>
      </c>
      <c r="AM428">
        <v>7.9851332614389152</v>
      </c>
      <c r="AN428">
        <v>7.8896163919272837</v>
      </c>
    </row>
    <row r="429" spans="1:40" x14ac:dyDescent="0.25">
      <c r="A429" s="1" t="s">
        <v>1081</v>
      </c>
      <c r="B429">
        <v>101484000000</v>
      </c>
      <c r="C429" t="s">
        <v>84</v>
      </c>
      <c r="D429" t="s">
        <v>127</v>
      </c>
      <c r="E429">
        <v>12982000000</v>
      </c>
      <c r="F429">
        <v>-4461000000</v>
      </c>
      <c r="G429">
        <v>-4414000000</v>
      </c>
      <c r="H429">
        <v>-5136000000</v>
      </c>
      <c r="I429">
        <v>-4957000000</v>
      </c>
      <c r="J429">
        <v>-6896000000</v>
      </c>
      <c r="K429">
        <v>6154000000</v>
      </c>
      <c r="L429">
        <v>1132000000</v>
      </c>
      <c r="M429">
        <v>7286000000</v>
      </c>
      <c r="N429">
        <v>9412000000</v>
      </c>
      <c r="O429">
        <v>1135000000</v>
      </c>
      <c r="P429">
        <v>175000000</v>
      </c>
      <c r="Q429">
        <v>8194000000</v>
      </c>
      <c r="R429">
        <v>6921000000</v>
      </c>
      <c r="S429">
        <v>18712000000</v>
      </c>
      <c r="T429">
        <v>0</v>
      </c>
      <c r="U429">
        <v>1240000000</v>
      </c>
      <c r="V429">
        <v>8942000000</v>
      </c>
      <c r="W429">
        <v>102567000000</v>
      </c>
      <c r="X429">
        <v>103807000000</v>
      </c>
      <c r="Y429">
        <v>7.8172854721922658</v>
      </c>
      <c r="Z429">
        <v>-22.74915938130464</v>
      </c>
      <c r="AA429">
        <v>-22.991391028545539</v>
      </c>
      <c r="AB429">
        <v>-19.759345794392519</v>
      </c>
      <c r="AC429">
        <v>-20.472866653217672</v>
      </c>
      <c r="AD429">
        <v>-14.716357308584691</v>
      </c>
      <c r="AE429">
        <v>-23.269894642456851</v>
      </c>
      <c r="AF429">
        <v>-22.991930060524549</v>
      </c>
      <c r="AG429">
        <v>-20.94149687310874</v>
      </c>
      <c r="AH429">
        <v>-20.6913455719185</v>
      </c>
      <c r="AI429">
        <v>-23.51767104666969</v>
      </c>
      <c r="AJ429">
        <v>-20.21164330218069</v>
      </c>
      <c r="AK429">
        <v>-23.236746714997739</v>
      </c>
      <c r="AL429">
        <v>-19.970210280373831</v>
      </c>
      <c r="AM429">
        <v>7.9962255430596212</v>
      </c>
      <c r="AN429">
        <v>7.9007086735479897</v>
      </c>
    </row>
    <row r="430" spans="1:40" x14ac:dyDescent="0.25">
      <c r="A430" s="1" t="s">
        <v>1080</v>
      </c>
      <c r="B430">
        <v>100422000000</v>
      </c>
      <c r="C430" t="s">
        <v>84</v>
      </c>
      <c r="D430" t="s">
        <v>127</v>
      </c>
      <c r="E430">
        <v>12982000000</v>
      </c>
      <c r="F430">
        <v>-4461000000</v>
      </c>
      <c r="G430">
        <v>-4414000000</v>
      </c>
      <c r="H430">
        <v>-5136000000</v>
      </c>
      <c r="I430">
        <v>-4957000000</v>
      </c>
      <c r="J430">
        <v>-6896000000</v>
      </c>
      <c r="K430">
        <v>6154000000</v>
      </c>
      <c r="L430">
        <v>1132000000</v>
      </c>
      <c r="M430">
        <v>7286000000</v>
      </c>
      <c r="N430">
        <v>9412000000</v>
      </c>
      <c r="O430">
        <v>1135000000</v>
      </c>
      <c r="P430">
        <v>175000000</v>
      </c>
      <c r="Q430">
        <v>8194000000</v>
      </c>
      <c r="R430">
        <v>6921000000</v>
      </c>
      <c r="S430">
        <v>18712000000</v>
      </c>
      <c r="T430">
        <v>0</v>
      </c>
      <c r="U430">
        <v>1240000000</v>
      </c>
      <c r="V430">
        <v>8942000000</v>
      </c>
      <c r="W430">
        <v>101505000000</v>
      </c>
      <c r="X430">
        <v>102745000000</v>
      </c>
      <c r="Y430">
        <v>7.7354798952395623</v>
      </c>
      <c r="Z430">
        <v>-22.511096166778749</v>
      </c>
      <c r="AA430">
        <v>-22.75079293158133</v>
      </c>
      <c r="AB430">
        <v>-19.552570093457941</v>
      </c>
      <c r="AC430">
        <v>-20.25862416784345</v>
      </c>
      <c r="AD430">
        <v>-14.56235498839907</v>
      </c>
      <c r="AE430">
        <v>-23.03183142793096</v>
      </c>
      <c r="AF430">
        <v>-22.753866845998651</v>
      </c>
      <c r="AG430">
        <v>-20.727254387734519</v>
      </c>
      <c r="AH430">
        <v>-20.477103086544279</v>
      </c>
      <c r="AI430">
        <v>-23.277072949705481</v>
      </c>
      <c r="AJ430">
        <v>-20.004867601246101</v>
      </c>
      <c r="AK430">
        <v>-22.99614861803353</v>
      </c>
      <c r="AL430">
        <v>-19.763434579439249</v>
      </c>
      <c r="AM430">
        <v>7.9144199661069177</v>
      </c>
      <c r="AN430">
        <v>7.8189030965952862</v>
      </c>
    </row>
    <row r="431" spans="1:40" x14ac:dyDescent="0.25">
      <c r="A431" s="1" t="s">
        <v>1079</v>
      </c>
      <c r="B431">
        <v>97758000000</v>
      </c>
      <c r="C431" t="s">
        <v>84</v>
      </c>
      <c r="D431" t="s">
        <v>127</v>
      </c>
      <c r="E431">
        <v>12982000000</v>
      </c>
      <c r="F431">
        <v>-4461000000</v>
      </c>
      <c r="G431">
        <v>-4414000000</v>
      </c>
      <c r="H431">
        <v>-5136000000</v>
      </c>
      <c r="I431">
        <v>-4957000000</v>
      </c>
      <c r="J431">
        <v>-6896000000</v>
      </c>
      <c r="K431">
        <v>6154000000</v>
      </c>
      <c r="L431">
        <v>1132000000</v>
      </c>
      <c r="M431">
        <v>7286000000</v>
      </c>
      <c r="N431">
        <v>9412000000</v>
      </c>
      <c r="O431">
        <v>1135000000</v>
      </c>
      <c r="P431">
        <v>175000000</v>
      </c>
      <c r="Q431">
        <v>8194000000</v>
      </c>
      <c r="R431">
        <v>6921000000</v>
      </c>
      <c r="S431">
        <v>18712000000</v>
      </c>
      <c r="T431">
        <v>0</v>
      </c>
      <c r="U431">
        <v>1240000000</v>
      </c>
      <c r="V431">
        <v>8942000000</v>
      </c>
      <c r="W431">
        <v>98841000000</v>
      </c>
      <c r="X431">
        <v>100081000000</v>
      </c>
      <c r="Y431">
        <v>7.5302726852565094</v>
      </c>
      <c r="Z431">
        <v>-21.913920645595159</v>
      </c>
      <c r="AA431">
        <v>-22.14725872224739</v>
      </c>
      <c r="AB431">
        <v>-19.033878504672899</v>
      </c>
      <c r="AC431">
        <v>-19.721202340125071</v>
      </c>
      <c r="AD431">
        <v>-14.17604408352668</v>
      </c>
      <c r="AE431">
        <v>-22.43465590674737</v>
      </c>
      <c r="AF431">
        <v>-22.156691324815061</v>
      </c>
      <c r="AG431">
        <v>-20.189832560016139</v>
      </c>
      <c r="AH431">
        <v>-19.9396812588259</v>
      </c>
      <c r="AI431">
        <v>-22.673538740371541</v>
      </c>
      <c r="AJ431">
        <v>-19.486176012461058</v>
      </c>
      <c r="AK431">
        <v>-22.39261440869959</v>
      </c>
      <c r="AL431">
        <v>-19.24474299065421</v>
      </c>
      <c r="AM431">
        <v>7.7092127561238639</v>
      </c>
      <c r="AN431">
        <v>7.6136958866122324</v>
      </c>
    </row>
    <row r="432" spans="1:40" x14ac:dyDescent="0.25">
      <c r="A432" s="1" t="s">
        <v>1078</v>
      </c>
      <c r="B432">
        <v>97722000000</v>
      </c>
      <c r="C432" t="s">
        <v>84</v>
      </c>
      <c r="D432" t="s">
        <v>127</v>
      </c>
      <c r="E432">
        <v>12982000000</v>
      </c>
      <c r="F432">
        <v>-4461000000</v>
      </c>
      <c r="G432">
        <v>-4414000000</v>
      </c>
      <c r="H432">
        <v>-5136000000</v>
      </c>
      <c r="I432">
        <v>-4957000000</v>
      </c>
      <c r="J432">
        <v>-6896000000</v>
      </c>
      <c r="K432">
        <v>6154000000</v>
      </c>
      <c r="L432">
        <v>1132000000</v>
      </c>
      <c r="M432">
        <v>7286000000</v>
      </c>
      <c r="N432">
        <v>9412000000</v>
      </c>
      <c r="O432">
        <v>1135000000</v>
      </c>
      <c r="P432">
        <v>175000000</v>
      </c>
      <c r="Q432">
        <v>8194000000</v>
      </c>
      <c r="R432">
        <v>6921000000</v>
      </c>
      <c r="S432">
        <v>18712000000</v>
      </c>
      <c r="T432">
        <v>0</v>
      </c>
      <c r="U432">
        <v>1240000000</v>
      </c>
      <c r="V432">
        <v>8942000000</v>
      </c>
      <c r="W432">
        <v>98805000000</v>
      </c>
      <c r="X432">
        <v>100045000000</v>
      </c>
      <c r="Y432">
        <v>7.5274996148513322</v>
      </c>
      <c r="Z432">
        <v>-21.905850706119701</v>
      </c>
      <c r="AA432">
        <v>-22.139102854553691</v>
      </c>
      <c r="AB432">
        <v>-19.026869158878501</v>
      </c>
      <c r="AC432">
        <v>-19.713939882993749</v>
      </c>
      <c r="AD432">
        <v>-14.17082366589327</v>
      </c>
      <c r="AE432">
        <v>-22.426585967271912</v>
      </c>
      <c r="AF432">
        <v>-22.148621385339609</v>
      </c>
      <c r="AG432">
        <v>-20.18257010288481</v>
      </c>
      <c r="AH432">
        <v>-19.93241880169457</v>
      </c>
      <c r="AI432">
        <v>-22.665382872677839</v>
      </c>
      <c r="AJ432">
        <v>-19.479166666666671</v>
      </c>
      <c r="AK432">
        <v>-22.384458541005891</v>
      </c>
      <c r="AL432">
        <v>-19.237733644859809</v>
      </c>
      <c r="AM432">
        <v>7.7064396857186876</v>
      </c>
      <c r="AN432">
        <v>7.6109228162070561</v>
      </c>
    </row>
    <row r="433" spans="1:40" x14ac:dyDescent="0.25">
      <c r="A433" s="1" t="s">
        <v>1077</v>
      </c>
      <c r="B433">
        <v>93456000000</v>
      </c>
      <c r="C433" t="s">
        <v>84</v>
      </c>
      <c r="D433" t="s">
        <v>127</v>
      </c>
      <c r="E433">
        <v>12982000000</v>
      </c>
      <c r="F433">
        <v>-4461000000</v>
      </c>
      <c r="G433">
        <v>-4414000000</v>
      </c>
      <c r="H433">
        <v>-5136000000</v>
      </c>
      <c r="I433">
        <v>-4957000000</v>
      </c>
      <c r="J433">
        <v>-6896000000</v>
      </c>
      <c r="K433">
        <v>6154000000</v>
      </c>
      <c r="L433">
        <v>1132000000</v>
      </c>
      <c r="M433">
        <v>7286000000</v>
      </c>
      <c r="N433">
        <v>9412000000</v>
      </c>
      <c r="O433">
        <v>1135000000</v>
      </c>
      <c r="P433">
        <v>175000000</v>
      </c>
      <c r="Q433">
        <v>8194000000</v>
      </c>
      <c r="R433">
        <v>6921000000</v>
      </c>
      <c r="S433">
        <v>18712000000</v>
      </c>
      <c r="T433">
        <v>0</v>
      </c>
      <c r="U433">
        <v>1240000000</v>
      </c>
      <c r="V433">
        <v>8942000000</v>
      </c>
      <c r="W433">
        <v>94539000000</v>
      </c>
      <c r="X433">
        <v>95779000000</v>
      </c>
      <c r="Y433">
        <v>7.1988907718379291</v>
      </c>
      <c r="Z433">
        <v>-20.94956287827841</v>
      </c>
      <c r="AA433">
        <v>-21.17263253285002</v>
      </c>
      <c r="AB433">
        <v>-18.196261682242991</v>
      </c>
      <c r="AC433">
        <v>-18.853338712931212</v>
      </c>
      <c r="AD433">
        <v>-13.55220417633411</v>
      </c>
      <c r="AE433">
        <v>-21.470298139430621</v>
      </c>
      <c r="AF433">
        <v>-21.192333557498319</v>
      </c>
      <c r="AG433">
        <v>-19.321968932822269</v>
      </c>
      <c r="AH433">
        <v>-19.07181763163204</v>
      </c>
      <c r="AI433">
        <v>-21.698912550974171</v>
      </c>
      <c r="AJ433">
        <v>-18.64855919003115</v>
      </c>
      <c r="AK433">
        <v>-21.41798821930222</v>
      </c>
      <c r="AL433">
        <v>-18.407126168224298</v>
      </c>
      <c r="AM433">
        <v>7.3778308427052854</v>
      </c>
      <c r="AN433">
        <v>7.282313973193653</v>
      </c>
    </row>
    <row r="434" spans="1:40" x14ac:dyDescent="0.25">
      <c r="A434" s="1" t="s">
        <v>1076</v>
      </c>
      <c r="B434">
        <v>86598000000</v>
      </c>
      <c r="C434" t="s">
        <v>84</v>
      </c>
      <c r="D434" t="s">
        <v>127</v>
      </c>
      <c r="E434">
        <v>12982000000</v>
      </c>
      <c r="F434">
        <v>-4461000000</v>
      </c>
      <c r="G434">
        <v>-4414000000</v>
      </c>
      <c r="H434">
        <v>-5136000000</v>
      </c>
      <c r="I434">
        <v>-4957000000</v>
      </c>
      <c r="J434">
        <v>-6896000000</v>
      </c>
      <c r="K434">
        <v>6154000000</v>
      </c>
      <c r="L434">
        <v>1132000000</v>
      </c>
      <c r="M434">
        <v>7286000000</v>
      </c>
      <c r="N434">
        <v>9412000000</v>
      </c>
      <c r="O434">
        <v>1135000000</v>
      </c>
      <c r="P434">
        <v>175000000</v>
      </c>
      <c r="Q434">
        <v>8194000000</v>
      </c>
      <c r="R434">
        <v>6921000000</v>
      </c>
      <c r="S434">
        <v>18712000000</v>
      </c>
      <c r="T434">
        <v>0</v>
      </c>
      <c r="U434">
        <v>1240000000</v>
      </c>
      <c r="V434">
        <v>8942000000</v>
      </c>
      <c r="W434">
        <v>87681000000</v>
      </c>
      <c r="X434">
        <v>88921000000</v>
      </c>
      <c r="Y434">
        <v>6.6706208596518257</v>
      </c>
      <c r="Z434">
        <v>-19.412239408204439</v>
      </c>
      <c r="AA434">
        <v>-19.61893973719982</v>
      </c>
      <c r="AB434">
        <v>-16.860981308411219</v>
      </c>
      <c r="AC434">
        <v>-17.46984062941295</v>
      </c>
      <c r="AD434">
        <v>-12.557714617169371</v>
      </c>
      <c r="AE434">
        <v>-19.93297466935665</v>
      </c>
      <c r="AF434">
        <v>-19.655010087424341</v>
      </c>
      <c r="AG434">
        <v>-17.938470849304011</v>
      </c>
      <c r="AH434">
        <v>-17.688319548113778</v>
      </c>
      <c r="AI434">
        <v>-20.145219755323971</v>
      </c>
      <c r="AJ434">
        <v>-17.313278816199379</v>
      </c>
      <c r="AK434">
        <v>-19.86429542365202</v>
      </c>
      <c r="AL434">
        <v>-17.071845794392519</v>
      </c>
      <c r="AM434">
        <v>6.8495609305191802</v>
      </c>
      <c r="AN434">
        <v>6.7540440610075487</v>
      </c>
    </row>
    <row r="435" spans="1:40" x14ac:dyDescent="0.25">
      <c r="A435" s="1" t="s">
        <v>1075</v>
      </c>
      <c r="B435">
        <v>92844000000</v>
      </c>
      <c r="C435" t="s">
        <v>84</v>
      </c>
      <c r="D435" t="s">
        <v>127</v>
      </c>
      <c r="E435">
        <v>12982000000</v>
      </c>
      <c r="F435">
        <v>-4461000000</v>
      </c>
      <c r="G435">
        <v>-4414000000</v>
      </c>
      <c r="H435">
        <v>-5136000000</v>
      </c>
      <c r="I435">
        <v>-4957000000</v>
      </c>
      <c r="J435">
        <v>-6896000000</v>
      </c>
      <c r="K435">
        <v>6154000000</v>
      </c>
      <c r="L435">
        <v>1132000000</v>
      </c>
      <c r="M435">
        <v>7286000000</v>
      </c>
      <c r="N435">
        <v>9412000000</v>
      </c>
      <c r="O435">
        <v>1135000000</v>
      </c>
      <c r="P435">
        <v>175000000</v>
      </c>
      <c r="Q435">
        <v>8194000000</v>
      </c>
      <c r="R435">
        <v>6921000000</v>
      </c>
      <c r="S435">
        <v>18712000000</v>
      </c>
      <c r="T435">
        <v>0</v>
      </c>
      <c r="U435">
        <v>1240000000</v>
      </c>
      <c r="V435">
        <v>8942000000</v>
      </c>
      <c r="W435">
        <v>93927000000</v>
      </c>
      <c r="X435">
        <v>95167000000</v>
      </c>
      <c r="Y435">
        <v>7.1517485749499308</v>
      </c>
      <c r="Z435">
        <v>-20.812373907195699</v>
      </c>
      <c r="AA435">
        <v>-21.033982782057091</v>
      </c>
      <c r="AB435">
        <v>-18.07710280373832</v>
      </c>
      <c r="AC435">
        <v>-18.72987694169861</v>
      </c>
      <c r="AD435">
        <v>-13.463457076566129</v>
      </c>
      <c r="AE435">
        <v>-21.333109168347899</v>
      </c>
      <c r="AF435">
        <v>-21.055144586415601</v>
      </c>
      <c r="AG435">
        <v>-19.198507161589671</v>
      </c>
      <c r="AH435">
        <v>-18.948355860399431</v>
      </c>
      <c r="AI435">
        <v>-21.560262800181238</v>
      </c>
      <c r="AJ435">
        <v>-18.52940031152648</v>
      </c>
      <c r="AK435">
        <v>-21.279338468509291</v>
      </c>
      <c r="AL435">
        <v>-18.287967289719631</v>
      </c>
      <c r="AM435">
        <v>7.3306886458172853</v>
      </c>
      <c r="AN435">
        <v>7.2351717763056538</v>
      </c>
    </row>
    <row r="436" spans="1:40" x14ac:dyDescent="0.25">
      <c r="A436" s="1" t="s">
        <v>1074</v>
      </c>
      <c r="B436">
        <v>91674000000</v>
      </c>
      <c r="C436" t="s">
        <v>84</v>
      </c>
      <c r="D436" t="s">
        <v>127</v>
      </c>
      <c r="E436">
        <v>12982000000</v>
      </c>
      <c r="F436">
        <v>-4461000000</v>
      </c>
      <c r="G436">
        <v>-4414000000</v>
      </c>
      <c r="H436">
        <v>-5136000000</v>
      </c>
      <c r="I436">
        <v>-4957000000</v>
      </c>
      <c r="J436">
        <v>-6896000000</v>
      </c>
      <c r="K436">
        <v>6154000000</v>
      </c>
      <c r="L436">
        <v>1132000000</v>
      </c>
      <c r="M436">
        <v>7286000000</v>
      </c>
      <c r="N436">
        <v>9412000000</v>
      </c>
      <c r="O436">
        <v>1135000000</v>
      </c>
      <c r="P436">
        <v>175000000</v>
      </c>
      <c r="Q436">
        <v>8194000000</v>
      </c>
      <c r="R436">
        <v>6921000000</v>
      </c>
      <c r="S436">
        <v>18712000000</v>
      </c>
      <c r="T436">
        <v>0</v>
      </c>
      <c r="U436">
        <v>1240000000</v>
      </c>
      <c r="V436">
        <v>8942000000</v>
      </c>
      <c r="W436">
        <v>92757000000</v>
      </c>
      <c r="X436">
        <v>93997000000</v>
      </c>
      <c r="Y436">
        <v>7.0616237867816984</v>
      </c>
      <c r="Z436">
        <v>-20.550100874243441</v>
      </c>
      <c r="AA436">
        <v>-20.768917082011779</v>
      </c>
      <c r="AB436">
        <v>-17.84929906542056</v>
      </c>
      <c r="AC436">
        <v>-18.493847084930401</v>
      </c>
      <c r="AD436">
        <v>-13.293793503480281</v>
      </c>
      <c r="AE436">
        <v>-21.070836135395648</v>
      </c>
      <c r="AF436">
        <v>-20.79287155346335</v>
      </c>
      <c r="AG436">
        <v>-18.962477304821469</v>
      </c>
      <c r="AH436">
        <v>-18.71232600363123</v>
      </c>
      <c r="AI436">
        <v>-21.29519710013593</v>
      </c>
      <c r="AJ436">
        <v>-18.30159657320872</v>
      </c>
      <c r="AK436">
        <v>-21.014272768463979</v>
      </c>
      <c r="AL436">
        <v>-18.060163551401871</v>
      </c>
      <c r="AM436">
        <v>7.240563857649053</v>
      </c>
      <c r="AN436">
        <v>7.1450469881374206</v>
      </c>
    </row>
    <row r="437" spans="1:40" x14ac:dyDescent="0.25">
      <c r="A437" s="1" t="s">
        <v>1073</v>
      </c>
      <c r="B437">
        <v>94968000000</v>
      </c>
      <c r="C437" t="s">
        <v>84</v>
      </c>
      <c r="D437" t="s">
        <v>127</v>
      </c>
      <c r="E437">
        <v>12982000000</v>
      </c>
      <c r="F437">
        <v>-4461000000</v>
      </c>
      <c r="G437">
        <v>-4414000000</v>
      </c>
      <c r="H437">
        <v>-5136000000</v>
      </c>
      <c r="I437">
        <v>-4957000000</v>
      </c>
      <c r="J437">
        <v>-6896000000</v>
      </c>
      <c r="K437">
        <v>6154000000</v>
      </c>
      <c r="L437">
        <v>1132000000</v>
      </c>
      <c r="M437">
        <v>7286000000</v>
      </c>
      <c r="N437">
        <v>9412000000</v>
      </c>
      <c r="O437">
        <v>1135000000</v>
      </c>
      <c r="P437">
        <v>175000000</v>
      </c>
      <c r="Q437">
        <v>8194000000</v>
      </c>
      <c r="R437">
        <v>6921000000</v>
      </c>
      <c r="S437">
        <v>18712000000</v>
      </c>
      <c r="T437">
        <v>0</v>
      </c>
      <c r="U437">
        <v>1240000000</v>
      </c>
      <c r="V437">
        <v>8942000000</v>
      </c>
      <c r="W437">
        <v>96051000000</v>
      </c>
      <c r="X437">
        <v>97291000000</v>
      </c>
      <c r="Y437">
        <v>7.3153597288553378</v>
      </c>
      <c r="Z437">
        <v>-21.288500336247481</v>
      </c>
      <c r="AA437">
        <v>-21.515178975985499</v>
      </c>
      <c r="AB437">
        <v>-18.490654205607481</v>
      </c>
      <c r="AC437">
        <v>-19.158361912447049</v>
      </c>
      <c r="AD437">
        <v>-13.771461716937351</v>
      </c>
      <c r="AE437">
        <v>-21.809235597399681</v>
      </c>
      <c r="AF437">
        <v>-21.531271015467379</v>
      </c>
      <c r="AG437">
        <v>-19.62699213233811</v>
      </c>
      <c r="AH437">
        <v>-19.37684083114787</v>
      </c>
      <c r="AI437">
        <v>-22.04145899410965</v>
      </c>
      <c r="AJ437">
        <v>-18.94295171339564</v>
      </c>
      <c r="AK437">
        <v>-21.760534662437699</v>
      </c>
      <c r="AL437">
        <v>-18.701518691588781</v>
      </c>
      <c r="AM437">
        <v>7.4942997997226932</v>
      </c>
      <c r="AN437">
        <v>7.3987829302110617</v>
      </c>
    </row>
    <row r="438" spans="1:40" x14ac:dyDescent="0.25">
      <c r="A438" s="1" t="s">
        <v>1072</v>
      </c>
      <c r="B438">
        <v>101628000000</v>
      </c>
      <c r="C438" t="s">
        <v>84</v>
      </c>
      <c r="D438" t="s">
        <v>127</v>
      </c>
      <c r="E438">
        <v>12982000000</v>
      </c>
      <c r="F438">
        <v>-4461000000</v>
      </c>
      <c r="G438">
        <v>-4414000000</v>
      </c>
      <c r="H438">
        <v>-5136000000</v>
      </c>
      <c r="I438">
        <v>-4957000000</v>
      </c>
      <c r="J438">
        <v>-6896000000</v>
      </c>
      <c r="K438">
        <v>6154000000</v>
      </c>
      <c r="L438">
        <v>1132000000</v>
      </c>
      <c r="M438">
        <v>7286000000</v>
      </c>
      <c r="N438">
        <v>9412000000</v>
      </c>
      <c r="O438">
        <v>1135000000</v>
      </c>
      <c r="P438">
        <v>175000000</v>
      </c>
      <c r="Q438">
        <v>8194000000</v>
      </c>
      <c r="R438">
        <v>6921000000</v>
      </c>
      <c r="S438">
        <v>18712000000</v>
      </c>
      <c r="T438">
        <v>0</v>
      </c>
      <c r="U438">
        <v>1240000000</v>
      </c>
      <c r="V438">
        <v>8942000000</v>
      </c>
      <c r="W438">
        <v>102711000000</v>
      </c>
      <c r="X438">
        <v>103951000000</v>
      </c>
      <c r="Y438">
        <v>7.8283777538129717</v>
      </c>
      <c r="Z438">
        <v>-22.781439139206459</v>
      </c>
      <c r="AA438">
        <v>-23.024014499320341</v>
      </c>
      <c r="AB438">
        <v>-19.787383177570089</v>
      </c>
      <c r="AC438">
        <v>-20.501916481742992</v>
      </c>
      <c r="AD438">
        <v>-14.737238979118329</v>
      </c>
      <c r="AE438">
        <v>-23.302174400358659</v>
      </c>
      <c r="AF438">
        <v>-23.02420981842636</v>
      </c>
      <c r="AG438">
        <v>-20.970546701634049</v>
      </c>
      <c r="AH438">
        <v>-20.72039540044382</v>
      </c>
      <c r="AI438">
        <v>-23.550294517444499</v>
      </c>
      <c r="AJ438">
        <v>-20.239680685358259</v>
      </c>
      <c r="AK438">
        <v>-23.269370185772541</v>
      </c>
      <c r="AL438">
        <v>-19.9982476635514</v>
      </c>
      <c r="AM438">
        <v>8.0073178246803263</v>
      </c>
      <c r="AN438">
        <v>7.9118009551686947</v>
      </c>
    </row>
    <row r="439" spans="1:40" x14ac:dyDescent="0.25">
      <c r="A439" s="1" t="s">
        <v>1071</v>
      </c>
      <c r="B439">
        <v>102816000000</v>
      </c>
      <c r="C439" t="s">
        <v>84</v>
      </c>
      <c r="D439" t="s">
        <v>127</v>
      </c>
      <c r="E439">
        <v>12982000000</v>
      </c>
      <c r="F439">
        <v>-4461000000</v>
      </c>
      <c r="G439">
        <v>-4414000000</v>
      </c>
      <c r="H439">
        <v>-5136000000</v>
      </c>
      <c r="I439">
        <v>-4957000000</v>
      </c>
      <c r="J439">
        <v>-6896000000</v>
      </c>
      <c r="K439">
        <v>6154000000</v>
      </c>
      <c r="L439">
        <v>1132000000</v>
      </c>
      <c r="M439">
        <v>7286000000</v>
      </c>
      <c r="N439">
        <v>9412000000</v>
      </c>
      <c r="O439">
        <v>1135000000</v>
      </c>
      <c r="P439">
        <v>175000000</v>
      </c>
      <c r="Q439">
        <v>8194000000</v>
      </c>
      <c r="R439">
        <v>6921000000</v>
      </c>
      <c r="S439">
        <v>18712000000</v>
      </c>
      <c r="T439">
        <v>0</v>
      </c>
      <c r="U439">
        <v>1240000000</v>
      </c>
      <c r="V439">
        <v>8942000000</v>
      </c>
      <c r="W439">
        <v>103899000000</v>
      </c>
      <c r="X439">
        <v>105139000000</v>
      </c>
      <c r="Y439">
        <v>7.9198890771837931</v>
      </c>
      <c r="Z439">
        <v>-23.047747141896441</v>
      </c>
      <c r="AA439">
        <v>-23.293158133212501</v>
      </c>
      <c r="AB439">
        <v>-20.01869158878505</v>
      </c>
      <c r="AC439">
        <v>-20.74157756707686</v>
      </c>
      <c r="AD439">
        <v>-14.90951276102088</v>
      </c>
      <c r="AE439">
        <v>-23.568482403048641</v>
      </c>
      <c r="AF439">
        <v>-23.290517821116339</v>
      </c>
      <c r="AG439">
        <v>-21.210207786967921</v>
      </c>
      <c r="AH439">
        <v>-20.960056485777692</v>
      </c>
      <c r="AI439">
        <v>-23.819438151336659</v>
      </c>
      <c r="AJ439">
        <v>-20.470989096573209</v>
      </c>
      <c r="AK439">
        <v>-23.538513819664701</v>
      </c>
      <c r="AL439">
        <v>-20.22955607476635</v>
      </c>
      <c r="AM439">
        <v>8.0988291480511485</v>
      </c>
      <c r="AN439">
        <v>8.0033122785395161</v>
      </c>
    </row>
    <row r="440" spans="1:40" x14ac:dyDescent="0.25">
      <c r="A440" s="1" t="s">
        <v>1070</v>
      </c>
      <c r="B440">
        <v>104130000000</v>
      </c>
      <c r="C440" t="s">
        <v>84</v>
      </c>
      <c r="D440" t="s">
        <v>127</v>
      </c>
      <c r="E440">
        <v>12982000000</v>
      </c>
      <c r="F440">
        <v>-4461000000</v>
      </c>
      <c r="G440">
        <v>-4414000000</v>
      </c>
      <c r="H440">
        <v>-5136000000</v>
      </c>
      <c r="I440">
        <v>-4957000000</v>
      </c>
      <c r="J440">
        <v>-6896000000</v>
      </c>
      <c r="K440">
        <v>6154000000</v>
      </c>
      <c r="L440">
        <v>1132000000</v>
      </c>
      <c r="M440">
        <v>7286000000</v>
      </c>
      <c r="N440">
        <v>9412000000</v>
      </c>
      <c r="O440">
        <v>1135000000</v>
      </c>
      <c r="P440">
        <v>175000000</v>
      </c>
      <c r="Q440">
        <v>8194000000</v>
      </c>
      <c r="R440">
        <v>6921000000</v>
      </c>
      <c r="S440">
        <v>18712000000</v>
      </c>
      <c r="T440">
        <v>0</v>
      </c>
      <c r="U440">
        <v>1240000000</v>
      </c>
      <c r="V440">
        <v>8942000000</v>
      </c>
      <c r="W440">
        <v>105213000000</v>
      </c>
      <c r="X440">
        <v>106453000000</v>
      </c>
      <c r="Y440">
        <v>8.0211061469727323</v>
      </c>
      <c r="Z440">
        <v>-23.3422999327505</v>
      </c>
      <c r="AA440">
        <v>-23.590847304032621</v>
      </c>
      <c r="AB440">
        <v>-20.274532710280369</v>
      </c>
      <c r="AC440">
        <v>-21.006657252370381</v>
      </c>
      <c r="AD440">
        <v>-15.100058004640371</v>
      </c>
      <c r="AE440">
        <v>-23.863035193902711</v>
      </c>
      <c r="AF440">
        <v>-23.585070611970409</v>
      </c>
      <c r="AG440">
        <v>-21.475287472261449</v>
      </c>
      <c r="AH440">
        <v>-21.22513617107121</v>
      </c>
      <c r="AI440">
        <v>-24.117127322156769</v>
      </c>
      <c r="AJ440">
        <v>-20.726830218068539</v>
      </c>
      <c r="AK440">
        <v>-23.836202990484821</v>
      </c>
      <c r="AL440">
        <v>-20.48539719626168</v>
      </c>
      <c r="AM440">
        <v>8.2000462178400859</v>
      </c>
      <c r="AN440">
        <v>8.1045293483284553</v>
      </c>
    </row>
    <row r="441" spans="1:40" x14ac:dyDescent="0.25">
      <c r="A441" s="1" t="s">
        <v>1069</v>
      </c>
      <c r="B441">
        <v>105444000000</v>
      </c>
      <c r="C441" t="s">
        <v>84</v>
      </c>
      <c r="D441" t="s">
        <v>127</v>
      </c>
      <c r="E441">
        <v>12982000000</v>
      </c>
      <c r="F441">
        <v>-4461000000</v>
      </c>
      <c r="G441">
        <v>-4414000000</v>
      </c>
      <c r="H441">
        <v>-5136000000</v>
      </c>
      <c r="I441">
        <v>-4957000000</v>
      </c>
      <c r="J441">
        <v>-6896000000</v>
      </c>
      <c r="K441">
        <v>6154000000</v>
      </c>
      <c r="L441">
        <v>1132000000</v>
      </c>
      <c r="M441">
        <v>7286000000</v>
      </c>
      <c r="N441">
        <v>9412000000</v>
      </c>
      <c r="O441">
        <v>1135000000</v>
      </c>
      <c r="P441">
        <v>175000000</v>
      </c>
      <c r="Q441">
        <v>8194000000</v>
      </c>
      <c r="R441">
        <v>6921000000</v>
      </c>
      <c r="S441">
        <v>18712000000</v>
      </c>
      <c r="T441">
        <v>0</v>
      </c>
      <c r="U441">
        <v>1240000000</v>
      </c>
      <c r="V441">
        <v>8942000000</v>
      </c>
      <c r="W441">
        <v>106527000000</v>
      </c>
      <c r="X441">
        <v>107767000000</v>
      </c>
      <c r="Y441">
        <v>8.1223232167616697</v>
      </c>
      <c r="Z441">
        <v>-23.636852723604569</v>
      </c>
      <c r="AA441">
        <v>-23.888536474852739</v>
      </c>
      <c r="AB441">
        <v>-20.530373831775702</v>
      </c>
      <c r="AC441">
        <v>-21.27173693766391</v>
      </c>
      <c r="AD441">
        <v>-15.29060324825986</v>
      </c>
      <c r="AE441">
        <v>-24.15758798475678</v>
      </c>
      <c r="AF441">
        <v>-23.879623402824478</v>
      </c>
      <c r="AG441">
        <v>-21.740367157554971</v>
      </c>
      <c r="AH441">
        <v>-21.490215856364738</v>
      </c>
      <c r="AI441">
        <v>-24.41481649297689</v>
      </c>
      <c r="AJ441">
        <v>-20.982671339563861</v>
      </c>
      <c r="AK441">
        <v>-24.133892161304939</v>
      </c>
      <c r="AL441">
        <v>-20.741238317757009</v>
      </c>
      <c r="AM441">
        <v>8.3012632876290251</v>
      </c>
      <c r="AN441">
        <v>8.2057464181173927</v>
      </c>
    </row>
    <row r="442" spans="1:40" x14ac:dyDescent="0.25">
      <c r="A442" s="1" t="s">
        <v>1068</v>
      </c>
      <c r="B442">
        <v>106722000000</v>
      </c>
      <c r="C442" t="s">
        <v>84</v>
      </c>
      <c r="D442" t="s">
        <v>127</v>
      </c>
      <c r="E442">
        <v>12982000000</v>
      </c>
      <c r="F442">
        <v>-4461000000</v>
      </c>
      <c r="G442">
        <v>-4414000000</v>
      </c>
      <c r="H442">
        <v>-5136000000</v>
      </c>
      <c r="I442">
        <v>-4957000000</v>
      </c>
      <c r="J442">
        <v>-6896000000</v>
      </c>
      <c r="K442">
        <v>6154000000</v>
      </c>
      <c r="L442">
        <v>1132000000</v>
      </c>
      <c r="M442">
        <v>7286000000</v>
      </c>
      <c r="N442">
        <v>9412000000</v>
      </c>
      <c r="O442">
        <v>1135000000</v>
      </c>
      <c r="P442">
        <v>175000000</v>
      </c>
      <c r="Q442">
        <v>8194000000</v>
      </c>
      <c r="R442">
        <v>6921000000</v>
      </c>
      <c r="S442">
        <v>18712000000</v>
      </c>
      <c r="T442">
        <v>0</v>
      </c>
      <c r="U442">
        <v>1240000000</v>
      </c>
      <c r="V442">
        <v>8942000000</v>
      </c>
      <c r="W442">
        <v>107805000000</v>
      </c>
      <c r="X442">
        <v>109045000000</v>
      </c>
      <c r="Y442">
        <v>8.2207672161454326</v>
      </c>
      <c r="Z442">
        <v>-23.923335574983192</v>
      </c>
      <c r="AA442">
        <v>-24.178069777979161</v>
      </c>
      <c r="AB442">
        <v>-20.779205607476641</v>
      </c>
      <c r="AC442">
        <v>-21.529554165826109</v>
      </c>
      <c r="AD442">
        <v>-15.475928074245941</v>
      </c>
      <c r="AE442">
        <v>-24.444070836135399</v>
      </c>
      <c r="AF442">
        <v>-24.16610625420309</v>
      </c>
      <c r="AG442">
        <v>-21.99818438571717</v>
      </c>
      <c r="AH442">
        <v>-21.748033084526931</v>
      </c>
      <c r="AI442">
        <v>-24.704349796103308</v>
      </c>
      <c r="AJ442">
        <v>-21.2315031152648</v>
      </c>
      <c r="AK442">
        <v>-24.42342546443135</v>
      </c>
      <c r="AL442">
        <v>-20.990070093457941</v>
      </c>
      <c r="AM442">
        <v>8.3997072870127862</v>
      </c>
      <c r="AN442">
        <v>8.3041904175011556</v>
      </c>
    </row>
    <row r="443" spans="1:40" x14ac:dyDescent="0.25">
      <c r="A443" s="1" t="s">
        <v>1067</v>
      </c>
      <c r="B443">
        <v>107298000000</v>
      </c>
      <c r="C443" t="s">
        <v>84</v>
      </c>
      <c r="D443" t="s">
        <v>127</v>
      </c>
      <c r="E443">
        <v>12982000000</v>
      </c>
      <c r="F443">
        <v>-4461000000</v>
      </c>
      <c r="G443">
        <v>-4414000000</v>
      </c>
      <c r="H443">
        <v>-5136000000</v>
      </c>
      <c r="I443">
        <v>-4957000000</v>
      </c>
      <c r="J443">
        <v>-6896000000</v>
      </c>
      <c r="K443">
        <v>6154000000</v>
      </c>
      <c r="L443">
        <v>1132000000</v>
      </c>
      <c r="M443">
        <v>7286000000</v>
      </c>
      <c r="N443">
        <v>9412000000</v>
      </c>
      <c r="O443">
        <v>1135000000</v>
      </c>
      <c r="P443">
        <v>175000000</v>
      </c>
      <c r="Q443">
        <v>8194000000</v>
      </c>
      <c r="R443">
        <v>6921000000</v>
      </c>
      <c r="S443">
        <v>18712000000</v>
      </c>
      <c r="T443">
        <v>0</v>
      </c>
      <c r="U443">
        <v>1240000000</v>
      </c>
      <c r="V443">
        <v>8942000000</v>
      </c>
      <c r="W443">
        <v>108381000000</v>
      </c>
      <c r="X443">
        <v>109621000000</v>
      </c>
      <c r="Y443">
        <v>8.2651363426282547</v>
      </c>
      <c r="Z443">
        <v>-24.052454606590452</v>
      </c>
      <c r="AA443">
        <v>-24.308563661078392</v>
      </c>
      <c r="AB443">
        <v>-20.891355140186921</v>
      </c>
      <c r="AC443">
        <v>-21.645753479927379</v>
      </c>
      <c r="AD443">
        <v>-15.559454756380511</v>
      </c>
      <c r="AE443">
        <v>-24.573189867742659</v>
      </c>
      <c r="AF443">
        <v>-24.295225285810361</v>
      </c>
      <c r="AG443">
        <v>-22.11438369981844</v>
      </c>
      <c r="AH443">
        <v>-21.8642323986282</v>
      </c>
      <c r="AI443">
        <v>-24.834843679202539</v>
      </c>
      <c r="AJ443">
        <v>-21.34365264797508</v>
      </c>
      <c r="AK443">
        <v>-24.553919347530581</v>
      </c>
      <c r="AL443">
        <v>-21.102219626168221</v>
      </c>
      <c r="AM443">
        <v>8.4440764134956101</v>
      </c>
      <c r="AN443">
        <v>8.3485595439839777</v>
      </c>
    </row>
    <row r="444" spans="1:40" x14ac:dyDescent="0.25">
      <c r="A444" s="1" t="s">
        <v>132</v>
      </c>
      <c r="B444">
        <v>113724000000</v>
      </c>
      <c r="C444" t="s">
        <v>84</v>
      </c>
      <c r="D444" t="s">
        <v>127</v>
      </c>
      <c r="E444">
        <v>12982000000</v>
      </c>
      <c r="F444">
        <v>-4461000000</v>
      </c>
      <c r="G444">
        <v>-4414000000</v>
      </c>
      <c r="H444">
        <v>-5136000000</v>
      </c>
      <c r="I444">
        <v>-4957000000</v>
      </c>
      <c r="J444">
        <v>-6896000000</v>
      </c>
      <c r="K444">
        <v>6154000000</v>
      </c>
      <c r="L444">
        <v>1132000000</v>
      </c>
      <c r="M444">
        <v>7286000000</v>
      </c>
      <c r="N444">
        <v>9412000000</v>
      </c>
      <c r="O444">
        <v>1135000000</v>
      </c>
      <c r="P444">
        <v>175000000</v>
      </c>
      <c r="Q444">
        <v>8194000000</v>
      </c>
      <c r="R444">
        <v>6921000000</v>
      </c>
      <c r="S444">
        <v>18712000000</v>
      </c>
      <c r="T444">
        <v>0</v>
      </c>
      <c r="U444">
        <v>1240000000</v>
      </c>
      <c r="V444">
        <v>8942000000</v>
      </c>
      <c r="W444">
        <v>114807000000</v>
      </c>
      <c r="X444">
        <v>116047000000</v>
      </c>
      <c r="Y444">
        <v>8.760129409952242</v>
      </c>
      <c r="Z444">
        <v>-25.492938802958982</v>
      </c>
      <c r="AA444">
        <v>-25.764386044404169</v>
      </c>
      <c r="AB444">
        <v>-22.142523364485982</v>
      </c>
      <c r="AC444">
        <v>-22.942102077869681</v>
      </c>
      <c r="AD444">
        <v>-16.49129930394432</v>
      </c>
      <c r="AE444">
        <v>-26.013674064111189</v>
      </c>
      <c r="AF444">
        <v>-25.73570948217888</v>
      </c>
      <c r="AG444">
        <v>-23.410732297760742</v>
      </c>
      <c r="AH444">
        <v>-23.160580996570509</v>
      </c>
      <c r="AI444">
        <v>-26.29066606252832</v>
      </c>
      <c r="AJ444">
        <v>-22.594820872274141</v>
      </c>
      <c r="AK444">
        <v>-26.009741730856369</v>
      </c>
      <c r="AL444">
        <v>-22.353387850467289</v>
      </c>
      <c r="AM444">
        <v>8.9390694808195956</v>
      </c>
      <c r="AN444">
        <v>8.843552611307965</v>
      </c>
    </row>
    <row r="445" spans="1:40" x14ac:dyDescent="0.25">
      <c r="A445" s="1" t="s">
        <v>1066</v>
      </c>
      <c r="B445">
        <v>109278000000</v>
      </c>
      <c r="C445" t="s">
        <v>83</v>
      </c>
      <c r="D445" t="s">
        <v>127</v>
      </c>
      <c r="E445">
        <v>12078000000</v>
      </c>
      <c r="F445">
        <v>-4288000000</v>
      </c>
      <c r="G445">
        <v>-3361000000</v>
      </c>
      <c r="H445">
        <v>-4904000000</v>
      </c>
      <c r="I445">
        <v>-4863000000</v>
      </c>
      <c r="J445">
        <v>-6768000000</v>
      </c>
      <c r="K445">
        <v>5647000000</v>
      </c>
      <c r="L445">
        <v>1180000000</v>
      </c>
      <c r="M445">
        <v>6827000000</v>
      </c>
      <c r="N445">
        <v>9882000000</v>
      </c>
      <c r="O445">
        <v>1215000000</v>
      </c>
      <c r="P445">
        <v>175000000</v>
      </c>
      <c r="Q445">
        <v>9104000000</v>
      </c>
      <c r="R445">
        <v>6865000000</v>
      </c>
      <c r="S445">
        <v>19498000000</v>
      </c>
      <c r="T445">
        <v>0</v>
      </c>
      <c r="U445">
        <v>1488000000</v>
      </c>
      <c r="V445">
        <v>12266000000</v>
      </c>
      <c r="W445">
        <v>111730000000</v>
      </c>
      <c r="X445">
        <v>113218000000</v>
      </c>
      <c r="Y445">
        <v>9.0476900149031305</v>
      </c>
      <c r="Z445">
        <v>-25.484608208955219</v>
      </c>
      <c r="AA445">
        <v>-32.513537637607847</v>
      </c>
      <c r="AB445">
        <v>-22.283442088091359</v>
      </c>
      <c r="AC445">
        <v>-22.471314003701419</v>
      </c>
      <c r="AD445">
        <v>-16.146276595744681</v>
      </c>
      <c r="AE445">
        <v>-26.403451492537311</v>
      </c>
      <c r="AF445">
        <v>-26.05643656716418</v>
      </c>
      <c r="AG445">
        <v>-23.28151346905203</v>
      </c>
      <c r="AH445">
        <v>-22.975529508533828</v>
      </c>
      <c r="AI445">
        <v>-33.68580779529902</v>
      </c>
      <c r="AJ445">
        <v>-23.086867862969001</v>
      </c>
      <c r="AK445">
        <v>-33.243082415947633</v>
      </c>
      <c r="AL445">
        <v>-22.783442088091359</v>
      </c>
      <c r="AM445">
        <v>9.3739029640668985</v>
      </c>
      <c r="AN445">
        <v>9.2507037589004799</v>
      </c>
    </row>
    <row r="446" spans="1:40" x14ac:dyDescent="0.25">
      <c r="A446" s="1" t="s">
        <v>1065</v>
      </c>
      <c r="B446">
        <v>109134000000</v>
      </c>
      <c r="C446" t="s">
        <v>83</v>
      </c>
      <c r="D446" t="s">
        <v>127</v>
      </c>
      <c r="E446">
        <v>12078000000</v>
      </c>
      <c r="F446">
        <v>-4288000000</v>
      </c>
      <c r="G446">
        <v>-3361000000</v>
      </c>
      <c r="H446">
        <v>-4904000000</v>
      </c>
      <c r="I446">
        <v>-4863000000</v>
      </c>
      <c r="J446">
        <v>-6768000000</v>
      </c>
      <c r="K446">
        <v>5647000000</v>
      </c>
      <c r="L446">
        <v>1180000000</v>
      </c>
      <c r="M446">
        <v>6827000000</v>
      </c>
      <c r="N446">
        <v>9882000000</v>
      </c>
      <c r="O446">
        <v>1215000000</v>
      </c>
      <c r="P446">
        <v>175000000</v>
      </c>
      <c r="Q446">
        <v>9104000000</v>
      </c>
      <c r="R446">
        <v>6865000000</v>
      </c>
      <c r="S446">
        <v>19498000000</v>
      </c>
      <c r="T446">
        <v>0</v>
      </c>
      <c r="U446">
        <v>1488000000</v>
      </c>
      <c r="V446">
        <v>12266000000</v>
      </c>
      <c r="W446">
        <v>111586000000</v>
      </c>
      <c r="X446">
        <v>113074000000</v>
      </c>
      <c r="Y446">
        <v>9.0357675111773474</v>
      </c>
      <c r="Z446">
        <v>-25.451026119402989</v>
      </c>
      <c r="AA446">
        <v>-32.470693246057721</v>
      </c>
      <c r="AB446">
        <v>-22.254078303425771</v>
      </c>
      <c r="AC446">
        <v>-22.441702652683531</v>
      </c>
      <c r="AD446">
        <v>-16.125</v>
      </c>
      <c r="AE446">
        <v>-26.369869402985071</v>
      </c>
      <c r="AF446">
        <v>-26.02285447761194</v>
      </c>
      <c r="AG446">
        <v>-23.251902118034131</v>
      </c>
      <c r="AH446">
        <v>-22.945918157515941</v>
      </c>
      <c r="AI446">
        <v>-33.642963403748887</v>
      </c>
      <c r="AJ446">
        <v>-23.057504078303431</v>
      </c>
      <c r="AK446">
        <v>-33.2002380243975</v>
      </c>
      <c r="AL446">
        <v>-22.754078303425771</v>
      </c>
      <c r="AM446">
        <v>9.3619804603411154</v>
      </c>
      <c r="AN446">
        <v>9.2387812551746986</v>
      </c>
    </row>
    <row r="447" spans="1:40" x14ac:dyDescent="0.25">
      <c r="A447" s="1" t="s">
        <v>1064</v>
      </c>
      <c r="B447">
        <v>108936000000</v>
      </c>
      <c r="C447" t="s">
        <v>83</v>
      </c>
      <c r="D447" t="s">
        <v>127</v>
      </c>
      <c r="E447">
        <v>12078000000</v>
      </c>
      <c r="F447">
        <v>-4288000000</v>
      </c>
      <c r="G447">
        <v>-3361000000</v>
      </c>
      <c r="H447">
        <v>-4904000000</v>
      </c>
      <c r="I447">
        <v>-4863000000</v>
      </c>
      <c r="J447">
        <v>-6768000000</v>
      </c>
      <c r="K447">
        <v>5647000000</v>
      </c>
      <c r="L447">
        <v>1180000000</v>
      </c>
      <c r="M447">
        <v>6827000000</v>
      </c>
      <c r="N447">
        <v>9882000000</v>
      </c>
      <c r="O447">
        <v>1215000000</v>
      </c>
      <c r="P447">
        <v>175000000</v>
      </c>
      <c r="Q447">
        <v>9104000000</v>
      </c>
      <c r="R447">
        <v>6865000000</v>
      </c>
      <c r="S447">
        <v>19498000000</v>
      </c>
      <c r="T447">
        <v>0</v>
      </c>
      <c r="U447">
        <v>1488000000</v>
      </c>
      <c r="V447">
        <v>12266000000</v>
      </c>
      <c r="W447">
        <v>111388000000</v>
      </c>
      <c r="X447">
        <v>112876000000</v>
      </c>
      <c r="Y447">
        <v>9.0193740685543968</v>
      </c>
      <c r="Z447">
        <v>-25.404850746268661</v>
      </c>
      <c r="AA447">
        <v>-32.411782207676289</v>
      </c>
      <c r="AB447">
        <v>-22.2137030995106</v>
      </c>
      <c r="AC447">
        <v>-22.400987045033929</v>
      </c>
      <c r="AD447">
        <v>-16.095744680851059</v>
      </c>
      <c r="AE447">
        <v>-26.323694029850749</v>
      </c>
      <c r="AF447">
        <v>-25.976679104477611</v>
      </c>
      <c r="AG447">
        <v>-23.21118651038454</v>
      </c>
      <c r="AH447">
        <v>-22.905202549866338</v>
      </c>
      <c r="AI447">
        <v>-33.584052365367448</v>
      </c>
      <c r="AJ447">
        <v>-23.017128874388259</v>
      </c>
      <c r="AK447">
        <v>-33.141326986016068</v>
      </c>
      <c r="AL447">
        <v>-22.7137030995106</v>
      </c>
      <c r="AM447">
        <v>9.3455870177181648</v>
      </c>
      <c r="AN447">
        <v>9.2223878125517462</v>
      </c>
    </row>
    <row r="448" spans="1:40" x14ac:dyDescent="0.25">
      <c r="A448" s="1" t="s">
        <v>1063</v>
      </c>
      <c r="B448">
        <v>109458000000</v>
      </c>
      <c r="C448" t="s">
        <v>83</v>
      </c>
      <c r="D448" t="s">
        <v>127</v>
      </c>
      <c r="E448">
        <v>12078000000</v>
      </c>
      <c r="F448">
        <v>-4288000000</v>
      </c>
      <c r="G448">
        <v>-3361000000</v>
      </c>
      <c r="H448">
        <v>-4904000000</v>
      </c>
      <c r="I448">
        <v>-4863000000</v>
      </c>
      <c r="J448">
        <v>-6768000000</v>
      </c>
      <c r="K448">
        <v>5647000000</v>
      </c>
      <c r="L448">
        <v>1180000000</v>
      </c>
      <c r="M448">
        <v>6827000000</v>
      </c>
      <c r="N448">
        <v>9882000000</v>
      </c>
      <c r="O448">
        <v>1215000000</v>
      </c>
      <c r="P448">
        <v>175000000</v>
      </c>
      <c r="Q448">
        <v>9104000000</v>
      </c>
      <c r="R448">
        <v>6865000000</v>
      </c>
      <c r="S448">
        <v>19498000000</v>
      </c>
      <c r="T448">
        <v>0</v>
      </c>
      <c r="U448">
        <v>1488000000</v>
      </c>
      <c r="V448">
        <v>12266000000</v>
      </c>
      <c r="W448">
        <v>111910000000</v>
      </c>
      <c r="X448">
        <v>113398000000</v>
      </c>
      <c r="Y448">
        <v>9.062593144560358</v>
      </c>
      <c r="Z448">
        <v>-25.526585820895519</v>
      </c>
      <c r="AA448">
        <v>-32.567093127045517</v>
      </c>
      <c r="AB448">
        <v>-22.32014681892333</v>
      </c>
      <c r="AC448">
        <v>-22.50832819247378</v>
      </c>
      <c r="AD448">
        <v>-16.172872340425531</v>
      </c>
      <c r="AE448">
        <v>-26.445429104477611</v>
      </c>
      <c r="AF448">
        <v>-26.098414179104481</v>
      </c>
      <c r="AG448">
        <v>-23.31852765782439</v>
      </c>
      <c r="AH448">
        <v>-23.012543697306189</v>
      </c>
      <c r="AI448">
        <v>-33.739363284736683</v>
      </c>
      <c r="AJ448">
        <v>-23.123572593800979</v>
      </c>
      <c r="AK448">
        <v>-33.296637905385303</v>
      </c>
      <c r="AL448">
        <v>-22.82014681892333</v>
      </c>
      <c r="AM448">
        <v>9.388806093724126</v>
      </c>
      <c r="AN448">
        <v>9.2656068885577074</v>
      </c>
    </row>
    <row r="449" spans="1:40" x14ac:dyDescent="0.25">
      <c r="A449" s="1" t="s">
        <v>1062</v>
      </c>
      <c r="B449">
        <v>106200000000</v>
      </c>
      <c r="C449" t="s">
        <v>83</v>
      </c>
      <c r="D449" t="s">
        <v>127</v>
      </c>
      <c r="E449">
        <v>12078000000</v>
      </c>
      <c r="F449">
        <v>-4288000000</v>
      </c>
      <c r="G449">
        <v>-3361000000</v>
      </c>
      <c r="H449">
        <v>-4904000000</v>
      </c>
      <c r="I449">
        <v>-4863000000</v>
      </c>
      <c r="J449">
        <v>-6768000000</v>
      </c>
      <c r="K449">
        <v>5647000000</v>
      </c>
      <c r="L449">
        <v>1180000000</v>
      </c>
      <c r="M449">
        <v>6827000000</v>
      </c>
      <c r="N449">
        <v>9882000000</v>
      </c>
      <c r="O449">
        <v>1215000000</v>
      </c>
      <c r="P449">
        <v>175000000</v>
      </c>
      <c r="Q449">
        <v>9104000000</v>
      </c>
      <c r="R449">
        <v>6865000000</v>
      </c>
      <c r="S449">
        <v>19498000000</v>
      </c>
      <c r="T449">
        <v>0</v>
      </c>
      <c r="U449">
        <v>1488000000</v>
      </c>
      <c r="V449">
        <v>12266000000</v>
      </c>
      <c r="W449">
        <v>108652000000</v>
      </c>
      <c r="X449">
        <v>110140000000</v>
      </c>
      <c r="Y449">
        <v>8.7928464977645309</v>
      </c>
      <c r="Z449">
        <v>-24.76679104477612</v>
      </c>
      <c r="AA449">
        <v>-31.597738768223739</v>
      </c>
      <c r="AB449">
        <v>-21.655791190864601</v>
      </c>
      <c r="AC449">
        <v>-21.83837137569402</v>
      </c>
      <c r="AD449">
        <v>-15.69148936170213</v>
      </c>
      <c r="AE449">
        <v>-25.685634328358208</v>
      </c>
      <c r="AF449">
        <v>-25.338619402985071</v>
      </c>
      <c r="AG449">
        <v>-22.64857084104462</v>
      </c>
      <c r="AH449">
        <v>-22.342586880526419</v>
      </c>
      <c r="AI449">
        <v>-32.770008925914908</v>
      </c>
      <c r="AJ449">
        <v>-22.45921696574225</v>
      </c>
      <c r="AK449">
        <v>-32.327283546563521</v>
      </c>
      <c r="AL449">
        <v>-22.155791190864601</v>
      </c>
      <c r="AM449">
        <v>9.1190594469282988</v>
      </c>
      <c r="AN449">
        <v>8.9958602417618803</v>
      </c>
    </row>
    <row r="450" spans="1:40" x14ac:dyDescent="0.25">
      <c r="A450" s="1" t="s">
        <v>1061</v>
      </c>
      <c r="B450">
        <v>105102000000</v>
      </c>
      <c r="C450" t="s">
        <v>83</v>
      </c>
      <c r="D450" t="s">
        <v>127</v>
      </c>
      <c r="E450">
        <v>12078000000</v>
      </c>
      <c r="F450">
        <v>-4288000000</v>
      </c>
      <c r="G450">
        <v>-3361000000</v>
      </c>
      <c r="H450">
        <v>-4904000000</v>
      </c>
      <c r="I450">
        <v>-4863000000</v>
      </c>
      <c r="J450">
        <v>-6768000000</v>
      </c>
      <c r="K450">
        <v>5647000000</v>
      </c>
      <c r="L450">
        <v>1180000000</v>
      </c>
      <c r="M450">
        <v>6827000000</v>
      </c>
      <c r="N450">
        <v>9882000000</v>
      </c>
      <c r="O450">
        <v>1215000000</v>
      </c>
      <c r="P450">
        <v>175000000</v>
      </c>
      <c r="Q450">
        <v>9104000000</v>
      </c>
      <c r="R450">
        <v>6865000000</v>
      </c>
      <c r="S450">
        <v>19498000000</v>
      </c>
      <c r="T450">
        <v>0</v>
      </c>
      <c r="U450">
        <v>1488000000</v>
      </c>
      <c r="V450">
        <v>12266000000</v>
      </c>
      <c r="W450">
        <v>107554000000</v>
      </c>
      <c r="X450">
        <v>109042000000</v>
      </c>
      <c r="Y450">
        <v>8.7019374068554391</v>
      </c>
      <c r="Z450">
        <v>-24.5107276119403</v>
      </c>
      <c r="AA450">
        <v>-31.27105028265397</v>
      </c>
      <c r="AB450">
        <v>-21.431892332789559</v>
      </c>
      <c r="AC450">
        <v>-21.612584824182601</v>
      </c>
      <c r="AD450">
        <v>-15.529255319148939</v>
      </c>
      <c r="AE450">
        <v>-25.429570895522389</v>
      </c>
      <c r="AF450">
        <v>-25.082555970149251</v>
      </c>
      <c r="AG450">
        <v>-22.422784289533212</v>
      </c>
      <c r="AH450">
        <v>-22.11680032901501</v>
      </c>
      <c r="AI450">
        <v>-32.443320440345133</v>
      </c>
      <c r="AJ450">
        <v>-22.235318107667212</v>
      </c>
      <c r="AK450">
        <v>-32.000595060993753</v>
      </c>
      <c r="AL450">
        <v>-21.931892332789559</v>
      </c>
      <c r="AM450">
        <v>9.0281503560192089</v>
      </c>
      <c r="AN450">
        <v>8.9049511508527903</v>
      </c>
    </row>
    <row r="451" spans="1:40" x14ac:dyDescent="0.25">
      <c r="A451" s="1" t="s">
        <v>1060</v>
      </c>
      <c r="B451">
        <v>99558000000</v>
      </c>
      <c r="C451" t="s">
        <v>83</v>
      </c>
      <c r="D451" t="s">
        <v>127</v>
      </c>
      <c r="E451">
        <v>12078000000</v>
      </c>
      <c r="F451">
        <v>-4288000000</v>
      </c>
      <c r="G451">
        <v>-3361000000</v>
      </c>
      <c r="H451">
        <v>-4904000000</v>
      </c>
      <c r="I451">
        <v>-4863000000</v>
      </c>
      <c r="J451">
        <v>-6768000000</v>
      </c>
      <c r="K451">
        <v>5647000000</v>
      </c>
      <c r="L451">
        <v>1180000000</v>
      </c>
      <c r="M451">
        <v>6827000000</v>
      </c>
      <c r="N451">
        <v>9882000000</v>
      </c>
      <c r="O451">
        <v>1215000000</v>
      </c>
      <c r="P451">
        <v>175000000</v>
      </c>
      <c r="Q451">
        <v>9104000000</v>
      </c>
      <c r="R451">
        <v>6865000000</v>
      </c>
      <c r="S451">
        <v>19498000000</v>
      </c>
      <c r="T451">
        <v>0</v>
      </c>
      <c r="U451">
        <v>1488000000</v>
      </c>
      <c r="V451">
        <v>12266000000</v>
      </c>
      <c r="W451">
        <v>102010000000</v>
      </c>
      <c r="X451">
        <v>103498000000</v>
      </c>
      <c r="Y451">
        <v>8.2429210134128166</v>
      </c>
      <c r="Z451">
        <v>-23.21781716417911</v>
      </c>
      <c r="AA451">
        <v>-29.62154120797382</v>
      </c>
      <c r="AB451">
        <v>-20.30138662316476</v>
      </c>
      <c r="AC451">
        <v>-20.472547809993831</v>
      </c>
      <c r="AD451">
        <v>-14.71010638297872</v>
      </c>
      <c r="AE451">
        <v>-24.136660447761191</v>
      </c>
      <c r="AF451">
        <v>-23.78964552238806</v>
      </c>
      <c r="AG451">
        <v>-21.282747275344441</v>
      </c>
      <c r="AH451">
        <v>-20.97676331482624</v>
      </c>
      <c r="AI451">
        <v>-30.793811365664979</v>
      </c>
      <c r="AJ451">
        <v>-21.104812398042419</v>
      </c>
      <c r="AK451">
        <v>-30.351085986313599</v>
      </c>
      <c r="AL451">
        <v>-20.80138662316476</v>
      </c>
      <c r="AM451">
        <v>8.5691339625765863</v>
      </c>
      <c r="AN451">
        <v>8.4459347574101677</v>
      </c>
    </row>
    <row r="452" spans="1:40" x14ac:dyDescent="0.25">
      <c r="A452" s="1" t="s">
        <v>1059</v>
      </c>
      <c r="B452">
        <v>100800000000</v>
      </c>
      <c r="C452" t="s">
        <v>83</v>
      </c>
      <c r="D452" t="s">
        <v>127</v>
      </c>
      <c r="E452">
        <v>12078000000</v>
      </c>
      <c r="F452">
        <v>-4288000000</v>
      </c>
      <c r="G452">
        <v>-3361000000</v>
      </c>
      <c r="H452">
        <v>-4904000000</v>
      </c>
      <c r="I452">
        <v>-4863000000</v>
      </c>
      <c r="J452">
        <v>-6768000000</v>
      </c>
      <c r="K452">
        <v>5647000000</v>
      </c>
      <c r="L452">
        <v>1180000000</v>
      </c>
      <c r="M452">
        <v>6827000000</v>
      </c>
      <c r="N452">
        <v>9882000000</v>
      </c>
      <c r="O452">
        <v>1215000000</v>
      </c>
      <c r="P452">
        <v>175000000</v>
      </c>
      <c r="Q452">
        <v>9104000000</v>
      </c>
      <c r="R452">
        <v>6865000000</v>
      </c>
      <c r="S452">
        <v>19498000000</v>
      </c>
      <c r="T452">
        <v>0</v>
      </c>
      <c r="U452">
        <v>1488000000</v>
      </c>
      <c r="V452">
        <v>12266000000</v>
      </c>
      <c r="W452">
        <v>103252000000</v>
      </c>
      <c r="X452">
        <v>104740000000</v>
      </c>
      <c r="Y452">
        <v>8.3457526080476896</v>
      </c>
      <c r="Z452">
        <v>-23.507462686567159</v>
      </c>
      <c r="AA452">
        <v>-29.991074085093722</v>
      </c>
      <c r="AB452">
        <v>-20.554649265905379</v>
      </c>
      <c r="AC452">
        <v>-20.72794571252313</v>
      </c>
      <c r="AD452">
        <v>-14.893617021276601</v>
      </c>
      <c r="AE452">
        <v>-24.426305970149251</v>
      </c>
      <c r="AF452">
        <v>-24.07929104477612</v>
      </c>
      <c r="AG452">
        <v>-21.538145177873741</v>
      </c>
      <c r="AH452">
        <v>-21.232161217355539</v>
      </c>
      <c r="AI452">
        <v>-31.163344242784881</v>
      </c>
      <c r="AJ452">
        <v>-21.358075040783039</v>
      </c>
      <c r="AK452">
        <v>-30.720618863433501</v>
      </c>
      <c r="AL452">
        <v>-21.054649265905379</v>
      </c>
      <c r="AM452">
        <v>8.6719655572114593</v>
      </c>
      <c r="AN452">
        <v>8.5487663520450408</v>
      </c>
    </row>
    <row r="453" spans="1:40" x14ac:dyDescent="0.25">
      <c r="A453" s="1" t="s">
        <v>1058</v>
      </c>
      <c r="B453">
        <v>97038000000</v>
      </c>
      <c r="C453" t="s">
        <v>83</v>
      </c>
      <c r="D453" t="s">
        <v>127</v>
      </c>
      <c r="E453">
        <v>12078000000</v>
      </c>
      <c r="F453">
        <v>-4288000000</v>
      </c>
      <c r="G453">
        <v>-3361000000</v>
      </c>
      <c r="H453">
        <v>-4904000000</v>
      </c>
      <c r="I453">
        <v>-4863000000</v>
      </c>
      <c r="J453">
        <v>-6768000000</v>
      </c>
      <c r="K453">
        <v>5647000000</v>
      </c>
      <c r="L453">
        <v>1180000000</v>
      </c>
      <c r="M453">
        <v>6827000000</v>
      </c>
      <c r="N453">
        <v>9882000000</v>
      </c>
      <c r="O453">
        <v>1215000000</v>
      </c>
      <c r="P453">
        <v>175000000</v>
      </c>
      <c r="Q453">
        <v>9104000000</v>
      </c>
      <c r="R453">
        <v>6865000000</v>
      </c>
      <c r="S453">
        <v>19498000000</v>
      </c>
      <c r="T453">
        <v>0</v>
      </c>
      <c r="U453">
        <v>1488000000</v>
      </c>
      <c r="V453">
        <v>12266000000</v>
      </c>
      <c r="W453">
        <v>99490000000</v>
      </c>
      <c r="X453">
        <v>100978000000</v>
      </c>
      <c r="Y453">
        <v>8.0342771982116243</v>
      </c>
      <c r="Z453">
        <v>-22.630130597014929</v>
      </c>
      <c r="AA453">
        <v>-28.871764355846469</v>
      </c>
      <c r="AB453">
        <v>-19.78752039151713</v>
      </c>
      <c r="AC453">
        <v>-19.954349167180752</v>
      </c>
      <c r="AD453">
        <v>-14.337765957446811</v>
      </c>
      <c r="AE453">
        <v>-23.548973880597011</v>
      </c>
      <c r="AF453">
        <v>-23.20195895522388</v>
      </c>
      <c r="AG453">
        <v>-20.764548632531358</v>
      </c>
      <c r="AH453">
        <v>-20.458564672013161</v>
      </c>
      <c r="AI453">
        <v>-30.044034513537639</v>
      </c>
      <c r="AJ453">
        <v>-20.590946166394779</v>
      </c>
      <c r="AK453">
        <v>-29.601309134186259</v>
      </c>
      <c r="AL453">
        <v>-20.28752039151713</v>
      </c>
      <c r="AM453">
        <v>8.3604901473753941</v>
      </c>
      <c r="AN453">
        <v>8.2372909422089755</v>
      </c>
    </row>
    <row r="454" spans="1:40" x14ac:dyDescent="0.25">
      <c r="A454" s="1" t="s">
        <v>1057</v>
      </c>
      <c r="B454">
        <v>92610000000</v>
      </c>
      <c r="C454" t="s">
        <v>83</v>
      </c>
      <c r="D454" t="s">
        <v>127</v>
      </c>
      <c r="E454">
        <v>12078000000</v>
      </c>
      <c r="F454">
        <v>-4288000000</v>
      </c>
      <c r="G454">
        <v>-3361000000</v>
      </c>
      <c r="H454">
        <v>-4904000000</v>
      </c>
      <c r="I454">
        <v>-4863000000</v>
      </c>
      <c r="J454">
        <v>-6768000000</v>
      </c>
      <c r="K454">
        <v>5647000000</v>
      </c>
      <c r="L454">
        <v>1180000000</v>
      </c>
      <c r="M454">
        <v>6827000000</v>
      </c>
      <c r="N454">
        <v>9882000000</v>
      </c>
      <c r="O454">
        <v>1215000000</v>
      </c>
      <c r="P454">
        <v>175000000</v>
      </c>
      <c r="Q454">
        <v>9104000000</v>
      </c>
      <c r="R454">
        <v>6865000000</v>
      </c>
      <c r="S454">
        <v>19498000000</v>
      </c>
      <c r="T454">
        <v>0</v>
      </c>
      <c r="U454">
        <v>1488000000</v>
      </c>
      <c r="V454">
        <v>12266000000</v>
      </c>
      <c r="W454">
        <v>95062000000</v>
      </c>
      <c r="X454">
        <v>96550000000</v>
      </c>
      <c r="Y454">
        <v>7.6676602086438148</v>
      </c>
      <c r="Z454">
        <v>-21.597481343283579</v>
      </c>
      <c r="AA454">
        <v>-27.554299315679859</v>
      </c>
      <c r="AB454">
        <v>-18.884584013050571</v>
      </c>
      <c r="AC454">
        <v>-19.043800123380631</v>
      </c>
      <c r="AD454">
        <v>-13.68351063829787</v>
      </c>
      <c r="AE454">
        <v>-22.516324626865671</v>
      </c>
      <c r="AF454">
        <v>-22.169309701492541</v>
      </c>
      <c r="AG454">
        <v>-19.853999588731231</v>
      </c>
      <c r="AH454">
        <v>-19.54801562821304</v>
      </c>
      <c r="AI454">
        <v>-28.726569473371018</v>
      </c>
      <c r="AJ454">
        <v>-19.68800978792822</v>
      </c>
      <c r="AK454">
        <v>-28.283844094019639</v>
      </c>
      <c r="AL454">
        <v>-19.384584013050571</v>
      </c>
      <c r="AM454">
        <v>7.9938731578075837</v>
      </c>
      <c r="AN454">
        <v>7.870673952641166</v>
      </c>
    </row>
    <row r="455" spans="1:40" x14ac:dyDescent="0.25">
      <c r="A455" s="1" t="s">
        <v>1056</v>
      </c>
      <c r="B455">
        <v>93150000000</v>
      </c>
      <c r="C455" t="s">
        <v>83</v>
      </c>
      <c r="D455" t="s">
        <v>127</v>
      </c>
      <c r="E455">
        <v>12078000000</v>
      </c>
      <c r="F455">
        <v>-4288000000</v>
      </c>
      <c r="G455">
        <v>-3361000000</v>
      </c>
      <c r="H455">
        <v>-4904000000</v>
      </c>
      <c r="I455">
        <v>-4863000000</v>
      </c>
      <c r="J455">
        <v>-6768000000</v>
      </c>
      <c r="K455">
        <v>5647000000</v>
      </c>
      <c r="L455">
        <v>1180000000</v>
      </c>
      <c r="M455">
        <v>6827000000</v>
      </c>
      <c r="N455">
        <v>9882000000</v>
      </c>
      <c r="O455">
        <v>1215000000</v>
      </c>
      <c r="P455">
        <v>175000000</v>
      </c>
      <c r="Q455">
        <v>9104000000</v>
      </c>
      <c r="R455">
        <v>6865000000</v>
      </c>
      <c r="S455">
        <v>19498000000</v>
      </c>
      <c r="T455">
        <v>0</v>
      </c>
      <c r="U455">
        <v>1488000000</v>
      </c>
      <c r="V455">
        <v>12266000000</v>
      </c>
      <c r="W455">
        <v>95602000000</v>
      </c>
      <c r="X455">
        <v>97090000000</v>
      </c>
      <c r="Y455">
        <v>7.7123695976154991</v>
      </c>
      <c r="Z455">
        <v>-21.723414179104481</v>
      </c>
      <c r="AA455">
        <v>-27.714965783992859</v>
      </c>
      <c r="AB455">
        <v>-18.994698205546491</v>
      </c>
      <c r="AC455">
        <v>-19.15484268969772</v>
      </c>
      <c r="AD455">
        <v>-13.763297872340431</v>
      </c>
      <c r="AE455">
        <v>-22.642257462686569</v>
      </c>
      <c r="AF455">
        <v>-22.295242537313431</v>
      </c>
      <c r="AG455">
        <v>-19.965042155048319</v>
      </c>
      <c r="AH455">
        <v>-19.659058194530129</v>
      </c>
      <c r="AI455">
        <v>-28.887235941684018</v>
      </c>
      <c r="AJ455">
        <v>-19.79812398042414</v>
      </c>
      <c r="AK455">
        <v>-28.444510562332638</v>
      </c>
      <c r="AL455">
        <v>-19.494698205546491</v>
      </c>
      <c r="AM455">
        <v>8.0385825467792689</v>
      </c>
      <c r="AN455">
        <v>7.9153833416128494</v>
      </c>
    </row>
    <row r="456" spans="1:40" x14ac:dyDescent="0.25">
      <c r="A456" s="1" t="s">
        <v>155</v>
      </c>
      <c r="B456">
        <v>97920000000</v>
      </c>
      <c r="C456" t="s">
        <v>83</v>
      </c>
      <c r="D456" t="s">
        <v>127</v>
      </c>
      <c r="E456">
        <v>12078000000</v>
      </c>
      <c r="F456">
        <v>-4288000000</v>
      </c>
      <c r="G456">
        <v>-3361000000</v>
      </c>
      <c r="H456">
        <v>-4904000000</v>
      </c>
      <c r="I456">
        <v>-4863000000</v>
      </c>
      <c r="J456">
        <v>-6768000000</v>
      </c>
      <c r="K456">
        <v>5647000000</v>
      </c>
      <c r="L456">
        <v>1180000000</v>
      </c>
      <c r="M456">
        <v>6827000000</v>
      </c>
      <c r="N456">
        <v>9882000000</v>
      </c>
      <c r="O456">
        <v>1215000000</v>
      </c>
      <c r="P456">
        <v>175000000</v>
      </c>
      <c r="Q456">
        <v>9104000000</v>
      </c>
      <c r="R456">
        <v>6865000000</v>
      </c>
      <c r="S456">
        <v>19498000000</v>
      </c>
      <c r="T456">
        <v>0</v>
      </c>
      <c r="U456">
        <v>1488000000</v>
      </c>
      <c r="V456">
        <v>12266000000</v>
      </c>
      <c r="W456">
        <v>100372000000</v>
      </c>
      <c r="X456">
        <v>101860000000</v>
      </c>
      <c r="Y456">
        <v>8.1073025335320423</v>
      </c>
      <c r="Z456">
        <v>-22.835820895522389</v>
      </c>
      <c r="AA456">
        <v>-29.134186254091041</v>
      </c>
      <c r="AB456">
        <v>-19.9673735725938</v>
      </c>
      <c r="AC456">
        <v>-20.13571869216533</v>
      </c>
      <c r="AD456">
        <v>-14.468085106382979</v>
      </c>
      <c r="AE456">
        <v>-23.754664179104481</v>
      </c>
      <c r="AF456">
        <v>-23.407649253731339</v>
      </c>
      <c r="AG456">
        <v>-20.945918157515941</v>
      </c>
      <c r="AH456">
        <v>-20.639934196997739</v>
      </c>
      <c r="AI456">
        <v>-30.306456411782211</v>
      </c>
      <c r="AJ456">
        <v>-20.770799347471449</v>
      </c>
      <c r="AK456">
        <v>-29.86373103243082</v>
      </c>
      <c r="AL456">
        <v>-20.4673735725938</v>
      </c>
      <c r="AM456">
        <v>8.4335154826958103</v>
      </c>
      <c r="AN456">
        <v>8.3103162775293917</v>
      </c>
    </row>
    <row r="457" spans="1:40" x14ac:dyDescent="0.25">
      <c r="A457" s="1" t="s">
        <v>1055</v>
      </c>
      <c r="B457">
        <v>98370000000</v>
      </c>
      <c r="C457" t="s">
        <v>83</v>
      </c>
      <c r="D457" t="s">
        <v>127</v>
      </c>
      <c r="E457">
        <v>12078000000</v>
      </c>
      <c r="F457">
        <v>-4288000000</v>
      </c>
      <c r="G457">
        <v>-3361000000</v>
      </c>
      <c r="H457">
        <v>-4904000000</v>
      </c>
      <c r="I457">
        <v>-4863000000</v>
      </c>
      <c r="J457">
        <v>-6768000000</v>
      </c>
      <c r="K457">
        <v>5647000000</v>
      </c>
      <c r="L457">
        <v>1180000000</v>
      </c>
      <c r="M457">
        <v>6827000000</v>
      </c>
      <c r="N457">
        <v>9882000000</v>
      </c>
      <c r="O457">
        <v>1215000000</v>
      </c>
      <c r="P457">
        <v>175000000</v>
      </c>
      <c r="Q457">
        <v>9104000000</v>
      </c>
      <c r="R457">
        <v>6865000000</v>
      </c>
      <c r="S457">
        <v>19498000000</v>
      </c>
      <c r="T457">
        <v>0</v>
      </c>
      <c r="U457">
        <v>1488000000</v>
      </c>
      <c r="V457">
        <v>12266000000</v>
      </c>
      <c r="W457">
        <v>100822000000</v>
      </c>
      <c r="X457">
        <v>102310000000</v>
      </c>
      <c r="Y457">
        <v>8.1445603576751111</v>
      </c>
      <c r="Z457">
        <v>-22.940764925373131</v>
      </c>
      <c r="AA457">
        <v>-29.26807497768521</v>
      </c>
      <c r="AB457">
        <v>-20.059135399673739</v>
      </c>
      <c r="AC457">
        <v>-20.228254164096239</v>
      </c>
      <c r="AD457">
        <v>-14.534574468085109</v>
      </c>
      <c r="AE457">
        <v>-23.859608208955219</v>
      </c>
      <c r="AF457">
        <v>-23.512593283582088</v>
      </c>
      <c r="AG457">
        <v>-21.038453629446838</v>
      </c>
      <c r="AH457">
        <v>-20.732469668928641</v>
      </c>
      <c r="AI457">
        <v>-30.440345135376379</v>
      </c>
      <c r="AJ457">
        <v>-20.862561174551391</v>
      </c>
      <c r="AK457">
        <v>-29.997619756024989</v>
      </c>
      <c r="AL457">
        <v>-20.559135399673739</v>
      </c>
      <c r="AM457">
        <v>8.4707733068388809</v>
      </c>
      <c r="AN457">
        <v>8.3475741016724623</v>
      </c>
    </row>
    <row r="458" spans="1:40" x14ac:dyDescent="0.25">
      <c r="A458" s="1" t="s">
        <v>1054</v>
      </c>
      <c r="B458">
        <v>100998000000</v>
      </c>
      <c r="C458" t="s">
        <v>83</v>
      </c>
      <c r="D458" t="s">
        <v>127</v>
      </c>
      <c r="E458">
        <v>12078000000</v>
      </c>
      <c r="F458">
        <v>-4288000000</v>
      </c>
      <c r="G458">
        <v>-3361000000</v>
      </c>
      <c r="H458">
        <v>-4904000000</v>
      </c>
      <c r="I458">
        <v>-4863000000</v>
      </c>
      <c r="J458">
        <v>-6768000000</v>
      </c>
      <c r="K458">
        <v>5647000000</v>
      </c>
      <c r="L458">
        <v>1180000000</v>
      </c>
      <c r="M458">
        <v>6827000000</v>
      </c>
      <c r="N458">
        <v>9882000000</v>
      </c>
      <c r="O458">
        <v>1215000000</v>
      </c>
      <c r="P458">
        <v>175000000</v>
      </c>
      <c r="Q458">
        <v>9104000000</v>
      </c>
      <c r="R458">
        <v>6865000000</v>
      </c>
      <c r="S458">
        <v>19498000000</v>
      </c>
      <c r="T458">
        <v>0</v>
      </c>
      <c r="U458">
        <v>1488000000</v>
      </c>
      <c r="V458">
        <v>12266000000</v>
      </c>
      <c r="W458">
        <v>103450000000</v>
      </c>
      <c r="X458">
        <v>104938000000</v>
      </c>
      <c r="Y458">
        <v>8.3621460506706402</v>
      </c>
      <c r="Z458">
        <v>-23.553638059701491</v>
      </c>
      <c r="AA458">
        <v>-30.04998512347516</v>
      </c>
      <c r="AB458">
        <v>-20.595024469820551</v>
      </c>
      <c r="AC458">
        <v>-20.768661320172729</v>
      </c>
      <c r="AD458">
        <v>-14.922872340425529</v>
      </c>
      <c r="AE458">
        <v>-24.472481343283579</v>
      </c>
      <c r="AF458">
        <v>-24.125466417910449</v>
      </c>
      <c r="AG458">
        <v>-21.578860785523339</v>
      </c>
      <c r="AH458">
        <v>-21.272876825005142</v>
      </c>
      <c r="AI458">
        <v>-31.222255281166319</v>
      </c>
      <c r="AJ458">
        <v>-21.398450244698211</v>
      </c>
      <c r="AK458">
        <v>-30.779529901814939</v>
      </c>
      <c r="AL458">
        <v>-21.095024469820551</v>
      </c>
      <c r="AM458">
        <v>8.68835899983441</v>
      </c>
      <c r="AN458">
        <v>8.5651597946679914</v>
      </c>
    </row>
    <row r="459" spans="1:40" x14ac:dyDescent="0.25">
      <c r="A459" s="1" t="s">
        <v>1053</v>
      </c>
      <c r="B459">
        <v>95526000000</v>
      </c>
      <c r="C459" t="s">
        <v>83</v>
      </c>
      <c r="D459" t="s">
        <v>127</v>
      </c>
      <c r="E459">
        <v>12078000000</v>
      </c>
      <c r="F459">
        <v>-4288000000</v>
      </c>
      <c r="G459">
        <v>-3361000000</v>
      </c>
      <c r="H459">
        <v>-4904000000</v>
      </c>
      <c r="I459">
        <v>-4863000000</v>
      </c>
      <c r="J459">
        <v>-6768000000</v>
      </c>
      <c r="K459">
        <v>5647000000</v>
      </c>
      <c r="L459">
        <v>1180000000</v>
      </c>
      <c r="M459">
        <v>6827000000</v>
      </c>
      <c r="N459">
        <v>9882000000</v>
      </c>
      <c r="O459">
        <v>1215000000</v>
      </c>
      <c r="P459">
        <v>175000000</v>
      </c>
      <c r="Q459">
        <v>9104000000</v>
      </c>
      <c r="R459">
        <v>6865000000</v>
      </c>
      <c r="S459">
        <v>19498000000</v>
      </c>
      <c r="T459">
        <v>0</v>
      </c>
      <c r="U459">
        <v>1488000000</v>
      </c>
      <c r="V459">
        <v>12266000000</v>
      </c>
      <c r="W459">
        <v>97978000000</v>
      </c>
      <c r="X459">
        <v>99466000000</v>
      </c>
      <c r="Y459">
        <v>7.9090909090909092</v>
      </c>
      <c r="Z459">
        <v>-22.277518656716421</v>
      </c>
      <c r="AA459">
        <v>-28.42189824457007</v>
      </c>
      <c r="AB459">
        <v>-19.479200652528551</v>
      </c>
      <c r="AC459">
        <v>-19.643429981492901</v>
      </c>
      <c r="AD459">
        <v>-14.11436170212766</v>
      </c>
      <c r="AE459">
        <v>-23.196361940298509</v>
      </c>
      <c r="AF459">
        <v>-22.849347014925371</v>
      </c>
      <c r="AG459">
        <v>-20.453629446843511</v>
      </c>
      <c r="AH459">
        <v>-20.14764548632531</v>
      </c>
      <c r="AI459">
        <v>-29.594168402261229</v>
      </c>
      <c r="AJ459">
        <v>-20.2826264274062</v>
      </c>
      <c r="AK459">
        <v>-29.151443022909849</v>
      </c>
      <c r="AL459">
        <v>-19.979200652528551</v>
      </c>
      <c r="AM459">
        <v>8.235303858254678</v>
      </c>
      <c r="AN459">
        <v>8.1121046530882595</v>
      </c>
    </row>
    <row r="460" spans="1:40" x14ac:dyDescent="0.25">
      <c r="A460" s="1" t="s">
        <v>1052</v>
      </c>
      <c r="B460">
        <v>99972000000</v>
      </c>
      <c r="C460" t="s">
        <v>83</v>
      </c>
      <c r="D460" t="s">
        <v>127</v>
      </c>
      <c r="E460">
        <v>12078000000</v>
      </c>
      <c r="F460">
        <v>-4288000000</v>
      </c>
      <c r="G460">
        <v>-3361000000</v>
      </c>
      <c r="H460">
        <v>-4904000000</v>
      </c>
      <c r="I460">
        <v>-4863000000</v>
      </c>
      <c r="J460">
        <v>-6768000000</v>
      </c>
      <c r="K460">
        <v>5647000000</v>
      </c>
      <c r="L460">
        <v>1180000000</v>
      </c>
      <c r="M460">
        <v>6827000000</v>
      </c>
      <c r="N460">
        <v>9882000000</v>
      </c>
      <c r="O460">
        <v>1215000000</v>
      </c>
      <c r="P460">
        <v>175000000</v>
      </c>
      <c r="Q460">
        <v>9104000000</v>
      </c>
      <c r="R460">
        <v>6865000000</v>
      </c>
      <c r="S460">
        <v>19498000000</v>
      </c>
      <c r="T460">
        <v>0</v>
      </c>
      <c r="U460">
        <v>1488000000</v>
      </c>
      <c r="V460">
        <v>12266000000</v>
      </c>
      <c r="W460">
        <v>102424000000</v>
      </c>
      <c r="X460">
        <v>103912000000</v>
      </c>
      <c r="Y460">
        <v>8.2771982116244409</v>
      </c>
      <c r="Z460">
        <v>-23.314365671641792</v>
      </c>
      <c r="AA460">
        <v>-29.744718833680452</v>
      </c>
      <c r="AB460">
        <v>-20.385807504078301</v>
      </c>
      <c r="AC460">
        <v>-20.55768044417027</v>
      </c>
      <c r="AD460">
        <v>-14.771276595744681</v>
      </c>
      <c r="AE460">
        <v>-24.23320895522388</v>
      </c>
      <c r="AF460">
        <v>-23.886194029850749</v>
      </c>
      <c r="AG460">
        <v>-21.36787990952087</v>
      </c>
      <c r="AH460">
        <v>-21.061895949002668</v>
      </c>
      <c r="AI460">
        <v>-30.91698899137161</v>
      </c>
      <c r="AJ460">
        <v>-21.18923327895595</v>
      </c>
      <c r="AK460">
        <v>-30.474263612020231</v>
      </c>
      <c r="AL460">
        <v>-20.885807504078301</v>
      </c>
      <c r="AM460">
        <v>8.6034111607882107</v>
      </c>
      <c r="AN460">
        <v>8.4802119556217921</v>
      </c>
    </row>
    <row r="461" spans="1:40" x14ac:dyDescent="0.25">
      <c r="A461" s="1" t="s">
        <v>1051</v>
      </c>
      <c r="B461">
        <v>95760000000</v>
      </c>
      <c r="C461" t="s">
        <v>83</v>
      </c>
      <c r="D461" t="s">
        <v>127</v>
      </c>
      <c r="E461">
        <v>12078000000</v>
      </c>
      <c r="F461">
        <v>-4288000000</v>
      </c>
      <c r="G461">
        <v>-3361000000</v>
      </c>
      <c r="H461">
        <v>-4904000000</v>
      </c>
      <c r="I461">
        <v>-4863000000</v>
      </c>
      <c r="J461">
        <v>-6768000000</v>
      </c>
      <c r="K461">
        <v>5647000000</v>
      </c>
      <c r="L461">
        <v>1180000000</v>
      </c>
      <c r="M461">
        <v>6827000000</v>
      </c>
      <c r="N461">
        <v>9882000000</v>
      </c>
      <c r="O461">
        <v>1215000000</v>
      </c>
      <c r="P461">
        <v>175000000</v>
      </c>
      <c r="Q461">
        <v>9104000000</v>
      </c>
      <c r="R461">
        <v>6865000000</v>
      </c>
      <c r="S461">
        <v>19498000000</v>
      </c>
      <c r="T461">
        <v>0</v>
      </c>
      <c r="U461">
        <v>1488000000</v>
      </c>
      <c r="V461">
        <v>12266000000</v>
      </c>
      <c r="W461">
        <v>98212000000</v>
      </c>
      <c r="X461">
        <v>99700000000</v>
      </c>
      <c r="Y461">
        <v>7.9284649776453051</v>
      </c>
      <c r="Z461">
        <v>-22.332089552238809</v>
      </c>
      <c r="AA461">
        <v>-28.491520380839031</v>
      </c>
      <c r="AB461">
        <v>-19.52691680261011</v>
      </c>
      <c r="AC461">
        <v>-19.691548426896979</v>
      </c>
      <c r="AD461">
        <v>-14.148936170212769</v>
      </c>
      <c r="AE461">
        <v>-23.25093283582089</v>
      </c>
      <c r="AF461">
        <v>-22.90391791044776</v>
      </c>
      <c r="AG461">
        <v>-20.501747892247579</v>
      </c>
      <c r="AH461">
        <v>-20.195763931729381</v>
      </c>
      <c r="AI461">
        <v>-29.663790538530201</v>
      </c>
      <c r="AJ461">
        <v>-20.33034257748777</v>
      </c>
      <c r="AK461">
        <v>-29.221065159178821</v>
      </c>
      <c r="AL461">
        <v>-20.02691680261011</v>
      </c>
      <c r="AM461">
        <v>8.2546779268090749</v>
      </c>
      <c r="AN461">
        <v>8.1314787216426563</v>
      </c>
    </row>
    <row r="462" spans="1:40" x14ac:dyDescent="0.25">
      <c r="A462" s="1" t="s">
        <v>1050</v>
      </c>
      <c r="B462">
        <v>99450000000</v>
      </c>
      <c r="C462" t="s">
        <v>83</v>
      </c>
      <c r="D462" t="s">
        <v>127</v>
      </c>
      <c r="E462">
        <v>12078000000</v>
      </c>
      <c r="F462">
        <v>-4288000000</v>
      </c>
      <c r="G462">
        <v>-3361000000</v>
      </c>
      <c r="H462">
        <v>-4904000000</v>
      </c>
      <c r="I462">
        <v>-4863000000</v>
      </c>
      <c r="J462">
        <v>-6768000000</v>
      </c>
      <c r="K462">
        <v>5647000000</v>
      </c>
      <c r="L462">
        <v>1180000000</v>
      </c>
      <c r="M462">
        <v>6827000000</v>
      </c>
      <c r="N462">
        <v>9882000000</v>
      </c>
      <c r="O462">
        <v>1215000000</v>
      </c>
      <c r="P462">
        <v>175000000</v>
      </c>
      <c r="Q462">
        <v>9104000000</v>
      </c>
      <c r="R462">
        <v>6865000000</v>
      </c>
      <c r="S462">
        <v>19498000000</v>
      </c>
      <c r="T462">
        <v>0</v>
      </c>
      <c r="U462">
        <v>1488000000</v>
      </c>
      <c r="V462">
        <v>12266000000</v>
      </c>
      <c r="W462">
        <v>101902000000</v>
      </c>
      <c r="X462">
        <v>103390000000</v>
      </c>
      <c r="Y462">
        <v>8.2339791356184797</v>
      </c>
      <c r="Z462">
        <v>-23.192630597014929</v>
      </c>
      <c r="AA462">
        <v>-29.58940791431122</v>
      </c>
      <c r="AB462">
        <v>-20.279363784665581</v>
      </c>
      <c r="AC462">
        <v>-20.450339296730409</v>
      </c>
      <c r="AD462">
        <v>-14.69414893617021</v>
      </c>
      <c r="AE462">
        <v>-24.111473880597011</v>
      </c>
      <c r="AF462">
        <v>-23.76445895522388</v>
      </c>
      <c r="AG462">
        <v>-21.260538762081019</v>
      </c>
      <c r="AH462">
        <v>-20.954554801562821</v>
      </c>
      <c r="AI462">
        <v>-30.761678072002379</v>
      </c>
      <c r="AJ462">
        <v>-21.08278955954323</v>
      </c>
      <c r="AK462">
        <v>-30.318952692650999</v>
      </c>
      <c r="AL462">
        <v>-20.779363784665581</v>
      </c>
      <c r="AM462">
        <v>8.5601920847822495</v>
      </c>
      <c r="AN462">
        <v>8.4369928796158309</v>
      </c>
    </row>
    <row r="463" spans="1:40" x14ac:dyDescent="0.25">
      <c r="A463" s="1" t="s">
        <v>1049</v>
      </c>
      <c r="B463">
        <v>103824000000</v>
      </c>
      <c r="C463" t="s">
        <v>83</v>
      </c>
      <c r="D463" t="s">
        <v>127</v>
      </c>
      <c r="E463">
        <v>12078000000</v>
      </c>
      <c r="F463">
        <v>-4288000000</v>
      </c>
      <c r="G463">
        <v>-3361000000</v>
      </c>
      <c r="H463">
        <v>-4904000000</v>
      </c>
      <c r="I463">
        <v>-4863000000</v>
      </c>
      <c r="J463">
        <v>-6768000000</v>
      </c>
      <c r="K463">
        <v>5647000000</v>
      </c>
      <c r="L463">
        <v>1180000000</v>
      </c>
      <c r="M463">
        <v>6827000000</v>
      </c>
      <c r="N463">
        <v>9882000000</v>
      </c>
      <c r="O463">
        <v>1215000000</v>
      </c>
      <c r="P463">
        <v>175000000</v>
      </c>
      <c r="Q463">
        <v>9104000000</v>
      </c>
      <c r="R463">
        <v>6865000000</v>
      </c>
      <c r="S463">
        <v>19498000000</v>
      </c>
      <c r="T463">
        <v>0</v>
      </c>
      <c r="U463">
        <v>1488000000</v>
      </c>
      <c r="V463">
        <v>12266000000</v>
      </c>
      <c r="W463">
        <v>106276000000</v>
      </c>
      <c r="X463">
        <v>107764000000</v>
      </c>
      <c r="Y463">
        <v>8.5961251862891199</v>
      </c>
      <c r="Z463">
        <v>-24.21268656716418</v>
      </c>
      <c r="AA463">
        <v>-30.890806307646539</v>
      </c>
      <c r="AB463">
        <v>-21.171288743882549</v>
      </c>
      <c r="AC463">
        <v>-21.349784083898829</v>
      </c>
      <c r="AD463">
        <v>-15.340425531914891</v>
      </c>
      <c r="AE463">
        <v>-25.131529850746269</v>
      </c>
      <c r="AF463">
        <v>-24.784514925373131</v>
      </c>
      <c r="AG463">
        <v>-22.159983549249439</v>
      </c>
      <c r="AH463">
        <v>-21.853999588731231</v>
      </c>
      <c r="AI463">
        <v>-32.063076465337687</v>
      </c>
      <c r="AJ463">
        <v>-21.974714518760191</v>
      </c>
      <c r="AK463">
        <v>-31.620351085986311</v>
      </c>
      <c r="AL463">
        <v>-21.671288743882549</v>
      </c>
      <c r="AM463">
        <v>8.9223381354528897</v>
      </c>
      <c r="AN463">
        <v>8.7991389302864711</v>
      </c>
    </row>
    <row r="464" spans="1:40" x14ac:dyDescent="0.25">
      <c r="A464" s="1" t="s">
        <v>1048</v>
      </c>
      <c r="B464">
        <v>106110000000</v>
      </c>
      <c r="C464" t="s">
        <v>83</v>
      </c>
      <c r="D464" t="s">
        <v>127</v>
      </c>
      <c r="E464">
        <v>12078000000</v>
      </c>
      <c r="F464">
        <v>-4288000000</v>
      </c>
      <c r="G464">
        <v>-3361000000</v>
      </c>
      <c r="H464">
        <v>-4904000000</v>
      </c>
      <c r="I464">
        <v>-4863000000</v>
      </c>
      <c r="J464">
        <v>-6768000000</v>
      </c>
      <c r="K464">
        <v>5647000000</v>
      </c>
      <c r="L464">
        <v>1180000000</v>
      </c>
      <c r="M464">
        <v>6827000000</v>
      </c>
      <c r="N464">
        <v>9882000000</v>
      </c>
      <c r="O464">
        <v>1215000000</v>
      </c>
      <c r="P464">
        <v>175000000</v>
      </c>
      <c r="Q464">
        <v>9104000000</v>
      </c>
      <c r="R464">
        <v>6865000000</v>
      </c>
      <c r="S464">
        <v>19498000000</v>
      </c>
      <c r="T464">
        <v>0</v>
      </c>
      <c r="U464">
        <v>1488000000</v>
      </c>
      <c r="V464">
        <v>12266000000</v>
      </c>
      <c r="W464">
        <v>108562000000</v>
      </c>
      <c r="X464">
        <v>110050000000</v>
      </c>
      <c r="Y464">
        <v>8.7853949329359171</v>
      </c>
      <c r="Z464">
        <v>-24.745802238805972</v>
      </c>
      <c r="AA464">
        <v>-31.570961023504911</v>
      </c>
      <c r="AB464">
        <v>-21.637438825448609</v>
      </c>
      <c r="AC464">
        <v>-21.819864281307829</v>
      </c>
      <c r="AD464">
        <v>-15.6781914893617</v>
      </c>
      <c r="AE464">
        <v>-25.66464552238806</v>
      </c>
      <c r="AF464">
        <v>-25.317630597014929</v>
      </c>
      <c r="AG464">
        <v>-22.63006374665844</v>
      </c>
      <c r="AH464">
        <v>-22.324079786140238</v>
      </c>
      <c r="AI464">
        <v>-32.743231181196073</v>
      </c>
      <c r="AJ464">
        <v>-22.440864600326261</v>
      </c>
      <c r="AK464">
        <v>-32.300505801844693</v>
      </c>
      <c r="AL464">
        <v>-22.137438825448609</v>
      </c>
      <c r="AM464">
        <v>9.1116078820996851</v>
      </c>
      <c r="AN464">
        <v>8.9884086769332665</v>
      </c>
    </row>
    <row r="465" spans="1:40" x14ac:dyDescent="0.25">
      <c r="A465" s="1" t="s">
        <v>1047</v>
      </c>
      <c r="B465">
        <v>108630000000</v>
      </c>
      <c r="C465" t="s">
        <v>83</v>
      </c>
      <c r="D465" t="s">
        <v>127</v>
      </c>
      <c r="E465">
        <v>12078000000</v>
      </c>
      <c r="F465">
        <v>-4288000000</v>
      </c>
      <c r="G465">
        <v>-3361000000</v>
      </c>
      <c r="H465">
        <v>-4904000000</v>
      </c>
      <c r="I465">
        <v>-4863000000</v>
      </c>
      <c r="J465">
        <v>-6768000000</v>
      </c>
      <c r="K465">
        <v>5647000000</v>
      </c>
      <c r="L465">
        <v>1180000000</v>
      </c>
      <c r="M465">
        <v>6827000000</v>
      </c>
      <c r="N465">
        <v>9882000000</v>
      </c>
      <c r="O465">
        <v>1215000000</v>
      </c>
      <c r="P465">
        <v>175000000</v>
      </c>
      <c r="Q465">
        <v>9104000000</v>
      </c>
      <c r="R465">
        <v>6865000000</v>
      </c>
      <c r="S465">
        <v>19498000000</v>
      </c>
      <c r="T465">
        <v>0</v>
      </c>
      <c r="U465">
        <v>1488000000</v>
      </c>
      <c r="V465">
        <v>12266000000</v>
      </c>
      <c r="W465">
        <v>111082000000</v>
      </c>
      <c r="X465">
        <v>112570000000</v>
      </c>
      <c r="Y465">
        <v>8.9940387481371094</v>
      </c>
      <c r="Z465">
        <v>-25.333488805970148</v>
      </c>
      <c r="AA465">
        <v>-32.320737875632247</v>
      </c>
      <c r="AB465">
        <v>-22.151305057096248</v>
      </c>
      <c r="AC465">
        <v>-22.338062924120909</v>
      </c>
      <c r="AD465">
        <v>-16.050531914893622</v>
      </c>
      <c r="AE465">
        <v>-26.25233208955224</v>
      </c>
      <c r="AF465">
        <v>-25.90531716417911</v>
      </c>
      <c r="AG465">
        <v>-23.148262389471519</v>
      </c>
      <c r="AH465">
        <v>-22.842278428953321</v>
      </c>
      <c r="AI465">
        <v>-33.493008033323413</v>
      </c>
      <c r="AJ465">
        <v>-22.954730831973901</v>
      </c>
      <c r="AK465">
        <v>-33.050282653972033</v>
      </c>
      <c r="AL465">
        <v>-22.651305057096248</v>
      </c>
      <c r="AM465">
        <v>9.3202516973008773</v>
      </c>
      <c r="AN465">
        <v>9.1970524921344587</v>
      </c>
    </row>
    <row r="466" spans="1:40" x14ac:dyDescent="0.25">
      <c r="A466" s="1" t="s">
        <v>1046</v>
      </c>
      <c r="B466">
        <v>108342000000</v>
      </c>
      <c r="C466" t="s">
        <v>83</v>
      </c>
      <c r="D466" t="s">
        <v>127</v>
      </c>
      <c r="E466">
        <v>12078000000</v>
      </c>
      <c r="F466">
        <v>-4288000000</v>
      </c>
      <c r="G466">
        <v>-3361000000</v>
      </c>
      <c r="H466">
        <v>-4904000000</v>
      </c>
      <c r="I466">
        <v>-4863000000</v>
      </c>
      <c r="J466">
        <v>-6768000000</v>
      </c>
      <c r="K466">
        <v>5647000000</v>
      </c>
      <c r="L466">
        <v>1180000000</v>
      </c>
      <c r="M466">
        <v>6827000000</v>
      </c>
      <c r="N466">
        <v>9882000000</v>
      </c>
      <c r="O466">
        <v>1215000000</v>
      </c>
      <c r="P466">
        <v>175000000</v>
      </c>
      <c r="Q466">
        <v>9104000000</v>
      </c>
      <c r="R466">
        <v>6865000000</v>
      </c>
      <c r="S466">
        <v>19498000000</v>
      </c>
      <c r="T466">
        <v>0</v>
      </c>
      <c r="U466">
        <v>1488000000</v>
      </c>
      <c r="V466">
        <v>12266000000</v>
      </c>
      <c r="W466">
        <v>110794000000</v>
      </c>
      <c r="X466">
        <v>112282000000</v>
      </c>
      <c r="Y466">
        <v>8.9701937406855432</v>
      </c>
      <c r="Z466">
        <v>-25.266324626865671</v>
      </c>
      <c r="AA466">
        <v>-32.235049092531987</v>
      </c>
      <c r="AB466">
        <v>-22.092577487765091</v>
      </c>
      <c r="AC466">
        <v>-22.27884022208513</v>
      </c>
      <c r="AD466">
        <v>-16.007978723404261</v>
      </c>
      <c r="AE466">
        <v>-26.18516791044776</v>
      </c>
      <c r="AF466">
        <v>-25.838152985074629</v>
      </c>
      <c r="AG466">
        <v>-23.08903968743574</v>
      </c>
      <c r="AH466">
        <v>-22.783055726917539</v>
      </c>
      <c r="AI466">
        <v>-33.407319250223154</v>
      </c>
      <c r="AJ466">
        <v>-22.89600326264274</v>
      </c>
      <c r="AK466">
        <v>-32.964593870871767</v>
      </c>
      <c r="AL466">
        <v>-22.592577487765091</v>
      </c>
      <c r="AM466">
        <v>9.296406689849313</v>
      </c>
      <c r="AN466">
        <v>9.1732074846828944</v>
      </c>
    </row>
    <row r="467" spans="1:40" x14ac:dyDescent="0.25">
      <c r="A467" s="1" t="s">
        <v>1045</v>
      </c>
      <c r="B467">
        <v>105930000000</v>
      </c>
      <c r="C467" t="s">
        <v>83</v>
      </c>
      <c r="D467" t="s">
        <v>127</v>
      </c>
      <c r="E467">
        <v>12078000000</v>
      </c>
      <c r="F467">
        <v>-4288000000</v>
      </c>
      <c r="G467">
        <v>-3361000000</v>
      </c>
      <c r="H467">
        <v>-4904000000</v>
      </c>
      <c r="I467">
        <v>-4863000000</v>
      </c>
      <c r="J467">
        <v>-6768000000</v>
      </c>
      <c r="K467">
        <v>5647000000</v>
      </c>
      <c r="L467">
        <v>1180000000</v>
      </c>
      <c r="M467">
        <v>6827000000</v>
      </c>
      <c r="N467">
        <v>9882000000</v>
      </c>
      <c r="O467">
        <v>1215000000</v>
      </c>
      <c r="P467">
        <v>175000000</v>
      </c>
      <c r="Q467">
        <v>9104000000</v>
      </c>
      <c r="R467">
        <v>6865000000</v>
      </c>
      <c r="S467">
        <v>19498000000</v>
      </c>
      <c r="T467">
        <v>0</v>
      </c>
      <c r="U467">
        <v>1488000000</v>
      </c>
      <c r="V467">
        <v>12266000000</v>
      </c>
      <c r="W467">
        <v>108382000000</v>
      </c>
      <c r="X467">
        <v>109870000000</v>
      </c>
      <c r="Y467">
        <v>8.7704918032786878</v>
      </c>
      <c r="Z467">
        <v>-24.703824626865671</v>
      </c>
      <c r="AA467">
        <v>-31.51740553406724</v>
      </c>
      <c r="AB467">
        <v>-21.600734094616641</v>
      </c>
      <c r="AC467">
        <v>-21.782850092535469</v>
      </c>
      <c r="AD467">
        <v>-15.651595744680851</v>
      </c>
      <c r="AE467">
        <v>-25.62266791044776</v>
      </c>
      <c r="AF467">
        <v>-25.275652985074629</v>
      </c>
      <c r="AG467">
        <v>-22.593049557886079</v>
      </c>
      <c r="AH467">
        <v>-22.287065597367882</v>
      </c>
      <c r="AI467">
        <v>-32.689675691758403</v>
      </c>
      <c r="AJ467">
        <v>-22.40415986949429</v>
      </c>
      <c r="AK467">
        <v>-32.246950312407023</v>
      </c>
      <c r="AL467">
        <v>-22.100734094616641</v>
      </c>
      <c r="AM467">
        <v>9.0967047524424576</v>
      </c>
      <c r="AN467">
        <v>8.973505547276039</v>
      </c>
    </row>
    <row r="468" spans="1:40" x14ac:dyDescent="0.25">
      <c r="A468" s="1" t="s">
        <v>1044</v>
      </c>
      <c r="B468">
        <v>101448000000</v>
      </c>
      <c r="C468" t="s">
        <v>83</v>
      </c>
      <c r="D468" t="s">
        <v>127</v>
      </c>
      <c r="E468">
        <v>12078000000</v>
      </c>
      <c r="F468">
        <v>-4288000000</v>
      </c>
      <c r="G468">
        <v>-3361000000</v>
      </c>
      <c r="H468">
        <v>-4904000000</v>
      </c>
      <c r="I468">
        <v>-4863000000</v>
      </c>
      <c r="J468">
        <v>-6768000000</v>
      </c>
      <c r="K468">
        <v>5647000000</v>
      </c>
      <c r="L468">
        <v>1180000000</v>
      </c>
      <c r="M468">
        <v>6827000000</v>
      </c>
      <c r="N468">
        <v>9882000000</v>
      </c>
      <c r="O468">
        <v>1215000000</v>
      </c>
      <c r="P468">
        <v>175000000</v>
      </c>
      <c r="Q468">
        <v>9104000000</v>
      </c>
      <c r="R468">
        <v>6865000000</v>
      </c>
      <c r="S468">
        <v>19498000000</v>
      </c>
      <c r="T468">
        <v>0</v>
      </c>
      <c r="U468">
        <v>1488000000</v>
      </c>
      <c r="V468">
        <v>12266000000</v>
      </c>
      <c r="W468">
        <v>103900000000</v>
      </c>
      <c r="X468">
        <v>105388000000</v>
      </c>
      <c r="Y468">
        <v>8.3994038748137108</v>
      </c>
      <c r="Z468">
        <v>-23.65858208955224</v>
      </c>
      <c r="AA468">
        <v>-30.183873847069329</v>
      </c>
      <c r="AB468">
        <v>-20.68678629690049</v>
      </c>
      <c r="AC468">
        <v>-20.861196792103641</v>
      </c>
      <c r="AD468">
        <v>-14.98936170212766</v>
      </c>
      <c r="AE468">
        <v>-24.577425373134329</v>
      </c>
      <c r="AF468">
        <v>-24.230410447761191</v>
      </c>
      <c r="AG468">
        <v>-21.671396257454251</v>
      </c>
      <c r="AH468">
        <v>-21.36541229693605</v>
      </c>
      <c r="AI468">
        <v>-31.356144004760491</v>
      </c>
      <c r="AJ468">
        <v>-21.490212071778139</v>
      </c>
      <c r="AK468">
        <v>-30.913418625409101</v>
      </c>
      <c r="AL468">
        <v>-21.18678629690049</v>
      </c>
      <c r="AM468">
        <v>8.7256168239774805</v>
      </c>
      <c r="AN468">
        <v>8.6024176188110619</v>
      </c>
    </row>
    <row r="469" spans="1:40" x14ac:dyDescent="0.25">
      <c r="A469" s="1" t="s">
        <v>1043</v>
      </c>
      <c r="B469">
        <v>100242000000</v>
      </c>
      <c r="C469" t="s">
        <v>83</v>
      </c>
      <c r="D469" t="s">
        <v>127</v>
      </c>
      <c r="E469">
        <v>12078000000</v>
      </c>
      <c r="F469">
        <v>-4288000000</v>
      </c>
      <c r="G469">
        <v>-3361000000</v>
      </c>
      <c r="H469">
        <v>-4904000000</v>
      </c>
      <c r="I469">
        <v>-4863000000</v>
      </c>
      <c r="J469">
        <v>-6768000000</v>
      </c>
      <c r="K469">
        <v>5647000000</v>
      </c>
      <c r="L469">
        <v>1180000000</v>
      </c>
      <c r="M469">
        <v>6827000000</v>
      </c>
      <c r="N469">
        <v>9882000000</v>
      </c>
      <c r="O469">
        <v>1215000000</v>
      </c>
      <c r="P469">
        <v>175000000</v>
      </c>
      <c r="Q469">
        <v>9104000000</v>
      </c>
      <c r="R469">
        <v>6865000000</v>
      </c>
      <c r="S469">
        <v>19498000000</v>
      </c>
      <c r="T469">
        <v>0</v>
      </c>
      <c r="U469">
        <v>1488000000</v>
      </c>
      <c r="V469">
        <v>12266000000</v>
      </c>
      <c r="W469">
        <v>102694000000</v>
      </c>
      <c r="X469">
        <v>104182000000</v>
      </c>
      <c r="Y469">
        <v>8.299552906110284</v>
      </c>
      <c r="Z469">
        <v>-23.37733208955224</v>
      </c>
      <c r="AA469">
        <v>-29.82505206783695</v>
      </c>
      <c r="AB469">
        <v>-20.440864600326261</v>
      </c>
      <c r="AC469">
        <v>-20.613201727328811</v>
      </c>
      <c r="AD469">
        <v>-14.81117021276596</v>
      </c>
      <c r="AE469">
        <v>-24.296175373134329</v>
      </c>
      <c r="AF469">
        <v>-23.949160447761191</v>
      </c>
      <c r="AG469">
        <v>-21.423401192679421</v>
      </c>
      <c r="AH469">
        <v>-21.11741723216122</v>
      </c>
      <c r="AI469">
        <v>-30.997322225528119</v>
      </c>
      <c r="AJ469">
        <v>-21.24429037520391</v>
      </c>
      <c r="AK469">
        <v>-30.554596846176729</v>
      </c>
      <c r="AL469">
        <v>-20.940864600326261</v>
      </c>
      <c r="AM469">
        <v>8.6257658552740519</v>
      </c>
      <c r="AN469">
        <v>8.5025666501076334</v>
      </c>
    </row>
    <row r="470" spans="1:40" x14ac:dyDescent="0.25">
      <c r="A470" s="1" t="s">
        <v>1042</v>
      </c>
      <c r="B470">
        <v>102744000000</v>
      </c>
      <c r="C470" t="s">
        <v>83</v>
      </c>
      <c r="D470" t="s">
        <v>127</v>
      </c>
      <c r="E470">
        <v>12078000000</v>
      </c>
      <c r="F470">
        <v>-4288000000</v>
      </c>
      <c r="G470">
        <v>-3361000000</v>
      </c>
      <c r="H470">
        <v>-4904000000</v>
      </c>
      <c r="I470">
        <v>-4863000000</v>
      </c>
      <c r="J470">
        <v>-6768000000</v>
      </c>
      <c r="K470">
        <v>5647000000</v>
      </c>
      <c r="L470">
        <v>1180000000</v>
      </c>
      <c r="M470">
        <v>6827000000</v>
      </c>
      <c r="N470">
        <v>9882000000</v>
      </c>
      <c r="O470">
        <v>1215000000</v>
      </c>
      <c r="P470">
        <v>175000000</v>
      </c>
      <c r="Q470">
        <v>9104000000</v>
      </c>
      <c r="R470">
        <v>6865000000</v>
      </c>
      <c r="S470">
        <v>19498000000</v>
      </c>
      <c r="T470">
        <v>0</v>
      </c>
      <c r="U470">
        <v>1488000000</v>
      </c>
      <c r="V470">
        <v>12266000000</v>
      </c>
      <c r="W470">
        <v>105196000000</v>
      </c>
      <c r="X470">
        <v>106684000000</v>
      </c>
      <c r="Y470">
        <v>8.5067064083457531</v>
      </c>
      <c r="Z470">
        <v>-23.960820895522389</v>
      </c>
      <c r="AA470">
        <v>-30.569473371020528</v>
      </c>
      <c r="AB470">
        <v>-20.9510603588907</v>
      </c>
      <c r="AC470">
        <v>-21.127698951264652</v>
      </c>
      <c r="AD470">
        <v>-15.18085106382979</v>
      </c>
      <c r="AE470">
        <v>-24.879664179104481</v>
      </c>
      <c r="AF470">
        <v>-24.532649253731339</v>
      </c>
      <c r="AG470">
        <v>-21.937898416615258</v>
      </c>
      <c r="AH470">
        <v>-21.631914456097061</v>
      </c>
      <c r="AI470">
        <v>-31.741743528711691</v>
      </c>
      <c r="AJ470">
        <v>-21.754486133768349</v>
      </c>
      <c r="AK470">
        <v>-31.299018149360311</v>
      </c>
      <c r="AL470">
        <v>-21.4510603588907</v>
      </c>
      <c r="AM470">
        <v>8.8329193575095211</v>
      </c>
      <c r="AN470">
        <v>8.7097201523431025</v>
      </c>
    </row>
    <row r="471" spans="1:40" x14ac:dyDescent="0.25">
      <c r="A471" s="1" t="s">
        <v>1041</v>
      </c>
      <c r="B471">
        <v>100242000000</v>
      </c>
      <c r="C471" t="s">
        <v>83</v>
      </c>
      <c r="D471" t="s">
        <v>127</v>
      </c>
      <c r="E471">
        <v>12078000000</v>
      </c>
      <c r="F471">
        <v>-4288000000</v>
      </c>
      <c r="G471">
        <v>-3361000000</v>
      </c>
      <c r="H471">
        <v>-4904000000</v>
      </c>
      <c r="I471">
        <v>-4863000000</v>
      </c>
      <c r="J471">
        <v>-6768000000</v>
      </c>
      <c r="K471">
        <v>5647000000</v>
      </c>
      <c r="L471">
        <v>1180000000</v>
      </c>
      <c r="M471">
        <v>6827000000</v>
      </c>
      <c r="N471">
        <v>9882000000</v>
      </c>
      <c r="O471">
        <v>1215000000</v>
      </c>
      <c r="P471">
        <v>175000000</v>
      </c>
      <c r="Q471">
        <v>9104000000</v>
      </c>
      <c r="R471">
        <v>6865000000</v>
      </c>
      <c r="S471">
        <v>19498000000</v>
      </c>
      <c r="T471">
        <v>0</v>
      </c>
      <c r="U471">
        <v>1488000000</v>
      </c>
      <c r="V471">
        <v>12266000000</v>
      </c>
      <c r="W471">
        <v>102694000000</v>
      </c>
      <c r="X471">
        <v>104182000000</v>
      </c>
      <c r="Y471">
        <v>8.299552906110284</v>
      </c>
      <c r="Z471">
        <v>-23.37733208955224</v>
      </c>
      <c r="AA471">
        <v>-29.82505206783695</v>
      </c>
      <c r="AB471">
        <v>-20.440864600326261</v>
      </c>
      <c r="AC471">
        <v>-20.613201727328811</v>
      </c>
      <c r="AD471">
        <v>-14.81117021276596</v>
      </c>
      <c r="AE471">
        <v>-24.296175373134329</v>
      </c>
      <c r="AF471">
        <v>-23.949160447761191</v>
      </c>
      <c r="AG471">
        <v>-21.423401192679421</v>
      </c>
      <c r="AH471">
        <v>-21.11741723216122</v>
      </c>
      <c r="AI471">
        <v>-30.997322225528119</v>
      </c>
      <c r="AJ471">
        <v>-21.24429037520391</v>
      </c>
      <c r="AK471">
        <v>-30.554596846176729</v>
      </c>
      <c r="AL471">
        <v>-20.940864600326261</v>
      </c>
      <c r="AM471">
        <v>8.6257658552740519</v>
      </c>
      <c r="AN471">
        <v>8.5025666501076334</v>
      </c>
    </row>
    <row r="472" spans="1:40" x14ac:dyDescent="0.25">
      <c r="A472" s="1" t="s">
        <v>1040</v>
      </c>
      <c r="B472">
        <v>96282000000</v>
      </c>
      <c r="C472" t="s">
        <v>83</v>
      </c>
      <c r="D472" t="s">
        <v>127</v>
      </c>
      <c r="E472">
        <v>12078000000</v>
      </c>
      <c r="F472">
        <v>-4288000000</v>
      </c>
      <c r="G472">
        <v>-3361000000</v>
      </c>
      <c r="H472">
        <v>-4904000000</v>
      </c>
      <c r="I472">
        <v>-4863000000</v>
      </c>
      <c r="J472">
        <v>-6768000000</v>
      </c>
      <c r="K472">
        <v>5647000000</v>
      </c>
      <c r="L472">
        <v>1180000000</v>
      </c>
      <c r="M472">
        <v>6827000000</v>
      </c>
      <c r="N472">
        <v>9882000000</v>
      </c>
      <c r="O472">
        <v>1215000000</v>
      </c>
      <c r="P472">
        <v>175000000</v>
      </c>
      <c r="Q472">
        <v>9104000000</v>
      </c>
      <c r="R472">
        <v>6865000000</v>
      </c>
      <c r="S472">
        <v>19498000000</v>
      </c>
      <c r="T472">
        <v>0</v>
      </c>
      <c r="U472">
        <v>1488000000</v>
      </c>
      <c r="V472">
        <v>12266000000</v>
      </c>
      <c r="W472">
        <v>98734000000</v>
      </c>
      <c r="X472">
        <v>100222000000</v>
      </c>
      <c r="Y472">
        <v>7.9716840536512672</v>
      </c>
      <c r="Z472">
        <v>-22.453824626865671</v>
      </c>
      <c r="AA472">
        <v>-28.64683130020827</v>
      </c>
      <c r="AB472">
        <v>-19.633360522022841</v>
      </c>
      <c r="AC472">
        <v>-19.79888957433683</v>
      </c>
      <c r="AD472">
        <v>-14.226063829787231</v>
      </c>
      <c r="AE472">
        <v>-23.37266791044776</v>
      </c>
      <c r="AF472">
        <v>-23.025652985074629</v>
      </c>
      <c r="AG472">
        <v>-20.60908903968744</v>
      </c>
      <c r="AH472">
        <v>-20.303105079169239</v>
      </c>
      <c r="AI472">
        <v>-29.819101457899439</v>
      </c>
      <c r="AJ472">
        <v>-20.43678629690049</v>
      </c>
      <c r="AK472">
        <v>-29.376376078548049</v>
      </c>
      <c r="AL472">
        <v>-20.133360522022841</v>
      </c>
      <c r="AM472">
        <v>8.2978970028150361</v>
      </c>
      <c r="AN472">
        <v>8.1746977976486175</v>
      </c>
    </row>
    <row r="473" spans="1:40" x14ac:dyDescent="0.25">
      <c r="A473" s="1" t="s">
        <v>1039</v>
      </c>
      <c r="B473">
        <v>94626000000</v>
      </c>
      <c r="C473" t="s">
        <v>83</v>
      </c>
      <c r="D473" t="s">
        <v>127</v>
      </c>
      <c r="E473">
        <v>12078000000</v>
      </c>
      <c r="F473">
        <v>-4288000000</v>
      </c>
      <c r="G473">
        <v>-3361000000</v>
      </c>
      <c r="H473">
        <v>-4904000000</v>
      </c>
      <c r="I473">
        <v>-4863000000</v>
      </c>
      <c r="J473">
        <v>-6768000000</v>
      </c>
      <c r="K473">
        <v>5647000000</v>
      </c>
      <c r="L473">
        <v>1180000000</v>
      </c>
      <c r="M473">
        <v>6827000000</v>
      </c>
      <c r="N473">
        <v>9882000000</v>
      </c>
      <c r="O473">
        <v>1215000000</v>
      </c>
      <c r="P473">
        <v>175000000</v>
      </c>
      <c r="Q473">
        <v>9104000000</v>
      </c>
      <c r="R473">
        <v>6865000000</v>
      </c>
      <c r="S473">
        <v>19498000000</v>
      </c>
      <c r="T473">
        <v>0</v>
      </c>
      <c r="U473">
        <v>1488000000</v>
      </c>
      <c r="V473">
        <v>12266000000</v>
      </c>
      <c r="W473">
        <v>97078000000</v>
      </c>
      <c r="X473">
        <v>98566000000</v>
      </c>
      <c r="Y473">
        <v>7.834575260804769</v>
      </c>
      <c r="Z473">
        <v>-22.067630597014929</v>
      </c>
      <c r="AA473">
        <v>-28.154120797381729</v>
      </c>
      <c r="AB473">
        <v>-19.29567699836868</v>
      </c>
      <c r="AC473">
        <v>-19.458359037631091</v>
      </c>
      <c r="AD473">
        <v>-13.981382978723399</v>
      </c>
      <c r="AE473">
        <v>-22.986473880597011</v>
      </c>
      <c r="AF473">
        <v>-22.63945895522388</v>
      </c>
      <c r="AG473">
        <v>-20.268558502981701</v>
      </c>
      <c r="AH473">
        <v>-19.9625745424635</v>
      </c>
      <c r="AI473">
        <v>-29.326390955072899</v>
      </c>
      <c r="AJ473">
        <v>-20.099102773246329</v>
      </c>
      <c r="AK473">
        <v>-28.883665575721508</v>
      </c>
      <c r="AL473">
        <v>-19.79567699836868</v>
      </c>
      <c r="AM473">
        <v>8.1607882099685387</v>
      </c>
      <c r="AN473">
        <v>8.0375890048021201</v>
      </c>
    </row>
    <row r="474" spans="1:40" x14ac:dyDescent="0.25">
      <c r="A474" s="1" t="s">
        <v>1038</v>
      </c>
      <c r="B474">
        <v>97002000000</v>
      </c>
      <c r="C474" t="s">
        <v>83</v>
      </c>
      <c r="D474" t="s">
        <v>127</v>
      </c>
      <c r="E474">
        <v>12078000000</v>
      </c>
      <c r="F474">
        <v>-4288000000</v>
      </c>
      <c r="G474">
        <v>-3361000000</v>
      </c>
      <c r="H474">
        <v>-4904000000</v>
      </c>
      <c r="I474">
        <v>-4863000000</v>
      </c>
      <c r="J474">
        <v>-6768000000</v>
      </c>
      <c r="K474">
        <v>5647000000</v>
      </c>
      <c r="L474">
        <v>1180000000</v>
      </c>
      <c r="M474">
        <v>6827000000</v>
      </c>
      <c r="N474">
        <v>9882000000</v>
      </c>
      <c r="O474">
        <v>1215000000</v>
      </c>
      <c r="P474">
        <v>175000000</v>
      </c>
      <c r="Q474">
        <v>9104000000</v>
      </c>
      <c r="R474">
        <v>6865000000</v>
      </c>
      <c r="S474">
        <v>19498000000</v>
      </c>
      <c r="T474">
        <v>0</v>
      </c>
      <c r="U474">
        <v>1488000000</v>
      </c>
      <c r="V474">
        <v>12266000000</v>
      </c>
      <c r="W474">
        <v>99454000000</v>
      </c>
      <c r="X474">
        <v>100942000000</v>
      </c>
      <c r="Y474">
        <v>8.0312965722801781</v>
      </c>
      <c r="Z474">
        <v>-22.621735074626869</v>
      </c>
      <c r="AA474">
        <v>-28.86105325795894</v>
      </c>
      <c r="AB474">
        <v>-19.780179445350729</v>
      </c>
      <c r="AC474">
        <v>-19.946946329426279</v>
      </c>
      <c r="AD474">
        <v>-14.332446808510641</v>
      </c>
      <c r="AE474">
        <v>-23.540578358208951</v>
      </c>
      <c r="AF474">
        <v>-23.19356343283582</v>
      </c>
      <c r="AG474">
        <v>-20.757145794776889</v>
      </c>
      <c r="AH474">
        <v>-20.451161834258691</v>
      </c>
      <c r="AI474">
        <v>-30.033323415650109</v>
      </c>
      <c r="AJ474">
        <v>-20.583605220228389</v>
      </c>
      <c r="AK474">
        <v>-29.590598036298719</v>
      </c>
      <c r="AL474">
        <v>-20.280179445350729</v>
      </c>
      <c r="AM474">
        <v>8.3575095214439479</v>
      </c>
      <c r="AN474">
        <v>8.2343103162775293</v>
      </c>
    </row>
    <row r="475" spans="1:40" x14ac:dyDescent="0.25">
      <c r="A475" s="1" t="s">
        <v>1037</v>
      </c>
      <c r="B475">
        <v>98478000000</v>
      </c>
      <c r="C475" t="s">
        <v>83</v>
      </c>
      <c r="D475" t="s">
        <v>127</v>
      </c>
      <c r="E475">
        <v>12078000000</v>
      </c>
      <c r="F475">
        <v>-4288000000</v>
      </c>
      <c r="G475">
        <v>-3361000000</v>
      </c>
      <c r="H475">
        <v>-4904000000</v>
      </c>
      <c r="I475">
        <v>-4863000000</v>
      </c>
      <c r="J475">
        <v>-6768000000</v>
      </c>
      <c r="K475">
        <v>5647000000</v>
      </c>
      <c r="L475">
        <v>1180000000</v>
      </c>
      <c r="M475">
        <v>6827000000</v>
      </c>
      <c r="N475">
        <v>9882000000</v>
      </c>
      <c r="O475">
        <v>1215000000</v>
      </c>
      <c r="P475">
        <v>175000000</v>
      </c>
      <c r="Q475">
        <v>9104000000</v>
      </c>
      <c r="R475">
        <v>6865000000</v>
      </c>
      <c r="S475">
        <v>19498000000</v>
      </c>
      <c r="T475">
        <v>0</v>
      </c>
      <c r="U475">
        <v>1488000000</v>
      </c>
      <c r="V475">
        <v>12266000000</v>
      </c>
      <c r="W475">
        <v>100930000000</v>
      </c>
      <c r="X475">
        <v>102418000000</v>
      </c>
      <c r="Y475">
        <v>8.153502235469448</v>
      </c>
      <c r="Z475">
        <v>-22.965951492537311</v>
      </c>
      <c r="AA475">
        <v>-29.30020827134781</v>
      </c>
      <c r="AB475">
        <v>-20.081158238172922</v>
      </c>
      <c r="AC475">
        <v>-20.25046267735965</v>
      </c>
      <c r="AD475">
        <v>-14.55053191489362</v>
      </c>
      <c r="AE475">
        <v>-23.884794776119399</v>
      </c>
      <c r="AF475">
        <v>-23.537779850746269</v>
      </c>
      <c r="AG475">
        <v>-21.06066214271026</v>
      </c>
      <c r="AH475">
        <v>-20.754678182192059</v>
      </c>
      <c r="AI475">
        <v>-30.472478429038979</v>
      </c>
      <c r="AJ475">
        <v>-20.884584013050571</v>
      </c>
      <c r="AK475">
        <v>-30.029753049687589</v>
      </c>
      <c r="AL475">
        <v>-20.581158238172922</v>
      </c>
      <c r="AM475">
        <v>8.4797151846332177</v>
      </c>
      <c r="AN475">
        <v>8.3565159794667991</v>
      </c>
    </row>
    <row r="476" spans="1:40" x14ac:dyDescent="0.25">
      <c r="A476" s="1" t="s">
        <v>1036</v>
      </c>
      <c r="B476">
        <v>96030000000</v>
      </c>
      <c r="C476" t="s">
        <v>83</v>
      </c>
      <c r="D476" t="s">
        <v>127</v>
      </c>
      <c r="E476">
        <v>12078000000</v>
      </c>
      <c r="F476">
        <v>-4288000000</v>
      </c>
      <c r="G476">
        <v>-3361000000</v>
      </c>
      <c r="H476">
        <v>-4904000000</v>
      </c>
      <c r="I476">
        <v>-4863000000</v>
      </c>
      <c r="J476">
        <v>-6768000000</v>
      </c>
      <c r="K476">
        <v>5647000000</v>
      </c>
      <c r="L476">
        <v>1180000000</v>
      </c>
      <c r="M476">
        <v>6827000000</v>
      </c>
      <c r="N476">
        <v>9882000000</v>
      </c>
      <c r="O476">
        <v>1215000000</v>
      </c>
      <c r="P476">
        <v>175000000</v>
      </c>
      <c r="Q476">
        <v>9104000000</v>
      </c>
      <c r="R476">
        <v>6865000000</v>
      </c>
      <c r="S476">
        <v>19498000000</v>
      </c>
      <c r="T476">
        <v>0</v>
      </c>
      <c r="U476">
        <v>1488000000</v>
      </c>
      <c r="V476">
        <v>12266000000</v>
      </c>
      <c r="W476">
        <v>98482000000</v>
      </c>
      <c r="X476">
        <v>99970000000</v>
      </c>
      <c r="Y476">
        <v>7.9508196721311473</v>
      </c>
      <c r="Z476">
        <v>-22.395055970149251</v>
      </c>
      <c r="AA476">
        <v>-28.57185361499554</v>
      </c>
      <c r="AB476">
        <v>-19.58197389885807</v>
      </c>
      <c r="AC476">
        <v>-19.74706971005552</v>
      </c>
      <c r="AD476">
        <v>-14.18882978723404</v>
      </c>
      <c r="AE476">
        <v>-23.313899253731339</v>
      </c>
      <c r="AF476">
        <v>-22.966884328358208</v>
      </c>
      <c r="AG476">
        <v>-20.55726917540613</v>
      </c>
      <c r="AH476">
        <v>-20.251285214887929</v>
      </c>
      <c r="AI476">
        <v>-29.744123772686699</v>
      </c>
      <c r="AJ476">
        <v>-20.38539967373573</v>
      </c>
      <c r="AK476">
        <v>-29.301398393335319</v>
      </c>
      <c r="AL476">
        <v>-20.08197389885807</v>
      </c>
      <c r="AM476">
        <v>8.2770326212949161</v>
      </c>
      <c r="AN476">
        <v>8.1538334161284975</v>
      </c>
    </row>
    <row r="477" spans="1:40" x14ac:dyDescent="0.25">
      <c r="A477" s="1" t="s">
        <v>1035</v>
      </c>
      <c r="B477">
        <v>96228000000</v>
      </c>
      <c r="C477" t="s">
        <v>83</v>
      </c>
      <c r="D477" t="s">
        <v>127</v>
      </c>
      <c r="E477">
        <v>12078000000</v>
      </c>
      <c r="F477">
        <v>-4288000000</v>
      </c>
      <c r="G477">
        <v>-3361000000</v>
      </c>
      <c r="H477">
        <v>-4904000000</v>
      </c>
      <c r="I477">
        <v>-4863000000</v>
      </c>
      <c r="J477">
        <v>-6768000000</v>
      </c>
      <c r="K477">
        <v>5647000000</v>
      </c>
      <c r="L477">
        <v>1180000000</v>
      </c>
      <c r="M477">
        <v>6827000000</v>
      </c>
      <c r="N477">
        <v>9882000000</v>
      </c>
      <c r="O477">
        <v>1215000000</v>
      </c>
      <c r="P477">
        <v>175000000</v>
      </c>
      <c r="Q477">
        <v>9104000000</v>
      </c>
      <c r="R477">
        <v>6865000000</v>
      </c>
      <c r="S477">
        <v>19498000000</v>
      </c>
      <c r="T477">
        <v>0</v>
      </c>
      <c r="U477">
        <v>1488000000</v>
      </c>
      <c r="V477">
        <v>12266000000</v>
      </c>
      <c r="W477">
        <v>98680000000</v>
      </c>
      <c r="X477">
        <v>100168000000</v>
      </c>
      <c r="Y477">
        <v>7.9672131147540988</v>
      </c>
      <c r="Z477">
        <v>-22.441231343283579</v>
      </c>
      <c r="AA477">
        <v>-28.630764653376971</v>
      </c>
      <c r="AB477">
        <v>-19.622349102773249</v>
      </c>
      <c r="AC477">
        <v>-19.787785317705119</v>
      </c>
      <c r="AD477">
        <v>-14.218085106382979</v>
      </c>
      <c r="AE477">
        <v>-23.360074626865671</v>
      </c>
      <c r="AF477">
        <v>-23.013059701492541</v>
      </c>
      <c r="AG477">
        <v>-20.597984783055729</v>
      </c>
      <c r="AH477">
        <v>-20.292000822537531</v>
      </c>
      <c r="AI477">
        <v>-29.80303481106813</v>
      </c>
      <c r="AJ477">
        <v>-20.425774877650898</v>
      </c>
      <c r="AK477">
        <v>-29.36030943171675</v>
      </c>
      <c r="AL477">
        <v>-20.122349102773249</v>
      </c>
      <c r="AM477">
        <v>8.2934260639178667</v>
      </c>
      <c r="AN477">
        <v>8.1702268587514482</v>
      </c>
    </row>
    <row r="478" spans="1:40" x14ac:dyDescent="0.25">
      <c r="A478" s="1" t="s">
        <v>82</v>
      </c>
      <c r="B478">
        <v>102214753560</v>
      </c>
      <c r="C478" t="s">
        <v>83</v>
      </c>
      <c r="D478" t="s">
        <v>127</v>
      </c>
      <c r="E478">
        <v>12078000000</v>
      </c>
      <c r="F478">
        <v>-4288000000</v>
      </c>
      <c r="G478">
        <v>-3361000000</v>
      </c>
      <c r="H478">
        <v>-4904000000</v>
      </c>
      <c r="I478">
        <v>-4863000000</v>
      </c>
      <c r="J478">
        <v>-6768000000</v>
      </c>
      <c r="K478">
        <v>5647000000</v>
      </c>
      <c r="L478">
        <v>1180000000</v>
      </c>
      <c r="M478">
        <v>6827000000</v>
      </c>
      <c r="N478">
        <v>9882000000</v>
      </c>
      <c r="O478">
        <v>1215000000</v>
      </c>
      <c r="P478">
        <v>175000000</v>
      </c>
      <c r="Q478">
        <v>9104000000</v>
      </c>
      <c r="R478">
        <v>6865000000</v>
      </c>
      <c r="S478">
        <v>19498000000</v>
      </c>
      <c r="T478">
        <v>0</v>
      </c>
      <c r="U478">
        <v>1488000000</v>
      </c>
      <c r="V478">
        <v>12266000000</v>
      </c>
      <c r="W478">
        <v>104666753560</v>
      </c>
      <c r="X478">
        <v>106154753560</v>
      </c>
      <c r="Y478">
        <v>8.4628873621460503</v>
      </c>
      <c r="Z478">
        <v>-23.837395886194031</v>
      </c>
      <c r="AA478">
        <v>-30.41200641475751</v>
      </c>
      <c r="AB478">
        <v>-20.84313898042414</v>
      </c>
      <c r="AC478">
        <v>-21.018867686613198</v>
      </c>
      <c r="AD478">
        <v>-15.102652712765961</v>
      </c>
      <c r="AE478">
        <v>-24.756239169776119</v>
      </c>
      <c r="AF478">
        <v>-24.409224244402981</v>
      </c>
      <c r="AG478">
        <v>-21.829067151963809</v>
      </c>
      <c r="AH478">
        <v>-21.523083191445611</v>
      </c>
      <c r="AI478">
        <v>-31.58427657244868</v>
      </c>
      <c r="AJ478">
        <v>-21.646564755301799</v>
      </c>
      <c r="AK478">
        <v>-31.141551193097289</v>
      </c>
      <c r="AL478">
        <v>-21.34313898042414</v>
      </c>
      <c r="AM478">
        <v>8.7891003113098201</v>
      </c>
      <c r="AN478">
        <v>8.6659011061434015</v>
      </c>
    </row>
    <row r="479" spans="1:40" x14ac:dyDescent="0.25">
      <c r="A479" s="1" t="s">
        <v>1034</v>
      </c>
      <c r="B479">
        <v>108008985600</v>
      </c>
      <c r="C479" t="s">
        <v>83</v>
      </c>
      <c r="D479" t="s">
        <v>127</v>
      </c>
      <c r="E479">
        <v>12078000000</v>
      </c>
      <c r="F479">
        <v>-4288000000</v>
      </c>
      <c r="G479">
        <v>-3361000000</v>
      </c>
      <c r="H479">
        <v>-4904000000</v>
      </c>
      <c r="I479">
        <v>-4863000000</v>
      </c>
      <c r="J479">
        <v>-6768000000</v>
      </c>
      <c r="K479">
        <v>5647000000</v>
      </c>
      <c r="L479">
        <v>1180000000</v>
      </c>
      <c r="M479">
        <v>6827000000</v>
      </c>
      <c r="N479">
        <v>9882000000</v>
      </c>
      <c r="O479">
        <v>1215000000</v>
      </c>
      <c r="P479">
        <v>175000000</v>
      </c>
      <c r="Q479">
        <v>9104000000</v>
      </c>
      <c r="R479">
        <v>6865000000</v>
      </c>
      <c r="S479">
        <v>19498000000</v>
      </c>
      <c r="T479">
        <v>0</v>
      </c>
      <c r="U479">
        <v>1488000000</v>
      </c>
      <c r="V479">
        <v>12266000000</v>
      </c>
      <c r="W479">
        <v>110460985600</v>
      </c>
      <c r="X479">
        <v>111948985600</v>
      </c>
      <c r="Y479">
        <v>8.9426217585692989</v>
      </c>
      <c r="Z479">
        <v>-25.188662686567159</v>
      </c>
      <c r="AA479">
        <v>-32.135967152633143</v>
      </c>
      <c r="AB479">
        <v>-22.024670799347469</v>
      </c>
      <c r="AC479">
        <v>-22.210361011721162</v>
      </c>
      <c r="AD479">
        <v>-15.95877446808511</v>
      </c>
      <c r="AE479">
        <v>-26.107505970149251</v>
      </c>
      <c r="AF479">
        <v>-25.760491044776121</v>
      </c>
      <c r="AG479">
        <v>-23.020560477071761</v>
      </c>
      <c r="AH479">
        <v>-22.714576516553571</v>
      </c>
      <c r="AI479">
        <v>-33.308237310324309</v>
      </c>
      <c r="AJ479">
        <v>-22.828096574225121</v>
      </c>
      <c r="AK479">
        <v>-32.865511930972922</v>
      </c>
      <c r="AL479">
        <v>-22.524670799347469</v>
      </c>
      <c r="AM479">
        <v>9.2688347077330686</v>
      </c>
      <c r="AN479">
        <v>9.14563550256665</v>
      </c>
    </row>
    <row r="480" spans="1:40" x14ac:dyDescent="0.25">
      <c r="A480" s="1" t="s">
        <v>1033</v>
      </c>
      <c r="B480">
        <v>107633954400</v>
      </c>
      <c r="C480" t="s">
        <v>83</v>
      </c>
      <c r="D480" t="s">
        <v>127</v>
      </c>
      <c r="E480">
        <v>12078000000</v>
      </c>
      <c r="F480">
        <v>-4288000000</v>
      </c>
      <c r="G480">
        <v>-3361000000</v>
      </c>
      <c r="H480">
        <v>-4904000000</v>
      </c>
      <c r="I480">
        <v>-4863000000</v>
      </c>
      <c r="J480">
        <v>-6768000000</v>
      </c>
      <c r="K480">
        <v>5647000000</v>
      </c>
      <c r="L480">
        <v>1180000000</v>
      </c>
      <c r="M480">
        <v>6827000000</v>
      </c>
      <c r="N480">
        <v>9882000000</v>
      </c>
      <c r="O480">
        <v>1215000000</v>
      </c>
      <c r="P480">
        <v>175000000</v>
      </c>
      <c r="Q480">
        <v>9104000000</v>
      </c>
      <c r="R480">
        <v>6865000000</v>
      </c>
      <c r="S480">
        <v>19498000000</v>
      </c>
      <c r="T480">
        <v>0</v>
      </c>
      <c r="U480">
        <v>1488000000</v>
      </c>
      <c r="V480">
        <v>12266000000</v>
      </c>
      <c r="W480">
        <v>110085954400</v>
      </c>
      <c r="X480">
        <v>111573954400</v>
      </c>
      <c r="Y480">
        <v>8.9115709885742671</v>
      </c>
      <c r="Z480">
        <v>-25.101202052238811</v>
      </c>
      <c r="AA480">
        <v>-32.024383933353171</v>
      </c>
      <c r="AB480">
        <v>-21.948196247960851</v>
      </c>
      <c r="AC480">
        <v>-22.133241702652679</v>
      </c>
      <c r="AD480">
        <v>-15.90336205673759</v>
      </c>
      <c r="AE480">
        <v>-26.0200453358209</v>
      </c>
      <c r="AF480">
        <v>-25.673030410447758</v>
      </c>
      <c r="AG480">
        <v>-22.943441168003289</v>
      </c>
      <c r="AH480">
        <v>-22.637457207485092</v>
      </c>
      <c r="AI480">
        <v>-33.19665409104433</v>
      </c>
      <c r="AJ480">
        <v>-22.7516220228385</v>
      </c>
      <c r="AK480">
        <v>-32.75392871169295</v>
      </c>
      <c r="AL480">
        <v>-22.448196247960851</v>
      </c>
      <c r="AM480">
        <v>9.2377839377380369</v>
      </c>
      <c r="AN480">
        <v>9.1145847325716183</v>
      </c>
    </row>
    <row r="481" spans="1:40" x14ac:dyDescent="0.25">
      <c r="A481" s="1" t="s">
        <v>1032</v>
      </c>
      <c r="B481">
        <v>108852805800</v>
      </c>
      <c r="C481" t="s">
        <v>83</v>
      </c>
      <c r="D481" t="s">
        <v>127</v>
      </c>
      <c r="E481">
        <v>12078000000</v>
      </c>
      <c r="F481">
        <v>-4288000000</v>
      </c>
      <c r="G481">
        <v>-3361000000</v>
      </c>
      <c r="H481">
        <v>-4904000000</v>
      </c>
      <c r="I481">
        <v>-4863000000</v>
      </c>
      <c r="J481">
        <v>-6768000000</v>
      </c>
      <c r="K481">
        <v>5647000000</v>
      </c>
      <c r="L481">
        <v>1180000000</v>
      </c>
      <c r="M481">
        <v>6827000000</v>
      </c>
      <c r="N481">
        <v>9882000000</v>
      </c>
      <c r="O481">
        <v>1215000000</v>
      </c>
      <c r="P481">
        <v>175000000</v>
      </c>
      <c r="Q481">
        <v>9104000000</v>
      </c>
      <c r="R481">
        <v>6865000000</v>
      </c>
      <c r="S481">
        <v>19498000000</v>
      </c>
      <c r="T481">
        <v>0</v>
      </c>
      <c r="U481">
        <v>1488000000</v>
      </c>
      <c r="V481">
        <v>12266000000</v>
      </c>
      <c r="W481">
        <v>111304805800</v>
      </c>
      <c r="X481">
        <v>112792805800</v>
      </c>
      <c r="Y481">
        <v>9.0124859910581225</v>
      </c>
      <c r="Z481">
        <v>-25.385449113805969</v>
      </c>
      <c r="AA481">
        <v>-32.387029396013091</v>
      </c>
      <c r="AB481">
        <v>-22.19673853996737</v>
      </c>
      <c r="AC481">
        <v>-22.383879457125229</v>
      </c>
      <c r="AD481">
        <v>-16.083452393617019</v>
      </c>
      <c r="AE481">
        <v>-26.30429239738806</v>
      </c>
      <c r="AF481">
        <v>-25.95727747201493</v>
      </c>
      <c r="AG481">
        <v>-23.194078922475839</v>
      </c>
      <c r="AH481">
        <v>-22.888094961957641</v>
      </c>
      <c r="AI481">
        <v>-33.559299553704257</v>
      </c>
      <c r="AJ481">
        <v>-23.000164314845019</v>
      </c>
      <c r="AK481">
        <v>-33.11657417435287</v>
      </c>
      <c r="AL481">
        <v>-22.69673853996737</v>
      </c>
      <c r="AM481">
        <v>9.3386989402218905</v>
      </c>
      <c r="AN481">
        <v>9.2154997350554719</v>
      </c>
    </row>
    <row r="482" spans="1:40" x14ac:dyDescent="0.25">
      <c r="A482" s="1" t="s">
        <v>1031</v>
      </c>
      <c r="B482">
        <v>106677624840</v>
      </c>
      <c r="C482" t="s">
        <v>83</v>
      </c>
      <c r="D482" t="s">
        <v>127</v>
      </c>
      <c r="E482">
        <v>12078000000</v>
      </c>
      <c r="F482">
        <v>-4288000000</v>
      </c>
      <c r="G482">
        <v>-3361000000</v>
      </c>
      <c r="H482">
        <v>-4904000000</v>
      </c>
      <c r="I482">
        <v>-4863000000</v>
      </c>
      <c r="J482">
        <v>-6768000000</v>
      </c>
      <c r="K482">
        <v>5647000000</v>
      </c>
      <c r="L482">
        <v>1180000000</v>
      </c>
      <c r="M482">
        <v>6827000000</v>
      </c>
      <c r="N482">
        <v>9882000000</v>
      </c>
      <c r="O482">
        <v>1215000000</v>
      </c>
      <c r="P482">
        <v>175000000</v>
      </c>
      <c r="Q482">
        <v>9104000000</v>
      </c>
      <c r="R482">
        <v>6865000000</v>
      </c>
      <c r="S482">
        <v>19498000000</v>
      </c>
      <c r="T482">
        <v>0</v>
      </c>
      <c r="U482">
        <v>1488000000</v>
      </c>
      <c r="V482">
        <v>12266000000</v>
      </c>
      <c r="W482">
        <v>109129624840</v>
      </c>
      <c r="X482">
        <v>110617624840</v>
      </c>
      <c r="Y482">
        <v>8.8323915250869351</v>
      </c>
      <c r="Z482">
        <v>-24.878177434701492</v>
      </c>
      <c r="AA482">
        <v>-31.739846724189231</v>
      </c>
      <c r="AB482">
        <v>-21.75318614192496</v>
      </c>
      <c r="AC482">
        <v>-21.936587464528071</v>
      </c>
      <c r="AD482">
        <v>-15.762060407801419</v>
      </c>
      <c r="AE482">
        <v>-25.79702071828358</v>
      </c>
      <c r="AF482">
        <v>-25.450005792910449</v>
      </c>
      <c r="AG482">
        <v>-22.746786929878681</v>
      </c>
      <c r="AH482">
        <v>-22.44080296936048</v>
      </c>
      <c r="AI482">
        <v>-32.912116881880387</v>
      </c>
      <c r="AJ482">
        <v>-22.556611916802609</v>
      </c>
      <c r="AK482">
        <v>-32.469391502529007</v>
      </c>
      <c r="AL482">
        <v>-22.25318614192496</v>
      </c>
      <c r="AM482">
        <v>9.1586044742507031</v>
      </c>
      <c r="AN482">
        <v>9.0354052690842863</v>
      </c>
    </row>
    <row r="483" spans="1:40" x14ac:dyDescent="0.25">
      <c r="A483" s="1" t="s">
        <v>1030</v>
      </c>
      <c r="B483">
        <v>108440271480</v>
      </c>
      <c r="C483" t="s">
        <v>83</v>
      </c>
      <c r="D483" t="s">
        <v>127</v>
      </c>
      <c r="E483">
        <v>12078000000</v>
      </c>
      <c r="F483">
        <v>-4288000000</v>
      </c>
      <c r="G483">
        <v>-3361000000</v>
      </c>
      <c r="H483">
        <v>-4904000000</v>
      </c>
      <c r="I483">
        <v>-4863000000</v>
      </c>
      <c r="J483">
        <v>-6768000000</v>
      </c>
      <c r="K483">
        <v>5647000000</v>
      </c>
      <c r="L483">
        <v>1180000000</v>
      </c>
      <c r="M483">
        <v>6827000000</v>
      </c>
      <c r="N483">
        <v>9882000000</v>
      </c>
      <c r="O483">
        <v>1215000000</v>
      </c>
      <c r="P483">
        <v>175000000</v>
      </c>
      <c r="Q483">
        <v>9104000000</v>
      </c>
      <c r="R483">
        <v>6865000000</v>
      </c>
      <c r="S483">
        <v>19498000000</v>
      </c>
      <c r="T483">
        <v>0</v>
      </c>
      <c r="U483">
        <v>1488000000</v>
      </c>
      <c r="V483">
        <v>12266000000</v>
      </c>
      <c r="W483">
        <v>110892271480</v>
      </c>
      <c r="X483">
        <v>112380271480</v>
      </c>
      <c r="Y483">
        <v>8.9783301440635874</v>
      </c>
      <c r="Z483">
        <v>-25.289242416044779</v>
      </c>
      <c r="AA483">
        <v>-32.264287854805119</v>
      </c>
      <c r="AB483">
        <v>-22.11261653344209</v>
      </c>
      <c r="AC483">
        <v>-22.29904821714991</v>
      </c>
      <c r="AD483">
        <v>-16.022498741134751</v>
      </c>
      <c r="AE483">
        <v>-26.208085699626871</v>
      </c>
      <c r="AF483">
        <v>-25.861070774253729</v>
      </c>
      <c r="AG483">
        <v>-23.109247682500509</v>
      </c>
      <c r="AH483">
        <v>-22.803263721982319</v>
      </c>
      <c r="AI483">
        <v>-33.436558012496278</v>
      </c>
      <c r="AJ483">
        <v>-22.916042308319739</v>
      </c>
      <c r="AK483">
        <v>-32.993832633144898</v>
      </c>
      <c r="AL483">
        <v>-22.61261653344209</v>
      </c>
      <c r="AM483">
        <v>9.3045430932273554</v>
      </c>
      <c r="AN483">
        <v>9.1813438880609368</v>
      </c>
    </row>
    <row r="484" spans="1:40" x14ac:dyDescent="0.25">
      <c r="A484" s="1" t="s">
        <v>1029</v>
      </c>
      <c r="B484">
        <v>108158998080</v>
      </c>
      <c r="C484" t="s">
        <v>83</v>
      </c>
      <c r="D484" t="s">
        <v>127</v>
      </c>
      <c r="E484">
        <v>12078000000</v>
      </c>
      <c r="F484">
        <v>-4288000000</v>
      </c>
      <c r="G484">
        <v>-3361000000</v>
      </c>
      <c r="H484">
        <v>-4904000000</v>
      </c>
      <c r="I484">
        <v>-4863000000</v>
      </c>
      <c r="J484">
        <v>-6768000000</v>
      </c>
      <c r="K484">
        <v>5647000000</v>
      </c>
      <c r="L484">
        <v>1180000000</v>
      </c>
      <c r="M484">
        <v>6827000000</v>
      </c>
      <c r="N484">
        <v>9882000000</v>
      </c>
      <c r="O484">
        <v>1215000000</v>
      </c>
      <c r="P484">
        <v>175000000</v>
      </c>
      <c r="Q484">
        <v>9104000000</v>
      </c>
      <c r="R484">
        <v>6865000000</v>
      </c>
      <c r="S484">
        <v>19498000000</v>
      </c>
      <c r="T484">
        <v>0</v>
      </c>
      <c r="U484">
        <v>1488000000</v>
      </c>
      <c r="V484">
        <v>12266000000</v>
      </c>
      <c r="W484">
        <v>110610998080</v>
      </c>
      <c r="X484">
        <v>112098998080</v>
      </c>
      <c r="Y484">
        <v>8.9550420665673123</v>
      </c>
      <c r="Z484">
        <v>-25.223646940298512</v>
      </c>
      <c r="AA484">
        <v>-32.180600440345138</v>
      </c>
      <c r="AB484">
        <v>-22.055260619902121</v>
      </c>
      <c r="AC484">
        <v>-22.24120873534855</v>
      </c>
      <c r="AD484">
        <v>-15.98093943262411</v>
      </c>
      <c r="AE484">
        <v>-26.1424902238806</v>
      </c>
      <c r="AF484">
        <v>-25.795475298507458</v>
      </c>
      <c r="AG484">
        <v>-23.051408200699161</v>
      </c>
      <c r="AH484">
        <v>-22.745424240180959</v>
      </c>
      <c r="AI484">
        <v>-33.352870598036297</v>
      </c>
      <c r="AJ484">
        <v>-22.85868639477977</v>
      </c>
      <c r="AK484">
        <v>-32.910145218684917</v>
      </c>
      <c r="AL484">
        <v>-22.555260619902121</v>
      </c>
      <c r="AM484">
        <v>9.281255015731082</v>
      </c>
      <c r="AN484">
        <v>9.1580558105646634</v>
      </c>
    </row>
    <row r="485" spans="1:40" x14ac:dyDescent="0.25">
      <c r="A485" s="1" t="s">
        <v>1028</v>
      </c>
      <c r="B485">
        <v>111459272640</v>
      </c>
      <c r="C485" t="s">
        <v>83</v>
      </c>
      <c r="D485" t="s">
        <v>127</v>
      </c>
      <c r="E485">
        <v>12078000000</v>
      </c>
      <c r="F485">
        <v>-4288000000</v>
      </c>
      <c r="G485">
        <v>-3361000000</v>
      </c>
      <c r="H485">
        <v>-4904000000</v>
      </c>
      <c r="I485">
        <v>-4863000000</v>
      </c>
      <c r="J485">
        <v>-6768000000</v>
      </c>
      <c r="K485">
        <v>5647000000</v>
      </c>
      <c r="L485">
        <v>1180000000</v>
      </c>
      <c r="M485">
        <v>6827000000</v>
      </c>
      <c r="N485">
        <v>9882000000</v>
      </c>
      <c r="O485">
        <v>1215000000</v>
      </c>
      <c r="P485">
        <v>175000000</v>
      </c>
      <c r="Q485">
        <v>9104000000</v>
      </c>
      <c r="R485">
        <v>6865000000</v>
      </c>
      <c r="S485">
        <v>19498000000</v>
      </c>
      <c r="T485">
        <v>0</v>
      </c>
      <c r="U485">
        <v>1488000000</v>
      </c>
      <c r="V485">
        <v>12266000000</v>
      </c>
      <c r="W485">
        <v>113911272640</v>
      </c>
      <c r="X485">
        <v>115399272640</v>
      </c>
      <c r="Y485">
        <v>9.2282888425235967</v>
      </c>
      <c r="Z485">
        <v>-25.993300522388061</v>
      </c>
      <c r="AA485">
        <v>-33.162532770008923</v>
      </c>
      <c r="AB485">
        <v>-22.728236672104401</v>
      </c>
      <c r="AC485">
        <v>-22.919858655151138</v>
      </c>
      <c r="AD485">
        <v>-16.468568652482269</v>
      </c>
      <c r="AE485">
        <v>-26.91214380597015</v>
      </c>
      <c r="AF485">
        <v>-26.565128880597019</v>
      </c>
      <c r="AG485">
        <v>-23.730058120501749</v>
      </c>
      <c r="AH485">
        <v>-23.424074159983551</v>
      </c>
      <c r="AI485">
        <v>-34.334802927700089</v>
      </c>
      <c r="AJ485">
        <v>-23.53166244698205</v>
      </c>
      <c r="AK485">
        <v>-33.892077548348709</v>
      </c>
      <c r="AL485">
        <v>-23.228236672104401</v>
      </c>
      <c r="AM485">
        <v>9.5545017916873647</v>
      </c>
      <c r="AN485">
        <v>9.4313025865209479</v>
      </c>
    </row>
    <row r="486" spans="1:40" x14ac:dyDescent="0.25">
      <c r="A486" s="1" t="s">
        <v>1027</v>
      </c>
      <c r="B486">
        <v>113709459840</v>
      </c>
      <c r="C486" t="s">
        <v>83</v>
      </c>
      <c r="D486" t="s">
        <v>127</v>
      </c>
      <c r="E486">
        <v>12078000000</v>
      </c>
      <c r="F486">
        <v>-4288000000</v>
      </c>
      <c r="G486">
        <v>-3361000000</v>
      </c>
      <c r="H486">
        <v>-4904000000</v>
      </c>
      <c r="I486">
        <v>-4863000000</v>
      </c>
      <c r="J486">
        <v>-6768000000</v>
      </c>
      <c r="K486">
        <v>5647000000</v>
      </c>
      <c r="L486">
        <v>1180000000</v>
      </c>
      <c r="M486">
        <v>6827000000</v>
      </c>
      <c r="N486">
        <v>9882000000</v>
      </c>
      <c r="O486">
        <v>1215000000</v>
      </c>
      <c r="P486">
        <v>175000000</v>
      </c>
      <c r="Q486">
        <v>9104000000</v>
      </c>
      <c r="R486">
        <v>6865000000</v>
      </c>
      <c r="S486">
        <v>19498000000</v>
      </c>
      <c r="T486">
        <v>0</v>
      </c>
      <c r="U486">
        <v>1488000000</v>
      </c>
      <c r="V486">
        <v>12266000000</v>
      </c>
      <c r="W486">
        <v>116161459840</v>
      </c>
      <c r="X486">
        <v>117649459840</v>
      </c>
      <c r="Y486">
        <v>9.4145934624937908</v>
      </c>
      <c r="Z486">
        <v>-26.518064328358211</v>
      </c>
      <c r="AA486">
        <v>-33.83203208568878</v>
      </c>
      <c r="AB486">
        <v>-23.187083980424141</v>
      </c>
      <c r="AC486">
        <v>-23.382574509562001</v>
      </c>
      <c r="AD486">
        <v>-16.801043120567371</v>
      </c>
      <c r="AE486">
        <v>-27.436907611940299</v>
      </c>
      <c r="AF486">
        <v>-27.089892686567161</v>
      </c>
      <c r="AG486">
        <v>-24.192773974912601</v>
      </c>
      <c r="AH486">
        <v>-23.886790014394411</v>
      </c>
      <c r="AI486">
        <v>-35.004302243379954</v>
      </c>
      <c r="AJ486">
        <v>-23.99050975530179</v>
      </c>
      <c r="AK486">
        <v>-34.561576864028559</v>
      </c>
      <c r="AL486">
        <v>-23.687083980424141</v>
      </c>
      <c r="AM486">
        <v>9.7408064116575588</v>
      </c>
      <c r="AN486">
        <v>9.6176072064911402</v>
      </c>
    </row>
    <row r="487" spans="1:40" x14ac:dyDescent="0.25">
      <c r="A487" s="1" t="s">
        <v>1026</v>
      </c>
      <c r="B487">
        <v>111065489880</v>
      </c>
      <c r="C487" t="s">
        <v>83</v>
      </c>
      <c r="D487" t="s">
        <v>127</v>
      </c>
      <c r="E487">
        <v>12078000000</v>
      </c>
      <c r="F487">
        <v>-4288000000</v>
      </c>
      <c r="G487">
        <v>-3361000000</v>
      </c>
      <c r="H487">
        <v>-4904000000</v>
      </c>
      <c r="I487">
        <v>-4863000000</v>
      </c>
      <c r="J487">
        <v>-6768000000</v>
      </c>
      <c r="K487">
        <v>5647000000</v>
      </c>
      <c r="L487">
        <v>1180000000</v>
      </c>
      <c r="M487">
        <v>6827000000</v>
      </c>
      <c r="N487">
        <v>9882000000</v>
      </c>
      <c r="O487">
        <v>1215000000</v>
      </c>
      <c r="P487">
        <v>175000000</v>
      </c>
      <c r="Q487">
        <v>9104000000</v>
      </c>
      <c r="R487">
        <v>6865000000</v>
      </c>
      <c r="S487">
        <v>19498000000</v>
      </c>
      <c r="T487">
        <v>0</v>
      </c>
      <c r="U487">
        <v>1488000000</v>
      </c>
      <c r="V487">
        <v>12266000000</v>
      </c>
      <c r="W487">
        <v>113517489880</v>
      </c>
      <c r="X487">
        <v>115005489880</v>
      </c>
      <c r="Y487">
        <v>9.1956855340288133</v>
      </c>
      <c r="Z487">
        <v>-25.90146685634328</v>
      </c>
      <c r="AA487">
        <v>-33.045370389764948</v>
      </c>
      <c r="AB487">
        <v>-22.647938393148451</v>
      </c>
      <c r="AC487">
        <v>-22.838883380629241</v>
      </c>
      <c r="AD487">
        <v>-16.410385620567379</v>
      </c>
      <c r="AE487">
        <v>-26.820310139925368</v>
      </c>
      <c r="AF487">
        <v>-26.473295214552241</v>
      </c>
      <c r="AG487">
        <v>-23.649082845979851</v>
      </c>
      <c r="AH487">
        <v>-23.34309888546165</v>
      </c>
      <c r="AI487">
        <v>-34.217640547456107</v>
      </c>
      <c r="AJ487">
        <v>-23.4513641680261</v>
      </c>
      <c r="AK487">
        <v>-33.774915168104727</v>
      </c>
      <c r="AL487">
        <v>-23.147938393148451</v>
      </c>
      <c r="AM487">
        <v>9.5218984831925813</v>
      </c>
      <c r="AN487">
        <v>9.3986992780261627</v>
      </c>
    </row>
    <row r="488" spans="1:40" x14ac:dyDescent="0.25">
      <c r="A488" s="1" t="s">
        <v>1025</v>
      </c>
      <c r="B488">
        <v>113896975440</v>
      </c>
      <c r="C488" t="s">
        <v>83</v>
      </c>
      <c r="D488" t="s">
        <v>127</v>
      </c>
      <c r="E488">
        <v>12078000000</v>
      </c>
      <c r="F488">
        <v>-4288000000</v>
      </c>
      <c r="G488">
        <v>-3361000000</v>
      </c>
      <c r="H488">
        <v>-4904000000</v>
      </c>
      <c r="I488">
        <v>-4863000000</v>
      </c>
      <c r="J488">
        <v>-6768000000</v>
      </c>
      <c r="K488">
        <v>5647000000</v>
      </c>
      <c r="L488">
        <v>1180000000</v>
      </c>
      <c r="M488">
        <v>6827000000</v>
      </c>
      <c r="N488">
        <v>9882000000</v>
      </c>
      <c r="O488">
        <v>1215000000</v>
      </c>
      <c r="P488">
        <v>175000000</v>
      </c>
      <c r="Q488">
        <v>9104000000</v>
      </c>
      <c r="R488">
        <v>6865000000</v>
      </c>
      <c r="S488">
        <v>19498000000</v>
      </c>
      <c r="T488">
        <v>0</v>
      </c>
      <c r="U488">
        <v>1488000000</v>
      </c>
      <c r="V488">
        <v>12266000000</v>
      </c>
      <c r="W488">
        <v>116348975440</v>
      </c>
      <c r="X488">
        <v>117836975440</v>
      </c>
      <c r="Y488">
        <v>9.4301188474913058</v>
      </c>
      <c r="Z488">
        <v>-26.56179464552239</v>
      </c>
      <c r="AA488">
        <v>-33.88782369532877</v>
      </c>
      <c r="AB488">
        <v>-23.22532125611745</v>
      </c>
      <c r="AC488">
        <v>-23.421134164096241</v>
      </c>
      <c r="AD488">
        <v>-16.82874932624113</v>
      </c>
      <c r="AE488">
        <v>-27.480637929104478</v>
      </c>
      <c r="AF488">
        <v>-27.133623003731341</v>
      </c>
      <c r="AG488">
        <v>-24.231333629446841</v>
      </c>
      <c r="AH488">
        <v>-23.92534966892865</v>
      </c>
      <c r="AI488">
        <v>-35.060093853019943</v>
      </c>
      <c r="AJ488">
        <v>-24.02874703099511</v>
      </c>
      <c r="AK488">
        <v>-34.617368473668549</v>
      </c>
      <c r="AL488">
        <v>-23.72532125611745</v>
      </c>
      <c r="AM488">
        <v>9.7563317966550756</v>
      </c>
      <c r="AN488">
        <v>9.633132591488657</v>
      </c>
    </row>
    <row r="489" spans="1:40" x14ac:dyDescent="0.25">
      <c r="A489" s="1" t="s">
        <v>1024</v>
      </c>
      <c r="B489">
        <v>113165664600</v>
      </c>
      <c r="C489" t="s">
        <v>83</v>
      </c>
      <c r="D489" t="s">
        <v>127</v>
      </c>
      <c r="E489">
        <v>12078000000</v>
      </c>
      <c r="F489">
        <v>-4288000000</v>
      </c>
      <c r="G489">
        <v>-3361000000</v>
      </c>
      <c r="H489">
        <v>-4904000000</v>
      </c>
      <c r="I489">
        <v>-4863000000</v>
      </c>
      <c r="J489">
        <v>-6768000000</v>
      </c>
      <c r="K489">
        <v>5647000000</v>
      </c>
      <c r="L489">
        <v>1180000000</v>
      </c>
      <c r="M489">
        <v>6827000000</v>
      </c>
      <c r="N489">
        <v>9882000000</v>
      </c>
      <c r="O489">
        <v>1215000000</v>
      </c>
      <c r="P489">
        <v>175000000</v>
      </c>
      <c r="Q489">
        <v>9104000000</v>
      </c>
      <c r="R489">
        <v>6865000000</v>
      </c>
      <c r="S489">
        <v>19498000000</v>
      </c>
      <c r="T489">
        <v>0</v>
      </c>
      <c r="U489">
        <v>1488000000</v>
      </c>
      <c r="V489">
        <v>12266000000</v>
      </c>
      <c r="W489">
        <v>115617664600</v>
      </c>
      <c r="X489">
        <v>117105664600</v>
      </c>
      <c r="Y489">
        <v>9.369569846000994</v>
      </c>
      <c r="Z489">
        <v>-26.391246408582091</v>
      </c>
      <c r="AA489">
        <v>-33.670236417732823</v>
      </c>
      <c r="AB489">
        <v>-23.076195880913541</v>
      </c>
      <c r="AC489">
        <v>-23.270751511412708</v>
      </c>
      <c r="AD489">
        <v>-16.72069512411348</v>
      </c>
      <c r="AE489">
        <v>-27.31008969216418</v>
      </c>
      <c r="AF489">
        <v>-26.963074766791049</v>
      </c>
      <c r="AG489">
        <v>-24.080950976763319</v>
      </c>
      <c r="AH489">
        <v>-23.774967016245121</v>
      </c>
      <c r="AI489">
        <v>-34.842506575423982</v>
      </c>
      <c r="AJ489">
        <v>-23.87962165579119</v>
      </c>
      <c r="AK489">
        <v>-34.399781196072603</v>
      </c>
      <c r="AL489">
        <v>-23.576195880913541</v>
      </c>
      <c r="AM489">
        <v>9.6957827951647619</v>
      </c>
      <c r="AN489">
        <v>9.5725835899983434</v>
      </c>
    </row>
    <row r="490" spans="1:40" x14ac:dyDescent="0.25">
      <c r="A490" s="1" t="s">
        <v>1023</v>
      </c>
      <c r="B490">
        <v>108477774600</v>
      </c>
      <c r="C490" t="s">
        <v>83</v>
      </c>
      <c r="D490" t="s">
        <v>127</v>
      </c>
      <c r="E490">
        <v>12078000000</v>
      </c>
      <c r="F490">
        <v>-4288000000</v>
      </c>
      <c r="G490">
        <v>-3361000000</v>
      </c>
      <c r="H490">
        <v>-4904000000</v>
      </c>
      <c r="I490">
        <v>-4863000000</v>
      </c>
      <c r="J490">
        <v>-6768000000</v>
      </c>
      <c r="K490">
        <v>5647000000</v>
      </c>
      <c r="L490">
        <v>1180000000</v>
      </c>
      <c r="M490">
        <v>6827000000</v>
      </c>
      <c r="N490">
        <v>9882000000</v>
      </c>
      <c r="O490">
        <v>1215000000</v>
      </c>
      <c r="P490">
        <v>175000000</v>
      </c>
      <c r="Q490">
        <v>9104000000</v>
      </c>
      <c r="R490">
        <v>6865000000</v>
      </c>
      <c r="S490">
        <v>19498000000</v>
      </c>
      <c r="T490">
        <v>0</v>
      </c>
      <c r="U490">
        <v>1488000000</v>
      </c>
      <c r="V490">
        <v>12266000000</v>
      </c>
      <c r="W490">
        <v>110929774600</v>
      </c>
      <c r="X490">
        <v>112417774600</v>
      </c>
      <c r="Y490">
        <v>8.9814352210630908</v>
      </c>
      <c r="Z490">
        <v>-25.29798847947761</v>
      </c>
      <c r="AA490">
        <v>-32.275446176733112</v>
      </c>
      <c r="AB490">
        <v>-22.120263988580749</v>
      </c>
      <c r="AC490">
        <v>-22.30676014805676</v>
      </c>
      <c r="AD490">
        <v>-16.028039982269501</v>
      </c>
      <c r="AE490">
        <v>-26.216831763059702</v>
      </c>
      <c r="AF490">
        <v>-25.869816837686571</v>
      </c>
      <c r="AG490">
        <v>-23.11695961340736</v>
      </c>
      <c r="AH490">
        <v>-22.810975652889159</v>
      </c>
      <c r="AI490">
        <v>-33.447716334424278</v>
      </c>
      <c r="AJ490">
        <v>-22.923689763458398</v>
      </c>
      <c r="AK490">
        <v>-33.004990955072898</v>
      </c>
      <c r="AL490">
        <v>-22.620263988580749</v>
      </c>
      <c r="AM490">
        <v>9.3076481702268588</v>
      </c>
      <c r="AN490">
        <v>9.1844489650604402</v>
      </c>
    </row>
    <row r="491" spans="1:40" x14ac:dyDescent="0.25">
      <c r="A491" s="1" t="s">
        <v>1022</v>
      </c>
      <c r="B491">
        <v>104033654880</v>
      </c>
      <c r="C491" t="s">
        <v>83</v>
      </c>
      <c r="D491" t="s">
        <v>127</v>
      </c>
      <c r="E491">
        <v>12078000000</v>
      </c>
      <c r="F491">
        <v>-4288000000</v>
      </c>
      <c r="G491">
        <v>-3361000000</v>
      </c>
      <c r="H491">
        <v>-4904000000</v>
      </c>
      <c r="I491">
        <v>-4863000000</v>
      </c>
      <c r="J491">
        <v>-6768000000</v>
      </c>
      <c r="K491">
        <v>5647000000</v>
      </c>
      <c r="L491">
        <v>1180000000</v>
      </c>
      <c r="M491">
        <v>6827000000</v>
      </c>
      <c r="N491">
        <v>9882000000</v>
      </c>
      <c r="O491">
        <v>1215000000</v>
      </c>
      <c r="P491">
        <v>175000000</v>
      </c>
      <c r="Q491">
        <v>9104000000</v>
      </c>
      <c r="R491">
        <v>6865000000</v>
      </c>
      <c r="S491">
        <v>19498000000</v>
      </c>
      <c r="T491">
        <v>0</v>
      </c>
      <c r="U491">
        <v>1488000000</v>
      </c>
      <c r="V491">
        <v>12266000000</v>
      </c>
      <c r="W491">
        <v>106485654880</v>
      </c>
      <c r="X491">
        <v>107973654880</v>
      </c>
      <c r="Y491">
        <v>8.6134835966219576</v>
      </c>
      <c r="Z491">
        <v>-24.261579962686572</v>
      </c>
      <c r="AA491">
        <v>-30.953185028265398</v>
      </c>
      <c r="AB491">
        <v>-21.214040554649269</v>
      </c>
      <c r="AC491">
        <v>-21.39289633559531</v>
      </c>
      <c r="AD491">
        <v>-15.37140290780142</v>
      </c>
      <c r="AE491">
        <v>-25.18042324626866</v>
      </c>
      <c r="AF491">
        <v>-24.833408320895519</v>
      </c>
      <c r="AG491">
        <v>-22.203095800945921</v>
      </c>
      <c r="AH491">
        <v>-21.897111840427719</v>
      </c>
      <c r="AI491">
        <v>-32.125455185956561</v>
      </c>
      <c r="AJ491">
        <v>-22.017466329526918</v>
      </c>
      <c r="AK491">
        <v>-31.682729806605181</v>
      </c>
      <c r="AL491">
        <v>-21.714040554649269</v>
      </c>
      <c r="AM491">
        <v>8.9396965457857256</v>
      </c>
      <c r="AN491">
        <v>8.816497340619307</v>
      </c>
    </row>
    <row r="492" spans="1:40" x14ac:dyDescent="0.25">
      <c r="A492" s="1" t="s">
        <v>1021</v>
      </c>
      <c r="B492">
        <v>104577450120</v>
      </c>
      <c r="C492" t="s">
        <v>83</v>
      </c>
      <c r="D492" t="s">
        <v>127</v>
      </c>
      <c r="E492">
        <v>12078000000</v>
      </c>
      <c r="F492">
        <v>-4288000000</v>
      </c>
      <c r="G492">
        <v>-3361000000</v>
      </c>
      <c r="H492">
        <v>-4904000000</v>
      </c>
      <c r="I492">
        <v>-4863000000</v>
      </c>
      <c r="J492">
        <v>-6768000000</v>
      </c>
      <c r="K492">
        <v>5647000000</v>
      </c>
      <c r="L492">
        <v>1180000000</v>
      </c>
      <c r="M492">
        <v>6827000000</v>
      </c>
      <c r="N492">
        <v>9882000000</v>
      </c>
      <c r="O492">
        <v>1215000000</v>
      </c>
      <c r="P492">
        <v>175000000</v>
      </c>
      <c r="Q492">
        <v>9104000000</v>
      </c>
      <c r="R492">
        <v>6865000000</v>
      </c>
      <c r="S492">
        <v>19498000000</v>
      </c>
      <c r="T492">
        <v>0</v>
      </c>
      <c r="U492">
        <v>1488000000</v>
      </c>
      <c r="V492">
        <v>12266000000</v>
      </c>
      <c r="W492">
        <v>107029450120</v>
      </c>
      <c r="X492">
        <v>108517450120</v>
      </c>
      <c r="Y492">
        <v>8.6585072131147545</v>
      </c>
      <c r="Z492">
        <v>-24.388397882462691</v>
      </c>
      <c r="AA492">
        <v>-31.114980696221359</v>
      </c>
      <c r="AB492">
        <v>-21.324928654159869</v>
      </c>
      <c r="AC492">
        <v>-21.5047193337446</v>
      </c>
      <c r="AD492">
        <v>-15.45175090425532</v>
      </c>
      <c r="AE492">
        <v>-25.307241166044779</v>
      </c>
      <c r="AF492">
        <v>-24.960226240671641</v>
      </c>
      <c r="AG492">
        <v>-22.31491879909521</v>
      </c>
      <c r="AH492">
        <v>-22.008934838577009</v>
      </c>
      <c r="AI492">
        <v>-32.287250853912518</v>
      </c>
      <c r="AJ492">
        <v>-22.128354429037518</v>
      </c>
      <c r="AK492">
        <v>-31.844525474561141</v>
      </c>
      <c r="AL492">
        <v>-21.824928654159869</v>
      </c>
      <c r="AM492">
        <v>8.9847201622785224</v>
      </c>
      <c r="AN492">
        <v>8.8615209571121039</v>
      </c>
    </row>
    <row r="493" spans="1:40" x14ac:dyDescent="0.25">
      <c r="A493" s="1" t="s">
        <v>1020</v>
      </c>
      <c r="B493">
        <v>105533779680</v>
      </c>
      <c r="C493" t="s">
        <v>83</v>
      </c>
      <c r="D493" t="s">
        <v>127</v>
      </c>
      <c r="E493">
        <v>12078000000</v>
      </c>
      <c r="F493">
        <v>-4288000000</v>
      </c>
      <c r="G493">
        <v>-3361000000</v>
      </c>
      <c r="H493">
        <v>-4904000000</v>
      </c>
      <c r="I493">
        <v>-4863000000</v>
      </c>
      <c r="J493">
        <v>-6768000000</v>
      </c>
      <c r="K493">
        <v>5647000000</v>
      </c>
      <c r="L493">
        <v>1180000000</v>
      </c>
      <c r="M493">
        <v>6827000000</v>
      </c>
      <c r="N493">
        <v>9882000000</v>
      </c>
      <c r="O493">
        <v>1215000000</v>
      </c>
      <c r="P493">
        <v>175000000</v>
      </c>
      <c r="Q493">
        <v>9104000000</v>
      </c>
      <c r="R493">
        <v>6865000000</v>
      </c>
      <c r="S493">
        <v>19498000000</v>
      </c>
      <c r="T493">
        <v>0</v>
      </c>
      <c r="U493">
        <v>1488000000</v>
      </c>
      <c r="V493">
        <v>12266000000</v>
      </c>
      <c r="W493">
        <v>107985779680</v>
      </c>
      <c r="X493">
        <v>109473779680</v>
      </c>
      <c r="Y493">
        <v>8.7376866766020864</v>
      </c>
      <c r="Z493">
        <v>-24.6114225</v>
      </c>
      <c r="AA493">
        <v>-31.399517905385299</v>
      </c>
      <c r="AB493">
        <v>-21.51993876019576</v>
      </c>
      <c r="AC493">
        <v>-21.701373571869219</v>
      </c>
      <c r="AD493">
        <v>-15.593052553191489</v>
      </c>
      <c r="AE493">
        <v>-25.530265783582092</v>
      </c>
      <c r="AF493">
        <v>-25.18325085820895</v>
      </c>
      <c r="AG493">
        <v>-22.511573037219819</v>
      </c>
      <c r="AH493">
        <v>-22.205589076701621</v>
      </c>
      <c r="AI493">
        <v>-32.571788063076468</v>
      </c>
      <c r="AJ493">
        <v>-22.323364535073409</v>
      </c>
      <c r="AK493">
        <v>-32.129062683725081</v>
      </c>
      <c r="AL493">
        <v>-22.01993876019576</v>
      </c>
      <c r="AM493">
        <v>9.0638996257658544</v>
      </c>
      <c r="AN493">
        <v>8.9407004205994376</v>
      </c>
    </row>
    <row r="494" spans="1:40" x14ac:dyDescent="0.25">
      <c r="A494" s="1" t="s">
        <v>1019</v>
      </c>
      <c r="B494">
        <v>108627787080</v>
      </c>
      <c r="C494" t="s">
        <v>83</v>
      </c>
      <c r="D494" t="s">
        <v>127</v>
      </c>
      <c r="E494">
        <v>12078000000</v>
      </c>
      <c r="F494">
        <v>-4288000000</v>
      </c>
      <c r="G494">
        <v>-3361000000</v>
      </c>
      <c r="H494">
        <v>-4904000000</v>
      </c>
      <c r="I494">
        <v>-4863000000</v>
      </c>
      <c r="J494">
        <v>-6768000000</v>
      </c>
      <c r="K494">
        <v>5647000000</v>
      </c>
      <c r="L494">
        <v>1180000000</v>
      </c>
      <c r="M494">
        <v>6827000000</v>
      </c>
      <c r="N494">
        <v>9882000000</v>
      </c>
      <c r="O494">
        <v>1215000000</v>
      </c>
      <c r="P494">
        <v>175000000</v>
      </c>
      <c r="Q494">
        <v>9104000000</v>
      </c>
      <c r="R494">
        <v>6865000000</v>
      </c>
      <c r="S494">
        <v>19498000000</v>
      </c>
      <c r="T494">
        <v>0</v>
      </c>
      <c r="U494">
        <v>1488000000</v>
      </c>
      <c r="V494">
        <v>12266000000</v>
      </c>
      <c r="W494">
        <v>111079787080</v>
      </c>
      <c r="X494">
        <v>112567787080</v>
      </c>
      <c r="Y494">
        <v>8.9938555290611024</v>
      </c>
      <c r="Z494">
        <v>-25.332972733208951</v>
      </c>
      <c r="AA494">
        <v>-32.320079464445108</v>
      </c>
      <c r="AB494">
        <v>-22.150853809135398</v>
      </c>
      <c r="AC494">
        <v>-22.337607871684149</v>
      </c>
      <c r="AD494">
        <v>-16.05020494680851</v>
      </c>
      <c r="AE494">
        <v>-26.251816016791039</v>
      </c>
      <c r="AF494">
        <v>-25.904801091417909</v>
      </c>
      <c r="AG494">
        <v>-23.147807337034749</v>
      </c>
      <c r="AH494">
        <v>-22.841823376516551</v>
      </c>
      <c r="AI494">
        <v>-33.492349622136267</v>
      </c>
      <c r="AJ494">
        <v>-22.954279584013051</v>
      </c>
      <c r="AK494">
        <v>-33.049624242784887</v>
      </c>
      <c r="AL494">
        <v>-22.650853809135398</v>
      </c>
      <c r="AM494">
        <v>9.3200684782248722</v>
      </c>
      <c r="AN494">
        <v>9.1968692730584536</v>
      </c>
    </row>
    <row r="495" spans="1:40" x14ac:dyDescent="0.25">
      <c r="A495" s="1" t="s">
        <v>1018</v>
      </c>
      <c r="B495">
        <v>108027737160</v>
      </c>
      <c r="C495" t="s">
        <v>83</v>
      </c>
      <c r="D495" t="s">
        <v>127</v>
      </c>
      <c r="E495">
        <v>12078000000</v>
      </c>
      <c r="F495">
        <v>-4288000000</v>
      </c>
      <c r="G495">
        <v>-3361000000</v>
      </c>
      <c r="H495">
        <v>-4904000000</v>
      </c>
      <c r="I495">
        <v>-4863000000</v>
      </c>
      <c r="J495">
        <v>-6768000000</v>
      </c>
      <c r="K495">
        <v>5647000000</v>
      </c>
      <c r="L495">
        <v>1180000000</v>
      </c>
      <c r="M495">
        <v>6827000000</v>
      </c>
      <c r="N495">
        <v>9882000000</v>
      </c>
      <c r="O495">
        <v>1215000000</v>
      </c>
      <c r="P495">
        <v>175000000</v>
      </c>
      <c r="Q495">
        <v>9104000000</v>
      </c>
      <c r="R495">
        <v>6865000000</v>
      </c>
      <c r="S495">
        <v>19498000000</v>
      </c>
      <c r="T495">
        <v>0</v>
      </c>
      <c r="U495">
        <v>1488000000</v>
      </c>
      <c r="V495">
        <v>12266000000</v>
      </c>
      <c r="W495">
        <v>110479737160</v>
      </c>
      <c r="X495">
        <v>111967737160</v>
      </c>
      <c r="Y495">
        <v>8.9441742970690505</v>
      </c>
      <c r="Z495">
        <v>-25.193035718283578</v>
      </c>
      <c r="AA495">
        <v>-32.141546313597154</v>
      </c>
      <c r="AB495">
        <v>-22.028494526916798</v>
      </c>
      <c r="AC495">
        <v>-22.21421697717458</v>
      </c>
      <c r="AD495">
        <v>-15.96154508865248</v>
      </c>
      <c r="AE495">
        <v>-26.11187900186567</v>
      </c>
      <c r="AF495">
        <v>-25.76486407649254</v>
      </c>
      <c r="AG495">
        <v>-23.02441644252519</v>
      </c>
      <c r="AH495">
        <v>-22.718432482006989</v>
      </c>
      <c r="AI495">
        <v>-33.313816471288312</v>
      </c>
      <c r="AJ495">
        <v>-22.831920301794451</v>
      </c>
      <c r="AK495">
        <v>-32.871091091936933</v>
      </c>
      <c r="AL495">
        <v>-22.528494526916798</v>
      </c>
      <c r="AM495">
        <v>9.2703872462328203</v>
      </c>
      <c r="AN495">
        <v>9.1471880410664017</v>
      </c>
    </row>
    <row r="496" spans="1:40" x14ac:dyDescent="0.25">
      <c r="A496" s="1" t="s">
        <v>1017</v>
      </c>
      <c r="B496">
        <v>107183916960</v>
      </c>
      <c r="C496" t="s">
        <v>83</v>
      </c>
      <c r="D496" t="s">
        <v>127</v>
      </c>
      <c r="E496">
        <v>12078000000</v>
      </c>
      <c r="F496">
        <v>-4288000000</v>
      </c>
      <c r="G496">
        <v>-3361000000</v>
      </c>
      <c r="H496">
        <v>-4904000000</v>
      </c>
      <c r="I496">
        <v>-4863000000</v>
      </c>
      <c r="J496">
        <v>-6768000000</v>
      </c>
      <c r="K496">
        <v>5647000000</v>
      </c>
      <c r="L496">
        <v>1180000000</v>
      </c>
      <c r="M496">
        <v>6827000000</v>
      </c>
      <c r="N496">
        <v>9882000000</v>
      </c>
      <c r="O496">
        <v>1215000000</v>
      </c>
      <c r="P496">
        <v>175000000</v>
      </c>
      <c r="Q496">
        <v>9104000000</v>
      </c>
      <c r="R496">
        <v>6865000000</v>
      </c>
      <c r="S496">
        <v>19498000000</v>
      </c>
      <c r="T496">
        <v>0</v>
      </c>
      <c r="U496">
        <v>1488000000</v>
      </c>
      <c r="V496">
        <v>12266000000</v>
      </c>
      <c r="W496">
        <v>109635916960</v>
      </c>
      <c r="X496">
        <v>111123916960</v>
      </c>
      <c r="Y496">
        <v>8.8743100645802286</v>
      </c>
      <c r="Z496">
        <v>-24.99624929104478</v>
      </c>
      <c r="AA496">
        <v>-31.890484070217202</v>
      </c>
      <c r="AB496">
        <v>-21.8564267862969</v>
      </c>
      <c r="AC496">
        <v>-22.040698531770509</v>
      </c>
      <c r="AD496">
        <v>-15.836867163120569</v>
      </c>
      <c r="AE496">
        <v>-25.915092574626861</v>
      </c>
      <c r="AF496">
        <v>-25.56807764925373</v>
      </c>
      <c r="AG496">
        <v>-22.85089799712112</v>
      </c>
      <c r="AH496">
        <v>-22.544914036602918</v>
      </c>
      <c r="AI496">
        <v>-33.062754227908357</v>
      </c>
      <c r="AJ496">
        <v>-22.659852561174549</v>
      </c>
      <c r="AK496">
        <v>-32.620028848556977</v>
      </c>
      <c r="AL496">
        <v>-22.3564267862969</v>
      </c>
      <c r="AM496">
        <v>9.2005230137439966</v>
      </c>
      <c r="AN496">
        <v>9.0773238085775798</v>
      </c>
    </row>
    <row r="497" spans="1:40" x14ac:dyDescent="0.25">
      <c r="A497" s="1" t="s">
        <v>1016</v>
      </c>
      <c r="B497">
        <v>109584116640</v>
      </c>
      <c r="C497" t="s">
        <v>83</v>
      </c>
      <c r="D497" t="s">
        <v>127</v>
      </c>
      <c r="E497">
        <v>12078000000</v>
      </c>
      <c r="F497">
        <v>-4288000000</v>
      </c>
      <c r="G497">
        <v>-3361000000</v>
      </c>
      <c r="H497">
        <v>-4904000000</v>
      </c>
      <c r="I497">
        <v>-4863000000</v>
      </c>
      <c r="J497">
        <v>-6768000000</v>
      </c>
      <c r="K497">
        <v>5647000000</v>
      </c>
      <c r="L497">
        <v>1180000000</v>
      </c>
      <c r="M497">
        <v>6827000000</v>
      </c>
      <c r="N497">
        <v>9882000000</v>
      </c>
      <c r="O497">
        <v>1215000000</v>
      </c>
      <c r="P497">
        <v>175000000</v>
      </c>
      <c r="Q497">
        <v>9104000000</v>
      </c>
      <c r="R497">
        <v>6865000000</v>
      </c>
      <c r="S497">
        <v>19498000000</v>
      </c>
      <c r="T497">
        <v>0</v>
      </c>
      <c r="U497">
        <v>1488000000</v>
      </c>
      <c r="V497">
        <v>12266000000</v>
      </c>
      <c r="W497">
        <v>112036116640</v>
      </c>
      <c r="X497">
        <v>113524116640</v>
      </c>
      <c r="Y497">
        <v>9.0730349925484344</v>
      </c>
      <c r="Z497">
        <v>-25.555997350746271</v>
      </c>
      <c r="AA497">
        <v>-32.604616673609037</v>
      </c>
      <c r="AB497">
        <v>-22.345863915171289</v>
      </c>
      <c r="AC497">
        <v>-22.534262109808761</v>
      </c>
      <c r="AD497">
        <v>-16.191506595744681</v>
      </c>
      <c r="AE497">
        <v>-26.474840634328359</v>
      </c>
      <c r="AF497">
        <v>-26.127825708955221</v>
      </c>
      <c r="AG497">
        <v>-23.344461575159372</v>
      </c>
      <c r="AH497">
        <v>-23.03847761464117</v>
      </c>
      <c r="AI497">
        <v>-33.77688683130021</v>
      </c>
      <c r="AJ497">
        <v>-23.149289690048938</v>
      </c>
      <c r="AK497">
        <v>-33.334161451948823</v>
      </c>
      <c r="AL497">
        <v>-22.845863915171289</v>
      </c>
      <c r="AM497">
        <v>9.3992479417122041</v>
      </c>
      <c r="AN497">
        <v>9.2760487365457855</v>
      </c>
    </row>
    <row r="498" spans="1:40" x14ac:dyDescent="0.25">
      <c r="A498" s="1" t="s">
        <v>1015</v>
      </c>
      <c r="B498">
        <v>103002319080</v>
      </c>
      <c r="C498" t="s">
        <v>83</v>
      </c>
      <c r="D498" t="s">
        <v>127</v>
      </c>
      <c r="E498">
        <v>12078000000</v>
      </c>
      <c r="F498">
        <v>-4288000000</v>
      </c>
      <c r="G498">
        <v>-3361000000</v>
      </c>
      <c r="H498">
        <v>-4904000000</v>
      </c>
      <c r="I498">
        <v>-4863000000</v>
      </c>
      <c r="J498">
        <v>-6768000000</v>
      </c>
      <c r="K498">
        <v>5647000000</v>
      </c>
      <c r="L498">
        <v>1180000000</v>
      </c>
      <c r="M498">
        <v>6827000000</v>
      </c>
      <c r="N498">
        <v>9882000000</v>
      </c>
      <c r="O498">
        <v>1215000000</v>
      </c>
      <c r="P498">
        <v>175000000</v>
      </c>
      <c r="Q498">
        <v>9104000000</v>
      </c>
      <c r="R498">
        <v>6865000000</v>
      </c>
      <c r="S498">
        <v>19498000000</v>
      </c>
      <c r="T498">
        <v>0</v>
      </c>
      <c r="U498">
        <v>1488000000</v>
      </c>
      <c r="V498">
        <v>12266000000</v>
      </c>
      <c r="W498">
        <v>105454319080</v>
      </c>
      <c r="X498">
        <v>106942319080</v>
      </c>
      <c r="Y498">
        <v>8.528093979135619</v>
      </c>
      <c r="Z498">
        <v>-24.021063218283579</v>
      </c>
      <c r="AA498">
        <v>-30.646331175245461</v>
      </c>
      <c r="AB498">
        <v>-21.003735538336048</v>
      </c>
      <c r="AC498">
        <v>-21.180818235657</v>
      </c>
      <c r="AD498">
        <v>-15.219018776595741</v>
      </c>
      <c r="AE498">
        <v>-24.939906501865671</v>
      </c>
      <c r="AF498">
        <v>-24.592891576492541</v>
      </c>
      <c r="AG498">
        <v>-21.99101770100761</v>
      </c>
      <c r="AH498">
        <v>-21.685033740489409</v>
      </c>
      <c r="AI498">
        <v>-31.81860133293663</v>
      </c>
      <c r="AJ498">
        <v>-21.807161313213701</v>
      </c>
      <c r="AK498">
        <v>-31.37587595358524</v>
      </c>
      <c r="AL498">
        <v>-21.503735538336048</v>
      </c>
      <c r="AM498">
        <v>8.8543069282993869</v>
      </c>
      <c r="AN498">
        <v>8.7311077231329683</v>
      </c>
    </row>
    <row r="499" spans="1:40" x14ac:dyDescent="0.25">
      <c r="A499" s="1" t="s">
        <v>1014</v>
      </c>
      <c r="B499">
        <v>102702294120</v>
      </c>
      <c r="C499" t="s">
        <v>83</v>
      </c>
      <c r="D499" t="s">
        <v>127</v>
      </c>
      <c r="E499">
        <v>12078000000</v>
      </c>
      <c r="F499">
        <v>-4288000000</v>
      </c>
      <c r="G499">
        <v>-3361000000</v>
      </c>
      <c r="H499">
        <v>-4904000000</v>
      </c>
      <c r="I499">
        <v>-4863000000</v>
      </c>
      <c r="J499">
        <v>-6768000000</v>
      </c>
      <c r="K499">
        <v>5647000000</v>
      </c>
      <c r="L499">
        <v>1180000000</v>
      </c>
      <c r="M499">
        <v>6827000000</v>
      </c>
      <c r="N499">
        <v>9882000000</v>
      </c>
      <c r="O499">
        <v>1215000000</v>
      </c>
      <c r="P499">
        <v>175000000</v>
      </c>
      <c r="Q499">
        <v>9104000000</v>
      </c>
      <c r="R499">
        <v>6865000000</v>
      </c>
      <c r="S499">
        <v>19498000000</v>
      </c>
      <c r="T499">
        <v>0</v>
      </c>
      <c r="U499">
        <v>1488000000</v>
      </c>
      <c r="V499">
        <v>12266000000</v>
      </c>
      <c r="W499">
        <v>105154294120</v>
      </c>
      <c r="X499">
        <v>106642294120</v>
      </c>
      <c r="Y499">
        <v>8.5032533631395921</v>
      </c>
      <c r="Z499">
        <v>-23.9510947108209</v>
      </c>
      <c r="AA499">
        <v>-30.55706459982148</v>
      </c>
      <c r="AB499">
        <v>-20.94255589722675</v>
      </c>
      <c r="AC499">
        <v>-21.119122788402219</v>
      </c>
      <c r="AD499">
        <v>-15.17468884751773</v>
      </c>
      <c r="AE499">
        <v>-24.869937994402989</v>
      </c>
      <c r="AF499">
        <v>-24.522923069029851</v>
      </c>
      <c r="AG499">
        <v>-21.929322253752829</v>
      </c>
      <c r="AH499">
        <v>-21.623338293234632</v>
      </c>
      <c r="AI499">
        <v>-31.72933475751265</v>
      </c>
      <c r="AJ499">
        <v>-21.745981672104399</v>
      </c>
      <c r="AK499">
        <v>-31.286609378161259</v>
      </c>
      <c r="AL499">
        <v>-21.44255589722675</v>
      </c>
      <c r="AM499">
        <v>8.8294663123033619</v>
      </c>
      <c r="AN499">
        <v>8.7062671071369433</v>
      </c>
    </row>
    <row r="500" spans="1:40" x14ac:dyDescent="0.25">
      <c r="A500" s="1" t="s">
        <v>1013</v>
      </c>
      <c r="B500">
        <v>102852306600</v>
      </c>
      <c r="C500" t="s">
        <v>83</v>
      </c>
      <c r="D500" t="s">
        <v>127</v>
      </c>
      <c r="E500">
        <v>12078000000</v>
      </c>
      <c r="F500">
        <v>-4288000000</v>
      </c>
      <c r="G500">
        <v>-3361000000</v>
      </c>
      <c r="H500">
        <v>-4904000000</v>
      </c>
      <c r="I500">
        <v>-4863000000</v>
      </c>
      <c r="J500">
        <v>-6768000000</v>
      </c>
      <c r="K500">
        <v>5647000000</v>
      </c>
      <c r="L500">
        <v>1180000000</v>
      </c>
      <c r="M500">
        <v>6827000000</v>
      </c>
      <c r="N500">
        <v>9882000000</v>
      </c>
      <c r="O500">
        <v>1215000000</v>
      </c>
      <c r="P500">
        <v>175000000</v>
      </c>
      <c r="Q500">
        <v>9104000000</v>
      </c>
      <c r="R500">
        <v>6865000000</v>
      </c>
      <c r="S500">
        <v>19498000000</v>
      </c>
      <c r="T500">
        <v>0</v>
      </c>
      <c r="U500">
        <v>1488000000</v>
      </c>
      <c r="V500">
        <v>12266000000</v>
      </c>
      <c r="W500">
        <v>105304306600</v>
      </c>
      <c r="X500">
        <v>106792306600</v>
      </c>
      <c r="Y500">
        <v>8.5156736711376055</v>
      </c>
      <c r="Z500">
        <v>-23.986078964552242</v>
      </c>
      <c r="AA500">
        <v>-30.601697887533469</v>
      </c>
      <c r="AB500">
        <v>-20.973145717781399</v>
      </c>
      <c r="AC500">
        <v>-21.149970512029611</v>
      </c>
      <c r="AD500">
        <v>-15.196853812056739</v>
      </c>
      <c r="AE500">
        <v>-24.90492224813433</v>
      </c>
      <c r="AF500">
        <v>-24.557907322761199</v>
      </c>
      <c r="AG500">
        <v>-21.960169977380222</v>
      </c>
      <c r="AH500">
        <v>-21.65418601686202</v>
      </c>
      <c r="AI500">
        <v>-31.773968045224631</v>
      </c>
      <c r="AJ500">
        <v>-21.776571492659059</v>
      </c>
      <c r="AK500">
        <v>-31.331242665873251</v>
      </c>
      <c r="AL500">
        <v>-21.473145717781399</v>
      </c>
      <c r="AM500">
        <v>8.8418866203013735</v>
      </c>
      <c r="AN500">
        <v>8.7186874151349567</v>
      </c>
    </row>
    <row r="501" spans="1:40" x14ac:dyDescent="0.25">
      <c r="A501" s="1" t="s">
        <v>1012</v>
      </c>
      <c r="B501">
        <v>99364516440</v>
      </c>
      <c r="C501" t="s">
        <v>83</v>
      </c>
      <c r="D501" t="s">
        <v>127</v>
      </c>
      <c r="E501">
        <v>12078000000</v>
      </c>
      <c r="F501">
        <v>-4288000000</v>
      </c>
      <c r="G501">
        <v>-3361000000</v>
      </c>
      <c r="H501">
        <v>-4904000000</v>
      </c>
      <c r="I501">
        <v>-4863000000</v>
      </c>
      <c r="J501">
        <v>-6768000000</v>
      </c>
      <c r="K501">
        <v>5647000000</v>
      </c>
      <c r="L501">
        <v>1180000000</v>
      </c>
      <c r="M501">
        <v>6827000000</v>
      </c>
      <c r="N501">
        <v>9882000000</v>
      </c>
      <c r="O501">
        <v>1215000000</v>
      </c>
      <c r="P501">
        <v>175000000</v>
      </c>
      <c r="Q501">
        <v>9104000000</v>
      </c>
      <c r="R501">
        <v>6865000000</v>
      </c>
      <c r="S501">
        <v>19498000000</v>
      </c>
      <c r="T501">
        <v>0</v>
      </c>
      <c r="U501">
        <v>1488000000</v>
      </c>
      <c r="V501">
        <v>12266000000</v>
      </c>
      <c r="W501">
        <v>101816516440</v>
      </c>
      <c r="X501">
        <v>103304516440</v>
      </c>
      <c r="Y501">
        <v>8.2269015101838061</v>
      </c>
      <c r="Z501">
        <v>-23.172695065298509</v>
      </c>
      <c r="AA501">
        <v>-29.563973948229691</v>
      </c>
      <c r="AB501">
        <v>-20.261932389885811</v>
      </c>
      <c r="AC501">
        <v>-20.43276093769278</v>
      </c>
      <c r="AD501">
        <v>-14.68151838652482</v>
      </c>
      <c r="AE501">
        <v>-24.091538348880601</v>
      </c>
      <c r="AF501">
        <v>-23.744523423507459</v>
      </c>
      <c r="AG501">
        <v>-21.242960403043391</v>
      </c>
      <c r="AH501">
        <v>-20.936976442525189</v>
      </c>
      <c r="AI501">
        <v>-30.736244105920861</v>
      </c>
      <c r="AJ501">
        <v>-21.06535816476346</v>
      </c>
      <c r="AK501">
        <v>-30.29351872656947</v>
      </c>
      <c r="AL501">
        <v>-20.761932389885811</v>
      </c>
      <c r="AM501">
        <v>8.5531144593475741</v>
      </c>
      <c r="AN501">
        <v>8.4299152541811555</v>
      </c>
    </row>
    <row r="502" spans="1:40" x14ac:dyDescent="0.25">
      <c r="A502" s="1" t="s">
        <v>131</v>
      </c>
      <c r="B502">
        <v>95970484080</v>
      </c>
      <c r="C502" t="s">
        <v>83</v>
      </c>
      <c r="D502" t="s">
        <v>127</v>
      </c>
      <c r="E502">
        <v>12078000000</v>
      </c>
      <c r="F502">
        <v>-4288000000</v>
      </c>
      <c r="G502">
        <v>-3361000000</v>
      </c>
      <c r="H502">
        <v>-4904000000</v>
      </c>
      <c r="I502">
        <v>-4863000000</v>
      </c>
      <c r="J502">
        <v>-6768000000</v>
      </c>
      <c r="K502">
        <v>5647000000</v>
      </c>
      <c r="L502">
        <v>1180000000</v>
      </c>
      <c r="M502">
        <v>6827000000</v>
      </c>
      <c r="N502">
        <v>9882000000</v>
      </c>
      <c r="O502">
        <v>1215000000</v>
      </c>
      <c r="P502">
        <v>175000000</v>
      </c>
      <c r="Q502">
        <v>9104000000</v>
      </c>
      <c r="R502">
        <v>6865000000</v>
      </c>
      <c r="S502">
        <v>19498000000</v>
      </c>
      <c r="T502">
        <v>0</v>
      </c>
      <c r="U502">
        <v>1488000000</v>
      </c>
      <c r="V502">
        <v>12266000000</v>
      </c>
      <c r="W502">
        <v>98422484080</v>
      </c>
      <c r="X502">
        <v>99910484080</v>
      </c>
      <c r="Y502">
        <v>7.9458920417287633</v>
      </c>
      <c r="Z502">
        <v>-22.38117632462686</v>
      </c>
      <c r="AA502">
        <v>-28.554145813745912</v>
      </c>
      <c r="AB502">
        <v>-19.569837699836871</v>
      </c>
      <c r="AC502">
        <v>-19.734831190623069</v>
      </c>
      <c r="AD502">
        <v>-14.180036063829791</v>
      </c>
      <c r="AE502">
        <v>-23.300019608208959</v>
      </c>
      <c r="AF502">
        <v>-22.953004682835822</v>
      </c>
      <c r="AG502">
        <v>-20.54503065597368</v>
      </c>
      <c r="AH502">
        <v>-20.239046695455482</v>
      </c>
      <c r="AI502">
        <v>-29.726415971437071</v>
      </c>
      <c r="AJ502">
        <v>-20.37326347471452</v>
      </c>
      <c r="AK502">
        <v>-29.283690592085691</v>
      </c>
      <c r="AL502">
        <v>-20.069837699836871</v>
      </c>
      <c r="AM502">
        <v>8.2721049908925313</v>
      </c>
      <c r="AN502">
        <v>8.1489057857261145</v>
      </c>
    </row>
    <row r="503" spans="1:40" x14ac:dyDescent="0.25">
      <c r="A503" s="1" t="s">
        <v>1011</v>
      </c>
      <c r="B503">
        <v>87476027400</v>
      </c>
      <c r="C503" t="s">
        <v>82</v>
      </c>
      <c r="D503" t="s">
        <v>127</v>
      </c>
      <c r="E503">
        <v>11438000000</v>
      </c>
      <c r="F503">
        <v>-4465000000</v>
      </c>
      <c r="G503">
        <v>-3382000000</v>
      </c>
      <c r="H503">
        <v>-4954000000</v>
      </c>
      <c r="I503">
        <v>-5124000000</v>
      </c>
      <c r="J503">
        <v>-3940000000</v>
      </c>
      <c r="K503">
        <v>4836000000</v>
      </c>
      <c r="L503">
        <v>819000000</v>
      </c>
      <c r="M503">
        <v>5655000000</v>
      </c>
      <c r="N503">
        <v>8295000000</v>
      </c>
      <c r="O503">
        <v>1318000000</v>
      </c>
      <c r="P503">
        <v>171000000</v>
      </c>
      <c r="Q503">
        <v>9332000000</v>
      </c>
      <c r="R503">
        <v>7288000000</v>
      </c>
      <c r="S503">
        <v>20584000000</v>
      </c>
      <c r="T503">
        <v>0</v>
      </c>
      <c r="U503">
        <v>473000000</v>
      </c>
      <c r="V503">
        <v>13598000000</v>
      </c>
      <c r="W503">
        <v>91324027400</v>
      </c>
      <c r="X503">
        <v>91797027400</v>
      </c>
      <c r="Y503">
        <v>7.6478429270851551</v>
      </c>
      <c r="Z503">
        <v>-19.59149549832027</v>
      </c>
      <c r="AA503">
        <v>-25.865176641040801</v>
      </c>
      <c r="AB503">
        <v>-17.657655914412601</v>
      </c>
      <c r="AC503">
        <v>-17.07182423887588</v>
      </c>
      <c r="AD503">
        <v>-22.20203741116751</v>
      </c>
      <c r="AE503">
        <v>-20.559244658454649</v>
      </c>
      <c r="AF503">
        <v>-20.45330960806271</v>
      </c>
      <c r="AG503">
        <v>-17.915110733801718</v>
      </c>
      <c r="AH503">
        <v>-17.82280003903201</v>
      </c>
      <c r="AI503">
        <v>-27.142823004139562</v>
      </c>
      <c r="AJ503">
        <v>-18.52988037949132</v>
      </c>
      <c r="AK503">
        <v>-27.002964931992899</v>
      </c>
      <c r="AL503">
        <v>-18.434401978199439</v>
      </c>
      <c r="AM503">
        <v>8.0256187620213328</v>
      </c>
      <c r="AN503">
        <v>7.9842653785626858</v>
      </c>
    </row>
    <row r="504" spans="1:40" x14ac:dyDescent="0.25">
      <c r="A504" s="1" t="s">
        <v>1010</v>
      </c>
      <c r="B504">
        <v>88188586680</v>
      </c>
      <c r="C504" t="s">
        <v>82</v>
      </c>
      <c r="D504" t="s">
        <v>127</v>
      </c>
      <c r="E504">
        <v>11438000000</v>
      </c>
      <c r="F504">
        <v>-4465000000</v>
      </c>
      <c r="G504">
        <v>-3382000000</v>
      </c>
      <c r="H504">
        <v>-4954000000</v>
      </c>
      <c r="I504">
        <v>-5124000000</v>
      </c>
      <c r="J504">
        <v>-3940000000</v>
      </c>
      <c r="K504">
        <v>4836000000</v>
      </c>
      <c r="L504">
        <v>819000000</v>
      </c>
      <c r="M504">
        <v>5655000000</v>
      </c>
      <c r="N504">
        <v>8295000000</v>
      </c>
      <c r="O504">
        <v>1318000000</v>
      </c>
      <c r="P504">
        <v>171000000</v>
      </c>
      <c r="Q504">
        <v>9332000000</v>
      </c>
      <c r="R504">
        <v>7288000000</v>
      </c>
      <c r="S504">
        <v>20584000000</v>
      </c>
      <c r="T504">
        <v>0</v>
      </c>
      <c r="U504">
        <v>473000000</v>
      </c>
      <c r="V504">
        <v>13598000000</v>
      </c>
      <c r="W504">
        <v>92036586680</v>
      </c>
      <c r="X504">
        <v>92509586680</v>
      </c>
      <c r="Y504">
        <v>7.7101404686133943</v>
      </c>
      <c r="Z504">
        <v>-19.751083243001119</v>
      </c>
      <c r="AA504">
        <v>-26.075868326434058</v>
      </c>
      <c r="AB504">
        <v>-17.801491053693979</v>
      </c>
      <c r="AC504">
        <v>-17.21088733021077</v>
      </c>
      <c r="AD504">
        <v>-22.382890020304568</v>
      </c>
      <c r="AE504">
        <v>-20.718832403135501</v>
      </c>
      <c r="AF504">
        <v>-20.612897352743559</v>
      </c>
      <c r="AG504">
        <v>-18.054173825136608</v>
      </c>
      <c r="AH504">
        <v>-17.961863130366901</v>
      </c>
      <c r="AI504">
        <v>-27.353514689532819</v>
      </c>
      <c r="AJ504">
        <v>-18.67371551877271</v>
      </c>
      <c r="AK504">
        <v>-27.21365661738616</v>
      </c>
      <c r="AL504">
        <v>-18.578237117480821</v>
      </c>
      <c r="AM504">
        <v>8.0879163035495711</v>
      </c>
      <c r="AN504">
        <v>8.0465629200909241</v>
      </c>
    </row>
    <row r="505" spans="1:40" x14ac:dyDescent="0.25">
      <c r="A505" s="1" t="s">
        <v>1009</v>
      </c>
      <c r="B505">
        <v>85863393240</v>
      </c>
      <c r="C505" t="s">
        <v>82</v>
      </c>
      <c r="D505" t="s">
        <v>127</v>
      </c>
      <c r="E505">
        <v>11438000000</v>
      </c>
      <c r="F505">
        <v>-4465000000</v>
      </c>
      <c r="G505">
        <v>-3382000000</v>
      </c>
      <c r="H505">
        <v>-4954000000</v>
      </c>
      <c r="I505">
        <v>-5124000000</v>
      </c>
      <c r="J505">
        <v>-3940000000</v>
      </c>
      <c r="K505">
        <v>4836000000</v>
      </c>
      <c r="L505">
        <v>819000000</v>
      </c>
      <c r="M505">
        <v>5655000000</v>
      </c>
      <c r="N505">
        <v>8295000000</v>
      </c>
      <c r="O505">
        <v>1318000000</v>
      </c>
      <c r="P505">
        <v>171000000</v>
      </c>
      <c r="Q505">
        <v>9332000000</v>
      </c>
      <c r="R505">
        <v>7288000000</v>
      </c>
      <c r="S505">
        <v>20584000000</v>
      </c>
      <c r="T505">
        <v>0</v>
      </c>
      <c r="U505">
        <v>473000000</v>
      </c>
      <c r="V505">
        <v>13598000000</v>
      </c>
      <c r="W505">
        <v>89711393240</v>
      </c>
      <c r="X505">
        <v>90184393240</v>
      </c>
      <c r="Y505">
        <v>7.5068537541528242</v>
      </c>
      <c r="Z505">
        <v>-19.230323234042551</v>
      </c>
      <c r="AA505">
        <v>-25.388348089887639</v>
      </c>
      <c r="AB505">
        <v>-17.332134283407349</v>
      </c>
      <c r="AC505">
        <v>-16.7571025058548</v>
      </c>
      <c r="AD505">
        <v>-21.792739401015229</v>
      </c>
      <c r="AE505">
        <v>-20.198072394176929</v>
      </c>
      <c r="AF505">
        <v>-20.092137343784991</v>
      </c>
      <c r="AG505">
        <v>-17.600389000780641</v>
      </c>
      <c r="AH505">
        <v>-17.50807830601093</v>
      </c>
      <c r="AI505">
        <v>-26.6659944529864</v>
      </c>
      <c r="AJ505">
        <v>-18.204358748486069</v>
      </c>
      <c r="AK505">
        <v>-26.526136380839741</v>
      </c>
      <c r="AL505">
        <v>-18.108880347194191</v>
      </c>
      <c r="AM505">
        <v>7.8846295890890019</v>
      </c>
      <c r="AN505">
        <v>7.8432762056303549</v>
      </c>
    </row>
    <row r="506" spans="1:40" x14ac:dyDescent="0.25">
      <c r="A506" s="1" t="s">
        <v>1008</v>
      </c>
      <c r="B506">
        <v>86650958760</v>
      </c>
      <c r="C506" t="s">
        <v>82</v>
      </c>
      <c r="D506" t="s">
        <v>127</v>
      </c>
      <c r="E506">
        <v>11438000000</v>
      </c>
      <c r="F506">
        <v>-4465000000</v>
      </c>
      <c r="G506">
        <v>-3382000000</v>
      </c>
      <c r="H506">
        <v>-4954000000</v>
      </c>
      <c r="I506">
        <v>-5124000000</v>
      </c>
      <c r="J506">
        <v>-3940000000</v>
      </c>
      <c r="K506">
        <v>4836000000</v>
      </c>
      <c r="L506">
        <v>819000000</v>
      </c>
      <c r="M506">
        <v>5655000000</v>
      </c>
      <c r="N506">
        <v>8295000000</v>
      </c>
      <c r="O506">
        <v>1318000000</v>
      </c>
      <c r="P506">
        <v>171000000</v>
      </c>
      <c r="Q506">
        <v>9332000000</v>
      </c>
      <c r="R506">
        <v>7288000000</v>
      </c>
      <c r="S506">
        <v>20584000000</v>
      </c>
      <c r="T506">
        <v>0</v>
      </c>
      <c r="U506">
        <v>473000000</v>
      </c>
      <c r="V506">
        <v>13598000000</v>
      </c>
      <c r="W506">
        <v>90498958760</v>
      </c>
      <c r="X506">
        <v>90971958760</v>
      </c>
      <c r="Y506">
        <v>7.5757089316314037</v>
      </c>
      <c r="Z506">
        <v>-19.406709688689809</v>
      </c>
      <c r="AA506">
        <v>-25.621217847427559</v>
      </c>
      <c r="AB506">
        <v>-17.491109963665721</v>
      </c>
      <c r="AC506">
        <v>-16.910803817330208</v>
      </c>
      <c r="AD506">
        <v>-21.992629126903552</v>
      </c>
      <c r="AE506">
        <v>-20.37445884882419</v>
      </c>
      <c r="AF506">
        <v>-20.268523798432248</v>
      </c>
      <c r="AG506">
        <v>-17.75409031225605</v>
      </c>
      <c r="AH506">
        <v>-17.661779617486339</v>
      </c>
      <c r="AI506">
        <v>-26.89886421052632</v>
      </c>
      <c r="AJ506">
        <v>-18.363334428744452</v>
      </c>
      <c r="AK506">
        <v>-26.759006138379661</v>
      </c>
      <c r="AL506">
        <v>-18.267856027452559</v>
      </c>
      <c r="AM506">
        <v>7.9534847665675814</v>
      </c>
      <c r="AN506">
        <v>7.9121313831089353</v>
      </c>
    </row>
    <row r="507" spans="1:40" x14ac:dyDescent="0.25">
      <c r="A507" s="1" t="s">
        <v>1007</v>
      </c>
      <c r="B507">
        <v>82150584360</v>
      </c>
      <c r="C507" t="s">
        <v>82</v>
      </c>
      <c r="D507" t="s">
        <v>127</v>
      </c>
      <c r="E507">
        <v>11438000000</v>
      </c>
      <c r="F507">
        <v>-4465000000</v>
      </c>
      <c r="G507">
        <v>-3382000000</v>
      </c>
      <c r="H507">
        <v>-4954000000</v>
      </c>
      <c r="I507">
        <v>-5124000000</v>
      </c>
      <c r="J507">
        <v>-3940000000</v>
      </c>
      <c r="K507">
        <v>4836000000</v>
      </c>
      <c r="L507">
        <v>819000000</v>
      </c>
      <c r="M507">
        <v>5655000000</v>
      </c>
      <c r="N507">
        <v>8295000000</v>
      </c>
      <c r="O507">
        <v>1318000000</v>
      </c>
      <c r="P507">
        <v>171000000</v>
      </c>
      <c r="Q507">
        <v>9332000000</v>
      </c>
      <c r="R507">
        <v>7288000000</v>
      </c>
      <c r="S507">
        <v>20584000000</v>
      </c>
      <c r="T507">
        <v>0</v>
      </c>
      <c r="U507">
        <v>473000000</v>
      </c>
      <c r="V507">
        <v>13598000000</v>
      </c>
      <c r="W507">
        <v>85998584360</v>
      </c>
      <c r="X507">
        <v>86471584360</v>
      </c>
      <c r="Y507">
        <v>7.1822507746109459</v>
      </c>
      <c r="Z507">
        <v>-18.39878709070549</v>
      </c>
      <c r="AA507">
        <v>-24.290533518628031</v>
      </c>
      <c r="AB507">
        <v>-16.58267750504643</v>
      </c>
      <c r="AC507">
        <v>-16.032510608899301</v>
      </c>
      <c r="AD507">
        <v>-20.850402121827411</v>
      </c>
      <c r="AE507">
        <v>-19.366536250839861</v>
      </c>
      <c r="AF507">
        <v>-19.26060120044793</v>
      </c>
      <c r="AG507">
        <v>-16.875797103825139</v>
      </c>
      <c r="AH507">
        <v>-16.783486409055421</v>
      </c>
      <c r="AI507">
        <v>-25.568179881726788</v>
      </c>
      <c r="AJ507">
        <v>-17.45490197012515</v>
      </c>
      <c r="AK507">
        <v>-25.42832180958013</v>
      </c>
      <c r="AL507">
        <v>-17.359423568833261</v>
      </c>
      <c r="AM507">
        <v>7.5600266095471236</v>
      </c>
      <c r="AN507">
        <v>7.5186732260884774</v>
      </c>
    </row>
    <row r="508" spans="1:40" x14ac:dyDescent="0.25">
      <c r="A508" s="1" t="s">
        <v>1006</v>
      </c>
      <c r="B508">
        <v>83406938880</v>
      </c>
      <c r="C508" t="s">
        <v>82</v>
      </c>
      <c r="D508" t="s">
        <v>127</v>
      </c>
      <c r="E508">
        <v>11438000000</v>
      </c>
      <c r="F508">
        <v>-4465000000</v>
      </c>
      <c r="G508">
        <v>-3382000000</v>
      </c>
      <c r="H508">
        <v>-4954000000</v>
      </c>
      <c r="I508">
        <v>-5124000000</v>
      </c>
      <c r="J508">
        <v>-3940000000</v>
      </c>
      <c r="K508">
        <v>4836000000</v>
      </c>
      <c r="L508">
        <v>819000000</v>
      </c>
      <c r="M508">
        <v>5655000000</v>
      </c>
      <c r="N508">
        <v>8295000000</v>
      </c>
      <c r="O508">
        <v>1318000000</v>
      </c>
      <c r="P508">
        <v>171000000</v>
      </c>
      <c r="Q508">
        <v>9332000000</v>
      </c>
      <c r="R508">
        <v>7288000000</v>
      </c>
      <c r="S508">
        <v>20584000000</v>
      </c>
      <c r="T508">
        <v>0</v>
      </c>
      <c r="U508">
        <v>473000000</v>
      </c>
      <c r="V508">
        <v>13598000000</v>
      </c>
      <c r="W508">
        <v>87254938880</v>
      </c>
      <c r="X508">
        <v>87727938880</v>
      </c>
      <c r="Y508">
        <v>7.2920911767791576</v>
      </c>
      <c r="Z508">
        <v>-18.680165482642781</v>
      </c>
      <c r="AA508">
        <v>-24.66201622708456</v>
      </c>
      <c r="AB508">
        <v>-16.836281566410982</v>
      </c>
      <c r="AC508">
        <v>-16.27770079625293</v>
      </c>
      <c r="AD508">
        <v>-21.169273827411171</v>
      </c>
      <c r="AE508">
        <v>-19.64791464277716</v>
      </c>
      <c r="AF508">
        <v>-19.541979592385221</v>
      </c>
      <c r="AG508">
        <v>-17.120987291178771</v>
      </c>
      <c r="AH508">
        <v>-17.02867659640906</v>
      </c>
      <c r="AI508">
        <v>-25.939662590183321</v>
      </c>
      <c r="AJ508">
        <v>-17.708506031489701</v>
      </c>
      <c r="AK508">
        <v>-25.79980451803667</v>
      </c>
      <c r="AL508">
        <v>-17.61302763019782</v>
      </c>
      <c r="AM508">
        <v>7.6698670117153336</v>
      </c>
      <c r="AN508">
        <v>7.6285136282566883</v>
      </c>
    </row>
    <row r="509" spans="1:40" x14ac:dyDescent="0.25">
      <c r="A509" s="1" t="s">
        <v>1005</v>
      </c>
      <c r="B509">
        <v>88919897520</v>
      </c>
      <c r="C509" t="s">
        <v>82</v>
      </c>
      <c r="D509" t="s">
        <v>127</v>
      </c>
      <c r="E509">
        <v>11438000000</v>
      </c>
      <c r="F509">
        <v>-4465000000</v>
      </c>
      <c r="G509">
        <v>-3382000000</v>
      </c>
      <c r="H509">
        <v>-4954000000</v>
      </c>
      <c r="I509">
        <v>-5124000000</v>
      </c>
      <c r="J509">
        <v>-3940000000</v>
      </c>
      <c r="K509">
        <v>4836000000</v>
      </c>
      <c r="L509">
        <v>819000000</v>
      </c>
      <c r="M509">
        <v>5655000000</v>
      </c>
      <c r="N509">
        <v>8295000000</v>
      </c>
      <c r="O509">
        <v>1318000000</v>
      </c>
      <c r="P509">
        <v>171000000</v>
      </c>
      <c r="Q509">
        <v>9332000000</v>
      </c>
      <c r="R509">
        <v>7288000000</v>
      </c>
      <c r="S509">
        <v>20584000000</v>
      </c>
      <c r="T509">
        <v>0</v>
      </c>
      <c r="U509">
        <v>473000000</v>
      </c>
      <c r="V509">
        <v>13598000000</v>
      </c>
      <c r="W509">
        <v>92767897520</v>
      </c>
      <c r="X509">
        <v>93240897520</v>
      </c>
      <c r="Y509">
        <v>7.7740774191292186</v>
      </c>
      <c r="Z509">
        <v>-19.91487066517357</v>
      </c>
      <c r="AA509">
        <v>-26.292104529863991</v>
      </c>
      <c r="AB509">
        <v>-17.949111328219619</v>
      </c>
      <c r="AC509">
        <v>-17.353609976580799</v>
      </c>
      <c r="AD509">
        <v>-22.56850190862944</v>
      </c>
      <c r="AE509">
        <v>-20.882619825307948</v>
      </c>
      <c r="AF509">
        <v>-20.77668477491601</v>
      </c>
      <c r="AG509">
        <v>-18.196896471506641</v>
      </c>
      <c r="AH509">
        <v>-18.104585776736929</v>
      </c>
      <c r="AI509">
        <v>-27.569750892962741</v>
      </c>
      <c r="AJ509">
        <v>-18.821335793298349</v>
      </c>
      <c r="AK509">
        <v>-27.429892820816089</v>
      </c>
      <c r="AL509">
        <v>-18.725857392006461</v>
      </c>
      <c r="AM509">
        <v>8.1518532540653954</v>
      </c>
      <c r="AN509">
        <v>8.1104998706067502</v>
      </c>
    </row>
    <row r="510" spans="1:40" x14ac:dyDescent="0.25">
      <c r="A510" s="1" t="s">
        <v>1004</v>
      </c>
      <c r="B510">
        <v>89088661560</v>
      </c>
      <c r="C510" t="s">
        <v>82</v>
      </c>
      <c r="D510" t="s">
        <v>127</v>
      </c>
      <c r="E510">
        <v>11438000000</v>
      </c>
      <c r="F510">
        <v>-4465000000</v>
      </c>
      <c r="G510">
        <v>-3382000000</v>
      </c>
      <c r="H510">
        <v>-4954000000</v>
      </c>
      <c r="I510">
        <v>-5124000000</v>
      </c>
      <c r="J510">
        <v>-3940000000</v>
      </c>
      <c r="K510">
        <v>4836000000</v>
      </c>
      <c r="L510">
        <v>819000000</v>
      </c>
      <c r="M510">
        <v>5655000000</v>
      </c>
      <c r="N510">
        <v>8295000000</v>
      </c>
      <c r="O510">
        <v>1318000000</v>
      </c>
      <c r="P510">
        <v>171000000</v>
      </c>
      <c r="Q510">
        <v>9332000000</v>
      </c>
      <c r="R510">
        <v>7288000000</v>
      </c>
      <c r="S510">
        <v>20584000000</v>
      </c>
      <c r="T510">
        <v>0</v>
      </c>
      <c r="U510">
        <v>473000000</v>
      </c>
      <c r="V510">
        <v>13598000000</v>
      </c>
      <c r="W510">
        <v>92936661560</v>
      </c>
      <c r="X510">
        <v>93409661560</v>
      </c>
      <c r="Y510">
        <v>7.7888321000174852</v>
      </c>
      <c r="Z510">
        <v>-19.952667762597979</v>
      </c>
      <c r="AA510">
        <v>-26.34200519219397</v>
      </c>
      <c r="AB510">
        <v>-17.983177545417849</v>
      </c>
      <c r="AC510">
        <v>-17.38654597189695</v>
      </c>
      <c r="AD510">
        <v>-22.611335421319801</v>
      </c>
      <c r="AE510">
        <v>-20.920416922732361</v>
      </c>
      <c r="AF510">
        <v>-20.81448187234043</v>
      </c>
      <c r="AG510">
        <v>-18.229832466822799</v>
      </c>
      <c r="AH510">
        <v>-18.137521772053081</v>
      </c>
      <c r="AI510">
        <v>-27.61965155529273</v>
      </c>
      <c r="AJ510">
        <v>-18.855402010496569</v>
      </c>
      <c r="AK510">
        <v>-27.479793483146072</v>
      </c>
      <c r="AL510">
        <v>-18.75992360920468</v>
      </c>
      <c r="AM510">
        <v>8.1666079349536638</v>
      </c>
      <c r="AN510">
        <v>8.1252545514950167</v>
      </c>
    </row>
    <row r="511" spans="1:40" x14ac:dyDescent="0.25">
      <c r="A511" s="1" t="s">
        <v>1003</v>
      </c>
      <c r="B511">
        <v>92201420520</v>
      </c>
      <c r="C511" t="s">
        <v>82</v>
      </c>
      <c r="D511" t="s">
        <v>127</v>
      </c>
      <c r="E511">
        <v>11438000000</v>
      </c>
      <c r="F511">
        <v>-4465000000</v>
      </c>
      <c r="G511">
        <v>-3382000000</v>
      </c>
      <c r="H511">
        <v>-4954000000</v>
      </c>
      <c r="I511">
        <v>-5124000000</v>
      </c>
      <c r="J511">
        <v>-3940000000</v>
      </c>
      <c r="K511">
        <v>4836000000</v>
      </c>
      <c r="L511">
        <v>819000000</v>
      </c>
      <c r="M511">
        <v>5655000000</v>
      </c>
      <c r="N511">
        <v>8295000000</v>
      </c>
      <c r="O511">
        <v>1318000000</v>
      </c>
      <c r="P511">
        <v>171000000</v>
      </c>
      <c r="Q511">
        <v>9332000000</v>
      </c>
      <c r="R511">
        <v>7288000000</v>
      </c>
      <c r="S511">
        <v>20584000000</v>
      </c>
      <c r="T511">
        <v>0</v>
      </c>
      <c r="U511">
        <v>473000000</v>
      </c>
      <c r="V511">
        <v>13598000000</v>
      </c>
      <c r="W511">
        <v>96049420520</v>
      </c>
      <c r="X511">
        <v>96522420520</v>
      </c>
      <c r="Y511">
        <v>8.0609739919566366</v>
      </c>
      <c r="Z511">
        <v>-20.649814226203809</v>
      </c>
      <c r="AA511">
        <v>-27.262395186280312</v>
      </c>
      <c r="AB511">
        <v>-18.611509995962859</v>
      </c>
      <c r="AC511">
        <v>-17.994032107728341</v>
      </c>
      <c r="AD511">
        <v>-23.401375766497459</v>
      </c>
      <c r="AE511">
        <v>-21.61756338633819</v>
      </c>
      <c r="AF511">
        <v>-21.511628335946249</v>
      </c>
      <c r="AG511">
        <v>-18.837318602654179</v>
      </c>
      <c r="AH511">
        <v>-18.74500790788446</v>
      </c>
      <c r="AI511">
        <v>-28.540041549379069</v>
      </c>
      <c r="AJ511">
        <v>-19.483734461041578</v>
      </c>
      <c r="AK511">
        <v>-28.40018347723241</v>
      </c>
      <c r="AL511">
        <v>-19.3882560597497</v>
      </c>
      <c r="AM511">
        <v>8.4387498268928134</v>
      </c>
      <c r="AN511">
        <v>8.3973964434341664</v>
      </c>
    </row>
    <row r="512" spans="1:40" x14ac:dyDescent="0.25">
      <c r="A512" s="1" t="s">
        <v>1002</v>
      </c>
      <c r="B512">
        <v>92763967320</v>
      </c>
      <c r="C512" t="s">
        <v>82</v>
      </c>
      <c r="D512" t="s">
        <v>127</v>
      </c>
      <c r="E512">
        <v>11438000000</v>
      </c>
      <c r="F512">
        <v>-4465000000</v>
      </c>
      <c r="G512">
        <v>-3382000000</v>
      </c>
      <c r="H512">
        <v>-4954000000</v>
      </c>
      <c r="I512">
        <v>-5124000000</v>
      </c>
      <c r="J512">
        <v>-3940000000</v>
      </c>
      <c r="K512">
        <v>4836000000</v>
      </c>
      <c r="L512">
        <v>819000000</v>
      </c>
      <c r="M512">
        <v>5655000000</v>
      </c>
      <c r="N512">
        <v>8295000000</v>
      </c>
      <c r="O512">
        <v>1318000000</v>
      </c>
      <c r="P512">
        <v>171000000</v>
      </c>
      <c r="Q512">
        <v>9332000000</v>
      </c>
      <c r="R512">
        <v>7288000000</v>
      </c>
      <c r="S512">
        <v>20584000000</v>
      </c>
      <c r="T512">
        <v>0</v>
      </c>
      <c r="U512">
        <v>473000000</v>
      </c>
      <c r="V512">
        <v>13598000000</v>
      </c>
      <c r="W512">
        <v>96611967320</v>
      </c>
      <c r="X512">
        <v>97084967320</v>
      </c>
      <c r="Y512">
        <v>8.1101562615841924</v>
      </c>
      <c r="Z512">
        <v>-20.77580455095185</v>
      </c>
      <c r="AA512">
        <v>-27.428730727380248</v>
      </c>
      <c r="AB512">
        <v>-18.725064053290271</v>
      </c>
      <c r="AC512">
        <v>-18.1038187587822</v>
      </c>
      <c r="AD512">
        <v>-23.54415414213198</v>
      </c>
      <c r="AE512">
        <v>-21.743553711086221</v>
      </c>
      <c r="AF512">
        <v>-21.63761866069429</v>
      </c>
      <c r="AG512">
        <v>-18.947105253708042</v>
      </c>
      <c r="AH512">
        <v>-18.85479455893833</v>
      </c>
      <c r="AI512">
        <v>-28.706377090479009</v>
      </c>
      <c r="AJ512">
        <v>-19.597288518368991</v>
      </c>
      <c r="AK512">
        <v>-28.56651901833235</v>
      </c>
      <c r="AL512">
        <v>-19.50181011707711</v>
      </c>
      <c r="AM512">
        <v>8.4879320965203711</v>
      </c>
      <c r="AN512">
        <v>8.446578713061724</v>
      </c>
    </row>
    <row r="513" spans="1:40" x14ac:dyDescent="0.25">
      <c r="A513" s="1" t="s">
        <v>1001</v>
      </c>
      <c r="B513">
        <v>92501445480</v>
      </c>
      <c r="C513" t="s">
        <v>82</v>
      </c>
      <c r="D513" t="s">
        <v>127</v>
      </c>
      <c r="E513">
        <v>11438000000</v>
      </c>
      <c r="F513">
        <v>-4465000000</v>
      </c>
      <c r="G513">
        <v>-3382000000</v>
      </c>
      <c r="H513">
        <v>-4954000000</v>
      </c>
      <c r="I513">
        <v>-5124000000</v>
      </c>
      <c r="J513">
        <v>-3940000000</v>
      </c>
      <c r="K513">
        <v>4836000000</v>
      </c>
      <c r="L513">
        <v>819000000</v>
      </c>
      <c r="M513">
        <v>5655000000</v>
      </c>
      <c r="N513">
        <v>8295000000</v>
      </c>
      <c r="O513">
        <v>1318000000</v>
      </c>
      <c r="P513">
        <v>171000000</v>
      </c>
      <c r="Q513">
        <v>9332000000</v>
      </c>
      <c r="R513">
        <v>7288000000</v>
      </c>
      <c r="S513">
        <v>20584000000</v>
      </c>
      <c r="T513">
        <v>0</v>
      </c>
      <c r="U513">
        <v>473000000</v>
      </c>
      <c r="V513">
        <v>13598000000</v>
      </c>
      <c r="W513">
        <v>96349445480</v>
      </c>
      <c r="X513">
        <v>96822445480</v>
      </c>
      <c r="Y513">
        <v>8.0872045357579996</v>
      </c>
      <c r="Z513">
        <v>-20.71700906606943</v>
      </c>
      <c r="AA513">
        <v>-27.351107474866939</v>
      </c>
      <c r="AB513">
        <v>-18.672072159870812</v>
      </c>
      <c r="AC513">
        <v>-18.052584988290398</v>
      </c>
      <c r="AD513">
        <v>-23.477524233502539</v>
      </c>
      <c r="AE513">
        <v>-21.684758226203812</v>
      </c>
      <c r="AF513">
        <v>-21.57882317581187</v>
      </c>
      <c r="AG513">
        <v>-18.89587148321624</v>
      </c>
      <c r="AH513">
        <v>-18.803560788446529</v>
      </c>
      <c r="AI513">
        <v>-28.6287538379657</v>
      </c>
      <c r="AJ513">
        <v>-19.544296624949531</v>
      </c>
      <c r="AK513">
        <v>-28.488895765819041</v>
      </c>
      <c r="AL513">
        <v>-19.44881822365765</v>
      </c>
      <c r="AM513">
        <v>8.4649803706941782</v>
      </c>
      <c r="AN513">
        <v>8.4236269872355312</v>
      </c>
    </row>
    <row r="514" spans="1:40" x14ac:dyDescent="0.25">
      <c r="A514" s="1" t="s">
        <v>1000</v>
      </c>
      <c r="B514">
        <v>91545115920</v>
      </c>
      <c r="C514" t="s">
        <v>82</v>
      </c>
      <c r="D514" t="s">
        <v>127</v>
      </c>
      <c r="E514">
        <v>11438000000</v>
      </c>
      <c r="F514">
        <v>-4465000000</v>
      </c>
      <c r="G514">
        <v>-3382000000</v>
      </c>
      <c r="H514">
        <v>-4954000000</v>
      </c>
      <c r="I514">
        <v>-5124000000</v>
      </c>
      <c r="J514">
        <v>-3940000000</v>
      </c>
      <c r="K514">
        <v>4836000000</v>
      </c>
      <c r="L514">
        <v>819000000</v>
      </c>
      <c r="M514">
        <v>5655000000</v>
      </c>
      <c r="N514">
        <v>8295000000</v>
      </c>
      <c r="O514">
        <v>1318000000</v>
      </c>
      <c r="P514">
        <v>171000000</v>
      </c>
      <c r="Q514">
        <v>9332000000</v>
      </c>
      <c r="R514">
        <v>7288000000</v>
      </c>
      <c r="S514">
        <v>20584000000</v>
      </c>
      <c r="T514">
        <v>0</v>
      </c>
      <c r="U514">
        <v>473000000</v>
      </c>
      <c r="V514">
        <v>13598000000</v>
      </c>
      <c r="W514">
        <v>95393115920</v>
      </c>
      <c r="X514">
        <v>95866115920</v>
      </c>
      <c r="Y514">
        <v>8.0035946773911526</v>
      </c>
      <c r="Z514">
        <v>-20.50282551399776</v>
      </c>
      <c r="AA514">
        <v>-27.068337054997041</v>
      </c>
      <c r="AB514">
        <v>-18.479030262414209</v>
      </c>
      <c r="AC514">
        <v>-17.865947681498831</v>
      </c>
      <c r="AD514">
        <v>-23.234800994923859</v>
      </c>
      <c r="AE514">
        <v>-21.470574674132141</v>
      </c>
      <c r="AF514">
        <v>-21.364639623740199</v>
      </c>
      <c r="AG514">
        <v>-18.709234176424669</v>
      </c>
      <c r="AH514">
        <v>-18.616923481654961</v>
      </c>
      <c r="AI514">
        <v>-28.345983418095798</v>
      </c>
      <c r="AJ514">
        <v>-19.35125472749294</v>
      </c>
      <c r="AK514">
        <v>-28.20612534594914</v>
      </c>
      <c r="AL514">
        <v>-19.255776326201051</v>
      </c>
      <c r="AM514">
        <v>8.3813705123273294</v>
      </c>
      <c r="AN514">
        <v>8.3400171288686842</v>
      </c>
    </row>
    <row r="515" spans="1:40" x14ac:dyDescent="0.25">
      <c r="A515" s="1" t="s">
        <v>999</v>
      </c>
      <c r="B515">
        <v>93814054680</v>
      </c>
      <c r="C515" t="s">
        <v>82</v>
      </c>
      <c r="D515" t="s">
        <v>127</v>
      </c>
      <c r="E515">
        <v>11438000000</v>
      </c>
      <c r="F515">
        <v>-4465000000</v>
      </c>
      <c r="G515">
        <v>-3382000000</v>
      </c>
      <c r="H515">
        <v>-4954000000</v>
      </c>
      <c r="I515">
        <v>-5124000000</v>
      </c>
      <c r="J515">
        <v>-3940000000</v>
      </c>
      <c r="K515">
        <v>4836000000</v>
      </c>
      <c r="L515">
        <v>819000000</v>
      </c>
      <c r="M515">
        <v>5655000000</v>
      </c>
      <c r="N515">
        <v>8295000000</v>
      </c>
      <c r="O515">
        <v>1318000000</v>
      </c>
      <c r="P515">
        <v>171000000</v>
      </c>
      <c r="Q515">
        <v>9332000000</v>
      </c>
      <c r="R515">
        <v>7288000000</v>
      </c>
      <c r="S515">
        <v>20584000000</v>
      </c>
      <c r="T515">
        <v>0</v>
      </c>
      <c r="U515">
        <v>473000000</v>
      </c>
      <c r="V515">
        <v>13598000000</v>
      </c>
      <c r="W515">
        <v>97662054680</v>
      </c>
      <c r="X515">
        <v>98135054680</v>
      </c>
      <c r="Y515">
        <v>8.2019631648889675</v>
      </c>
      <c r="Z515">
        <v>-21.010986490481521</v>
      </c>
      <c r="AA515">
        <v>-27.73922373743347</v>
      </c>
      <c r="AB515">
        <v>-18.93703162696811</v>
      </c>
      <c r="AC515">
        <v>-18.308753840749411</v>
      </c>
      <c r="AD515">
        <v>-23.81067377664975</v>
      </c>
      <c r="AE515">
        <v>-21.978735650615899</v>
      </c>
      <c r="AF515">
        <v>-21.872800600223961</v>
      </c>
      <c r="AG515">
        <v>-19.152040335675249</v>
      </c>
      <c r="AH515">
        <v>-19.059729640905541</v>
      </c>
      <c r="AI515">
        <v>-29.01687010053223</v>
      </c>
      <c r="AJ515">
        <v>-19.80925609204683</v>
      </c>
      <c r="AK515">
        <v>-28.877012028385568</v>
      </c>
      <c r="AL515">
        <v>-19.713777690754949</v>
      </c>
      <c r="AM515">
        <v>8.5797389998251443</v>
      </c>
      <c r="AN515">
        <v>8.5383856163664973</v>
      </c>
    </row>
    <row r="516" spans="1:40" x14ac:dyDescent="0.25">
      <c r="A516" s="1" t="s">
        <v>998</v>
      </c>
      <c r="B516">
        <v>94620371760</v>
      </c>
      <c r="C516" t="s">
        <v>82</v>
      </c>
      <c r="D516" t="s">
        <v>127</v>
      </c>
      <c r="E516">
        <v>11438000000</v>
      </c>
      <c r="F516">
        <v>-4465000000</v>
      </c>
      <c r="G516">
        <v>-3382000000</v>
      </c>
      <c r="H516">
        <v>-4954000000</v>
      </c>
      <c r="I516">
        <v>-5124000000</v>
      </c>
      <c r="J516">
        <v>-3940000000</v>
      </c>
      <c r="K516">
        <v>4836000000</v>
      </c>
      <c r="L516">
        <v>819000000</v>
      </c>
      <c r="M516">
        <v>5655000000</v>
      </c>
      <c r="N516">
        <v>8295000000</v>
      </c>
      <c r="O516">
        <v>1318000000</v>
      </c>
      <c r="P516">
        <v>171000000</v>
      </c>
      <c r="Q516">
        <v>9332000000</v>
      </c>
      <c r="R516">
        <v>7288000000</v>
      </c>
      <c r="S516">
        <v>20584000000</v>
      </c>
      <c r="T516">
        <v>0</v>
      </c>
      <c r="U516">
        <v>473000000</v>
      </c>
      <c r="V516">
        <v>13598000000</v>
      </c>
      <c r="W516">
        <v>98468371760</v>
      </c>
      <c r="X516">
        <v>98941371760</v>
      </c>
      <c r="Y516">
        <v>8.2724577513551321</v>
      </c>
      <c r="Z516">
        <v>-21.191572622620381</v>
      </c>
      <c r="AA516">
        <v>-27.977638013010051</v>
      </c>
      <c r="AB516">
        <v>-19.099792442470729</v>
      </c>
      <c r="AC516">
        <v>-18.466114707259951</v>
      </c>
      <c r="AD516">
        <v>-24.015322781725889</v>
      </c>
      <c r="AE516">
        <v>-22.159321782754759</v>
      </c>
      <c r="AF516">
        <v>-22.053386732362821</v>
      </c>
      <c r="AG516">
        <v>-19.309401202185789</v>
      </c>
      <c r="AH516">
        <v>-19.217090507416081</v>
      </c>
      <c r="AI516">
        <v>-29.255284376108811</v>
      </c>
      <c r="AJ516">
        <v>-19.97201690754946</v>
      </c>
      <c r="AK516">
        <v>-29.115426303962149</v>
      </c>
      <c r="AL516">
        <v>-19.876538506257571</v>
      </c>
      <c r="AM516">
        <v>8.6502335862913089</v>
      </c>
      <c r="AN516">
        <v>8.6088802028326636</v>
      </c>
    </row>
    <row r="517" spans="1:40" x14ac:dyDescent="0.25">
      <c r="A517" s="1" t="s">
        <v>997</v>
      </c>
      <c r="B517">
        <v>95857974720</v>
      </c>
      <c r="C517" t="s">
        <v>82</v>
      </c>
      <c r="D517" t="s">
        <v>127</v>
      </c>
      <c r="E517">
        <v>11438000000</v>
      </c>
      <c r="F517">
        <v>-4465000000</v>
      </c>
      <c r="G517">
        <v>-3382000000</v>
      </c>
      <c r="H517">
        <v>-4954000000</v>
      </c>
      <c r="I517">
        <v>-5124000000</v>
      </c>
      <c r="J517">
        <v>-3940000000</v>
      </c>
      <c r="K517">
        <v>4836000000</v>
      </c>
      <c r="L517">
        <v>819000000</v>
      </c>
      <c r="M517">
        <v>5655000000</v>
      </c>
      <c r="N517">
        <v>8295000000</v>
      </c>
      <c r="O517">
        <v>1318000000</v>
      </c>
      <c r="P517">
        <v>171000000</v>
      </c>
      <c r="Q517">
        <v>9332000000</v>
      </c>
      <c r="R517">
        <v>7288000000</v>
      </c>
      <c r="S517">
        <v>20584000000</v>
      </c>
      <c r="T517">
        <v>0</v>
      </c>
      <c r="U517">
        <v>473000000</v>
      </c>
      <c r="V517">
        <v>13598000000</v>
      </c>
      <c r="W517">
        <v>99705974720</v>
      </c>
      <c r="X517">
        <v>100178974720</v>
      </c>
      <c r="Y517">
        <v>8.3806587445357579</v>
      </c>
      <c r="Z517">
        <v>-21.46875133706607</v>
      </c>
      <c r="AA517">
        <v>-28.343576203429919</v>
      </c>
      <c r="AB517">
        <v>-19.349611368591042</v>
      </c>
      <c r="AC517">
        <v>-18.707645339578459</v>
      </c>
      <c r="AD517">
        <v>-24.329435208121829</v>
      </c>
      <c r="AE517">
        <v>-22.436500497200448</v>
      </c>
      <c r="AF517">
        <v>-22.33056544680851</v>
      </c>
      <c r="AG517">
        <v>-19.55093183450429</v>
      </c>
      <c r="AH517">
        <v>-19.458621139734579</v>
      </c>
      <c r="AI517">
        <v>-29.621222566528679</v>
      </c>
      <c r="AJ517">
        <v>-20.221835833669761</v>
      </c>
      <c r="AK517">
        <v>-29.481364494382021</v>
      </c>
      <c r="AL517">
        <v>-20.12635743237788</v>
      </c>
      <c r="AM517">
        <v>8.7584345794719365</v>
      </c>
      <c r="AN517">
        <v>8.7170811960132895</v>
      </c>
    </row>
    <row r="518" spans="1:40" x14ac:dyDescent="0.25">
      <c r="A518" s="1" t="s">
        <v>996</v>
      </c>
      <c r="B518">
        <v>95089160760</v>
      </c>
      <c r="C518" t="s">
        <v>82</v>
      </c>
      <c r="D518" t="s">
        <v>127</v>
      </c>
      <c r="E518">
        <v>11438000000</v>
      </c>
      <c r="F518">
        <v>-4465000000</v>
      </c>
      <c r="G518">
        <v>-3382000000</v>
      </c>
      <c r="H518">
        <v>-4954000000</v>
      </c>
      <c r="I518">
        <v>-5124000000</v>
      </c>
      <c r="J518">
        <v>-3940000000</v>
      </c>
      <c r="K518">
        <v>4836000000</v>
      </c>
      <c r="L518">
        <v>819000000</v>
      </c>
      <c r="M518">
        <v>5655000000</v>
      </c>
      <c r="N518">
        <v>8295000000</v>
      </c>
      <c r="O518">
        <v>1318000000</v>
      </c>
      <c r="P518">
        <v>171000000</v>
      </c>
      <c r="Q518">
        <v>9332000000</v>
      </c>
      <c r="R518">
        <v>7288000000</v>
      </c>
      <c r="S518">
        <v>20584000000</v>
      </c>
      <c r="T518">
        <v>0</v>
      </c>
      <c r="U518">
        <v>473000000</v>
      </c>
      <c r="V518">
        <v>13598000000</v>
      </c>
      <c r="W518">
        <v>98937160760</v>
      </c>
      <c r="X518">
        <v>99410160760</v>
      </c>
      <c r="Y518">
        <v>8.3134429760447635</v>
      </c>
      <c r="Z518">
        <v>-21.296564559910411</v>
      </c>
      <c r="AA518">
        <v>-28.116250963926671</v>
      </c>
      <c r="AB518">
        <v>-19.194420823576909</v>
      </c>
      <c r="AC518">
        <v>-18.557603583138171</v>
      </c>
      <c r="AD518">
        <v>-24.134304761421319</v>
      </c>
      <c r="AE518">
        <v>-22.26431372004479</v>
      </c>
      <c r="AF518">
        <v>-22.158378669652851</v>
      </c>
      <c r="AG518">
        <v>-19.400890078064009</v>
      </c>
      <c r="AH518">
        <v>-19.308579383294301</v>
      </c>
      <c r="AI518">
        <v>-29.393897327025432</v>
      </c>
      <c r="AJ518">
        <v>-20.066645288655629</v>
      </c>
      <c r="AK518">
        <v>-29.254039254878769</v>
      </c>
      <c r="AL518">
        <v>-19.971166887363751</v>
      </c>
      <c r="AM518">
        <v>8.6912188109809403</v>
      </c>
      <c r="AN518">
        <v>8.6498654275222933</v>
      </c>
    </row>
    <row r="519" spans="1:40" x14ac:dyDescent="0.25">
      <c r="A519" s="1" t="s">
        <v>995</v>
      </c>
      <c r="B519">
        <v>95314179480</v>
      </c>
      <c r="C519" t="s">
        <v>82</v>
      </c>
      <c r="D519" t="s">
        <v>127</v>
      </c>
      <c r="E519">
        <v>11438000000</v>
      </c>
      <c r="F519">
        <v>-4465000000</v>
      </c>
      <c r="G519">
        <v>-3382000000</v>
      </c>
      <c r="H519">
        <v>-4954000000</v>
      </c>
      <c r="I519">
        <v>-5124000000</v>
      </c>
      <c r="J519">
        <v>-3940000000</v>
      </c>
      <c r="K519">
        <v>4836000000</v>
      </c>
      <c r="L519">
        <v>819000000</v>
      </c>
      <c r="M519">
        <v>5655000000</v>
      </c>
      <c r="N519">
        <v>8295000000</v>
      </c>
      <c r="O519">
        <v>1318000000</v>
      </c>
      <c r="P519">
        <v>171000000</v>
      </c>
      <c r="Q519">
        <v>9332000000</v>
      </c>
      <c r="R519">
        <v>7288000000</v>
      </c>
      <c r="S519">
        <v>20584000000</v>
      </c>
      <c r="T519">
        <v>0</v>
      </c>
      <c r="U519">
        <v>473000000</v>
      </c>
      <c r="V519">
        <v>13598000000</v>
      </c>
      <c r="W519">
        <v>99162179480</v>
      </c>
      <c r="X519">
        <v>99635179480</v>
      </c>
      <c r="Y519">
        <v>8.3331158838957862</v>
      </c>
      <c r="Z519">
        <v>-21.346960689809631</v>
      </c>
      <c r="AA519">
        <v>-28.18278518036665</v>
      </c>
      <c r="AB519">
        <v>-19.239842446507868</v>
      </c>
      <c r="AC519">
        <v>-18.60151824355972</v>
      </c>
      <c r="AD519">
        <v>-24.191416111675132</v>
      </c>
      <c r="AE519">
        <v>-22.314709849944009</v>
      </c>
      <c r="AF519">
        <v>-22.208774799552071</v>
      </c>
      <c r="AG519">
        <v>-19.444804738485558</v>
      </c>
      <c r="AH519">
        <v>-19.352494043715851</v>
      </c>
      <c r="AI519">
        <v>-29.4604315434654</v>
      </c>
      <c r="AJ519">
        <v>-20.112066911586599</v>
      </c>
      <c r="AK519">
        <v>-29.320573471318749</v>
      </c>
      <c r="AL519">
        <v>-20.01658851029471</v>
      </c>
      <c r="AM519">
        <v>8.710891718831963</v>
      </c>
      <c r="AN519">
        <v>8.6695383353733178</v>
      </c>
    </row>
    <row r="520" spans="1:40" x14ac:dyDescent="0.25">
      <c r="A520" s="1" t="s">
        <v>994</v>
      </c>
      <c r="B520">
        <v>95595452880</v>
      </c>
      <c r="C520" t="s">
        <v>82</v>
      </c>
      <c r="D520" t="s">
        <v>127</v>
      </c>
      <c r="E520">
        <v>11438000000</v>
      </c>
      <c r="F520">
        <v>-4465000000</v>
      </c>
      <c r="G520">
        <v>-3382000000</v>
      </c>
      <c r="H520">
        <v>-4954000000</v>
      </c>
      <c r="I520">
        <v>-5124000000</v>
      </c>
      <c r="J520">
        <v>-3940000000</v>
      </c>
      <c r="K520">
        <v>4836000000</v>
      </c>
      <c r="L520">
        <v>819000000</v>
      </c>
      <c r="M520">
        <v>5655000000</v>
      </c>
      <c r="N520">
        <v>8295000000</v>
      </c>
      <c r="O520">
        <v>1318000000</v>
      </c>
      <c r="P520">
        <v>171000000</v>
      </c>
      <c r="Q520">
        <v>9332000000</v>
      </c>
      <c r="R520">
        <v>7288000000</v>
      </c>
      <c r="S520">
        <v>20584000000</v>
      </c>
      <c r="T520">
        <v>0</v>
      </c>
      <c r="U520">
        <v>473000000</v>
      </c>
      <c r="V520">
        <v>13598000000</v>
      </c>
      <c r="W520">
        <v>99443452880</v>
      </c>
      <c r="X520">
        <v>99916452880</v>
      </c>
      <c r="Y520">
        <v>8.357707018709565</v>
      </c>
      <c r="Z520">
        <v>-21.40995585218365</v>
      </c>
      <c r="AA520">
        <v>-28.265952950916621</v>
      </c>
      <c r="AB520">
        <v>-19.296619475171578</v>
      </c>
      <c r="AC520">
        <v>-18.65641156908665</v>
      </c>
      <c r="AD520">
        <v>-24.262805299492381</v>
      </c>
      <c r="AE520">
        <v>-22.377705012318032</v>
      </c>
      <c r="AF520">
        <v>-22.27176996192609</v>
      </c>
      <c r="AG520">
        <v>-19.499698064012492</v>
      </c>
      <c r="AH520">
        <v>-19.40738736924278</v>
      </c>
      <c r="AI520">
        <v>-29.543599314015371</v>
      </c>
      <c r="AJ520">
        <v>-20.168843940250301</v>
      </c>
      <c r="AK520">
        <v>-29.403741241868719</v>
      </c>
      <c r="AL520">
        <v>-20.07336553895842</v>
      </c>
      <c r="AM520">
        <v>8.7354828536457418</v>
      </c>
      <c r="AN520">
        <v>8.6941294701870948</v>
      </c>
    </row>
    <row r="521" spans="1:40" x14ac:dyDescent="0.25">
      <c r="A521" s="1" t="s">
        <v>993</v>
      </c>
      <c r="B521">
        <v>95239173240</v>
      </c>
      <c r="C521" t="s">
        <v>82</v>
      </c>
      <c r="D521" t="s">
        <v>127</v>
      </c>
      <c r="E521">
        <v>11438000000</v>
      </c>
      <c r="F521">
        <v>-4465000000</v>
      </c>
      <c r="G521">
        <v>-3382000000</v>
      </c>
      <c r="H521">
        <v>-4954000000</v>
      </c>
      <c r="I521">
        <v>-5124000000</v>
      </c>
      <c r="J521">
        <v>-3940000000</v>
      </c>
      <c r="K521">
        <v>4836000000</v>
      </c>
      <c r="L521">
        <v>819000000</v>
      </c>
      <c r="M521">
        <v>5655000000</v>
      </c>
      <c r="N521">
        <v>8295000000</v>
      </c>
      <c r="O521">
        <v>1318000000</v>
      </c>
      <c r="P521">
        <v>171000000</v>
      </c>
      <c r="Q521">
        <v>9332000000</v>
      </c>
      <c r="R521">
        <v>7288000000</v>
      </c>
      <c r="S521">
        <v>20584000000</v>
      </c>
      <c r="T521">
        <v>0</v>
      </c>
      <c r="U521">
        <v>473000000</v>
      </c>
      <c r="V521">
        <v>13598000000</v>
      </c>
      <c r="W521">
        <v>99087173240</v>
      </c>
      <c r="X521">
        <v>99560173240</v>
      </c>
      <c r="Y521">
        <v>8.3265582479454459</v>
      </c>
      <c r="Z521">
        <v>-21.330161979843229</v>
      </c>
      <c r="AA521">
        <v>-28.160607108219988</v>
      </c>
      <c r="AB521">
        <v>-19.224701905530889</v>
      </c>
      <c r="AC521">
        <v>-18.586880023419209</v>
      </c>
      <c r="AD521">
        <v>-24.172378994923861</v>
      </c>
      <c r="AE521">
        <v>-22.2979111399776</v>
      </c>
      <c r="AF521">
        <v>-22.191976089585669</v>
      </c>
      <c r="AG521">
        <v>-19.43016651834504</v>
      </c>
      <c r="AH521">
        <v>-19.337855823575332</v>
      </c>
      <c r="AI521">
        <v>-29.438253471318749</v>
      </c>
      <c r="AJ521">
        <v>-20.096926370609609</v>
      </c>
      <c r="AK521">
        <v>-29.29839539917209</v>
      </c>
      <c r="AL521">
        <v>-20.00144796931772</v>
      </c>
      <c r="AM521">
        <v>8.7043340828816227</v>
      </c>
      <c r="AN521">
        <v>8.6629806994229757</v>
      </c>
    </row>
    <row r="522" spans="1:40" x14ac:dyDescent="0.25">
      <c r="A522" s="1" t="s">
        <v>992</v>
      </c>
      <c r="B522">
        <v>91320097200</v>
      </c>
      <c r="C522" t="s">
        <v>82</v>
      </c>
      <c r="D522" t="s">
        <v>127</v>
      </c>
      <c r="E522">
        <v>11438000000</v>
      </c>
      <c r="F522">
        <v>-4465000000</v>
      </c>
      <c r="G522">
        <v>-3382000000</v>
      </c>
      <c r="H522">
        <v>-4954000000</v>
      </c>
      <c r="I522">
        <v>-5124000000</v>
      </c>
      <c r="J522">
        <v>-3940000000</v>
      </c>
      <c r="K522">
        <v>4836000000</v>
      </c>
      <c r="L522">
        <v>819000000</v>
      </c>
      <c r="M522">
        <v>5655000000</v>
      </c>
      <c r="N522">
        <v>8295000000</v>
      </c>
      <c r="O522">
        <v>1318000000</v>
      </c>
      <c r="P522">
        <v>171000000</v>
      </c>
      <c r="Q522">
        <v>9332000000</v>
      </c>
      <c r="R522">
        <v>7288000000</v>
      </c>
      <c r="S522">
        <v>20584000000</v>
      </c>
      <c r="T522">
        <v>0</v>
      </c>
      <c r="U522">
        <v>473000000</v>
      </c>
      <c r="V522">
        <v>13598000000</v>
      </c>
      <c r="W522">
        <v>95168097200</v>
      </c>
      <c r="X522">
        <v>95641097200</v>
      </c>
      <c r="Y522">
        <v>7.983921769540129</v>
      </c>
      <c r="Z522">
        <v>-20.45242938409854</v>
      </c>
      <c r="AA522">
        <v>-27.001802838557069</v>
      </c>
      <c r="AB522">
        <v>-18.43360863948325</v>
      </c>
      <c r="AC522">
        <v>-17.822033021077289</v>
      </c>
      <c r="AD522">
        <v>-23.17768964467005</v>
      </c>
      <c r="AE522">
        <v>-21.420178544232918</v>
      </c>
      <c r="AF522">
        <v>-21.314243493840991</v>
      </c>
      <c r="AG522">
        <v>-18.66531951600312</v>
      </c>
      <c r="AH522">
        <v>-18.573008821233412</v>
      </c>
      <c r="AI522">
        <v>-28.279449201655829</v>
      </c>
      <c r="AJ522">
        <v>-19.30583310456197</v>
      </c>
      <c r="AK522">
        <v>-28.139591129509171</v>
      </c>
      <c r="AL522">
        <v>-19.210354703270081</v>
      </c>
      <c r="AM522">
        <v>8.3616976044763067</v>
      </c>
      <c r="AN522">
        <v>8.3203442210176597</v>
      </c>
    </row>
    <row r="523" spans="1:40" x14ac:dyDescent="0.25">
      <c r="A523" s="1" t="s">
        <v>991</v>
      </c>
      <c r="B523">
        <v>94095328080</v>
      </c>
      <c r="C523" t="s">
        <v>82</v>
      </c>
      <c r="D523" t="s">
        <v>127</v>
      </c>
      <c r="E523">
        <v>11438000000</v>
      </c>
      <c r="F523">
        <v>-4465000000</v>
      </c>
      <c r="G523">
        <v>-3382000000</v>
      </c>
      <c r="H523">
        <v>-4954000000</v>
      </c>
      <c r="I523">
        <v>-5124000000</v>
      </c>
      <c r="J523">
        <v>-3940000000</v>
      </c>
      <c r="K523">
        <v>4836000000</v>
      </c>
      <c r="L523">
        <v>819000000</v>
      </c>
      <c r="M523">
        <v>5655000000</v>
      </c>
      <c r="N523">
        <v>8295000000</v>
      </c>
      <c r="O523">
        <v>1318000000</v>
      </c>
      <c r="P523">
        <v>171000000</v>
      </c>
      <c r="Q523">
        <v>9332000000</v>
      </c>
      <c r="R523">
        <v>7288000000</v>
      </c>
      <c r="S523">
        <v>20584000000</v>
      </c>
      <c r="T523">
        <v>0</v>
      </c>
      <c r="U523">
        <v>473000000</v>
      </c>
      <c r="V523">
        <v>13598000000</v>
      </c>
      <c r="W523">
        <v>97943328080</v>
      </c>
      <c r="X523">
        <v>98416328080</v>
      </c>
      <c r="Y523">
        <v>8.2265542997027445</v>
      </c>
      <c r="Z523">
        <v>-21.07398165285554</v>
      </c>
      <c r="AA523">
        <v>-27.82239150798344</v>
      </c>
      <c r="AB523">
        <v>-18.99380865563181</v>
      </c>
      <c r="AC523">
        <v>-18.363647166276351</v>
      </c>
      <c r="AD523">
        <v>-23.882062964467</v>
      </c>
      <c r="AE523">
        <v>-22.041730812989918</v>
      </c>
      <c r="AF523">
        <v>-21.93579576259798</v>
      </c>
      <c r="AG523">
        <v>-19.206933661202189</v>
      </c>
      <c r="AH523">
        <v>-19.114622966432471</v>
      </c>
      <c r="AI523">
        <v>-29.100037871082201</v>
      </c>
      <c r="AJ523">
        <v>-19.86603312071054</v>
      </c>
      <c r="AK523">
        <v>-28.960179798935538</v>
      </c>
      <c r="AL523">
        <v>-19.770554719418652</v>
      </c>
      <c r="AM523">
        <v>8.6043301346389232</v>
      </c>
      <c r="AN523">
        <v>8.5629767511802761</v>
      </c>
    </row>
    <row r="524" spans="1:40" x14ac:dyDescent="0.25">
      <c r="A524" s="1" t="s">
        <v>990</v>
      </c>
      <c r="B524">
        <v>95182918560</v>
      </c>
      <c r="C524" t="s">
        <v>82</v>
      </c>
      <c r="D524" t="s">
        <v>127</v>
      </c>
      <c r="E524">
        <v>11438000000</v>
      </c>
      <c r="F524">
        <v>-4465000000</v>
      </c>
      <c r="G524">
        <v>-3382000000</v>
      </c>
      <c r="H524">
        <v>-4954000000</v>
      </c>
      <c r="I524">
        <v>-5124000000</v>
      </c>
      <c r="J524">
        <v>-3940000000</v>
      </c>
      <c r="K524">
        <v>4836000000</v>
      </c>
      <c r="L524">
        <v>819000000</v>
      </c>
      <c r="M524">
        <v>5655000000</v>
      </c>
      <c r="N524">
        <v>8295000000</v>
      </c>
      <c r="O524">
        <v>1318000000</v>
      </c>
      <c r="P524">
        <v>171000000</v>
      </c>
      <c r="Q524">
        <v>9332000000</v>
      </c>
      <c r="R524">
        <v>7288000000</v>
      </c>
      <c r="S524">
        <v>20584000000</v>
      </c>
      <c r="T524">
        <v>0</v>
      </c>
      <c r="U524">
        <v>473000000</v>
      </c>
      <c r="V524">
        <v>13598000000</v>
      </c>
      <c r="W524">
        <v>99030918560</v>
      </c>
      <c r="X524">
        <v>99503918560</v>
      </c>
      <c r="Y524">
        <v>8.3216400209826897</v>
      </c>
      <c r="Z524">
        <v>-21.317562947368419</v>
      </c>
      <c r="AA524">
        <v>-28.143973554109991</v>
      </c>
      <c r="AB524">
        <v>-19.213346499798138</v>
      </c>
      <c r="AC524">
        <v>-18.575901358313821</v>
      </c>
      <c r="AD524">
        <v>-24.158101157360409</v>
      </c>
      <c r="AE524">
        <v>-22.285312107502801</v>
      </c>
      <c r="AF524">
        <v>-22.179377057110859</v>
      </c>
      <c r="AG524">
        <v>-19.419187853239659</v>
      </c>
      <c r="AH524">
        <v>-19.326877158469941</v>
      </c>
      <c r="AI524">
        <v>-29.421619917208751</v>
      </c>
      <c r="AJ524">
        <v>-20.085570964876869</v>
      </c>
      <c r="AK524">
        <v>-29.281761845062089</v>
      </c>
      <c r="AL524">
        <v>-19.99009256358498</v>
      </c>
      <c r="AM524">
        <v>8.6994158559188666</v>
      </c>
      <c r="AN524">
        <v>8.6580624724602195</v>
      </c>
    </row>
    <row r="525" spans="1:40" x14ac:dyDescent="0.25">
      <c r="A525" s="1" t="s">
        <v>989</v>
      </c>
      <c r="B525">
        <v>93532781280</v>
      </c>
      <c r="C525" t="s">
        <v>82</v>
      </c>
      <c r="D525" t="s">
        <v>127</v>
      </c>
      <c r="E525">
        <v>11438000000</v>
      </c>
      <c r="F525">
        <v>-4465000000</v>
      </c>
      <c r="G525">
        <v>-3382000000</v>
      </c>
      <c r="H525">
        <v>-4954000000</v>
      </c>
      <c r="I525">
        <v>-5124000000</v>
      </c>
      <c r="J525">
        <v>-3940000000</v>
      </c>
      <c r="K525">
        <v>4836000000</v>
      </c>
      <c r="L525">
        <v>819000000</v>
      </c>
      <c r="M525">
        <v>5655000000</v>
      </c>
      <c r="N525">
        <v>8295000000</v>
      </c>
      <c r="O525">
        <v>1318000000</v>
      </c>
      <c r="P525">
        <v>171000000</v>
      </c>
      <c r="Q525">
        <v>9332000000</v>
      </c>
      <c r="R525">
        <v>7288000000</v>
      </c>
      <c r="S525">
        <v>20584000000</v>
      </c>
      <c r="T525">
        <v>0</v>
      </c>
      <c r="U525">
        <v>473000000</v>
      </c>
      <c r="V525">
        <v>13598000000</v>
      </c>
      <c r="W525">
        <v>97380781280</v>
      </c>
      <c r="X525">
        <v>97853781280</v>
      </c>
      <c r="Y525">
        <v>8.1773720300751886</v>
      </c>
      <c r="Z525">
        <v>-20.947991328107499</v>
      </c>
      <c r="AA525">
        <v>-27.6560559668835</v>
      </c>
      <c r="AB525">
        <v>-18.880254598304401</v>
      </c>
      <c r="AC525">
        <v>-18.253860515222481</v>
      </c>
      <c r="AD525">
        <v>-23.73928458883249</v>
      </c>
      <c r="AE525">
        <v>-21.91574048824188</v>
      </c>
      <c r="AF525">
        <v>-21.809805437849949</v>
      </c>
      <c r="AG525">
        <v>-19.097147010148319</v>
      </c>
      <c r="AH525">
        <v>-19.004836315378611</v>
      </c>
      <c r="AI525">
        <v>-28.93370232998226</v>
      </c>
      <c r="AJ525">
        <v>-19.75247906338312</v>
      </c>
      <c r="AK525">
        <v>-28.793844257835602</v>
      </c>
      <c r="AL525">
        <v>-19.657000662091239</v>
      </c>
      <c r="AM525">
        <v>8.5551478650113655</v>
      </c>
      <c r="AN525">
        <v>8.5137944815527185</v>
      </c>
    </row>
    <row r="526" spans="1:40" x14ac:dyDescent="0.25">
      <c r="A526" s="1" t="s">
        <v>988</v>
      </c>
      <c r="B526">
        <v>92145165840</v>
      </c>
      <c r="C526" t="s">
        <v>82</v>
      </c>
      <c r="D526" t="s">
        <v>127</v>
      </c>
      <c r="E526">
        <v>11438000000</v>
      </c>
      <c r="F526">
        <v>-4465000000</v>
      </c>
      <c r="G526">
        <v>-3382000000</v>
      </c>
      <c r="H526">
        <v>-4954000000</v>
      </c>
      <c r="I526">
        <v>-5124000000</v>
      </c>
      <c r="J526">
        <v>-3940000000</v>
      </c>
      <c r="K526">
        <v>4836000000</v>
      </c>
      <c r="L526">
        <v>819000000</v>
      </c>
      <c r="M526">
        <v>5655000000</v>
      </c>
      <c r="N526">
        <v>8295000000</v>
      </c>
      <c r="O526">
        <v>1318000000</v>
      </c>
      <c r="P526">
        <v>171000000</v>
      </c>
      <c r="Q526">
        <v>9332000000</v>
      </c>
      <c r="R526">
        <v>7288000000</v>
      </c>
      <c r="S526">
        <v>20584000000</v>
      </c>
      <c r="T526">
        <v>0</v>
      </c>
      <c r="U526">
        <v>473000000</v>
      </c>
      <c r="V526">
        <v>13598000000</v>
      </c>
      <c r="W526">
        <v>95993165840</v>
      </c>
      <c r="X526">
        <v>96466165840</v>
      </c>
      <c r="Y526">
        <v>8.0560557649938804</v>
      </c>
      <c r="Z526">
        <v>-20.637215193728998</v>
      </c>
      <c r="AA526">
        <v>-27.245761632170311</v>
      </c>
      <c r="AB526">
        <v>-18.600154590230119</v>
      </c>
      <c r="AC526">
        <v>-17.98305344262295</v>
      </c>
      <c r="AD526">
        <v>-23.387097928934011</v>
      </c>
      <c r="AE526">
        <v>-21.60496435386338</v>
      </c>
      <c r="AF526">
        <v>-21.499029303471449</v>
      </c>
      <c r="AG526">
        <v>-18.826339937548791</v>
      </c>
      <c r="AH526">
        <v>-18.73402924277908</v>
      </c>
      <c r="AI526">
        <v>-28.523407995269071</v>
      </c>
      <c r="AJ526">
        <v>-19.472379055308839</v>
      </c>
      <c r="AK526">
        <v>-28.383549923122409</v>
      </c>
      <c r="AL526">
        <v>-19.376900654016961</v>
      </c>
      <c r="AM526">
        <v>8.4338315999300573</v>
      </c>
      <c r="AN526">
        <v>8.3924782164714102</v>
      </c>
    </row>
    <row r="527" spans="1:40" x14ac:dyDescent="0.25">
      <c r="A527" s="1" t="s">
        <v>987</v>
      </c>
      <c r="B527">
        <v>92913979800</v>
      </c>
      <c r="C527" t="s">
        <v>82</v>
      </c>
      <c r="D527" t="s">
        <v>127</v>
      </c>
      <c r="E527">
        <v>11438000000</v>
      </c>
      <c r="F527">
        <v>-4465000000</v>
      </c>
      <c r="G527">
        <v>-3382000000</v>
      </c>
      <c r="H527">
        <v>-4954000000</v>
      </c>
      <c r="I527">
        <v>-5124000000</v>
      </c>
      <c r="J527">
        <v>-3940000000</v>
      </c>
      <c r="K527">
        <v>4836000000</v>
      </c>
      <c r="L527">
        <v>819000000</v>
      </c>
      <c r="M527">
        <v>5655000000</v>
      </c>
      <c r="N527">
        <v>8295000000</v>
      </c>
      <c r="O527">
        <v>1318000000</v>
      </c>
      <c r="P527">
        <v>171000000</v>
      </c>
      <c r="Q527">
        <v>9332000000</v>
      </c>
      <c r="R527">
        <v>7288000000</v>
      </c>
      <c r="S527">
        <v>20584000000</v>
      </c>
      <c r="T527">
        <v>0</v>
      </c>
      <c r="U527">
        <v>473000000</v>
      </c>
      <c r="V527">
        <v>13598000000</v>
      </c>
      <c r="W527">
        <v>96761979800</v>
      </c>
      <c r="X527">
        <v>97234979800</v>
      </c>
      <c r="Y527">
        <v>8.1232715334848749</v>
      </c>
      <c r="Z527">
        <v>-20.809401970884661</v>
      </c>
      <c r="AA527">
        <v>-27.473086871673569</v>
      </c>
      <c r="AB527">
        <v>-18.755345135244252</v>
      </c>
      <c r="AC527">
        <v>-18.133095199063231</v>
      </c>
      <c r="AD527">
        <v>-23.582228375634521</v>
      </c>
      <c r="AE527">
        <v>-21.777151131019039</v>
      </c>
      <c r="AF527">
        <v>-21.671216080627101</v>
      </c>
      <c r="AG527">
        <v>-18.976381693989069</v>
      </c>
      <c r="AH527">
        <v>-18.884070999219361</v>
      </c>
      <c r="AI527">
        <v>-28.750733234772319</v>
      </c>
      <c r="AJ527">
        <v>-19.627569600322971</v>
      </c>
      <c r="AK527">
        <v>-28.610875162625661</v>
      </c>
      <c r="AL527">
        <v>-19.53209119903109</v>
      </c>
      <c r="AM527">
        <v>8.5010473684210535</v>
      </c>
      <c r="AN527">
        <v>8.4596939849624064</v>
      </c>
    </row>
    <row r="528" spans="1:40" x14ac:dyDescent="0.25">
      <c r="A528" s="1" t="s">
        <v>986</v>
      </c>
      <c r="B528">
        <v>93776551560</v>
      </c>
      <c r="C528" t="s">
        <v>82</v>
      </c>
      <c r="D528" t="s">
        <v>127</v>
      </c>
      <c r="E528">
        <v>11438000000</v>
      </c>
      <c r="F528">
        <v>-4465000000</v>
      </c>
      <c r="G528">
        <v>-3382000000</v>
      </c>
      <c r="H528">
        <v>-4954000000</v>
      </c>
      <c r="I528">
        <v>-5124000000</v>
      </c>
      <c r="J528">
        <v>-3940000000</v>
      </c>
      <c r="K528">
        <v>4836000000</v>
      </c>
      <c r="L528">
        <v>819000000</v>
      </c>
      <c r="M528">
        <v>5655000000</v>
      </c>
      <c r="N528">
        <v>8295000000</v>
      </c>
      <c r="O528">
        <v>1318000000</v>
      </c>
      <c r="P528">
        <v>171000000</v>
      </c>
      <c r="Q528">
        <v>9332000000</v>
      </c>
      <c r="R528">
        <v>7288000000</v>
      </c>
      <c r="S528">
        <v>20584000000</v>
      </c>
      <c r="T528">
        <v>0</v>
      </c>
      <c r="U528">
        <v>473000000</v>
      </c>
      <c r="V528">
        <v>13598000000</v>
      </c>
      <c r="W528">
        <v>97624551560</v>
      </c>
      <c r="X528">
        <v>98097551560</v>
      </c>
      <c r="Y528">
        <v>8.1986843469137956</v>
      </c>
      <c r="Z528">
        <v>-21.00258713549832</v>
      </c>
      <c r="AA528">
        <v>-27.72813470136014</v>
      </c>
      <c r="AB528">
        <v>-18.92946135647961</v>
      </c>
      <c r="AC528">
        <v>-18.301434730679158</v>
      </c>
      <c r="AD528">
        <v>-23.801155218274111</v>
      </c>
      <c r="AE528">
        <v>-21.970336295632698</v>
      </c>
      <c r="AF528">
        <v>-21.86440124524076</v>
      </c>
      <c r="AG528">
        <v>-19.144721225605</v>
      </c>
      <c r="AH528">
        <v>-19.052410530835289</v>
      </c>
      <c r="AI528">
        <v>-29.005781064458901</v>
      </c>
      <c r="AJ528">
        <v>-19.80168582155834</v>
      </c>
      <c r="AK528">
        <v>-28.865922992312239</v>
      </c>
      <c r="AL528">
        <v>-19.706207420266448</v>
      </c>
      <c r="AM528">
        <v>8.5764601818499742</v>
      </c>
      <c r="AN528">
        <v>8.5351067983913271</v>
      </c>
    </row>
    <row r="529" spans="1:40" x14ac:dyDescent="0.25">
      <c r="A529" s="1" t="s">
        <v>985</v>
      </c>
      <c r="B529">
        <v>95201670120</v>
      </c>
      <c r="C529" t="s">
        <v>82</v>
      </c>
      <c r="D529" t="s">
        <v>127</v>
      </c>
      <c r="E529">
        <v>11438000000</v>
      </c>
      <c r="F529">
        <v>-4465000000</v>
      </c>
      <c r="G529">
        <v>-3382000000</v>
      </c>
      <c r="H529">
        <v>-4954000000</v>
      </c>
      <c r="I529">
        <v>-5124000000</v>
      </c>
      <c r="J529">
        <v>-3940000000</v>
      </c>
      <c r="K529">
        <v>4836000000</v>
      </c>
      <c r="L529">
        <v>819000000</v>
      </c>
      <c r="M529">
        <v>5655000000</v>
      </c>
      <c r="N529">
        <v>8295000000</v>
      </c>
      <c r="O529">
        <v>1318000000</v>
      </c>
      <c r="P529">
        <v>171000000</v>
      </c>
      <c r="Q529">
        <v>9332000000</v>
      </c>
      <c r="R529">
        <v>7288000000</v>
      </c>
      <c r="S529">
        <v>20584000000</v>
      </c>
      <c r="T529">
        <v>0</v>
      </c>
      <c r="U529">
        <v>473000000</v>
      </c>
      <c r="V529">
        <v>13598000000</v>
      </c>
      <c r="W529">
        <v>99049670120</v>
      </c>
      <c r="X529">
        <v>99522670120</v>
      </c>
      <c r="Y529">
        <v>8.3232794299702739</v>
      </c>
      <c r="Z529">
        <v>-21.321762624860021</v>
      </c>
      <c r="AA529">
        <v>-28.149518072146659</v>
      </c>
      <c r="AB529">
        <v>-19.217131635042389</v>
      </c>
      <c r="AC529">
        <v>-18.579560913348949</v>
      </c>
      <c r="AD529">
        <v>-24.162860436548218</v>
      </c>
      <c r="AE529">
        <v>-22.289511784994399</v>
      </c>
      <c r="AF529">
        <v>-22.183576734602461</v>
      </c>
      <c r="AG529">
        <v>-19.42284740827478</v>
      </c>
      <c r="AH529">
        <v>-19.330536713505079</v>
      </c>
      <c r="AI529">
        <v>-29.42716443524542</v>
      </c>
      <c r="AJ529">
        <v>-20.089356100121119</v>
      </c>
      <c r="AK529">
        <v>-29.287306363098761</v>
      </c>
      <c r="AL529">
        <v>-19.99387769882923</v>
      </c>
      <c r="AM529">
        <v>8.7010552649064525</v>
      </c>
      <c r="AN529">
        <v>8.6597018814478055</v>
      </c>
    </row>
    <row r="530" spans="1:40" x14ac:dyDescent="0.25">
      <c r="A530" s="1" t="s">
        <v>984</v>
      </c>
      <c r="B530">
        <v>92445190800</v>
      </c>
      <c r="C530" t="s">
        <v>82</v>
      </c>
      <c r="D530" t="s">
        <v>127</v>
      </c>
      <c r="E530">
        <v>11438000000</v>
      </c>
      <c r="F530">
        <v>-4465000000</v>
      </c>
      <c r="G530">
        <v>-3382000000</v>
      </c>
      <c r="H530">
        <v>-4954000000</v>
      </c>
      <c r="I530">
        <v>-5124000000</v>
      </c>
      <c r="J530">
        <v>-3940000000</v>
      </c>
      <c r="K530">
        <v>4836000000</v>
      </c>
      <c r="L530">
        <v>819000000</v>
      </c>
      <c r="M530">
        <v>5655000000</v>
      </c>
      <c r="N530">
        <v>8295000000</v>
      </c>
      <c r="O530">
        <v>1318000000</v>
      </c>
      <c r="P530">
        <v>171000000</v>
      </c>
      <c r="Q530">
        <v>9332000000</v>
      </c>
      <c r="R530">
        <v>7288000000</v>
      </c>
      <c r="S530">
        <v>20584000000</v>
      </c>
      <c r="T530">
        <v>0</v>
      </c>
      <c r="U530">
        <v>473000000</v>
      </c>
      <c r="V530">
        <v>13598000000</v>
      </c>
      <c r="W530">
        <v>96293190800</v>
      </c>
      <c r="X530">
        <v>96766190800</v>
      </c>
      <c r="Y530">
        <v>8.0822863087952435</v>
      </c>
      <c r="Z530">
        <v>-20.70441003359462</v>
      </c>
      <c r="AA530">
        <v>-27.334473920756949</v>
      </c>
      <c r="AB530">
        <v>-18.660716754138068</v>
      </c>
      <c r="AC530">
        <v>-18.041606323185011</v>
      </c>
      <c r="AD530">
        <v>-23.463246395939091</v>
      </c>
      <c r="AE530">
        <v>-21.672159193729009</v>
      </c>
      <c r="AF530">
        <v>-21.56622414333707</v>
      </c>
      <c r="AG530">
        <v>-18.884892818110849</v>
      </c>
      <c r="AH530">
        <v>-18.792582123341141</v>
      </c>
      <c r="AI530">
        <v>-28.61212028385571</v>
      </c>
      <c r="AJ530">
        <v>-19.532941219216799</v>
      </c>
      <c r="AK530">
        <v>-28.472262211709051</v>
      </c>
      <c r="AL530">
        <v>-19.43746281792491</v>
      </c>
      <c r="AM530">
        <v>8.4600621437314221</v>
      </c>
      <c r="AN530">
        <v>8.418708760272775</v>
      </c>
    </row>
    <row r="531" spans="1:40" x14ac:dyDescent="0.25">
      <c r="A531" s="1" t="s">
        <v>983</v>
      </c>
      <c r="B531">
        <v>91676376840</v>
      </c>
      <c r="C531" t="s">
        <v>82</v>
      </c>
      <c r="D531" t="s">
        <v>127</v>
      </c>
      <c r="E531">
        <v>11438000000</v>
      </c>
      <c r="F531">
        <v>-4465000000</v>
      </c>
      <c r="G531">
        <v>-3382000000</v>
      </c>
      <c r="H531">
        <v>-4954000000</v>
      </c>
      <c r="I531">
        <v>-5124000000</v>
      </c>
      <c r="J531">
        <v>-3940000000</v>
      </c>
      <c r="K531">
        <v>4836000000</v>
      </c>
      <c r="L531">
        <v>819000000</v>
      </c>
      <c r="M531">
        <v>5655000000</v>
      </c>
      <c r="N531">
        <v>8295000000</v>
      </c>
      <c r="O531">
        <v>1318000000</v>
      </c>
      <c r="P531">
        <v>171000000</v>
      </c>
      <c r="Q531">
        <v>9332000000</v>
      </c>
      <c r="R531">
        <v>7288000000</v>
      </c>
      <c r="S531">
        <v>20584000000</v>
      </c>
      <c r="T531">
        <v>0</v>
      </c>
      <c r="U531">
        <v>473000000</v>
      </c>
      <c r="V531">
        <v>13598000000</v>
      </c>
      <c r="W531">
        <v>95524376840</v>
      </c>
      <c r="X531">
        <v>95997376840</v>
      </c>
      <c r="Y531">
        <v>8.015070540304249</v>
      </c>
      <c r="Z531">
        <v>-20.532223256438972</v>
      </c>
      <c r="AA531">
        <v>-27.107148681253701</v>
      </c>
      <c r="AB531">
        <v>-18.505526209123939</v>
      </c>
      <c r="AC531">
        <v>-17.89156456674473</v>
      </c>
      <c r="AD531">
        <v>-23.268115949238581</v>
      </c>
      <c r="AE531">
        <v>-21.49997241657335</v>
      </c>
      <c r="AF531">
        <v>-21.394037366181411</v>
      </c>
      <c r="AG531">
        <v>-18.734851061670572</v>
      </c>
      <c r="AH531">
        <v>-18.64254036690086</v>
      </c>
      <c r="AI531">
        <v>-28.384795044352451</v>
      </c>
      <c r="AJ531">
        <v>-19.37775067420267</v>
      </c>
      <c r="AK531">
        <v>-28.244936972205799</v>
      </c>
      <c r="AL531">
        <v>-19.282272272910781</v>
      </c>
      <c r="AM531">
        <v>8.3928463752404259</v>
      </c>
      <c r="AN531">
        <v>8.3514929917817806</v>
      </c>
    </row>
    <row r="532" spans="1:40" x14ac:dyDescent="0.25">
      <c r="A532" s="1" t="s">
        <v>982</v>
      </c>
      <c r="B532">
        <v>93195253200</v>
      </c>
      <c r="C532" t="s">
        <v>82</v>
      </c>
      <c r="D532" t="s">
        <v>127</v>
      </c>
      <c r="E532">
        <v>11438000000</v>
      </c>
      <c r="F532">
        <v>-4465000000</v>
      </c>
      <c r="G532">
        <v>-3382000000</v>
      </c>
      <c r="H532">
        <v>-4954000000</v>
      </c>
      <c r="I532">
        <v>-5124000000</v>
      </c>
      <c r="J532">
        <v>-3940000000</v>
      </c>
      <c r="K532">
        <v>4836000000</v>
      </c>
      <c r="L532">
        <v>819000000</v>
      </c>
      <c r="M532">
        <v>5655000000</v>
      </c>
      <c r="N532">
        <v>8295000000</v>
      </c>
      <c r="O532">
        <v>1318000000</v>
      </c>
      <c r="P532">
        <v>171000000</v>
      </c>
      <c r="Q532">
        <v>9332000000</v>
      </c>
      <c r="R532">
        <v>7288000000</v>
      </c>
      <c r="S532">
        <v>20584000000</v>
      </c>
      <c r="T532">
        <v>0</v>
      </c>
      <c r="U532">
        <v>473000000</v>
      </c>
      <c r="V532">
        <v>13598000000</v>
      </c>
      <c r="W532">
        <v>97043253200</v>
      </c>
      <c r="X532">
        <v>97516253200</v>
      </c>
      <c r="Y532">
        <v>8.1478626682986537</v>
      </c>
      <c r="Z532">
        <v>-20.87239713325868</v>
      </c>
      <c r="AA532">
        <v>-27.556254642223539</v>
      </c>
      <c r="AB532">
        <v>-18.812122163907951</v>
      </c>
      <c r="AC532">
        <v>-18.18798852459016</v>
      </c>
      <c r="AD532">
        <v>-23.653617563451778</v>
      </c>
      <c r="AE532">
        <v>-21.840146293393062</v>
      </c>
      <c r="AF532">
        <v>-21.73421124300112</v>
      </c>
      <c r="AG532">
        <v>-19.031275019515999</v>
      </c>
      <c r="AH532">
        <v>-18.938964324746291</v>
      </c>
      <c r="AI532">
        <v>-28.833901005322289</v>
      </c>
      <c r="AJ532">
        <v>-19.684346628986681</v>
      </c>
      <c r="AK532">
        <v>-28.694042933175631</v>
      </c>
      <c r="AL532">
        <v>-19.588868227694789</v>
      </c>
      <c r="AM532">
        <v>8.5256385032348305</v>
      </c>
      <c r="AN532">
        <v>8.4842851197761853</v>
      </c>
    </row>
    <row r="533" spans="1:40" x14ac:dyDescent="0.25">
      <c r="A533" s="1" t="s">
        <v>981</v>
      </c>
      <c r="B533">
        <v>93195253200</v>
      </c>
      <c r="C533" t="s">
        <v>82</v>
      </c>
      <c r="D533" t="s">
        <v>127</v>
      </c>
      <c r="E533">
        <v>11438000000</v>
      </c>
      <c r="F533">
        <v>-4465000000</v>
      </c>
      <c r="G533">
        <v>-3382000000</v>
      </c>
      <c r="H533">
        <v>-4954000000</v>
      </c>
      <c r="I533">
        <v>-5124000000</v>
      </c>
      <c r="J533">
        <v>-3940000000</v>
      </c>
      <c r="K533">
        <v>4836000000</v>
      </c>
      <c r="L533">
        <v>819000000</v>
      </c>
      <c r="M533">
        <v>5655000000</v>
      </c>
      <c r="N533">
        <v>8295000000</v>
      </c>
      <c r="O533">
        <v>1318000000</v>
      </c>
      <c r="P533">
        <v>171000000</v>
      </c>
      <c r="Q533">
        <v>9332000000</v>
      </c>
      <c r="R533">
        <v>7288000000</v>
      </c>
      <c r="S533">
        <v>20584000000</v>
      </c>
      <c r="T533">
        <v>0</v>
      </c>
      <c r="U533">
        <v>473000000</v>
      </c>
      <c r="V533">
        <v>13598000000</v>
      </c>
      <c r="W533">
        <v>97043253200</v>
      </c>
      <c r="X533">
        <v>97516253200</v>
      </c>
      <c r="Y533">
        <v>8.1478626682986537</v>
      </c>
      <c r="Z533">
        <v>-20.87239713325868</v>
      </c>
      <c r="AA533">
        <v>-27.556254642223539</v>
      </c>
      <c r="AB533">
        <v>-18.812122163907951</v>
      </c>
      <c r="AC533">
        <v>-18.18798852459016</v>
      </c>
      <c r="AD533">
        <v>-23.653617563451778</v>
      </c>
      <c r="AE533">
        <v>-21.840146293393062</v>
      </c>
      <c r="AF533">
        <v>-21.73421124300112</v>
      </c>
      <c r="AG533">
        <v>-19.031275019515999</v>
      </c>
      <c r="AH533">
        <v>-18.938964324746291</v>
      </c>
      <c r="AI533">
        <v>-28.833901005322289</v>
      </c>
      <c r="AJ533">
        <v>-19.684346628986681</v>
      </c>
      <c r="AK533">
        <v>-28.694042933175631</v>
      </c>
      <c r="AL533">
        <v>-19.588868227694789</v>
      </c>
      <c r="AM533">
        <v>8.5256385032348305</v>
      </c>
      <c r="AN533">
        <v>8.4842851197761853</v>
      </c>
    </row>
    <row r="534" spans="1:40" x14ac:dyDescent="0.25">
      <c r="A534" s="1" t="s">
        <v>980</v>
      </c>
      <c r="B534">
        <v>90232506720</v>
      </c>
      <c r="C534" t="s">
        <v>82</v>
      </c>
      <c r="D534" t="s">
        <v>127</v>
      </c>
      <c r="E534">
        <v>11438000000</v>
      </c>
      <c r="F534">
        <v>-4465000000</v>
      </c>
      <c r="G534">
        <v>-3382000000</v>
      </c>
      <c r="H534">
        <v>-4954000000</v>
      </c>
      <c r="I534">
        <v>-5124000000</v>
      </c>
      <c r="J534">
        <v>-3940000000</v>
      </c>
      <c r="K534">
        <v>4836000000</v>
      </c>
      <c r="L534">
        <v>819000000</v>
      </c>
      <c r="M534">
        <v>5655000000</v>
      </c>
      <c r="N534">
        <v>8295000000</v>
      </c>
      <c r="O534">
        <v>1318000000</v>
      </c>
      <c r="P534">
        <v>171000000</v>
      </c>
      <c r="Q534">
        <v>9332000000</v>
      </c>
      <c r="R534">
        <v>7288000000</v>
      </c>
      <c r="S534">
        <v>20584000000</v>
      </c>
      <c r="T534">
        <v>0</v>
      </c>
      <c r="U534">
        <v>473000000</v>
      </c>
      <c r="V534">
        <v>13598000000</v>
      </c>
      <c r="W534">
        <v>94080506720</v>
      </c>
      <c r="X534">
        <v>94553506720</v>
      </c>
      <c r="Y534">
        <v>7.8888360482601856</v>
      </c>
      <c r="Z534">
        <v>-20.208848089585661</v>
      </c>
      <c r="AA534">
        <v>-26.680220792430511</v>
      </c>
      <c r="AB534">
        <v>-18.214070795316911</v>
      </c>
      <c r="AC534">
        <v>-17.609778829039811</v>
      </c>
      <c r="AD534">
        <v>-22.901651451776651</v>
      </c>
      <c r="AE534">
        <v>-21.17659724972005</v>
      </c>
      <c r="AF534">
        <v>-21.070662199328108</v>
      </c>
      <c r="AG534">
        <v>-18.453065323965649</v>
      </c>
      <c r="AH534">
        <v>-18.360754629195942</v>
      </c>
      <c r="AI534">
        <v>-27.957867155529271</v>
      </c>
      <c r="AJ534">
        <v>-19.086295260395641</v>
      </c>
      <c r="AK534">
        <v>-27.818009083382609</v>
      </c>
      <c r="AL534">
        <v>-18.990816859103759</v>
      </c>
      <c r="AM534">
        <v>8.2666118831963633</v>
      </c>
      <c r="AN534">
        <v>8.2252584997377163</v>
      </c>
    </row>
    <row r="535" spans="1:40" x14ac:dyDescent="0.25">
      <c r="A535" s="1" t="s">
        <v>979</v>
      </c>
      <c r="B535">
        <v>91976401800</v>
      </c>
      <c r="C535" t="s">
        <v>82</v>
      </c>
      <c r="D535" t="s">
        <v>127</v>
      </c>
      <c r="E535">
        <v>11438000000</v>
      </c>
      <c r="F535">
        <v>-4465000000</v>
      </c>
      <c r="G535">
        <v>-3382000000</v>
      </c>
      <c r="H535">
        <v>-4954000000</v>
      </c>
      <c r="I535">
        <v>-5124000000</v>
      </c>
      <c r="J535">
        <v>-3940000000</v>
      </c>
      <c r="K535">
        <v>4836000000</v>
      </c>
      <c r="L535">
        <v>819000000</v>
      </c>
      <c r="M535">
        <v>5655000000</v>
      </c>
      <c r="N535">
        <v>8295000000</v>
      </c>
      <c r="O535">
        <v>1318000000</v>
      </c>
      <c r="P535">
        <v>171000000</v>
      </c>
      <c r="Q535">
        <v>9332000000</v>
      </c>
      <c r="R535">
        <v>7288000000</v>
      </c>
      <c r="S535">
        <v>20584000000</v>
      </c>
      <c r="T535">
        <v>0</v>
      </c>
      <c r="U535">
        <v>473000000</v>
      </c>
      <c r="V535">
        <v>13598000000</v>
      </c>
      <c r="W535">
        <v>95824401800</v>
      </c>
      <c r="X535">
        <v>96297401800</v>
      </c>
      <c r="Y535">
        <v>8.0413010841056121</v>
      </c>
      <c r="Z535">
        <v>-20.599418096304589</v>
      </c>
      <c r="AA535">
        <v>-27.195860969840329</v>
      </c>
      <c r="AB535">
        <v>-18.566088373031889</v>
      </c>
      <c r="AC535">
        <v>-17.950117447306791</v>
      </c>
      <c r="AD535">
        <v>-23.34426441624365</v>
      </c>
      <c r="AE535">
        <v>-21.567167256438971</v>
      </c>
      <c r="AF535">
        <v>-21.461232206047029</v>
      </c>
      <c r="AG535">
        <v>-18.793403942232629</v>
      </c>
      <c r="AH535">
        <v>-18.701093247462921</v>
      </c>
      <c r="AI535">
        <v>-28.473507332939089</v>
      </c>
      <c r="AJ535">
        <v>-19.438312838110619</v>
      </c>
      <c r="AK535">
        <v>-28.333649260792431</v>
      </c>
      <c r="AL535">
        <v>-19.34283443681873</v>
      </c>
      <c r="AM535">
        <v>8.4190769190417907</v>
      </c>
      <c r="AN535">
        <v>8.3777235355831436</v>
      </c>
    </row>
    <row r="536" spans="1:40" x14ac:dyDescent="0.25">
      <c r="A536" s="1" t="s">
        <v>978</v>
      </c>
      <c r="B536">
        <v>94714129560</v>
      </c>
      <c r="C536" t="s">
        <v>82</v>
      </c>
      <c r="D536" t="s">
        <v>127</v>
      </c>
      <c r="E536">
        <v>11438000000</v>
      </c>
      <c r="F536">
        <v>-4465000000</v>
      </c>
      <c r="G536">
        <v>-3382000000</v>
      </c>
      <c r="H536">
        <v>-4954000000</v>
      </c>
      <c r="I536">
        <v>-5124000000</v>
      </c>
      <c r="J536">
        <v>-3940000000</v>
      </c>
      <c r="K536">
        <v>4836000000</v>
      </c>
      <c r="L536">
        <v>819000000</v>
      </c>
      <c r="M536">
        <v>5655000000</v>
      </c>
      <c r="N536">
        <v>8295000000</v>
      </c>
      <c r="O536">
        <v>1318000000</v>
      </c>
      <c r="P536">
        <v>171000000</v>
      </c>
      <c r="Q536">
        <v>9332000000</v>
      </c>
      <c r="R536">
        <v>7288000000</v>
      </c>
      <c r="S536">
        <v>20584000000</v>
      </c>
      <c r="T536">
        <v>0</v>
      </c>
      <c r="U536">
        <v>473000000</v>
      </c>
      <c r="V536">
        <v>13598000000</v>
      </c>
      <c r="W536">
        <v>98562129560</v>
      </c>
      <c r="X536">
        <v>99035129560</v>
      </c>
      <c r="Y536">
        <v>8.2806547962930583</v>
      </c>
      <c r="Z536">
        <v>-21.212571010078388</v>
      </c>
      <c r="AA536">
        <v>-28.005360603193381</v>
      </c>
      <c r="AB536">
        <v>-19.118718118691969</v>
      </c>
      <c r="AC536">
        <v>-18.484412482435602</v>
      </c>
      <c r="AD536">
        <v>-24.039119177664979</v>
      </c>
      <c r="AE536">
        <v>-22.18032017021277</v>
      </c>
      <c r="AF536">
        <v>-22.074385119820828</v>
      </c>
      <c r="AG536">
        <v>-19.32769897736144</v>
      </c>
      <c r="AH536">
        <v>-19.235388282591721</v>
      </c>
      <c r="AI536">
        <v>-29.283006966292131</v>
      </c>
      <c r="AJ536">
        <v>-19.990942583770689</v>
      </c>
      <c r="AK536">
        <v>-29.143148894145479</v>
      </c>
      <c r="AL536">
        <v>-19.895464182478801</v>
      </c>
      <c r="AM536">
        <v>8.6584306312292352</v>
      </c>
      <c r="AN536">
        <v>8.6170772477705899</v>
      </c>
    </row>
    <row r="537" spans="1:40" x14ac:dyDescent="0.25">
      <c r="A537" s="1" t="s">
        <v>977</v>
      </c>
      <c r="B537">
        <v>95295427920</v>
      </c>
      <c r="C537" t="s">
        <v>82</v>
      </c>
      <c r="D537" t="s">
        <v>127</v>
      </c>
      <c r="E537">
        <v>11438000000</v>
      </c>
      <c r="F537">
        <v>-4465000000</v>
      </c>
      <c r="G537">
        <v>-3382000000</v>
      </c>
      <c r="H537">
        <v>-4954000000</v>
      </c>
      <c r="I537">
        <v>-5124000000</v>
      </c>
      <c r="J537">
        <v>-3940000000</v>
      </c>
      <c r="K537">
        <v>4836000000</v>
      </c>
      <c r="L537">
        <v>819000000</v>
      </c>
      <c r="M537">
        <v>5655000000</v>
      </c>
      <c r="N537">
        <v>8295000000</v>
      </c>
      <c r="O537">
        <v>1318000000</v>
      </c>
      <c r="P537">
        <v>171000000</v>
      </c>
      <c r="Q537">
        <v>9332000000</v>
      </c>
      <c r="R537">
        <v>7288000000</v>
      </c>
      <c r="S537">
        <v>20584000000</v>
      </c>
      <c r="T537">
        <v>0</v>
      </c>
      <c r="U537">
        <v>473000000</v>
      </c>
      <c r="V537">
        <v>13598000000</v>
      </c>
      <c r="W537">
        <v>99143427920</v>
      </c>
      <c r="X537">
        <v>99616427920</v>
      </c>
      <c r="Y537">
        <v>8.3314764749082002</v>
      </c>
      <c r="Z537">
        <v>-21.342761012318029</v>
      </c>
      <c r="AA537">
        <v>-28.177240662329979</v>
      </c>
      <c r="AB537">
        <v>-19.236057311263629</v>
      </c>
      <c r="AC537">
        <v>-18.597858688524589</v>
      </c>
      <c r="AD537">
        <v>-24.186656832487309</v>
      </c>
      <c r="AE537">
        <v>-22.31051017245241</v>
      </c>
      <c r="AF537">
        <v>-22.204575122060469</v>
      </c>
      <c r="AG537">
        <v>-19.441145183450431</v>
      </c>
      <c r="AH537">
        <v>-19.348834488680719</v>
      </c>
      <c r="AI537">
        <v>-29.454887025428739</v>
      </c>
      <c r="AJ537">
        <v>-20.108281776342348</v>
      </c>
      <c r="AK537">
        <v>-29.315028953282081</v>
      </c>
      <c r="AL537">
        <v>-20.01280337505046</v>
      </c>
      <c r="AM537">
        <v>8.7092523098443788</v>
      </c>
      <c r="AN537">
        <v>8.6678989263857318</v>
      </c>
    </row>
    <row r="538" spans="1:40" x14ac:dyDescent="0.25">
      <c r="A538" s="1" t="s">
        <v>976</v>
      </c>
      <c r="B538">
        <v>97001819880</v>
      </c>
      <c r="C538" t="s">
        <v>82</v>
      </c>
      <c r="D538" t="s">
        <v>127</v>
      </c>
      <c r="E538">
        <v>11438000000</v>
      </c>
      <c r="F538">
        <v>-4465000000</v>
      </c>
      <c r="G538">
        <v>-3382000000</v>
      </c>
      <c r="H538">
        <v>-4954000000</v>
      </c>
      <c r="I538">
        <v>-5124000000</v>
      </c>
      <c r="J538">
        <v>-3940000000</v>
      </c>
      <c r="K538">
        <v>4836000000</v>
      </c>
      <c r="L538">
        <v>819000000</v>
      </c>
      <c r="M538">
        <v>5655000000</v>
      </c>
      <c r="N538">
        <v>8295000000</v>
      </c>
      <c r="O538">
        <v>1318000000</v>
      </c>
      <c r="P538">
        <v>171000000</v>
      </c>
      <c r="Q538">
        <v>9332000000</v>
      </c>
      <c r="R538">
        <v>7288000000</v>
      </c>
      <c r="S538">
        <v>20584000000</v>
      </c>
      <c r="T538">
        <v>0</v>
      </c>
      <c r="U538">
        <v>473000000</v>
      </c>
      <c r="V538">
        <v>13598000000</v>
      </c>
      <c r="W538">
        <v>100849819880</v>
      </c>
      <c r="X538">
        <v>101322819880</v>
      </c>
      <c r="Y538">
        <v>8.4806626927784574</v>
      </c>
      <c r="Z538">
        <v>-21.724931664053749</v>
      </c>
      <c r="AA538">
        <v>-28.681791803666471</v>
      </c>
      <c r="AB538">
        <v>-19.58050461849011</v>
      </c>
      <c r="AC538">
        <v>-18.930878196721309</v>
      </c>
      <c r="AD538">
        <v>-24.619751238578679</v>
      </c>
      <c r="AE538">
        <v>-22.69268082418813</v>
      </c>
      <c r="AF538">
        <v>-22.586745773796189</v>
      </c>
      <c r="AG538">
        <v>-19.774164691647151</v>
      </c>
      <c r="AH538">
        <v>-19.68185399687744</v>
      </c>
      <c r="AI538">
        <v>-29.959438166765231</v>
      </c>
      <c r="AJ538">
        <v>-20.45272908356883</v>
      </c>
      <c r="AK538">
        <v>-29.819580094618569</v>
      </c>
      <c r="AL538">
        <v>-20.357250682276948</v>
      </c>
      <c r="AM538">
        <v>8.858438527714636</v>
      </c>
      <c r="AN538">
        <v>8.817085144255989</v>
      </c>
    </row>
    <row r="539" spans="1:40" x14ac:dyDescent="0.25">
      <c r="A539" s="1" t="s">
        <v>975</v>
      </c>
      <c r="B539">
        <v>95839223160</v>
      </c>
      <c r="C539" t="s">
        <v>82</v>
      </c>
      <c r="D539" t="s">
        <v>127</v>
      </c>
      <c r="E539">
        <v>11438000000</v>
      </c>
      <c r="F539">
        <v>-4465000000</v>
      </c>
      <c r="G539">
        <v>-3382000000</v>
      </c>
      <c r="H539">
        <v>-4954000000</v>
      </c>
      <c r="I539">
        <v>-5124000000</v>
      </c>
      <c r="J539">
        <v>-3940000000</v>
      </c>
      <c r="K539">
        <v>4836000000</v>
      </c>
      <c r="L539">
        <v>819000000</v>
      </c>
      <c r="M539">
        <v>5655000000</v>
      </c>
      <c r="N539">
        <v>8295000000</v>
      </c>
      <c r="O539">
        <v>1318000000</v>
      </c>
      <c r="P539">
        <v>171000000</v>
      </c>
      <c r="Q539">
        <v>9332000000</v>
      </c>
      <c r="R539">
        <v>7288000000</v>
      </c>
      <c r="S539">
        <v>20584000000</v>
      </c>
      <c r="T539">
        <v>0</v>
      </c>
      <c r="U539">
        <v>473000000</v>
      </c>
      <c r="V539">
        <v>13598000000</v>
      </c>
      <c r="W539">
        <v>99687223160</v>
      </c>
      <c r="X539">
        <v>100160223160</v>
      </c>
      <c r="Y539">
        <v>8.3790193355481719</v>
      </c>
      <c r="Z539">
        <v>-21.464551659574472</v>
      </c>
      <c r="AA539">
        <v>-28.338031685393261</v>
      </c>
      <c r="AB539">
        <v>-19.345826233346791</v>
      </c>
      <c r="AC539">
        <v>-18.70398578454332</v>
      </c>
      <c r="AD539">
        <v>-24.32467592893401</v>
      </c>
      <c r="AE539">
        <v>-22.43230081970885</v>
      </c>
      <c r="AF539">
        <v>-22.326365769316912</v>
      </c>
      <c r="AG539">
        <v>-19.547272279469169</v>
      </c>
      <c r="AH539">
        <v>-19.454961584699451</v>
      </c>
      <c r="AI539">
        <v>-29.615678048492011</v>
      </c>
      <c r="AJ539">
        <v>-20.218050698425511</v>
      </c>
      <c r="AK539">
        <v>-29.47581997634536</v>
      </c>
      <c r="AL539">
        <v>-20.12257229713363</v>
      </c>
      <c r="AM539">
        <v>8.7567951704843505</v>
      </c>
      <c r="AN539">
        <v>8.7154417870257035</v>
      </c>
    </row>
    <row r="540" spans="1:40" x14ac:dyDescent="0.25">
      <c r="A540" s="1" t="s">
        <v>974</v>
      </c>
      <c r="B540">
        <v>95182918560</v>
      </c>
      <c r="C540" t="s">
        <v>82</v>
      </c>
      <c r="D540" t="s">
        <v>127</v>
      </c>
      <c r="E540">
        <v>11438000000</v>
      </c>
      <c r="F540">
        <v>-4465000000</v>
      </c>
      <c r="G540">
        <v>-3382000000</v>
      </c>
      <c r="H540">
        <v>-4954000000</v>
      </c>
      <c r="I540">
        <v>-5124000000</v>
      </c>
      <c r="J540">
        <v>-3940000000</v>
      </c>
      <c r="K540">
        <v>4836000000</v>
      </c>
      <c r="L540">
        <v>819000000</v>
      </c>
      <c r="M540">
        <v>5655000000</v>
      </c>
      <c r="N540">
        <v>8295000000</v>
      </c>
      <c r="O540">
        <v>1318000000</v>
      </c>
      <c r="P540">
        <v>171000000</v>
      </c>
      <c r="Q540">
        <v>9332000000</v>
      </c>
      <c r="R540">
        <v>7288000000</v>
      </c>
      <c r="S540">
        <v>20584000000</v>
      </c>
      <c r="T540">
        <v>0</v>
      </c>
      <c r="U540">
        <v>473000000</v>
      </c>
      <c r="V540">
        <v>13598000000</v>
      </c>
      <c r="W540">
        <v>99030918560</v>
      </c>
      <c r="X540">
        <v>99503918560</v>
      </c>
      <c r="Y540">
        <v>8.3216400209826897</v>
      </c>
      <c r="Z540">
        <v>-21.317562947368419</v>
      </c>
      <c r="AA540">
        <v>-28.143973554109991</v>
      </c>
      <c r="AB540">
        <v>-19.213346499798138</v>
      </c>
      <c r="AC540">
        <v>-18.575901358313821</v>
      </c>
      <c r="AD540">
        <v>-24.158101157360409</v>
      </c>
      <c r="AE540">
        <v>-22.285312107502801</v>
      </c>
      <c r="AF540">
        <v>-22.179377057110859</v>
      </c>
      <c r="AG540">
        <v>-19.419187853239659</v>
      </c>
      <c r="AH540">
        <v>-19.326877158469941</v>
      </c>
      <c r="AI540">
        <v>-29.421619917208751</v>
      </c>
      <c r="AJ540">
        <v>-20.085570964876869</v>
      </c>
      <c r="AK540">
        <v>-29.281761845062089</v>
      </c>
      <c r="AL540">
        <v>-19.99009256358498</v>
      </c>
      <c r="AM540">
        <v>8.6994158559188666</v>
      </c>
      <c r="AN540">
        <v>8.6580624724602195</v>
      </c>
    </row>
    <row r="541" spans="1:40" x14ac:dyDescent="0.25">
      <c r="A541" s="1" t="s">
        <v>81</v>
      </c>
      <c r="B541">
        <v>94914750000</v>
      </c>
      <c r="C541" t="s">
        <v>82</v>
      </c>
      <c r="D541" t="s">
        <v>127</v>
      </c>
      <c r="E541">
        <v>11438000000</v>
      </c>
      <c r="F541">
        <v>-4465000000</v>
      </c>
      <c r="G541">
        <v>-3382000000</v>
      </c>
      <c r="H541">
        <v>-4954000000</v>
      </c>
      <c r="I541">
        <v>-5124000000</v>
      </c>
      <c r="J541">
        <v>-3940000000</v>
      </c>
      <c r="K541">
        <v>4836000000</v>
      </c>
      <c r="L541">
        <v>819000000</v>
      </c>
      <c r="M541">
        <v>5655000000</v>
      </c>
      <c r="N541">
        <v>8295000000</v>
      </c>
      <c r="O541">
        <v>1318000000</v>
      </c>
      <c r="P541">
        <v>171000000</v>
      </c>
      <c r="Q541">
        <v>9332000000</v>
      </c>
      <c r="R541">
        <v>7288000000</v>
      </c>
      <c r="S541">
        <v>20584000000</v>
      </c>
      <c r="T541">
        <v>0</v>
      </c>
      <c r="U541">
        <v>473000000</v>
      </c>
      <c r="V541">
        <v>13598000000</v>
      </c>
      <c r="W541">
        <v>98762750000</v>
      </c>
      <c r="X541">
        <v>99235750000</v>
      </c>
      <c r="Y541">
        <v>8.2981946144430836</v>
      </c>
      <c r="Z541">
        <v>-21.257502799552071</v>
      </c>
      <c r="AA541">
        <v>-28.06468066232998</v>
      </c>
      <c r="AB541">
        <v>-19.15921477593864</v>
      </c>
      <c r="AC541">
        <v>-18.52356557377049</v>
      </c>
      <c r="AD541">
        <v>-24.09003807106599</v>
      </c>
      <c r="AE541">
        <v>-22.22525195968645</v>
      </c>
      <c r="AF541">
        <v>-22.119316909294511</v>
      </c>
      <c r="AG541">
        <v>-19.366852068696328</v>
      </c>
      <c r="AH541">
        <v>-19.27454137392662</v>
      </c>
      <c r="AI541">
        <v>-29.342327025428741</v>
      </c>
      <c r="AJ541">
        <v>-20.03143924101736</v>
      </c>
      <c r="AK541">
        <v>-29.202468953282079</v>
      </c>
      <c r="AL541">
        <v>-19.935960839725471</v>
      </c>
      <c r="AM541">
        <v>8.6759704493792622</v>
      </c>
      <c r="AN541">
        <v>8.6346170659206152</v>
      </c>
    </row>
    <row r="542" spans="1:40" x14ac:dyDescent="0.25">
      <c r="A542" s="1" t="s">
        <v>973</v>
      </c>
      <c r="B542">
        <v>95804812500</v>
      </c>
      <c r="C542" t="s">
        <v>82</v>
      </c>
      <c r="D542" t="s">
        <v>127</v>
      </c>
      <c r="E542">
        <v>11438000000</v>
      </c>
      <c r="F542">
        <v>-4465000000</v>
      </c>
      <c r="G542">
        <v>-3382000000</v>
      </c>
      <c r="H542">
        <v>-4954000000</v>
      </c>
      <c r="I542">
        <v>-5124000000</v>
      </c>
      <c r="J542">
        <v>-3940000000</v>
      </c>
      <c r="K542">
        <v>4836000000</v>
      </c>
      <c r="L542">
        <v>819000000</v>
      </c>
      <c r="M542">
        <v>5655000000</v>
      </c>
      <c r="N542">
        <v>8295000000</v>
      </c>
      <c r="O542">
        <v>1318000000</v>
      </c>
      <c r="P542">
        <v>171000000</v>
      </c>
      <c r="Q542">
        <v>9332000000</v>
      </c>
      <c r="R542">
        <v>7288000000</v>
      </c>
      <c r="S542">
        <v>20584000000</v>
      </c>
      <c r="T542">
        <v>0</v>
      </c>
      <c r="U542">
        <v>473000000</v>
      </c>
      <c r="V542">
        <v>13598000000</v>
      </c>
      <c r="W542">
        <v>99652812500</v>
      </c>
      <c r="X542">
        <v>100125812500</v>
      </c>
      <c r="Y542">
        <v>8.3760108847700643</v>
      </c>
      <c r="Z542">
        <v>-21.456844904815231</v>
      </c>
      <c r="AA542">
        <v>-28.327857037256059</v>
      </c>
      <c r="AB542">
        <v>-19.33888019781994</v>
      </c>
      <c r="AC542">
        <v>-18.69727019906323</v>
      </c>
      <c r="AD542">
        <v>-24.315942258883251</v>
      </c>
      <c r="AE542">
        <v>-22.424594064949609</v>
      </c>
      <c r="AF542">
        <v>-22.318659014557671</v>
      </c>
      <c r="AG542">
        <v>-19.540556693989071</v>
      </c>
      <c r="AH542">
        <v>-19.44824599921936</v>
      </c>
      <c r="AI542">
        <v>-29.60550340035482</v>
      </c>
      <c r="AJ542">
        <v>-20.21110466289867</v>
      </c>
      <c r="AK542">
        <v>-29.465645328208161</v>
      </c>
      <c r="AL542">
        <v>-20.115626261606781</v>
      </c>
      <c r="AM542">
        <v>8.7537867197062429</v>
      </c>
      <c r="AN542">
        <v>8.7124333362475959</v>
      </c>
    </row>
    <row r="543" spans="1:40" x14ac:dyDescent="0.25">
      <c r="A543" s="1" t="s">
        <v>972</v>
      </c>
      <c r="B543">
        <v>97925812500</v>
      </c>
      <c r="C543" t="s">
        <v>82</v>
      </c>
      <c r="D543" t="s">
        <v>127</v>
      </c>
      <c r="E543">
        <v>11438000000</v>
      </c>
      <c r="F543">
        <v>-4465000000</v>
      </c>
      <c r="G543">
        <v>-3382000000</v>
      </c>
      <c r="H543">
        <v>-4954000000</v>
      </c>
      <c r="I543">
        <v>-5124000000</v>
      </c>
      <c r="J543">
        <v>-3940000000</v>
      </c>
      <c r="K543">
        <v>4836000000</v>
      </c>
      <c r="L543">
        <v>819000000</v>
      </c>
      <c r="M543">
        <v>5655000000</v>
      </c>
      <c r="N543">
        <v>8295000000</v>
      </c>
      <c r="O543">
        <v>1318000000</v>
      </c>
      <c r="P543">
        <v>171000000</v>
      </c>
      <c r="Q543">
        <v>9332000000</v>
      </c>
      <c r="R543">
        <v>7288000000</v>
      </c>
      <c r="S543">
        <v>20584000000</v>
      </c>
      <c r="T543">
        <v>0</v>
      </c>
      <c r="U543">
        <v>473000000</v>
      </c>
      <c r="V543">
        <v>13598000000</v>
      </c>
      <c r="W543">
        <v>101773812500</v>
      </c>
      <c r="X543">
        <v>102246812500</v>
      </c>
      <c r="Y543">
        <v>8.5614454012939323</v>
      </c>
      <c r="Z543">
        <v>-21.93187290033595</v>
      </c>
      <c r="AA543">
        <v>-28.95500073920757</v>
      </c>
      <c r="AB543">
        <v>-19.767019075494549</v>
      </c>
      <c r="AC543">
        <v>-19.111204625292739</v>
      </c>
      <c r="AD543">
        <v>-24.8542671319797</v>
      </c>
      <c r="AE543">
        <v>-22.899622060470321</v>
      </c>
      <c r="AF543">
        <v>-22.79368701007839</v>
      </c>
      <c r="AG543">
        <v>-19.954491120218581</v>
      </c>
      <c r="AH543">
        <v>-19.862180425448869</v>
      </c>
      <c r="AI543">
        <v>-30.232647102306331</v>
      </c>
      <c r="AJ543">
        <v>-20.639243540573279</v>
      </c>
      <c r="AK543">
        <v>-30.092789030159668</v>
      </c>
      <c r="AL543">
        <v>-20.54376513928139</v>
      </c>
      <c r="AM543">
        <v>8.9392212362301109</v>
      </c>
      <c r="AN543">
        <v>8.8978678527714639</v>
      </c>
    </row>
    <row r="544" spans="1:40" x14ac:dyDescent="0.25">
      <c r="A544" s="1" t="s">
        <v>971</v>
      </c>
      <c r="B544">
        <v>96202500000</v>
      </c>
      <c r="C544" t="s">
        <v>82</v>
      </c>
      <c r="D544" t="s">
        <v>127</v>
      </c>
      <c r="E544">
        <v>11438000000</v>
      </c>
      <c r="F544">
        <v>-4465000000</v>
      </c>
      <c r="G544">
        <v>-3382000000</v>
      </c>
      <c r="H544">
        <v>-4954000000</v>
      </c>
      <c r="I544">
        <v>-5124000000</v>
      </c>
      <c r="J544">
        <v>-3940000000</v>
      </c>
      <c r="K544">
        <v>4836000000</v>
      </c>
      <c r="L544">
        <v>819000000</v>
      </c>
      <c r="M544">
        <v>5655000000</v>
      </c>
      <c r="N544">
        <v>8295000000</v>
      </c>
      <c r="O544">
        <v>1318000000</v>
      </c>
      <c r="P544">
        <v>171000000</v>
      </c>
      <c r="Q544">
        <v>9332000000</v>
      </c>
      <c r="R544">
        <v>7288000000</v>
      </c>
      <c r="S544">
        <v>20584000000</v>
      </c>
      <c r="T544">
        <v>0</v>
      </c>
      <c r="U544">
        <v>473000000</v>
      </c>
      <c r="V544">
        <v>13598000000</v>
      </c>
      <c r="W544">
        <v>100050500000</v>
      </c>
      <c r="X544">
        <v>100523500000</v>
      </c>
      <c r="Y544">
        <v>8.4107798566182908</v>
      </c>
      <c r="Z544">
        <v>-21.54591265397536</v>
      </c>
      <c r="AA544">
        <v>-28.44544648137197</v>
      </c>
      <c r="AB544">
        <v>-19.41915623738393</v>
      </c>
      <c r="AC544">
        <v>-18.774882903981261</v>
      </c>
      <c r="AD544">
        <v>-24.416878172588831</v>
      </c>
      <c r="AE544">
        <v>-22.513661814109739</v>
      </c>
      <c r="AF544">
        <v>-22.4077267637178</v>
      </c>
      <c r="AG544">
        <v>-19.618169398907099</v>
      </c>
      <c r="AH544">
        <v>-19.525858704137391</v>
      </c>
      <c r="AI544">
        <v>-29.723092844470731</v>
      </c>
      <c r="AJ544">
        <v>-20.291380702462661</v>
      </c>
      <c r="AK544">
        <v>-29.583234772324069</v>
      </c>
      <c r="AL544">
        <v>-20.195902301170769</v>
      </c>
      <c r="AM544">
        <v>8.7885556915544676</v>
      </c>
      <c r="AN544">
        <v>8.7472023080958206</v>
      </c>
    </row>
    <row r="545" spans="1:40" x14ac:dyDescent="0.25">
      <c r="A545" s="1" t="s">
        <v>970</v>
      </c>
      <c r="B545">
        <v>92187750000</v>
      </c>
      <c r="C545" t="s">
        <v>82</v>
      </c>
      <c r="D545" t="s">
        <v>127</v>
      </c>
      <c r="E545">
        <v>11438000000</v>
      </c>
      <c r="F545">
        <v>-4465000000</v>
      </c>
      <c r="G545">
        <v>-3382000000</v>
      </c>
      <c r="H545">
        <v>-4954000000</v>
      </c>
      <c r="I545">
        <v>-5124000000</v>
      </c>
      <c r="J545">
        <v>-3940000000</v>
      </c>
      <c r="K545">
        <v>4836000000</v>
      </c>
      <c r="L545">
        <v>819000000</v>
      </c>
      <c r="M545">
        <v>5655000000</v>
      </c>
      <c r="N545">
        <v>8295000000</v>
      </c>
      <c r="O545">
        <v>1318000000</v>
      </c>
      <c r="P545">
        <v>171000000</v>
      </c>
      <c r="Q545">
        <v>9332000000</v>
      </c>
      <c r="R545">
        <v>7288000000</v>
      </c>
      <c r="S545">
        <v>20584000000</v>
      </c>
      <c r="T545">
        <v>0</v>
      </c>
      <c r="U545">
        <v>473000000</v>
      </c>
      <c r="V545">
        <v>13598000000</v>
      </c>
      <c r="W545">
        <v>96035750000</v>
      </c>
      <c r="X545">
        <v>96508750000</v>
      </c>
      <c r="Y545">
        <v>8.0597788074838252</v>
      </c>
      <c r="Z545">
        <v>-20.64675251959687</v>
      </c>
      <c r="AA545">
        <v>-27.258353045535191</v>
      </c>
      <c r="AB545">
        <v>-18.60875050464271</v>
      </c>
      <c r="AC545">
        <v>-17.991364168618269</v>
      </c>
      <c r="AD545">
        <v>-23.397906091370562</v>
      </c>
      <c r="AE545">
        <v>-21.614501679731241</v>
      </c>
      <c r="AF545">
        <v>-21.50856662933931</v>
      </c>
      <c r="AG545">
        <v>-18.83465066354411</v>
      </c>
      <c r="AH545">
        <v>-18.742339968774399</v>
      </c>
      <c r="AI545">
        <v>-28.535999408633941</v>
      </c>
      <c r="AJ545">
        <v>-19.480974969721441</v>
      </c>
      <c r="AK545">
        <v>-28.39614133648729</v>
      </c>
      <c r="AL545">
        <v>-19.385496568429549</v>
      </c>
      <c r="AM545">
        <v>8.4375546424200039</v>
      </c>
      <c r="AN545">
        <v>8.3962012589613568</v>
      </c>
    </row>
    <row r="546" spans="1:40" x14ac:dyDescent="0.25">
      <c r="A546" s="1" t="s">
        <v>969</v>
      </c>
      <c r="B546">
        <v>90047812500</v>
      </c>
      <c r="C546" t="s">
        <v>82</v>
      </c>
      <c r="D546" t="s">
        <v>127</v>
      </c>
      <c r="E546">
        <v>11438000000</v>
      </c>
      <c r="F546">
        <v>-4465000000</v>
      </c>
      <c r="G546">
        <v>-3382000000</v>
      </c>
      <c r="H546">
        <v>-4954000000</v>
      </c>
      <c r="I546">
        <v>-5124000000</v>
      </c>
      <c r="J546">
        <v>-3940000000</v>
      </c>
      <c r="K546">
        <v>4836000000</v>
      </c>
      <c r="L546">
        <v>819000000</v>
      </c>
      <c r="M546">
        <v>5655000000</v>
      </c>
      <c r="N546">
        <v>8295000000</v>
      </c>
      <c r="O546">
        <v>1318000000</v>
      </c>
      <c r="P546">
        <v>171000000</v>
      </c>
      <c r="Q546">
        <v>9332000000</v>
      </c>
      <c r="R546">
        <v>7288000000</v>
      </c>
      <c r="S546">
        <v>20584000000</v>
      </c>
      <c r="T546">
        <v>0</v>
      </c>
      <c r="U546">
        <v>473000000</v>
      </c>
      <c r="V546">
        <v>13598000000</v>
      </c>
      <c r="W546">
        <v>93895812500</v>
      </c>
      <c r="X546">
        <v>94368812500</v>
      </c>
      <c r="Y546">
        <v>7.8726886256338524</v>
      </c>
      <c r="Z546">
        <v>-20.167483202687571</v>
      </c>
      <c r="AA546">
        <v>-26.625609846244821</v>
      </c>
      <c r="AB546">
        <v>-18.17678895841744</v>
      </c>
      <c r="AC546">
        <v>-17.573733899297419</v>
      </c>
      <c r="AD546">
        <v>-22.854774746192891</v>
      </c>
      <c r="AE546">
        <v>-21.135232362821949</v>
      </c>
      <c r="AF546">
        <v>-21.02929731243001</v>
      </c>
      <c r="AG546">
        <v>-18.417020394223261</v>
      </c>
      <c r="AH546">
        <v>-18.32470969945355</v>
      </c>
      <c r="AI546">
        <v>-27.903256209343581</v>
      </c>
      <c r="AJ546">
        <v>-19.049013423496159</v>
      </c>
      <c r="AK546">
        <v>-27.76339813719693</v>
      </c>
      <c r="AL546">
        <v>-18.953535022204282</v>
      </c>
      <c r="AM546">
        <v>8.2504644605700292</v>
      </c>
      <c r="AN546">
        <v>8.209111077111384</v>
      </c>
    </row>
    <row r="547" spans="1:40" x14ac:dyDescent="0.25">
      <c r="A547" s="1" t="s">
        <v>968</v>
      </c>
      <c r="B547">
        <v>92926312500</v>
      </c>
      <c r="C547" t="s">
        <v>82</v>
      </c>
      <c r="D547" t="s">
        <v>127</v>
      </c>
      <c r="E547">
        <v>11438000000</v>
      </c>
      <c r="F547">
        <v>-4465000000</v>
      </c>
      <c r="G547">
        <v>-3382000000</v>
      </c>
      <c r="H547">
        <v>-4954000000</v>
      </c>
      <c r="I547">
        <v>-5124000000</v>
      </c>
      <c r="J547">
        <v>-3940000000</v>
      </c>
      <c r="K547">
        <v>4836000000</v>
      </c>
      <c r="L547">
        <v>819000000</v>
      </c>
      <c r="M547">
        <v>5655000000</v>
      </c>
      <c r="N547">
        <v>8295000000</v>
      </c>
      <c r="O547">
        <v>1318000000</v>
      </c>
      <c r="P547">
        <v>171000000</v>
      </c>
      <c r="Q547">
        <v>9332000000</v>
      </c>
      <c r="R547">
        <v>7288000000</v>
      </c>
      <c r="S547">
        <v>20584000000</v>
      </c>
      <c r="T547">
        <v>0</v>
      </c>
      <c r="U547">
        <v>473000000</v>
      </c>
      <c r="V547">
        <v>13598000000</v>
      </c>
      <c r="W547">
        <v>96774312500</v>
      </c>
      <c r="X547">
        <v>97247312500</v>
      </c>
      <c r="Y547">
        <v>8.1243497552019583</v>
      </c>
      <c r="Z547">
        <v>-20.812164053751399</v>
      </c>
      <c r="AA547">
        <v>-27.47673344175044</v>
      </c>
      <c r="AB547">
        <v>-18.75783457811869</v>
      </c>
      <c r="AC547">
        <v>-18.135502049180332</v>
      </c>
      <c r="AD547">
        <v>-23.585358502538071</v>
      </c>
      <c r="AE547">
        <v>-21.779913213885781</v>
      </c>
      <c r="AF547">
        <v>-21.673978163493839</v>
      </c>
      <c r="AG547">
        <v>-18.97878854410617</v>
      </c>
      <c r="AH547">
        <v>-18.886477849336451</v>
      </c>
      <c r="AI547">
        <v>-28.754379804849201</v>
      </c>
      <c r="AJ547">
        <v>-19.63005904319742</v>
      </c>
      <c r="AK547">
        <v>-28.614521732702539</v>
      </c>
      <c r="AL547">
        <v>-19.534580641905531</v>
      </c>
      <c r="AM547">
        <v>8.5021255901381352</v>
      </c>
      <c r="AN547">
        <v>8.4607722066794899</v>
      </c>
    </row>
    <row r="548" spans="1:40" x14ac:dyDescent="0.25">
      <c r="A548" s="1" t="s">
        <v>967</v>
      </c>
      <c r="B548">
        <v>91676437500</v>
      </c>
      <c r="C548" t="s">
        <v>82</v>
      </c>
      <c r="D548" t="s">
        <v>127</v>
      </c>
      <c r="E548">
        <v>11438000000</v>
      </c>
      <c r="F548">
        <v>-4465000000</v>
      </c>
      <c r="G548">
        <v>-3382000000</v>
      </c>
      <c r="H548">
        <v>-4954000000</v>
      </c>
      <c r="I548">
        <v>-5124000000</v>
      </c>
      <c r="J548">
        <v>-3940000000</v>
      </c>
      <c r="K548">
        <v>4836000000</v>
      </c>
      <c r="L548">
        <v>819000000</v>
      </c>
      <c r="M548">
        <v>5655000000</v>
      </c>
      <c r="N548">
        <v>8295000000</v>
      </c>
      <c r="O548">
        <v>1318000000</v>
      </c>
      <c r="P548">
        <v>171000000</v>
      </c>
      <c r="Q548">
        <v>9332000000</v>
      </c>
      <c r="R548">
        <v>7288000000</v>
      </c>
      <c r="S548">
        <v>20584000000</v>
      </c>
      <c r="T548">
        <v>0</v>
      </c>
      <c r="U548">
        <v>473000000</v>
      </c>
      <c r="V548">
        <v>13598000000</v>
      </c>
      <c r="W548">
        <v>95524437500</v>
      </c>
      <c r="X548">
        <v>95997437500</v>
      </c>
      <c r="Y548">
        <v>8.0150758436789644</v>
      </c>
      <c r="Z548">
        <v>-20.532236842105259</v>
      </c>
      <c r="AA548">
        <v>-27.107166617386159</v>
      </c>
      <c r="AB548">
        <v>-18.505538453774729</v>
      </c>
      <c r="AC548">
        <v>-17.891576405152229</v>
      </c>
      <c r="AD548">
        <v>-23.268131345177661</v>
      </c>
      <c r="AE548">
        <v>-21.499986002239641</v>
      </c>
      <c r="AF548">
        <v>-21.394050951847699</v>
      </c>
      <c r="AG548">
        <v>-18.73486290007806</v>
      </c>
      <c r="AH548">
        <v>-18.642552205308348</v>
      </c>
      <c r="AI548">
        <v>-28.38481298048492</v>
      </c>
      <c r="AJ548">
        <v>-19.377762918853449</v>
      </c>
      <c r="AK548">
        <v>-28.244954908338261</v>
      </c>
      <c r="AL548">
        <v>-19.282284517561571</v>
      </c>
      <c r="AM548">
        <v>8.392851678615143</v>
      </c>
      <c r="AN548">
        <v>8.351498295156496</v>
      </c>
    </row>
    <row r="549" spans="1:40" x14ac:dyDescent="0.25">
      <c r="A549" s="1" t="s">
        <v>966</v>
      </c>
      <c r="B549">
        <v>91051500000</v>
      </c>
      <c r="C549" t="s">
        <v>82</v>
      </c>
      <c r="D549" t="s">
        <v>127</v>
      </c>
      <c r="E549">
        <v>11438000000</v>
      </c>
      <c r="F549">
        <v>-4465000000</v>
      </c>
      <c r="G549">
        <v>-3382000000</v>
      </c>
      <c r="H549">
        <v>-4954000000</v>
      </c>
      <c r="I549">
        <v>-5124000000</v>
      </c>
      <c r="J549">
        <v>-3940000000</v>
      </c>
      <c r="K549">
        <v>4836000000</v>
      </c>
      <c r="L549">
        <v>819000000</v>
      </c>
      <c r="M549">
        <v>5655000000</v>
      </c>
      <c r="N549">
        <v>8295000000</v>
      </c>
      <c r="O549">
        <v>1318000000</v>
      </c>
      <c r="P549">
        <v>171000000</v>
      </c>
      <c r="Q549">
        <v>9332000000</v>
      </c>
      <c r="R549">
        <v>7288000000</v>
      </c>
      <c r="S549">
        <v>20584000000</v>
      </c>
      <c r="T549">
        <v>0</v>
      </c>
      <c r="U549">
        <v>473000000</v>
      </c>
      <c r="V549">
        <v>13598000000</v>
      </c>
      <c r="W549">
        <v>94899500000</v>
      </c>
      <c r="X549">
        <v>95372500000</v>
      </c>
      <c r="Y549">
        <v>7.9604388879174683</v>
      </c>
      <c r="Z549">
        <v>-20.39227323628219</v>
      </c>
      <c r="AA549">
        <v>-26.922383205204021</v>
      </c>
      <c r="AB549">
        <v>-18.37939039160274</v>
      </c>
      <c r="AC549">
        <v>-17.76961358313817</v>
      </c>
      <c r="AD549">
        <v>-23.109517766497461</v>
      </c>
      <c r="AE549">
        <v>-21.360022396416571</v>
      </c>
      <c r="AF549">
        <v>-21.25408734602464</v>
      </c>
      <c r="AG549">
        <v>-18.612900078064008</v>
      </c>
      <c r="AH549">
        <v>-18.5205893832943</v>
      </c>
      <c r="AI549">
        <v>-28.200029568302782</v>
      </c>
      <c r="AJ549">
        <v>-19.251614856681471</v>
      </c>
      <c r="AK549">
        <v>-28.060171496156119</v>
      </c>
      <c r="AL549">
        <v>-19.156136455389589</v>
      </c>
      <c r="AM549">
        <v>8.3382147228536461</v>
      </c>
      <c r="AN549">
        <v>8.296861339394999</v>
      </c>
    </row>
    <row r="550" spans="1:40" x14ac:dyDescent="0.25">
      <c r="A550" s="1" t="s">
        <v>965</v>
      </c>
      <c r="B550">
        <v>89290312500</v>
      </c>
      <c r="C550" t="s">
        <v>82</v>
      </c>
      <c r="D550" t="s">
        <v>127</v>
      </c>
      <c r="E550">
        <v>11438000000</v>
      </c>
      <c r="F550">
        <v>-4465000000</v>
      </c>
      <c r="G550">
        <v>-3382000000</v>
      </c>
      <c r="H550">
        <v>-4954000000</v>
      </c>
      <c r="I550">
        <v>-5124000000</v>
      </c>
      <c r="J550">
        <v>-3940000000</v>
      </c>
      <c r="K550">
        <v>4836000000</v>
      </c>
      <c r="L550">
        <v>819000000</v>
      </c>
      <c r="M550">
        <v>5655000000</v>
      </c>
      <c r="N550">
        <v>8295000000</v>
      </c>
      <c r="O550">
        <v>1318000000</v>
      </c>
      <c r="P550">
        <v>171000000</v>
      </c>
      <c r="Q550">
        <v>9332000000</v>
      </c>
      <c r="R550">
        <v>7288000000</v>
      </c>
      <c r="S550">
        <v>20584000000</v>
      </c>
      <c r="T550">
        <v>0</v>
      </c>
      <c r="U550">
        <v>473000000</v>
      </c>
      <c r="V550">
        <v>13598000000</v>
      </c>
      <c r="W550">
        <v>93138312500</v>
      </c>
      <c r="X550">
        <v>93611312500</v>
      </c>
      <c r="Y550">
        <v>7.8064620125896136</v>
      </c>
      <c r="Z550">
        <v>-19.997830347144461</v>
      </c>
      <c r="AA550">
        <v>-26.401629952690719</v>
      </c>
      <c r="AB550">
        <v>-18.023882216390799</v>
      </c>
      <c r="AC550">
        <v>-17.425900175644031</v>
      </c>
      <c r="AD550">
        <v>-22.662515862944161</v>
      </c>
      <c r="AE550">
        <v>-20.965579507278839</v>
      </c>
      <c r="AF550">
        <v>-20.859644456886901</v>
      </c>
      <c r="AG550">
        <v>-18.269186670569869</v>
      </c>
      <c r="AH550">
        <v>-18.176875975800161</v>
      </c>
      <c r="AI550">
        <v>-27.679276315789469</v>
      </c>
      <c r="AJ550">
        <v>-18.896106681469519</v>
      </c>
      <c r="AK550">
        <v>-27.53941824364281</v>
      </c>
      <c r="AL550">
        <v>-18.80062828017763</v>
      </c>
      <c r="AM550">
        <v>8.1842378475257913</v>
      </c>
      <c r="AN550">
        <v>8.1428844640671443</v>
      </c>
    </row>
    <row r="551" spans="1:40" x14ac:dyDescent="0.25">
      <c r="A551" s="1" t="s">
        <v>964</v>
      </c>
      <c r="B551">
        <v>87907875000</v>
      </c>
      <c r="C551" t="s">
        <v>82</v>
      </c>
      <c r="D551" t="s">
        <v>127</v>
      </c>
      <c r="E551">
        <v>11438000000</v>
      </c>
      <c r="F551">
        <v>-4465000000</v>
      </c>
      <c r="G551">
        <v>-3382000000</v>
      </c>
      <c r="H551">
        <v>-4954000000</v>
      </c>
      <c r="I551">
        <v>-5124000000</v>
      </c>
      <c r="J551">
        <v>-3940000000</v>
      </c>
      <c r="K551">
        <v>4836000000</v>
      </c>
      <c r="L551">
        <v>819000000</v>
      </c>
      <c r="M551">
        <v>5655000000</v>
      </c>
      <c r="N551">
        <v>8295000000</v>
      </c>
      <c r="O551">
        <v>1318000000</v>
      </c>
      <c r="P551">
        <v>171000000</v>
      </c>
      <c r="Q551">
        <v>9332000000</v>
      </c>
      <c r="R551">
        <v>7288000000</v>
      </c>
      <c r="S551">
        <v>20584000000</v>
      </c>
      <c r="T551">
        <v>0</v>
      </c>
      <c r="U551">
        <v>473000000</v>
      </c>
      <c r="V551">
        <v>13598000000</v>
      </c>
      <c r="W551">
        <v>91755875000</v>
      </c>
      <c r="X551">
        <v>92228875000</v>
      </c>
      <c r="Y551">
        <v>7.6855984437838787</v>
      </c>
      <c r="Z551">
        <v>-19.688213885778271</v>
      </c>
      <c r="AA551">
        <v>-25.992866646954461</v>
      </c>
      <c r="AB551">
        <v>-17.744827412192169</v>
      </c>
      <c r="AC551">
        <v>-17.156103629976581</v>
      </c>
      <c r="AD551">
        <v>-22.311643401015228</v>
      </c>
      <c r="AE551">
        <v>-20.65596304591265</v>
      </c>
      <c r="AF551">
        <v>-20.550027995520718</v>
      </c>
      <c r="AG551">
        <v>-17.999390124902419</v>
      </c>
      <c r="AH551">
        <v>-17.907079430132711</v>
      </c>
      <c r="AI551">
        <v>-27.270513010053222</v>
      </c>
      <c r="AJ551">
        <v>-18.617051877270889</v>
      </c>
      <c r="AK551">
        <v>-27.130654937906559</v>
      </c>
      <c r="AL551">
        <v>-18.521573475979011</v>
      </c>
      <c r="AM551">
        <v>8.0633742787200564</v>
      </c>
      <c r="AN551">
        <v>8.0220208952614094</v>
      </c>
    </row>
    <row r="552" spans="1:40" x14ac:dyDescent="0.25">
      <c r="A552" s="1" t="s">
        <v>963</v>
      </c>
      <c r="B552">
        <v>87472312500</v>
      </c>
      <c r="C552" t="s">
        <v>82</v>
      </c>
      <c r="D552" t="s">
        <v>127</v>
      </c>
      <c r="E552">
        <v>11438000000</v>
      </c>
      <c r="F552">
        <v>-4465000000</v>
      </c>
      <c r="G552">
        <v>-3382000000</v>
      </c>
      <c r="H552">
        <v>-4954000000</v>
      </c>
      <c r="I552">
        <v>-5124000000</v>
      </c>
      <c r="J552">
        <v>-3940000000</v>
      </c>
      <c r="K552">
        <v>4836000000</v>
      </c>
      <c r="L552">
        <v>819000000</v>
      </c>
      <c r="M552">
        <v>5655000000</v>
      </c>
      <c r="N552">
        <v>8295000000</v>
      </c>
      <c r="O552">
        <v>1318000000</v>
      </c>
      <c r="P552">
        <v>171000000</v>
      </c>
      <c r="Q552">
        <v>9332000000</v>
      </c>
      <c r="R552">
        <v>7288000000</v>
      </c>
      <c r="S552">
        <v>20584000000</v>
      </c>
      <c r="T552">
        <v>0</v>
      </c>
      <c r="U552">
        <v>473000000</v>
      </c>
      <c r="V552">
        <v>13598000000</v>
      </c>
      <c r="W552">
        <v>91320312500</v>
      </c>
      <c r="X552">
        <v>91793312500</v>
      </c>
      <c r="Y552">
        <v>7.6475181412834408</v>
      </c>
      <c r="Z552">
        <v>-19.590663493840989</v>
      </c>
      <c r="AA552">
        <v>-25.864078208160851</v>
      </c>
      <c r="AB552">
        <v>-17.656906035526848</v>
      </c>
      <c r="AC552">
        <v>-17.071099238875881</v>
      </c>
      <c r="AD552">
        <v>-22.20109454314721</v>
      </c>
      <c r="AE552">
        <v>-20.55841265397536</v>
      </c>
      <c r="AF552">
        <v>-20.452477603583429</v>
      </c>
      <c r="AG552">
        <v>-17.914385733801719</v>
      </c>
      <c r="AH552">
        <v>-17.822075039032011</v>
      </c>
      <c r="AI552">
        <v>-27.141724571259608</v>
      </c>
      <c r="AJ552">
        <v>-18.529130500605572</v>
      </c>
      <c r="AK552">
        <v>-27.00186649911295</v>
      </c>
      <c r="AL552">
        <v>-18.43365209931369</v>
      </c>
      <c r="AM552">
        <v>8.0252939762196185</v>
      </c>
      <c r="AN552">
        <v>7.9839405927609723</v>
      </c>
    </row>
    <row r="553" spans="1:40" x14ac:dyDescent="0.25">
      <c r="A553" s="1" t="s">
        <v>962</v>
      </c>
      <c r="B553">
        <v>86279250000</v>
      </c>
      <c r="C553" t="s">
        <v>82</v>
      </c>
      <c r="D553" t="s">
        <v>127</v>
      </c>
      <c r="E553">
        <v>11438000000</v>
      </c>
      <c r="F553">
        <v>-4465000000</v>
      </c>
      <c r="G553">
        <v>-3382000000</v>
      </c>
      <c r="H553">
        <v>-4954000000</v>
      </c>
      <c r="I553">
        <v>-5124000000</v>
      </c>
      <c r="J553">
        <v>-3940000000</v>
      </c>
      <c r="K553">
        <v>4836000000</v>
      </c>
      <c r="L553">
        <v>819000000</v>
      </c>
      <c r="M553">
        <v>5655000000</v>
      </c>
      <c r="N553">
        <v>8295000000</v>
      </c>
      <c r="O553">
        <v>1318000000</v>
      </c>
      <c r="P553">
        <v>171000000</v>
      </c>
      <c r="Q553">
        <v>9332000000</v>
      </c>
      <c r="R553">
        <v>7288000000</v>
      </c>
      <c r="S553">
        <v>20584000000</v>
      </c>
      <c r="T553">
        <v>0</v>
      </c>
      <c r="U553">
        <v>473000000</v>
      </c>
      <c r="V553">
        <v>13598000000</v>
      </c>
      <c r="W553">
        <v>90127250000</v>
      </c>
      <c r="X553">
        <v>90600250000</v>
      </c>
      <c r="Y553">
        <v>7.5432112257387658</v>
      </c>
      <c r="Z553">
        <v>-19.323460246360579</v>
      </c>
      <c r="AA553">
        <v>-25.511309875813129</v>
      </c>
      <c r="AB553">
        <v>-17.41607791683488</v>
      </c>
      <c r="AC553">
        <v>-16.838261124121779</v>
      </c>
      <c r="AD553">
        <v>-21.898286802030459</v>
      </c>
      <c r="AE553">
        <v>-20.291209406494961</v>
      </c>
      <c r="AF553">
        <v>-20.185274356103019</v>
      </c>
      <c r="AG553">
        <v>-17.68154761904762</v>
      </c>
      <c r="AH553">
        <v>-17.589236924277909</v>
      </c>
      <c r="AI553">
        <v>-26.78895623891189</v>
      </c>
      <c r="AJ553">
        <v>-18.28830238191361</v>
      </c>
      <c r="AK553">
        <v>-26.649098166765231</v>
      </c>
      <c r="AL553">
        <v>-18.192823980621721</v>
      </c>
      <c r="AM553">
        <v>7.9209870606749444</v>
      </c>
      <c r="AN553">
        <v>7.8796336772162956</v>
      </c>
    </row>
    <row r="554" spans="1:40" x14ac:dyDescent="0.25">
      <c r="A554" s="1" t="s">
        <v>961</v>
      </c>
      <c r="B554">
        <v>87718500000</v>
      </c>
      <c r="C554" t="s">
        <v>82</v>
      </c>
      <c r="D554" t="s">
        <v>127</v>
      </c>
      <c r="E554">
        <v>11438000000</v>
      </c>
      <c r="F554">
        <v>-4465000000</v>
      </c>
      <c r="G554">
        <v>-3382000000</v>
      </c>
      <c r="H554">
        <v>-4954000000</v>
      </c>
      <c r="I554">
        <v>-5124000000</v>
      </c>
      <c r="J554">
        <v>-3940000000</v>
      </c>
      <c r="K554">
        <v>4836000000</v>
      </c>
      <c r="L554">
        <v>819000000</v>
      </c>
      <c r="M554">
        <v>5655000000</v>
      </c>
      <c r="N554">
        <v>8295000000</v>
      </c>
      <c r="O554">
        <v>1318000000</v>
      </c>
      <c r="P554">
        <v>171000000</v>
      </c>
      <c r="Q554">
        <v>9332000000</v>
      </c>
      <c r="R554">
        <v>7288000000</v>
      </c>
      <c r="S554">
        <v>20584000000</v>
      </c>
      <c r="T554">
        <v>0</v>
      </c>
      <c r="U554">
        <v>473000000</v>
      </c>
      <c r="V554">
        <v>13598000000</v>
      </c>
      <c r="W554">
        <v>91566500000</v>
      </c>
      <c r="X554">
        <v>92039500000</v>
      </c>
      <c r="Y554">
        <v>7.6690417905228188</v>
      </c>
      <c r="Z554">
        <v>-19.645800671892498</v>
      </c>
      <c r="AA554">
        <v>-25.936871673565939</v>
      </c>
      <c r="AB554">
        <v>-17.706600726685512</v>
      </c>
      <c r="AC554">
        <v>-17.11914519906323</v>
      </c>
      <c r="AD554">
        <v>-22.26357868020305</v>
      </c>
      <c r="AE554">
        <v>-20.61354983202688</v>
      </c>
      <c r="AF554">
        <v>-20.507614781634938</v>
      </c>
      <c r="AG554">
        <v>-17.962431693989071</v>
      </c>
      <c r="AH554">
        <v>-17.87012099921936</v>
      </c>
      <c r="AI554">
        <v>-27.2145180366647</v>
      </c>
      <c r="AJ554">
        <v>-18.578825191764231</v>
      </c>
      <c r="AK554">
        <v>-27.074659964518041</v>
      </c>
      <c r="AL554">
        <v>-18.48334679047235</v>
      </c>
      <c r="AM554">
        <v>8.0468176254589956</v>
      </c>
      <c r="AN554">
        <v>8.0054642420003503</v>
      </c>
    </row>
    <row r="555" spans="1:40" x14ac:dyDescent="0.25">
      <c r="A555" s="1" t="s">
        <v>960</v>
      </c>
      <c r="B555">
        <v>89991000000</v>
      </c>
      <c r="C555" t="s">
        <v>82</v>
      </c>
      <c r="D555" t="s">
        <v>127</v>
      </c>
      <c r="E555">
        <v>11438000000</v>
      </c>
      <c r="F555">
        <v>-4465000000</v>
      </c>
      <c r="G555">
        <v>-3382000000</v>
      </c>
      <c r="H555">
        <v>-4954000000</v>
      </c>
      <c r="I555">
        <v>-5124000000</v>
      </c>
      <c r="J555">
        <v>-3940000000</v>
      </c>
      <c r="K555">
        <v>4836000000</v>
      </c>
      <c r="L555">
        <v>819000000</v>
      </c>
      <c r="M555">
        <v>5655000000</v>
      </c>
      <c r="N555">
        <v>8295000000</v>
      </c>
      <c r="O555">
        <v>1318000000</v>
      </c>
      <c r="P555">
        <v>171000000</v>
      </c>
      <c r="Q555">
        <v>9332000000</v>
      </c>
      <c r="R555">
        <v>7288000000</v>
      </c>
      <c r="S555">
        <v>20584000000</v>
      </c>
      <c r="T555">
        <v>0</v>
      </c>
      <c r="U555">
        <v>473000000</v>
      </c>
      <c r="V555">
        <v>13598000000</v>
      </c>
      <c r="W555">
        <v>93839000000</v>
      </c>
      <c r="X555">
        <v>94312000000</v>
      </c>
      <c r="Y555">
        <v>7.8677216296555343</v>
      </c>
      <c r="Z555">
        <v>-20.154759238521841</v>
      </c>
      <c r="AA555">
        <v>-26.608811354228269</v>
      </c>
      <c r="AB555">
        <v>-18.165320952765441</v>
      </c>
      <c r="AC555">
        <v>-17.562646370023419</v>
      </c>
      <c r="AD555">
        <v>-22.84035532994924</v>
      </c>
      <c r="AE555">
        <v>-21.122508398656219</v>
      </c>
      <c r="AF555">
        <v>-21.016573348264281</v>
      </c>
      <c r="AG555">
        <v>-18.405932864949261</v>
      </c>
      <c r="AH555">
        <v>-18.313622170179549</v>
      </c>
      <c r="AI555">
        <v>-27.88645771732703</v>
      </c>
      <c r="AJ555">
        <v>-19.037545417844171</v>
      </c>
      <c r="AK555">
        <v>-27.746599645180371</v>
      </c>
      <c r="AL555">
        <v>-18.942067016552279</v>
      </c>
      <c r="AM555">
        <v>8.2454974645917112</v>
      </c>
      <c r="AN555">
        <v>8.2041440811330659</v>
      </c>
    </row>
    <row r="556" spans="1:40" x14ac:dyDescent="0.25">
      <c r="A556" s="1" t="s">
        <v>959</v>
      </c>
      <c r="B556">
        <v>90085687500</v>
      </c>
      <c r="C556" t="s">
        <v>82</v>
      </c>
      <c r="D556" t="s">
        <v>127</v>
      </c>
      <c r="E556">
        <v>11438000000</v>
      </c>
      <c r="F556">
        <v>-4465000000</v>
      </c>
      <c r="G556">
        <v>-3382000000</v>
      </c>
      <c r="H556">
        <v>-4954000000</v>
      </c>
      <c r="I556">
        <v>-5124000000</v>
      </c>
      <c r="J556">
        <v>-3940000000</v>
      </c>
      <c r="K556">
        <v>4836000000</v>
      </c>
      <c r="L556">
        <v>819000000</v>
      </c>
      <c r="M556">
        <v>5655000000</v>
      </c>
      <c r="N556">
        <v>8295000000</v>
      </c>
      <c r="O556">
        <v>1318000000</v>
      </c>
      <c r="P556">
        <v>171000000</v>
      </c>
      <c r="Q556">
        <v>9332000000</v>
      </c>
      <c r="R556">
        <v>7288000000</v>
      </c>
      <c r="S556">
        <v>20584000000</v>
      </c>
      <c r="T556">
        <v>0</v>
      </c>
      <c r="U556">
        <v>473000000</v>
      </c>
      <c r="V556">
        <v>13598000000</v>
      </c>
      <c r="W556">
        <v>93933687500</v>
      </c>
      <c r="X556">
        <v>94406687500</v>
      </c>
      <c r="Y556">
        <v>7.8759999562860639</v>
      </c>
      <c r="Z556">
        <v>-20.175965845464731</v>
      </c>
      <c r="AA556">
        <v>-26.63680884092253</v>
      </c>
      <c r="AB556">
        <v>-18.18443429551877</v>
      </c>
      <c r="AC556">
        <v>-17.581125585480091</v>
      </c>
      <c r="AD556">
        <v>-22.864387690355329</v>
      </c>
      <c r="AE556">
        <v>-21.143715005599109</v>
      </c>
      <c r="AF556">
        <v>-21.037779955207171</v>
      </c>
      <c r="AG556">
        <v>-18.424412080405929</v>
      </c>
      <c r="AH556">
        <v>-18.332101385636221</v>
      </c>
      <c r="AI556">
        <v>-27.914455204021291</v>
      </c>
      <c r="AJ556">
        <v>-19.0566587605975</v>
      </c>
      <c r="AK556">
        <v>-27.774597131874629</v>
      </c>
      <c r="AL556">
        <v>-18.961180359305612</v>
      </c>
      <c r="AM556">
        <v>8.2537757912222425</v>
      </c>
      <c r="AN556">
        <v>8.2124224077635954</v>
      </c>
    </row>
    <row r="557" spans="1:40" x14ac:dyDescent="0.25">
      <c r="A557" s="1" t="s">
        <v>958</v>
      </c>
      <c r="B557">
        <v>89877375000</v>
      </c>
      <c r="C557" t="s">
        <v>82</v>
      </c>
      <c r="D557" t="s">
        <v>127</v>
      </c>
      <c r="E557">
        <v>11438000000</v>
      </c>
      <c r="F557">
        <v>-4465000000</v>
      </c>
      <c r="G557">
        <v>-3382000000</v>
      </c>
      <c r="H557">
        <v>-4954000000</v>
      </c>
      <c r="I557">
        <v>-5124000000</v>
      </c>
      <c r="J557">
        <v>-3940000000</v>
      </c>
      <c r="K557">
        <v>4836000000</v>
      </c>
      <c r="L557">
        <v>819000000</v>
      </c>
      <c r="M557">
        <v>5655000000</v>
      </c>
      <c r="N557">
        <v>8295000000</v>
      </c>
      <c r="O557">
        <v>1318000000</v>
      </c>
      <c r="P557">
        <v>171000000</v>
      </c>
      <c r="Q557">
        <v>9332000000</v>
      </c>
      <c r="R557">
        <v>7288000000</v>
      </c>
      <c r="S557">
        <v>20584000000</v>
      </c>
      <c r="T557">
        <v>0</v>
      </c>
      <c r="U557">
        <v>473000000</v>
      </c>
      <c r="V557">
        <v>13598000000</v>
      </c>
      <c r="W557">
        <v>93725375000</v>
      </c>
      <c r="X557">
        <v>94198375000</v>
      </c>
      <c r="Y557">
        <v>7.8577876376988982</v>
      </c>
      <c r="Z557">
        <v>-20.129311310190371</v>
      </c>
      <c r="AA557">
        <v>-26.575214370195152</v>
      </c>
      <c r="AB557">
        <v>-18.14238494146144</v>
      </c>
      <c r="AC557">
        <v>-17.540471311475411</v>
      </c>
      <c r="AD557">
        <v>-22.81151649746193</v>
      </c>
      <c r="AE557">
        <v>-21.097060470324749</v>
      </c>
      <c r="AF557">
        <v>-20.991125419932811</v>
      </c>
      <c r="AG557">
        <v>-18.383757806401249</v>
      </c>
      <c r="AH557">
        <v>-18.291447111631541</v>
      </c>
      <c r="AI557">
        <v>-27.852860733293909</v>
      </c>
      <c r="AJ557">
        <v>-19.014609406540171</v>
      </c>
      <c r="AK557">
        <v>-27.71300266114725</v>
      </c>
      <c r="AL557">
        <v>-18.919131005248289</v>
      </c>
      <c r="AM557">
        <v>8.2355634726350768</v>
      </c>
      <c r="AN557">
        <v>8.1942100891764298</v>
      </c>
    </row>
    <row r="558" spans="1:40" x14ac:dyDescent="0.25">
      <c r="A558" s="1" t="s">
        <v>957</v>
      </c>
      <c r="B558">
        <v>88646437500</v>
      </c>
      <c r="C558" t="s">
        <v>82</v>
      </c>
      <c r="D558" t="s">
        <v>127</v>
      </c>
      <c r="E558">
        <v>11438000000</v>
      </c>
      <c r="F558">
        <v>-4465000000</v>
      </c>
      <c r="G558">
        <v>-3382000000</v>
      </c>
      <c r="H558">
        <v>-4954000000</v>
      </c>
      <c r="I558">
        <v>-5124000000</v>
      </c>
      <c r="J558">
        <v>-3940000000</v>
      </c>
      <c r="K558">
        <v>4836000000</v>
      </c>
      <c r="L558">
        <v>819000000</v>
      </c>
      <c r="M558">
        <v>5655000000</v>
      </c>
      <c r="N558">
        <v>8295000000</v>
      </c>
      <c r="O558">
        <v>1318000000</v>
      </c>
      <c r="P558">
        <v>171000000</v>
      </c>
      <c r="Q558">
        <v>9332000000</v>
      </c>
      <c r="R558">
        <v>7288000000</v>
      </c>
      <c r="S558">
        <v>20584000000</v>
      </c>
      <c r="T558">
        <v>0</v>
      </c>
      <c r="U558">
        <v>473000000</v>
      </c>
      <c r="V558">
        <v>13598000000</v>
      </c>
      <c r="W558">
        <v>92494437500</v>
      </c>
      <c r="X558">
        <v>92967437500</v>
      </c>
      <c r="Y558">
        <v>7.7501693915020109</v>
      </c>
      <c r="Z558">
        <v>-19.853625419932811</v>
      </c>
      <c r="AA558">
        <v>-26.21124704316972</v>
      </c>
      <c r="AB558">
        <v>-17.893911485668148</v>
      </c>
      <c r="AC558">
        <v>-17.30024151053864</v>
      </c>
      <c r="AD558">
        <v>-22.499095812182741</v>
      </c>
      <c r="AE558">
        <v>-20.821374580067189</v>
      </c>
      <c r="AF558">
        <v>-20.715439529675251</v>
      </c>
      <c r="AG558">
        <v>-18.143528005464479</v>
      </c>
      <c r="AH558">
        <v>-18.051217310694771</v>
      </c>
      <c r="AI558">
        <v>-27.488893406268481</v>
      </c>
      <c r="AJ558">
        <v>-18.766135950746872</v>
      </c>
      <c r="AK558">
        <v>-27.349035334121819</v>
      </c>
      <c r="AL558">
        <v>-18.67065754945499</v>
      </c>
      <c r="AM558">
        <v>8.1279452264381877</v>
      </c>
      <c r="AN558">
        <v>8.0865918429795425</v>
      </c>
    </row>
    <row r="559" spans="1:40" x14ac:dyDescent="0.25">
      <c r="A559" s="1" t="s">
        <v>956</v>
      </c>
      <c r="B559">
        <v>86771625000</v>
      </c>
      <c r="C559" t="s">
        <v>82</v>
      </c>
      <c r="D559" t="s">
        <v>127</v>
      </c>
      <c r="E559">
        <v>11438000000</v>
      </c>
      <c r="F559">
        <v>-4465000000</v>
      </c>
      <c r="G559">
        <v>-3382000000</v>
      </c>
      <c r="H559">
        <v>-4954000000</v>
      </c>
      <c r="I559">
        <v>-5124000000</v>
      </c>
      <c r="J559">
        <v>-3940000000</v>
      </c>
      <c r="K559">
        <v>4836000000</v>
      </c>
      <c r="L559">
        <v>819000000</v>
      </c>
      <c r="M559">
        <v>5655000000</v>
      </c>
      <c r="N559">
        <v>8295000000</v>
      </c>
      <c r="O559">
        <v>1318000000</v>
      </c>
      <c r="P559">
        <v>171000000</v>
      </c>
      <c r="Q559">
        <v>9332000000</v>
      </c>
      <c r="R559">
        <v>7288000000</v>
      </c>
      <c r="S559">
        <v>20584000000</v>
      </c>
      <c r="T559">
        <v>0</v>
      </c>
      <c r="U559">
        <v>473000000</v>
      </c>
      <c r="V559">
        <v>13598000000</v>
      </c>
      <c r="W559">
        <v>90619625000</v>
      </c>
      <c r="X559">
        <v>91092625000</v>
      </c>
      <c r="Y559">
        <v>7.5862585242175209</v>
      </c>
      <c r="Z559">
        <v>-19.433734602463609</v>
      </c>
      <c r="AA559">
        <v>-25.656896806623301</v>
      </c>
      <c r="AB559">
        <v>-17.515467299152199</v>
      </c>
      <c r="AC559">
        <v>-16.93435304449649</v>
      </c>
      <c r="AD559">
        <v>-22.023255076142132</v>
      </c>
      <c r="AE559">
        <v>-20.40148376259798</v>
      </c>
      <c r="AF559">
        <v>-20.295548712206049</v>
      </c>
      <c r="AG559">
        <v>-17.777639539422331</v>
      </c>
      <c r="AH559">
        <v>-17.68532884465262</v>
      </c>
      <c r="AI559">
        <v>-26.934543169722058</v>
      </c>
      <c r="AJ559">
        <v>-18.387691764230929</v>
      </c>
      <c r="AK559">
        <v>-26.7946850975754</v>
      </c>
      <c r="AL559">
        <v>-18.292213362939041</v>
      </c>
      <c r="AM559">
        <v>7.9640343591536986</v>
      </c>
      <c r="AN559">
        <v>7.9226809756950516</v>
      </c>
    </row>
    <row r="560" spans="1:40" x14ac:dyDescent="0.25">
      <c r="A560" s="1" t="s">
        <v>955</v>
      </c>
      <c r="B560">
        <v>87377625000</v>
      </c>
      <c r="C560" t="s">
        <v>82</v>
      </c>
      <c r="D560" t="s">
        <v>127</v>
      </c>
      <c r="E560">
        <v>11438000000</v>
      </c>
      <c r="F560">
        <v>-4465000000</v>
      </c>
      <c r="G560">
        <v>-3382000000</v>
      </c>
      <c r="H560">
        <v>-4954000000</v>
      </c>
      <c r="I560">
        <v>-5124000000</v>
      </c>
      <c r="J560">
        <v>-3940000000</v>
      </c>
      <c r="K560">
        <v>4836000000</v>
      </c>
      <c r="L560">
        <v>819000000</v>
      </c>
      <c r="M560">
        <v>5655000000</v>
      </c>
      <c r="N560">
        <v>8295000000</v>
      </c>
      <c r="O560">
        <v>1318000000</v>
      </c>
      <c r="P560">
        <v>171000000</v>
      </c>
      <c r="Q560">
        <v>9332000000</v>
      </c>
      <c r="R560">
        <v>7288000000</v>
      </c>
      <c r="S560">
        <v>20584000000</v>
      </c>
      <c r="T560">
        <v>0</v>
      </c>
      <c r="U560">
        <v>473000000</v>
      </c>
      <c r="V560">
        <v>13598000000</v>
      </c>
      <c r="W560">
        <v>91225625000</v>
      </c>
      <c r="X560">
        <v>91698625000</v>
      </c>
      <c r="Y560">
        <v>7.6392398146529112</v>
      </c>
      <c r="Z560">
        <v>-19.569456886898099</v>
      </c>
      <c r="AA560">
        <v>-25.83608072146659</v>
      </c>
      <c r="AB560">
        <v>-17.63779269277352</v>
      </c>
      <c r="AC560">
        <v>-17.052620023419209</v>
      </c>
      <c r="AD560">
        <v>-22.177062182741121</v>
      </c>
      <c r="AE560">
        <v>-20.53720604703247</v>
      </c>
      <c r="AF560">
        <v>-20.431270996640539</v>
      </c>
      <c r="AG560">
        <v>-17.89590651834504</v>
      </c>
      <c r="AH560">
        <v>-17.803595823575328</v>
      </c>
      <c r="AI560">
        <v>-27.113727084565351</v>
      </c>
      <c r="AJ560">
        <v>-18.510017157852239</v>
      </c>
      <c r="AK560">
        <v>-26.973869012418689</v>
      </c>
      <c r="AL560">
        <v>-18.414538756560351</v>
      </c>
      <c r="AM560">
        <v>8.017015649589089</v>
      </c>
      <c r="AN560">
        <v>7.9756622661304428</v>
      </c>
    </row>
    <row r="561" spans="1:40" x14ac:dyDescent="0.25">
      <c r="A561" s="1" t="s">
        <v>954</v>
      </c>
      <c r="B561">
        <v>84631687500</v>
      </c>
      <c r="C561" t="s">
        <v>82</v>
      </c>
      <c r="D561" t="s">
        <v>127</v>
      </c>
      <c r="E561">
        <v>11438000000</v>
      </c>
      <c r="F561">
        <v>-4465000000</v>
      </c>
      <c r="G561">
        <v>-3382000000</v>
      </c>
      <c r="H561">
        <v>-4954000000</v>
      </c>
      <c r="I561">
        <v>-5124000000</v>
      </c>
      <c r="J561">
        <v>-3940000000</v>
      </c>
      <c r="K561">
        <v>4836000000</v>
      </c>
      <c r="L561">
        <v>819000000</v>
      </c>
      <c r="M561">
        <v>5655000000</v>
      </c>
      <c r="N561">
        <v>8295000000</v>
      </c>
      <c r="O561">
        <v>1318000000</v>
      </c>
      <c r="P561">
        <v>171000000</v>
      </c>
      <c r="Q561">
        <v>9332000000</v>
      </c>
      <c r="R561">
        <v>7288000000</v>
      </c>
      <c r="S561">
        <v>20584000000</v>
      </c>
      <c r="T561">
        <v>0</v>
      </c>
      <c r="U561">
        <v>473000000</v>
      </c>
      <c r="V561">
        <v>13598000000</v>
      </c>
      <c r="W561">
        <v>88479687500</v>
      </c>
      <c r="X561">
        <v>88952687500</v>
      </c>
      <c r="Y561">
        <v>7.3991683423675472</v>
      </c>
      <c r="Z561">
        <v>-18.95446528555431</v>
      </c>
      <c r="AA561">
        <v>-25.024153607332941</v>
      </c>
      <c r="AB561">
        <v>-17.083505752926929</v>
      </c>
      <c r="AC561">
        <v>-16.516722775175641</v>
      </c>
      <c r="AD561">
        <v>-21.480123730964468</v>
      </c>
      <c r="AE561">
        <v>-19.922214445688692</v>
      </c>
      <c r="AF561">
        <v>-19.81627939529675</v>
      </c>
      <c r="AG561">
        <v>-17.360009270101479</v>
      </c>
      <c r="AH561">
        <v>-17.267698575331771</v>
      </c>
      <c r="AI561">
        <v>-26.301799970431698</v>
      </c>
      <c r="AJ561">
        <v>-17.955730218005652</v>
      </c>
      <c r="AK561">
        <v>-26.16194189828504</v>
      </c>
      <c r="AL561">
        <v>-17.86025181671377</v>
      </c>
      <c r="AM561">
        <v>7.776944177303724</v>
      </c>
      <c r="AN561">
        <v>7.7355907938450779</v>
      </c>
    </row>
    <row r="562" spans="1:40" x14ac:dyDescent="0.25">
      <c r="A562" s="1" t="s">
        <v>953</v>
      </c>
      <c r="B562">
        <v>82302375000</v>
      </c>
      <c r="C562" t="s">
        <v>82</v>
      </c>
      <c r="D562" t="s">
        <v>127</v>
      </c>
      <c r="E562">
        <v>11438000000</v>
      </c>
      <c r="F562">
        <v>-4465000000</v>
      </c>
      <c r="G562">
        <v>-3382000000</v>
      </c>
      <c r="H562">
        <v>-4954000000</v>
      </c>
      <c r="I562">
        <v>-5124000000</v>
      </c>
      <c r="J562">
        <v>-3940000000</v>
      </c>
      <c r="K562">
        <v>4836000000</v>
      </c>
      <c r="L562">
        <v>819000000</v>
      </c>
      <c r="M562">
        <v>5655000000</v>
      </c>
      <c r="N562">
        <v>8295000000</v>
      </c>
      <c r="O562">
        <v>1318000000</v>
      </c>
      <c r="P562">
        <v>171000000</v>
      </c>
      <c r="Q562">
        <v>9332000000</v>
      </c>
      <c r="R562">
        <v>7288000000</v>
      </c>
      <c r="S562">
        <v>20584000000</v>
      </c>
      <c r="T562">
        <v>0</v>
      </c>
      <c r="U562">
        <v>473000000</v>
      </c>
      <c r="V562">
        <v>13598000000</v>
      </c>
      <c r="W562">
        <v>86150375000</v>
      </c>
      <c r="X562">
        <v>86623375000</v>
      </c>
      <c r="Y562">
        <v>7.1955215072565144</v>
      </c>
      <c r="Z562">
        <v>-18.432782754759241</v>
      </c>
      <c r="AA562">
        <v>-24.335415434654049</v>
      </c>
      <c r="AB562">
        <v>-16.61331752119499</v>
      </c>
      <c r="AC562">
        <v>-16.062134074941451</v>
      </c>
      <c r="AD562">
        <v>-20.88892766497462</v>
      </c>
      <c r="AE562">
        <v>-19.40053191489362</v>
      </c>
      <c r="AF562">
        <v>-19.294596864501681</v>
      </c>
      <c r="AG562">
        <v>-16.905420569867289</v>
      </c>
      <c r="AH562">
        <v>-16.813109875097581</v>
      </c>
      <c r="AI562">
        <v>-25.61306179775281</v>
      </c>
      <c r="AJ562">
        <v>-17.48554198627372</v>
      </c>
      <c r="AK562">
        <v>-25.473203725606151</v>
      </c>
      <c r="AL562">
        <v>-17.390063584981831</v>
      </c>
      <c r="AM562">
        <v>7.5732973421926912</v>
      </c>
      <c r="AN562">
        <v>7.5319439587340442</v>
      </c>
    </row>
    <row r="563" spans="1:40" x14ac:dyDescent="0.25">
      <c r="A563" s="1" t="s">
        <v>952</v>
      </c>
      <c r="B563">
        <v>82359187500</v>
      </c>
      <c r="C563" t="s">
        <v>82</v>
      </c>
      <c r="D563" t="s">
        <v>127</v>
      </c>
      <c r="E563">
        <v>11438000000</v>
      </c>
      <c r="F563">
        <v>-4465000000</v>
      </c>
      <c r="G563">
        <v>-3382000000</v>
      </c>
      <c r="H563">
        <v>-4954000000</v>
      </c>
      <c r="I563">
        <v>-5124000000</v>
      </c>
      <c r="J563">
        <v>-3940000000</v>
      </c>
      <c r="K563">
        <v>4836000000</v>
      </c>
      <c r="L563">
        <v>819000000</v>
      </c>
      <c r="M563">
        <v>5655000000</v>
      </c>
      <c r="N563">
        <v>8295000000</v>
      </c>
      <c r="O563">
        <v>1318000000</v>
      </c>
      <c r="P563">
        <v>171000000</v>
      </c>
      <c r="Q563">
        <v>9332000000</v>
      </c>
      <c r="R563">
        <v>7288000000</v>
      </c>
      <c r="S563">
        <v>20584000000</v>
      </c>
      <c r="T563">
        <v>0</v>
      </c>
      <c r="U563">
        <v>473000000</v>
      </c>
      <c r="V563">
        <v>13598000000</v>
      </c>
      <c r="W563">
        <v>86207187500</v>
      </c>
      <c r="X563">
        <v>86680187500</v>
      </c>
      <c r="Y563">
        <v>7.2004885032348316</v>
      </c>
      <c r="Z563">
        <v>-18.445506718924971</v>
      </c>
      <c r="AA563">
        <v>-24.352213926670611</v>
      </c>
      <c r="AB563">
        <v>-16.624785526846988</v>
      </c>
      <c r="AC563">
        <v>-16.073221604215458</v>
      </c>
      <c r="AD563">
        <v>-20.903347081218271</v>
      </c>
      <c r="AE563">
        <v>-19.413255879059349</v>
      </c>
      <c r="AF563">
        <v>-19.307320828667411</v>
      </c>
      <c r="AG563">
        <v>-16.9165080991413</v>
      </c>
      <c r="AH563">
        <v>-16.824197404371581</v>
      </c>
      <c r="AI563">
        <v>-25.629860289769368</v>
      </c>
      <c r="AJ563">
        <v>-17.497009991925719</v>
      </c>
      <c r="AK563">
        <v>-25.49000221762271</v>
      </c>
      <c r="AL563">
        <v>-17.40153159063383</v>
      </c>
      <c r="AM563">
        <v>7.5782643381710093</v>
      </c>
      <c r="AN563">
        <v>7.5369109547123623</v>
      </c>
    </row>
    <row r="564" spans="1:40" x14ac:dyDescent="0.25">
      <c r="A564" s="1" t="s">
        <v>951</v>
      </c>
      <c r="B564">
        <v>81033562500</v>
      </c>
      <c r="C564" t="s">
        <v>82</v>
      </c>
      <c r="D564" t="s">
        <v>127</v>
      </c>
      <c r="E564">
        <v>11438000000</v>
      </c>
      <c r="F564">
        <v>-4465000000</v>
      </c>
      <c r="G564">
        <v>-3382000000</v>
      </c>
      <c r="H564">
        <v>-4954000000</v>
      </c>
      <c r="I564">
        <v>-5124000000</v>
      </c>
      <c r="J564">
        <v>-3940000000</v>
      </c>
      <c r="K564">
        <v>4836000000</v>
      </c>
      <c r="L564">
        <v>819000000</v>
      </c>
      <c r="M564">
        <v>5655000000</v>
      </c>
      <c r="N564">
        <v>8295000000</v>
      </c>
      <c r="O564">
        <v>1318000000</v>
      </c>
      <c r="P564">
        <v>171000000</v>
      </c>
      <c r="Q564">
        <v>9332000000</v>
      </c>
      <c r="R564">
        <v>7288000000</v>
      </c>
      <c r="S564">
        <v>20584000000</v>
      </c>
      <c r="T564">
        <v>0</v>
      </c>
      <c r="U564">
        <v>473000000</v>
      </c>
      <c r="V564">
        <v>13598000000</v>
      </c>
      <c r="W564">
        <v>84881562500</v>
      </c>
      <c r="X564">
        <v>85354562500</v>
      </c>
      <c r="Y564">
        <v>7.0845919304074139</v>
      </c>
      <c r="Z564">
        <v>-18.148614221724529</v>
      </c>
      <c r="AA564">
        <v>-23.960249112950919</v>
      </c>
      <c r="AB564">
        <v>-16.357198728300361</v>
      </c>
      <c r="AC564">
        <v>-15.81451258782201</v>
      </c>
      <c r="AD564">
        <v>-20.566894035533</v>
      </c>
      <c r="AE564">
        <v>-19.1163633818589</v>
      </c>
      <c r="AF564">
        <v>-19.010428331466969</v>
      </c>
      <c r="AG564">
        <v>-16.65779908274785</v>
      </c>
      <c r="AH564">
        <v>-16.565488387978139</v>
      </c>
      <c r="AI564">
        <v>-25.23789547604968</v>
      </c>
      <c r="AJ564">
        <v>-17.229423193379091</v>
      </c>
      <c r="AK564">
        <v>-25.098037403903021</v>
      </c>
      <c r="AL564">
        <v>-17.133944792087199</v>
      </c>
      <c r="AM564">
        <v>7.4623677653435916</v>
      </c>
      <c r="AN564">
        <v>7.4210143818849454</v>
      </c>
    </row>
    <row r="565" spans="1:40" x14ac:dyDescent="0.25">
      <c r="A565" s="1" t="s">
        <v>130</v>
      </c>
      <c r="B565">
        <v>79177687500</v>
      </c>
      <c r="C565" t="s">
        <v>82</v>
      </c>
      <c r="D565" t="s">
        <v>127</v>
      </c>
      <c r="E565">
        <v>11438000000</v>
      </c>
      <c r="F565">
        <v>-4465000000</v>
      </c>
      <c r="G565">
        <v>-3382000000</v>
      </c>
      <c r="H565">
        <v>-4954000000</v>
      </c>
      <c r="I565">
        <v>-5124000000</v>
      </c>
      <c r="J565">
        <v>-3940000000</v>
      </c>
      <c r="K565">
        <v>4836000000</v>
      </c>
      <c r="L565">
        <v>819000000</v>
      </c>
      <c r="M565">
        <v>5655000000</v>
      </c>
      <c r="N565">
        <v>8295000000</v>
      </c>
      <c r="O565">
        <v>1318000000</v>
      </c>
      <c r="P565">
        <v>171000000</v>
      </c>
      <c r="Q565">
        <v>9332000000</v>
      </c>
      <c r="R565">
        <v>7288000000</v>
      </c>
      <c r="S565">
        <v>20584000000</v>
      </c>
      <c r="T565">
        <v>0</v>
      </c>
      <c r="U565">
        <v>473000000</v>
      </c>
      <c r="V565">
        <v>13598000000</v>
      </c>
      <c r="W565">
        <v>83025687500</v>
      </c>
      <c r="X565">
        <v>83498687500</v>
      </c>
      <c r="Y565">
        <v>6.9223367284490296</v>
      </c>
      <c r="Z565">
        <v>-17.7329647256439</v>
      </c>
      <c r="AA565">
        <v>-23.411498373743349</v>
      </c>
      <c r="AB565">
        <v>-15.98257721033508</v>
      </c>
      <c r="AC565">
        <v>-15.45231996487119</v>
      </c>
      <c r="AD565">
        <v>-20.0958597715736</v>
      </c>
      <c r="AE565">
        <v>-18.700713885778271</v>
      </c>
      <c r="AF565">
        <v>-18.594778835386339</v>
      </c>
      <c r="AG565">
        <v>-16.295606459797028</v>
      </c>
      <c r="AH565">
        <v>-16.20329576502732</v>
      </c>
      <c r="AI565">
        <v>-24.68914473684211</v>
      </c>
      <c r="AJ565">
        <v>-16.85480167541381</v>
      </c>
      <c r="AK565">
        <v>-24.549286664695451</v>
      </c>
      <c r="AL565">
        <v>-16.759323274121918</v>
      </c>
      <c r="AM565">
        <v>7.3001125633852073</v>
      </c>
      <c r="AN565">
        <v>7.2587591799265603</v>
      </c>
    </row>
    <row r="566" spans="1:40" x14ac:dyDescent="0.25">
      <c r="A566" s="1" t="s">
        <v>950</v>
      </c>
      <c r="B566">
        <v>81563812500</v>
      </c>
      <c r="C566" t="s">
        <v>81</v>
      </c>
      <c r="D566" t="s">
        <v>127</v>
      </c>
      <c r="E566">
        <v>13126000000</v>
      </c>
      <c r="F566">
        <v>-3949000000</v>
      </c>
      <c r="G566">
        <v>-2545000000</v>
      </c>
      <c r="H566">
        <v>-4331000000</v>
      </c>
      <c r="I566">
        <v>-4705000000</v>
      </c>
      <c r="J566">
        <v>-1021000000</v>
      </c>
      <c r="K566">
        <v>4443000000</v>
      </c>
      <c r="L566">
        <v>560000000</v>
      </c>
      <c r="M566">
        <v>5003000000</v>
      </c>
      <c r="N566">
        <v>7783000000</v>
      </c>
      <c r="O566">
        <v>1255000000</v>
      </c>
      <c r="P566">
        <v>177000000</v>
      </c>
      <c r="Q566">
        <v>9311000000</v>
      </c>
      <c r="R566">
        <v>7684000000</v>
      </c>
      <c r="S566">
        <v>20507000000</v>
      </c>
      <c r="T566">
        <v>0</v>
      </c>
      <c r="U566">
        <v>1569000000</v>
      </c>
      <c r="V566">
        <v>14175000000</v>
      </c>
      <c r="W566">
        <v>86048812500</v>
      </c>
      <c r="X566">
        <v>87617812500</v>
      </c>
      <c r="Y566">
        <v>6.2139122733506023</v>
      </c>
      <c r="Z566">
        <v>-20.654295391238289</v>
      </c>
      <c r="AA566">
        <v>-32.048649312377208</v>
      </c>
      <c r="AB566">
        <v>-18.832558877857309</v>
      </c>
      <c r="AC566">
        <v>-17.335560573857599</v>
      </c>
      <c r="AD566">
        <v>-79.886202252693437</v>
      </c>
      <c r="AE566">
        <v>-22.187341732084072</v>
      </c>
      <c r="AF566">
        <v>-21.790025955938209</v>
      </c>
      <c r="AG566">
        <v>-18.622276833156221</v>
      </c>
      <c r="AH566">
        <v>-18.28880180658874</v>
      </c>
      <c r="AI566">
        <v>-34.427431237721017</v>
      </c>
      <c r="AJ566">
        <v>-20.230388478411449</v>
      </c>
      <c r="AK566">
        <v>-33.810928290766213</v>
      </c>
      <c r="AL566">
        <v>-19.868116485800051</v>
      </c>
      <c r="AM566">
        <v>6.6751342754837726</v>
      </c>
      <c r="AN566">
        <v>6.555600525674234</v>
      </c>
    </row>
    <row r="567" spans="1:40" x14ac:dyDescent="0.25">
      <c r="A567" s="1" t="s">
        <v>949</v>
      </c>
      <c r="B567">
        <v>83855250000</v>
      </c>
      <c r="C567" t="s">
        <v>81</v>
      </c>
      <c r="D567" t="s">
        <v>127</v>
      </c>
      <c r="E567">
        <v>13126000000</v>
      </c>
      <c r="F567">
        <v>-3949000000</v>
      </c>
      <c r="G567">
        <v>-2545000000</v>
      </c>
      <c r="H567">
        <v>-4331000000</v>
      </c>
      <c r="I567">
        <v>-4705000000</v>
      </c>
      <c r="J567">
        <v>-1021000000</v>
      </c>
      <c r="K567">
        <v>4443000000</v>
      </c>
      <c r="L567">
        <v>560000000</v>
      </c>
      <c r="M567">
        <v>5003000000</v>
      </c>
      <c r="N567">
        <v>7783000000</v>
      </c>
      <c r="O567">
        <v>1255000000</v>
      </c>
      <c r="P567">
        <v>177000000</v>
      </c>
      <c r="Q567">
        <v>9311000000</v>
      </c>
      <c r="R567">
        <v>7684000000</v>
      </c>
      <c r="S567">
        <v>20507000000</v>
      </c>
      <c r="T567">
        <v>0</v>
      </c>
      <c r="U567">
        <v>1569000000</v>
      </c>
      <c r="V567">
        <v>14175000000</v>
      </c>
      <c r="W567">
        <v>88340250000</v>
      </c>
      <c r="X567">
        <v>89909250000</v>
      </c>
      <c r="Y567">
        <v>6.3884846868809992</v>
      </c>
      <c r="Z567">
        <v>-21.23455305140542</v>
      </c>
      <c r="AA567">
        <v>-32.949017681728883</v>
      </c>
      <c r="AB567">
        <v>-19.361637035326719</v>
      </c>
      <c r="AC567">
        <v>-17.822582359192349</v>
      </c>
      <c r="AD567">
        <v>-82.130509304603336</v>
      </c>
      <c r="AE567">
        <v>-22.767599392251199</v>
      </c>
      <c r="AF567">
        <v>-22.37028361610534</v>
      </c>
      <c r="AG567">
        <v>-19.109298618490971</v>
      </c>
      <c r="AH567">
        <v>-18.775823591923491</v>
      </c>
      <c r="AI567">
        <v>-35.327799607072691</v>
      </c>
      <c r="AJ567">
        <v>-20.759466635880859</v>
      </c>
      <c r="AK567">
        <v>-34.711296660117881</v>
      </c>
      <c r="AL567">
        <v>-20.397194643269451</v>
      </c>
      <c r="AM567">
        <v>6.8497066890141696</v>
      </c>
      <c r="AN567">
        <v>6.7301729392046319</v>
      </c>
    </row>
    <row r="568" spans="1:40" x14ac:dyDescent="0.25">
      <c r="A568" s="1" t="s">
        <v>948</v>
      </c>
      <c r="B568">
        <v>81904687500</v>
      </c>
      <c r="C568" t="s">
        <v>81</v>
      </c>
      <c r="D568" t="s">
        <v>127</v>
      </c>
      <c r="E568">
        <v>13126000000</v>
      </c>
      <c r="F568">
        <v>-3949000000</v>
      </c>
      <c r="G568">
        <v>-2545000000</v>
      </c>
      <c r="H568">
        <v>-4331000000</v>
      </c>
      <c r="I568">
        <v>-4705000000</v>
      </c>
      <c r="J568">
        <v>-1021000000</v>
      </c>
      <c r="K568">
        <v>4443000000</v>
      </c>
      <c r="L568">
        <v>560000000</v>
      </c>
      <c r="M568">
        <v>5003000000</v>
      </c>
      <c r="N568">
        <v>7783000000</v>
      </c>
      <c r="O568">
        <v>1255000000</v>
      </c>
      <c r="P568">
        <v>177000000</v>
      </c>
      <c r="Q568">
        <v>9311000000</v>
      </c>
      <c r="R568">
        <v>7684000000</v>
      </c>
      <c r="S568">
        <v>20507000000</v>
      </c>
      <c r="T568">
        <v>0</v>
      </c>
      <c r="U568">
        <v>1569000000</v>
      </c>
      <c r="V568">
        <v>14175000000</v>
      </c>
      <c r="W568">
        <v>86389687500</v>
      </c>
      <c r="X568">
        <v>87958687500</v>
      </c>
      <c r="Y568">
        <v>6.2398817232972723</v>
      </c>
      <c r="Z568">
        <v>-20.740614712585469</v>
      </c>
      <c r="AA568">
        <v>-32.182588408644399</v>
      </c>
      <c r="AB568">
        <v>-18.911264719464331</v>
      </c>
      <c r="AC568">
        <v>-17.408010095642929</v>
      </c>
      <c r="AD568">
        <v>-80.220066111655242</v>
      </c>
      <c r="AE568">
        <v>-22.273661053431251</v>
      </c>
      <c r="AF568">
        <v>-21.876345277285392</v>
      </c>
      <c r="AG568">
        <v>-18.694726354941551</v>
      </c>
      <c r="AH568">
        <v>-18.36125132837407</v>
      </c>
      <c r="AI568">
        <v>-34.561370333988222</v>
      </c>
      <c r="AJ568">
        <v>-20.30909432001847</v>
      </c>
      <c r="AK568">
        <v>-33.944867387033398</v>
      </c>
      <c r="AL568">
        <v>-19.94682232740707</v>
      </c>
      <c r="AM568">
        <v>6.7011037254304444</v>
      </c>
      <c r="AN568">
        <v>6.581569975620905</v>
      </c>
    </row>
    <row r="569" spans="1:40" x14ac:dyDescent="0.25">
      <c r="A569" s="1" t="s">
        <v>947</v>
      </c>
      <c r="B569">
        <v>82378125000</v>
      </c>
      <c r="C569" t="s">
        <v>81</v>
      </c>
      <c r="D569" t="s">
        <v>127</v>
      </c>
      <c r="E569">
        <v>13126000000</v>
      </c>
      <c r="F569">
        <v>-3949000000</v>
      </c>
      <c r="G569">
        <v>-2545000000</v>
      </c>
      <c r="H569">
        <v>-4331000000</v>
      </c>
      <c r="I569">
        <v>-4705000000</v>
      </c>
      <c r="J569">
        <v>-1021000000</v>
      </c>
      <c r="K569">
        <v>4443000000</v>
      </c>
      <c r="L569">
        <v>560000000</v>
      </c>
      <c r="M569">
        <v>5003000000</v>
      </c>
      <c r="N569">
        <v>7783000000</v>
      </c>
      <c r="O569">
        <v>1255000000</v>
      </c>
      <c r="P569">
        <v>177000000</v>
      </c>
      <c r="Q569">
        <v>9311000000</v>
      </c>
      <c r="R569">
        <v>7684000000</v>
      </c>
      <c r="S569">
        <v>20507000000</v>
      </c>
      <c r="T569">
        <v>0</v>
      </c>
      <c r="U569">
        <v>1569000000</v>
      </c>
      <c r="V569">
        <v>14175000000</v>
      </c>
      <c r="W569">
        <v>86863125000</v>
      </c>
      <c r="X569">
        <v>88432125000</v>
      </c>
      <c r="Y569">
        <v>6.2759504037787597</v>
      </c>
      <c r="Z569">
        <v>-20.860502658900991</v>
      </c>
      <c r="AA569">
        <v>-32.368614931237722</v>
      </c>
      <c r="AB569">
        <v>-19.02057838836296</v>
      </c>
      <c r="AC569">
        <v>-17.508634431455899</v>
      </c>
      <c r="AD569">
        <v>-80.683765915768859</v>
      </c>
      <c r="AE569">
        <v>-22.39354899974677</v>
      </c>
      <c r="AF569">
        <v>-21.99623322360091</v>
      </c>
      <c r="AG569">
        <v>-18.795350690754521</v>
      </c>
      <c r="AH569">
        <v>-18.46187566418703</v>
      </c>
      <c r="AI569">
        <v>-34.747396856581531</v>
      </c>
      <c r="AJ569">
        <v>-20.41840798891711</v>
      </c>
      <c r="AK569">
        <v>-34.130893909626721</v>
      </c>
      <c r="AL569">
        <v>-20.056135996305699</v>
      </c>
      <c r="AM569">
        <v>6.7371724059119309</v>
      </c>
      <c r="AN569">
        <v>6.6176386561023923</v>
      </c>
    </row>
    <row r="570" spans="1:40" x14ac:dyDescent="0.25">
      <c r="A570" s="1" t="s">
        <v>946</v>
      </c>
      <c r="B570">
        <v>81582750000</v>
      </c>
      <c r="C570" t="s">
        <v>81</v>
      </c>
      <c r="D570" t="s">
        <v>127</v>
      </c>
      <c r="E570">
        <v>13126000000</v>
      </c>
      <c r="F570">
        <v>-3949000000</v>
      </c>
      <c r="G570">
        <v>-2545000000</v>
      </c>
      <c r="H570">
        <v>-4331000000</v>
      </c>
      <c r="I570">
        <v>-4705000000</v>
      </c>
      <c r="J570">
        <v>-1021000000</v>
      </c>
      <c r="K570">
        <v>4443000000</v>
      </c>
      <c r="L570">
        <v>560000000</v>
      </c>
      <c r="M570">
        <v>5003000000</v>
      </c>
      <c r="N570">
        <v>7783000000</v>
      </c>
      <c r="O570">
        <v>1255000000</v>
      </c>
      <c r="P570">
        <v>177000000</v>
      </c>
      <c r="Q570">
        <v>9311000000</v>
      </c>
      <c r="R570">
        <v>7684000000</v>
      </c>
      <c r="S570">
        <v>20507000000</v>
      </c>
      <c r="T570">
        <v>0</v>
      </c>
      <c r="U570">
        <v>1569000000</v>
      </c>
      <c r="V570">
        <v>14175000000</v>
      </c>
      <c r="W570">
        <v>86067750000</v>
      </c>
      <c r="X570">
        <v>87636750000</v>
      </c>
      <c r="Y570">
        <v>6.2153550205698611</v>
      </c>
      <c r="Z570">
        <v>-20.65909090909091</v>
      </c>
      <c r="AA570">
        <v>-32.056090373280952</v>
      </c>
      <c r="AB570">
        <v>-18.836931424613251</v>
      </c>
      <c r="AC570">
        <v>-17.33958554729012</v>
      </c>
      <c r="AD570">
        <v>-79.904750244857979</v>
      </c>
      <c r="AE570">
        <v>-22.192137249936689</v>
      </c>
      <c r="AF570">
        <v>-21.794821473790829</v>
      </c>
      <c r="AG570">
        <v>-18.626301806588739</v>
      </c>
      <c r="AH570">
        <v>-18.292826780021251</v>
      </c>
      <c r="AI570">
        <v>-34.434872298624747</v>
      </c>
      <c r="AJ570">
        <v>-20.234761025167401</v>
      </c>
      <c r="AK570">
        <v>-33.818369351669944</v>
      </c>
      <c r="AL570">
        <v>-19.87248903255599</v>
      </c>
      <c r="AM570">
        <v>6.6765770227030323</v>
      </c>
      <c r="AN570">
        <v>6.5570432728934938</v>
      </c>
    </row>
    <row r="571" spans="1:40" x14ac:dyDescent="0.25">
      <c r="A571" s="1" t="s">
        <v>945</v>
      </c>
      <c r="B571">
        <v>80919937500</v>
      </c>
      <c r="C571" t="s">
        <v>81</v>
      </c>
      <c r="D571" t="s">
        <v>127</v>
      </c>
      <c r="E571">
        <v>13126000000</v>
      </c>
      <c r="F571">
        <v>-3949000000</v>
      </c>
      <c r="G571">
        <v>-2545000000</v>
      </c>
      <c r="H571">
        <v>-4331000000</v>
      </c>
      <c r="I571">
        <v>-4705000000</v>
      </c>
      <c r="J571">
        <v>-1021000000</v>
      </c>
      <c r="K571">
        <v>4443000000</v>
      </c>
      <c r="L571">
        <v>560000000</v>
      </c>
      <c r="M571">
        <v>5003000000</v>
      </c>
      <c r="N571">
        <v>7783000000</v>
      </c>
      <c r="O571">
        <v>1255000000</v>
      </c>
      <c r="P571">
        <v>177000000</v>
      </c>
      <c r="Q571">
        <v>9311000000</v>
      </c>
      <c r="R571">
        <v>7684000000</v>
      </c>
      <c r="S571">
        <v>20507000000</v>
      </c>
      <c r="T571">
        <v>0</v>
      </c>
      <c r="U571">
        <v>1569000000</v>
      </c>
      <c r="V571">
        <v>14175000000</v>
      </c>
      <c r="W571">
        <v>85404937500</v>
      </c>
      <c r="X571">
        <v>86973937500</v>
      </c>
      <c r="Y571">
        <v>6.164858867895779</v>
      </c>
      <c r="Z571">
        <v>-20.491247784249179</v>
      </c>
      <c r="AA571">
        <v>-31.795653241650299</v>
      </c>
      <c r="AB571">
        <v>-18.68389228815516</v>
      </c>
      <c r="AC571">
        <v>-17.198711477151971</v>
      </c>
      <c r="AD571">
        <v>-79.255570519098924</v>
      </c>
      <c r="AE571">
        <v>-22.024294125094961</v>
      </c>
      <c r="AF571">
        <v>-21.626978348949098</v>
      </c>
      <c r="AG571">
        <v>-18.485427736450589</v>
      </c>
      <c r="AH571">
        <v>-18.151952709883101</v>
      </c>
      <c r="AI571">
        <v>-34.174435166994108</v>
      </c>
      <c r="AJ571">
        <v>-20.0817218887093</v>
      </c>
      <c r="AK571">
        <v>-33.557932220039291</v>
      </c>
      <c r="AL571">
        <v>-19.719449896097899</v>
      </c>
      <c r="AM571">
        <v>6.6260808700289502</v>
      </c>
      <c r="AN571">
        <v>6.5065471202194116</v>
      </c>
    </row>
    <row r="572" spans="1:40" x14ac:dyDescent="0.25">
      <c r="A572" s="1" t="s">
        <v>944</v>
      </c>
      <c r="B572">
        <v>79954125000</v>
      </c>
      <c r="C572" t="s">
        <v>81</v>
      </c>
      <c r="D572" t="s">
        <v>127</v>
      </c>
      <c r="E572">
        <v>13126000000</v>
      </c>
      <c r="F572">
        <v>-3949000000</v>
      </c>
      <c r="G572">
        <v>-2545000000</v>
      </c>
      <c r="H572">
        <v>-4331000000</v>
      </c>
      <c r="I572">
        <v>-4705000000</v>
      </c>
      <c r="J572">
        <v>-1021000000</v>
      </c>
      <c r="K572">
        <v>4443000000</v>
      </c>
      <c r="L572">
        <v>560000000</v>
      </c>
      <c r="M572">
        <v>5003000000</v>
      </c>
      <c r="N572">
        <v>7783000000</v>
      </c>
      <c r="O572">
        <v>1255000000</v>
      </c>
      <c r="P572">
        <v>177000000</v>
      </c>
      <c r="Q572">
        <v>9311000000</v>
      </c>
      <c r="R572">
        <v>7684000000</v>
      </c>
      <c r="S572">
        <v>20507000000</v>
      </c>
      <c r="T572">
        <v>0</v>
      </c>
      <c r="U572">
        <v>1569000000</v>
      </c>
      <c r="V572">
        <v>14175000000</v>
      </c>
      <c r="W572">
        <v>84439125000</v>
      </c>
      <c r="X572">
        <v>86008125000</v>
      </c>
      <c r="Y572">
        <v>6.0912787597135454</v>
      </c>
      <c r="Z572">
        <v>-20.24667637376551</v>
      </c>
      <c r="AA572">
        <v>-31.416159135559919</v>
      </c>
      <c r="AB572">
        <v>-18.460892403601939</v>
      </c>
      <c r="AC572">
        <v>-16.99343783209352</v>
      </c>
      <c r="AD572">
        <v>-78.309622918707149</v>
      </c>
      <c r="AE572">
        <v>-21.779722714611289</v>
      </c>
      <c r="AF572">
        <v>-21.382406938465429</v>
      </c>
      <c r="AG572">
        <v>-18.280154091392131</v>
      </c>
      <c r="AH572">
        <v>-17.94667906482465</v>
      </c>
      <c r="AI572">
        <v>-33.794941060903732</v>
      </c>
      <c r="AJ572">
        <v>-19.858722004156089</v>
      </c>
      <c r="AK572">
        <v>-33.178438113948921</v>
      </c>
      <c r="AL572">
        <v>-19.496450011544681</v>
      </c>
      <c r="AM572">
        <v>6.5525007618467166</v>
      </c>
      <c r="AN572">
        <v>6.432967012037178</v>
      </c>
    </row>
    <row r="573" spans="1:40" x14ac:dyDescent="0.25">
      <c r="A573" s="1" t="s">
        <v>943</v>
      </c>
      <c r="B573">
        <v>78590625000</v>
      </c>
      <c r="C573" t="s">
        <v>81</v>
      </c>
      <c r="D573" t="s">
        <v>127</v>
      </c>
      <c r="E573">
        <v>13126000000</v>
      </c>
      <c r="F573">
        <v>-3949000000</v>
      </c>
      <c r="G573">
        <v>-2545000000</v>
      </c>
      <c r="H573">
        <v>-4331000000</v>
      </c>
      <c r="I573">
        <v>-4705000000</v>
      </c>
      <c r="J573">
        <v>-1021000000</v>
      </c>
      <c r="K573">
        <v>4443000000</v>
      </c>
      <c r="L573">
        <v>560000000</v>
      </c>
      <c r="M573">
        <v>5003000000</v>
      </c>
      <c r="N573">
        <v>7783000000</v>
      </c>
      <c r="O573">
        <v>1255000000</v>
      </c>
      <c r="P573">
        <v>177000000</v>
      </c>
      <c r="Q573">
        <v>9311000000</v>
      </c>
      <c r="R573">
        <v>7684000000</v>
      </c>
      <c r="S573">
        <v>20507000000</v>
      </c>
      <c r="T573">
        <v>0</v>
      </c>
      <c r="U573">
        <v>1569000000</v>
      </c>
      <c r="V573">
        <v>14175000000</v>
      </c>
      <c r="W573">
        <v>83075625000</v>
      </c>
      <c r="X573">
        <v>84644625000</v>
      </c>
      <c r="Y573">
        <v>5.9874009599268616</v>
      </c>
      <c r="Z573">
        <v>-19.901399088376809</v>
      </c>
      <c r="AA573">
        <v>-30.880402750491161</v>
      </c>
      <c r="AB573">
        <v>-18.146069037173859</v>
      </c>
      <c r="AC573">
        <v>-16.703639744952181</v>
      </c>
      <c r="AD573">
        <v>-76.97416748285994</v>
      </c>
      <c r="AE573">
        <v>-21.434445429222588</v>
      </c>
      <c r="AF573">
        <v>-21.037129653076729</v>
      </c>
      <c r="AG573">
        <v>-17.990356004250799</v>
      </c>
      <c r="AH573">
        <v>-17.656880977683311</v>
      </c>
      <c r="AI573">
        <v>-33.259184675834973</v>
      </c>
      <c r="AJ573">
        <v>-19.54389863772801</v>
      </c>
      <c r="AK573">
        <v>-32.642681728880163</v>
      </c>
      <c r="AL573">
        <v>-19.181626645116602</v>
      </c>
      <c r="AM573">
        <v>6.4486229620600337</v>
      </c>
      <c r="AN573">
        <v>6.3290892122504951</v>
      </c>
    </row>
    <row r="574" spans="1:40" x14ac:dyDescent="0.25">
      <c r="A574" s="1" t="s">
        <v>942</v>
      </c>
      <c r="B574">
        <v>77643750000</v>
      </c>
      <c r="C574" t="s">
        <v>81</v>
      </c>
      <c r="D574" t="s">
        <v>127</v>
      </c>
      <c r="E574">
        <v>13126000000</v>
      </c>
      <c r="F574">
        <v>-3949000000</v>
      </c>
      <c r="G574">
        <v>-2545000000</v>
      </c>
      <c r="H574">
        <v>-4331000000</v>
      </c>
      <c r="I574">
        <v>-4705000000</v>
      </c>
      <c r="J574">
        <v>-1021000000</v>
      </c>
      <c r="K574">
        <v>4443000000</v>
      </c>
      <c r="L574">
        <v>560000000</v>
      </c>
      <c r="M574">
        <v>5003000000</v>
      </c>
      <c r="N574">
        <v>7783000000</v>
      </c>
      <c r="O574">
        <v>1255000000</v>
      </c>
      <c r="P574">
        <v>177000000</v>
      </c>
      <c r="Q574">
        <v>9311000000</v>
      </c>
      <c r="R574">
        <v>7684000000</v>
      </c>
      <c r="S574">
        <v>20507000000</v>
      </c>
      <c r="T574">
        <v>0</v>
      </c>
      <c r="U574">
        <v>1569000000</v>
      </c>
      <c r="V574">
        <v>14175000000</v>
      </c>
      <c r="W574">
        <v>82128750000</v>
      </c>
      <c r="X574">
        <v>83697750000</v>
      </c>
      <c r="Y574">
        <v>5.9152635989638886</v>
      </c>
      <c r="Z574">
        <v>-19.661623195745761</v>
      </c>
      <c r="AA574">
        <v>-30.508349705304521</v>
      </c>
      <c r="AB574">
        <v>-17.92744169937659</v>
      </c>
      <c r="AC574">
        <v>-16.502391073326251</v>
      </c>
      <c r="AD574">
        <v>-76.046767874632707</v>
      </c>
      <c r="AE574">
        <v>-21.19466953659154</v>
      </c>
      <c r="AF574">
        <v>-20.797353760445681</v>
      </c>
      <c r="AG574">
        <v>-17.789107332624869</v>
      </c>
      <c r="AH574">
        <v>-17.455632306057389</v>
      </c>
      <c r="AI574">
        <v>-32.887131630648327</v>
      </c>
      <c r="AJ574">
        <v>-19.32527129993073</v>
      </c>
      <c r="AK574">
        <v>-32.270628683693523</v>
      </c>
      <c r="AL574">
        <v>-18.962999307319329</v>
      </c>
      <c r="AM574">
        <v>6.376485601097059</v>
      </c>
      <c r="AN574">
        <v>6.2569518512875213</v>
      </c>
    </row>
    <row r="575" spans="1:40" x14ac:dyDescent="0.25">
      <c r="A575" s="1" t="s">
        <v>941</v>
      </c>
      <c r="B575">
        <v>77416500000</v>
      </c>
      <c r="C575" t="s">
        <v>81</v>
      </c>
      <c r="D575" t="s">
        <v>127</v>
      </c>
      <c r="E575">
        <v>13126000000</v>
      </c>
      <c r="F575">
        <v>-3949000000</v>
      </c>
      <c r="G575">
        <v>-2545000000</v>
      </c>
      <c r="H575">
        <v>-4331000000</v>
      </c>
      <c r="I575">
        <v>-4705000000</v>
      </c>
      <c r="J575">
        <v>-1021000000</v>
      </c>
      <c r="K575">
        <v>4443000000</v>
      </c>
      <c r="L575">
        <v>560000000</v>
      </c>
      <c r="M575">
        <v>5003000000</v>
      </c>
      <c r="N575">
        <v>7783000000</v>
      </c>
      <c r="O575">
        <v>1255000000</v>
      </c>
      <c r="P575">
        <v>177000000</v>
      </c>
      <c r="Q575">
        <v>9311000000</v>
      </c>
      <c r="R575">
        <v>7684000000</v>
      </c>
      <c r="S575">
        <v>20507000000</v>
      </c>
      <c r="T575">
        <v>0</v>
      </c>
      <c r="U575">
        <v>1569000000</v>
      </c>
      <c r="V575">
        <v>14175000000</v>
      </c>
      <c r="W575">
        <v>81901500000</v>
      </c>
      <c r="X575">
        <v>83470500000</v>
      </c>
      <c r="Y575">
        <v>5.8979506323327744</v>
      </c>
      <c r="Z575">
        <v>-19.604076981514311</v>
      </c>
      <c r="AA575">
        <v>-30.419056974459721</v>
      </c>
      <c r="AB575">
        <v>-17.874971138305241</v>
      </c>
      <c r="AC575">
        <v>-16.454091392136029</v>
      </c>
      <c r="AD575">
        <v>-75.824191968658184</v>
      </c>
      <c r="AE575">
        <v>-21.13712332236009</v>
      </c>
      <c r="AF575">
        <v>-20.73980754621423</v>
      </c>
      <c r="AG575">
        <v>-17.74080765143464</v>
      </c>
      <c r="AH575">
        <v>-17.407332624867159</v>
      </c>
      <c r="AI575">
        <v>-32.797838899803537</v>
      </c>
      <c r="AJ575">
        <v>-19.272800738859381</v>
      </c>
      <c r="AK575">
        <v>-32.18133595284872</v>
      </c>
      <c r="AL575">
        <v>-18.91052874624798</v>
      </c>
      <c r="AM575">
        <v>6.3591726344659456</v>
      </c>
      <c r="AN575">
        <v>6.239638884656407</v>
      </c>
    </row>
    <row r="576" spans="1:40" x14ac:dyDescent="0.25">
      <c r="A576" s="1" t="s">
        <v>940</v>
      </c>
      <c r="B576">
        <v>75484875000</v>
      </c>
      <c r="C576" t="s">
        <v>81</v>
      </c>
      <c r="D576" t="s">
        <v>127</v>
      </c>
      <c r="E576">
        <v>13126000000</v>
      </c>
      <c r="F576">
        <v>-3949000000</v>
      </c>
      <c r="G576">
        <v>-2545000000</v>
      </c>
      <c r="H576">
        <v>-4331000000</v>
      </c>
      <c r="I576">
        <v>-4705000000</v>
      </c>
      <c r="J576">
        <v>-1021000000</v>
      </c>
      <c r="K576">
        <v>4443000000</v>
      </c>
      <c r="L576">
        <v>560000000</v>
      </c>
      <c r="M576">
        <v>5003000000</v>
      </c>
      <c r="N576">
        <v>7783000000</v>
      </c>
      <c r="O576">
        <v>1255000000</v>
      </c>
      <c r="P576">
        <v>177000000</v>
      </c>
      <c r="Q576">
        <v>9311000000</v>
      </c>
      <c r="R576">
        <v>7684000000</v>
      </c>
      <c r="S576">
        <v>20507000000</v>
      </c>
      <c r="T576">
        <v>0</v>
      </c>
      <c r="U576">
        <v>1569000000</v>
      </c>
      <c r="V576">
        <v>14175000000</v>
      </c>
      <c r="W576">
        <v>79969875000</v>
      </c>
      <c r="X576">
        <v>81538875000</v>
      </c>
      <c r="Y576">
        <v>5.7507904159683072</v>
      </c>
      <c r="Z576">
        <v>-19.114934160546969</v>
      </c>
      <c r="AA576">
        <v>-29.660068762278978</v>
      </c>
      <c r="AB576">
        <v>-17.428971369198798</v>
      </c>
      <c r="AC576">
        <v>-16.04354410201913</v>
      </c>
      <c r="AD576">
        <v>-73.932296767874632</v>
      </c>
      <c r="AE576">
        <v>-20.647980501392759</v>
      </c>
      <c r="AF576">
        <v>-20.250664725246899</v>
      </c>
      <c r="AG576">
        <v>-17.330260361317752</v>
      </c>
      <c r="AH576">
        <v>-16.99678533475026</v>
      </c>
      <c r="AI576">
        <v>-32.038850687622791</v>
      </c>
      <c r="AJ576">
        <v>-18.826800969752949</v>
      </c>
      <c r="AK576">
        <v>-31.422347740667981</v>
      </c>
      <c r="AL576">
        <v>-18.464528977141541</v>
      </c>
      <c r="AM576">
        <v>6.2120124181014784</v>
      </c>
      <c r="AN576">
        <v>6.0924786682919398</v>
      </c>
    </row>
    <row r="577" spans="1:40" x14ac:dyDescent="0.25">
      <c r="A577" s="1" t="s">
        <v>939</v>
      </c>
      <c r="B577">
        <v>75655312500</v>
      </c>
      <c r="C577" t="s">
        <v>81</v>
      </c>
      <c r="D577" t="s">
        <v>127</v>
      </c>
      <c r="E577">
        <v>13126000000</v>
      </c>
      <c r="F577">
        <v>-3949000000</v>
      </c>
      <c r="G577">
        <v>-2545000000</v>
      </c>
      <c r="H577">
        <v>-4331000000</v>
      </c>
      <c r="I577">
        <v>-4705000000</v>
      </c>
      <c r="J577">
        <v>-1021000000</v>
      </c>
      <c r="K577">
        <v>4443000000</v>
      </c>
      <c r="L577">
        <v>560000000</v>
      </c>
      <c r="M577">
        <v>5003000000</v>
      </c>
      <c r="N577">
        <v>7783000000</v>
      </c>
      <c r="O577">
        <v>1255000000</v>
      </c>
      <c r="P577">
        <v>177000000</v>
      </c>
      <c r="Q577">
        <v>9311000000</v>
      </c>
      <c r="R577">
        <v>7684000000</v>
      </c>
      <c r="S577">
        <v>20507000000</v>
      </c>
      <c r="T577">
        <v>0</v>
      </c>
      <c r="U577">
        <v>1569000000</v>
      </c>
      <c r="V577">
        <v>14175000000</v>
      </c>
      <c r="W577">
        <v>80140312500</v>
      </c>
      <c r="X577">
        <v>81709312500</v>
      </c>
      <c r="Y577">
        <v>5.7637751409416422</v>
      </c>
      <c r="Z577">
        <v>-19.158093821220561</v>
      </c>
      <c r="AA577">
        <v>-29.727038310412571</v>
      </c>
      <c r="AB577">
        <v>-17.468324290002311</v>
      </c>
      <c r="AC577">
        <v>-16.079768862911791</v>
      </c>
      <c r="AD577">
        <v>-74.099228697355528</v>
      </c>
      <c r="AE577">
        <v>-20.69114016206635</v>
      </c>
      <c r="AF577">
        <v>-20.293824385920491</v>
      </c>
      <c r="AG577">
        <v>-17.36648512221041</v>
      </c>
      <c r="AH577">
        <v>-17.033010095642929</v>
      </c>
      <c r="AI577">
        <v>-32.105820235756383</v>
      </c>
      <c r="AJ577">
        <v>-18.866153890556451</v>
      </c>
      <c r="AK577">
        <v>-31.489317288801569</v>
      </c>
      <c r="AL577">
        <v>-18.50388189794505</v>
      </c>
      <c r="AM577">
        <v>6.2249971430748134</v>
      </c>
      <c r="AN577">
        <v>6.1054633932652749</v>
      </c>
    </row>
    <row r="578" spans="1:40" x14ac:dyDescent="0.25">
      <c r="A578" s="1" t="s">
        <v>938</v>
      </c>
      <c r="B578">
        <v>77643750000</v>
      </c>
      <c r="C578" t="s">
        <v>81</v>
      </c>
      <c r="D578" t="s">
        <v>127</v>
      </c>
      <c r="E578">
        <v>13126000000</v>
      </c>
      <c r="F578">
        <v>-3949000000</v>
      </c>
      <c r="G578">
        <v>-2545000000</v>
      </c>
      <c r="H578">
        <v>-4331000000</v>
      </c>
      <c r="I578">
        <v>-4705000000</v>
      </c>
      <c r="J578">
        <v>-1021000000</v>
      </c>
      <c r="K578">
        <v>4443000000</v>
      </c>
      <c r="L578">
        <v>560000000</v>
      </c>
      <c r="M578">
        <v>5003000000</v>
      </c>
      <c r="N578">
        <v>7783000000</v>
      </c>
      <c r="O578">
        <v>1255000000</v>
      </c>
      <c r="P578">
        <v>177000000</v>
      </c>
      <c r="Q578">
        <v>9311000000</v>
      </c>
      <c r="R578">
        <v>7684000000</v>
      </c>
      <c r="S578">
        <v>20507000000</v>
      </c>
      <c r="T578">
        <v>0</v>
      </c>
      <c r="U578">
        <v>1569000000</v>
      </c>
      <c r="V578">
        <v>14175000000</v>
      </c>
      <c r="W578">
        <v>82128750000</v>
      </c>
      <c r="X578">
        <v>83697750000</v>
      </c>
      <c r="Y578">
        <v>5.9152635989638886</v>
      </c>
      <c r="Z578">
        <v>-19.661623195745761</v>
      </c>
      <c r="AA578">
        <v>-30.508349705304521</v>
      </c>
      <c r="AB578">
        <v>-17.92744169937659</v>
      </c>
      <c r="AC578">
        <v>-16.502391073326251</v>
      </c>
      <c r="AD578">
        <v>-76.046767874632707</v>
      </c>
      <c r="AE578">
        <v>-21.19466953659154</v>
      </c>
      <c r="AF578">
        <v>-20.797353760445681</v>
      </c>
      <c r="AG578">
        <v>-17.789107332624869</v>
      </c>
      <c r="AH578">
        <v>-17.455632306057389</v>
      </c>
      <c r="AI578">
        <v>-32.887131630648327</v>
      </c>
      <c r="AJ578">
        <v>-19.32527129993073</v>
      </c>
      <c r="AK578">
        <v>-32.270628683693523</v>
      </c>
      <c r="AL578">
        <v>-18.962999307319329</v>
      </c>
      <c r="AM578">
        <v>6.376485601097059</v>
      </c>
      <c r="AN578">
        <v>6.2569518512875213</v>
      </c>
    </row>
    <row r="579" spans="1:40" x14ac:dyDescent="0.25">
      <c r="A579" s="1" t="s">
        <v>937</v>
      </c>
      <c r="B579">
        <v>76071937500</v>
      </c>
      <c r="C579" t="s">
        <v>81</v>
      </c>
      <c r="D579" t="s">
        <v>127</v>
      </c>
      <c r="E579">
        <v>13126000000</v>
      </c>
      <c r="F579">
        <v>-3949000000</v>
      </c>
      <c r="G579">
        <v>-2545000000</v>
      </c>
      <c r="H579">
        <v>-4331000000</v>
      </c>
      <c r="I579">
        <v>-4705000000</v>
      </c>
      <c r="J579">
        <v>-1021000000</v>
      </c>
      <c r="K579">
        <v>4443000000</v>
      </c>
      <c r="L579">
        <v>560000000</v>
      </c>
      <c r="M579">
        <v>5003000000</v>
      </c>
      <c r="N579">
        <v>7783000000</v>
      </c>
      <c r="O579">
        <v>1255000000</v>
      </c>
      <c r="P579">
        <v>177000000</v>
      </c>
      <c r="Q579">
        <v>9311000000</v>
      </c>
      <c r="R579">
        <v>7684000000</v>
      </c>
      <c r="S579">
        <v>20507000000</v>
      </c>
      <c r="T579">
        <v>0</v>
      </c>
      <c r="U579">
        <v>1569000000</v>
      </c>
      <c r="V579">
        <v>14175000000</v>
      </c>
      <c r="W579">
        <v>80556937500</v>
      </c>
      <c r="X579">
        <v>82125937500</v>
      </c>
      <c r="Y579">
        <v>5.7955155797653513</v>
      </c>
      <c r="Z579">
        <v>-19.26359521397822</v>
      </c>
      <c r="AA579">
        <v>-29.8907416502947</v>
      </c>
      <c r="AB579">
        <v>-17.564520318633111</v>
      </c>
      <c r="AC579">
        <v>-16.168318278427201</v>
      </c>
      <c r="AD579">
        <v>-74.507284524975518</v>
      </c>
      <c r="AE579">
        <v>-20.79664155482401</v>
      </c>
      <c r="AF579">
        <v>-20.399325778678151</v>
      </c>
      <c r="AG579">
        <v>-17.455034537725819</v>
      </c>
      <c r="AH579">
        <v>-17.121559511158338</v>
      </c>
      <c r="AI579">
        <v>-32.269523575638509</v>
      </c>
      <c r="AJ579">
        <v>-18.96234991918725</v>
      </c>
      <c r="AK579">
        <v>-31.653020628683699</v>
      </c>
      <c r="AL579">
        <v>-18.60007792657585</v>
      </c>
      <c r="AM579">
        <v>6.2567375818985216</v>
      </c>
      <c r="AN579">
        <v>6.1372038320889839</v>
      </c>
    </row>
    <row r="580" spans="1:40" x14ac:dyDescent="0.25">
      <c r="A580" s="1" t="s">
        <v>936</v>
      </c>
      <c r="B580">
        <v>78685312500</v>
      </c>
      <c r="C580" t="s">
        <v>81</v>
      </c>
      <c r="D580" t="s">
        <v>127</v>
      </c>
      <c r="E580">
        <v>13126000000</v>
      </c>
      <c r="F580">
        <v>-3949000000</v>
      </c>
      <c r="G580">
        <v>-2545000000</v>
      </c>
      <c r="H580">
        <v>-4331000000</v>
      </c>
      <c r="I580">
        <v>-4705000000</v>
      </c>
      <c r="J580">
        <v>-1021000000</v>
      </c>
      <c r="K580">
        <v>4443000000</v>
      </c>
      <c r="L580">
        <v>560000000</v>
      </c>
      <c r="M580">
        <v>5003000000</v>
      </c>
      <c r="N580">
        <v>7783000000</v>
      </c>
      <c r="O580">
        <v>1255000000</v>
      </c>
      <c r="P580">
        <v>177000000</v>
      </c>
      <c r="Q580">
        <v>9311000000</v>
      </c>
      <c r="R580">
        <v>7684000000</v>
      </c>
      <c r="S580">
        <v>20507000000</v>
      </c>
      <c r="T580">
        <v>0</v>
      </c>
      <c r="U580">
        <v>1569000000</v>
      </c>
      <c r="V580">
        <v>14175000000</v>
      </c>
      <c r="W580">
        <v>83170312500</v>
      </c>
      <c r="X580">
        <v>84739312500</v>
      </c>
      <c r="Y580">
        <v>5.9946146960231603</v>
      </c>
      <c r="Z580">
        <v>-19.92537667763991</v>
      </c>
      <c r="AA580">
        <v>-30.917608055009818</v>
      </c>
      <c r="AB580">
        <v>-18.16793177095359</v>
      </c>
      <c r="AC580">
        <v>-16.723764612114771</v>
      </c>
      <c r="AD580">
        <v>-77.066907443682666</v>
      </c>
      <c r="AE580">
        <v>-21.458423018485689</v>
      </c>
      <c r="AF580">
        <v>-21.06110724233983</v>
      </c>
      <c r="AG580">
        <v>-18.010480871413389</v>
      </c>
      <c r="AH580">
        <v>-17.677005844845912</v>
      </c>
      <c r="AI580">
        <v>-33.296389980353638</v>
      </c>
      <c r="AJ580">
        <v>-19.56576137150773</v>
      </c>
      <c r="AK580">
        <v>-32.679887033398821</v>
      </c>
      <c r="AL580">
        <v>-19.203489378896329</v>
      </c>
      <c r="AM580">
        <v>6.4558366981563307</v>
      </c>
      <c r="AN580">
        <v>6.336302948346793</v>
      </c>
    </row>
    <row r="581" spans="1:40" x14ac:dyDescent="0.25">
      <c r="A581" s="1" t="s">
        <v>935</v>
      </c>
      <c r="B581">
        <v>76924125000</v>
      </c>
      <c r="C581" t="s">
        <v>81</v>
      </c>
      <c r="D581" t="s">
        <v>127</v>
      </c>
      <c r="E581">
        <v>13126000000</v>
      </c>
      <c r="F581">
        <v>-3949000000</v>
      </c>
      <c r="G581">
        <v>-2545000000</v>
      </c>
      <c r="H581">
        <v>-4331000000</v>
      </c>
      <c r="I581">
        <v>-4705000000</v>
      </c>
      <c r="J581">
        <v>-1021000000</v>
      </c>
      <c r="K581">
        <v>4443000000</v>
      </c>
      <c r="L581">
        <v>560000000</v>
      </c>
      <c r="M581">
        <v>5003000000</v>
      </c>
      <c r="N581">
        <v>7783000000</v>
      </c>
      <c r="O581">
        <v>1255000000</v>
      </c>
      <c r="P581">
        <v>177000000</v>
      </c>
      <c r="Q581">
        <v>9311000000</v>
      </c>
      <c r="R581">
        <v>7684000000</v>
      </c>
      <c r="S581">
        <v>20507000000</v>
      </c>
      <c r="T581">
        <v>0</v>
      </c>
      <c r="U581">
        <v>1569000000</v>
      </c>
      <c r="V581">
        <v>14175000000</v>
      </c>
      <c r="W581">
        <v>81409125000</v>
      </c>
      <c r="X581">
        <v>82978125000</v>
      </c>
      <c r="Y581">
        <v>5.8604392046320282</v>
      </c>
      <c r="Z581">
        <v>-19.479393517346161</v>
      </c>
      <c r="AA581">
        <v>-30.225589390962671</v>
      </c>
      <c r="AB581">
        <v>-17.76128492265066</v>
      </c>
      <c r="AC581">
        <v>-16.34944208289054</v>
      </c>
      <c r="AD581">
        <v>-75.341944172380025</v>
      </c>
      <c r="AE581">
        <v>-21.01243985819195</v>
      </c>
      <c r="AF581">
        <v>-20.615124082046091</v>
      </c>
      <c r="AG581">
        <v>-17.636158342189159</v>
      </c>
      <c r="AH581">
        <v>-17.302683315621682</v>
      </c>
      <c r="AI581">
        <v>-32.604371316306477</v>
      </c>
      <c r="AJ581">
        <v>-19.159114523204799</v>
      </c>
      <c r="AK581">
        <v>-31.98786836935167</v>
      </c>
      <c r="AL581">
        <v>-18.796842530593391</v>
      </c>
      <c r="AM581">
        <v>6.3216612067651976</v>
      </c>
      <c r="AN581">
        <v>6.2021274569556608</v>
      </c>
    </row>
    <row r="582" spans="1:40" x14ac:dyDescent="0.25">
      <c r="A582" s="1" t="s">
        <v>934</v>
      </c>
      <c r="B582">
        <v>77056687500</v>
      </c>
      <c r="C582" t="s">
        <v>81</v>
      </c>
      <c r="D582" t="s">
        <v>127</v>
      </c>
      <c r="E582">
        <v>13126000000</v>
      </c>
      <c r="F582">
        <v>-3949000000</v>
      </c>
      <c r="G582">
        <v>-2545000000</v>
      </c>
      <c r="H582">
        <v>-4331000000</v>
      </c>
      <c r="I582">
        <v>-4705000000</v>
      </c>
      <c r="J582">
        <v>-1021000000</v>
      </c>
      <c r="K582">
        <v>4443000000</v>
      </c>
      <c r="L582">
        <v>560000000</v>
      </c>
      <c r="M582">
        <v>5003000000</v>
      </c>
      <c r="N582">
        <v>7783000000</v>
      </c>
      <c r="O582">
        <v>1255000000</v>
      </c>
      <c r="P582">
        <v>177000000</v>
      </c>
      <c r="Q582">
        <v>9311000000</v>
      </c>
      <c r="R582">
        <v>7684000000</v>
      </c>
      <c r="S582">
        <v>20507000000</v>
      </c>
      <c r="T582">
        <v>0</v>
      </c>
      <c r="U582">
        <v>1569000000</v>
      </c>
      <c r="V582">
        <v>14175000000</v>
      </c>
      <c r="W582">
        <v>81541687500</v>
      </c>
      <c r="X582">
        <v>83110687500</v>
      </c>
      <c r="Y582">
        <v>5.8705384351668446</v>
      </c>
      <c r="Z582">
        <v>-19.51296214231451</v>
      </c>
      <c r="AA582">
        <v>-30.2776768172888</v>
      </c>
      <c r="AB582">
        <v>-17.791892749942281</v>
      </c>
      <c r="AC582">
        <v>-16.37761689691817</v>
      </c>
      <c r="AD582">
        <v>-75.471780117531836</v>
      </c>
      <c r="AE582">
        <v>-21.046008483160289</v>
      </c>
      <c r="AF582">
        <v>-20.64869270701443</v>
      </c>
      <c r="AG582">
        <v>-17.664333156216792</v>
      </c>
      <c r="AH582">
        <v>-17.330858129649311</v>
      </c>
      <c r="AI582">
        <v>-32.656458742632623</v>
      </c>
      <c r="AJ582">
        <v>-19.189722350496421</v>
      </c>
      <c r="AK582">
        <v>-32.039955795677798</v>
      </c>
      <c r="AL582">
        <v>-18.82745035788502</v>
      </c>
      <c r="AM582">
        <v>6.3317604373000149</v>
      </c>
      <c r="AN582">
        <v>6.2122266874904772</v>
      </c>
    </row>
    <row r="583" spans="1:40" x14ac:dyDescent="0.25">
      <c r="A583" s="1" t="s">
        <v>933</v>
      </c>
      <c r="B583">
        <v>74973562500</v>
      </c>
      <c r="C583" t="s">
        <v>81</v>
      </c>
      <c r="D583" t="s">
        <v>127</v>
      </c>
      <c r="E583">
        <v>13126000000</v>
      </c>
      <c r="F583">
        <v>-3949000000</v>
      </c>
      <c r="G583">
        <v>-2545000000</v>
      </c>
      <c r="H583">
        <v>-4331000000</v>
      </c>
      <c r="I583">
        <v>-4705000000</v>
      </c>
      <c r="J583">
        <v>-1021000000</v>
      </c>
      <c r="K583">
        <v>4443000000</v>
      </c>
      <c r="L583">
        <v>560000000</v>
      </c>
      <c r="M583">
        <v>5003000000</v>
      </c>
      <c r="N583">
        <v>7783000000</v>
      </c>
      <c r="O583">
        <v>1255000000</v>
      </c>
      <c r="P583">
        <v>177000000</v>
      </c>
      <c r="Q583">
        <v>9311000000</v>
      </c>
      <c r="R583">
        <v>7684000000</v>
      </c>
      <c r="S583">
        <v>20507000000</v>
      </c>
      <c r="T583">
        <v>0</v>
      </c>
      <c r="U583">
        <v>1569000000</v>
      </c>
      <c r="V583">
        <v>14175000000</v>
      </c>
      <c r="W583">
        <v>79458562500</v>
      </c>
      <c r="X583">
        <v>81027562500</v>
      </c>
      <c r="Y583">
        <v>5.7118362410483012</v>
      </c>
      <c r="Z583">
        <v>-18.985455178526209</v>
      </c>
      <c r="AA583">
        <v>-29.459160117878191</v>
      </c>
      <c r="AB583">
        <v>-17.310912606788271</v>
      </c>
      <c r="AC583">
        <v>-15.934869819341129</v>
      </c>
      <c r="AD583">
        <v>-73.431500979431931</v>
      </c>
      <c r="AE583">
        <v>-20.518501519371991</v>
      </c>
      <c r="AF583">
        <v>-20.121185743226128</v>
      </c>
      <c r="AG583">
        <v>-17.221586078639749</v>
      </c>
      <c r="AH583">
        <v>-16.888111052072269</v>
      </c>
      <c r="AI583">
        <v>-31.837942043222</v>
      </c>
      <c r="AJ583">
        <v>-18.708742207342411</v>
      </c>
      <c r="AK583">
        <v>-31.22143909626719</v>
      </c>
      <c r="AL583">
        <v>-18.34647021473101</v>
      </c>
      <c r="AM583">
        <v>6.1730582431814716</v>
      </c>
      <c r="AN583">
        <v>6.0535244933719339</v>
      </c>
    </row>
    <row r="584" spans="1:40" x14ac:dyDescent="0.25">
      <c r="A584" s="1" t="s">
        <v>932</v>
      </c>
      <c r="B584">
        <v>74121375000</v>
      </c>
      <c r="C584" t="s">
        <v>81</v>
      </c>
      <c r="D584" t="s">
        <v>127</v>
      </c>
      <c r="E584">
        <v>13126000000</v>
      </c>
      <c r="F584">
        <v>-3949000000</v>
      </c>
      <c r="G584">
        <v>-2545000000</v>
      </c>
      <c r="H584">
        <v>-4331000000</v>
      </c>
      <c r="I584">
        <v>-4705000000</v>
      </c>
      <c r="J584">
        <v>-1021000000</v>
      </c>
      <c r="K584">
        <v>4443000000</v>
      </c>
      <c r="L584">
        <v>560000000</v>
      </c>
      <c r="M584">
        <v>5003000000</v>
      </c>
      <c r="N584">
        <v>7783000000</v>
      </c>
      <c r="O584">
        <v>1255000000</v>
      </c>
      <c r="P584">
        <v>177000000</v>
      </c>
      <c r="Q584">
        <v>9311000000</v>
      </c>
      <c r="R584">
        <v>7684000000</v>
      </c>
      <c r="S584">
        <v>20507000000</v>
      </c>
      <c r="T584">
        <v>0</v>
      </c>
      <c r="U584">
        <v>1569000000</v>
      </c>
      <c r="V584">
        <v>14175000000</v>
      </c>
      <c r="W584">
        <v>78606375000</v>
      </c>
      <c r="X584">
        <v>80175375000</v>
      </c>
      <c r="Y584">
        <v>5.6469126161816243</v>
      </c>
      <c r="Z584">
        <v>-18.769656875158269</v>
      </c>
      <c r="AA584">
        <v>-29.12431237721022</v>
      </c>
      <c r="AB584">
        <v>-17.114148002770719</v>
      </c>
      <c r="AC584">
        <v>-15.753746014877789</v>
      </c>
      <c r="AD584">
        <v>-72.596841332027424</v>
      </c>
      <c r="AE584">
        <v>-20.302703216004051</v>
      </c>
      <c r="AF584">
        <v>-19.905387439858188</v>
      </c>
      <c r="AG584">
        <v>-17.040462274176409</v>
      </c>
      <c r="AH584">
        <v>-16.706987247608929</v>
      </c>
      <c r="AI584">
        <v>-31.503094302554029</v>
      </c>
      <c r="AJ584">
        <v>-18.511977603324869</v>
      </c>
      <c r="AK584">
        <v>-30.886591355599219</v>
      </c>
      <c r="AL584">
        <v>-18.149705610713461</v>
      </c>
      <c r="AM584">
        <v>6.1081346183147947</v>
      </c>
      <c r="AN584">
        <v>5.988600868505257</v>
      </c>
    </row>
    <row r="585" spans="1:40" x14ac:dyDescent="0.25">
      <c r="A585" s="1" t="s">
        <v>931</v>
      </c>
      <c r="B585">
        <v>76924125000</v>
      </c>
      <c r="C585" t="s">
        <v>81</v>
      </c>
      <c r="D585" t="s">
        <v>127</v>
      </c>
      <c r="E585">
        <v>13126000000</v>
      </c>
      <c r="F585">
        <v>-3949000000</v>
      </c>
      <c r="G585">
        <v>-2545000000</v>
      </c>
      <c r="H585">
        <v>-4331000000</v>
      </c>
      <c r="I585">
        <v>-4705000000</v>
      </c>
      <c r="J585">
        <v>-1021000000</v>
      </c>
      <c r="K585">
        <v>4443000000</v>
      </c>
      <c r="L585">
        <v>560000000</v>
      </c>
      <c r="M585">
        <v>5003000000</v>
      </c>
      <c r="N585">
        <v>7783000000</v>
      </c>
      <c r="O585">
        <v>1255000000</v>
      </c>
      <c r="P585">
        <v>177000000</v>
      </c>
      <c r="Q585">
        <v>9311000000</v>
      </c>
      <c r="R585">
        <v>7684000000</v>
      </c>
      <c r="S585">
        <v>20507000000</v>
      </c>
      <c r="T585">
        <v>0</v>
      </c>
      <c r="U585">
        <v>1569000000</v>
      </c>
      <c r="V585">
        <v>14175000000</v>
      </c>
      <c r="W585">
        <v>81409125000</v>
      </c>
      <c r="X585">
        <v>82978125000</v>
      </c>
      <c r="Y585">
        <v>5.8604392046320282</v>
      </c>
      <c r="Z585">
        <v>-19.479393517346161</v>
      </c>
      <c r="AA585">
        <v>-30.225589390962671</v>
      </c>
      <c r="AB585">
        <v>-17.76128492265066</v>
      </c>
      <c r="AC585">
        <v>-16.34944208289054</v>
      </c>
      <c r="AD585">
        <v>-75.341944172380025</v>
      </c>
      <c r="AE585">
        <v>-21.01243985819195</v>
      </c>
      <c r="AF585">
        <v>-20.615124082046091</v>
      </c>
      <c r="AG585">
        <v>-17.636158342189159</v>
      </c>
      <c r="AH585">
        <v>-17.302683315621682</v>
      </c>
      <c r="AI585">
        <v>-32.604371316306477</v>
      </c>
      <c r="AJ585">
        <v>-19.159114523204799</v>
      </c>
      <c r="AK585">
        <v>-31.98786836935167</v>
      </c>
      <c r="AL585">
        <v>-18.796842530593391</v>
      </c>
      <c r="AM585">
        <v>6.3216612067651976</v>
      </c>
      <c r="AN585">
        <v>6.2021274569556608</v>
      </c>
    </row>
    <row r="586" spans="1:40" x14ac:dyDescent="0.25">
      <c r="A586" s="1" t="s">
        <v>930</v>
      </c>
      <c r="B586">
        <v>78401250000</v>
      </c>
      <c r="C586" t="s">
        <v>81</v>
      </c>
      <c r="D586" t="s">
        <v>127</v>
      </c>
      <c r="E586">
        <v>13126000000</v>
      </c>
      <c r="F586">
        <v>-3949000000</v>
      </c>
      <c r="G586">
        <v>-2545000000</v>
      </c>
      <c r="H586">
        <v>-4331000000</v>
      </c>
      <c r="I586">
        <v>-4705000000</v>
      </c>
      <c r="J586">
        <v>-1021000000</v>
      </c>
      <c r="K586">
        <v>4443000000</v>
      </c>
      <c r="L586">
        <v>560000000</v>
      </c>
      <c r="M586">
        <v>5003000000</v>
      </c>
      <c r="N586">
        <v>7783000000</v>
      </c>
      <c r="O586">
        <v>1255000000</v>
      </c>
      <c r="P586">
        <v>177000000</v>
      </c>
      <c r="Q586">
        <v>9311000000</v>
      </c>
      <c r="R586">
        <v>7684000000</v>
      </c>
      <c r="S586">
        <v>20507000000</v>
      </c>
      <c r="T586">
        <v>0</v>
      </c>
      <c r="U586">
        <v>1569000000</v>
      </c>
      <c r="V586">
        <v>14175000000</v>
      </c>
      <c r="W586">
        <v>82886250000</v>
      </c>
      <c r="X586">
        <v>84455250000</v>
      </c>
      <c r="Y586">
        <v>5.9729734877342677</v>
      </c>
      <c r="Z586">
        <v>-19.85344390985059</v>
      </c>
      <c r="AA586">
        <v>-30.805992141453832</v>
      </c>
      <c r="AB586">
        <v>-18.102343569614408</v>
      </c>
      <c r="AC586">
        <v>-16.663390010626991</v>
      </c>
      <c r="AD586">
        <v>-76.788687561214502</v>
      </c>
      <c r="AE586">
        <v>-21.386490250696379</v>
      </c>
      <c r="AF586">
        <v>-20.98917447455052</v>
      </c>
      <c r="AG586">
        <v>-17.950106269925609</v>
      </c>
      <c r="AH586">
        <v>-17.616631243358128</v>
      </c>
      <c r="AI586">
        <v>-33.184774066797637</v>
      </c>
      <c r="AJ586">
        <v>-19.500173170168551</v>
      </c>
      <c r="AK586">
        <v>-32.568271119842827</v>
      </c>
      <c r="AL586">
        <v>-19.137901177557151</v>
      </c>
      <c r="AM586">
        <v>6.4341954898674389</v>
      </c>
      <c r="AN586">
        <v>6.3146617400579004</v>
      </c>
    </row>
    <row r="587" spans="1:40" x14ac:dyDescent="0.25">
      <c r="A587" s="1" t="s">
        <v>929</v>
      </c>
      <c r="B587">
        <v>76356000000</v>
      </c>
      <c r="C587" t="s">
        <v>81</v>
      </c>
      <c r="D587" t="s">
        <v>127</v>
      </c>
      <c r="E587">
        <v>13126000000</v>
      </c>
      <c r="F587">
        <v>-3949000000</v>
      </c>
      <c r="G587">
        <v>-2545000000</v>
      </c>
      <c r="H587">
        <v>-4331000000</v>
      </c>
      <c r="I587">
        <v>-4705000000</v>
      </c>
      <c r="J587">
        <v>-1021000000</v>
      </c>
      <c r="K587">
        <v>4443000000</v>
      </c>
      <c r="L587">
        <v>560000000</v>
      </c>
      <c r="M587">
        <v>5003000000</v>
      </c>
      <c r="N587">
        <v>7783000000</v>
      </c>
      <c r="O587">
        <v>1255000000</v>
      </c>
      <c r="P587">
        <v>177000000</v>
      </c>
      <c r="Q587">
        <v>9311000000</v>
      </c>
      <c r="R587">
        <v>7684000000</v>
      </c>
      <c r="S587">
        <v>20507000000</v>
      </c>
      <c r="T587">
        <v>0</v>
      </c>
      <c r="U587">
        <v>1569000000</v>
      </c>
      <c r="V587">
        <v>14175000000</v>
      </c>
      <c r="W587">
        <v>80841000000</v>
      </c>
      <c r="X587">
        <v>82410000000</v>
      </c>
      <c r="Y587">
        <v>5.8171567880542439</v>
      </c>
      <c r="Z587">
        <v>-19.335527981767541</v>
      </c>
      <c r="AA587">
        <v>-30.002357563850691</v>
      </c>
      <c r="AB587">
        <v>-17.630108519972289</v>
      </c>
      <c r="AC587">
        <v>-16.228692879914981</v>
      </c>
      <c r="AD587">
        <v>-74.785504407443682</v>
      </c>
      <c r="AE587">
        <v>-20.86857432261332</v>
      </c>
      <c r="AF587">
        <v>-20.47125854646746</v>
      </c>
      <c r="AG587">
        <v>-17.515409139213599</v>
      </c>
      <c r="AH587">
        <v>-17.181934112646118</v>
      </c>
      <c r="AI587">
        <v>-32.381139489194503</v>
      </c>
      <c r="AJ587">
        <v>-19.027938120526439</v>
      </c>
      <c r="AK587">
        <v>-31.764636542239689</v>
      </c>
      <c r="AL587">
        <v>-18.665666127915031</v>
      </c>
      <c r="AM587">
        <v>6.2783787901874142</v>
      </c>
      <c r="AN587">
        <v>6.1588450403778756</v>
      </c>
    </row>
    <row r="588" spans="1:40" x14ac:dyDescent="0.25">
      <c r="A588" s="1" t="s">
        <v>928</v>
      </c>
      <c r="B588">
        <v>77549062500</v>
      </c>
      <c r="C588" t="s">
        <v>81</v>
      </c>
      <c r="D588" t="s">
        <v>127</v>
      </c>
      <c r="E588">
        <v>13126000000</v>
      </c>
      <c r="F588">
        <v>-3949000000</v>
      </c>
      <c r="G588">
        <v>-2545000000</v>
      </c>
      <c r="H588">
        <v>-4331000000</v>
      </c>
      <c r="I588">
        <v>-4705000000</v>
      </c>
      <c r="J588">
        <v>-1021000000</v>
      </c>
      <c r="K588">
        <v>4443000000</v>
      </c>
      <c r="L588">
        <v>560000000</v>
      </c>
      <c r="M588">
        <v>5003000000</v>
      </c>
      <c r="N588">
        <v>7783000000</v>
      </c>
      <c r="O588">
        <v>1255000000</v>
      </c>
      <c r="P588">
        <v>177000000</v>
      </c>
      <c r="Q588">
        <v>9311000000</v>
      </c>
      <c r="R588">
        <v>7684000000</v>
      </c>
      <c r="S588">
        <v>20507000000</v>
      </c>
      <c r="T588">
        <v>0</v>
      </c>
      <c r="U588">
        <v>1569000000</v>
      </c>
      <c r="V588">
        <v>14175000000</v>
      </c>
      <c r="W588">
        <v>82034062500</v>
      </c>
      <c r="X588">
        <v>83603062500</v>
      </c>
      <c r="Y588">
        <v>5.9080498628675908</v>
      </c>
      <c r="Z588">
        <v>-19.63764560648265</v>
      </c>
      <c r="AA588">
        <v>-30.47114440078585</v>
      </c>
      <c r="AB588">
        <v>-17.90557896559686</v>
      </c>
      <c r="AC588">
        <v>-16.482266206163651</v>
      </c>
      <c r="AD588">
        <v>-75.954027913809995</v>
      </c>
      <c r="AE588">
        <v>-21.170691947328439</v>
      </c>
      <c r="AF588">
        <v>-20.77337617118258</v>
      </c>
      <c r="AG588">
        <v>-17.768982465462269</v>
      </c>
      <c r="AH588">
        <v>-17.435507438894788</v>
      </c>
      <c r="AI588">
        <v>-32.849926326129669</v>
      </c>
      <c r="AJ588">
        <v>-19.303408566150999</v>
      </c>
      <c r="AK588">
        <v>-32.233423379174852</v>
      </c>
      <c r="AL588">
        <v>-18.941136573539598</v>
      </c>
      <c r="AM588">
        <v>6.369271865000762</v>
      </c>
      <c r="AN588">
        <v>6.2497381151912226</v>
      </c>
    </row>
    <row r="589" spans="1:40" x14ac:dyDescent="0.25">
      <c r="A589" s="1" t="s">
        <v>927</v>
      </c>
      <c r="B589">
        <v>75882562500</v>
      </c>
      <c r="C589" t="s">
        <v>81</v>
      </c>
      <c r="D589" t="s">
        <v>127</v>
      </c>
      <c r="E589">
        <v>13126000000</v>
      </c>
      <c r="F589">
        <v>-3949000000</v>
      </c>
      <c r="G589">
        <v>-2545000000</v>
      </c>
      <c r="H589">
        <v>-4331000000</v>
      </c>
      <c r="I589">
        <v>-4705000000</v>
      </c>
      <c r="J589">
        <v>-1021000000</v>
      </c>
      <c r="K589">
        <v>4443000000</v>
      </c>
      <c r="L589">
        <v>560000000</v>
      </c>
      <c r="M589">
        <v>5003000000</v>
      </c>
      <c r="N589">
        <v>7783000000</v>
      </c>
      <c r="O589">
        <v>1255000000</v>
      </c>
      <c r="P589">
        <v>177000000</v>
      </c>
      <c r="Q589">
        <v>9311000000</v>
      </c>
      <c r="R589">
        <v>7684000000</v>
      </c>
      <c r="S589">
        <v>20507000000</v>
      </c>
      <c r="T589">
        <v>0</v>
      </c>
      <c r="U589">
        <v>1569000000</v>
      </c>
      <c r="V589">
        <v>14175000000</v>
      </c>
      <c r="W589">
        <v>80367562500</v>
      </c>
      <c r="X589">
        <v>81936562500</v>
      </c>
      <c r="Y589">
        <v>5.7810881075727556</v>
      </c>
      <c r="Z589">
        <v>-19.215640035452012</v>
      </c>
      <c r="AA589">
        <v>-29.816331041257371</v>
      </c>
      <c r="AB589">
        <v>-17.52079485107366</v>
      </c>
      <c r="AC589">
        <v>-16.128068544102021</v>
      </c>
      <c r="AD589">
        <v>-74.321804603330065</v>
      </c>
      <c r="AE589">
        <v>-20.748686376297801</v>
      </c>
      <c r="AF589">
        <v>-20.351370600151942</v>
      </c>
      <c r="AG589">
        <v>-17.414784803400639</v>
      </c>
      <c r="AH589">
        <v>-17.081309776833159</v>
      </c>
      <c r="AI589">
        <v>-32.195112966601179</v>
      </c>
      <c r="AJ589">
        <v>-18.918624451627799</v>
      </c>
      <c r="AK589">
        <v>-31.578610019646369</v>
      </c>
      <c r="AL589">
        <v>-18.556352459016399</v>
      </c>
      <c r="AM589">
        <v>6.2423101097059268</v>
      </c>
      <c r="AN589">
        <v>6.1227763598963891</v>
      </c>
    </row>
    <row r="590" spans="1:40" x14ac:dyDescent="0.25">
      <c r="A590" s="1" t="s">
        <v>926</v>
      </c>
      <c r="B590">
        <v>76412812500</v>
      </c>
      <c r="C590" t="s">
        <v>81</v>
      </c>
      <c r="D590" t="s">
        <v>127</v>
      </c>
      <c r="E590">
        <v>13126000000</v>
      </c>
      <c r="F590">
        <v>-3949000000</v>
      </c>
      <c r="G590">
        <v>-2545000000</v>
      </c>
      <c r="H590">
        <v>-4331000000</v>
      </c>
      <c r="I590">
        <v>-4705000000</v>
      </c>
      <c r="J590">
        <v>-1021000000</v>
      </c>
      <c r="K590">
        <v>4443000000</v>
      </c>
      <c r="L590">
        <v>560000000</v>
      </c>
      <c r="M590">
        <v>5003000000</v>
      </c>
      <c r="N590">
        <v>7783000000</v>
      </c>
      <c r="O590">
        <v>1255000000</v>
      </c>
      <c r="P590">
        <v>177000000</v>
      </c>
      <c r="Q590">
        <v>9311000000</v>
      </c>
      <c r="R590">
        <v>7684000000</v>
      </c>
      <c r="S590">
        <v>20507000000</v>
      </c>
      <c r="T590">
        <v>0</v>
      </c>
      <c r="U590">
        <v>1569000000</v>
      </c>
      <c r="V590">
        <v>14175000000</v>
      </c>
      <c r="W590">
        <v>80897812500</v>
      </c>
      <c r="X590">
        <v>82466812500</v>
      </c>
      <c r="Y590">
        <v>5.8214850297120222</v>
      </c>
      <c r="Z590">
        <v>-19.3499145353254</v>
      </c>
      <c r="AA590">
        <v>-30.024680746561881</v>
      </c>
      <c r="AB590">
        <v>-17.643226160240129</v>
      </c>
      <c r="AC590">
        <v>-16.240767800212542</v>
      </c>
      <c r="AD590">
        <v>-74.841148383937323</v>
      </c>
      <c r="AE590">
        <v>-20.882960876171179</v>
      </c>
      <c r="AF590">
        <v>-20.485645100025319</v>
      </c>
      <c r="AG590">
        <v>-17.52748405951116</v>
      </c>
      <c r="AH590">
        <v>-17.194009032943679</v>
      </c>
      <c r="AI590">
        <v>-32.4034626719057</v>
      </c>
      <c r="AJ590">
        <v>-19.041055760794269</v>
      </c>
      <c r="AK590">
        <v>-31.786959724950879</v>
      </c>
      <c r="AL590">
        <v>-18.678783768182871</v>
      </c>
      <c r="AM590">
        <v>6.2827070318451934</v>
      </c>
      <c r="AN590">
        <v>6.1631732820356548</v>
      </c>
    </row>
    <row r="591" spans="1:40" x14ac:dyDescent="0.25">
      <c r="A591" s="1" t="s">
        <v>925</v>
      </c>
      <c r="B591">
        <v>75541687500</v>
      </c>
      <c r="C591" t="s">
        <v>81</v>
      </c>
      <c r="D591" t="s">
        <v>127</v>
      </c>
      <c r="E591">
        <v>13126000000</v>
      </c>
      <c r="F591">
        <v>-3949000000</v>
      </c>
      <c r="G591">
        <v>-2545000000</v>
      </c>
      <c r="H591">
        <v>-4331000000</v>
      </c>
      <c r="I591">
        <v>-4705000000</v>
      </c>
      <c r="J591">
        <v>-1021000000</v>
      </c>
      <c r="K591">
        <v>4443000000</v>
      </c>
      <c r="L591">
        <v>560000000</v>
      </c>
      <c r="M591">
        <v>5003000000</v>
      </c>
      <c r="N591">
        <v>7783000000</v>
      </c>
      <c r="O591">
        <v>1255000000</v>
      </c>
      <c r="P591">
        <v>177000000</v>
      </c>
      <c r="Q591">
        <v>9311000000</v>
      </c>
      <c r="R591">
        <v>7684000000</v>
      </c>
      <c r="S591">
        <v>20507000000</v>
      </c>
      <c r="T591">
        <v>0</v>
      </c>
      <c r="U591">
        <v>1569000000</v>
      </c>
      <c r="V591">
        <v>14175000000</v>
      </c>
      <c r="W591">
        <v>80026687500</v>
      </c>
      <c r="X591">
        <v>81595687500</v>
      </c>
      <c r="Y591">
        <v>5.7551186576260864</v>
      </c>
      <c r="Z591">
        <v>-19.129320714104839</v>
      </c>
      <c r="AA591">
        <v>-29.682391944990179</v>
      </c>
      <c r="AB591">
        <v>-17.442089009466631</v>
      </c>
      <c r="AC591">
        <v>-16.05561902231668</v>
      </c>
      <c r="AD591">
        <v>-73.98794074436826</v>
      </c>
      <c r="AE591">
        <v>-20.662367054950622</v>
      </c>
      <c r="AF591">
        <v>-20.265051278804759</v>
      </c>
      <c r="AG591">
        <v>-17.342335281615298</v>
      </c>
      <c r="AH591">
        <v>-17.008860255047821</v>
      </c>
      <c r="AI591">
        <v>-32.061173870333988</v>
      </c>
      <c r="AJ591">
        <v>-18.839918610020781</v>
      </c>
      <c r="AK591">
        <v>-31.444670923379171</v>
      </c>
      <c r="AL591">
        <v>-18.47764661740937</v>
      </c>
      <c r="AM591">
        <v>6.2163406597592568</v>
      </c>
      <c r="AN591">
        <v>6.0968069099497182</v>
      </c>
    </row>
    <row r="592" spans="1:40" x14ac:dyDescent="0.25">
      <c r="A592" s="1" t="s">
        <v>924</v>
      </c>
      <c r="B592">
        <v>75882562500</v>
      </c>
      <c r="C592" t="s">
        <v>81</v>
      </c>
      <c r="D592" t="s">
        <v>127</v>
      </c>
      <c r="E592">
        <v>13126000000</v>
      </c>
      <c r="F592">
        <v>-3949000000</v>
      </c>
      <c r="G592">
        <v>-2545000000</v>
      </c>
      <c r="H592">
        <v>-4331000000</v>
      </c>
      <c r="I592">
        <v>-4705000000</v>
      </c>
      <c r="J592">
        <v>-1021000000</v>
      </c>
      <c r="K592">
        <v>4443000000</v>
      </c>
      <c r="L592">
        <v>560000000</v>
      </c>
      <c r="M592">
        <v>5003000000</v>
      </c>
      <c r="N592">
        <v>7783000000</v>
      </c>
      <c r="O592">
        <v>1255000000</v>
      </c>
      <c r="P592">
        <v>177000000</v>
      </c>
      <c r="Q592">
        <v>9311000000</v>
      </c>
      <c r="R592">
        <v>7684000000</v>
      </c>
      <c r="S592">
        <v>20507000000</v>
      </c>
      <c r="T592">
        <v>0</v>
      </c>
      <c r="U592">
        <v>1569000000</v>
      </c>
      <c r="V592">
        <v>14175000000</v>
      </c>
      <c r="W592">
        <v>80367562500</v>
      </c>
      <c r="X592">
        <v>81936562500</v>
      </c>
      <c r="Y592">
        <v>5.7810881075727556</v>
      </c>
      <c r="Z592">
        <v>-19.215640035452012</v>
      </c>
      <c r="AA592">
        <v>-29.816331041257371</v>
      </c>
      <c r="AB592">
        <v>-17.52079485107366</v>
      </c>
      <c r="AC592">
        <v>-16.128068544102021</v>
      </c>
      <c r="AD592">
        <v>-74.321804603330065</v>
      </c>
      <c r="AE592">
        <v>-20.748686376297801</v>
      </c>
      <c r="AF592">
        <v>-20.351370600151942</v>
      </c>
      <c r="AG592">
        <v>-17.414784803400639</v>
      </c>
      <c r="AH592">
        <v>-17.081309776833159</v>
      </c>
      <c r="AI592">
        <v>-32.195112966601179</v>
      </c>
      <c r="AJ592">
        <v>-18.918624451627799</v>
      </c>
      <c r="AK592">
        <v>-31.578610019646369</v>
      </c>
      <c r="AL592">
        <v>-18.556352459016399</v>
      </c>
      <c r="AM592">
        <v>6.2423101097059268</v>
      </c>
      <c r="AN592">
        <v>6.1227763598963891</v>
      </c>
    </row>
    <row r="593" spans="1:40" x14ac:dyDescent="0.25">
      <c r="A593" s="1" t="s">
        <v>923</v>
      </c>
      <c r="B593">
        <v>73875187500</v>
      </c>
      <c r="C593" t="s">
        <v>81</v>
      </c>
      <c r="D593" t="s">
        <v>127</v>
      </c>
      <c r="E593">
        <v>13126000000</v>
      </c>
      <c r="F593">
        <v>-3949000000</v>
      </c>
      <c r="G593">
        <v>-2545000000</v>
      </c>
      <c r="H593">
        <v>-4331000000</v>
      </c>
      <c r="I593">
        <v>-4705000000</v>
      </c>
      <c r="J593">
        <v>-1021000000</v>
      </c>
      <c r="K593">
        <v>4443000000</v>
      </c>
      <c r="L593">
        <v>560000000</v>
      </c>
      <c r="M593">
        <v>5003000000</v>
      </c>
      <c r="N593">
        <v>7783000000</v>
      </c>
      <c r="O593">
        <v>1255000000</v>
      </c>
      <c r="P593">
        <v>177000000</v>
      </c>
      <c r="Q593">
        <v>9311000000</v>
      </c>
      <c r="R593">
        <v>7684000000</v>
      </c>
      <c r="S593">
        <v>20507000000</v>
      </c>
      <c r="T593">
        <v>0</v>
      </c>
      <c r="U593">
        <v>1569000000</v>
      </c>
      <c r="V593">
        <v>14175000000</v>
      </c>
      <c r="W593">
        <v>78360187500</v>
      </c>
      <c r="X593">
        <v>79929187500</v>
      </c>
      <c r="Y593">
        <v>5.6281569023312512</v>
      </c>
      <c r="Z593">
        <v>-18.707315143074201</v>
      </c>
      <c r="AA593">
        <v>-29.02757858546169</v>
      </c>
      <c r="AB593">
        <v>-17.057304894943432</v>
      </c>
      <c r="AC593">
        <v>-15.701421360255051</v>
      </c>
      <c r="AD593">
        <v>-72.355717433888344</v>
      </c>
      <c r="AE593">
        <v>-20.24036148391998</v>
      </c>
      <c r="AF593">
        <v>-19.84304570777412</v>
      </c>
      <c r="AG593">
        <v>-16.988137619553669</v>
      </c>
      <c r="AH593">
        <v>-16.654662592986181</v>
      </c>
      <c r="AI593">
        <v>-31.406360510805499</v>
      </c>
      <c r="AJ593">
        <v>-18.455134495497571</v>
      </c>
      <c r="AK593">
        <v>-30.789857563850688</v>
      </c>
      <c r="AL593">
        <v>-18.09286250288617</v>
      </c>
      <c r="AM593">
        <v>6.0893789044644224</v>
      </c>
      <c r="AN593">
        <v>5.9698451546548839</v>
      </c>
    </row>
    <row r="594" spans="1:40" x14ac:dyDescent="0.25">
      <c r="A594" s="1" t="s">
        <v>922</v>
      </c>
      <c r="B594">
        <v>72871500000</v>
      </c>
      <c r="C594" t="s">
        <v>81</v>
      </c>
      <c r="D594" t="s">
        <v>127</v>
      </c>
      <c r="E594">
        <v>13126000000</v>
      </c>
      <c r="F594">
        <v>-3949000000</v>
      </c>
      <c r="G594">
        <v>-2545000000</v>
      </c>
      <c r="H594">
        <v>-4331000000</v>
      </c>
      <c r="I594">
        <v>-4705000000</v>
      </c>
      <c r="J594">
        <v>-1021000000</v>
      </c>
      <c r="K594">
        <v>4443000000</v>
      </c>
      <c r="L594">
        <v>560000000</v>
      </c>
      <c r="M594">
        <v>5003000000</v>
      </c>
      <c r="N594">
        <v>7783000000</v>
      </c>
      <c r="O594">
        <v>1255000000</v>
      </c>
      <c r="P594">
        <v>177000000</v>
      </c>
      <c r="Q594">
        <v>9311000000</v>
      </c>
      <c r="R594">
        <v>7684000000</v>
      </c>
      <c r="S594">
        <v>20507000000</v>
      </c>
      <c r="T594">
        <v>0</v>
      </c>
      <c r="U594">
        <v>1569000000</v>
      </c>
      <c r="V594">
        <v>14175000000</v>
      </c>
      <c r="W594">
        <v>77356500000</v>
      </c>
      <c r="X594">
        <v>78925500000</v>
      </c>
      <c r="Y594">
        <v>5.5516912997104981</v>
      </c>
      <c r="Z594">
        <v>-18.45315269688529</v>
      </c>
      <c r="AA594">
        <v>-28.633202357563849</v>
      </c>
      <c r="AB594">
        <v>-16.825559916878319</v>
      </c>
      <c r="AC594">
        <v>-15.48809776833156</v>
      </c>
      <c r="AD594">
        <v>-71.372673849167484</v>
      </c>
      <c r="AE594">
        <v>-19.986199037731069</v>
      </c>
      <c r="AF594">
        <v>-19.58888326158521</v>
      </c>
      <c r="AG594">
        <v>-16.774814027630178</v>
      </c>
      <c r="AH594">
        <v>-16.441339001062701</v>
      </c>
      <c r="AI594">
        <v>-31.011984282907662</v>
      </c>
      <c r="AJ594">
        <v>-18.223389517432459</v>
      </c>
      <c r="AK594">
        <v>-30.395481335952852</v>
      </c>
      <c r="AL594">
        <v>-17.861117524821061</v>
      </c>
      <c r="AM594">
        <v>6.0129133018436693</v>
      </c>
      <c r="AN594">
        <v>5.8933795520341308</v>
      </c>
    </row>
    <row r="595" spans="1:40" x14ac:dyDescent="0.25">
      <c r="A595" s="1" t="s">
        <v>921</v>
      </c>
      <c r="B595">
        <v>74841000000</v>
      </c>
      <c r="C595" t="s">
        <v>81</v>
      </c>
      <c r="D595" t="s">
        <v>127</v>
      </c>
      <c r="E595">
        <v>13126000000</v>
      </c>
      <c r="F595">
        <v>-3949000000</v>
      </c>
      <c r="G595">
        <v>-2545000000</v>
      </c>
      <c r="H595">
        <v>-4331000000</v>
      </c>
      <c r="I595">
        <v>-4705000000</v>
      </c>
      <c r="J595">
        <v>-1021000000</v>
      </c>
      <c r="K595">
        <v>4443000000</v>
      </c>
      <c r="L595">
        <v>560000000</v>
      </c>
      <c r="M595">
        <v>5003000000</v>
      </c>
      <c r="N595">
        <v>7783000000</v>
      </c>
      <c r="O595">
        <v>1255000000</v>
      </c>
      <c r="P595">
        <v>177000000</v>
      </c>
      <c r="Q595">
        <v>9311000000</v>
      </c>
      <c r="R595">
        <v>7684000000</v>
      </c>
      <c r="S595">
        <v>20507000000</v>
      </c>
      <c r="T595">
        <v>0</v>
      </c>
      <c r="U595">
        <v>1569000000</v>
      </c>
      <c r="V595">
        <v>14175000000</v>
      </c>
      <c r="W595">
        <v>79326000000</v>
      </c>
      <c r="X595">
        <v>80895000000</v>
      </c>
      <c r="Y595">
        <v>5.7017370105134848</v>
      </c>
      <c r="Z595">
        <v>-18.951886553557859</v>
      </c>
      <c r="AA595">
        <v>-29.407072691552059</v>
      </c>
      <c r="AB595">
        <v>-17.28030477949665</v>
      </c>
      <c r="AC595">
        <v>-15.9066950053135</v>
      </c>
      <c r="AD595">
        <v>-73.30166503428012</v>
      </c>
      <c r="AE595">
        <v>-20.484932894403649</v>
      </c>
      <c r="AF595">
        <v>-20.087617118257789</v>
      </c>
      <c r="AG595">
        <v>-17.19341126461212</v>
      </c>
      <c r="AH595">
        <v>-16.859936238044629</v>
      </c>
      <c r="AI595">
        <v>-31.785854616895879</v>
      </c>
      <c r="AJ595">
        <v>-18.6781343800508</v>
      </c>
      <c r="AK595">
        <v>-31.169351669941062</v>
      </c>
      <c r="AL595">
        <v>-18.315862387439392</v>
      </c>
      <c r="AM595">
        <v>6.1629590126466551</v>
      </c>
      <c r="AN595">
        <v>6.0434252628371166</v>
      </c>
    </row>
    <row r="596" spans="1:40" x14ac:dyDescent="0.25">
      <c r="A596" s="1" t="s">
        <v>920</v>
      </c>
      <c r="B596">
        <v>75276562500</v>
      </c>
      <c r="C596" t="s">
        <v>81</v>
      </c>
      <c r="D596" t="s">
        <v>127</v>
      </c>
      <c r="E596">
        <v>13126000000</v>
      </c>
      <c r="F596">
        <v>-3949000000</v>
      </c>
      <c r="G596">
        <v>-2545000000</v>
      </c>
      <c r="H596">
        <v>-4331000000</v>
      </c>
      <c r="I596">
        <v>-4705000000</v>
      </c>
      <c r="J596">
        <v>-1021000000</v>
      </c>
      <c r="K596">
        <v>4443000000</v>
      </c>
      <c r="L596">
        <v>560000000</v>
      </c>
      <c r="M596">
        <v>5003000000</v>
      </c>
      <c r="N596">
        <v>7783000000</v>
      </c>
      <c r="O596">
        <v>1255000000</v>
      </c>
      <c r="P596">
        <v>177000000</v>
      </c>
      <c r="Q596">
        <v>9311000000</v>
      </c>
      <c r="R596">
        <v>7684000000</v>
      </c>
      <c r="S596">
        <v>20507000000</v>
      </c>
      <c r="T596">
        <v>0</v>
      </c>
      <c r="U596">
        <v>1569000000</v>
      </c>
      <c r="V596">
        <v>14175000000</v>
      </c>
      <c r="W596">
        <v>79761562500</v>
      </c>
      <c r="X596">
        <v>81330562500</v>
      </c>
      <c r="Y596">
        <v>5.7349201965564527</v>
      </c>
      <c r="Z596">
        <v>-19.06218346416814</v>
      </c>
      <c r="AA596">
        <v>-29.578217092337919</v>
      </c>
      <c r="AB596">
        <v>-17.380873354883398</v>
      </c>
      <c r="AC596">
        <v>-15.99926939426142</v>
      </c>
      <c r="AD596">
        <v>-73.728268854064638</v>
      </c>
      <c r="AE596">
        <v>-20.595229805013929</v>
      </c>
      <c r="AF596">
        <v>-20.19791402886807</v>
      </c>
      <c r="AG596">
        <v>-17.28598565356004</v>
      </c>
      <c r="AH596">
        <v>-16.952510626992559</v>
      </c>
      <c r="AI596">
        <v>-31.956999017681731</v>
      </c>
      <c r="AJ596">
        <v>-18.778702955437542</v>
      </c>
      <c r="AK596">
        <v>-31.34049607072691</v>
      </c>
      <c r="AL596">
        <v>-18.416430962826141</v>
      </c>
      <c r="AM596">
        <v>6.1961421986896239</v>
      </c>
      <c r="AN596">
        <v>6.0766084488800853</v>
      </c>
    </row>
    <row r="597" spans="1:40" x14ac:dyDescent="0.25">
      <c r="A597" s="1" t="s">
        <v>919</v>
      </c>
      <c r="B597">
        <v>75352312500</v>
      </c>
      <c r="C597" t="s">
        <v>81</v>
      </c>
      <c r="D597" t="s">
        <v>127</v>
      </c>
      <c r="E597">
        <v>13126000000</v>
      </c>
      <c r="F597">
        <v>-3949000000</v>
      </c>
      <c r="G597">
        <v>-2545000000</v>
      </c>
      <c r="H597">
        <v>-4331000000</v>
      </c>
      <c r="I597">
        <v>-4705000000</v>
      </c>
      <c r="J597">
        <v>-1021000000</v>
      </c>
      <c r="K597">
        <v>4443000000</v>
      </c>
      <c r="L597">
        <v>560000000</v>
      </c>
      <c r="M597">
        <v>5003000000</v>
      </c>
      <c r="N597">
        <v>7783000000</v>
      </c>
      <c r="O597">
        <v>1255000000</v>
      </c>
      <c r="P597">
        <v>177000000</v>
      </c>
      <c r="Q597">
        <v>9311000000</v>
      </c>
      <c r="R597">
        <v>7684000000</v>
      </c>
      <c r="S597">
        <v>20507000000</v>
      </c>
      <c r="T597">
        <v>0</v>
      </c>
      <c r="U597">
        <v>1569000000</v>
      </c>
      <c r="V597">
        <v>14175000000</v>
      </c>
      <c r="W597">
        <v>79837312500</v>
      </c>
      <c r="X597">
        <v>81406312500</v>
      </c>
      <c r="Y597">
        <v>5.7406911854334908</v>
      </c>
      <c r="Z597">
        <v>-19.08136553557863</v>
      </c>
      <c r="AA597">
        <v>-29.60798133595285</v>
      </c>
      <c r="AB597">
        <v>-17.39836354190718</v>
      </c>
      <c r="AC597">
        <v>-16.015369287991501</v>
      </c>
      <c r="AD597">
        <v>-73.802460822722821</v>
      </c>
      <c r="AE597">
        <v>-20.614411876424409</v>
      </c>
      <c r="AF597">
        <v>-20.21709610027855</v>
      </c>
      <c r="AG597">
        <v>-17.302085547290119</v>
      </c>
      <c r="AH597">
        <v>-16.968610520722631</v>
      </c>
      <c r="AI597">
        <v>-31.986763261296659</v>
      </c>
      <c r="AJ597">
        <v>-18.79619314246133</v>
      </c>
      <c r="AK597">
        <v>-31.370260314341849</v>
      </c>
      <c r="AL597">
        <v>-18.433921149849919</v>
      </c>
      <c r="AM597">
        <v>6.201913187566662</v>
      </c>
      <c r="AN597">
        <v>6.0823794377571234</v>
      </c>
    </row>
    <row r="598" spans="1:40" x14ac:dyDescent="0.25">
      <c r="A598" s="1" t="s">
        <v>918</v>
      </c>
      <c r="B598">
        <v>84006750000</v>
      </c>
      <c r="C598" t="s">
        <v>81</v>
      </c>
      <c r="D598" t="s">
        <v>127</v>
      </c>
      <c r="E598">
        <v>13126000000</v>
      </c>
      <c r="F598">
        <v>-3949000000</v>
      </c>
      <c r="G598">
        <v>-2545000000</v>
      </c>
      <c r="H598">
        <v>-4331000000</v>
      </c>
      <c r="I598">
        <v>-4705000000</v>
      </c>
      <c r="J598">
        <v>-1021000000</v>
      </c>
      <c r="K598">
        <v>4443000000</v>
      </c>
      <c r="L598">
        <v>560000000</v>
      </c>
      <c r="M598">
        <v>5003000000</v>
      </c>
      <c r="N598">
        <v>7783000000</v>
      </c>
      <c r="O598">
        <v>1255000000</v>
      </c>
      <c r="P598">
        <v>177000000</v>
      </c>
      <c r="Q598">
        <v>9311000000</v>
      </c>
      <c r="R598">
        <v>7684000000</v>
      </c>
      <c r="S598">
        <v>20507000000</v>
      </c>
      <c r="T598">
        <v>0</v>
      </c>
      <c r="U598">
        <v>1569000000</v>
      </c>
      <c r="V598">
        <v>14175000000</v>
      </c>
      <c r="W598">
        <v>88491750000</v>
      </c>
      <c r="X598">
        <v>90060750000</v>
      </c>
      <c r="Y598">
        <v>6.4000266646350754</v>
      </c>
      <c r="Z598">
        <v>-21.272917194226391</v>
      </c>
      <c r="AA598">
        <v>-33.008546168958738</v>
      </c>
      <c r="AB598">
        <v>-19.396617409374279</v>
      </c>
      <c r="AC598">
        <v>-17.8547821466525</v>
      </c>
      <c r="AD598">
        <v>-82.27889324191969</v>
      </c>
      <c r="AE598">
        <v>-22.80596353507217</v>
      </c>
      <c r="AF598">
        <v>-22.40864775892631</v>
      </c>
      <c r="AG598">
        <v>-19.141498405951111</v>
      </c>
      <c r="AH598">
        <v>-18.808023379383631</v>
      </c>
      <c r="AI598">
        <v>-35.387328094302553</v>
      </c>
      <c r="AJ598">
        <v>-20.794447009928419</v>
      </c>
      <c r="AK598">
        <v>-34.770825147347743</v>
      </c>
      <c r="AL598">
        <v>-20.432175017317022</v>
      </c>
      <c r="AM598">
        <v>6.8612486667682466</v>
      </c>
      <c r="AN598">
        <v>6.7417149169587081</v>
      </c>
    </row>
    <row r="599" spans="1:40" x14ac:dyDescent="0.25">
      <c r="A599" s="1" t="s">
        <v>917</v>
      </c>
      <c r="B599">
        <v>84972562500</v>
      </c>
      <c r="C599" t="s">
        <v>81</v>
      </c>
      <c r="D599" t="s">
        <v>127</v>
      </c>
      <c r="E599">
        <v>13126000000</v>
      </c>
      <c r="F599">
        <v>-3949000000</v>
      </c>
      <c r="G599">
        <v>-2545000000</v>
      </c>
      <c r="H599">
        <v>-4331000000</v>
      </c>
      <c r="I599">
        <v>-4705000000</v>
      </c>
      <c r="J599">
        <v>-1021000000</v>
      </c>
      <c r="K599">
        <v>4443000000</v>
      </c>
      <c r="L599">
        <v>560000000</v>
      </c>
      <c r="M599">
        <v>5003000000</v>
      </c>
      <c r="N599">
        <v>7783000000</v>
      </c>
      <c r="O599">
        <v>1255000000</v>
      </c>
      <c r="P599">
        <v>177000000</v>
      </c>
      <c r="Q599">
        <v>9311000000</v>
      </c>
      <c r="R599">
        <v>7684000000</v>
      </c>
      <c r="S599">
        <v>20507000000</v>
      </c>
      <c r="T599">
        <v>0</v>
      </c>
      <c r="U599">
        <v>1569000000</v>
      </c>
      <c r="V599">
        <v>14175000000</v>
      </c>
      <c r="W599">
        <v>89457562500</v>
      </c>
      <c r="X599">
        <v>91026562500</v>
      </c>
      <c r="Y599">
        <v>6.473606772817309</v>
      </c>
      <c r="Z599">
        <v>-21.517488604710049</v>
      </c>
      <c r="AA599">
        <v>-33.388040275049107</v>
      </c>
      <c r="AB599">
        <v>-19.619617293927501</v>
      </c>
      <c r="AC599">
        <v>-18.060055791710941</v>
      </c>
      <c r="AD599">
        <v>-83.224840842311465</v>
      </c>
      <c r="AE599">
        <v>-23.050534945555839</v>
      </c>
      <c r="AF599">
        <v>-22.653219169409979</v>
      </c>
      <c r="AG599">
        <v>-19.34677205100957</v>
      </c>
      <c r="AH599">
        <v>-19.013297024442078</v>
      </c>
      <c r="AI599">
        <v>-35.76682220039293</v>
      </c>
      <c r="AJ599">
        <v>-21.01744689448164</v>
      </c>
      <c r="AK599">
        <v>-35.150319253438113</v>
      </c>
      <c r="AL599">
        <v>-20.65517490187024</v>
      </c>
      <c r="AM599">
        <v>6.9348287749504802</v>
      </c>
      <c r="AN599">
        <v>6.8152950251409417</v>
      </c>
    </row>
    <row r="600" spans="1:40" x14ac:dyDescent="0.25">
      <c r="A600" s="1" t="s">
        <v>916</v>
      </c>
      <c r="B600">
        <v>86127750000</v>
      </c>
      <c r="C600" t="s">
        <v>81</v>
      </c>
      <c r="D600" t="s">
        <v>127</v>
      </c>
      <c r="E600">
        <v>13126000000</v>
      </c>
      <c r="F600">
        <v>-3949000000</v>
      </c>
      <c r="G600">
        <v>-2545000000</v>
      </c>
      <c r="H600">
        <v>-4331000000</v>
      </c>
      <c r="I600">
        <v>-4705000000</v>
      </c>
      <c r="J600">
        <v>-1021000000</v>
      </c>
      <c r="K600">
        <v>4443000000</v>
      </c>
      <c r="L600">
        <v>560000000</v>
      </c>
      <c r="M600">
        <v>5003000000</v>
      </c>
      <c r="N600">
        <v>7783000000</v>
      </c>
      <c r="O600">
        <v>1255000000</v>
      </c>
      <c r="P600">
        <v>177000000</v>
      </c>
      <c r="Q600">
        <v>9311000000</v>
      </c>
      <c r="R600">
        <v>7684000000</v>
      </c>
      <c r="S600">
        <v>20507000000</v>
      </c>
      <c r="T600">
        <v>0</v>
      </c>
      <c r="U600">
        <v>1569000000</v>
      </c>
      <c r="V600">
        <v>14175000000</v>
      </c>
      <c r="W600">
        <v>90612750000</v>
      </c>
      <c r="X600">
        <v>92181750000</v>
      </c>
      <c r="Y600">
        <v>6.5616143531921374</v>
      </c>
      <c r="Z600">
        <v>-21.810015193719931</v>
      </c>
      <c r="AA600">
        <v>-33.84194499017682</v>
      </c>
      <c r="AB600">
        <v>-19.88634264604018</v>
      </c>
      <c r="AC600">
        <v>-18.305579171094578</v>
      </c>
      <c r="AD600">
        <v>-84.356268364348679</v>
      </c>
      <c r="AE600">
        <v>-23.34306153456571</v>
      </c>
      <c r="AF600">
        <v>-22.94574575841985</v>
      </c>
      <c r="AG600">
        <v>-19.5922954303932</v>
      </c>
      <c r="AH600">
        <v>-19.25882040382572</v>
      </c>
      <c r="AI600">
        <v>-36.220726915520629</v>
      </c>
      <c r="AJ600">
        <v>-21.28417224659432</v>
      </c>
      <c r="AK600">
        <v>-35.604223968565819</v>
      </c>
      <c r="AL600">
        <v>-20.921900253982919</v>
      </c>
      <c r="AM600">
        <v>7.0228363553253086</v>
      </c>
      <c r="AN600">
        <v>6.90330260551577</v>
      </c>
    </row>
    <row r="601" spans="1:40" x14ac:dyDescent="0.25">
      <c r="A601" s="1" t="s">
        <v>915</v>
      </c>
      <c r="B601">
        <v>88305562500</v>
      </c>
      <c r="C601" t="s">
        <v>81</v>
      </c>
      <c r="D601" t="s">
        <v>127</v>
      </c>
      <c r="E601">
        <v>13126000000</v>
      </c>
      <c r="F601">
        <v>-3949000000</v>
      </c>
      <c r="G601">
        <v>-2545000000</v>
      </c>
      <c r="H601">
        <v>-4331000000</v>
      </c>
      <c r="I601">
        <v>-4705000000</v>
      </c>
      <c r="J601">
        <v>-1021000000</v>
      </c>
      <c r="K601">
        <v>4443000000</v>
      </c>
      <c r="L601">
        <v>560000000</v>
      </c>
      <c r="M601">
        <v>5003000000</v>
      </c>
      <c r="N601">
        <v>7783000000</v>
      </c>
      <c r="O601">
        <v>1255000000</v>
      </c>
      <c r="P601">
        <v>177000000</v>
      </c>
      <c r="Q601">
        <v>9311000000</v>
      </c>
      <c r="R601">
        <v>7684000000</v>
      </c>
      <c r="S601">
        <v>20507000000</v>
      </c>
      <c r="T601">
        <v>0</v>
      </c>
      <c r="U601">
        <v>1569000000</v>
      </c>
      <c r="V601">
        <v>14175000000</v>
      </c>
      <c r="W601">
        <v>92790562500</v>
      </c>
      <c r="X601">
        <v>94359562500</v>
      </c>
      <c r="Y601">
        <v>6.7275302834069786</v>
      </c>
      <c r="Z601">
        <v>-22.361499746771329</v>
      </c>
      <c r="AA601">
        <v>-34.697666994106093</v>
      </c>
      <c r="AB601">
        <v>-20.389185522973911</v>
      </c>
      <c r="AC601">
        <v>-18.768451115834221</v>
      </c>
      <c r="AD601">
        <v>-86.489287463271296</v>
      </c>
      <c r="AE601">
        <v>-23.894546087617119</v>
      </c>
      <c r="AF601">
        <v>-23.49723031147126</v>
      </c>
      <c r="AG601">
        <v>-20.055167375132839</v>
      </c>
      <c r="AH601">
        <v>-19.721692348565359</v>
      </c>
      <c r="AI601">
        <v>-37.076448919449902</v>
      </c>
      <c r="AJ601">
        <v>-21.78701512352805</v>
      </c>
      <c r="AK601">
        <v>-36.459945972495092</v>
      </c>
      <c r="AL601">
        <v>-21.424743130916649</v>
      </c>
      <c r="AM601">
        <v>7.1887522855401489</v>
      </c>
      <c r="AN601">
        <v>7.0692185357306112</v>
      </c>
    </row>
    <row r="602" spans="1:40" x14ac:dyDescent="0.25">
      <c r="A602" s="1" t="s">
        <v>914</v>
      </c>
      <c r="B602">
        <v>89479687500</v>
      </c>
      <c r="C602" t="s">
        <v>81</v>
      </c>
      <c r="D602" t="s">
        <v>127</v>
      </c>
      <c r="E602">
        <v>13126000000</v>
      </c>
      <c r="F602">
        <v>-3949000000</v>
      </c>
      <c r="G602">
        <v>-2545000000</v>
      </c>
      <c r="H602">
        <v>-4331000000</v>
      </c>
      <c r="I602">
        <v>-4705000000</v>
      </c>
      <c r="J602">
        <v>-1021000000</v>
      </c>
      <c r="K602">
        <v>4443000000</v>
      </c>
      <c r="L602">
        <v>560000000</v>
      </c>
      <c r="M602">
        <v>5003000000</v>
      </c>
      <c r="N602">
        <v>7783000000</v>
      </c>
      <c r="O602">
        <v>1255000000</v>
      </c>
      <c r="P602">
        <v>177000000</v>
      </c>
      <c r="Q602">
        <v>9311000000</v>
      </c>
      <c r="R602">
        <v>7684000000</v>
      </c>
      <c r="S602">
        <v>20507000000</v>
      </c>
      <c r="T602">
        <v>0</v>
      </c>
      <c r="U602">
        <v>1569000000</v>
      </c>
      <c r="V602">
        <v>14175000000</v>
      </c>
      <c r="W602">
        <v>93964687500</v>
      </c>
      <c r="X602">
        <v>95533687500</v>
      </c>
      <c r="Y602">
        <v>6.8169806110010667</v>
      </c>
      <c r="Z602">
        <v>-22.658821853633832</v>
      </c>
      <c r="AA602">
        <v>-35.159012770137522</v>
      </c>
      <c r="AB602">
        <v>-20.660283421842529</v>
      </c>
      <c r="AC602">
        <v>-19.01799946865037</v>
      </c>
      <c r="AD602">
        <v>-87.639262977473066</v>
      </c>
      <c r="AE602">
        <v>-24.191868194479611</v>
      </c>
      <c r="AF602">
        <v>-23.794552418333751</v>
      </c>
      <c r="AG602">
        <v>-20.304715727948992</v>
      </c>
      <c r="AH602">
        <v>-19.971240701381511</v>
      </c>
      <c r="AI602">
        <v>-37.537794695481338</v>
      </c>
      <c r="AJ602">
        <v>-22.058113022396679</v>
      </c>
      <c r="AK602">
        <v>-36.921291748526521</v>
      </c>
      <c r="AL602">
        <v>-21.695841029785271</v>
      </c>
      <c r="AM602">
        <v>7.278202613134237</v>
      </c>
      <c r="AN602">
        <v>7.1586688633246993</v>
      </c>
    </row>
    <row r="603" spans="1:40" x14ac:dyDescent="0.25">
      <c r="A603" s="1" t="s">
        <v>913</v>
      </c>
      <c r="B603">
        <v>87074625000</v>
      </c>
      <c r="C603" t="s">
        <v>81</v>
      </c>
      <c r="D603" t="s">
        <v>127</v>
      </c>
      <c r="E603">
        <v>13126000000</v>
      </c>
      <c r="F603">
        <v>-3949000000</v>
      </c>
      <c r="G603">
        <v>-2545000000</v>
      </c>
      <c r="H603">
        <v>-4331000000</v>
      </c>
      <c r="I603">
        <v>-4705000000</v>
      </c>
      <c r="J603">
        <v>-1021000000</v>
      </c>
      <c r="K603">
        <v>4443000000</v>
      </c>
      <c r="L603">
        <v>560000000</v>
      </c>
      <c r="M603">
        <v>5003000000</v>
      </c>
      <c r="N603">
        <v>7783000000</v>
      </c>
      <c r="O603">
        <v>1255000000</v>
      </c>
      <c r="P603">
        <v>177000000</v>
      </c>
      <c r="Q603">
        <v>9311000000</v>
      </c>
      <c r="R603">
        <v>7684000000</v>
      </c>
      <c r="S603">
        <v>20507000000</v>
      </c>
      <c r="T603">
        <v>0</v>
      </c>
      <c r="U603">
        <v>1569000000</v>
      </c>
      <c r="V603">
        <v>14175000000</v>
      </c>
      <c r="W603">
        <v>91559625000</v>
      </c>
      <c r="X603">
        <v>93128625000</v>
      </c>
      <c r="Y603">
        <v>6.6337517141551121</v>
      </c>
      <c r="Z603">
        <v>-22.049791086350979</v>
      </c>
      <c r="AA603">
        <v>-34.21399803536346</v>
      </c>
      <c r="AB603">
        <v>-20.104969983837449</v>
      </c>
      <c r="AC603">
        <v>-18.506827842720512</v>
      </c>
      <c r="AD603">
        <v>-85.283667972575913</v>
      </c>
      <c r="AE603">
        <v>-23.582837427196761</v>
      </c>
      <c r="AF603">
        <v>-23.185521651050902</v>
      </c>
      <c r="AG603">
        <v>-19.79354410201913</v>
      </c>
      <c r="AH603">
        <v>-19.460069075451649</v>
      </c>
      <c r="AI603">
        <v>-36.592779960707269</v>
      </c>
      <c r="AJ603">
        <v>-21.5027995843916</v>
      </c>
      <c r="AK603">
        <v>-35.976277013752458</v>
      </c>
      <c r="AL603">
        <v>-21.140527591780192</v>
      </c>
      <c r="AM603">
        <v>7.0949737162882824</v>
      </c>
      <c r="AN603">
        <v>6.9754399664787448</v>
      </c>
    </row>
    <row r="604" spans="1:40" x14ac:dyDescent="0.25">
      <c r="A604" s="1" t="s">
        <v>912</v>
      </c>
      <c r="B604">
        <v>84309750000</v>
      </c>
      <c r="C604" t="s">
        <v>81</v>
      </c>
      <c r="D604" t="s">
        <v>127</v>
      </c>
      <c r="E604">
        <v>13126000000</v>
      </c>
      <c r="F604">
        <v>-3949000000</v>
      </c>
      <c r="G604">
        <v>-2545000000</v>
      </c>
      <c r="H604">
        <v>-4331000000</v>
      </c>
      <c r="I604">
        <v>-4705000000</v>
      </c>
      <c r="J604">
        <v>-1021000000</v>
      </c>
      <c r="K604">
        <v>4443000000</v>
      </c>
      <c r="L604">
        <v>560000000</v>
      </c>
      <c r="M604">
        <v>5003000000</v>
      </c>
      <c r="N604">
        <v>7783000000</v>
      </c>
      <c r="O604">
        <v>1255000000</v>
      </c>
      <c r="P604">
        <v>177000000</v>
      </c>
      <c r="Q604">
        <v>9311000000</v>
      </c>
      <c r="R604">
        <v>7684000000</v>
      </c>
      <c r="S604">
        <v>20507000000</v>
      </c>
      <c r="T604">
        <v>0</v>
      </c>
      <c r="U604">
        <v>1569000000</v>
      </c>
      <c r="V604">
        <v>14175000000</v>
      </c>
      <c r="W604">
        <v>88794750000</v>
      </c>
      <c r="X604">
        <v>90363750000</v>
      </c>
      <c r="Y604">
        <v>6.4231106201432269</v>
      </c>
      <c r="Z604">
        <v>-21.349645479868322</v>
      </c>
      <c r="AA604">
        <v>-33.127603143418469</v>
      </c>
      <c r="AB604">
        <v>-19.46657815746941</v>
      </c>
      <c r="AC604">
        <v>-17.919181721572791</v>
      </c>
      <c r="AD604">
        <v>-82.575661116552396</v>
      </c>
      <c r="AE604">
        <v>-22.882691820714101</v>
      </c>
      <c r="AF604">
        <v>-22.485376044568241</v>
      </c>
      <c r="AG604">
        <v>-19.205897980871409</v>
      </c>
      <c r="AH604">
        <v>-18.872422954303929</v>
      </c>
      <c r="AI604">
        <v>-35.506385068762278</v>
      </c>
      <c r="AJ604">
        <v>-20.86440775802355</v>
      </c>
      <c r="AK604">
        <v>-34.889882121807467</v>
      </c>
      <c r="AL604">
        <v>-20.502135765412149</v>
      </c>
      <c r="AM604">
        <v>6.8843326222763981</v>
      </c>
      <c r="AN604">
        <v>6.7647988724668604</v>
      </c>
    </row>
    <row r="605" spans="1:40" x14ac:dyDescent="0.25">
      <c r="A605" s="1" t="s">
        <v>80</v>
      </c>
      <c r="B605">
        <v>86765772800</v>
      </c>
      <c r="C605" t="s">
        <v>81</v>
      </c>
      <c r="D605" t="s">
        <v>127</v>
      </c>
      <c r="E605">
        <v>13126000000</v>
      </c>
      <c r="F605">
        <v>-3949000000</v>
      </c>
      <c r="G605">
        <v>-2545000000</v>
      </c>
      <c r="H605">
        <v>-4331000000</v>
      </c>
      <c r="I605">
        <v>-4705000000</v>
      </c>
      <c r="J605">
        <v>-1021000000</v>
      </c>
      <c r="K605">
        <v>4443000000</v>
      </c>
      <c r="L605">
        <v>560000000</v>
      </c>
      <c r="M605">
        <v>5003000000</v>
      </c>
      <c r="N605">
        <v>7783000000</v>
      </c>
      <c r="O605">
        <v>1255000000</v>
      </c>
      <c r="P605">
        <v>177000000</v>
      </c>
      <c r="Q605">
        <v>9311000000</v>
      </c>
      <c r="R605">
        <v>7684000000</v>
      </c>
      <c r="S605">
        <v>20507000000</v>
      </c>
      <c r="T605">
        <v>0</v>
      </c>
      <c r="U605">
        <v>1569000000</v>
      </c>
      <c r="V605">
        <v>14175000000</v>
      </c>
      <c r="W605">
        <v>91250772800</v>
      </c>
      <c r="X605">
        <v>92819772800</v>
      </c>
      <c r="Y605">
        <v>6.610221910711565</v>
      </c>
      <c r="Z605">
        <v>-21.97158085591289</v>
      </c>
      <c r="AA605">
        <v>-34.092641571709237</v>
      </c>
      <c r="AB605">
        <v>-20.033658000461791</v>
      </c>
      <c r="AC605">
        <v>-18.441184442082889</v>
      </c>
      <c r="AD605">
        <v>-84.98116826640549</v>
      </c>
      <c r="AE605">
        <v>-23.504627196758669</v>
      </c>
      <c r="AF605">
        <v>-23.10731142061281</v>
      </c>
      <c r="AG605">
        <v>-19.727900701381511</v>
      </c>
      <c r="AH605">
        <v>-19.39442567481403</v>
      </c>
      <c r="AI605">
        <v>-36.471423497053053</v>
      </c>
      <c r="AJ605">
        <v>-21.431487601015931</v>
      </c>
      <c r="AK605">
        <v>-35.854920550098242</v>
      </c>
      <c r="AL605">
        <v>-21.06921560840453</v>
      </c>
      <c r="AM605">
        <v>7.0714439128447353</v>
      </c>
      <c r="AN605">
        <v>6.9519101630351976</v>
      </c>
    </row>
    <row r="606" spans="1:40" x14ac:dyDescent="0.25">
      <c r="A606" s="1" t="s">
        <v>911</v>
      </c>
      <c r="B606">
        <v>91123428800</v>
      </c>
      <c r="C606" t="s">
        <v>81</v>
      </c>
      <c r="D606" t="s">
        <v>127</v>
      </c>
      <c r="E606">
        <v>13126000000</v>
      </c>
      <c r="F606">
        <v>-3949000000</v>
      </c>
      <c r="G606">
        <v>-2545000000</v>
      </c>
      <c r="H606">
        <v>-4331000000</v>
      </c>
      <c r="I606">
        <v>-4705000000</v>
      </c>
      <c r="J606">
        <v>-1021000000</v>
      </c>
      <c r="K606">
        <v>4443000000</v>
      </c>
      <c r="L606">
        <v>560000000</v>
      </c>
      <c r="M606">
        <v>5003000000</v>
      </c>
      <c r="N606">
        <v>7783000000</v>
      </c>
      <c r="O606">
        <v>1255000000</v>
      </c>
      <c r="P606">
        <v>177000000</v>
      </c>
      <c r="Q606">
        <v>9311000000</v>
      </c>
      <c r="R606">
        <v>7684000000</v>
      </c>
      <c r="S606">
        <v>20507000000</v>
      </c>
      <c r="T606">
        <v>0</v>
      </c>
      <c r="U606">
        <v>1569000000</v>
      </c>
      <c r="V606">
        <v>14175000000</v>
      </c>
      <c r="W606">
        <v>95608428800</v>
      </c>
      <c r="X606">
        <v>97177428800</v>
      </c>
      <c r="Y606">
        <v>6.9422085022093558</v>
      </c>
      <c r="Z606">
        <v>-23.075064269435298</v>
      </c>
      <c r="AA606">
        <v>-35.804883614931242</v>
      </c>
      <c r="AB606">
        <v>-21.039812699145699</v>
      </c>
      <c r="AC606">
        <v>-19.367360000000001</v>
      </c>
      <c r="AD606">
        <v>-89.249195690499505</v>
      </c>
      <c r="AE606">
        <v>-24.608110610281081</v>
      </c>
      <c r="AF606">
        <v>-24.210794834135221</v>
      </c>
      <c r="AG606">
        <v>-20.65407625929862</v>
      </c>
      <c r="AH606">
        <v>-20.320601232731139</v>
      </c>
      <c r="AI606">
        <v>-38.183665540275051</v>
      </c>
      <c r="AJ606">
        <v>-22.437642299699839</v>
      </c>
      <c r="AK606">
        <v>-37.567162593320226</v>
      </c>
      <c r="AL606">
        <v>-22.075370307088431</v>
      </c>
      <c r="AM606">
        <v>7.4034305043425261</v>
      </c>
      <c r="AN606">
        <v>7.2838967545329876</v>
      </c>
    </row>
    <row r="607" spans="1:40" x14ac:dyDescent="0.25">
      <c r="A607" s="1" t="s">
        <v>910</v>
      </c>
      <c r="B607">
        <v>88547569920</v>
      </c>
      <c r="C607" t="s">
        <v>81</v>
      </c>
      <c r="D607" t="s">
        <v>127</v>
      </c>
      <c r="E607">
        <v>13126000000</v>
      </c>
      <c r="F607">
        <v>-3949000000</v>
      </c>
      <c r="G607">
        <v>-2545000000</v>
      </c>
      <c r="H607">
        <v>-4331000000</v>
      </c>
      <c r="I607">
        <v>-4705000000</v>
      </c>
      <c r="J607">
        <v>-1021000000</v>
      </c>
      <c r="K607">
        <v>4443000000</v>
      </c>
      <c r="L607">
        <v>560000000</v>
      </c>
      <c r="M607">
        <v>5003000000</v>
      </c>
      <c r="N607">
        <v>7783000000</v>
      </c>
      <c r="O607">
        <v>1255000000</v>
      </c>
      <c r="P607">
        <v>177000000</v>
      </c>
      <c r="Q607">
        <v>9311000000</v>
      </c>
      <c r="R607">
        <v>7684000000</v>
      </c>
      <c r="S607">
        <v>20507000000</v>
      </c>
      <c r="T607">
        <v>0</v>
      </c>
      <c r="U607">
        <v>1569000000</v>
      </c>
      <c r="V607">
        <v>14175000000</v>
      </c>
      <c r="W607">
        <v>93032569920</v>
      </c>
      <c r="X607">
        <v>94601569920</v>
      </c>
      <c r="Y607">
        <v>6.7459675392351057</v>
      </c>
      <c r="Z607">
        <v>-22.42278296277539</v>
      </c>
      <c r="AA607">
        <v>-34.792758318271119</v>
      </c>
      <c r="AB607">
        <v>-20.44506347725698</v>
      </c>
      <c r="AC607">
        <v>-18.819887336875659</v>
      </c>
      <c r="AD607">
        <v>-86.726317257590594</v>
      </c>
      <c r="AE607">
        <v>-23.955829303621169</v>
      </c>
      <c r="AF607">
        <v>-23.558513527475309</v>
      </c>
      <c r="AG607">
        <v>-20.106603596174281</v>
      </c>
      <c r="AH607">
        <v>-19.773128569606801</v>
      </c>
      <c r="AI607">
        <v>-37.171540243614928</v>
      </c>
      <c r="AJ607">
        <v>-21.84289307781113</v>
      </c>
      <c r="AK607">
        <v>-36.555037296660117</v>
      </c>
      <c r="AL607">
        <v>-21.480621085199719</v>
      </c>
      <c r="AM607">
        <v>7.2071895413682769</v>
      </c>
      <c r="AN607">
        <v>7.0876557915587384</v>
      </c>
    </row>
    <row r="608" spans="1:40" x14ac:dyDescent="0.25">
      <c r="A608" s="1" t="s">
        <v>909</v>
      </c>
      <c r="B608">
        <v>88334528960</v>
      </c>
      <c r="C608" t="s">
        <v>81</v>
      </c>
      <c r="D608" t="s">
        <v>127</v>
      </c>
      <c r="E608">
        <v>13126000000</v>
      </c>
      <c r="F608">
        <v>-3949000000</v>
      </c>
      <c r="G608">
        <v>-2545000000</v>
      </c>
      <c r="H608">
        <v>-4331000000</v>
      </c>
      <c r="I608">
        <v>-4705000000</v>
      </c>
      <c r="J608">
        <v>-1021000000</v>
      </c>
      <c r="K608">
        <v>4443000000</v>
      </c>
      <c r="L608">
        <v>560000000</v>
      </c>
      <c r="M608">
        <v>5003000000</v>
      </c>
      <c r="N608">
        <v>7783000000</v>
      </c>
      <c r="O608">
        <v>1255000000</v>
      </c>
      <c r="P608">
        <v>177000000</v>
      </c>
      <c r="Q608">
        <v>9311000000</v>
      </c>
      <c r="R608">
        <v>7684000000</v>
      </c>
      <c r="S608">
        <v>20507000000</v>
      </c>
      <c r="T608">
        <v>0</v>
      </c>
      <c r="U608">
        <v>1569000000</v>
      </c>
      <c r="V608">
        <v>14175000000</v>
      </c>
      <c r="W608">
        <v>92819528960</v>
      </c>
      <c r="X608">
        <v>94388528960</v>
      </c>
      <c r="Y608">
        <v>6.7297370836507691</v>
      </c>
      <c r="Z608">
        <v>-22.368834884780959</v>
      </c>
      <c r="AA608">
        <v>-34.709048707269147</v>
      </c>
      <c r="AB608">
        <v>-20.39587369198799</v>
      </c>
      <c r="AC608">
        <v>-18.774607642933049</v>
      </c>
      <c r="AD608">
        <v>-86.51765813907933</v>
      </c>
      <c r="AE608">
        <v>-23.901881225626742</v>
      </c>
      <c r="AF608">
        <v>-23.504565449480879</v>
      </c>
      <c r="AG608">
        <v>-20.061323902231671</v>
      </c>
      <c r="AH608">
        <v>-19.72784887566419</v>
      </c>
      <c r="AI608">
        <v>-37.087830632612963</v>
      </c>
      <c r="AJ608">
        <v>-21.793703292542141</v>
      </c>
      <c r="AK608">
        <v>-36.471327685658153</v>
      </c>
      <c r="AL608">
        <v>-21.431431299930729</v>
      </c>
      <c r="AM608">
        <v>7.1909590857839403</v>
      </c>
      <c r="AN608">
        <v>7.0714253359744017</v>
      </c>
    </row>
    <row r="609" spans="1:40" x14ac:dyDescent="0.25">
      <c r="A609" s="1" t="s">
        <v>908</v>
      </c>
      <c r="B609">
        <v>91045959360</v>
      </c>
      <c r="C609" t="s">
        <v>81</v>
      </c>
      <c r="D609" t="s">
        <v>127</v>
      </c>
      <c r="E609">
        <v>13126000000</v>
      </c>
      <c r="F609">
        <v>-3949000000</v>
      </c>
      <c r="G609">
        <v>-2545000000</v>
      </c>
      <c r="H609">
        <v>-4331000000</v>
      </c>
      <c r="I609">
        <v>-4705000000</v>
      </c>
      <c r="J609">
        <v>-1021000000</v>
      </c>
      <c r="K609">
        <v>4443000000</v>
      </c>
      <c r="L609">
        <v>560000000</v>
      </c>
      <c r="M609">
        <v>5003000000</v>
      </c>
      <c r="N609">
        <v>7783000000</v>
      </c>
      <c r="O609">
        <v>1255000000</v>
      </c>
      <c r="P609">
        <v>177000000</v>
      </c>
      <c r="Q609">
        <v>9311000000</v>
      </c>
      <c r="R609">
        <v>7684000000</v>
      </c>
      <c r="S609">
        <v>20507000000</v>
      </c>
      <c r="T609">
        <v>0</v>
      </c>
      <c r="U609">
        <v>1569000000</v>
      </c>
      <c r="V609">
        <v>14175000000</v>
      </c>
      <c r="W609">
        <v>95530959360</v>
      </c>
      <c r="X609">
        <v>97099959360</v>
      </c>
      <c r="Y609">
        <v>6.9363065183605057</v>
      </c>
      <c r="Z609">
        <v>-23.05544678652824</v>
      </c>
      <c r="AA609">
        <v>-35.774443756385068</v>
      </c>
      <c r="AB609">
        <v>-21.02192550450242</v>
      </c>
      <c r="AC609">
        <v>-19.350894656748139</v>
      </c>
      <c r="AD609">
        <v>-89.173319647404512</v>
      </c>
      <c r="AE609">
        <v>-24.588493127374019</v>
      </c>
      <c r="AF609">
        <v>-24.191177351228159</v>
      </c>
      <c r="AG609">
        <v>-20.637610916046761</v>
      </c>
      <c r="AH609">
        <v>-20.30413588947928</v>
      </c>
      <c r="AI609">
        <v>-38.153225681728877</v>
      </c>
      <c r="AJ609">
        <v>-22.41975510505657</v>
      </c>
      <c r="AK609">
        <v>-37.536722734774067</v>
      </c>
      <c r="AL609">
        <v>-22.057483112445158</v>
      </c>
      <c r="AM609">
        <v>7.3975285204936769</v>
      </c>
      <c r="AN609">
        <v>7.2779947706841384</v>
      </c>
    </row>
    <row r="610" spans="1:40" x14ac:dyDescent="0.25">
      <c r="A610" s="1" t="s">
        <v>907</v>
      </c>
      <c r="B610">
        <v>92789021760</v>
      </c>
      <c r="C610" t="s">
        <v>81</v>
      </c>
      <c r="D610" t="s">
        <v>127</v>
      </c>
      <c r="E610">
        <v>13126000000</v>
      </c>
      <c r="F610">
        <v>-3949000000</v>
      </c>
      <c r="G610">
        <v>-2545000000</v>
      </c>
      <c r="H610">
        <v>-4331000000</v>
      </c>
      <c r="I610">
        <v>-4705000000</v>
      </c>
      <c r="J610">
        <v>-1021000000</v>
      </c>
      <c r="K610">
        <v>4443000000</v>
      </c>
      <c r="L610">
        <v>560000000</v>
      </c>
      <c r="M610">
        <v>5003000000</v>
      </c>
      <c r="N610">
        <v>7783000000</v>
      </c>
      <c r="O610">
        <v>1255000000</v>
      </c>
      <c r="P610">
        <v>177000000</v>
      </c>
      <c r="Q610">
        <v>9311000000</v>
      </c>
      <c r="R610">
        <v>7684000000</v>
      </c>
      <c r="S610">
        <v>20507000000</v>
      </c>
      <c r="T610">
        <v>0</v>
      </c>
      <c r="U610">
        <v>1569000000</v>
      </c>
      <c r="V610">
        <v>14175000000</v>
      </c>
      <c r="W610">
        <v>97274021760</v>
      </c>
      <c r="X610">
        <v>98843021760</v>
      </c>
      <c r="Y610">
        <v>7.0691011549596219</v>
      </c>
      <c r="Z610">
        <v>-23.496840151937199</v>
      </c>
      <c r="AA610">
        <v>-36.45934057367387</v>
      </c>
      <c r="AB610">
        <v>-21.42438738397599</v>
      </c>
      <c r="AC610">
        <v>-19.721364879914979</v>
      </c>
      <c r="AD610">
        <v>-90.880530617042112</v>
      </c>
      <c r="AE610">
        <v>-25.029886492782978</v>
      </c>
      <c r="AF610">
        <v>-24.632570716637119</v>
      </c>
      <c r="AG610">
        <v>-21.008081139213601</v>
      </c>
      <c r="AH610">
        <v>-20.674606112646121</v>
      </c>
      <c r="AI610">
        <v>-38.838122499017679</v>
      </c>
      <c r="AJ610">
        <v>-22.822216984530129</v>
      </c>
      <c r="AK610">
        <v>-38.221619552062869</v>
      </c>
      <c r="AL610">
        <v>-22.459944991918729</v>
      </c>
      <c r="AM610">
        <v>7.5303231570927931</v>
      </c>
      <c r="AN610">
        <v>7.4107894072832554</v>
      </c>
    </row>
    <row r="611" spans="1:40" x14ac:dyDescent="0.25">
      <c r="A611" s="1" t="s">
        <v>906</v>
      </c>
      <c r="B611">
        <v>92517878720</v>
      </c>
      <c r="C611" t="s">
        <v>81</v>
      </c>
      <c r="D611" t="s">
        <v>127</v>
      </c>
      <c r="E611">
        <v>13126000000</v>
      </c>
      <c r="F611">
        <v>-3949000000</v>
      </c>
      <c r="G611">
        <v>-2545000000</v>
      </c>
      <c r="H611">
        <v>-4331000000</v>
      </c>
      <c r="I611">
        <v>-4705000000</v>
      </c>
      <c r="J611">
        <v>-1021000000</v>
      </c>
      <c r="K611">
        <v>4443000000</v>
      </c>
      <c r="L611">
        <v>560000000</v>
      </c>
      <c r="M611">
        <v>5003000000</v>
      </c>
      <c r="N611">
        <v>7783000000</v>
      </c>
      <c r="O611">
        <v>1255000000</v>
      </c>
      <c r="P611">
        <v>177000000</v>
      </c>
      <c r="Q611">
        <v>9311000000</v>
      </c>
      <c r="R611">
        <v>7684000000</v>
      </c>
      <c r="S611">
        <v>20507000000</v>
      </c>
      <c r="T611">
        <v>0</v>
      </c>
      <c r="U611">
        <v>1569000000</v>
      </c>
      <c r="V611">
        <v>14175000000</v>
      </c>
      <c r="W611">
        <v>97002878720</v>
      </c>
      <c r="X611">
        <v>98571878720</v>
      </c>
      <c r="Y611">
        <v>7.0484442114886487</v>
      </c>
      <c r="Z611">
        <v>-23.42817896176247</v>
      </c>
      <c r="AA611">
        <v>-36.352801068762282</v>
      </c>
      <c r="AB611">
        <v>-21.361782202724541</v>
      </c>
      <c r="AC611">
        <v>-19.66373617853348</v>
      </c>
      <c r="AD611">
        <v>-90.614964466209599</v>
      </c>
      <c r="AE611">
        <v>-24.961225302608259</v>
      </c>
      <c r="AF611">
        <v>-24.5639095264624</v>
      </c>
      <c r="AG611">
        <v>-20.950452437832091</v>
      </c>
      <c r="AH611">
        <v>-20.61697741126461</v>
      </c>
      <c r="AI611">
        <v>-38.731582994106091</v>
      </c>
      <c r="AJ611">
        <v>-22.759611803278691</v>
      </c>
      <c r="AK611">
        <v>-38.115080047151267</v>
      </c>
      <c r="AL611">
        <v>-22.39733981066728</v>
      </c>
      <c r="AM611">
        <v>7.5096662136218191</v>
      </c>
      <c r="AN611">
        <v>7.3901324638122814</v>
      </c>
    </row>
    <row r="612" spans="1:40" x14ac:dyDescent="0.25">
      <c r="A612" s="1" t="s">
        <v>905</v>
      </c>
      <c r="B612">
        <v>89651509440</v>
      </c>
      <c r="C612" t="s">
        <v>81</v>
      </c>
      <c r="D612" t="s">
        <v>127</v>
      </c>
      <c r="E612">
        <v>13126000000</v>
      </c>
      <c r="F612">
        <v>-3949000000</v>
      </c>
      <c r="G612">
        <v>-2545000000</v>
      </c>
      <c r="H612">
        <v>-4331000000</v>
      </c>
      <c r="I612">
        <v>-4705000000</v>
      </c>
      <c r="J612">
        <v>-1021000000</v>
      </c>
      <c r="K612">
        <v>4443000000</v>
      </c>
      <c r="L612">
        <v>560000000</v>
      </c>
      <c r="M612">
        <v>5003000000</v>
      </c>
      <c r="N612">
        <v>7783000000</v>
      </c>
      <c r="O612">
        <v>1255000000</v>
      </c>
      <c r="P612">
        <v>177000000</v>
      </c>
      <c r="Q612">
        <v>9311000000</v>
      </c>
      <c r="R612">
        <v>7684000000</v>
      </c>
      <c r="S612">
        <v>20507000000</v>
      </c>
      <c r="T612">
        <v>0</v>
      </c>
      <c r="U612">
        <v>1569000000</v>
      </c>
      <c r="V612">
        <v>14175000000</v>
      </c>
      <c r="W612">
        <v>94136509440</v>
      </c>
      <c r="X612">
        <v>95705509440</v>
      </c>
      <c r="Y612">
        <v>6.8300708090812128</v>
      </c>
      <c r="Z612">
        <v>-22.702332094201061</v>
      </c>
      <c r="AA612">
        <v>-35.226526302554028</v>
      </c>
      <c r="AB612">
        <v>-20.699956000923571</v>
      </c>
      <c r="AC612">
        <v>-19.054518478214661</v>
      </c>
      <c r="AD612">
        <v>-87.807550871694417</v>
      </c>
      <c r="AE612">
        <v>-24.235378435046851</v>
      </c>
      <c r="AF612">
        <v>-23.838062658900991</v>
      </c>
      <c r="AG612">
        <v>-20.341234737513279</v>
      </c>
      <c r="AH612">
        <v>-20.007759710945798</v>
      </c>
      <c r="AI612">
        <v>-37.605308227897837</v>
      </c>
      <c r="AJ612">
        <v>-22.097785601477721</v>
      </c>
      <c r="AK612">
        <v>-36.988805280943033</v>
      </c>
      <c r="AL612">
        <v>-21.735513608866309</v>
      </c>
      <c r="AM612">
        <v>7.291292811214384</v>
      </c>
      <c r="AN612">
        <v>7.1717590614048454</v>
      </c>
    </row>
    <row r="613" spans="1:40" x14ac:dyDescent="0.25">
      <c r="A613" s="1" t="s">
        <v>904</v>
      </c>
      <c r="B613">
        <v>90484305920</v>
      </c>
      <c r="C613" t="s">
        <v>81</v>
      </c>
      <c r="D613" t="s">
        <v>127</v>
      </c>
      <c r="E613">
        <v>13126000000</v>
      </c>
      <c r="F613">
        <v>-3949000000</v>
      </c>
      <c r="G613">
        <v>-2545000000</v>
      </c>
      <c r="H613">
        <v>-4331000000</v>
      </c>
      <c r="I613">
        <v>-4705000000</v>
      </c>
      <c r="J613">
        <v>-1021000000</v>
      </c>
      <c r="K613">
        <v>4443000000</v>
      </c>
      <c r="L613">
        <v>560000000</v>
      </c>
      <c r="M613">
        <v>5003000000</v>
      </c>
      <c r="N613">
        <v>7783000000</v>
      </c>
      <c r="O613">
        <v>1255000000</v>
      </c>
      <c r="P613">
        <v>177000000</v>
      </c>
      <c r="Q613">
        <v>9311000000</v>
      </c>
      <c r="R613">
        <v>7684000000</v>
      </c>
      <c r="S613">
        <v>20507000000</v>
      </c>
      <c r="T613">
        <v>0</v>
      </c>
      <c r="U613">
        <v>1569000000</v>
      </c>
      <c r="V613">
        <v>14175000000</v>
      </c>
      <c r="W613">
        <v>94969305920</v>
      </c>
      <c r="X613">
        <v>96538305920</v>
      </c>
      <c r="Y613">
        <v>6.8935171354563458</v>
      </c>
      <c r="Z613">
        <v>-22.91322003545201</v>
      </c>
      <c r="AA613">
        <v>-35.553754781925342</v>
      </c>
      <c r="AB613">
        <v>-20.89224334333872</v>
      </c>
      <c r="AC613">
        <v>-19.231520918172158</v>
      </c>
      <c r="AD613">
        <v>-88.623218334965713</v>
      </c>
      <c r="AE613">
        <v>-24.4462663762978</v>
      </c>
      <c r="AF613">
        <v>-24.04895060015194</v>
      </c>
      <c r="AG613">
        <v>-20.51823717747078</v>
      </c>
      <c r="AH613">
        <v>-20.184762150903289</v>
      </c>
      <c r="AI613">
        <v>-37.932536707269158</v>
      </c>
      <c r="AJ613">
        <v>-22.29007294389287</v>
      </c>
      <c r="AK613">
        <v>-37.31603376031434</v>
      </c>
      <c r="AL613">
        <v>-21.927800951281458</v>
      </c>
      <c r="AM613">
        <v>7.354739137589517</v>
      </c>
      <c r="AN613">
        <v>7.2352053877799776</v>
      </c>
    </row>
    <row r="614" spans="1:40" x14ac:dyDescent="0.25">
      <c r="A614" s="1" t="s">
        <v>903</v>
      </c>
      <c r="B614">
        <v>89883917760</v>
      </c>
      <c r="C614" t="s">
        <v>81</v>
      </c>
      <c r="D614" t="s">
        <v>127</v>
      </c>
      <c r="E614">
        <v>13126000000</v>
      </c>
      <c r="F614">
        <v>-3949000000</v>
      </c>
      <c r="G614">
        <v>-2545000000</v>
      </c>
      <c r="H614">
        <v>-4331000000</v>
      </c>
      <c r="I614">
        <v>-4705000000</v>
      </c>
      <c r="J614">
        <v>-1021000000</v>
      </c>
      <c r="K614">
        <v>4443000000</v>
      </c>
      <c r="L614">
        <v>560000000</v>
      </c>
      <c r="M614">
        <v>5003000000</v>
      </c>
      <c r="N614">
        <v>7783000000</v>
      </c>
      <c r="O614">
        <v>1255000000</v>
      </c>
      <c r="P614">
        <v>177000000</v>
      </c>
      <c r="Q614">
        <v>9311000000</v>
      </c>
      <c r="R614">
        <v>7684000000</v>
      </c>
      <c r="S614">
        <v>20507000000</v>
      </c>
      <c r="T614">
        <v>0</v>
      </c>
      <c r="U614">
        <v>1569000000</v>
      </c>
      <c r="V614">
        <v>14175000000</v>
      </c>
      <c r="W614">
        <v>94368917760</v>
      </c>
      <c r="X614">
        <v>95937917760</v>
      </c>
      <c r="Y614">
        <v>6.8477767606277613</v>
      </c>
      <c r="Z614">
        <v>-22.761184542922258</v>
      </c>
      <c r="AA614">
        <v>-35.317845878192543</v>
      </c>
      <c r="AB614">
        <v>-20.75361758485338</v>
      </c>
      <c r="AC614">
        <v>-19.103914507970249</v>
      </c>
      <c r="AD614">
        <v>-88.035179000979426</v>
      </c>
      <c r="AE614">
        <v>-24.294230883768041</v>
      </c>
      <c r="AF614">
        <v>-23.896915107622181</v>
      </c>
      <c r="AG614">
        <v>-20.39063076726886</v>
      </c>
      <c r="AH614">
        <v>-20.057155740701379</v>
      </c>
      <c r="AI614">
        <v>-37.696627803536337</v>
      </c>
      <c r="AJ614">
        <v>-22.15144718540753</v>
      </c>
      <c r="AK614">
        <v>-37.080124856581527</v>
      </c>
      <c r="AL614">
        <v>-21.789175192796119</v>
      </c>
      <c r="AM614">
        <v>7.3089987627609334</v>
      </c>
      <c r="AN614">
        <v>7.189465012951394</v>
      </c>
    </row>
    <row r="615" spans="1:40" x14ac:dyDescent="0.25">
      <c r="A615" s="1" t="s">
        <v>902</v>
      </c>
      <c r="B615">
        <v>91568878080</v>
      </c>
      <c r="C615" t="s">
        <v>81</v>
      </c>
      <c r="D615" t="s">
        <v>127</v>
      </c>
      <c r="E615">
        <v>13126000000</v>
      </c>
      <c r="F615">
        <v>-3949000000</v>
      </c>
      <c r="G615">
        <v>-2545000000</v>
      </c>
      <c r="H615">
        <v>-4331000000</v>
      </c>
      <c r="I615">
        <v>-4705000000</v>
      </c>
      <c r="J615">
        <v>-1021000000</v>
      </c>
      <c r="K615">
        <v>4443000000</v>
      </c>
      <c r="L615">
        <v>560000000</v>
      </c>
      <c r="M615">
        <v>5003000000</v>
      </c>
      <c r="N615">
        <v>7783000000</v>
      </c>
      <c r="O615">
        <v>1255000000</v>
      </c>
      <c r="P615">
        <v>177000000</v>
      </c>
      <c r="Q615">
        <v>9311000000</v>
      </c>
      <c r="R615">
        <v>7684000000</v>
      </c>
      <c r="S615">
        <v>20507000000</v>
      </c>
      <c r="T615">
        <v>0</v>
      </c>
      <c r="U615">
        <v>1569000000</v>
      </c>
      <c r="V615">
        <v>14175000000</v>
      </c>
      <c r="W615">
        <v>96053878080</v>
      </c>
      <c r="X615">
        <v>97622878080</v>
      </c>
      <c r="Y615">
        <v>6.976144909340241</v>
      </c>
      <c r="Z615">
        <v>-23.187864796150929</v>
      </c>
      <c r="AA615">
        <v>-35.979912801571707</v>
      </c>
      <c r="AB615">
        <v>-21.142664068344491</v>
      </c>
      <c r="AC615">
        <v>-19.46203572369819</v>
      </c>
      <c r="AD615">
        <v>-89.685482938295792</v>
      </c>
      <c r="AE615">
        <v>-24.720911136996708</v>
      </c>
      <c r="AF615">
        <v>-24.323595360850849</v>
      </c>
      <c r="AG615">
        <v>-20.748751982996811</v>
      </c>
      <c r="AH615">
        <v>-20.415276956429331</v>
      </c>
      <c r="AI615">
        <v>-38.358694726915523</v>
      </c>
      <c r="AJ615">
        <v>-22.540493668898641</v>
      </c>
      <c r="AK615">
        <v>-37.742191779960713</v>
      </c>
      <c r="AL615">
        <v>-22.17822167628723</v>
      </c>
      <c r="AM615">
        <v>7.4373669114734113</v>
      </c>
      <c r="AN615">
        <v>7.3178331616638737</v>
      </c>
    </row>
    <row r="616" spans="1:40" x14ac:dyDescent="0.25">
      <c r="A616" s="1" t="s">
        <v>901</v>
      </c>
      <c r="B616">
        <v>93660552960</v>
      </c>
      <c r="C616" t="s">
        <v>81</v>
      </c>
      <c r="D616" t="s">
        <v>127</v>
      </c>
      <c r="E616">
        <v>13126000000</v>
      </c>
      <c r="F616">
        <v>-3949000000</v>
      </c>
      <c r="G616">
        <v>-2545000000</v>
      </c>
      <c r="H616">
        <v>-4331000000</v>
      </c>
      <c r="I616">
        <v>-4705000000</v>
      </c>
      <c r="J616">
        <v>-1021000000</v>
      </c>
      <c r="K616">
        <v>4443000000</v>
      </c>
      <c r="L616">
        <v>560000000</v>
      </c>
      <c r="M616">
        <v>5003000000</v>
      </c>
      <c r="N616">
        <v>7783000000</v>
      </c>
      <c r="O616">
        <v>1255000000</v>
      </c>
      <c r="P616">
        <v>177000000</v>
      </c>
      <c r="Q616">
        <v>9311000000</v>
      </c>
      <c r="R616">
        <v>7684000000</v>
      </c>
      <c r="S616">
        <v>20507000000</v>
      </c>
      <c r="T616">
        <v>0</v>
      </c>
      <c r="U616">
        <v>1569000000</v>
      </c>
      <c r="V616">
        <v>14175000000</v>
      </c>
      <c r="W616">
        <v>98145552960</v>
      </c>
      <c r="X616">
        <v>99714552960</v>
      </c>
      <c r="Y616">
        <v>7.1354984732591804</v>
      </c>
      <c r="Z616">
        <v>-23.717536834641681</v>
      </c>
      <c r="AA616">
        <v>-36.801788982318271</v>
      </c>
      <c r="AB616">
        <v>-21.625618323712771</v>
      </c>
      <c r="AC616">
        <v>-19.90659999149841</v>
      </c>
      <c r="AD616">
        <v>-91.734136101860926</v>
      </c>
      <c r="AE616">
        <v>-25.25058317548746</v>
      </c>
      <c r="AF616">
        <v>-24.8532673993416</v>
      </c>
      <c r="AG616">
        <v>-21.193316250797029</v>
      </c>
      <c r="AH616">
        <v>-20.859841224229541</v>
      </c>
      <c r="AI616">
        <v>-39.18057090766208</v>
      </c>
      <c r="AJ616">
        <v>-23.023447924266911</v>
      </c>
      <c r="AK616">
        <v>-38.56406796070727</v>
      </c>
      <c r="AL616">
        <v>-22.66117593165551</v>
      </c>
      <c r="AM616">
        <v>7.5967204753923507</v>
      </c>
      <c r="AN616">
        <v>7.4771867255828131</v>
      </c>
    </row>
    <row r="617" spans="1:40" x14ac:dyDescent="0.25">
      <c r="A617" s="1" t="s">
        <v>900</v>
      </c>
      <c r="B617">
        <v>91162163520</v>
      </c>
      <c r="C617" t="s">
        <v>81</v>
      </c>
      <c r="D617" t="s">
        <v>127</v>
      </c>
      <c r="E617">
        <v>13126000000</v>
      </c>
      <c r="F617">
        <v>-3949000000</v>
      </c>
      <c r="G617">
        <v>-2545000000</v>
      </c>
      <c r="H617">
        <v>-4331000000</v>
      </c>
      <c r="I617">
        <v>-4705000000</v>
      </c>
      <c r="J617">
        <v>-1021000000</v>
      </c>
      <c r="K617">
        <v>4443000000</v>
      </c>
      <c r="L617">
        <v>560000000</v>
      </c>
      <c r="M617">
        <v>5003000000</v>
      </c>
      <c r="N617">
        <v>7783000000</v>
      </c>
      <c r="O617">
        <v>1255000000</v>
      </c>
      <c r="P617">
        <v>177000000</v>
      </c>
      <c r="Q617">
        <v>9311000000</v>
      </c>
      <c r="R617">
        <v>7684000000</v>
      </c>
      <c r="S617">
        <v>20507000000</v>
      </c>
      <c r="T617">
        <v>0</v>
      </c>
      <c r="U617">
        <v>1569000000</v>
      </c>
      <c r="V617">
        <v>14175000000</v>
      </c>
      <c r="W617">
        <v>95647163520</v>
      </c>
      <c r="X617">
        <v>97216163520</v>
      </c>
      <c r="Y617">
        <v>6.9451594941337804</v>
      </c>
      <c r="Z617">
        <v>-23.084873010888831</v>
      </c>
      <c r="AA617">
        <v>-35.820103544204322</v>
      </c>
      <c r="AB617">
        <v>-21.048756296467332</v>
      </c>
      <c r="AC617">
        <v>-19.375592671625931</v>
      </c>
      <c r="AD617">
        <v>-89.287133712047009</v>
      </c>
      <c r="AE617">
        <v>-24.617919351734621</v>
      </c>
      <c r="AF617">
        <v>-24.220603575588761</v>
      </c>
      <c r="AG617">
        <v>-20.662308930924549</v>
      </c>
      <c r="AH617">
        <v>-20.328833904357069</v>
      </c>
      <c r="AI617">
        <v>-38.198885469548131</v>
      </c>
      <c r="AJ617">
        <v>-22.446585897021471</v>
      </c>
      <c r="AK617">
        <v>-37.582382522593321</v>
      </c>
      <c r="AL617">
        <v>-22.08431390441007</v>
      </c>
      <c r="AM617">
        <v>7.4063814962669507</v>
      </c>
      <c r="AN617">
        <v>7.2868477464574131</v>
      </c>
    </row>
    <row r="618" spans="1:40" x14ac:dyDescent="0.25">
      <c r="A618" s="1" t="s">
        <v>899</v>
      </c>
      <c r="B618">
        <v>91123428800</v>
      </c>
      <c r="C618" t="s">
        <v>81</v>
      </c>
      <c r="D618" t="s">
        <v>127</v>
      </c>
      <c r="E618">
        <v>13126000000</v>
      </c>
      <c r="F618">
        <v>-3949000000</v>
      </c>
      <c r="G618">
        <v>-2545000000</v>
      </c>
      <c r="H618">
        <v>-4331000000</v>
      </c>
      <c r="I618">
        <v>-4705000000</v>
      </c>
      <c r="J618">
        <v>-1021000000</v>
      </c>
      <c r="K618">
        <v>4443000000</v>
      </c>
      <c r="L618">
        <v>560000000</v>
      </c>
      <c r="M618">
        <v>5003000000</v>
      </c>
      <c r="N618">
        <v>7783000000</v>
      </c>
      <c r="O618">
        <v>1255000000</v>
      </c>
      <c r="P618">
        <v>177000000</v>
      </c>
      <c r="Q618">
        <v>9311000000</v>
      </c>
      <c r="R618">
        <v>7684000000</v>
      </c>
      <c r="S618">
        <v>20507000000</v>
      </c>
      <c r="T618">
        <v>0</v>
      </c>
      <c r="U618">
        <v>1569000000</v>
      </c>
      <c r="V618">
        <v>14175000000</v>
      </c>
      <c r="W618">
        <v>95608428800</v>
      </c>
      <c r="X618">
        <v>97177428800</v>
      </c>
      <c r="Y618">
        <v>6.9422085022093558</v>
      </c>
      <c r="Z618">
        <v>-23.075064269435298</v>
      </c>
      <c r="AA618">
        <v>-35.804883614931242</v>
      </c>
      <c r="AB618">
        <v>-21.039812699145699</v>
      </c>
      <c r="AC618">
        <v>-19.367360000000001</v>
      </c>
      <c r="AD618">
        <v>-89.249195690499505</v>
      </c>
      <c r="AE618">
        <v>-24.608110610281081</v>
      </c>
      <c r="AF618">
        <v>-24.210794834135221</v>
      </c>
      <c r="AG618">
        <v>-20.65407625929862</v>
      </c>
      <c r="AH618">
        <v>-20.320601232731139</v>
      </c>
      <c r="AI618">
        <v>-38.183665540275051</v>
      </c>
      <c r="AJ618">
        <v>-22.437642299699839</v>
      </c>
      <c r="AK618">
        <v>-37.567162593320226</v>
      </c>
      <c r="AL618">
        <v>-22.075370307088431</v>
      </c>
      <c r="AM618">
        <v>7.4034305043425261</v>
      </c>
      <c r="AN618">
        <v>7.2838967545329876</v>
      </c>
    </row>
    <row r="619" spans="1:40" x14ac:dyDescent="0.25">
      <c r="A619" s="1" t="s">
        <v>898</v>
      </c>
      <c r="B619">
        <v>89089856000</v>
      </c>
      <c r="C619" t="s">
        <v>81</v>
      </c>
      <c r="D619" t="s">
        <v>127</v>
      </c>
      <c r="E619">
        <v>13126000000</v>
      </c>
      <c r="F619">
        <v>-3949000000</v>
      </c>
      <c r="G619">
        <v>-2545000000</v>
      </c>
      <c r="H619">
        <v>-4331000000</v>
      </c>
      <c r="I619">
        <v>-4705000000</v>
      </c>
      <c r="J619">
        <v>-1021000000</v>
      </c>
      <c r="K619">
        <v>4443000000</v>
      </c>
      <c r="L619">
        <v>560000000</v>
      </c>
      <c r="M619">
        <v>5003000000</v>
      </c>
      <c r="N619">
        <v>7783000000</v>
      </c>
      <c r="O619">
        <v>1255000000</v>
      </c>
      <c r="P619">
        <v>177000000</v>
      </c>
      <c r="Q619">
        <v>9311000000</v>
      </c>
      <c r="R619">
        <v>7684000000</v>
      </c>
      <c r="S619">
        <v>20507000000</v>
      </c>
      <c r="T619">
        <v>0</v>
      </c>
      <c r="U619">
        <v>1569000000</v>
      </c>
      <c r="V619">
        <v>14175000000</v>
      </c>
      <c r="W619">
        <v>93574856000</v>
      </c>
      <c r="X619">
        <v>95143856000</v>
      </c>
      <c r="Y619">
        <v>6.7872814261770529</v>
      </c>
      <c r="Z619">
        <v>-22.560105343124839</v>
      </c>
      <c r="AA619">
        <v>-35.005837328094302</v>
      </c>
      <c r="AB619">
        <v>-20.570273839759871</v>
      </c>
      <c r="AC619">
        <v>-18.93514473963868</v>
      </c>
      <c r="AD619">
        <v>-87.257449559255633</v>
      </c>
      <c r="AE619">
        <v>-24.093151683970621</v>
      </c>
      <c r="AF619">
        <v>-23.695835907824769</v>
      </c>
      <c r="AG619">
        <v>-20.221860998937299</v>
      </c>
      <c r="AH619">
        <v>-19.888385972369822</v>
      </c>
      <c r="AI619">
        <v>-37.384619253438117</v>
      </c>
      <c r="AJ619">
        <v>-21.96810344031401</v>
      </c>
      <c r="AK619">
        <v>-36.7681163064833</v>
      </c>
      <c r="AL619">
        <v>-21.605831447702609</v>
      </c>
      <c r="AM619">
        <v>7.2485034283102241</v>
      </c>
      <c r="AN619">
        <v>7.1289696785006864</v>
      </c>
    </row>
    <row r="620" spans="1:40" x14ac:dyDescent="0.25">
      <c r="A620" s="1" t="s">
        <v>897</v>
      </c>
      <c r="B620">
        <v>90000121920</v>
      </c>
      <c r="C620" t="s">
        <v>81</v>
      </c>
      <c r="D620" t="s">
        <v>127</v>
      </c>
      <c r="E620">
        <v>13126000000</v>
      </c>
      <c r="F620">
        <v>-3949000000</v>
      </c>
      <c r="G620">
        <v>-2545000000</v>
      </c>
      <c r="H620">
        <v>-4331000000</v>
      </c>
      <c r="I620">
        <v>-4705000000</v>
      </c>
      <c r="J620">
        <v>-1021000000</v>
      </c>
      <c r="K620">
        <v>4443000000</v>
      </c>
      <c r="L620">
        <v>560000000</v>
      </c>
      <c r="M620">
        <v>5003000000</v>
      </c>
      <c r="N620">
        <v>7783000000</v>
      </c>
      <c r="O620">
        <v>1255000000</v>
      </c>
      <c r="P620">
        <v>177000000</v>
      </c>
      <c r="Q620">
        <v>9311000000</v>
      </c>
      <c r="R620">
        <v>7684000000</v>
      </c>
      <c r="S620">
        <v>20507000000</v>
      </c>
      <c r="T620">
        <v>0</v>
      </c>
      <c r="U620">
        <v>1569000000</v>
      </c>
      <c r="V620">
        <v>14175000000</v>
      </c>
      <c r="W620">
        <v>94485121920</v>
      </c>
      <c r="X620">
        <v>96054121920</v>
      </c>
      <c r="Y620">
        <v>6.856629736401036</v>
      </c>
      <c r="Z620">
        <v>-22.79061076728286</v>
      </c>
      <c r="AA620">
        <v>-35.36350566601179</v>
      </c>
      <c r="AB620">
        <v>-20.780448376818288</v>
      </c>
      <c r="AC620">
        <v>-19.12861252284803</v>
      </c>
      <c r="AD620">
        <v>-88.148993065621937</v>
      </c>
      <c r="AE620">
        <v>-24.323657108128639</v>
      </c>
      <c r="AF620">
        <v>-23.92634133198278</v>
      </c>
      <c r="AG620">
        <v>-20.415328782146648</v>
      </c>
      <c r="AH620">
        <v>-20.081853755579171</v>
      </c>
      <c r="AI620">
        <v>-37.742287591355598</v>
      </c>
      <c r="AJ620">
        <v>-22.178277977372431</v>
      </c>
      <c r="AK620">
        <v>-37.125784644400788</v>
      </c>
      <c r="AL620">
        <v>-21.81600598476102</v>
      </c>
      <c r="AM620">
        <v>7.3178517385342072</v>
      </c>
      <c r="AN620">
        <v>7.1983179887246687</v>
      </c>
    </row>
    <row r="621" spans="1:40" x14ac:dyDescent="0.25">
      <c r="A621" s="1" t="s">
        <v>896</v>
      </c>
      <c r="B621">
        <v>88140855360</v>
      </c>
      <c r="C621" t="s">
        <v>81</v>
      </c>
      <c r="D621" t="s">
        <v>127</v>
      </c>
      <c r="E621">
        <v>13126000000</v>
      </c>
      <c r="F621">
        <v>-3949000000</v>
      </c>
      <c r="G621">
        <v>-2545000000</v>
      </c>
      <c r="H621">
        <v>-4331000000</v>
      </c>
      <c r="I621">
        <v>-4705000000</v>
      </c>
      <c r="J621">
        <v>-1021000000</v>
      </c>
      <c r="K621">
        <v>4443000000</v>
      </c>
      <c r="L621">
        <v>560000000</v>
      </c>
      <c r="M621">
        <v>5003000000</v>
      </c>
      <c r="N621">
        <v>7783000000</v>
      </c>
      <c r="O621">
        <v>1255000000</v>
      </c>
      <c r="P621">
        <v>177000000</v>
      </c>
      <c r="Q621">
        <v>9311000000</v>
      </c>
      <c r="R621">
        <v>7684000000</v>
      </c>
      <c r="S621">
        <v>20507000000</v>
      </c>
      <c r="T621">
        <v>0</v>
      </c>
      <c r="U621">
        <v>1569000000</v>
      </c>
      <c r="V621">
        <v>14175000000</v>
      </c>
      <c r="W621">
        <v>92625855360</v>
      </c>
      <c r="X621">
        <v>94194855360</v>
      </c>
      <c r="Y621">
        <v>6.7149821240286451</v>
      </c>
      <c r="Z621">
        <v>-22.319791177513299</v>
      </c>
      <c r="AA621">
        <v>-34.632949060903726</v>
      </c>
      <c r="AB621">
        <v>-20.351155705379821</v>
      </c>
      <c r="AC621">
        <v>-18.733444284803401</v>
      </c>
      <c r="AD621">
        <v>-86.327968031341825</v>
      </c>
      <c r="AE621">
        <v>-23.852837518359081</v>
      </c>
      <c r="AF621">
        <v>-23.455521742213222</v>
      </c>
      <c r="AG621">
        <v>-20.020160544102019</v>
      </c>
      <c r="AH621">
        <v>-19.686685517534539</v>
      </c>
      <c r="AI621">
        <v>-37.011730986247542</v>
      </c>
      <c r="AJ621">
        <v>-21.74898530593396</v>
      </c>
      <c r="AK621">
        <v>-36.395228039292732</v>
      </c>
      <c r="AL621">
        <v>-21.386713313322559</v>
      </c>
      <c r="AM621">
        <v>7.1762041261618164</v>
      </c>
      <c r="AN621">
        <v>7.0566703763522778</v>
      </c>
    </row>
    <row r="622" spans="1:40" x14ac:dyDescent="0.25">
      <c r="A622" s="1" t="s">
        <v>895</v>
      </c>
      <c r="B622">
        <v>88547569920</v>
      </c>
      <c r="C622" t="s">
        <v>81</v>
      </c>
      <c r="D622" t="s">
        <v>127</v>
      </c>
      <c r="E622">
        <v>13126000000</v>
      </c>
      <c r="F622">
        <v>-3949000000</v>
      </c>
      <c r="G622">
        <v>-2545000000</v>
      </c>
      <c r="H622">
        <v>-4331000000</v>
      </c>
      <c r="I622">
        <v>-4705000000</v>
      </c>
      <c r="J622">
        <v>-1021000000</v>
      </c>
      <c r="K622">
        <v>4443000000</v>
      </c>
      <c r="L622">
        <v>560000000</v>
      </c>
      <c r="M622">
        <v>5003000000</v>
      </c>
      <c r="N622">
        <v>7783000000</v>
      </c>
      <c r="O622">
        <v>1255000000</v>
      </c>
      <c r="P622">
        <v>177000000</v>
      </c>
      <c r="Q622">
        <v>9311000000</v>
      </c>
      <c r="R622">
        <v>7684000000</v>
      </c>
      <c r="S622">
        <v>20507000000</v>
      </c>
      <c r="T622">
        <v>0</v>
      </c>
      <c r="U622">
        <v>1569000000</v>
      </c>
      <c r="V622">
        <v>14175000000</v>
      </c>
      <c r="W622">
        <v>93032569920</v>
      </c>
      <c r="X622">
        <v>94601569920</v>
      </c>
      <c r="Y622">
        <v>6.7459675392351057</v>
      </c>
      <c r="Z622">
        <v>-22.42278296277539</v>
      </c>
      <c r="AA622">
        <v>-34.792758318271119</v>
      </c>
      <c r="AB622">
        <v>-20.44506347725698</v>
      </c>
      <c r="AC622">
        <v>-18.819887336875659</v>
      </c>
      <c r="AD622">
        <v>-86.726317257590594</v>
      </c>
      <c r="AE622">
        <v>-23.955829303621169</v>
      </c>
      <c r="AF622">
        <v>-23.558513527475309</v>
      </c>
      <c r="AG622">
        <v>-20.106603596174281</v>
      </c>
      <c r="AH622">
        <v>-19.773128569606801</v>
      </c>
      <c r="AI622">
        <v>-37.171540243614928</v>
      </c>
      <c r="AJ622">
        <v>-21.84289307781113</v>
      </c>
      <c r="AK622">
        <v>-36.555037296660117</v>
      </c>
      <c r="AL622">
        <v>-21.480621085199719</v>
      </c>
      <c r="AM622">
        <v>7.2071895413682769</v>
      </c>
      <c r="AN622">
        <v>7.0876557915587384</v>
      </c>
    </row>
    <row r="623" spans="1:40" x14ac:dyDescent="0.25">
      <c r="A623" s="1" t="s">
        <v>894</v>
      </c>
      <c r="B623">
        <v>89128590720</v>
      </c>
      <c r="C623" t="s">
        <v>81</v>
      </c>
      <c r="D623" t="s">
        <v>127</v>
      </c>
      <c r="E623">
        <v>13126000000</v>
      </c>
      <c r="F623">
        <v>-3949000000</v>
      </c>
      <c r="G623">
        <v>-2545000000</v>
      </c>
      <c r="H623">
        <v>-4331000000</v>
      </c>
      <c r="I623">
        <v>-4705000000</v>
      </c>
      <c r="J623">
        <v>-1021000000</v>
      </c>
      <c r="K623">
        <v>4443000000</v>
      </c>
      <c r="L623">
        <v>560000000</v>
      </c>
      <c r="M623">
        <v>5003000000</v>
      </c>
      <c r="N623">
        <v>7783000000</v>
      </c>
      <c r="O623">
        <v>1255000000</v>
      </c>
      <c r="P623">
        <v>177000000</v>
      </c>
      <c r="Q623">
        <v>9311000000</v>
      </c>
      <c r="R623">
        <v>7684000000</v>
      </c>
      <c r="S623">
        <v>20507000000</v>
      </c>
      <c r="T623">
        <v>0</v>
      </c>
      <c r="U623">
        <v>1569000000</v>
      </c>
      <c r="V623">
        <v>14175000000</v>
      </c>
      <c r="W623">
        <v>93613590720</v>
      </c>
      <c r="X623">
        <v>95182590720</v>
      </c>
      <c r="Y623">
        <v>6.7902324181014784</v>
      </c>
      <c r="Z623">
        <v>-22.569914084578379</v>
      </c>
      <c r="AA623">
        <v>-35.021057257367389</v>
      </c>
      <c r="AB623">
        <v>-20.57921743708151</v>
      </c>
      <c r="AC623">
        <v>-18.94337741126461</v>
      </c>
      <c r="AD623">
        <v>-87.295387580803137</v>
      </c>
      <c r="AE623">
        <v>-24.102960425424161</v>
      </c>
      <c r="AF623">
        <v>-23.705644649278302</v>
      </c>
      <c r="AG623">
        <v>-20.230093670563232</v>
      </c>
      <c r="AH623">
        <v>-19.896618643995751</v>
      </c>
      <c r="AI623">
        <v>-37.399839182711197</v>
      </c>
      <c r="AJ623">
        <v>-21.97704703763565</v>
      </c>
      <c r="AK623">
        <v>-36.783336235756387</v>
      </c>
      <c r="AL623">
        <v>-21.614775045024249</v>
      </c>
      <c r="AM623">
        <v>7.2514544202346487</v>
      </c>
      <c r="AN623">
        <v>7.1319206704251101</v>
      </c>
    </row>
    <row r="624" spans="1:40" x14ac:dyDescent="0.25">
      <c r="A624" s="1" t="s">
        <v>893</v>
      </c>
      <c r="B624">
        <v>86630201280</v>
      </c>
      <c r="C624" t="s">
        <v>81</v>
      </c>
      <c r="D624" t="s">
        <v>127</v>
      </c>
      <c r="E624">
        <v>13126000000</v>
      </c>
      <c r="F624">
        <v>-3949000000</v>
      </c>
      <c r="G624">
        <v>-2545000000</v>
      </c>
      <c r="H624">
        <v>-4331000000</v>
      </c>
      <c r="I624">
        <v>-4705000000</v>
      </c>
      <c r="J624">
        <v>-1021000000</v>
      </c>
      <c r="K624">
        <v>4443000000</v>
      </c>
      <c r="L624">
        <v>560000000</v>
      </c>
      <c r="M624">
        <v>5003000000</v>
      </c>
      <c r="N624">
        <v>7783000000</v>
      </c>
      <c r="O624">
        <v>1255000000</v>
      </c>
      <c r="P624">
        <v>177000000</v>
      </c>
      <c r="Q624">
        <v>9311000000</v>
      </c>
      <c r="R624">
        <v>7684000000</v>
      </c>
      <c r="S624">
        <v>20507000000</v>
      </c>
      <c r="T624">
        <v>0</v>
      </c>
      <c r="U624">
        <v>1569000000</v>
      </c>
      <c r="V624">
        <v>14175000000</v>
      </c>
      <c r="W624">
        <v>91115201280</v>
      </c>
      <c r="X624">
        <v>92684201280</v>
      </c>
      <c r="Y624">
        <v>6.5998934389760784</v>
      </c>
      <c r="Z624">
        <v>-21.937250260825529</v>
      </c>
      <c r="AA624">
        <v>-34.039371819253439</v>
      </c>
      <c r="AB624">
        <v>-20.002355409836071</v>
      </c>
      <c r="AC624">
        <v>-18.412370091392141</v>
      </c>
      <c r="AD624">
        <v>-84.848385190989219</v>
      </c>
      <c r="AE624">
        <v>-23.470296601671311</v>
      </c>
      <c r="AF624">
        <v>-23.072980825525448</v>
      </c>
      <c r="AG624">
        <v>-19.699086350690759</v>
      </c>
      <c r="AH624">
        <v>-19.365611324123272</v>
      </c>
      <c r="AI624">
        <v>-36.418153744597248</v>
      </c>
      <c r="AJ624">
        <v>-21.40018501039021</v>
      </c>
      <c r="AK624">
        <v>-35.801650797642438</v>
      </c>
      <c r="AL624">
        <v>-21.037913017778809</v>
      </c>
      <c r="AM624">
        <v>7.0611154411092487</v>
      </c>
      <c r="AN624">
        <v>6.9415816912997101</v>
      </c>
    </row>
    <row r="625" spans="1:40" x14ac:dyDescent="0.25">
      <c r="A625" s="1" t="s">
        <v>892</v>
      </c>
      <c r="B625">
        <v>86417160320</v>
      </c>
      <c r="C625" t="s">
        <v>81</v>
      </c>
      <c r="D625" t="s">
        <v>127</v>
      </c>
      <c r="E625">
        <v>13126000000</v>
      </c>
      <c r="F625">
        <v>-3949000000</v>
      </c>
      <c r="G625">
        <v>-2545000000</v>
      </c>
      <c r="H625">
        <v>-4331000000</v>
      </c>
      <c r="I625">
        <v>-4705000000</v>
      </c>
      <c r="J625">
        <v>-1021000000</v>
      </c>
      <c r="K625">
        <v>4443000000</v>
      </c>
      <c r="L625">
        <v>560000000</v>
      </c>
      <c r="M625">
        <v>5003000000</v>
      </c>
      <c r="N625">
        <v>7783000000</v>
      </c>
      <c r="O625">
        <v>1255000000</v>
      </c>
      <c r="P625">
        <v>177000000</v>
      </c>
      <c r="Q625">
        <v>9311000000</v>
      </c>
      <c r="R625">
        <v>7684000000</v>
      </c>
      <c r="S625">
        <v>20507000000</v>
      </c>
      <c r="T625">
        <v>0</v>
      </c>
      <c r="U625">
        <v>1569000000</v>
      </c>
      <c r="V625">
        <v>14175000000</v>
      </c>
      <c r="W625">
        <v>90902160320</v>
      </c>
      <c r="X625">
        <v>92471160320</v>
      </c>
      <c r="Y625">
        <v>6.5836629833917417</v>
      </c>
      <c r="Z625">
        <v>-21.883302182831091</v>
      </c>
      <c r="AA625">
        <v>-33.955662208251468</v>
      </c>
      <c r="AB625">
        <v>-19.95316562456707</v>
      </c>
      <c r="AC625">
        <v>-18.36709039744952</v>
      </c>
      <c r="AD625">
        <v>-84.63972607247797</v>
      </c>
      <c r="AE625">
        <v>-23.416348523676881</v>
      </c>
      <c r="AF625">
        <v>-23.019032747531021</v>
      </c>
      <c r="AG625">
        <v>-19.653806656748142</v>
      </c>
      <c r="AH625">
        <v>-19.320331630180661</v>
      </c>
      <c r="AI625">
        <v>-36.334444133595277</v>
      </c>
      <c r="AJ625">
        <v>-21.35099522512122</v>
      </c>
      <c r="AK625">
        <v>-35.717941186640473</v>
      </c>
      <c r="AL625">
        <v>-20.988723232509809</v>
      </c>
      <c r="AM625">
        <v>7.044884985524912</v>
      </c>
      <c r="AN625">
        <v>6.9253512357153744</v>
      </c>
    </row>
    <row r="626" spans="1:40" x14ac:dyDescent="0.25">
      <c r="A626" s="1" t="s">
        <v>891</v>
      </c>
      <c r="B626">
        <v>84867771520</v>
      </c>
      <c r="C626" t="s">
        <v>81</v>
      </c>
      <c r="D626" t="s">
        <v>127</v>
      </c>
      <c r="E626">
        <v>13126000000</v>
      </c>
      <c r="F626">
        <v>-3949000000</v>
      </c>
      <c r="G626">
        <v>-2545000000</v>
      </c>
      <c r="H626">
        <v>-4331000000</v>
      </c>
      <c r="I626">
        <v>-4705000000</v>
      </c>
      <c r="J626">
        <v>-1021000000</v>
      </c>
      <c r="K626">
        <v>4443000000</v>
      </c>
      <c r="L626">
        <v>560000000</v>
      </c>
      <c r="M626">
        <v>5003000000</v>
      </c>
      <c r="N626">
        <v>7783000000</v>
      </c>
      <c r="O626">
        <v>1255000000</v>
      </c>
      <c r="P626">
        <v>177000000</v>
      </c>
      <c r="Q626">
        <v>9311000000</v>
      </c>
      <c r="R626">
        <v>7684000000</v>
      </c>
      <c r="S626">
        <v>20507000000</v>
      </c>
      <c r="T626">
        <v>0</v>
      </c>
      <c r="U626">
        <v>1569000000</v>
      </c>
      <c r="V626">
        <v>14175000000</v>
      </c>
      <c r="W626">
        <v>89352771520</v>
      </c>
      <c r="X626">
        <v>90921771520</v>
      </c>
      <c r="Y626">
        <v>6.4656233064147486</v>
      </c>
      <c r="Z626">
        <v>-21.490952524689799</v>
      </c>
      <c r="AA626">
        <v>-33.346865037328087</v>
      </c>
      <c r="AB626">
        <v>-19.595421731701681</v>
      </c>
      <c r="AC626">
        <v>-18.03778353241233</v>
      </c>
      <c r="AD626">
        <v>-83.12220521057786</v>
      </c>
      <c r="AE626">
        <v>-23.023998865535582</v>
      </c>
      <c r="AF626">
        <v>-22.626683089389719</v>
      </c>
      <c r="AG626">
        <v>-19.324499791710949</v>
      </c>
      <c r="AH626">
        <v>-18.991024765143461</v>
      </c>
      <c r="AI626">
        <v>-35.725646962671902</v>
      </c>
      <c r="AJ626">
        <v>-20.993251332255831</v>
      </c>
      <c r="AK626">
        <v>-35.109144015717092</v>
      </c>
      <c r="AL626">
        <v>-20.630979339644419</v>
      </c>
      <c r="AM626">
        <v>6.9268453085479198</v>
      </c>
      <c r="AN626">
        <v>6.8073115587383821</v>
      </c>
    </row>
    <row r="627" spans="1:40" x14ac:dyDescent="0.25">
      <c r="A627" s="1" t="s">
        <v>890</v>
      </c>
      <c r="B627">
        <v>85913608960</v>
      </c>
      <c r="C627" t="s">
        <v>81</v>
      </c>
      <c r="D627" t="s">
        <v>127</v>
      </c>
      <c r="E627">
        <v>13126000000</v>
      </c>
      <c r="F627">
        <v>-3949000000</v>
      </c>
      <c r="G627">
        <v>-2545000000</v>
      </c>
      <c r="H627">
        <v>-4331000000</v>
      </c>
      <c r="I627">
        <v>-4705000000</v>
      </c>
      <c r="J627">
        <v>-1021000000</v>
      </c>
      <c r="K627">
        <v>4443000000</v>
      </c>
      <c r="L627">
        <v>560000000</v>
      </c>
      <c r="M627">
        <v>5003000000</v>
      </c>
      <c r="N627">
        <v>7783000000</v>
      </c>
      <c r="O627">
        <v>1255000000</v>
      </c>
      <c r="P627">
        <v>177000000</v>
      </c>
      <c r="Q627">
        <v>9311000000</v>
      </c>
      <c r="R627">
        <v>7684000000</v>
      </c>
      <c r="S627">
        <v>20507000000</v>
      </c>
      <c r="T627">
        <v>0</v>
      </c>
      <c r="U627">
        <v>1569000000</v>
      </c>
      <c r="V627">
        <v>14175000000</v>
      </c>
      <c r="W627">
        <v>90398608960</v>
      </c>
      <c r="X627">
        <v>91967608960</v>
      </c>
      <c r="Y627">
        <v>6.5453000883742192</v>
      </c>
      <c r="Z627">
        <v>-21.755788543935179</v>
      </c>
      <c r="AA627">
        <v>-33.757803127701372</v>
      </c>
      <c r="AB627">
        <v>-19.836898859385819</v>
      </c>
      <c r="AC627">
        <v>-18.260065666312428</v>
      </c>
      <c r="AD627">
        <v>-84.146531792360435</v>
      </c>
      <c r="AE627">
        <v>-23.288834884780961</v>
      </c>
      <c r="AF627">
        <v>-22.891519108635102</v>
      </c>
      <c r="AG627">
        <v>-19.54678192561105</v>
      </c>
      <c r="AH627">
        <v>-19.21330689904357</v>
      </c>
      <c r="AI627">
        <v>-36.136585053045188</v>
      </c>
      <c r="AJ627">
        <v>-21.234728459939969</v>
      </c>
      <c r="AK627">
        <v>-35.520082106090371</v>
      </c>
      <c r="AL627">
        <v>-20.872456467328561</v>
      </c>
      <c r="AM627">
        <v>7.0065220905073886</v>
      </c>
      <c r="AN627">
        <v>6.8869883406978518</v>
      </c>
    </row>
    <row r="628" spans="1:40" x14ac:dyDescent="0.25">
      <c r="A628" s="1" t="s">
        <v>889</v>
      </c>
      <c r="B628">
        <v>83066607040</v>
      </c>
      <c r="C628" t="s">
        <v>81</v>
      </c>
      <c r="D628" t="s">
        <v>127</v>
      </c>
      <c r="E628">
        <v>13126000000</v>
      </c>
      <c r="F628">
        <v>-3949000000</v>
      </c>
      <c r="G628">
        <v>-2545000000</v>
      </c>
      <c r="H628">
        <v>-4331000000</v>
      </c>
      <c r="I628">
        <v>-4705000000</v>
      </c>
      <c r="J628">
        <v>-1021000000</v>
      </c>
      <c r="K628">
        <v>4443000000</v>
      </c>
      <c r="L628">
        <v>560000000</v>
      </c>
      <c r="M628">
        <v>5003000000</v>
      </c>
      <c r="N628">
        <v>7783000000</v>
      </c>
      <c r="O628">
        <v>1255000000</v>
      </c>
      <c r="P628">
        <v>177000000</v>
      </c>
      <c r="Q628">
        <v>9311000000</v>
      </c>
      <c r="R628">
        <v>7684000000</v>
      </c>
      <c r="S628">
        <v>20507000000</v>
      </c>
      <c r="T628">
        <v>0</v>
      </c>
      <c r="U628">
        <v>1569000000</v>
      </c>
      <c r="V628">
        <v>14175000000</v>
      </c>
      <c r="W628">
        <v>87551607040</v>
      </c>
      <c r="X628">
        <v>89120607040</v>
      </c>
      <c r="Y628">
        <v>6.328402181928996</v>
      </c>
      <c r="Z628">
        <v>-21.03484604710053</v>
      </c>
      <c r="AA628">
        <v>-32.639138326129668</v>
      </c>
      <c r="AB628">
        <v>-19.179544456245669</v>
      </c>
      <c r="AC628">
        <v>-17.65496430180659</v>
      </c>
      <c r="AD628">
        <v>-81.358087208618997</v>
      </c>
      <c r="AE628">
        <v>-22.567892387946319</v>
      </c>
      <c r="AF628">
        <v>-22.17057661180046</v>
      </c>
      <c r="AG628">
        <v>-18.941680561105208</v>
      </c>
      <c r="AH628">
        <v>-18.608205534537721</v>
      </c>
      <c r="AI628">
        <v>-35.017920251473477</v>
      </c>
      <c r="AJ628">
        <v>-20.577374056799819</v>
      </c>
      <c r="AK628">
        <v>-34.401417304518667</v>
      </c>
      <c r="AL628">
        <v>-20.215102064188411</v>
      </c>
      <c r="AM628">
        <v>6.7896241840621663</v>
      </c>
      <c r="AN628">
        <v>6.6700904342526286</v>
      </c>
    </row>
    <row r="629" spans="1:40" x14ac:dyDescent="0.25">
      <c r="A629" s="1" t="s">
        <v>888</v>
      </c>
      <c r="B629">
        <v>88547569920</v>
      </c>
      <c r="C629" t="s">
        <v>81</v>
      </c>
      <c r="D629" t="s">
        <v>127</v>
      </c>
      <c r="E629">
        <v>13126000000</v>
      </c>
      <c r="F629">
        <v>-3949000000</v>
      </c>
      <c r="G629">
        <v>-2545000000</v>
      </c>
      <c r="H629">
        <v>-4331000000</v>
      </c>
      <c r="I629">
        <v>-4705000000</v>
      </c>
      <c r="J629">
        <v>-1021000000</v>
      </c>
      <c r="K629">
        <v>4443000000</v>
      </c>
      <c r="L629">
        <v>560000000</v>
      </c>
      <c r="M629">
        <v>5003000000</v>
      </c>
      <c r="N629">
        <v>7783000000</v>
      </c>
      <c r="O629">
        <v>1255000000</v>
      </c>
      <c r="P629">
        <v>177000000</v>
      </c>
      <c r="Q629">
        <v>9311000000</v>
      </c>
      <c r="R629">
        <v>7684000000</v>
      </c>
      <c r="S629">
        <v>20507000000</v>
      </c>
      <c r="T629">
        <v>0</v>
      </c>
      <c r="U629">
        <v>1569000000</v>
      </c>
      <c r="V629">
        <v>14175000000</v>
      </c>
      <c r="W629">
        <v>93032569920</v>
      </c>
      <c r="X629">
        <v>94601569920</v>
      </c>
      <c r="Y629">
        <v>6.7459675392351057</v>
      </c>
      <c r="Z629">
        <v>-22.42278296277539</v>
      </c>
      <c r="AA629">
        <v>-34.792758318271119</v>
      </c>
      <c r="AB629">
        <v>-20.44506347725698</v>
      </c>
      <c r="AC629">
        <v>-18.819887336875659</v>
      </c>
      <c r="AD629">
        <v>-86.726317257590594</v>
      </c>
      <c r="AE629">
        <v>-23.955829303621169</v>
      </c>
      <c r="AF629">
        <v>-23.558513527475309</v>
      </c>
      <c r="AG629">
        <v>-20.106603596174281</v>
      </c>
      <c r="AH629">
        <v>-19.773128569606801</v>
      </c>
      <c r="AI629">
        <v>-37.171540243614928</v>
      </c>
      <c r="AJ629">
        <v>-21.84289307781113</v>
      </c>
      <c r="AK629">
        <v>-36.555037296660117</v>
      </c>
      <c r="AL629">
        <v>-21.480621085199719</v>
      </c>
      <c r="AM629">
        <v>7.2071895413682769</v>
      </c>
      <c r="AN629">
        <v>7.0876557915587384</v>
      </c>
    </row>
    <row r="630" spans="1:40" x14ac:dyDescent="0.25">
      <c r="A630" s="1" t="s">
        <v>129</v>
      </c>
      <c r="B630">
        <v>87676038720</v>
      </c>
      <c r="C630" t="s">
        <v>81</v>
      </c>
      <c r="D630" t="s">
        <v>127</v>
      </c>
      <c r="E630">
        <v>13126000000</v>
      </c>
      <c r="F630">
        <v>-3949000000</v>
      </c>
      <c r="G630">
        <v>-2545000000</v>
      </c>
      <c r="H630">
        <v>-4331000000</v>
      </c>
      <c r="I630">
        <v>-4705000000</v>
      </c>
      <c r="J630">
        <v>-1021000000</v>
      </c>
      <c r="K630">
        <v>4443000000</v>
      </c>
      <c r="L630">
        <v>560000000</v>
      </c>
      <c r="M630">
        <v>5003000000</v>
      </c>
      <c r="N630">
        <v>7783000000</v>
      </c>
      <c r="O630">
        <v>1255000000</v>
      </c>
      <c r="P630">
        <v>177000000</v>
      </c>
      <c r="Q630">
        <v>9311000000</v>
      </c>
      <c r="R630">
        <v>7684000000</v>
      </c>
      <c r="S630">
        <v>20507000000</v>
      </c>
      <c r="T630">
        <v>0</v>
      </c>
      <c r="U630">
        <v>1569000000</v>
      </c>
      <c r="V630">
        <v>14175000000</v>
      </c>
      <c r="W630">
        <v>92161038720</v>
      </c>
      <c r="X630">
        <v>93730038720</v>
      </c>
      <c r="Y630">
        <v>6.6795702209355481</v>
      </c>
      <c r="Z630">
        <v>-22.202086280070901</v>
      </c>
      <c r="AA630">
        <v>-34.450309909626718</v>
      </c>
      <c r="AB630">
        <v>-20.243832537520198</v>
      </c>
      <c r="AC630">
        <v>-18.634652225292239</v>
      </c>
      <c r="AD630">
        <v>-85.872711772771794</v>
      </c>
      <c r="AE630">
        <v>-23.735132620916691</v>
      </c>
      <c r="AF630">
        <v>-23.337816844770831</v>
      </c>
      <c r="AG630">
        <v>-19.921368484590861</v>
      </c>
      <c r="AH630">
        <v>-19.58789345802338</v>
      </c>
      <c r="AI630">
        <v>-36.829091834970527</v>
      </c>
      <c r="AJ630">
        <v>-21.641662138074349</v>
      </c>
      <c r="AK630">
        <v>-36.212588888015723</v>
      </c>
      <c r="AL630">
        <v>-21.279390145462941</v>
      </c>
      <c r="AM630">
        <v>7.1407922230687184</v>
      </c>
      <c r="AN630">
        <v>7.0212584732591798</v>
      </c>
    </row>
    <row r="631" spans="1:40" x14ac:dyDescent="0.25">
      <c r="A631" s="1" t="s">
        <v>887</v>
      </c>
      <c r="B631">
        <v>91394571840</v>
      </c>
      <c r="C631" t="s">
        <v>80</v>
      </c>
      <c r="D631" t="s">
        <v>127</v>
      </c>
      <c r="E631">
        <v>14842000000</v>
      </c>
      <c r="F631">
        <v>-3325000000</v>
      </c>
      <c r="G631">
        <v>-1484000000</v>
      </c>
      <c r="H631">
        <v>-3666000000</v>
      </c>
      <c r="I631">
        <v>-4161000000</v>
      </c>
      <c r="J631">
        <v>-2356000000</v>
      </c>
      <c r="K631">
        <v>6482000000</v>
      </c>
      <c r="L631">
        <v>0</v>
      </c>
      <c r="M631">
        <v>6482000000</v>
      </c>
      <c r="N631">
        <v>9684000000</v>
      </c>
      <c r="O631">
        <v>1455000000</v>
      </c>
      <c r="P631">
        <v>168000000</v>
      </c>
      <c r="Q631">
        <v>10767000000</v>
      </c>
      <c r="R631">
        <v>8126000000</v>
      </c>
      <c r="S631">
        <v>22599000000</v>
      </c>
      <c r="T631">
        <v>0</v>
      </c>
      <c r="U631">
        <v>354000000</v>
      </c>
      <c r="V631">
        <v>13931000000</v>
      </c>
      <c r="W631">
        <v>95847571840</v>
      </c>
      <c r="X631">
        <v>96201571840</v>
      </c>
      <c r="Y631">
        <v>6.1578339738579704</v>
      </c>
      <c r="Z631">
        <v>-27.487089275187969</v>
      </c>
      <c r="AA631">
        <v>-61.586638706199459</v>
      </c>
      <c r="AB631">
        <v>-24.93032510638298</v>
      </c>
      <c r="AC631">
        <v>-21.964569055515501</v>
      </c>
      <c r="AD631">
        <v>-38.792263089983017</v>
      </c>
      <c r="AE631">
        <v>-28.932803560902251</v>
      </c>
      <c r="AF631">
        <v>-28.826337395488721</v>
      </c>
      <c r="AG631">
        <v>-23.119820197068009</v>
      </c>
      <c r="AH631">
        <v>-23.03474449411199</v>
      </c>
      <c r="AI631">
        <v>-64.825857035040428</v>
      </c>
      <c r="AJ631">
        <v>-26.241563513366071</v>
      </c>
      <c r="AK631">
        <v>-64.587312560646893</v>
      </c>
      <c r="AL631">
        <v>-26.14500050190944</v>
      </c>
      <c r="AM631">
        <v>6.4817121573911871</v>
      </c>
      <c r="AN631">
        <v>6.4578609244037191</v>
      </c>
    </row>
    <row r="632" spans="1:40" x14ac:dyDescent="0.25">
      <c r="A632" s="1" t="s">
        <v>886</v>
      </c>
      <c r="B632">
        <v>88876815040</v>
      </c>
      <c r="C632" t="s">
        <v>80</v>
      </c>
      <c r="D632" t="s">
        <v>127</v>
      </c>
      <c r="E632">
        <v>14842000000</v>
      </c>
      <c r="F632">
        <v>-3325000000</v>
      </c>
      <c r="G632">
        <v>-1484000000</v>
      </c>
      <c r="H632">
        <v>-3666000000</v>
      </c>
      <c r="I632">
        <v>-4161000000</v>
      </c>
      <c r="J632">
        <v>-2356000000</v>
      </c>
      <c r="K632">
        <v>6482000000</v>
      </c>
      <c r="L632">
        <v>0</v>
      </c>
      <c r="M632">
        <v>6482000000</v>
      </c>
      <c r="N632">
        <v>9684000000</v>
      </c>
      <c r="O632">
        <v>1455000000</v>
      </c>
      <c r="P632">
        <v>168000000</v>
      </c>
      <c r="Q632">
        <v>10767000000</v>
      </c>
      <c r="R632">
        <v>8126000000</v>
      </c>
      <c r="S632">
        <v>22599000000</v>
      </c>
      <c r="T632">
        <v>0</v>
      </c>
      <c r="U632">
        <v>354000000</v>
      </c>
      <c r="V632">
        <v>13931000000</v>
      </c>
      <c r="W632">
        <v>93329815040</v>
      </c>
      <c r="X632">
        <v>93683815040</v>
      </c>
      <c r="Y632">
        <v>5.9881966743026549</v>
      </c>
      <c r="Z632">
        <v>-26.729869184962411</v>
      </c>
      <c r="AA632">
        <v>-59.890037088948787</v>
      </c>
      <c r="AB632">
        <v>-24.243539290780141</v>
      </c>
      <c r="AC632">
        <v>-21.359484508531601</v>
      </c>
      <c r="AD632">
        <v>-37.723605704584038</v>
      </c>
      <c r="AE632">
        <v>-28.175583470676688</v>
      </c>
      <c r="AF632">
        <v>-28.069117305263159</v>
      </c>
      <c r="AG632">
        <v>-22.514735650084109</v>
      </c>
      <c r="AH632">
        <v>-22.429659947128091</v>
      </c>
      <c r="AI632">
        <v>-63.129255417789757</v>
      </c>
      <c r="AJ632">
        <v>-25.554777697763232</v>
      </c>
      <c r="AK632">
        <v>-62.890710943396229</v>
      </c>
      <c r="AL632">
        <v>-25.458214686306601</v>
      </c>
      <c r="AM632">
        <v>6.3120748578358707</v>
      </c>
      <c r="AN632">
        <v>6.2882236248484036</v>
      </c>
    </row>
    <row r="633" spans="1:40" x14ac:dyDescent="0.25">
      <c r="A633" s="1" t="s">
        <v>885</v>
      </c>
      <c r="B633">
        <v>88140855360</v>
      </c>
      <c r="C633" t="s">
        <v>80</v>
      </c>
      <c r="D633" t="s">
        <v>127</v>
      </c>
      <c r="E633">
        <v>14842000000</v>
      </c>
      <c r="F633">
        <v>-3325000000</v>
      </c>
      <c r="G633">
        <v>-1484000000</v>
      </c>
      <c r="H633">
        <v>-3666000000</v>
      </c>
      <c r="I633">
        <v>-4161000000</v>
      </c>
      <c r="J633">
        <v>-2356000000</v>
      </c>
      <c r="K633">
        <v>6482000000</v>
      </c>
      <c r="L633">
        <v>0</v>
      </c>
      <c r="M633">
        <v>6482000000</v>
      </c>
      <c r="N633">
        <v>9684000000</v>
      </c>
      <c r="O633">
        <v>1455000000</v>
      </c>
      <c r="P633">
        <v>168000000</v>
      </c>
      <c r="Q633">
        <v>10767000000</v>
      </c>
      <c r="R633">
        <v>8126000000</v>
      </c>
      <c r="S633">
        <v>22599000000</v>
      </c>
      <c r="T633">
        <v>0</v>
      </c>
      <c r="U633">
        <v>354000000</v>
      </c>
      <c r="V633">
        <v>13931000000</v>
      </c>
      <c r="W633">
        <v>92593855360</v>
      </c>
      <c r="X633">
        <v>92947855360</v>
      </c>
      <c r="Y633">
        <v>5.9386103867403319</v>
      </c>
      <c r="Z633">
        <v>-26.50852792781955</v>
      </c>
      <c r="AA633">
        <v>-59.394107385444741</v>
      </c>
      <c r="AB633">
        <v>-24.042786513911619</v>
      </c>
      <c r="AC633">
        <v>-21.18261364095169</v>
      </c>
      <c r="AD633">
        <v>-37.411228930390493</v>
      </c>
      <c r="AE633">
        <v>-27.954242213533831</v>
      </c>
      <c r="AF633">
        <v>-27.847776048120298</v>
      </c>
      <c r="AG633">
        <v>-22.337864782504209</v>
      </c>
      <c r="AH633">
        <v>-22.25278907954819</v>
      </c>
      <c r="AI633">
        <v>-62.633325714285718</v>
      </c>
      <c r="AJ633">
        <v>-25.354024920894709</v>
      </c>
      <c r="AK633">
        <v>-62.394781239892183</v>
      </c>
      <c r="AL633">
        <v>-25.257461909438081</v>
      </c>
      <c r="AM633">
        <v>6.2624885702735478</v>
      </c>
      <c r="AN633">
        <v>6.2386373372860797</v>
      </c>
    </row>
    <row r="634" spans="1:40" x14ac:dyDescent="0.25">
      <c r="A634" s="1" t="s">
        <v>884</v>
      </c>
      <c r="B634">
        <v>84015607680</v>
      </c>
      <c r="C634" t="s">
        <v>80</v>
      </c>
      <c r="D634" t="s">
        <v>127</v>
      </c>
      <c r="E634">
        <v>14842000000</v>
      </c>
      <c r="F634">
        <v>-3325000000</v>
      </c>
      <c r="G634">
        <v>-1484000000</v>
      </c>
      <c r="H634">
        <v>-3666000000</v>
      </c>
      <c r="I634">
        <v>-4161000000</v>
      </c>
      <c r="J634">
        <v>-2356000000</v>
      </c>
      <c r="K634">
        <v>6482000000</v>
      </c>
      <c r="L634">
        <v>0</v>
      </c>
      <c r="M634">
        <v>6482000000</v>
      </c>
      <c r="N634">
        <v>9684000000</v>
      </c>
      <c r="O634">
        <v>1455000000</v>
      </c>
      <c r="P634">
        <v>168000000</v>
      </c>
      <c r="Q634">
        <v>10767000000</v>
      </c>
      <c r="R634">
        <v>8126000000</v>
      </c>
      <c r="S634">
        <v>22599000000</v>
      </c>
      <c r="T634">
        <v>0</v>
      </c>
      <c r="U634">
        <v>354000000</v>
      </c>
      <c r="V634">
        <v>13931000000</v>
      </c>
      <c r="W634">
        <v>88468607680</v>
      </c>
      <c r="X634">
        <v>88822607680</v>
      </c>
      <c r="Y634">
        <v>5.6606661959304674</v>
      </c>
      <c r="Z634">
        <v>-25.267851933834589</v>
      </c>
      <c r="AA634">
        <v>-56.614290889487869</v>
      </c>
      <c r="AB634">
        <v>-22.917514369885431</v>
      </c>
      <c r="AC634">
        <v>-20.19120588320115</v>
      </c>
      <c r="AD634">
        <v>-35.660274906621389</v>
      </c>
      <c r="AE634">
        <v>-26.71356621954887</v>
      </c>
      <c r="AF634">
        <v>-26.607100054135341</v>
      </c>
      <c r="AG634">
        <v>-21.346457024753661</v>
      </c>
      <c r="AH634">
        <v>-21.26138132179765</v>
      </c>
      <c r="AI634">
        <v>-59.853509218328838</v>
      </c>
      <c r="AJ634">
        <v>-24.228752776868522</v>
      </c>
      <c r="AK634">
        <v>-59.61496474393531</v>
      </c>
      <c r="AL634">
        <v>-24.132189765411891</v>
      </c>
      <c r="AM634">
        <v>5.9845443794636841</v>
      </c>
      <c r="AN634">
        <v>5.9606931464762161</v>
      </c>
    </row>
    <row r="635" spans="1:40" x14ac:dyDescent="0.25">
      <c r="A635" s="1" t="s">
        <v>883</v>
      </c>
      <c r="B635">
        <v>83821934080</v>
      </c>
      <c r="C635" t="s">
        <v>80</v>
      </c>
      <c r="D635" t="s">
        <v>127</v>
      </c>
      <c r="E635">
        <v>14842000000</v>
      </c>
      <c r="F635">
        <v>-3325000000</v>
      </c>
      <c r="G635">
        <v>-1484000000</v>
      </c>
      <c r="H635">
        <v>-3666000000</v>
      </c>
      <c r="I635">
        <v>-4161000000</v>
      </c>
      <c r="J635">
        <v>-2356000000</v>
      </c>
      <c r="K635">
        <v>6482000000</v>
      </c>
      <c r="L635">
        <v>0</v>
      </c>
      <c r="M635">
        <v>6482000000</v>
      </c>
      <c r="N635">
        <v>9684000000</v>
      </c>
      <c r="O635">
        <v>1455000000</v>
      </c>
      <c r="P635">
        <v>168000000</v>
      </c>
      <c r="Q635">
        <v>10767000000</v>
      </c>
      <c r="R635">
        <v>8126000000</v>
      </c>
      <c r="S635">
        <v>22599000000</v>
      </c>
      <c r="T635">
        <v>0</v>
      </c>
      <c r="U635">
        <v>354000000</v>
      </c>
      <c r="V635">
        <v>13931000000</v>
      </c>
      <c r="W635">
        <v>88274934080</v>
      </c>
      <c r="X635">
        <v>88628934080</v>
      </c>
      <c r="Y635">
        <v>5.6476171728877507</v>
      </c>
      <c r="Z635">
        <v>-25.209604234586461</v>
      </c>
      <c r="AA635">
        <v>-56.483783072776284</v>
      </c>
      <c r="AB635">
        <v>-22.86468469176214</v>
      </c>
      <c r="AC635">
        <v>-20.144660918048551</v>
      </c>
      <c r="AD635">
        <v>-35.578070492359927</v>
      </c>
      <c r="AE635">
        <v>-26.655318520300749</v>
      </c>
      <c r="AF635">
        <v>-26.54885235488722</v>
      </c>
      <c r="AG635">
        <v>-21.299912059601059</v>
      </c>
      <c r="AH635">
        <v>-21.214836356645041</v>
      </c>
      <c r="AI635">
        <v>-59.723001401617253</v>
      </c>
      <c r="AJ635">
        <v>-24.17592309874523</v>
      </c>
      <c r="AK635">
        <v>-59.484456927223718</v>
      </c>
      <c r="AL635">
        <v>-24.079360087288599</v>
      </c>
      <c r="AM635">
        <v>5.9714953564209674</v>
      </c>
      <c r="AN635">
        <v>5.9476441234334994</v>
      </c>
    </row>
    <row r="636" spans="1:40" x14ac:dyDescent="0.25">
      <c r="A636" s="1" t="s">
        <v>882</v>
      </c>
      <c r="B636">
        <v>87385528320</v>
      </c>
      <c r="C636" t="s">
        <v>80</v>
      </c>
      <c r="D636" t="s">
        <v>127</v>
      </c>
      <c r="E636">
        <v>14842000000</v>
      </c>
      <c r="F636">
        <v>-3325000000</v>
      </c>
      <c r="G636">
        <v>-1484000000</v>
      </c>
      <c r="H636">
        <v>-3666000000</v>
      </c>
      <c r="I636">
        <v>-4161000000</v>
      </c>
      <c r="J636">
        <v>-2356000000</v>
      </c>
      <c r="K636">
        <v>6482000000</v>
      </c>
      <c r="L636">
        <v>0</v>
      </c>
      <c r="M636">
        <v>6482000000</v>
      </c>
      <c r="N636">
        <v>9684000000</v>
      </c>
      <c r="O636">
        <v>1455000000</v>
      </c>
      <c r="P636">
        <v>168000000</v>
      </c>
      <c r="Q636">
        <v>10767000000</v>
      </c>
      <c r="R636">
        <v>8126000000</v>
      </c>
      <c r="S636">
        <v>22599000000</v>
      </c>
      <c r="T636">
        <v>0</v>
      </c>
      <c r="U636">
        <v>354000000</v>
      </c>
      <c r="V636">
        <v>13931000000</v>
      </c>
      <c r="W636">
        <v>91838528320</v>
      </c>
      <c r="X636">
        <v>92192528320</v>
      </c>
      <c r="Y636">
        <v>5.8877191968737366</v>
      </c>
      <c r="Z636">
        <v>-26.281361900751879</v>
      </c>
      <c r="AA636">
        <v>-58.88512690026954</v>
      </c>
      <c r="AB636">
        <v>-23.836750769230768</v>
      </c>
      <c r="AC636">
        <v>-21.001088276856521</v>
      </c>
      <c r="AD636">
        <v>-37.090631714770801</v>
      </c>
      <c r="AE636">
        <v>-27.72707618646616</v>
      </c>
      <c r="AF636">
        <v>-27.620610021052631</v>
      </c>
      <c r="AG636">
        <v>-22.15633941840904</v>
      </c>
      <c r="AH636">
        <v>-22.071263715453021</v>
      </c>
      <c r="AI636">
        <v>-62.12434522911051</v>
      </c>
      <c r="AJ636">
        <v>-25.147989176213859</v>
      </c>
      <c r="AK636">
        <v>-61.885800754716982</v>
      </c>
      <c r="AL636">
        <v>-25.051426164757231</v>
      </c>
      <c r="AM636">
        <v>6.2115973804069533</v>
      </c>
      <c r="AN636">
        <v>6.1877461474194853</v>
      </c>
    </row>
    <row r="637" spans="1:40" x14ac:dyDescent="0.25">
      <c r="A637" s="1" t="s">
        <v>881</v>
      </c>
      <c r="B637">
        <v>84461056960</v>
      </c>
      <c r="C637" t="s">
        <v>80</v>
      </c>
      <c r="D637" t="s">
        <v>127</v>
      </c>
      <c r="E637">
        <v>14842000000</v>
      </c>
      <c r="F637">
        <v>-3325000000</v>
      </c>
      <c r="G637">
        <v>-1484000000</v>
      </c>
      <c r="H637">
        <v>-3666000000</v>
      </c>
      <c r="I637">
        <v>-4161000000</v>
      </c>
      <c r="J637">
        <v>-2356000000</v>
      </c>
      <c r="K637">
        <v>6482000000</v>
      </c>
      <c r="L637">
        <v>0</v>
      </c>
      <c r="M637">
        <v>6482000000</v>
      </c>
      <c r="N637">
        <v>9684000000</v>
      </c>
      <c r="O637">
        <v>1455000000</v>
      </c>
      <c r="P637">
        <v>168000000</v>
      </c>
      <c r="Q637">
        <v>10767000000</v>
      </c>
      <c r="R637">
        <v>8126000000</v>
      </c>
      <c r="S637">
        <v>22599000000</v>
      </c>
      <c r="T637">
        <v>0</v>
      </c>
      <c r="U637">
        <v>354000000</v>
      </c>
      <c r="V637">
        <v>13931000000</v>
      </c>
      <c r="W637">
        <v>88914056960</v>
      </c>
      <c r="X637">
        <v>89268056960</v>
      </c>
      <c r="Y637">
        <v>5.6906789489287162</v>
      </c>
      <c r="Z637">
        <v>-25.401821642105261</v>
      </c>
      <c r="AA637">
        <v>-56.91445886792453</v>
      </c>
      <c r="AB637">
        <v>-23.039022629569011</v>
      </c>
      <c r="AC637">
        <v>-20.298259303052149</v>
      </c>
      <c r="AD637">
        <v>-35.849345059422753</v>
      </c>
      <c r="AE637">
        <v>-26.84753592781955</v>
      </c>
      <c r="AF637">
        <v>-26.74106976240601</v>
      </c>
      <c r="AG637">
        <v>-21.45351044460466</v>
      </c>
      <c r="AH637">
        <v>-21.368434741648642</v>
      </c>
      <c r="AI637">
        <v>-60.1536771967655</v>
      </c>
      <c r="AJ637">
        <v>-24.350261036552102</v>
      </c>
      <c r="AK637">
        <v>-59.915132722371958</v>
      </c>
      <c r="AL637">
        <v>-24.253698025095471</v>
      </c>
      <c r="AM637">
        <v>6.014557132461932</v>
      </c>
      <c r="AN637">
        <v>5.990705899474464</v>
      </c>
    </row>
    <row r="638" spans="1:40" x14ac:dyDescent="0.25">
      <c r="A638" s="1" t="s">
        <v>880</v>
      </c>
      <c r="B638">
        <v>88625039360</v>
      </c>
      <c r="C638" t="s">
        <v>80</v>
      </c>
      <c r="D638" t="s">
        <v>127</v>
      </c>
      <c r="E638">
        <v>14842000000</v>
      </c>
      <c r="F638">
        <v>-3325000000</v>
      </c>
      <c r="G638">
        <v>-1484000000</v>
      </c>
      <c r="H638">
        <v>-3666000000</v>
      </c>
      <c r="I638">
        <v>-4161000000</v>
      </c>
      <c r="J638">
        <v>-2356000000</v>
      </c>
      <c r="K638">
        <v>6482000000</v>
      </c>
      <c r="L638">
        <v>0</v>
      </c>
      <c r="M638">
        <v>6482000000</v>
      </c>
      <c r="N638">
        <v>9684000000</v>
      </c>
      <c r="O638">
        <v>1455000000</v>
      </c>
      <c r="P638">
        <v>168000000</v>
      </c>
      <c r="Q638">
        <v>10767000000</v>
      </c>
      <c r="R638">
        <v>8126000000</v>
      </c>
      <c r="S638">
        <v>22599000000</v>
      </c>
      <c r="T638">
        <v>0</v>
      </c>
      <c r="U638">
        <v>354000000</v>
      </c>
      <c r="V638">
        <v>13931000000</v>
      </c>
      <c r="W638">
        <v>93078039360</v>
      </c>
      <c r="X638">
        <v>93432039360</v>
      </c>
      <c r="Y638">
        <v>5.9712329443471228</v>
      </c>
      <c r="Z638">
        <v>-26.654147175939851</v>
      </c>
      <c r="AA638">
        <v>-59.720376927223718</v>
      </c>
      <c r="AB638">
        <v>-24.17486070921986</v>
      </c>
      <c r="AC638">
        <v>-21.298976053833211</v>
      </c>
      <c r="AD638">
        <v>-37.616739966044143</v>
      </c>
      <c r="AE638">
        <v>-28.09986146165414</v>
      </c>
      <c r="AF638">
        <v>-27.9933952962406</v>
      </c>
      <c r="AG638">
        <v>-22.45422719538572</v>
      </c>
      <c r="AH638">
        <v>-22.369151492429701</v>
      </c>
      <c r="AI638">
        <v>-62.959595256064688</v>
      </c>
      <c r="AJ638">
        <v>-25.486099116202951</v>
      </c>
      <c r="AK638">
        <v>-62.72105078167116</v>
      </c>
      <c r="AL638">
        <v>-25.38953610474632</v>
      </c>
      <c r="AM638">
        <v>6.2951111278803404</v>
      </c>
      <c r="AN638">
        <v>6.2712598948928724</v>
      </c>
    </row>
    <row r="639" spans="1:40" x14ac:dyDescent="0.25">
      <c r="A639" s="1" t="s">
        <v>879</v>
      </c>
      <c r="B639">
        <v>85429424960</v>
      </c>
      <c r="C639" t="s">
        <v>80</v>
      </c>
      <c r="D639" t="s">
        <v>127</v>
      </c>
      <c r="E639">
        <v>14842000000</v>
      </c>
      <c r="F639">
        <v>-3325000000</v>
      </c>
      <c r="G639">
        <v>-1484000000</v>
      </c>
      <c r="H639">
        <v>-3666000000</v>
      </c>
      <c r="I639">
        <v>-4161000000</v>
      </c>
      <c r="J639">
        <v>-2356000000</v>
      </c>
      <c r="K639">
        <v>6482000000</v>
      </c>
      <c r="L639">
        <v>0</v>
      </c>
      <c r="M639">
        <v>6482000000</v>
      </c>
      <c r="N639">
        <v>9684000000</v>
      </c>
      <c r="O639">
        <v>1455000000</v>
      </c>
      <c r="P639">
        <v>168000000</v>
      </c>
      <c r="Q639">
        <v>10767000000</v>
      </c>
      <c r="R639">
        <v>8126000000</v>
      </c>
      <c r="S639">
        <v>22599000000</v>
      </c>
      <c r="T639">
        <v>0</v>
      </c>
      <c r="U639">
        <v>354000000</v>
      </c>
      <c r="V639">
        <v>13931000000</v>
      </c>
      <c r="W639">
        <v>89882424960</v>
      </c>
      <c r="X639">
        <v>90236424960</v>
      </c>
      <c r="Y639">
        <v>5.7559240641422988</v>
      </c>
      <c r="Z639">
        <v>-25.69306013834586</v>
      </c>
      <c r="AA639">
        <v>-57.566997951482477</v>
      </c>
      <c r="AB639">
        <v>-23.303171020185491</v>
      </c>
      <c r="AC639">
        <v>-20.530984128815192</v>
      </c>
      <c r="AD639">
        <v>-36.260367130730053</v>
      </c>
      <c r="AE639">
        <v>-27.138774424060149</v>
      </c>
      <c r="AF639">
        <v>-27.032308258646619</v>
      </c>
      <c r="AG639">
        <v>-21.6862352703677</v>
      </c>
      <c r="AH639">
        <v>-21.601159567411681</v>
      </c>
      <c r="AI639">
        <v>-60.806216280323447</v>
      </c>
      <c r="AJ639">
        <v>-24.614409427168571</v>
      </c>
      <c r="AK639">
        <v>-60.567671805929919</v>
      </c>
      <c r="AL639">
        <v>-24.517846415711951</v>
      </c>
      <c r="AM639">
        <v>6.0798022476755156</v>
      </c>
      <c r="AN639">
        <v>6.0559510146880484</v>
      </c>
    </row>
    <row r="640" spans="1:40" x14ac:dyDescent="0.25">
      <c r="A640" s="1" t="s">
        <v>878</v>
      </c>
      <c r="B640">
        <v>87153120000</v>
      </c>
      <c r="C640" t="s">
        <v>80</v>
      </c>
      <c r="D640" t="s">
        <v>127</v>
      </c>
      <c r="E640">
        <v>14842000000</v>
      </c>
      <c r="F640">
        <v>-3325000000</v>
      </c>
      <c r="G640">
        <v>-1484000000</v>
      </c>
      <c r="H640">
        <v>-3666000000</v>
      </c>
      <c r="I640">
        <v>-4161000000</v>
      </c>
      <c r="J640">
        <v>-2356000000</v>
      </c>
      <c r="K640">
        <v>6482000000</v>
      </c>
      <c r="L640">
        <v>0</v>
      </c>
      <c r="M640">
        <v>6482000000</v>
      </c>
      <c r="N640">
        <v>9684000000</v>
      </c>
      <c r="O640">
        <v>1455000000</v>
      </c>
      <c r="P640">
        <v>168000000</v>
      </c>
      <c r="Q640">
        <v>10767000000</v>
      </c>
      <c r="R640">
        <v>8126000000</v>
      </c>
      <c r="S640">
        <v>22599000000</v>
      </c>
      <c r="T640">
        <v>0</v>
      </c>
      <c r="U640">
        <v>354000000</v>
      </c>
      <c r="V640">
        <v>13931000000</v>
      </c>
      <c r="W640">
        <v>91606120000</v>
      </c>
      <c r="X640">
        <v>91960120000</v>
      </c>
      <c r="Y640">
        <v>5.8720603692224769</v>
      </c>
      <c r="Z640">
        <v>-26.21146466165413</v>
      </c>
      <c r="AA640">
        <v>-58.728517520215632</v>
      </c>
      <c r="AB640">
        <v>-23.773355155482811</v>
      </c>
      <c r="AC640">
        <v>-20.9452343186734</v>
      </c>
      <c r="AD640">
        <v>-36.991986417657053</v>
      </c>
      <c r="AE640">
        <v>-27.657178947368418</v>
      </c>
      <c r="AF640">
        <v>-27.550712781954889</v>
      </c>
      <c r="AG640">
        <v>-22.100485460225912</v>
      </c>
      <c r="AH640">
        <v>-22.015409757269889</v>
      </c>
      <c r="AI640">
        <v>-61.967735849056602</v>
      </c>
      <c r="AJ640">
        <v>-25.084593562465901</v>
      </c>
      <c r="AK640">
        <v>-61.729191374663067</v>
      </c>
      <c r="AL640">
        <v>-24.98803055100927</v>
      </c>
      <c r="AM640">
        <v>6.1959385527556936</v>
      </c>
      <c r="AN640">
        <v>6.1720873197682264</v>
      </c>
    </row>
    <row r="641" spans="1:40" x14ac:dyDescent="0.25">
      <c r="A641" s="1" t="s">
        <v>877</v>
      </c>
      <c r="B641">
        <v>85661833280</v>
      </c>
      <c r="C641" t="s">
        <v>80</v>
      </c>
      <c r="D641" t="s">
        <v>127</v>
      </c>
      <c r="E641">
        <v>14842000000</v>
      </c>
      <c r="F641">
        <v>-3325000000</v>
      </c>
      <c r="G641">
        <v>-1484000000</v>
      </c>
      <c r="H641">
        <v>-3666000000</v>
      </c>
      <c r="I641">
        <v>-4161000000</v>
      </c>
      <c r="J641">
        <v>-2356000000</v>
      </c>
      <c r="K641">
        <v>6482000000</v>
      </c>
      <c r="L641">
        <v>0</v>
      </c>
      <c r="M641">
        <v>6482000000</v>
      </c>
      <c r="N641">
        <v>9684000000</v>
      </c>
      <c r="O641">
        <v>1455000000</v>
      </c>
      <c r="P641">
        <v>168000000</v>
      </c>
      <c r="Q641">
        <v>10767000000</v>
      </c>
      <c r="R641">
        <v>8126000000</v>
      </c>
      <c r="S641">
        <v>22599000000</v>
      </c>
      <c r="T641">
        <v>0</v>
      </c>
      <c r="U641">
        <v>354000000</v>
      </c>
      <c r="V641">
        <v>13931000000</v>
      </c>
      <c r="W641">
        <v>90114833280</v>
      </c>
      <c r="X641">
        <v>90468833280</v>
      </c>
      <c r="Y641">
        <v>5.7715828917935594</v>
      </c>
      <c r="Z641">
        <v>-25.762957377443609</v>
      </c>
      <c r="AA641">
        <v>-57.723607331536392</v>
      </c>
      <c r="AB641">
        <v>-23.366566633933441</v>
      </c>
      <c r="AC641">
        <v>-20.58683808699832</v>
      </c>
      <c r="AD641">
        <v>-36.359012427843801</v>
      </c>
      <c r="AE641">
        <v>-27.20867166315789</v>
      </c>
      <c r="AF641">
        <v>-27.102205497744361</v>
      </c>
      <c r="AG641">
        <v>-21.742089228550832</v>
      </c>
      <c r="AH641">
        <v>-21.65701352559481</v>
      </c>
      <c r="AI641">
        <v>-60.962825660377362</v>
      </c>
      <c r="AJ641">
        <v>-24.677805040916532</v>
      </c>
      <c r="AK641">
        <v>-60.724281185983827</v>
      </c>
      <c r="AL641">
        <v>-24.581242029459901</v>
      </c>
      <c r="AM641">
        <v>6.0954610753267753</v>
      </c>
      <c r="AN641">
        <v>6.0716098423393072</v>
      </c>
    </row>
    <row r="642" spans="1:40" x14ac:dyDescent="0.25">
      <c r="A642" s="1" t="s">
        <v>876</v>
      </c>
      <c r="B642">
        <v>82504953600</v>
      </c>
      <c r="C642" t="s">
        <v>80</v>
      </c>
      <c r="D642" t="s">
        <v>127</v>
      </c>
      <c r="E642">
        <v>14842000000</v>
      </c>
      <c r="F642">
        <v>-3325000000</v>
      </c>
      <c r="G642">
        <v>-1484000000</v>
      </c>
      <c r="H642">
        <v>-3666000000</v>
      </c>
      <c r="I642">
        <v>-4161000000</v>
      </c>
      <c r="J642">
        <v>-2356000000</v>
      </c>
      <c r="K642">
        <v>6482000000</v>
      </c>
      <c r="L642">
        <v>0</v>
      </c>
      <c r="M642">
        <v>6482000000</v>
      </c>
      <c r="N642">
        <v>9684000000</v>
      </c>
      <c r="O642">
        <v>1455000000</v>
      </c>
      <c r="P642">
        <v>168000000</v>
      </c>
      <c r="Q642">
        <v>10767000000</v>
      </c>
      <c r="R642">
        <v>8126000000</v>
      </c>
      <c r="S642">
        <v>22599000000</v>
      </c>
      <c r="T642">
        <v>0</v>
      </c>
      <c r="U642">
        <v>354000000</v>
      </c>
      <c r="V642">
        <v>13931000000</v>
      </c>
      <c r="W642">
        <v>86957953600</v>
      </c>
      <c r="X642">
        <v>87311953600</v>
      </c>
      <c r="Y642">
        <v>5.5588838161972776</v>
      </c>
      <c r="Z642">
        <v>-24.81351987969925</v>
      </c>
      <c r="AA642">
        <v>-55.596329919137467</v>
      </c>
      <c r="AB642">
        <v>-22.505442880523731</v>
      </c>
      <c r="AC642">
        <v>-19.828155155010819</v>
      </c>
      <c r="AD642">
        <v>-35.019080475381998</v>
      </c>
      <c r="AE642">
        <v>-26.259234165413531</v>
      </c>
      <c r="AF642">
        <v>-26.152767999999998</v>
      </c>
      <c r="AG642">
        <v>-20.983406296563331</v>
      </c>
      <c r="AH642">
        <v>-20.898330593607309</v>
      </c>
      <c r="AI642">
        <v>-58.835548247978437</v>
      </c>
      <c r="AJ642">
        <v>-23.816681287506821</v>
      </c>
      <c r="AK642">
        <v>-58.597003773584909</v>
      </c>
      <c r="AL642">
        <v>-23.72011827605019</v>
      </c>
      <c r="AM642">
        <v>5.8827619997304943</v>
      </c>
      <c r="AN642">
        <v>5.8589107667430262</v>
      </c>
    </row>
    <row r="643" spans="1:40" x14ac:dyDescent="0.25">
      <c r="A643" s="1" t="s">
        <v>875</v>
      </c>
      <c r="B643">
        <v>82659892480</v>
      </c>
      <c r="C643" t="s">
        <v>80</v>
      </c>
      <c r="D643" t="s">
        <v>127</v>
      </c>
      <c r="E643">
        <v>14842000000</v>
      </c>
      <c r="F643">
        <v>-3325000000</v>
      </c>
      <c r="G643">
        <v>-1484000000</v>
      </c>
      <c r="H643">
        <v>-3666000000</v>
      </c>
      <c r="I643">
        <v>-4161000000</v>
      </c>
      <c r="J643">
        <v>-2356000000</v>
      </c>
      <c r="K643">
        <v>6482000000</v>
      </c>
      <c r="L643">
        <v>0</v>
      </c>
      <c r="M643">
        <v>6482000000</v>
      </c>
      <c r="N643">
        <v>9684000000</v>
      </c>
      <c r="O643">
        <v>1455000000</v>
      </c>
      <c r="P643">
        <v>168000000</v>
      </c>
      <c r="Q643">
        <v>10767000000</v>
      </c>
      <c r="R643">
        <v>8126000000</v>
      </c>
      <c r="S643">
        <v>22599000000</v>
      </c>
      <c r="T643">
        <v>0</v>
      </c>
      <c r="U643">
        <v>354000000</v>
      </c>
      <c r="V643">
        <v>13931000000</v>
      </c>
      <c r="W643">
        <v>87112892480</v>
      </c>
      <c r="X643">
        <v>87466892480</v>
      </c>
      <c r="Y643">
        <v>5.5693230346314513</v>
      </c>
      <c r="Z643">
        <v>-24.860118039097749</v>
      </c>
      <c r="AA643">
        <v>-55.700736172506737</v>
      </c>
      <c r="AB643">
        <v>-22.547706623022371</v>
      </c>
      <c r="AC643">
        <v>-19.865391127132899</v>
      </c>
      <c r="AD643">
        <v>-35.084844006791172</v>
      </c>
      <c r="AE643">
        <v>-26.30583232481203</v>
      </c>
      <c r="AF643">
        <v>-26.199366159398501</v>
      </c>
      <c r="AG643">
        <v>-21.02064226868541</v>
      </c>
      <c r="AH643">
        <v>-20.935566565729388</v>
      </c>
      <c r="AI643">
        <v>-58.939954501347707</v>
      </c>
      <c r="AJ643">
        <v>-23.858945030005451</v>
      </c>
      <c r="AK643">
        <v>-58.701410026954179</v>
      </c>
      <c r="AL643">
        <v>-23.762382018548831</v>
      </c>
      <c r="AM643">
        <v>5.893201218164668</v>
      </c>
      <c r="AN643">
        <v>5.8693499851772</v>
      </c>
    </row>
    <row r="644" spans="1:40" x14ac:dyDescent="0.25">
      <c r="A644" s="1" t="s">
        <v>874</v>
      </c>
      <c r="B644">
        <v>81497850880</v>
      </c>
      <c r="C644" t="s">
        <v>80</v>
      </c>
      <c r="D644" t="s">
        <v>127</v>
      </c>
      <c r="E644">
        <v>14842000000</v>
      </c>
      <c r="F644">
        <v>-3325000000</v>
      </c>
      <c r="G644">
        <v>-1484000000</v>
      </c>
      <c r="H644">
        <v>-3666000000</v>
      </c>
      <c r="I644">
        <v>-4161000000</v>
      </c>
      <c r="J644">
        <v>-2356000000</v>
      </c>
      <c r="K644">
        <v>6482000000</v>
      </c>
      <c r="L644">
        <v>0</v>
      </c>
      <c r="M644">
        <v>6482000000</v>
      </c>
      <c r="N644">
        <v>9684000000</v>
      </c>
      <c r="O644">
        <v>1455000000</v>
      </c>
      <c r="P644">
        <v>168000000</v>
      </c>
      <c r="Q644">
        <v>10767000000</v>
      </c>
      <c r="R644">
        <v>8126000000</v>
      </c>
      <c r="S644">
        <v>22599000000</v>
      </c>
      <c r="T644">
        <v>0</v>
      </c>
      <c r="U644">
        <v>354000000</v>
      </c>
      <c r="V644">
        <v>13931000000</v>
      </c>
      <c r="W644">
        <v>85950850880</v>
      </c>
      <c r="X644">
        <v>86304850880</v>
      </c>
      <c r="Y644">
        <v>5.4910288963751519</v>
      </c>
      <c r="Z644">
        <v>-24.510631843609019</v>
      </c>
      <c r="AA644">
        <v>-54.917689272237197</v>
      </c>
      <c r="AB644">
        <v>-22.230728554282599</v>
      </c>
      <c r="AC644">
        <v>-19.586121336217261</v>
      </c>
      <c r="AD644">
        <v>-34.59161752122241</v>
      </c>
      <c r="AE644">
        <v>-25.956346129323311</v>
      </c>
      <c r="AF644">
        <v>-25.849879963909771</v>
      </c>
      <c r="AG644">
        <v>-20.741372477769769</v>
      </c>
      <c r="AH644">
        <v>-20.65629677481375</v>
      </c>
      <c r="AI644">
        <v>-58.156907601078167</v>
      </c>
      <c r="AJ644">
        <v>-23.54196696126569</v>
      </c>
      <c r="AK644">
        <v>-57.918363126684639</v>
      </c>
      <c r="AL644">
        <v>-23.445403949809059</v>
      </c>
      <c r="AM644">
        <v>5.8149070799083677</v>
      </c>
      <c r="AN644">
        <v>5.7910558469209006</v>
      </c>
    </row>
    <row r="645" spans="1:40" x14ac:dyDescent="0.25">
      <c r="A645" s="1" t="s">
        <v>873</v>
      </c>
      <c r="B645">
        <v>78476542720</v>
      </c>
      <c r="C645" t="s">
        <v>80</v>
      </c>
      <c r="D645" t="s">
        <v>127</v>
      </c>
      <c r="E645">
        <v>14842000000</v>
      </c>
      <c r="F645">
        <v>-3325000000</v>
      </c>
      <c r="G645">
        <v>-1484000000</v>
      </c>
      <c r="H645">
        <v>-3666000000</v>
      </c>
      <c r="I645">
        <v>-4161000000</v>
      </c>
      <c r="J645">
        <v>-2356000000</v>
      </c>
      <c r="K645">
        <v>6482000000</v>
      </c>
      <c r="L645">
        <v>0</v>
      </c>
      <c r="M645">
        <v>6482000000</v>
      </c>
      <c r="N645">
        <v>9684000000</v>
      </c>
      <c r="O645">
        <v>1455000000</v>
      </c>
      <c r="P645">
        <v>168000000</v>
      </c>
      <c r="Q645">
        <v>10767000000</v>
      </c>
      <c r="R645">
        <v>8126000000</v>
      </c>
      <c r="S645">
        <v>22599000000</v>
      </c>
      <c r="T645">
        <v>0</v>
      </c>
      <c r="U645">
        <v>354000000</v>
      </c>
      <c r="V645">
        <v>13931000000</v>
      </c>
      <c r="W645">
        <v>82929542720</v>
      </c>
      <c r="X645">
        <v>83283542720</v>
      </c>
      <c r="Y645">
        <v>5.2874641369087723</v>
      </c>
      <c r="Z645">
        <v>-23.601967735338349</v>
      </c>
      <c r="AA645">
        <v>-52.881767331536388</v>
      </c>
      <c r="AB645">
        <v>-21.406585575559191</v>
      </c>
      <c r="AC645">
        <v>-18.860019879836582</v>
      </c>
      <c r="AD645">
        <v>-33.309228658743628</v>
      </c>
      <c r="AE645">
        <v>-25.04768202105263</v>
      </c>
      <c r="AF645">
        <v>-24.941215855639101</v>
      </c>
      <c r="AG645">
        <v>-20.01527102138909</v>
      </c>
      <c r="AH645">
        <v>-19.930195318433071</v>
      </c>
      <c r="AI645">
        <v>-56.120985660377357</v>
      </c>
      <c r="AJ645">
        <v>-22.717823982542281</v>
      </c>
      <c r="AK645">
        <v>-55.882441185983829</v>
      </c>
      <c r="AL645">
        <v>-22.62126097108565</v>
      </c>
      <c r="AM645">
        <v>5.611342320441989</v>
      </c>
      <c r="AN645">
        <v>5.5874910874545209</v>
      </c>
    </row>
    <row r="646" spans="1:40" x14ac:dyDescent="0.25">
      <c r="A646" s="1" t="s">
        <v>872</v>
      </c>
      <c r="B646">
        <v>76888419200</v>
      </c>
      <c r="C646" t="s">
        <v>80</v>
      </c>
      <c r="D646" t="s">
        <v>127</v>
      </c>
      <c r="E646">
        <v>14842000000</v>
      </c>
      <c r="F646">
        <v>-3325000000</v>
      </c>
      <c r="G646">
        <v>-1484000000</v>
      </c>
      <c r="H646">
        <v>-3666000000</v>
      </c>
      <c r="I646">
        <v>-4161000000</v>
      </c>
      <c r="J646">
        <v>-2356000000</v>
      </c>
      <c r="K646">
        <v>6482000000</v>
      </c>
      <c r="L646">
        <v>0</v>
      </c>
      <c r="M646">
        <v>6482000000</v>
      </c>
      <c r="N646">
        <v>9684000000</v>
      </c>
      <c r="O646">
        <v>1455000000</v>
      </c>
      <c r="P646">
        <v>168000000</v>
      </c>
      <c r="Q646">
        <v>10767000000</v>
      </c>
      <c r="R646">
        <v>8126000000</v>
      </c>
      <c r="S646">
        <v>22599000000</v>
      </c>
      <c r="T646">
        <v>0</v>
      </c>
      <c r="U646">
        <v>354000000</v>
      </c>
      <c r="V646">
        <v>13931000000</v>
      </c>
      <c r="W646">
        <v>81341419200</v>
      </c>
      <c r="X646">
        <v>81695419200</v>
      </c>
      <c r="Y646">
        <v>5.1804621479584956</v>
      </c>
      <c r="Z646">
        <v>-23.12433660150376</v>
      </c>
      <c r="AA646">
        <v>-51.811603234501348</v>
      </c>
      <c r="AB646">
        <v>-20.97338221494817</v>
      </c>
      <c r="AC646">
        <v>-18.478351165585199</v>
      </c>
      <c r="AD646">
        <v>-32.635152461799663</v>
      </c>
      <c r="AE646">
        <v>-24.570050887218041</v>
      </c>
      <c r="AF646">
        <v>-24.463584721804509</v>
      </c>
      <c r="AG646">
        <v>-19.633602307137711</v>
      </c>
      <c r="AH646">
        <v>-19.548526604181689</v>
      </c>
      <c r="AI646">
        <v>-55.050821563342318</v>
      </c>
      <c r="AJ646">
        <v>-22.284620621931261</v>
      </c>
      <c r="AK646">
        <v>-54.81227708894879</v>
      </c>
      <c r="AL646">
        <v>-22.18805761047463</v>
      </c>
      <c r="AM646">
        <v>5.5043403314917123</v>
      </c>
      <c r="AN646">
        <v>5.4804890985042451</v>
      </c>
    </row>
    <row r="647" spans="1:40" x14ac:dyDescent="0.25">
      <c r="A647" s="1" t="s">
        <v>871</v>
      </c>
      <c r="B647">
        <v>73595968000</v>
      </c>
      <c r="C647" t="s">
        <v>80</v>
      </c>
      <c r="D647" t="s">
        <v>127</v>
      </c>
      <c r="E647">
        <v>14842000000</v>
      </c>
      <c r="F647">
        <v>-3325000000</v>
      </c>
      <c r="G647">
        <v>-1484000000</v>
      </c>
      <c r="H647">
        <v>-3666000000</v>
      </c>
      <c r="I647">
        <v>-4161000000</v>
      </c>
      <c r="J647">
        <v>-2356000000</v>
      </c>
      <c r="K647">
        <v>6482000000</v>
      </c>
      <c r="L647">
        <v>0</v>
      </c>
      <c r="M647">
        <v>6482000000</v>
      </c>
      <c r="N647">
        <v>9684000000</v>
      </c>
      <c r="O647">
        <v>1455000000</v>
      </c>
      <c r="P647">
        <v>168000000</v>
      </c>
      <c r="Q647">
        <v>10767000000</v>
      </c>
      <c r="R647">
        <v>8126000000</v>
      </c>
      <c r="S647">
        <v>22599000000</v>
      </c>
      <c r="T647">
        <v>0</v>
      </c>
      <c r="U647">
        <v>354000000</v>
      </c>
      <c r="V647">
        <v>13931000000</v>
      </c>
      <c r="W647">
        <v>78048968000</v>
      </c>
      <c r="X647">
        <v>78402968000</v>
      </c>
      <c r="Y647">
        <v>4.9586287562323141</v>
      </c>
      <c r="Z647">
        <v>-22.13412571428572</v>
      </c>
      <c r="AA647">
        <v>-49.592970350404308</v>
      </c>
      <c r="AB647">
        <v>-20.07527768685215</v>
      </c>
      <c r="AC647">
        <v>-17.687086757990869</v>
      </c>
      <c r="AD647">
        <v>-31.237677419354839</v>
      </c>
      <c r="AE647">
        <v>-23.579840000000001</v>
      </c>
      <c r="AF647">
        <v>-23.473373834586461</v>
      </c>
      <c r="AG647">
        <v>-18.842337899543381</v>
      </c>
      <c r="AH647">
        <v>-18.757262196587359</v>
      </c>
      <c r="AI647">
        <v>-52.832188679245277</v>
      </c>
      <c r="AJ647">
        <v>-21.38651609383524</v>
      </c>
      <c r="AK647">
        <v>-52.593644204851749</v>
      </c>
      <c r="AL647">
        <v>-21.289953082378609</v>
      </c>
      <c r="AM647">
        <v>5.28250693976553</v>
      </c>
      <c r="AN647">
        <v>5.2586557067780619</v>
      </c>
    </row>
    <row r="648" spans="1:40" x14ac:dyDescent="0.25">
      <c r="A648" s="1" t="s">
        <v>870</v>
      </c>
      <c r="B648">
        <v>69761230720</v>
      </c>
      <c r="C648" t="s">
        <v>80</v>
      </c>
      <c r="D648" t="s">
        <v>127</v>
      </c>
      <c r="E648">
        <v>14842000000</v>
      </c>
      <c r="F648">
        <v>-3325000000</v>
      </c>
      <c r="G648">
        <v>-1484000000</v>
      </c>
      <c r="H648">
        <v>-3666000000</v>
      </c>
      <c r="I648">
        <v>-4161000000</v>
      </c>
      <c r="J648">
        <v>-2356000000</v>
      </c>
      <c r="K648">
        <v>6482000000</v>
      </c>
      <c r="L648">
        <v>0</v>
      </c>
      <c r="M648">
        <v>6482000000</v>
      </c>
      <c r="N648">
        <v>9684000000</v>
      </c>
      <c r="O648">
        <v>1455000000</v>
      </c>
      <c r="P648">
        <v>168000000</v>
      </c>
      <c r="Q648">
        <v>10767000000</v>
      </c>
      <c r="R648">
        <v>8126000000</v>
      </c>
      <c r="S648">
        <v>22599000000</v>
      </c>
      <c r="T648">
        <v>0</v>
      </c>
      <c r="U648">
        <v>354000000</v>
      </c>
      <c r="V648">
        <v>13931000000</v>
      </c>
      <c r="W648">
        <v>74214230720</v>
      </c>
      <c r="X648">
        <v>74568230720</v>
      </c>
      <c r="Y648">
        <v>4.7002580999865247</v>
      </c>
      <c r="Z648">
        <v>-20.980821269172932</v>
      </c>
      <c r="AA648">
        <v>-47.008915579514827</v>
      </c>
      <c r="AB648">
        <v>-19.029250060010909</v>
      </c>
      <c r="AC648">
        <v>-16.765496447969241</v>
      </c>
      <c r="AD648">
        <v>-29.61003001697793</v>
      </c>
      <c r="AE648">
        <v>-22.42653555488722</v>
      </c>
      <c r="AF648">
        <v>-22.32006938947368</v>
      </c>
      <c r="AG648">
        <v>-17.920747589521749</v>
      </c>
      <c r="AH648">
        <v>-17.835671886565731</v>
      </c>
      <c r="AI648">
        <v>-50.248133908355797</v>
      </c>
      <c r="AJ648">
        <v>-20.340488466994</v>
      </c>
      <c r="AK648">
        <v>-50.009589433962262</v>
      </c>
      <c r="AL648">
        <v>-20.243925455537369</v>
      </c>
      <c r="AM648">
        <v>5.0241362835197414</v>
      </c>
      <c r="AN648">
        <v>5.0002850505322733</v>
      </c>
    </row>
    <row r="649" spans="1:40" x14ac:dyDescent="0.25">
      <c r="A649" s="1" t="s">
        <v>869</v>
      </c>
      <c r="B649">
        <v>73828376320</v>
      </c>
      <c r="C649" t="s">
        <v>80</v>
      </c>
      <c r="D649" t="s">
        <v>127</v>
      </c>
      <c r="E649">
        <v>14842000000</v>
      </c>
      <c r="F649">
        <v>-3325000000</v>
      </c>
      <c r="G649">
        <v>-1484000000</v>
      </c>
      <c r="H649">
        <v>-3666000000</v>
      </c>
      <c r="I649">
        <v>-4161000000</v>
      </c>
      <c r="J649">
        <v>-2356000000</v>
      </c>
      <c r="K649">
        <v>6482000000</v>
      </c>
      <c r="L649">
        <v>0</v>
      </c>
      <c r="M649">
        <v>6482000000</v>
      </c>
      <c r="N649">
        <v>9684000000</v>
      </c>
      <c r="O649">
        <v>1455000000</v>
      </c>
      <c r="P649">
        <v>168000000</v>
      </c>
      <c r="Q649">
        <v>10767000000</v>
      </c>
      <c r="R649">
        <v>8126000000</v>
      </c>
      <c r="S649">
        <v>22599000000</v>
      </c>
      <c r="T649">
        <v>0</v>
      </c>
      <c r="U649">
        <v>354000000</v>
      </c>
      <c r="V649">
        <v>13931000000</v>
      </c>
      <c r="W649">
        <v>78281376320</v>
      </c>
      <c r="X649">
        <v>78635376320</v>
      </c>
      <c r="Y649">
        <v>4.9742875838835738</v>
      </c>
      <c r="Z649">
        <v>-22.204022953383461</v>
      </c>
      <c r="AA649">
        <v>-49.749579730458223</v>
      </c>
      <c r="AB649">
        <v>-20.138673300600111</v>
      </c>
      <c r="AC649">
        <v>-17.742940716174001</v>
      </c>
      <c r="AD649">
        <v>-31.33632271646859</v>
      </c>
      <c r="AE649">
        <v>-23.64973723909775</v>
      </c>
      <c r="AF649">
        <v>-23.54327107368421</v>
      </c>
      <c r="AG649">
        <v>-18.898191857726509</v>
      </c>
      <c r="AH649">
        <v>-18.813116154770491</v>
      </c>
      <c r="AI649">
        <v>-52.988798059299192</v>
      </c>
      <c r="AJ649">
        <v>-21.449911707583201</v>
      </c>
      <c r="AK649">
        <v>-52.750253584905657</v>
      </c>
      <c r="AL649">
        <v>-21.35334869612657</v>
      </c>
      <c r="AM649">
        <v>5.2981657674167906</v>
      </c>
      <c r="AN649">
        <v>5.2743145344293234</v>
      </c>
    </row>
    <row r="650" spans="1:40" x14ac:dyDescent="0.25">
      <c r="A650" s="1" t="s">
        <v>868</v>
      </c>
      <c r="B650">
        <v>69431985600</v>
      </c>
      <c r="C650" t="s">
        <v>80</v>
      </c>
      <c r="D650" t="s">
        <v>127</v>
      </c>
      <c r="E650">
        <v>14842000000</v>
      </c>
      <c r="F650">
        <v>-3325000000</v>
      </c>
      <c r="G650">
        <v>-1484000000</v>
      </c>
      <c r="H650">
        <v>-3666000000</v>
      </c>
      <c r="I650">
        <v>-4161000000</v>
      </c>
      <c r="J650">
        <v>-2356000000</v>
      </c>
      <c r="K650">
        <v>6482000000</v>
      </c>
      <c r="L650">
        <v>0</v>
      </c>
      <c r="M650">
        <v>6482000000</v>
      </c>
      <c r="N650">
        <v>9684000000</v>
      </c>
      <c r="O650">
        <v>1455000000</v>
      </c>
      <c r="P650">
        <v>168000000</v>
      </c>
      <c r="Q650">
        <v>10767000000</v>
      </c>
      <c r="R650">
        <v>8126000000</v>
      </c>
      <c r="S650">
        <v>22599000000</v>
      </c>
      <c r="T650">
        <v>0</v>
      </c>
      <c r="U650">
        <v>354000000</v>
      </c>
      <c r="V650">
        <v>13931000000</v>
      </c>
      <c r="W650">
        <v>73884985600</v>
      </c>
      <c r="X650">
        <v>74238985600</v>
      </c>
      <c r="Y650">
        <v>4.6780747608139066</v>
      </c>
      <c r="Z650">
        <v>-20.88180018045113</v>
      </c>
      <c r="AA650">
        <v>-46.78705229110512</v>
      </c>
      <c r="AB650">
        <v>-18.939439607201312</v>
      </c>
      <c r="AC650">
        <v>-16.68637000720981</v>
      </c>
      <c r="AD650">
        <v>-29.470282512733451</v>
      </c>
      <c r="AE650">
        <v>-22.327514466165411</v>
      </c>
      <c r="AF650">
        <v>-22.221048300751882</v>
      </c>
      <c r="AG650">
        <v>-17.841621148762322</v>
      </c>
      <c r="AH650">
        <v>-17.756545445806299</v>
      </c>
      <c r="AI650">
        <v>-50.026270619946089</v>
      </c>
      <c r="AJ650">
        <v>-20.250678014184398</v>
      </c>
      <c r="AK650">
        <v>-49.787726145552561</v>
      </c>
      <c r="AL650">
        <v>-20.154115002727771</v>
      </c>
      <c r="AM650">
        <v>5.0019529443471233</v>
      </c>
      <c r="AN650">
        <v>4.9781017113596553</v>
      </c>
    </row>
    <row r="651" spans="1:40" x14ac:dyDescent="0.25">
      <c r="A651" s="1" t="s">
        <v>867</v>
      </c>
      <c r="B651">
        <v>74544968640</v>
      </c>
      <c r="C651" t="s">
        <v>80</v>
      </c>
      <c r="D651" t="s">
        <v>127</v>
      </c>
      <c r="E651">
        <v>14842000000</v>
      </c>
      <c r="F651">
        <v>-3325000000</v>
      </c>
      <c r="G651">
        <v>-1484000000</v>
      </c>
      <c r="H651">
        <v>-3666000000</v>
      </c>
      <c r="I651">
        <v>-4161000000</v>
      </c>
      <c r="J651">
        <v>-2356000000</v>
      </c>
      <c r="K651">
        <v>6482000000</v>
      </c>
      <c r="L651">
        <v>0</v>
      </c>
      <c r="M651">
        <v>6482000000</v>
      </c>
      <c r="N651">
        <v>9684000000</v>
      </c>
      <c r="O651">
        <v>1455000000</v>
      </c>
      <c r="P651">
        <v>168000000</v>
      </c>
      <c r="Q651">
        <v>10767000000</v>
      </c>
      <c r="R651">
        <v>8126000000</v>
      </c>
      <c r="S651">
        <v>22599000000</v>
      </c>
      <c r="T651">
        <v>0</v>
      </c>
      <c r="U651">
        <v>354000000</v>
      </c>
      <c r="V651">
        <v>13931000000</v>
      </c>
      <c r="W651">
        <v>78997968640</v>
      </c>
      <c r="X651">
        <v>79351968640</v>
      </c>
      <c r="Y651">
        <v>5.0225689691416253</v>
      </c>
      <c r="Z651">
        <v>-22.419539440601501</v>
      </c>
      <c r="AA651">
        <v>-50.232458652291108</v>
      </c>
      <c r="AB651">
        <v>-20.334143109656299</v>
      </c>
      <c r="AC651">
        <v>-17.91515708723864</v>
      </c>
      <c r="AD651">
        <v>-31.640479049235989</v>
      </c>
      <c r="AE651">
        <v>-23.865253726315789</v>
      </c>
      <c r="AF651">
        <v>-23.75878756090226</v>
      </c>
      <c r="AG651">
        <v>-19.070408228791159</v>
      </c>
      <c r="AH651">
        <v>-18.98533252583514</v>
      </c>
      <c r="AI651">
        <v>-53.471676981132077</v>
      </c>
      <c r="AJ651">
        <v>-21.645381516639389</v>
      </c>
      <c r="AK651">
        <v>-53.233132506738542</v>
      </c>
      <c r="AL651">
        <v>-21.548818505182759</v>
      </c>
      <c r="AM651">
        <v>5.3464471526748421</v>
      </c>
      <c r="AN651">
        <v>5.322595919687374</v>
      </c>
    </row>
    <row r="652" spans="1:40" x14ac:dyDescent="0.25">
      <c r="A652" s="1" t="s">
        <v>866</v>
      </c>
      <c r="B652">
        <v>73750906880</v>
      </c>
      <c r="C652" t="s">
        <v>80</v>
      </c>
      <c r="D652" t="s">
        <v>127</v>
      </c>
      <c r="E652">
        <v>14842000000</v>
      </c>
      <c r="F652">
        <v>-3325000000</v>
      </c>
      <c r="G652">
        <v>-1484000000</v>
      </c>
      <c r="H652">
        <v>-3666000000</v>
      </c>
      <c r="I652">
        <v>-4161000000</v>
      </c>
      <c r="J652">
        <v>-2356000000</v>
      </c>
      <c r="K652">
        <v>6482000000</v>
      </c>
      <c r="L652">
        <v>0</v>
      </c>
      <c r="M652">
        <v>6482000000</v>
      </c>
      <c r="N652">
        <v>9684000000</v>
      </c>
      <c r="O652">
        <v>1455000000</v>
      </c>
      <c r="P652">
        <v>168000000</v>
      </c>
      <c r="Q652">
        <v>10767000000</v>
      </c>
      <c r="R652">
        <v>8126000000</v>
      </c>
      <c r="S652">
        <v>22599000000</v>
      </c>
      <c r="T652">
        <v>0</v>
      </c>
      <c r="U652">
        <v>354000000</v>
      </c>
      <c r="V652">
        <v>13931000000</v>
      </c>
      <c r="W652">
        <v>78203906880</v>
      </c>
      <c r="X652">
        <v>78557906880</v>
      </c>
      <c r="Y652">
        <v>4.969067974666487</v>
      </c>
      <c r="Z652">
        <v>-22.180723873684212</v>
      </c>
      <c r="AA652">
        <v>-49.697376603773577</v>
      </c>
      <c r="AB652">
        <v>-20.117541429350791</v>
      </c>
      <c r="AC652">
        <v>-17.724322730112949</v>
      </c>
      <c r="AD652">
        <v>-31.30344095076401</v>
      </c>
      <c r="AE652">
        <v>-23.6264381593985</v>
      </c>
      <c r="AF652">
        <v>-23.51997199398496</v>
      </c>
      <c r="AG652">
        <v>-18.87957387166546</v>
      </c>
      <c r="AH652">
        <v>-18.794498168709449</v>
      </c>
      <c r="AI652">
        <v>-52.936594932614547</v>
      </c>
      <c r="AJ652">
        <v>-21.428779836333881</v>
      </c>
      <c r="AK652">
        <v>-52.698050458221033</v>
      </c>
      <c r="AL652">
        <v>-21.33221682487725</v>
      </c>
      <c r="AM652">
        <v>5.2929461581997037</v>
      </c>
      <c r="AN652">
        <v>5.2690949252122357</v>
      </c>
    </row>
    <row r="653" spans="1:40" x14ac:dyDescent="0.25">
      <c r="A653" s="1" t="s">
        <v>865</v>
      </c>
      <c r="B653">
        <v>75164724160</v>
      </c>
      <c r="C653" t="s">
        <v>80</v>
      </c>
      <c r="D653" t="s">
        <v>127</v>
      </c>
      <c r="E653">
        <v>14842000000</v>
      </c>
      <c r="F653">
        <v>-3325000000</v>
      </c>
      <c r="G653">
        <v>-1484000000</v>
      </c>
      <c r="H653">
        <v>-3666000000</v>
      </c>
      <c r="I653">
        <v>-4161000000</v>
      </c>
      <c r="J653">
        <v>-2356000000</v>
      </c>
      <c r="K653">
        <v>6482000000</v>
      </c>
      <c r="L653">
        <v>0</v>
      </c>
      <c r="M653">
        <v>6482000000</v>
      </c>
      <c r="N653">
        <v>9684000000</v>
      </c>
      <c r="O653">
        <v>1455000000</v>
      </c>
      <c r="P653">
        <v>168000000</v>
      </c>
      <c r="Q653">
        <v>10767000000</v>
      </c>
      <c r="R653">
        <v>8126000000</v>
      </c>
      <c r="S653">
        <v>22599000000</v>
      </c>
      <c r="T653">
        <v>0</v>
      </c>
      <c r="U653">
        <v>354000000</v>
      </c>
      <c r="V653">
        <v>13931000000</v>
      </c>
      <c r="W653">
        <v>79617724160</v>
      </c>
      <c r="X653">
        <v>79971724160</v>
      </c>
      <c r="Y653">
        <v>5.0643258428783184</v>
      </c>
      <c r="Z653">
        <v>-22.60593207819549</v>
      </c>
      <c r="AA653">
        <v>-50.650083665768193</v>
      </c>
      <c r="AB653">
        <v>-20.503198079650851</v>
      </c>
      <c r="AC653">
        <v>-18.064100975726991</v>
      </c>
      <c r="AD653">
        <v>-31.90353317487267</v>
      </c>
      <c r="AE653">
        <v>-24.051646363909779</v>
      </c>
      <c r="AF653">
        <v>-23.945180198496239</v>
      </c>
      <c r="AG653">
        <v>-19.219352117279499</v>
      </c>
      <c r="AH653">
        <v>-19.13427641432348</v>
      </c>
      <c r="AI653">
        <v>-53.889301994609163</v>
      </c>
      <c r="AJ653">
        <v>-21.81443648663393</v>
      </c>
      <c r="AK653">
        <v>-53.650757520215627</v>
      </c>
      <c r="AL653">
        <v>-21.71787347517731</v>
      </c>
      <c r="AM653">
        <v>5.3882040264115352</v>
      </c>
      <c r="AN653">
        <v>5.3643527934240671</v>
      </c>
    </row>
    <row r="654" spans="1:40" x14ac:dyDescent="0.25">
      <c r="A654" s="1" t="s">
        <v>864</v>
      </c>
      <c r="B654">
        <v>72705069440</v>
      </c>
      <c r="C654" t="s">
        <v>80</v>
      </c>
      <c r="D654" t="s">
        <v>127</v>
      </c>
      <c r="E654">
        <v>14842000000</v>
      </c>
      <c r="F654">
        <v>-3325000000</v>
      </c>
      <c r="G654">
        <v>-1484000000</v>
      </c>
      <c r="H654">
        <v>-3666000000</v>
      </c>
      <c r="I654">
        <v>-4161000000</v>
      </c>
      <c r="J654">
        <v>-2356000000</v>
      </c>
      <c r="K654">
        <v>6482000000</v>
      </c>
      <c r="L654">
        <v>0</v>
      </c>
      <c r="M654">
        <v>6482000000</v>
      </c>
      <c r="N654">
        <v>9684000000</v>
      </c>
      <c r="O654">
        <v>1455000000</v>
      </c>
      <c r="P654">
        <v>168000000</v>
      </c>
      <c r="Q654">
        <v>10767000000</v>
      </c>
      <c r="R654">
        <v>8126000000</v>
      </c>
      <c r="S654">
        <v>22599000000</v>
      </c>
      <c r="T654">
        <v>0</v>
      </c>
      <c r="U654">
        <v>354000000</v>
      </c>
      <c r="V654">
        <v>13931000000</v>
      </c>
      <c r="W654">
        <v>77158069440</v>
      </c>
      <c r="X654">
        <v>77512069440</v>
      </c>
      <c r="Y654">
        <v>4.8986032502358174</v>
      </c>
      <c r="Z654">
        <v>-21.86618629774436</v>
      </c>
      <c r="AA654">
        <v>-48.992634393530999</v>
      </c>
      <c r="AB654">
        <v>-19.832261167485001</v>
      </c>
      <c r="AC654">
        <v>-17.472979918288871</v>
      </c>
      <c r="AD654">
        <v>-30.859537113752118</v>
      </c>
      <c r="AE654">
        <v>-23.311900583458652</v>
      </c>
      <c r="AF654">
        <v>-23.205434418045112</v>
      </c>
      <c r="AG654">
        <v>-18.628231059841379</v>
      </c>
      <c r="AH654">
        <v>-18.543155356885361</v>
      </c>
      <c r="AI654">
        <v>-52.231852722371968</v>
      </c>
      <c r="AJ654">
        <v>-21.14349957446808</v>
      </c>
      <c r="AK654">
        <v>-51.993308247978433</v>
      </c>
      <c r="AL654">
        <v>-21.04693656301146</v>
      </c>
      <c r="AM654">
        <v>5.2224814337690342</v>
      </c>
      <c r="AN654">
        <v>5.1986302007815661</v>
      </c>
    </row>
    <row r="655" spans="1:40" x14ac:dyDescent="0.25">
      <c r="A655" s="1" t="s">
        <v>863</v>
      </c>
      <c r="B655">
        <v>71020109120</v>
      </c>
      <c r="C655" t="s">
        <v>80</v>
      </c>
      <c r="D655" t="s">
        <v>127</v>
      </c>
      <c r="E655">
        <v>14842000000</v>
      </c>
      <c r="F655">
        <v>-3325000000</v>
      </c>
      <c r="G655">
        <v>-1484000000</v>
      </c>
      <c r="H655">
        <v>-3666000000</v>
      </c>
      <c r="I655">
        <v>-4161000000</v>
      </c>
      <c r="J655">
        <v>-2356000000</v>
      </c>
      <c r="K655">
        <v>6482000000</v>
      </c>
      <c r="L655">
        <v>0</v>
      </c>
      <c r="M655">
        <v>6482000000</v>
      </c>
      <c r="N655">
        <v>9684000000</v>
      </c>
      <c r="O655">
        <v>1455000000</v>
      </c>
      <c r="P655">
        <v>168000000</v>
      </c>
      <c r="Q655">
        <v>10767000000</v>
      </c>
      <c r="R655">
        <v>8126000000</v>
      </c>
      <c r="S655">
        <v>22599000000</v>
      </c>
      <c r="T655">
        <v>0</v>
      </c>
      <c r="U655">
        <v>354000000</v>
      </c>
      <c r="V655">
        <v>13931000000</v>
      </c>
      <c r="W655">
        <v>75473109120</v>
      </c>
      <c r="X655">
        <v>75827109120</v>
      </c>
      <c r="Y655">
        <v>4.7850767497641824</v>
      </c>
      <c r="Z655">
        <v>-21.359431314285711</v>
      </c>
      <c r="AA655">
        <v>-47.857216388140159</v>
      </c>
      <c r="AB655">
        <v>-19.372642967812329</v>
      </c>
      <c r="AC655">
        <v>-17.068038721461189</v>
      </c>
      <c r="AD655">
        <v>-30.144358709677419</v>
      </c>
      <c r="AE655">
        <v>-22.805145599999999</v>
      </c>
      <c r="AF655">
        <v>-22.69867943458647</v>
      </c>
      <c r="AG655">
        <v>-18.223289863013701</v>
      </c>
      <c r="AH655">
        <v>-18.138214160057679</v>
      </c>
      <c r="AI655">
        <v>-51.096434716981129</v>
      </c>
      <c r="AJ655">
        <v>-20.683881374795419</v>
      </c>
      <c r="AK655">
        <v>-50.857890242587601</v>
      </c>
      <c r="AL655">
        <v>-20.587318363338792</v>
      </c>
      <c r="AM655">
        <v>5.1089549332973991</v>
      </c>
      <c r="AN655">
        <v>5.0851037003099311</v>
      </c>
    </row>
    <row r="656" spans="1:40" x14ac:dyDescent="0.25">
      <c r="A656" s="1" t="s">
        <v>862</v>
      </c>
      <c r="B656">
        <v>69199577280</v>
      </c>
      <c r="C656" t="s">
        <v>80</v>
      </c>
      <c r="D656" t="s">
        <v>127</v>
      </c>
      <c r="E656">
        <v>14842000000</v>
      </c>
      <c r="F656">
        <v>-3325000000</v>
      </c>
      <c r="G656">
        <v>-1484000000</v>
      </c>
      <c r="H656">
        <v>-3666000000</v>
      </c>
      <c r="I656">
        <v>-4161000000</v>
      </c>
      <c r="J656">
        <v>-2356000000</v>
      </c>
      <c r="K656">
        <v>6482000000</v>
      </c>
      <c r="L656">
        <v>0</v>
      </c>
      <c r="M656">
        <v>6482000000</v>
      </c>
      <c r="N656">
        <v>9684000000</v>
      </c>
      <c r="O656">
        <v>1455000000</v>
      </c>
      <c r="P656">
        <v>168000000</v>
      </c>
      <c r="Q656">
        <v>10767000000</v>
      </c>
      <c r="R656">
        <v>8126000000</v>
      </c>
      <c r="S656">
        <v>22599000000</v>
      </c>
      <c r="T656">
        <v>0</v>
      </c>
      <c r="U656">
        <v>354000000</v>
      </c>
      <c r="V656">
        <v>13931000000</v>
      </c>
      <c r="W656">
        <v>73652577280</v>
      </c>
      <c r="X656">
        <v>74006577280</v>
      </c>
      <c r="Y656">
        <v>4.6624159331626469</v>
      </c>
      <c r="Z656">
        <v>-20.811902941353381</v>
      </c>
      <c r="AA656">
        <v>-46.630442911051212</v>
      </c>
      <c r="AB656">
        <v>-18.876043993453351</v>
      </c>
      <c r="AC656">
        <v>-16.630516049026681</v>
      </c>
      <c r="AD656">
        <v>-29.3716372156197</v>
      </c>
      <c r="AE656">
        <v>-22.257617227067669</v>
      </c>
      <c r="AF656">
        <v>-22.15115106165414</v>
      </c>
      <c r="AG656">
        <v>-17.78576719057919</v>
      </c>
      <c r="AH656">
        <v>-17.700691487623171</v>
      </c>
      <c r="AI656">
        <v>-49.869661239892181</v>
      </c>
      <c r="AJ656">
        <v>-20.187282400436441</v>
      </c>
      <c r="AK656">
        <v>-49.631116765498653</v>
      </c>
      <c r="AL656">
        <v>-20.09071938897981</v>
      </c>
      <c r="AM656">
        <v>4.9862941166958628</v>
      </c>
      <c r="AN656">
        <v>4.9624428837083947</v>
      </c>
    </row>
    <row r="657" spans="1:40" x14ac:dyDescent="0.25">
      <c r="A657" s="1" t="s">
        <v>861</v>
      </c>
      <c r="B657">
        <v>72162783360</v>
      </c>
      <c r="C657" t="s">
        <v>80</v>
      </c>
      <c r="D657" t="s">
        <v>127</v>
      </c>
      <c r="E657">
        <v>14842000000</v>
      </c>
      <c r="F657">
        <v>-3325000000</v>
      </c>
      <c r="G657">
        <v>-1484000000</v>
      </c>
      <c r="H657">
        <v>-3666000000</v>
      </c>
      <c r="I657">
        <v>-4161000000</v>
      </c>
      <c r="J657">
        <v>-2356000000</v>
      </c>
      <c r="K657">
        <v>6482000000</v>
      </c>
      <c r="L657">
        <v>0</v>
      </c>
      <c r="M657">
        <v>6482000000</v>
      </c>
      <c r="N657">
        <v>9684000000</v>
      </c>
      <c r="O657">
        <v>1455000000</v>
      </c>
      <c r="P657">
        <v>168000000</v>
      </c>
      <c r="Q657">
        <v>10767000000</v>
      </c>
      <c r="R657">
        <v>8126000000</v>
      </c>
      <c r="S657">
        <v>22599000000</v>
      </c>
      <c r="T657">
        <v>0</v>
      </c>
      <c r="U657">
        <v>354000000</v>
      </c>
      <c r="V657">
        <v>13931000000</v>
      </c>
      <c r="W657">
        <v>76615783360</v>
      </c>
      <c r="X657">
        <v>76969783360</v>
      </c>
      <c r="Y657">
        <v>4.8620659857162112</v>
      </c>
      <c r="Z657">
        <v>-21.70309273984962</v>
      </c>
      <c r="AA657">
        <v>-48.627212506738537</v>
      </c>
      <c r="AB657">
        <v>-19.68433806873977</v>
      </c>
      <c r="AC657">
        <v>-17.342654015861569</v>
      </c>
      <c r="AD657">
        <v>-30.629364753820031</v>
      </c>
      <c r="AE657">
        <v>-23.148807025563912</v>
      </c>
      <c r="AF657">
        <v>-23.042340860150379</v>
      </c>
      <c r="AG657">
        <v>-18.497905157414081</v>
      </c>
      <c r="AH657">
        <v>-18.412829454458059</v>
      </c>
      <c r="AI657">
        <v>-51.866430835579507</v>
      </c>
      <c r="AJ657">
        <v>-20.99557647572286</v>
      </c>
      <c r="AK657">
        <v>-51.627886361185993</v>
      </c>
      <c r="AL657">
        <v>-20.899013464266229</v>
      </c>
      <c r="AM657">
        <v>5.185944169249427</v>
      </c>
      <c r="AN657">
        <v>5.162092936261959</v>
      </c>
    </row>
    <row r="658" spans="1:40" x14ac:dyDescent="0.25">
      <c r="A658" s="1" t="s">
        <v>860</v>
      </c>
      <c r="B658">
        <v>73266722880</v>
      </c>
      <c r="C658" t="s">
        <v>80</v>
      </c>
      <c r="D658" t="s">
        <v>127</v>
      </c>
      <c r="E658">
        <v>14842000000</v>
      </c>
      <c r="F658">
        <v>-3325000000</v>
      </c>
      <c r="G658">
        <v>-1484000000</v>
      </c>
      <c r="H658">
        <v>-3666000000</v>
      </c>
      <c r="I658">
        <v>-4161000000</v>
      </c>
      <c r="J658">
        <v>-2356000000</v>
      </c>
      <c r="K658">
        <v>6482000000</v>
      </c>
      <c r="L658">
        <v>0</v>
      </c>
      <c r="M658">
        <v>6482000000</v>
      </c>
      <c r="N658">
        <v>9684000000</v>
      </c>
      <c r="O658">
        <v>1455000000</v>
      </c>
      <c r="P658">
        <v>168000000</v>
      </c>
      <c r="Q658">
        <v>10767000000</v>
      </c>
      <c r="R658">
        <v>8126000000</v>
      </c>
      <c r="S658">
        <v>22599000000</v>
      </c>
      <c r="T658">
        <v>0</v>
      </c>
      <c r="U658">
        <v>354000000</v>
      </c>
      <c r="V658">
        <v>13931000000</v>
      </c>
      <c r="W658">
        <v>77719722880</v>
      </c>
      <c r="X658">
        <v>78073722880</v>
      </c>
      <c r="Y658">
        <v>4.9364454170596952</v>
      </c>
      <c r="Z658">
        <v>-22.03510462556391</v>
      </c>
      <c r="AA658">
        <v>-49.371107061994607</v>
      </c>
      <c r="AB658">
        <v>-19.985467234042549</v>
      </c>
      <c r="AC658">
        <v>-17.607960317231431</v>
      </c>
      <c r="AD658">
        <v>-31.09792991511036</v>
      </c>
      <c r="AE658">
        <v>-23.480818911278199</v>
      </c>
      <c r="AF658">
        <v>-23.374352745864659</v>
      </c>
      <c r="AG658">
        <v>-18.76321145878395</v>
      </c>
      <c r="AH658">
        <v>-18.678135755827931</v>
      </c>
      <c r="AI658">
        <v>-52.610325390835577</v>
      </c>
      <c r="AJ658">
        <v>-21.296705641025639</v>
      </c>
      <c r="AK658">
        <v>-52.371780916442049</v>
      </c>
      <c r="AL658">
        <v>-21.200142629569012</v>
      </c>
      <c r="AM658">
        <v>5.2603236005929119</v>
      </c>
      <c r="AN658">
        <v>5.2364723676054439</v>
      </c>
    </row>
    <row r="659" spans="1:40" x14ac:dyDescent="0.25">
      <c r="A659" s="1" t="s">
        <v>859</v>
      </c>
      <c r="B659">
        <v>73014947200</v>
      </c>
      <c r="C659" t="s">
        <v>80</v>
      </c>
      <c r="D659" t="s">
        <v>127</v>
      </c>
      <c r="E659">
        <v>14842000000</v>
      </c>
      <c r="F659">
        <v>-3325000000</v>
      </c>
      <c r="G659">
        <v>-1484000000</v>
      </c>
      <c r="H659">
        <v>-3666000000</v>
      </c>
      <c r="I659">
        <v>-4161000000</v>
      </c>
      <c r="J659">
        <v>-2356000000</v>
      </c>
      <c r="K659">
        <v>6482000000</v>
      </c>
      <c r="L659">
        <v>0</v>
      </c>
      <c r="M659">
        <v>6482000000</v>
      </c>
      <c r="N659">
        <v>9684000000</v>
      </c>
      <c r="O659">
        <v>1455000000</v>
      </c>
      <c r="P659">
        <v>168000000</v>
      </c>
      <c r="Q659">
        <v>10767000000</v>
      </c>
      <c r="R659">
        <v>8126000000</v>
      </c>
      <c r="S659">
        <v>22599000000</v>
      </c>
      <c r="T659">
        <v>0</v>
      </c>
      <c r="U659">
        <v>354000000</v>
      </c>
      <c r="V659">
        <v>13931000000</v>
      </c>
      <c r="W659">
        <v>77467947200</v>
      </c>
      <c r="X659">
        <v>77821947200</v>
      </c>
      <c r="Y659">
        <v>4.919481687104164</v>
      </c>
      <c r="Z659">
        <v>-21.959382616541351</v>
      </c>
      <c r="AA659">
        <v>-49.201446900269538</v>
      </c>
      <c r="AB659">
        <v>-19.916788652482271</v>
      </c>
      <c r="AC659">
        <v>-17.547451862533041</v>
      </c>
      <c r="AD659">
        <v>-30.991064176570461</v>
      </c>
      <c r="AE659">
        <v>-23.405096902255639</v>
      </c>
      <c r="AF659">
        <v>-23.29863073684211</v>
      </c>
      <c r="AG659">
        <v>-18.70270300408556</v>
      </c>
      <c r="AH659">
        <v>-18.617627301129541</v>
      </c>
      <c r="AI659">
        <v>-52.440665229110508</v>
      </c>
      <c r="AJ659">
        <v>-21.228027059465362</v>
      </c>
      <c r="AK659">
        <v>-52.202120754716979</v>
      </c>
      <c r="AL659">
        <v>-21.131464048008731</v>
      </c>
      <c r="AM659">
        <v>5.2433598706373807</v>
      </c>
      <c r="AN659">
        <v>5.2195086376499127</v>
      </c>
    </row>
    <row r="660" spans="1:40" x14ac:dyDescent="0.25">
      <c r="A660" s="1" t="s">
        <v>858</v>
      </c>
      <c r="B660">
        <v>76849684480</v>
      </c>
      <c r="C660" t="s">
        <v>80</v>
      </c>
      <c r="D660" t="s">
        <v>127</v>
      </c>
      <c r="E660">
        <v>14842000000</v>
      </c>
      <c r="F660">
        <v>-3325000000</v>
      </c>
      <c r="G660">
        <v>-1484000000</v>
      </c>
      <c r="H660">
        <v>-3666000000</v>
      </c>
      <c r="I660">
        <v>-4161000000</v>
      </c>
      <c r="J660">
        <v>-2356000000</v>
      </c>
      <c r="K660">
        <v>6482000000</v>
      </c>
      <c r="L660">
        <v>0</v>
      </c>
      <c r="M660">
        <v>6482000000</v>
      </c>
      <c r="N660">
        <v>9684000000</v>
      </c>
      <c r="O660">
        <v>1455000000</v>
      </c>
      <c r="P660">
        <v>168000000</v>
      </c>
      <c r="Q660">
        <v>10767000000</v>
      </c>
      <c r="R660">
        <v>8126000000</v>
      </c>
      <c r="S660">
        <v>22599000000</v>
      </c>
      <c r="T660">
        <v>0</v>
      </c>
      <c r="U660">
        <v>354000000</v>
      </c>
      <c r="V660">
        <v>13931000000</v>
      </c>
      <c r="W660">
        <v>81302684480</v>
      </c>
      <c r="X660">
        <v>81656684480</v>
      </c>
      <c r="Y660">
        <v>5.1778523433499526</v>
      </c>
      <c r="Z660">
        <v>-23.112687061654139</v>
      </c>
      <c r="AA660">
        <v>-51.785501671159032</v>
      </c>
      <c r="AB660">
        <v>-20.962816279323508</v>
      </c>
      <c r="AC660">
        <v>-18.469042172554669</v>
      </c>
      <c r="AD660">
        <v>-32.618711578947369</v>
      </c>
      <c r="AE660">
        <v>-24.55840134736842</v>
      </c>
      <c r="AF660">
        <v>-24.451935181954891</v>
      </c>
      <c r="AG660">
        <v>-19.624293314107181</v>
      </c>
      <c r="AH660">
        <v>-19.53921761115117</v>
      </c>
      <c r="AI660">
        <v>-55.024720000000002</v>
      </c>
      <c r="AJ660">
        <v>-22.274054686306599</v>
      </c>
      <c r="AK660">
        <v>-54.786175525606467</v>
      </c>
      <c r="AL660">
        <v>-22.177491674849971</v>
      </c>
      <c r="AM660">
        <v>5.5017305268831693</v>
      </c>
      <c r="AN660">
        <v>5.4778792938957013</v>
      </c>
    </row>
    <row r="661" spans="1:40" x14ac:dyDescent="0.25">
      <c r="A661" s="1" t="s">
        <v>857</v>
      </c>
      <c r="B661">
        <v>76888419200</v>
      </c>
      <c r="C661" t="s">
        <v>80</v>
      </c>
      <c r="D661" t="s">
        <v>127</v>
      </c>
      <c r="E661">
        <v>14842000000</v>
      </c>
      <c r="F661">
        <v>-3325000000</v>
      </c>
      <c r="G661">
        <v>-1484000000</v>
      </c>
      <c r="H661">
        <v>-3666000000</v>
      </c>
      <c r="I661">
        <v>-4161000000</v>
      </c>
      <c r="J661">
        <v>-2356000000</v>
      </c>
      <c r="K661">
        <v>6482000000</v>
      </c>
      <c r="L661">
        <v>0</v>
      </c>
      <c r="M661">
        <v>6482000000</v>
      </c>
      <c r="N661">
        <v>9684000000</v>
      </c>
      <c r="O661">
        <v>1455000000</v>
      </c>
      <c r="P661">
        <v>168000000</v>
      </c>
      <c r="Q661">
        <v>10767000000</v>
      </c>
      <c r="R661">
        <v>8126000000</v>
      </c>
      <c r="S661">
        <v>22599000000</v>
      </c>
      <c r="T661">
        <v>0</v>
      </c>
      <c r="U661">
        <v>354000000</v>
      </c>
      <c r="V661">
        <v>13931000000</v>
      </c>
      <c r="W661">
        <v>81341419200</v>
      </c>
      <c r="X661">
        <v>81695419200</v>
      </c>
      <c r="Y661">
        <v>5.1804621479584956</v>
      </c>
      <c r="Z661">
        <v>-23.12433660150376</v>
      </c>
      <c r="AA661">
        <v>-51.811603234501348</v>
      </c>
      <c r="AB661">
        <v>-20.97338221494817</v>
      </c>
      <c r="AC661">
        <v>-18.478351165585199</v>
      </c>
      <c r="AD661">
        <v>-32.635152461799663</v>
      </c>
      <c r="AE661">
        <v>-24.570050887218041</v>
      </c>
      <c r="AF661">
        <v>-24.463584721804509</v>
      </c>
      <c r="AG661">
        <v>-19.633602307137711</v>
      </c>
      <c r="AH661">
        <v>-19.548526604181689</v>
      </c>
      <c r="AI661">
        <v>-55.050821563342318</v>
      </c>
      <c r="AJ661">
        <v>-22.284620621931261</v>
      </c>
      <c r="AK661">
        <v>-54.81227708894879</v>
      </c>
      <c r="AL661">
        <v>-22.18805761047463</v>
      </c>
      <c r="AM661">
        <v>5.5043403314917123</v>
      </c>
      <c r="AN661">
        <v>5.4804890985042451</v>
      </c>
    </row>
    <row r="662" spans="1:40" x14ac:dyDescent="0.25">
      <c r="A662" s="1" t="s">
        <v>856</v>
      </c>
      <c r="B662">
        <v>81284809920</v>
      </c>
      <c r="C662" t="s">
        <v>80</v>
      </c>
      <c r="D662" t="s">
        <v>127</v>
      </c>
      <c r="E662">
        <v>14842000000</v>
      </c>
      <c r="F662">
        <v>-3325000000</v>
      </c>
      <c r="G662">
        <v>-1484000000</v>
      </c>
      <c r="H662">
        <v>-3666000000</v>
      </c>
      <c r="I662">
        <v>-4161000000</v>
      </c>
      <c r="J662">
        <v>-2356000000</v>
      </c>
      <c r="K662">
        <v>6482000000</v>
      </c>
      <c r="L662">
        <v>0</v>
      </c>
      <c r="M662">
        <v>6482000000</v>
      </c>
      <c r="N662">
        <v>9684000000</v>
      </c>
      <c r="O662">
        <v>1455000000</v>
      </c>
      <c r="P662">
        <v>168000000</v>
      </c>
      <c r="Q662">
        <v>10767000000</v>
      </c>
      <c r="R662">
        <v>8126000000</v>
      </c>
      <c r="S662">
        <v>22599000000</v>
      </c>
      <c r="T662">
        <v>0</v>
      </c>
      <c r="U662">
        <v>354000000</v>
      </c>
      <c r="V662">
        <v>13931000000</v>
      </c>
      <c r="W662">
        <v>85737809920</v>
      </c>
      <c r="X662">
        <v>86091809920</v>
      </c>
      <c r="Y662">
        <v>5.4766749710281637</v>
      </c>
      <c r="Z662">
        <v>-24.446559374436092</v>
      </c>
      <c r="AA662">
        <v>-54.774130673854451</v>
      </c>
      <c r="AB662">
        <v>-22.17261590834697</v>
      </c>
      <c r="AC662">
        <v>-19.53492187454939</v>
      </c>
      <c r="AD662">
        <v>-34.501192665534802</v>
      </c>
      <c r="AE662">
        <v>-25.89227366015038</v>
      </c>
      <c r="AF662">
        <v>-25.78580749473684</v>
      </c>
      <c r="AG662">
        <v>-20.690173016101902</v>
      </c>
      <c r="AH662">
        <v>-20.60509731314588</v>
      </c>
      <c r="AI662">
        <v>-58.013349002695421</v>
      </c>
      <c r="AJ662">
        <v>-23.48385431533006</v>
      </c>
      <c r="AK662">
        <v>-57.774804528301893</v>
      </c>
      <c r="AL662">
        <v>-23.387291303873429</v>
      </c>
      <c r="AM662">
        <v>5.8005531545613804</v>
      </c>
      <c r="AN662">
        <v>5.7767019215739106</v>
      </c>
    </row>
    <row r="663" spans="1:40" x14ac:dyDescent="0.25">
      <c r="A663" s="1" t="s">
        <v>855</v>
      </c>
      <c r="B663">
        <v>83318382720</v>
      </c>
      <c r="C663" t="s">
        <v>80</v>
      </c>
      <c r="D663" t="s">
        <v>127</v>
      </c>
      <c r="E663">
        <v>14842000000</v>
      </c>
      <c r="F663">
        <v>-3325000000</v>
      </c>
      <c r="G663">
        <v>-1484000000</v>
      </c>
      <c r="H663">
        <v>-3666000000</v>
      </c>
      <c r="I663">
        <v>-4161000000</v>
      </c>
      <c r="J663">
        <v>-2356000000</v>
      </c>
      <c r="K663">
        <v>6482000000</v>
      </c>
      <c r="L663">
        <v>0</v>
      </c>
      <c r="M663">
        <v>6482000000</v>
      </c>
      <c r="N663">
        <v>9684000000</v>
      </c>
      <c r="O663">
        <v>1455000000</v>
      </c>
      <c r="P663">
        <v>168000000</v>
      </c>
      <c r="Q663">
        <v>10767000000</v>
      </c>
      <c r="R663">
        <v>8126000000</v>
      </c>
      <c r="S663">
        <v>22599000000</v>
      </c>
      <c r="T663">
        <v>0</v>
      </c>
      <c r="U663">
        <v>354000000</v>
      </c>
      <c r="V663">
        <v>13931000000</v>
      </c>
      <c r="W663">
        <v>87771382720</v>
      </c>
      <c r="X663">
        <v>88125382720</v>
      </c>
      <c r="Y663">
        <v>5.6136897129766874</v>
      </c>
      <c r="Z663">
        <v>-25.058160216541349</v>
      </c>
      <c r="AA663">
        <v>-56.144462749326152</v>
      </c>
      <c r="AB663">
        <v>-22.72732752864157</v>
      </c>
      <c r="AC663">
        <v>-20.023644008651761</v>
      </c>
      <c r="AD663">
        <v>-35.364339015280137</v>
      </c>
      <c r="AE663">
        <v>-26.503874502255641</v>
      </c>
      <c r="AF663">
        <v>-26.397408336842101</v>
      </c>
      <c r="AG663">
        <v>-21.17889515020428</v>
      </c>
      <c r="AH663">
        <v>-21.093819447248261</v>
      </c>
      <c r="AI663">
        <v>-59.383681078167108</v>
      </c>
      <c r="AJ663">
        <v>-24.038565935624661</v>
      </c>
      <c r="AK663">
        <v>-59.145136603773587</v>
      </c>
      <c r="AL663">
        <v>-23.94200292416803</v>
      </c>
      <c r="AM663">
        <v>5.9375678965099041</v>
      </c>
      <c r="AN663">
        <v>5.9137166635224361</v>
      </c>
    </row>
    <row r="664" spans="1:40" x14ac:dyDescent="0.25">
      <c r="A664" s="1" t="s">
        <v>854</v>
      </c>
      <c r="B664">
        <v>85042077760</v>
      </c>
      <c r="C664" t="s">
        <v>80</v>
      </c>
      <c r="D664" t="s">
        <v>127</v>
      </c>
      <c r="E664">
        <v>14842000000</v>
      </c>
      <c r="F664">
        <v>-3325000000</v>
      </c>
      <c r="G664">
        <v>-1484000000</v>
      </c>
      <c r="H664">
        <v>-3666000000</v>
      </c>
      <c r="I664">
        <v>-4161000000</v>
      </c>
      <c r="J664">
        <v>-2356000000</v>
      </c>
      <c r="K664">
        <v>6482000000</v>
      </c>
      <c r="L664">
        <v>0</v>
      </c>
      <c r="M664">
        <v>6482000000</v>
      </c>
      <c r="N664">
        <v>9684000000</v>
      </c>
      <c r="O664">
        <v>1455000000</v>
      </c>
      <c r="P664">
        <v>168000000</v>
      </c>
      <c r="Q664">
        <v>10767000000</v>
      </c>
      <c r="R664">
        <v>8126000000</v>
      </c>
      <c r="S664">
        <v>22599000000</v>
      </c>
      <c r="T664">
        <v>0</v>
      </c>
      <c r="U664">
        <v>354000000</v>
      </c>
      <c r="V664">
        <v>13931000000</v>
      </c>
      <c r="W664">
        <v>89495077760</v>
      </c>
      <c r="X664">
        <v>89849077760</v>
      </c>
      <c r="Y664">
        <v>5.7298260180568654</v>
      </c>
      <c r="Z664">
        <v>-25.576564739849619</v>
      </c>
      <c r="AA664">
        <v>-57.3059823180593</v>
      </c>
      <c r="AB664">
        <v>-23.197511663938901</v>
      </c>
      <c r="AC664">
        <v>-20.437894198509969</v>
      </c>
      <c r="AD664">
        <v>-36.09595830220713</v>
      </c>
      <c r="AE664">
        <v>-27.022279025563911</v>
      </c>
      <c r="AF664">
        <v>-26.915812860150371</v>
      </c>
      <c r="AG664">
        <v>-21.593145340062481</v>
      </c>
      <c r="AH664">
        <v>-21.50806963710647</v>
      </c>
      <c r="AI664">
        <v>-60.54520064690027</v>
      </c>
      <c r="AJ664">
        <v>-24.508750070921991</v>
      </c>
      <c r="AK664">
        <v>-60.306656172506742</v>
      </c>
      <c r="AL664">
        <v>-24.41218705946536</v>
      </c>
      <c r="AM664">
        <v>6.0537042015900822</v>
      </c>
      <c r="AN664">
        <v>6.0298529686026141</v>
      </c>
    </row>
    <row r="665" spans="1:40" x14ac:dyDescent="0.25">
      <c r="A665" s="1" t="s">
        <v>853</v>
      </c>
      <c r="B665">
        <v>83202178560</v>
      </c>
      <c r="C665" t="s">
        <v>80</v>
      </c>
      <c r="D665" t="s">
        <v>127</v>
      </c>
      <c r="E665">
        <v>14842000000</v>
      </c>
      <c r="F665">
        <v>-3325000000</v>
      </c>
      <c r="G665">
        <v>-1484000000</v>
      </c>
      <c r="H665">
        <v>-3666000000</v>
      </c>
      <c r="I665">
        <v>-4161000000</v>
      </c>
      <c r="J665">
        <v>-2356000000</v>
      </c>
      <c r="K665">
        <v>6482000000</v>
      </c>
      <c r="L665">
        <v>0</v>
      </c>
      <c r="M665">
        <v>6482000000</v>
      </c>
      <c r="N665">
        <v>9684000000</v>
      </c>
      <c r="O665">
        <v>1455000000</v>
      </c>
      <c r="P665">
        <v>168000000</v>
      </c>
      <c r="Q665">
        <v>10767000000</v>
      </c>
      <c r="R665">
        <v>8126000000</v>
      </c>
      <c r="S665">
        <v>22599000000</v>
      </c>
      <c r="T665">
        <v>0</v>
      </c>
      <c r="U665">
        <v>354000000</v>
      </c>
      <c r="V665">
        <v>13931000000</v>
      </c>
      <c r="W665">
        <v>87655178560</v>
      </c>
      <c r="X665">
        <v>88009178560</v>
      </c>
      <c r="Y665">
        <v>5.6058602991510584</v>
      </c>
      <c r="Z665">
        <v>-25.023211596992478</v>
      </c>
      <c r="AA665">
        <v>-56.066158059299191</v>
      </c>
      <c r="AB665">
        <v>-22.695629721767599</v>
      </c>
      <c r="AC665">
        <v>-19.9957170295602</v>
      </c>
      <c r="AD665">
        <v>-35.315016366723263</v>
      </c>
      <c r="AE665">
        <v>-26.46892588270677</v>
      </c>
      <c r="AF665">
        <v>-26.36245971729323</v>
      </c>
      <c r="AG665">
        <v>-21.150968171112709</v>
      </c>
      <c r="AH665">
        <v>-21.06589246815669</v>
      </c>
      <c r="AI665">
        <v>-59.305376388140161</v>
      </c>
      <c r="AJ665">
        <v>-24.006868128750678</v>
      </c>
      <c r="AK665">
        <v>-59.066831913746633</v>
      </c>
      <c r="AL665">
        <v>-23.910305117294051</v>
      </c>
      <c r="AM665">
        <v>5.9297384826842743</v>
      </c>
      <c r="AN665">
        <v>5.9058872496968062</v>
      </c>
    </row>
    <row r="666" spans="1:40" x14ac:dyDescent="0.25">
      <c r="A666" s="1" t="s">
        <v>852</v>
      </c>
      <c r="B666">
        <v>82388749440</v>
      </c>
      <c r="C666" t="s">
        <v>80</v>
      </c>
      <c r="D666" t="s">
        <v>127</v>
      </c>
      <c r="E666">
        <v>14842000000</v>
      </c>
      <c r="F666">
        <v>-3325000000</v>
      </c>
      <c r="G666">
        <v>-1484000000</v>
      </c>
      <c r="H666">
        <v>-3666000000</v>
      </c>
      <c r="I666">
        <v>-4161000000</v>
      </c>
      <c r="J666">
        <v>-2356000000</v>
      </c>
      <c r="K666">
        <v>6482000000</v>
      </c>
      <c r="L666">
        <v>0</v>
      </c>
      <c r="M666">
        <v>6482000000</v>
      </c>
      <c r="N666">
        <v>9684000000</v>
      </c>
      <c r="O666">
        <v>1455000000</v>
      </c>
      <c r="P666">
        <v>168000000</v>
      </c>
      <c r="Q666">
        <v>10767000000</v>
      </c>
      <c r="R666">
        <v>8126000000</v>
      </c>
      <c r="S666">
        <v>22599000000</v>
      </c>
      <c r="T666">
        <v>0</v>
      </c>
      <c r="U666">
        <v>354000000</v>
      </c>
      <c r="V666">
        <v>13931000000</v>
      </c>
      <c r="W666">
        <v>86841749440</v>
      </c>
      <c r="X666">
        <v>87195749440</v>
      </c>
      <c r="Y666">
        <v>5.5510544023716477</v>
      </c>
      <c r="Z666">
        <v>-24.778571260150379</v>
      </c>
      <c r="AA666">
        <v>-55.518025229110513</v>
      </c>
      <c r="AB666">
        <v>-22.473745073649759</v>
      </c>
      <c r="AC666">
        <v>-19.800228175919251</v>
      </c>
      <c r="AD666">
        <v>-34.969757826825131</v>
      </c>
      <c r="AE666">
        <v>-26.22428554586466</v>
      </c>
      <c r="AF666">
        <v>-26.117819380451131</v>
      </c>
      <c r="AG666">
        <v>-20.95547931747176</v>
      </c>
      <c r="AH666">
        <v>-20.870403614515741</v>
      </c>
      <c r="AI666">
        <v>-58.757243557951483</v>
      </c>
      <c r="AJ666">
        <v>-23.784983480632839</v>
      </c>
      <c r="AK666">
        <v>-58.518699083557962</v>
      </c>
      <c r="AL666">
        <v>-23.688420469176219</v>
      </c>
      <c r="AM666">
        <v>5.8749325859048636</v>
      </c>
      <c r="AN666">
        <v>5.8510813529173964</v>
      </c>
    </row>
    <row r="667" spans="1:40" x14ac:dyDescent="0.25">
      <c r="A667" s="1" t="s">
        <v>851</v>
      </c>
      <c r="B667">
        <v>82233810560</v>
      </c>
      <c r="C667" t="s">
        <v>80</v>
      </c>
      <c r="D667" t="s">
        <v>127</v>
      </c>
      <c r="E667">
        <v>14842000000</v>
      </c>
      <c r="F667">
        <v>-3325000000</v>
      </c>
      <c r="G667">
        <v>-1484000000</v>
      </c>
      <c r="H667">
        <v>-3666000000</v>
      </c>
      <c r="I667">
        <v>-4161000000</v>
      </c>
      <c r="J667">
        <v>-2356000000</v>
      </c>
      <c r="K667">
        <v>6482000000</v>
      </c>
      <c r="L667">
        <v>0</v>
      </c>
      <c r="M667">
        <v>6482000000</v>
      </c>
      <c r="N667">
        <v>9684000000</v>
      </c>
      <c r="O667">
        <v>1455000000</v>
      </c>
      <c r="P667">
        <v>168000000</v>
      </c>
      <c r="Q667">
        <v>10767000000</v>
      </c>
      <c r="R667">
        <v>8126000000</v>
      </c>
      <c r="S667">
        <v>22599000000</v>
      </c>
      <c r="T667">
        <v>0</v>
      </c>
      <c r="U667">
        <v>354000000</v>
      </c>
      <c r="V667">
        <v>13931000000</v>
      </c>
      <c r="W667">
        <v>86686810560</v>
      </c>
      <c r="X667">
        <v>87040810560</v>
      </c>
      <c r="Y667">
        <v>5.5406151839374749</v>
      </c>
      <c r="Z667">
        <v>-24.73197310075188</v>
      </c>
      <c r="AA667">
        <v>-55.413618975741237</v>
      </c>
      <c r="AB667">
        <v>-22.431481331151119</v>
      </c>
      <c r="AC667">
        <v>-19.762992203797161</v>
      </c>
      <c r="AD667">
        <v>-34.903994295415963</v>
      </c>
      <c r="AE667">
        <v>-26.177687386466161</v>
      </c>
      <c r="AF667">
        <v>-26.071221221052632</v>
      </c>
      <c r="AG667">
        <v>-20.91824334534968</v>
      </c>
      <c r="AH667">
        <v>-20.833167642393651</v>
      </c>
      <c r="AI667">
        <v>-58.652837304582206</v>
      </c>
      <c r="AJ667">
        <v>-23.742719738134209</v>
      </c>
      <c r="AK667">
        <v>-58.414292830188678</v>
      </c>
      <c r="AL667">
        <v>-23.646156726677582</v>
      </c>
      <c r="AM667">
        <v>5.8644933674706916</v>
      </c>
      <c r="AN667">
        <v>5.8406421344832236</v>
      </c>
    </row>
    <row r="668" spans="1:40" x14ac:dyDescent="0.25">
      <c r="A668" s="1" t="s">
        <v>850</v>
      </c>
      <c r="B668">
        <v>82621157760</v>
      </c>
      <c r="C668" t="s">
        <v>80</v>
      </c>
      <c r="D668" t="s">
        <v>127</v>
      </c>
      <c r="E668">
        <v>14842000000</v>
      </c>
      <c r="F668">
        <v>-3325000000</v>
      </c>
      <c r="G668">
        <v>-1484000000</v>
      </c>
      <c r="H668">
        <v>-3666000000</v>
      </c>
      <c r="I668">
        <v>-4161000000</v>
      </c>
      <c r="J668">
        <v>-2356000000</v>
      </c>
      <c r="K668">
        <v>6482000000</v>
      </c>
      <c r="L668">
        <v>0</v>
      </c>
      <c r="M668">
        <v>6482000000</v>
      </c>
      <c r="N668">
        <v>9684000000</v>
      </c>
      <c r="O668">
        <v>1455000000</v>
      </c>
      <c r="P668">
        <v>168000000</v>
      </c>
      <c r="Q668">
        <v>10767000000</v>
      </c>
      <c r="R668">
        <v>8126000000</v>
      </c>
      <c r="S668">
        <v>22599000000</v>
      </c>
      <c r="T668">
        <v>0</v>
      </c>
      <c r="U668">
        <v>354000000</v>
      </c>
      <c r="V668">
        <v>13931000000</v>
      </c>
      <c r="W668">
        <v>87074157760</v>
      </c>
      <c r="X668">
        <v>87428157760</v>
      </c>
      <c r="Y668">
        <v>5.5667132300229083</v>
      </c>
      <c r="Z668">
        <v>-24.848468499248121</v>
      </c>
      <c r="AA668">
        <v>-55.674634609164421</v>
      </c>
      <c r="AB668">
        <v>-22.537140687397709</v>
      </c>
      <c r="AC668">
        <v>-19.85608213410238</v>
      </c>
      <c r="AD668">
        <v>-35.068403123938879</v>
      </c>
      <c r="AE668">
        <v>-26.294182784962409</v>
      </c>
      <c r="AF668">
        <v>-26.187716619548869</v>
      </c>
      <c r="AG668">
        <v>-21.011333275654891</v>
      </c>
      <c r="AH668">
        <v>-20.926257572698869</v>
      </c>
      <c r="AI668">
        <v>-58.913852938005391</v>
      </c>
      <c r="AJ668">
        <v>-23.8483790943808</v>
      </c>
      <c r="AK668">
        <v>-58.675308463611863</v>
      </c>
      <c r="AL668">
        <v>-23.751816082924169</v>
      </c>
      <c r="AM668">
        <v>5.8905914135561241</v>
      </c>
      <c r="AN668">
        <v>5.8667401805686561</v>
      </c>
    </row>
    <row r="669" spans="1:40" x14ac:dyDescent="0.25">
      <c r="A669" s="1" t="s">
        <v>79</v>
      </c>
      <c r="B669">
        <v>81930758770</v>
      </c>
      <c r="C669" t="s">
        <v>80</v>
      </c>
      <c r="D669" t="s">
        <v>127</v>
      </c>
      <c r="E669">
        <v>14842000000</v>
      </c>
      <c r="F669">
        <v>-3325000000</v>
      </c>
      <c r="G669">
        <v>-1484000000</v>
      </c>
      <c r="H669">
        <v>-3666000000</v>
      </c>
      <c r="I669">
        <v>-4161000000</v>
      </c>
      <c r="J669">
        <v>-2356000000</v>
      </c>
      <c r="K669">
        <v>6482000000</v>
      </c>
      <c r="L669">
        <v>0</v>
      </c>
      <c r="M669">
        <v>6482000000</v>
      </c>
      <c r="N669">
        <v>9684000000</v>
      </c>
      <c r="O669">
        <v>1455000000</v>
      </c>
      <c r="P669">
        <v>168000000</v>
      </c>
      <c r="Q669">
        <v>10767000000</v>
      </c>
      <c r="R669">
        <v>8126000000</v>
      </c>
      <c r="S669">
        <v>22599000000</v>
      </c>
      <c r="T669">
        <v>0</v>
      </c>
      <c r="U669">
        <v>354000000</v>
      </c>
      <c r="V669">
        <v>13931000000</v>
      </c>
      <c r="W669">
        <v>86383758770</v>
      </c>
      <c r="X669">
        <v>86737758770</v>
      </c>
      <c r="Y669">
        <v>5.520196656111036</v>
      </c>
      <c r="Z669">
        <v>-24.640829705263162</v>
      </c>
      <c r="AA669">
        <v>-55.209406179245278</v>
      </c>
      <c r="AB669">
        <v>-22.34881581287507</v>
      </c>
      <c r="AC669">
        <v>-19.690160723383801</v>
      </c>
      <c r="AD669">
        <v>-34.775364503395593</v>
      </c>
      <c r="AE669">
        <v>-26.086543990977439</v>
      </c>
      <c r="AF669">
        <v>-25.98007782556391</v>
      </c>
      <c r="AG669">
        <v>-20.84541186493631</v>
      </c>
      <c r="AH669">
        <v>-20.760336161980291</v>
      </c>
      <c r="AI669">
        <v>-58.448624508086247</v>
      </c>
      <c r="AJ669">
        <v>-23.660054219858161</v>
      </c>
      <c r="AK669">
        <v>-58.210080033692719</v>
      </c>
      <c r="AL669">
        <v>-23.56349120840153</v>
      </c>
      <c r="AM669">
        <v>5.8440748396442528</v>
      </c>
      <c r="AN669">
        <v>5.8202236066567847</v>
      </c>
    </row>
    <row r="670" spans="1:40" x14ac:dyDescent="0.25">
      <c r="A670" s="1" t="s">
        <v>849</v>
      </c>
      <c r="B670">
        <v>85877816550</v>
      </c>
      <c r="C670" t="s">
        <v>80</v>
      </c>
      <c r="D670" t="s">
        <v>127</v>
      </c>
      <c r="E670">
        <v>14842000000</v>
      </c>
      <c r="F670">
        <v>-3325000000</v>
      </c>
      <c r="G670">
        <v>-1484000000</v>
      </c>
      <c r="H670">
        <v>-3666000000</v>
      </c>
      <c r="I670">
        <v>-4161000000</v>
      </c>
      <c r="J670">
        <v>-2356000000</v>
      </c>
      <c r="K670">
        <v>6482000000</v>
      </c>
      <c r="L670">
        <v>0</v>
      </c>
      <c r="M670">
        <v>6482000000</v>
      </c>
      <c r="N670">
        <v>9684000000</v>
      </c>
      <c r="O670">
        <v>1455000000</v>
      </c>
      <c r="P670">
        <v>168000000</v>
      </c>
      <c r="Q670">
        <v>10767000000</v>
      </c>
      <c r="R670">
        <v>8126000000</v>
      </c>
      <c r="S670">
        <v>22599000000</v>
      </c>
      <c r="T670">
        <v>0</v>
      </c>
      <c r="U670">
        <v>354000000</v>
      </c>
      <c r="V670">
        <v>13931000000</v>
      </c>
      <c r="W670">
        <v>90330816550</v>
      </c>
      <c r="X670">
        <v>90684816550</v>
      </c>
      <c r="Y670">
        <v>5.7861350592912011</v>
      </c>
      <c r="Z670">
        <v>-25.8279147518797</v>
      </c>
      <c r="AA670">
        <v>-57.869148618598381</v>
      </c>
      <c r="AB670">
        <v>-23.425481873977091</v>
      </c>
      <c r="AC670">
        <v>-20.638744664744049</v>
      </c>
      <c r="AD670">
        <v>-36.450686141765708</v>
      </c>
      <c r="AE670">
        <v>-27.273629037593981</v>
      </c>
      <c r="AF670">
        <v>-27.167162872180452</v>
      </c>
      <c r="AG670">
        <v>-21.793995806296561</v>
      </c>
      <c r="AH670">
        <v>-21.708920103340539</v>
      </c>
      <c r="AI670">
        <v>-61.10836694743935</v>
      </c>
      <c r="AJ670">
        <v>-24.736720280960171</v>
      </c>
      <c r="AK670">
        <v>-60.869822473045822</v>
      </c>
      <c r="AL670">
        <v>-24.64015726950355</v>
      </c>
      <c r="AM670">
        <v>6.1100132428244169</v>
      </c>
      <c r="AN670">
        <v>6.0861620098369489</v>
      </c>
    </row>
    <row r="671" spans="1:40" x14ac:dyDescent="0.25">
      <c r="A671" s="1" t="s">
        <v>848</v>
      </c>
      <c r="B671">
        <v>86796191380</v>
      </c>
      <c r="C671" t="s">
        <v>80</v>
      </c>
      <c r="D671" t="s">
        <v>127</v>
      </c>
      <c r="E671">
        <v>14842000000</v>
      </c>
      <c r="F671">
        <v>-3325000000</v>
      </c>
      <c r="G671">
        <v>-1484000000</v>
      </c>
      <c r="H671">
        <v>-3666000000</v>
      </c>
      <c r="I671">
        <v>-4161000000</v>
      </c>
      <c r="J671">
        <v>-2356000000</v>
      </c>
      <c r="K671">
        <v>6482000000</v>
      </c>
      <c r="L671">
        <v>0</v>
      </c>
      <c r="M671">
        <v>6482000000</v>
      </c>
      <c r="N671">
        <v>9684000000</v>
      </c>
      <c r="O671">
        <v>1455000000</v>
      </c>
      <c r="P671">
        <v>168000000</v>
      </c>
      <c r="Q671">
        <v>10767000000</v>
      </c>
      <c r="R671">
        <v>8126000000</v>
      </c>
      <c r="S671">
        <v>22599000000</v>
      </c>
      <c r="T671">
        <v>0</v>
      </c>
      <c r="U671">
        <v>354000000</v>
      </c>
      <c r="V671">
        <v>13931000000</v>
      </c>
      <c r="W671">
        <v>91249191380</v>
      </c>
      <c r="X671">
        <v>91603191380</v>
      </c>
      <c r="Y671">
        <v>5.8480118164667836</v>
      </c>
      <c r="Z671">
        <v>-26.104117708270682</v>
      </c>
      <c r="AA671">
        <v>-58.487999582210243</v>
      </c>
      <c r="AB671">
        <v>-23.675993284233499</v>
      </c>
      <c r="AC671">
        <v>-20.859454789714011</v>
      </c>
      <c r="AD671">
        <v>-36.840488701188463</v>
      </c>
      <c r="AE671">
        <v>-27.549831993984959</v>
      </c>
      <c r="AF671">
        <v>-27.44336582857143</v>
      </c>
      <c r="AG671">
        <v>-22.014705931266519</v>
      </c>
      <c r="AH671">
        <v>-21.929630228310501</v>
      </c>
      <c r="AI671">
        <v>-61.727217911051213</v>
      </c>
      <c r="AJ671">
        <v>-24.987231691216589</v>
      </c>
      <c r="AK671">
        <v>-61.488673436657677</v>
      </c>
      <c r="AL671">
        <v>-24.890668679759951</v>
      </c>
      <c r="AM671">
        <v>6.1718900000000003</v>
      </c>
      <c r="AN671">
        <v>6.1480387670125323</v>
      </c>
    </row>
    <row r="672" spans="1:40" x14ac:dyDescent="0.25">
      <c r="A672" s="1" t="s">
        <v>847</v>
      </c>
      <c r="B672">
        <v>84490484360</v>
      </c>
      <c r="C672" t="s">
        <v>80</v>
      </c>
      <c r="D672" t="s">
        <v>127</v>
      </c>
      <c r="E672">
        <v>14842000000</v>
      </c>
      <c r="F672">
        <v>-3325000000</v>
      </c>
      <c r="G672">
        <v>-1484000000</v>
      </c>
      <c r="H672">
        <v>-3666000000</v>
      </c>
      <c r="I672">
        <v>-4161000000</v>
      </c>
      <c r="J672">
        <v>-2356000000</v>
      </c>
      <c r="K672">
        <v>6482000000</v>
      </c>
      <c r="L672">
        <v>0</v>
      </c>
      <c r="M672">
        <v>6482000000</v>
      </c>
      <c r="N672">
        <v>9684000000</v>
      </c>
      <c r="O672">
        <v>1455000000</v>
      </c>
      <c r="P672">
        <v>168000000</v>
      </c>
      <c r="Q672">
        <v>10767000000</v>
      </c>
      <c r="R672">
        <v>8126000000</v>
      </c>
      <c r="S672">
        <v>22599000000</v>
      </c>
      <c r="T672">
        <v>0</v>
      </c>
      <c r="U672">
        <v>354000000</v>
      </c>
      <c r="V672">
        <v>13931000000</v>
      </c>
      <c r="W672">
        <v>88943484360</v>
      </c>
      <c r="X672">
        <v>89297484360</v>
      </c>
      <c r="Y672">
        <v>5.6926616601536182</v>
      </c>
      <c r="Z672">
        <v>-25.41067198796992</v>
      </c>
      <c r="AA672">
        <v>-56.934288652291102</v>
      </c>
      <c r="AB672">
        <v>-23.047049743589739</v>
      </c>
      <c r="AC672">
        <v>-20.305331497236239</v>
      </c>
      <c r="AD672">
        <v>-35.861835466893041</v>
      </c>
      <c r="AE672">
        <v>-26.856386273684208</v>
      </c>
      <c r="AF672">
        <v>-26.749920108270679</v>
      </c>
      <c r="AG672">
        <v>-21.46058263878875</v>
      </c>
      <c r="AH672">
        <v>-21.375506935832728</v>
      </c>
      <c r="AI672">
        <v>-60.173506981132078</v>
      </c>
      <c r="AJ672">
        <v>-24.358288150572829</v>
      </c>
      <c r="AK672">
        <v>-59.934962506738543</v>
      </c>
      <c r="AL672">
        <v>-24.261725139116201</v>
      </c>
      <c r="AM672">
        <v>6.0165398436868349</v>
      </c>
      <c r="AN672">
        <v>5.9926886106993669</v>
      </c>
    </row>
    <row r="673" spans="1:40" x14ac:dyDescent="0.25">
      <c r="A673" s="1" t="s">
        <v>846</v>
      </c>
      <c r="B673">
        <v>82126157670</v>
      </c>
      <c r="C673" t="s">
        <v>80</v>
      </c>
      <c r="D673" t="s">
        <v>127</v>
      </c>
      <c r="E673">
        <v>14842000000</v>
      </c>
      <c r="F673">
        <v>-3325000000</v>
      </c>
      <c r="G673">
        <v>-1484000000</v>
      </c>
      <c r="H673">
        <v>-3666000000</v>
      </c>
      <c r="I673">
        <v>-4161000000</v>
      </c>
      <c r="J673">
        <v>-2356000000</v>
      </c>
      <c r="K673">
        <v>6482000000</v>
      </c>
      <c r="L673">
        <v>0</v>
      </c>
      <c r="M673">
        <v>6482000000</v>
      </c>
      <c r="N673">
        <v>9684000000</v>
      </c>
      <c r="O673">
        <v>1455000000</v>
      </c>
      <c r="P673">
        <v>168000000</v>
      </c>
      <c r="Q673">
        <v>10767000000</v>
      </c>
      <c r="R673">
        <v>8126000000</v>
      </c>
      <c r="S673">
        <v>22599000000</v>
      </c>
      <c r="T673">
        <v>0</v>
      </c>
      <c r="U673">
        <v>354000000</v>
      </c>
      <c r="V673">
        <v>13931000000</v>
      </c>
      <c r="W673">
        <v>86579157670</v>
      </c>
      <c r="X673">
        <v>86933157670</v>
      </c>
      <c r="Y673">
        <v>5.5333619235952032</v>
      </c>
      <c r="Z673">
        <v>-24.699596291729321</v>
      </c>
      <c r="AA673">
        <v>-55.341076597035041</v>
      </c>
      <c r="AB673">
        <v>-22.402116112929619</v>
      </c>
      <c r="AC673">
        <v>-19.737120324441239</v>
      </c>
      <c r="AD673">
        <v>-34.858301218166382</v>
      </c>
      <c r="AE673">
        <v>-26.14531057744361</v>
      </c>
      <c r="AF673">
        <v>-26.03884441203008</v>
      </c>
      <c r="AG673">
        <v>-20.892371465993751</v>
      </c>
      <c r="AH673">
        <v>-20.807295763037729</v>
      </c>
      <c r="AI673">
        <v>-58.580294925876011</v>
      </c>
      <c r="AJ673">
        <v>-23.713354519912709</v>
      </c>
      <c r="AK673">
        <v>-58.341750451482483</v>
      </c>
      <c r="AL673">
        <v>-23.616791508456082</v>
      </c>
      <c r="AM673">
        <v>5.857240107128419</v>
      </c>
      <c r="AN673">
        <v>5.833388874140951</v>
      </c>
    </row>
    <row r="674" spans="1:40" x14ac:dyDescent="0.25">
      <c r="A674" s="1" t="s">
        <v>845</v>
      </c>
      <c r="B674">
        <v>81110083390</v>
      </c>
      <c r="C674" t="s">
        <v>80</v>
      </c>
      <c r="D674" t="s">
        <v>127</v>
      </c>
      <c r="E674">
        <v>14842000000</v>
      </c>
      <c r="F674">
        <v>-3325000000</v>
      </c>
      <c r="G674">
        <v>-1484000000</v>
      </c>
      <c r="H674">
        <v>-3666000000</v>
      </c>
      <c r="I674">
        <v>-4161000000</v>
      </c>
      <c r="J674">
        <v>-2356000000</v>
      </c>
      <c r="K674">
        <v>6482000000</v>
      </c>
      <c r="L674">
        <v>0</v>
      </c>
      <c r="M674">
        <v>6482000000</v>
      </c>
      <c r="N674">
        <v>9684000000</v>
      </c>
      <c r="O674">
        <v>1455000000</v>
      </c>
      <c r="P674">
        <v>168000000</v>
      </c>
      <c r="Q674">
        <v>10767000000</v>
      </c>
      <c r="R674">
        <v>8126000000</v>
      </c>
      <c r="S674">
        <v>22599000000</v>
      </c>
      <c r="T674">
        <v>0</v>
      </c>
      <c r="U674">
        <v>354000000</v>
      </c>
      <c r="V674">
        <v>13931000000</v>
      </c>
      <c r="W674">
        <v>85563083390</v>
      </c>
      <c r="X674">
        <v>85917083390</v>
      </c>
      <c r="Y674">
        <v>5.4649025326775371</v>
      </c>
      <c r="Z674">
        <v>-24.394010042105261</v>
      </c>
      <c r="AA674">
        <v>-54.656390424528297</v>
      </c>
      <c r="AB674">
        <v>-22.124954552645939</v>
      </c>
      <c r="AC674">
        <v>-19.492930398942558</v>
      </c>
      <c r="AD674">
        <v>-34.427030301358243</v>
      </c>
      <c r="AE674">
        <v>-25.83972432781955</v>
      </c>
      <c r="AF674">
        <v>-25.73325816240601</v>
      </c>
      <c r="AG674">
        <v>-20.64818154049507</v>
      </c>
      <c r="AH674">
        <v>-20.563105837539052</v>
      </c>
      <c r="AI674">
        <v>-57.895608753369267</v>
      </c>
      <c r="AJ674">
        <v>-23.436192959629022</v>
      </c>
      <c r="AK674">
        <v>-57.657064278975739</v>
      </c>
      <c r="AL674">
        <v>-23.339629948172391</v>
      </c>
      <c r="AM674">
        <v>5.788780716210753</v>
      </c>
      <c r="AN674">
        <v>5.7649294832232849</v>
      </c>
    </row>
    <row r="675" spans="1:40" x14ac:dyDescent="0.25">
      <c r="A675" s="1" t="s">
        <v>844</v>
      </c>
      <c r="B675">
        <v>83239931400</v>
      </c>
      <c r="C675" t="s">
        <v>80</v>
      </c>
      <c r="D675" t="s">
        <v>127</v>
      </c>
      <c r="E675">
        <v>14842000000</v>
      </c>
      <c r="F675">
        <v>-3325000000</v>
      </c>
      <c r="G675">
        <v>-1484000000</v>
      </c>
      <c r="H675">
        <v>-3666000000</v>
      </c>
      <c r="I675">
        <v>-4161000000</v>
      </c>
      <c r="J675">
        <v>-2356000000</v>
      </c>
      <c r="K675">
        <v>6482000000</v>
      </c>
      <c r="L675">
        <v>0</v>
      </c>
      <c r="M675">
        <v>6482000000</v>
      </c>
      <c r="N675">
        <v>9684000000</v>
      </c>
      <c r="O675">
        <v>1455000000</v>
      </c>
      <c r="P675">
        <v>168000000</v>
      </c>
      <c r="Q675">
        <v>10767000000</v>
      </c>
      <c r="R675">
        <v>8126000000</v>
      </c>
      <c r="S675">
        <v>22599000000</v>
      </c>
      <c r="T675">
        <v>0</v>
      </c>
      <c r="U675">
        <v>354000000</v>
      </c>
      <c r="V675">
        <v>13931000000</v>
      </c>
      <c r="W675">
        <v>87692931400</v>
      </c>
      <c r="X675">
        <v>88046931400</v>
      </c>
      <c r="Y675">
        <v>5.6084039482549519</v>
      </c>
      <c r="Z675">
        <v>-25.03456583458647</v>
      </c>
      <c r="AA675">
        <v>-56.09159797843666</v>
      </c>
      <c r="AB675">
        <v>-22.705927823240589</v>
      </c>
      <c r="AC675">
        <v>-20.004790050468639</v>
      </c>
      <c r="AD675">
        <v>-35.331040492359932</v>
      </c>
      <c r="AE675">
        <v>-26.480280120300751</v>
      </c>
      <c r="AF675">
        <v>-26.373813954887218</v>
      </c>
      <c r="AG675">
        <v>-21.160041192021151</v>
      </c>
      <c r="AH675">
        <v>-21.074965489065129</v>
      </c>
      <c r="AI675">
        <v>-59.33081630727763</v>
      </c>
      <c r="AJ675">
        <v>-24.01716623022368</v>
      </c>
      <c r="AK675">
        <v>-59.092271832884087</v>
      </c>
      <c r="AL675">
        <v>-23.920603218767049</v>
      </c>
      <c r="AM675">
        <v>5.9322821317881687</v>
      </c>
      <c r="AN675">
        <v>5.9084308988007006</v>
      </c>
    </row>
    <row r="676" spans="1:40" x14ac:dyDescent="0.25">
      <c r="A676" s="1" t="s">
        <v>843</v>
      </c>
      <c r="B676">
        <v>85233000180</v>
      </c>
      <c r="C676" t="s">
        <v>80</v>
      </c>
      <c r="D676" t="s">
        <v>127</v>
      </c>
      <c r="E676">
        <v>14842000000</v>
      </c>
      <c r="F676">
        <v>-3325000000</v>
      </c>
      <c r="G676">
        <v>-1484000000</v>
      </c>
      <c r="H676">
        <v>-3666000000</v>
      </c>
      <c r="I676">
        <v>-4161000000</v>
      </c>
      <c r="J676">
        <v>-2356000000</v>
      </c>
      <c r="K676">
        <v>6482000000</v>
      </c>
      <c r="L676">
        <v>0</v>
      </c>
      <c r="M676">
        <v>6482000000</v>
      </c>
      <c r="N676">
        <v>9684000000</v>
      </c>
      <c r="O676">
        <v>1455000000</v>
      </c>
      <c r="P676">
        <v>168000000</v>
      </c>
      <c r="Q676">
        <v>10767000000</v>
      </c>
      <c r="R676">
        <v>8126000000</v>
      </c>
      <c r="S676">
        <v>22599000000</v>
      </c>
      <c r="T676">
        <v>0</v>
      </c>
      <c r="U676">
        <v>354000000</v>
      </c>
      <c r="V676">
        <v>13931000000</v>
      </c>
      <c r="W676">
        <v>89686000180</v>
      </c>
      <c r="X676">
        <v>90040000180</v>
      </c>
      <c r="Y676">
        <v>5.742689676593451</v>
      </c>
      <c r="Z676">
        <v>-25.633985016541349</v>
      </c>
      <c r="AA676">
        <v>-57.434636239892193</v>
      </c>
      <c r="AB676">
        <v>-23.249590883797051</v>
      </c>
      <c r="AC676">
        <v>-20.483777981254509</v>
      </c>
      <c r="AD676">
        <v>-36.17699498302207</v>
      </c>
      <c r="AE676">
        <v>-27.079699302255641</v>
      </c>
      <c r="AF676">
        <v>-26.973233136842101</v>
      </c>
      <c r="AG676">
        <v>-21.63902912280702</v>
      </c>
      <c r="AH676">
        <v>-21.553953419850998</v>
      </c>
      <c r="AI676">
        <v>-60.673854568733162</v>
      </c>
      <c r="AJ676">
        <v>-24.560829290780141</v>
      </c>
      <c r="AK676">
        <v>-60.43531009433962</v>
      </c>
      <c r="AL676">
        <v>-24.46426627932351</v>
      </c>
      <c r="AM676">
        <v>6.0665678601266677</v>
      </c>
      <c r="AN676">
        <v>6.0427166271391997</v>
      </c>
    </row>
    <row r="677" spans="1:40" x14ac:dyDescent="0.25">
      <c r="A677" s="1" t="s">
        <v>842</v>
      </c>
      <c r="B677">
        <v>84099686560</v>
      </c>
      <c r="C677" t="s">
        <v>80</v>
      </c>
      <c r="D677" t="s">
        <v>127</v>
      </c>
      <c r="E677">
        <v>14842000000</v>
      </c>
      <c r="F677">
        <v>-3325000000</v>
      </c>
      <c r="G677">
        <v>-1484000000</v>
      </c>
      <c r="H677">
        <v>-3666000000</v>
      </c>
      <c r="I677">
        <v>-4161000000</v>
      </c>
      <c r="J677">
        <v>-2356000000</v>
      </c>
      <c r="K677">
        <v>6482000000</v>
      </c>
      <c r="L677">
        <v>0</v>
      </c>
      <c r="M677">
        <v>6482000000</v>
      </c>
      <c r="N677">
        <v>9684000000</v>
      </c>
      <c r="O677">
        <v>1455000000</v>
      </c>
      <c r="P677">
        <v>168000000</v>
      </c>
      <c r="Q677">
        <v>10767000000</v>
      </c>
      <c r="R677">
        <v>8126000000</v>
      </c>
      <c r="S677">
        <v>22599000000</v>
      </c>
      <c r="T677">
        <v>0</v>
      </c>
      <c r="U677">
        <v>354000000</v>
      </c>
      <c r="V677">
        <v>13931000000</v>
      </c>
      <c r="W677">
        <v>88552686560</v>
      </c>
      <c r="X677">
        <v>88906686560</v>
      </c>
      <c r="Y677">
        <v>5.6663311251852848</v>
      </c>
      <c r="Z677">
        <v>-25.29313881503759</v>
      </c>
      <c r="AA677">
        <v>-56.670947816711589</v>
      </c>
      <c r="AB677">
        <v>-22.940449143480631</v>
      </c>
      <c r="AC677">
        <v>-20.21141229512137</v>
      </c>
      <c r="AD677">
        <v>-35.695962037351443</v>
      </c>
      <c r="AE677">
        <v>-26.738853100751879</v>
      </c>
      <c r="AF677">
        <v>-26.632386935338349</v>
      </c>
      <c r="AG677">
        <v>-21.366663436673871</v>
      </c>
      <c r="AH677">
        <v>-21.28158773371786</v>
      </c>
      <c r="AI677">
        <v>-59.910166145552559</v>
      </c>
      <c r="AJ677">
        <v>-24.251687550463721</v>
      </c>
      <c r="AK677">
        <v>-59.671621671159031</v>
      </c>
      <c r="AL677">
        <v>-24.15512453900709</v>
      </c>
      <c r="AM677">
        <v>5.9902093087185024</v>
      </c>
      <c r="AN677">
        <v>5.9663580757310326</v>
      </c>
    </row>
    <row r="678" spans="1:40" x14ac:dyDescent="0.25">
      <c r="A678" s="1" t="s">
        <v>841</v>
      </c>
      <c r="B678">
        <v>83767508430</v>
      </c>
      <c r="C678" t="s">
        <v>80</v>
      </c>
      <c r="D678" t="s">
        <v>127</v>
      </c>
      <c r="E678">
        <v>14842000000</v>
      </c>
      <c r="F678">
        <v>-3325000000</v>
      </c>
      <c r="G678">
        <v>-1484000000</v>
      </c>
      <c r="H678">
        <v>-3666000000</v>
      </c>
      <c r="I678">
        <v>-4161000000</v>
      </c>
      <c r="J678">
        <v>-2356000000</v>
      </c>
      <c r="K678">
        <v>6482000000</v>
      </c>
      <c r="L678">
        <v>0</v>
      </c>
      <c r="M678">
        <v>6482000000</v>
      </c>
      <c r="N678">
        <v>9684000000</v>
      </c>
      <c r="O678">
        <v>1455000000</v>
      </c>
      <c r="P678">
        <v>168000000</v>
      </c>
      <c r="Q678">
        <v>10767000000</v>
      </c>
      <c r="R678">
        <v>8126000000</v>
      </c>
      <c r="S678">
        <v>22599000000</v>
      </c>
      <c r="T678">
        <v>0</v>
      </c>
      <c r="U678">
        <v>354000000</v>
      </c>
      <c r="V678">
        <v>13931000000</v>
      </c>
      <c r="W678">
        <v>88220508430</v>
      </c>
      <c r="X678">
        <v>88574508430</v>
      </c>
      <c r="Y678">
        <v>5.6439501704622019</v>
      </c>
      <c r="Z678">
        <v>-25.193235618045112</v>
      </c>
      <c r="AA678">
        <v>-56.447108106469003</v>
      </c>
      <c r="AB678">
        <v>-22.84983863338789</v>
      </c>
      <c r="AC678">
        <v>-20.131580973323722</v>
      </c>
      <c r="AD678">
        <v>-35.554969622241089</v>
      </c>
      <c r="AE678">
        <v>-26.6389499037594</v>
      </c>
      <c r="AF678">
        <v>-26.53248373834586</v>
      </c>
      <c r="AG678">
        <v>-21.28683211487623</v>
      </c>
      <c r="AH678">
        <v>-21.201756411920211</v>
      </c>
      <c r="AI678">
        <v>-59.686326435309972</v>
      </c>
      <c r="AJ678">
        <v>-24.16107704037098</v>
      </c>
      <c r="AK678">
        <v>-59.447781960916437</v>
      </c>
      <c r="AL678">
        <v>-24.064514028914349</v>
      </c>
      <c r="AM678">
        <v>5.9678283539954187</v>
      </c>
      <c r="AN678">
        <v>5.9439771210079506</v>
      </c>
    </row>
    <row r="679" spans="1:40" x14ac:dyDescent="0.25">
      <c r="A679" s="1" t="s">
        <v>840</v>
      </c>
      <c r="B679">
        <v>81110083390</v>
      </c>
      <c r="C679" t="s">
        <v>80</v>
      </c>
      <c r="D679" t="s">
        <v>127</v>
      </c>
      <c r="E679">
        <v>14842000000</v>
      </c>
      <c r="F679">
        <v>-3325000000</v>
      </c>
      <c r="G679">
        <v>-1484000000</v>
      </c>
      <c r="H679">
        <v>-3666000000</v>
      </c>
      <c r="I679">
        <v>-4161000000</v>
      </c>
      <c r="J679">
        <v>-2356000000</v>
      </c>
      <c r="K679">
        <v>6482000000</v>
      </c>
      <c r="L679">
        <v>0</v>
      </c>
      <c r="M679">
        <v>6482000000</v>
      </c>
      <c r="N679">
        <v>9684000000</v>
      </c>
      <c r="O679">
        <v>1455000000</v>
      </c>
      <c r="P679">
        <v>168000000</v>
      </c>
      <c r="Q679">
        <v>10767000000</v>
      </c>
      <c r="R679">
        <v>8126000000</v>
      </c>
      <c r="S679">
        <v>22599000000</v>
      </c>
      <c r="T679">
        <v>0</v>
      </c>
      <c r="U679">
        <v>354000000</v>
      </c>
      <c r="V679">
        <v>13931000000</v>
      </c>
      <c r="W679">
        <v>85563083390</v>
      </c>
      <c r="X679">
        <v>85917083390</v>
      </c>
      <c r="Y679">
        <v>5.4649025326775371</v>
      </c>
      <c r="Z679">
        <v>-24.394010042105261</v>
      </c>
      <c r="AA679">
        <v>-54.656390424528297</v>
      </c>
      <c r="AB679">
        <v>-22.124954552645939</v>
      </c>
      <c r="AC679">
        <v>-19.492930398942558</v>
      </c>
      <c r="AD679">
        <v>-34.427030301358243</v>
      </c>
      <c r="AE679">
        <v>-25.83972432781955</v>
      </c>
      <c r="AF679">
        <v>-25.73325816240601</v>
      </c>
      <c r="AG679">
        <v>-20.64818154049507</v>
      </c>
      <c r="AH679">
        <v>-20.563105837539052</v>
      </c>
      <c r="AI679">
        <v>-57.895608753369267</v>
      </c>
      <c r="AJ679">
        <v>-23.436192959629022</v>
      </c>
      <c r="AK679">
        <v>-57.657064278975739</v>
      </c>
      <c r="AL679">
        <v>-23.339629948172391</v>
      </c>
      <c r="AM679">
        <v>5.788780716210753</v>
      </c>
      <c r="AN679">
        <v>5.7649294832232849</v>
      </c>
    </row>
    <row r="680" spans="1:40" x14ac:dyDescent="0.25">
      <c r="A680" s="1" t="s">
        <v>839</v>
      </c>
      <c r="B680">
        <v>75052717490</v>
      </c>
      <c r="C680" t="s">
        <v>80</v>
      </c>
      <c r="D680" t="s">
        <v>127</v>
      </c>
      <c r="E680">
        <v>14842000000</v>
      </c>
      <c r="F680">
        <v>-3325000000</v>
      </c>
      <c r="G680">
        <v>-1484000000</v>
      </c>
      <c r="H680">
        <v>-3666000000</v>
      </c>
      <c r="I680">
        <v>-4161000000</v>
      </c>
      <c r="J680">
        <v>-2356000000</v>
      </c>
      <c r="K680">
        <v>6482000000</v>
      </c>
      <c r="L680">
        <v>0</v>
      </c>
      <c r="M680">
        <v>6482000000</v>
      </c>
      <c r="N680">
        <v>9684000000</v>
      </c>
      <c r="O680">
        <v>1455000000</v>
      </c>
      <c r="P680">
        <v>168000000</v>
      </c>
      <c r="Q680">
        <v>10767000000</v>
      </c>
      <c r="R680">
        <v>8126000000</v>
      </c>
      <c r="S680">
        <v>22599000000</v>
      </c>
      <c r="T680">
        <v>0</v>
      </c>
      <c r="U680">
        <v>354000000</v>
      </c>
      <c r="V680">
        <v>13931000000</v>
      </c>
      <c r="W680">
        <v>79505717490</v>
      </c>
      <c r="X680">
        <v>79859717490</v>
      </c>
      <c r="Y680">
        <v>5.0567792406683738</v>
      </c>
      <c r="Z680">
        <v>-22.572245861654139</v>
      </c>
      <c r="AA680">
        <v>-50.574607473045823</v>
      </c>
      <c r="AB680">
        <v>-20.47264525095472</v>
      </c>
      <c r="AC680">
        <v>-18.03718276616198</v>
      </c>
      <c r="AD680">
        <v>-31.855992143463499</v>
      </c>
      <c r="AE680">
        <v>-24.01796014736842</v>
      </c>
      <c r="AF680">
        <v>-23.911493981954891</v>
      </c>
      <c r="AG680">
        <v>-19.192433907714491</v>
      </c>
      <c r="AH680">
        <v>-19.107358204758469</v>
      </c>
      <c r="AI680">
        <v>-53.813825801886793</v>
      </c>
      <c r="AJ680">
        <v>-21.78388365793781</v>
      </c>
      <c r="AK680">
        <v>-53.575281327493258</v>
      </c>
      <c r="AL680">
        <v>-21.687320646481179</v>
      </c>
      <c r="AM680">
        <v>5.3806574242015897</v>
      </c>
      <c r="AN680">
        <v>5.3568061912141216</v>
      </c>
    </row>
    <row r="681" spans="1:40" x14ac:dyDescent="0.25">
      <c r="A681" s="1" t="s">
        <v>838</v>
      </c>
      <c r="B681">
        <v>73978023540</v>
      </c>
      <c r="C681" t="s">
        <v>80</v>
      </c>
      <c r="D681" t="s">
        <v>127</v>
      </c>
      <c r="E681">
        <v>14842000000</v>
      </c>
      <c r="F681">
        <v>-3325000000</v>
      </c>
      <c r="G681">
        <v>-1484000000</v>
      </c>
      <c r="H681">
        <v>-3666000000</v>
      </c>
      <c r="I681">
        <v>-4161000000</v>
      </c>
      <c r="J681">
        <v>-2356000000</v>
      </c>
      <c r="K681">
        <v>6482000000</v>
      </c>
      <c r="L681">
        <v>0</v>
      </c>
      <c r="M681">
        <v>6482000000</v>
      </c>
      <c r="N681">
        <v>9684000000</v>
      </c>
      <c r="O681">
        <v>1455000000</v>
      </c>
      <c r="P681">
        <v>168000000</v>
      </c>
      <c r="Q681">
        <v>10767000000</v>
      </c>
      <c r="R681">
        <v>8126000000</v>
      </c>
      <c r="S681">
        <v>22599000000</v>
      </c>
      <c r="T681">
        <v>0</v>
      </c>
      <c r="U681">
        <v>354000000</v>
      </c>
      <c r="V681">
        <v>13931000000</v>
      </c>
      <c r="W681">
        <v>78431023540</v>
      </c>
      <c r="X681">
        <v>78785023540</v>
      </c>
      <c r="Y681">
        <v>4.9843702695054573</v>
      </c>
      <c r="Z681">
        <v>-22.249029636090221</v>
      </c>
      <c r="AA681">
        <v>-49.850420175202153</v>
      </c>
      <c r="AB681">
        <v>-20.179493600654659</v>
      </c>
      <c r="AC681">
        <v>-17.778904960346068</v>
      </c>
      <c r="AD681">
        <v>-31.39984021222411</v>
      </c>
      <c r="AE681">
        <v>-23.694743921804509</v>
      </c>
      <c r="AF681">
        <v>-23.58827775639098</v>
      </c>
      <c r="AG681">
        <v>-18.93415610189858</v>
      </c>
      <c r="AH681">
        <v>-18.849080398942561</v>
      </c>
      <c r="AI681">
        <v>-53.08963850404313</v>
      </c>
      <c r="AJ681">
        <v>-21.490732007637749</v>
      </c>
      <c r="AK681">
        <v>-52.851094029649587</v>
      </c>
      <c r="AL681">
        <v>-21.394168996181119</v>
      </c>
      <c r="AM681">
        <v>5.308248453038674</v>
      </c>
      <c r="AN681">
        <v>5.2843972200512059</v>
      </c>
    </row>
    <row r="682" spans="1:40" x14ac:dyDescent="0.25">
      <c r="A682" s="1" t="s">
        <v>837</v>
      </c>
      <c r="B682">
        <v>73899863980</v>
      </c>
      <c r="C682" t="s">
        <v>80</v>
      </c>
      <c r="D682" t="s">
        <v>127</v>
      </c>
      <c r="E682">
        <v>14842000000</v>
      </c>
      <c r="F682">
        <v>-3325000000</v>
      </c>
      <c r="G682">
        <v>-1484000000</v>
      </c>
      <c r="H682">
        <v>-3666000000</v>
      </c>
      <c r="I682">
        <v>-4161000000</v>
      </c>
      <c r="J682">
        <v>-2356000000</v>
      </c>
      <c r="K682">
        <v>6482000000</v>
      </c>
      <c r="L682">
        <v>0</v>
      </c>
      <c r="M682">
        <v>6482000000</v>
      </c>
      <c r="N682">
        <v>9684000000</v>
      </c>
      <c r="O682">
        <v>1455000000</v>
      </c>
      <c r="P682">
        <v>168000000</v>
      </c>
      <c r="Q682">
        <v>10767000000</v>
      </c>
      <c r="R682">
        <v>8126000000</v>
      </c>
      <c r="S682">
        <v>22599000000</v>
      </c>
      <c r="T682">
        <v>0</v>
      </c>
      <c r="U682">
        <v>354000000</v>
      </c>
      <c r="V682">
        <v>13931000000</v>
      </c>
      <c r="W682">
        <v>78352863980</v>
      </c>
      <c r="X682">
        <v>78706863980</v>
      </c>
      <c r="Y682">
        <v>4.9791041625117911</v>
      </c>
      <c r="Z682">
        <v>-22.22552300150376</v>
      </c>
      <c r="AA682">
        <v>-49.797752008086263</v>
      </c>
      <c r="AB682">
        <v>-20.15817348063284</v>
      </c>
      <c r="AC682">
        <v>-17.760121119923099</v>
      </c>
      <c r="AD682">
        <v>-31.366665526315789</v>
      </c>
      <c r="AE682">
        <v>-23.671237287218041</v>
      </c>
      <c r="AF682">
        <v>-23.564771121804512</v>
      </c>
      <c r="AG682">
        <v>-18.915372261475611</v>
      </c>
      <c r="AH682">
        <v>-18.830296558519581</v>
      </c>
      <c r="AI682">
        <v>-53.036970336927233</v>
      </c>
      <c r="AJ682">
        <v>-21.46941188761593</v>
      </c>
      <c r="AK682">
        <v>-52.798425862533691</v>
      </c>
      <c r="AL682">
        <v>-21.372848876159299</v>
      </c>
      <c r="AM682">
        <v>5.3029823460450078</v>
      </c>
      <c r="AN682">
        <v>5.2791311130575398</v>
      </c>
    </row>
    <row r="683" spans="1:40" x14ac:dyDescent="0.25">
      <c r="A683" s="1" t="s">
        <v>836</v>
      </c>
      <c r="B683">
        <v>70226364660</v>
      </c>
      <c r="C683" t="s">
        <v>80</v>
      </c>
      <c r="D683" t="s">
        <v>127</v>
      </c>
      <c r="E683">
        <v>14842000000</v>
      </c>
      <c r="F683">
        <v>-3325000000</v>
      </c>
      <c r="G683">
        <v>-1484000000</v>
      </c>
      <c r="H683">
        <v>-3666000000</v>
      </c>
      <c r="I683">
        <v>-4161000000</v>
      </c>
      <c r="J683">
        <v>-2356000000</v>
      </c>
      <c r="K683">
        <v>6482000000</v>
      </c>
      <c r="L683">
        <v>0</v>
      </c>
      <c r="M683">
        <v>6482000000</v>
      </c>
      <c r="N683">
        <v>9684000000</v>
      </c>
      <c r="O683">
        <v>1455000000</v>
      </c>
      <c r="P683">
        <v>168000000</v>
      </c>
      <c r="Q683">
        <v>10767000000</v>
      </c>
      <c r="R683">
        <v>8126000000</v>
      </c>
      <c r="S683">
        <v>22599000000</v>
      </c>
      <c r="T683">
        <v>0</v>
      </c>
      <c r="U683">
        <v>354000000</v>
      </c>
      <c r="V683">
        <v>13931000000</v>
      </c>
      <c r="W683">
        <v>74679364660</v>
      </c>
      <c r="X683">
        <v>75033364660</v>
      </c>
      <c r="Y683">
        <v>4.7315971338094593</v>
      </c>
      <c r="Z683">
        <v>-21.120711175939849</v>
      </c>
      <c r="AA683">
        <v>-47.322348153638814</v>
      </c>
      <c r="AB683">
        <v>-19.156127839607201</v>
      </c>
      <c r="AC683">
        <v>-16.877280620043258</v>
      </c>
      <c r="AD683">
        <v>-29.807455288624791</v>
      </c>
      <c r="AE683">
        <v>-22.566425461654131</v>
      </c>
      <c r="AF683">
        <v>-22.459959296240601</v>
      </c>
      <c r="AG683">
        <v>-18.03253176159577</v>
      </c>
      <c r="AH683">
        <v>-17.947456058639752</v>
      </c>
      <c r="AI683">
        <v>-50.561566482479783</v>
      </c>
      <c r="AJ683">
        <v>-20.467366246590291</v>
      </c>
      <c r="AK683">
        <v>-50.323022008086262</v>
      </c>
      <c r="AL683">
        <v>-20.370803235133661</v>
      </c>
      <c r="AM683">
        <v>5.0554753173426761</v>
      </c>
      <c r="AN683">
        <v>5.031624084355208</v>
      </c>
    </row>
    <row r="684" spans="1:40" x14ac:dyDescent="0.25">
      <c r="A684" s="1" t="s">
        <v>835</v>
      </c>
      <c r="B684">
        <v>70890720920</v>
      </c>
      <c r="C684" t="s">
        <v>80</v>
      </c>
      <c r="D684" t="s">
        <v>127</v>
      </c>
      <c r="E684">
        <v>14842000000</v>
      </c>
      <c r="F684">
        <v>-3325000000</v>
      </c>
      <c r="G684">
        <v>-1484000000</v>
      </c>
      <c r="H684">
        <v>-3666000000</v>
      </c>
      <c r="I684">
        <v>-4161000000</v>
      </c>
      <c r="J684">
        <v>-2356000000</v>
      </c>
      <c r="K684">
        <v>6482000000</v>
      </c>
      <c r="L684">
        <v>0</v>
      </c>
      <c r="M684">
        <v>6482000000</v>
      </c>
      <c r="N684">
        <v>9684000000</v>
      </c>
      <c r="O684">
        <v>1455000000</v>
      </c>
      <c r="P684">
        <v>168000000</v>
      </c>
      <c r="Q684">
        <v>10767000000</v>
      </c>
      <c r="R684">
        <v>8126000000</v>
      </c>
      <c r="S684">
        <v>22599000000</v>
      </c>
      <c r="T684">
        <v>0</v>
      </c>
      <c r="U684">
        <v>354000000</v>
      </c>
      <c r="V684">
        <v>13931000000</v>
      </c>
      <c r="W684">
        <v>75343720920</v>
      </c>
      <c r="X684">
        <v>75697720920</v>
      </c>
      <c r="Y684">
        <v>4.776359043255626</v>
      </c>
      <c r="Z684">
        <v>-21.32051756992481</v>
      </c>
      <c r="AA684">
        <v>-47.770027574123993</v>
      </c>
      <c r="AB684">
        <v>-19.337348859792691</v>
      </c>
      <c r="AC684">
        <v>-17.036943263638548</v>
      </c>
      <c r="AD684">
        <v>-30.089440118845499</v>
      </c>
      <c r="AE684">
        <v>-22.766231855639099</v>
      </c>
      <c r="AF684">
        <v>-22.659765690225559</v>
      </c>
      <c r="AG684">
        <v>-18.19219440519106</v>
      </c>
      <c r="AH684">
        <v>-18.107118702235041</v>
      </c>
      <c r="AI684">
        <v>-51.009245902964963</v>
      </c>
      <c r="AJ684">
        <v>-20.648587266775781</v>
      </c>
      <c r="AK684">
        <v>-50.770701428571428</v>
      </c>
      <c r="AL684">
        <v>-20.55202425531915</v>
      </c>
      <c r="AM684">
        <v>5.1002372267888427</v>
      </c>
      <c r="AN684">
        <v>5.0763859938013747</v>
      </c>
    </row>
    <row r="685" spans="1:40" x14ac:dyDescent="0.25">
      <c r="A685" s="1" t="s">
        <v>834</v>
      </c>
      <c r="B685">
        <v>68037896980</v>
      </c>
      <c r="C685" t="s">
        <v>80</v>
      </c>
      <c r="D685" t="s">
        <v>127</v>
      </c>
      <c r="E685">
        <v>14842000000</v>
      </c>
      <c r="F685">
        <v>-3325000000</v>
      </c>
      <c r="G685">
        <v>-1484000000</v>
      </c>
      <c r="H685">
        <v>-3666000000</v>
      </c>
      <c r="I685">
        <v>-4161000000</v>
      </c>
      <c r="J685">
        <v>-2356000000</v>
      </c>
      <c r="K685">
        <v>6482000000</v>
      </c>
      <c r="L685">
        <v>0</v>
      </c>
      <c r="M685">
        <v>6482000000</v>
      </c>
      <c r="N685">
        <v>9684000000</v>
      </c>
      <c r="O685">
        <v>1455000000</v>
      </c>
      <c r="P685">
        <v>168000000</v>
      </c>
      <c r="Q685">
        <v>10767000000</v>
      </c>
      <c r="R685">
        <v>8126000000</v>
      </c>
      <c r="S685">
        <v>22599000000</v>
      </c>
      <c r="T685">
        <v>0</v>
      </c>
      <c r="U685">
        <v>354000000</v>
      </c>
      <c r="V685">
        <v>13931000000</v>
      </c>
      <c r="W685">
        <v>72490896980</v>
      </c>
      <c r="X685">
        <v>72844896980</v>
      </c>
      <c r="Y685">
        <v>4.584146137986794</v>
      </c>
      <c r="Z685">
        <v>-20.4625254075188</v>
      </c>
      <c r="AA685">
        <v>-45.847639474393532</v>
      </c>
      <c r="AB685">
        <v>-18.55916447899618</v>
      </c>
      <c r="AC685">
        <v>-16.351333088199951</v>
      </c>
      <c r="AD685">
        <v>-28.878564083191851</v>
      </c>
      <c r="AE685">
        <v>-21.908239693233082</v>
      </c>
      <c r="AF685">
        <v>-21.801773527819549</v>
      </c>
      <c r="AG685">
        <v>-17.506584229752459</v>
      </c>
      <c r="AH685">
        <v>-17.42150852679644</v>
      </c>
      <c r="AI685">
        <v>-49.086857803234501</v>
      </c>
      <c r="AJ685">
        <v>-19.870402885979271</v>
      </c>
      <c r="AK685">
        <v>-48.848313328840973</v>
      </c>
      <c r="AL685">
        <v>-19.77383987452264</v>
      </c>
      <c r="AM685">
        <v>4.9080243215200108</v>
      </c>
      <c r="AN685">
        <v>4.8841730885325427</v>
      </c>
    </row>
    <row r="686" spans="1:40" x14ac:dyDescent="0.25">
      <c r="A686" s="1" t="s">
        <v>833</v>
      </c>
      <c r="B686">
        <v>67998817199</v>
      </c>
      <c r="C686" t="s">
        <v>80</v>
      </c>
      <c r="D686" t="s">
        <v>127</v>
      </c>
      <c r="E686">
        <v>14842000000</v>
      </c>
      <c r="F686">
        <v>-3325000000</v>
      </c>
      <c r="G686">
        <v>-1484000000</v>
      </c>
      <c r="H686">
        <v>-3666000000</v>
      </c>
      <c r="I686">
        <v>-4161000000</v>
      </c>
      <c r="J686">
        <v>-2356000000</v>
      </c>
      <c r="K686">
        <v>6482000000</v>
      </c>
      <c r="L686">
        <v>0</v>
      </c>
      <c r="M686">
        <v>6482000000</v>
      </c>
      <c r="N686">
        <v>9684000000</v>
      </c>
      <c r="O686">
        <v>1455000000</v>
      </c>
      <c r="P686">
        <v>168000000</v>
      </c>
      <c r="Q686">
        <v>10767000000</v>
      </c>
      <c r="R686">
        <v>8126000000</v>
      </c>
      <c r="S686">
        <v>22599000000</v>
      </c>
      <c r="T686">
        <v>0</v>
      </c>
      <c r="U686">
        <v>354000000</v>
      </c>
      <c r="V686">
        <v>13931000000</v>
      </c>
      <c r="W686">
        <v>72451817199</v>
      </c>
      <c r="X686">
        <v>72805817199</v>
      </c>
      <c r="Y686">
        <v>4.5815130844225846</v>
      </c>
      <c r="Z686">
        <v>-20.450772089924811</v>
      </c>
      <c r="AA686">
        <v>-45.821305390161733</v>
      </c>
      <c r="AB686">
        <v>-18.54850441871249</v>
      </c>
      <c r="AC686">
        <v>-16.341941167748139</v>
      </c>
      <c r="AD686">
        <v>-28.86197673981324</v>
      </c>
      <c r="AE686">
        <v>-21.8964863756391</v>
      </c>
      <c r="AF686">
        <v>-21.79002021022556</v>
      </c>
      <c r="AG686">
        <v>-17.497192309300651</v>
      </c>
      <c r="AH686">
        <v>-17.412116606344629</v>
      </c>
      <c r="AI686">
        <v>-49.060523719002703</v>
      </c>
      <c r="AJ686">
        <v>-19.85974282569558</v>
      </c>
      <c r="AK686">
        <v>-48.821979244609167</v>
      </c>
      <c r="AL686">
        <v>-19.763179814238949</v>
      </c>
      <c r="AM686">
        <v>4.9053912679558014</v>
      </c>
      <c r="AN686">
        <v>4.8815400349683333</v>
      </c>
    </row>
    <row r="687" spans="1:40" x14ac:dyDescent="0.25">
      <c r="A687" s="1" t="s">
        <v>832</v>
      </c>
      <c r="B687">
        <v>66611485010</v>
      </c>
      <c r="C687" t="s">
        <v>80</v>
      </c>
      <c r="D687" t="s">
        <v>127</v>
      </c>
      <c r="E687">
        <v>14842000000</v>
      </c>
      <c r="F687">
        <v>-3325000000</v>
      </c>
      <c r="G687">
        <v>-1484000000</v>
      </c>
      <c r="H687">
        <v>-3666000000</v>
      </c>
      <c r="I687">
        <v>-4161000000</v>
      </c>
      <c r="J687">
        <v>-2356000000</v>
      </c>
      <c r="K687">
        <v>6482000000</v>
      </c>
      <c r="L687">
        <v>0</v>
      </c>
      <c r="M687">
        <v>6482000000</v>
      </c>
      <c r="N687">
        <v>9684000000</v>
      </c>
      <c r="O687">
        <v>1455000000</v>
      </c>
      <c r="P687">
        <v>168000000</v>
      </c>
      <c r="Q687">
        <v>10767000000</v>
      </c>
      <c r="R687">
        <v>8126000000</v>
      </c>
      <c r="S687">
        <v>22599000000</v>
      </c>
      <c r="T687">
        <v>0</v>
      </c>
      <c r="U687">
        <v>354000000</v>
      </c>
      <c r="V687">
        <v>13931000000</v>
      </c>
      <c r="W687">
        <v>71064485010</v>
      </c>
      <c r="X687">
        <v>71418485010</v>
      </c>
      <c r="Y687">
        <v>4.4880396853523781</v>
      </c>
      <c r="Z687">
        <v>-20.03352932631579</v>
      </c>
      <c r="AA687">
        <v>-44.886445424528297</v>
      </c>
      <c r="AB687">
        <v>-18.170072288597929</v>
      </c>
      <c r="AC687">
        <v>-16.008528000480649</v>
      </c>
      <c r="AD687">
        <v>-28.27312606536503</v>
      </c>
      <c r="AE687">
        <v>-21.479243612030071</v>
      </c>
      <c r="AF687">
        <v>-21.372777446616539</v>
      </c>
      <c r="AG687">
        <v>-17.16377914203316</v>
      </c>
      <c r="AH687">
        <v>-17.078703439077149</v>
      </c>
      <c r="AI687">
        <v>-48.125663753369267</v>
      </c>
      <c r="AJ687">
        <v>-19.481310695581019</v>
      </c>
      <c r="AK687">
        <v>-47.887119278975739</v>
      </c>
      <c r="AL687">
        <v>-19.384747684124381</v>
      </c>
      <c r="AM687">
        <v>4.8119178688855948</v>
      </c>
      <c r="AN687">
        <v>4.7880666358981268</v>
      </c>
    </row>
    <row r="688" spans="1:40" x14ac:dyDescent="0.25">
      <c r="A688" s="1" t="s">
        <v>831</v>
      </c>
      <c r="B688">
        <v>68799952690</v>
      </c>
      <c r="C688" t="s">
        <v>80</v>
      </c>
      <c r="D688" t="s">
        <v>127</v>
      </c>
      <c r="E688">
        <v>14842000000</v>
      </c>
      <c r="F688">
        <v>-3325000000</v>
      </c>
      <c r="G688">
        <v>-1484000000</v>
      </c>
      <c r="H688">
        <v>-3666000000</v>
      </c>
      <c r="I688">
        <v>-4161000000</v>
      </c>
      <c r="J688">
        <v>-2356000000</v>
      </c>
      <c r="K688">
        <v>6482000000</v>
      </c>
      <c r="L688">
        <v>0</v>
      </c>
      <c r="M688">
        <v>6482000000</v>
      </c>
      <c r="N688">
        <v>9684000000</v>
      </c>
      <c r="O688">
        <v>1455000000</v>
      </c>
      <c r="P688">
        <v>168000000</v>
      </c>
      <c r="Q688">
        <v>10767000000</v>
      </c>
      <c r="R688">
        <v>8126000000</v>
      </c>
      <c r="S688">
        <v>22599000000</v>
      </c>
      <c r="T688">
        <v>0</v>
      </c>
      <c r="U688">
        <v>354000000</v>
      </c>
      <c r="V688">
        <v>13931000000</v>
      </c>
      <c r="W688">
        <v>73252952690</v>
      </c>
      <c r="X688">
        <v>73606952690</v>
      </c>
      <c r="Y688">
        <v>4.6354906811750434</v>
      </c>
      <c r="Z688">
        <v>-20.691715094736839</v>
      </c>
      <c r="AA688">
        <v>-46.361154103773593</v>
      </c>
      <c r="AB688">
        <v>-18.76703564920895</v>
      </c>
      <c r="AC688">
        <v>-16.53447553232396</v>
      </c>
      <c r="AD688">
        <v>-29.20201727079796</v>
      </c>
      <c r="AE688">
        <v>-22.137429380451131</v>
      </c>
      <c r="AF688">
        <v>-22.030963215037591</v>
      </c>
      <c r="AG688">
        <v>-17.689726673876471</v>
      </c>
      <c r="AH688">
        <v>-17.604650970920449</v>
      </c>
      <c r="AI688">
        <v>-49.600372432614563</v>
      </c>
      <c r="AJ688">
        <v>-20.07827405619204</v>
      </c>
      <c r="AK688">
        <v>-49.361827958221028</v>
      </c>
      <c r="AL688">
        <v>-19.981711044735409</v>
      </c>
      <c r="AM688">
        <v>4.9593688647082601</v>
      </c>
      <c r="AN688">
        <v>4.9355176317207921</v>
      </c>
    </row>
    <row r="689" spans="1:40" x14ac:dyDescent="0.25">
      <c r="A689" s="1" t="s">
        <v>830</v>
      </c>
      <c r="B689">
        <v>73079188600</v>
      </c>
      <c r="C689" t="s">
        <v>80</v>
      </c>
      <c r="D689" t="s">
        <v>127</v>
      </c>
      <c r="E689">
        <v>14842000000</v>
      </c>
      <c r="F689">
        <v>-3325000000</v>
      </c>
      <c r="G689">
        <v>-1484000000</v>
      </c>
      <c r="H689">
        <v>-3666000000</v>
      </c>
      <c r="I689">
        <v>-4161000000</v>
      </c>
      <c r="J689">
        <v>-2356000000</v>
      </c>
      <c r="K689">
        <v>6482000000</v>
      </c>
      <c r="L689">
        <v>0</v>
      </c>
      <c r="M689">
        <v>6482000000</v>
      </c>
      <c r="N689">
        <v>9684000000</v>
      </c>
      <c r="O689">
        <v>1455000000</v>
      </c>
      <c r="P689">
        <v>168000000</v>
      </c>
      <c r="Q689">
        <v>10767000000</v>
      </c>
      <c r="R689">
        <v>8126000000</v>
      </c>
      <c r="S689">
        <v>22599000000</v>
      </c>
      <c r="T689">
        <v>0</v>
      </c>
      <c r="U689">
        <v>354000000</v>
      </c>
      <c r="V689">
        <v>13931000000</v>
      </c>
      <c r="W689">
        <v>77532188600</v>
      </c>
      <c r="X689">
        <v>77886188600</v>
      </c>
      <c r="Y689">
        <v>4.9238100390782913</v>
      </c>
      <c r="Z689">
        <v>-21.97870333834587</v>
      </c>
      <c r="AA689">
        <v>-49.244736253369283</v>
      </c>
      <c r="AB689">
        <v>-19.934312220403712</v>
      </c>
      <c r="AC689">
        <v>-17.562890795481859</v>
      </c>
      <c r="AD689">
        <v>-31.018331324278439</v>
      </c>
      <c r="AE689">
        <v>-23.424417624060151</v>
      </c>
      <c r="AF689">
        <v>-23.317951458646611</v>
      </c>
      <c r="AG689">
        <v>-18.718141937034371</v>
      </c>
      <c r="AH689">
        <v>-18.633066234078349</v>
      </c>
      <c r="AI689">
        <v>-52.483954582210252</v>
      </c>
      <c r="AJ689">
        <v>-21.245550627386798</v>
      </c>
      <c r="AK689">
        <v>-52.24541010781671</v>
      </c>
      <c r="AL689">
        <v>-21.148987615930171</v>
      </c>
      <c r="AM689">
        <v>5.247688222611508</v>
      </c>
      <c r="AN689">
        <v>5.22383698962404</v>
      </c>
    </row>
    <row r="690" spans="1:40" x14ac:dyDescent="0.25">
      <c r="A690" s="1" t="s">
        <v>829</v>
      </c>
      <c r="B690">
        <v>75443515290</v>
      </c>
      <c r="C690" t="s">
        <v>80</v>
      </c>
      <c r="D690" t="s">
        <v>127</v>
      </c>
      <c r="E690">
        <v>14842000000</v>
      </c>
      <c r="F690">
        <v>-3325000000</v>
      </c>
      <c r="G690">
        <v>-1484000000</v>
      </c>
      <c r="H690">
        <v>-3666000000</v>
      </c>
      <c r="I690">
        <v>-4161000000</v>
      </c>
      <c r="J690">
        <v>-2356000000</v>
      </c>
      <c r="K690">
        <v>6482000000</v>
      </c>
      <c r="L690">
        <v>0</v>
      </c>
      <c r="M690">
        <v>6482000000</v>
      </c>
      <c r="N690">
        <v>9684000000</v>
      </c>
      <c r="O690">
        <v>1455000000</v>
      </c>
      <c r="P690">
        <v>168000000</v>
      </c>
      <c r="Q690">
        <v>10767000000</v>
      </c>
      <c r="R690">
        <v>8126000000</v>
      </c>
      <c r="S690">
        <v>22599000000</v>
      </c>
      <c r="T690">
        <v>0</v>
      </c>
      <c r="U690">
        <v>354000000</v>
      </c>
      <c r="V690">
        <v>13931000000</v>
      </c>
      <c r="W690">
        <v>79896515290</v>
      </c>
      <c r="X690">
        <v>80250515290</v>
      </c>
      <c r="Y690">
        <v>5.0831097756367063</v>
      </c>
      <c r="Z690">
        <v>-22.689779034586461</v>
      </c>
      <c r="AA690">
        <v>-50.837948308625343</v>
      </c>
      <c r="AB690">
        <v>-20.579245851063831</v>
      </c>
      <c r="AC690">
        <v>-18.131101968276859</v>
      </c>
      <c r="AD690">
        <v>-32.021865573005087</v>
      </c>
      <c r="AE690">
        <v>-24.13549332030075</v>
      </c>
      <c r="AF690">
        <v>-24.029027154887221</v>
      </c>
      <c r="AG690">
        <v>-19.286353109829371</v>
      </c>
      <c r="AH690">
        <v>-19.201277406873348</v>
      </c>
      <c r="AI690">
        <v>-54.077166637466313</v>
      </c>
      <c r="AJ690">
        <v>-21.890484258046921</v>
      </c>
      <c r="AK690">
        <v>-53.838622163072777</v>
      </c>
      <c r="AL690">
        <v>-21.793921246590291</v>
      </c>
      <c r="AM690">
        <v>5.406987959169923</v>
      </c>
      <c r="AN690">
        <v>5.383136726182455</v>
      </c>
    </row>
    <row r="691" spans="1:40" x14ac:dyDescent="0.25">
      <c r="A691" s="1" t="s">
        <v>828</v>
      </c>
      <c r="B691">
        <v>72629771130</v>
      </c>
      <c r="C691" t="s">
        <v>80</v>
      </c>
      <c r="D691" t="s">
        <v>127</v>
      </c>
      <c r="E691">
        <v>14842000000</v>
      </c>
      <c r="F691">
        <v>-3325000000</v>
      </c>
      <c r="G691">
        <v>-1484000000</v>
      </c>
      <c r="H691">
        <v>-3666000000</v>
      </c>
      <c r="I691">
        <v>-4161000000</v>
      </c>
      <c r="J691">
        <v>-2356000000</v>
      </c>
      <c r="K691">
        <v>6482000000</v>
      </c>
      <c r="L691">
        <v>0</v>
      </c>
      <c r="M691">
        <v>6482000000</v>
      </c>
      <c r="N691">
        <v>9684000000</v>
      </c>
      <c r="O691">
        <v>1455000000</v>
      </c>
      <c r="P691">
        <v>168000000</v>
      </c>
      <c r="Q691">
        <v>10767000000</v>
      </c>
      <c r="R691">
        <v>8126000000</v>
      </c>
      <c r="S691">
        <v>22599000000</v>
      </c>
      <c r="T691">
        <v>0</v>
      </c>
      <c r="U691">
        <v>354000000</v>
      </c>
      <c r="V691">
        <v>13931000000</v>
      </c>
      <c r="W691">
        <v>77082771130</v>
      </c>
      <c r="X691">
        <v>77436771130</v>
      </c>
      <c r="Y691">
        <v>4.8935299238647083</v>
      </c>
      <c r="Z691">
        <v>-21.843540189473689</v>
      </c>
      <c r="AA691">
        <v>-48.94189429245283</v>
      </c>
      <c r="AB691">
        <v>-19.811721530278231</v>
      </c>
      <c r="AC691">
        <v>-17.45488371304975</v>
      </c>
      <c r="AD691">
        <v>-30.8275768803056</v>
      </c>
      <c r="AE691">
        <v>-23.28925447518797</v>
      </c>
      <c r="AF691">
        <v>-23.182788309774441</v>
      </c>
      <c r="AG691">
        <v>-18.610134854602261</v>
      </c>
      <c r="AH691">
        <v>-18.525059151646239</v>
      </c>
      <c r="AI691">
        <v>-52.181112621293799</v>
      </c>
      <c r="AJ691">
        <v>-21.122959937261321</v>
      </c>
      <c r="AK691">
        <v>-51.942568146900271</v>
      </c>
      <c r="AL691">
        <v>-21.02639692580469</v>
      </c>
      <c r="AM691">
        <v>5.217408107397925</v>
      </c>
      <c r="AN691">
        <v>5.193556874410457</v>
      </c>
    </row>
    <row r="692" spans="1:40" x14ac:dyDescent="0.25">
      <c r="A692" s="1" t="s">
        <v>827</v>
      </c>
      <c r="B692">
        <v>67490780060</v>
      </c>
      <c r="C692" t="s">
        <v>80</v>
      </c>
      <c r="D692" t="s">
        <v>127</v>
      </c>
      <c r="E692">
        <v>14842000000</v>
      </c>
      <c r="F692">
        <v>-3325000000</v>
      </c>
      <c r="G692">
        <v>-1484000000</v>
      </c>
      <c r="H692">
        <v>-3666000000</v>
      </c>
      <c r="I692">
        <v>-4161000000</v>
      </c>
      <c r="J692">
        <v>-2356000000</v>
      </c>
      <c r="K692">
        <v>6482000000</v>
      </c>
      <c r="L692">
        <v>0</v>
      </c>
      <c r="M692">
        <v>6482000000</v>
      </c>
      <c r="N692">
        <v>9684000000</v>
      </c>
      <c r="O692">
        <v>1455000000</v>
      </c>
      <c r="P692">
        <v>168000000</v>
      </c>
      <c r="Q692">
        <v>10767000000</v>
      </c>
      <c r="R692">
        <v>8126000000</v>
      </c>
      <c r="S692">
        <v>22599000000</v>
      </c>
      <c r="T692">
        <v>0</v>
      </c>
      <c r="U692">
        <v>354000000</v>
      </c>
      <c r="V692">
        <v>13931000000</v>
      </c>
      <c r="W692">
        <v>71943780060</v>
      </c>
      <c r="X692">
        <v>72297780060</v>
      </c>
      <c r="Y692">
        <v>4.5472833890311266</v>
      </c>
      <c r="Z692">
        <v>-20.297978965413531</v>
      </c>
      <c r="AA692">
        <v>-45.478962304582211</v>
      </c>
      <c r="AB692">
        <v>-18.409923638843431</v>
      </c>
      <c r="AC692">
        <v>-16.219846205239129</v>
      </c>
      <c r="AD692">
        <v>-28.646341281833621</v>
      </c>
      <c r="AE692">
        <v>-21.743693251127819</v>
      </c>
      <c r="AF692">
        <v>-21.63722708571429</v>
      </c>
      <c r="AG692">
        <v>-17.375097346791641</v>
      </c>
      <c r="AH692">
        <v>-17.290021643835619</v>
      </c>
      <c r="AI692">
        <v>-48.718180633423181</v>
      </c>
      <c r="AJ692">
        <v>-19.72116204582651</v>
      </c>
      <c r="AK692">
        <v>-48.479636159029653</v>
      </c>
      <c r="AL692">
        <v>-19.62459903436989</v>
      </c>
      <c r="AM692">
        <v>4.8711615725643442</v>
      </c>
      <c r="AN692">
        <v>4.8473103395768762</v>
      </c>
    </row>
    <row r="693" spans="1:40" x14ac:dyDescent="0.25">
      <c r="A693" s="1" t="s">
        <v>826</v>
      </c>
      <c r="B693">
        <v>72395292450</v>
      </c>
      <c r="C693" t="s">
        <v>80</v>
      </c>
      <c r="D693" t="s">
        <v>127</v>
      </c>
      <c r="E693">
        <v>14842000000</v>
      </c>
      <c r="F693">
        <v>-3325000000</v>
      </c>
      <c r="G693">
        <v>-1484000000</v>
      </c>
      <c r="H693">
        <v>-3666000000</v>
      </c>
      <c r="I693">
        <v>-4161000000</v>
      </c>
      <c r="J693">
        <v>-2356000000</v>
      </c>
      <c r="K693">
        <v>6482000000</v>
      </c>
      <c r="L693">
        <v>0</v>
      </c>
      <c r="M693">
        <v>6482000000</v>
      </c>
      <c r="N693">
        <v>9684000000</v>
      </c>
      <c r="O693">
        <v>1455000000</v>
      </c>
      <c r="P693">
        <v>168000000</v>
      </c>
      <c r="Q693">
        <v>10767000000</v>
      </c>
      <c r="R693">
        <v>8126000000</v>
      </c>
      <c r="S693">
        <v>22599000000</v>
      </c>
      <c r="T693">
        <v>0</v>
      </c>
      <c r="U693">
        <v>354000000</v>
      </c>
      <c r="V693">
        <v>13931000000</v>
      </c>
      <c r="W693">
        <v>76848292450</v>
      </c>
      <c r="X693">
        <v>77202292450</v>
      </c>
      <c r="Y693">
        <v>4.8777316028837081</v>
      </c>
      <c r="Z693">
        <v>-21.773020285714281</v>
      </c>
      <c r="AA693">
        <v>-48.783889791105118</v>
      </c>
      <c r="AB693">
        <v>-19.747761170212769</v>
      </c>
      <c r="AC693">
        <v>-17.39853219178082</v>
      </c>
      <c r="AD693">
        <v>-30.72805282258064</v>
      </c>
      <c r="AE693">
        <v>-23.21873457142857</v>
      </c>
      <c r="AF693">
        <v>-23.112268406015041</v>
      </c>
      <c r="AG693">
        <v>-18.553783333333332</v>
      </c>
      <c r="AH693">
        <v>-18.46870763037731</v>
      </c>
      <c r="AI693">
        <v>-52.023108119946087</v>
      </c>
      <c r="AJ693">
        <v>-21.058999577195848</v>
      </c>
      <c r="AK693">
        <v>-51.784563645552559</v>
      </c>
      <c r="AL693">
        <v>-20.962436565739221</v>
      </c>
      <c r="AM693">
        <v>5.2016097864169248</v>
      </c>
      <c r="AN693">
        <v>5.1777585534294568</v>
      </c>
    </row>
    <row r="694" spans="1:40" x14ac:dyDescent="0.25">
      <c r="A694" s="1" t="s">
        <v>825</v>
      </c>
      <c r="B694">
        <v>73352747060</v>
      </c>
      <c r="C694" t="s">
        <v>80</v>
      </c>
      <c r="D694" t="s">
        <v>127</v>
      </c>
      <c r="E694">
        <v>14842000000</v>
      </c>
      <c r="F694">
        <v>-3325000000</v>
      </c>
      <c r="G694">
        <v>-1484000000</v>
      </c>
      <c r="H694">
        <v>-3666000000</v>
      </c>
      <c r="I694">
        <v>-4161000000</v>
      </c>
      <c r="J694">
        <v>-2356000000</v>
      </c>
      <c r="K694">
        <v>6482000000</v>
      </c>
      <c r="L694">
        <v>0</v>
      </c>
      <c r="M694">
        <v>6482000000</v>
      </c>
      <c r="N694">
        <v>9684000000</v>
      </c>
      <c r="O694">
        <v>1455000000</v>
      </c>
      <c r="P694">
        <v>168000000</v>
      </c>
      <c r="Q694">
        <v>10767000000</v>
      </c>
      <c r="R694">
        <v>8126000000</v>
      </c>
      <c r="S694">
        <v>22599000000</v>
      </c>
      <c r="T694">
        <v>0</v>
      </c>
      <c r="U694">
        <v>354000000</v>
      </c>
      <c r="V694">
        <v>13931000000</v>
      </c>
      <c r="W694">
        <v>77805747060</v>
      </c>
      <c r="X694">
        <v>78159747060</v>
      </c>
      <c r="Y694">
        <v>4.9422414135561246</v>
      </c>
      <c r="Z694">
        <v>-22.060976559398501</v>
      </c>
      <c r="AA694">
        <v>-49.429074838274943</v>
      </c>
      <c r="AB694">
        <v>-20.00893264048009</v>
      </c>
      <c r="AC694">
        <v>-17.62863423696227</v>
      </c>
      <c r="AD694">
        <v>-31.134442724957559</v>
      </c>
      <c r="AE694">
        <v>-23.506690845112779</v>
      </c>
      <c r="AF694">
        <v>-23.400224679699249</v>
      </c>
      <c r="AG694">
        <v>-18.783885378514778</v>
      </c>
      <c r="AH694">
        <v>-18.69880967555876</v>
      </c>
      <c r="AI694">
        <v>-52.668293167115912</v>
      </c>
      <c r="AJ694">
        <v>-21.32017104746318</v>
      </c>
      <c r="AK694">
        <v>-52.42974869272237</v>
      </c>
      <c r="AL694">
        <v>-21.223608036006549</v>
      </c>
      <c r="AM694">
        <v>5.2661195970893413</v>
      </c>
      <c r="AN694">
        <v>5.2422683641018732</v>
      </c>
    </row>
    <row r="695" spans="1:40" x14ac:dyDescent="0.25">
      <c r="A695" s="1" t="s">
        <v>824</v>
      </c>
      <c r="B695">
        <v>74915938260</v>
      </c>
      <c r="C695" t="s">
        <v>80</v>
      </c>
      <c r="D695" t="s">
        <v>127</v>
      </c>
      <c r="E695">
        <v>14842000000</v>
      </c>
      <c r="F695">
        <v>-3325000000</v>
      </c>
      <c r="G695">
        <v>-1484000000</v>
      </c>
      <c r="H695">
        <v>-3666000000</v>
      </c>
      <c r="I695">
        <v>-4161000000</v>
      </c>
      <c r="J695">
        <v>-2356000000</v>
      </c>
      <c r="K695">
        <v>6482000000</v>
      </c>
      <c r="L695">
        <v>0</v>
      </c>
      <c r="M695">
        <v>6482000000</v>
      </c>
      <c r="N695">
        <v>9684000000</v>
      </c>
      <c r="O695">
        <v>1455000000</v>
      </c>
      <c r="P695">
        <v>168000000</v>
      </c>
      <c r="Q695">
        <v>10767000000</v>
      </c>
      <c r="R695">
        <v>8126000000</v>
      </c>
      <c r="S695">
        <v>22599000000</v>
      </c>
      <c r="T695">
        <v>0</v>
      </c>
      <c r="U695">
        <v>354000000</v>
      </c>
      <c r="V695">
        <v>13931000000</v>
      </c>
      <c r="W695">
        <v>79368938260</v>
      </c>
      <c r="X695">
        <v>79722938260</v>
      </c>
      <c r="Y695">
        <v>5.0475635534294572</v>
      </c>
      <c r="Z695">
        <v>-22.53110925112782</v>
      </c>
      <c r="AA695">
        <v>-50.482438180592993</v>
      </c>
      <c r="AB695">
        <v>-20.435335040916531</v>
      </c>
      <c r="AC695">
        <v>-18.004311045421769</v>
      </c>
      <c r="AD695">
        <v>-31.797936443123941</v>
      </c>
      <c r="AE695">
        <v>-23.976823536842101</v>
      </c>
      <c r="AF695">
        <v>-23.870357371428572</v>
      </c>
      <c r="AG695">
        <v>-19.159562186974281</v>
      </c>
      <c r="AH695">
        <v>-19.074486484018269</v>
      </c>
      <c r="AI695">
        <v>-53.721656509433963</v>
      </c>
      <c r="AJ695">
        <v>-21.746573447899621</v>
      </c>
      <c r="AK695">
        <v>-53.483112035040428</v>
      </c>
      <c r="AL695">
        <v>-21.65001043644299</v>
      </c>
      <c r="AM695">
        <v>5.3714417369626739</v>
      </c>
      <c r="AN695">
        <v>5.3475905039752059</v>
      </c>
    </row>
    <row r="696" spans="1:40" x14ac:dyDescent="0.25">
      <c r="A696" s="1" t="s">
        <v>128</v>
      </c>
      <c r="B696">
        <v>78530817910</v>
      </c>
      <c r="C696" t="s">
        <v>80</v>
      </c>
      <c r="D696" t="s">
        <v>127</v>
      </c>
      <c r="E696">
        <v>14842000000</v>
      </c>
      <c r="F696">
        <v>-3325000000</v>
      </c>
      <c r="G696">
        <v>-1484000000</v>
      </c>
      <c r="H696">
        <v>-3666000000</v>
      </c>
      <c r="I696">
        <v>-4161000000</v>
      </c>
      <c r="J696">
        <v>-2356000000</v>
      </c>
      <c r="K696">
        <v>6482000000</v>
      </c>
      <c r="L696">
        <v>0</v>
      </c>
      <c r="M696">
        <v>6482000000</v>
      </c>
      <c r="N696">
        <v>9684000000</v>
      </c>
      <c r="O696">
        <v>1455000000</v>
      </c>
      <c r="P696">
        <v>168000000</v>
      </c>
      <c r="Q696">
        <v>10767000000</v>
      </c>
      <c r="R696">
        <v>8126000000</v>
      </c>
      <c r="S696">
        <v>22599000000</v>
      </c>
      <c r="T696">
        <v>0</v>
      </c>
      <c r="U696">
        <v>354000000</v>
      </c>
      <c r="V696">
        <v>13931000000</v>
      </c>
      <c r="W696">
        <v>82983817910</v>
      </c>
      <c r="X696">
        <v>83337817910</v>
      </c>
      <c r="Y696">
        <v>5.2911210018865376</v>
      </c>
      <c r="Z696">
        <v>-23.618291100751879</v>
      </c>
      <c r="AA696">
        <v>-52.918340909703502</v>
      </c>
      <c r="AB696">
        <v>-21.4213905919258</v>
      </c>
      <c r="AC696">
        <v>-18.873063664984379</v>
      </c>
      <c r="AD696">
        <v>-33.332265666383698</v>
      </c>
      <c r="AE696">
        <v>-25.06400538646616</v>
      </c>
      <c r="AF696">
        <v>-24.957539221052631</v>
      </c>
      <c r="AG696">
        <v>-20.028314806536891</v>
      </c>
      <c r="AH696">
        <v>-19.943239103580868</v>
      </c>
      <c r="AI696">
        <v>-56.157559238544472</v>
      </c>
      <c r="AJ696">
        <v>-22.73262899890889</v>
      </c>
      <c r="AK696">
        <v>-55.919014764150937</v>
      </c>
      <c r="AL696">
        <v>-22.636065987452259</v>
      </c>
      <c r="AM696">
        <v>5.6149991854197552</v>
      </c>
      <c r="AN696">
        <v>5.5911479524322871</v>
      </c>
    </row>
    <row r="697" spans="1:40" x14ac:dyDescent="0.25">
      <c r="A697" s="1" t="s">
        <v>823</v>
      </c>
      <c r="B697">
        <v>73763084750</v>
      </c>
      <c r="C697" t="s">
        <v>79</v>
      </c>
      <c r="D697" t="s">
        <v>127</v>
      </c>
      <c r="E697">
        <v>17455000000</v>
      </c>
      <c r="F697">
        <v>-2932000000</v>
      </c>
      <c r="G697">
        <v>-743000000</v>
      </c>
      <c r="H697">
        <v>-3230000000</v>
      </c>
      <c r="I697">
        <v>-3834000000</v>
      </c>
      <c r="J697">
        <v>-496000000</v>
      </c>
      <c r="K697">
        <v>4295000000</v>
      </c>
      <c r="L697">
        <v>-132000000</v>
      </c>
      <c r="M697">
        <v>4295000000</v>
      </c>
      <c r="N697">
        <v>8819000000</v>
      </c>
      <c r="O697">
        <v>1454000000</v>
      </c>
      <c r="P697">
        <v>185000000</v>
      </c>
      <c r="Q697">
        <v>10920000000</v>
      </c>
      <c r="R697">
        <v>9024000000</v>
      </c>
      <c r="S697">
        <v>23425000000</v>
      </c>
      <c r="T697">
        <v>0</v>
      </c>
      <c r="U697">
        <v>891000000</v>
      </c>
      <c r="V697">
        <v>14458000000</v>
      </c>
      <c r="W697">
        <v>80573084750</v>
      </c>
      <c r="X697">
        <v>81464084750</v>
      </c>
      <c r="Y697">
        <v>4.2259000143225434</v>
      </c>
      <c r="Z697">
        <v>-25.15794159276944</v>
      </c>
      <c r="AA697">
        <v>-99.277368438761783</v>
      </c>
      <c r="AB697">
        <v>-22.836868343653251</v>
      </c>
      <c r="AC697">
        <v>-19.239197900365159</v>
      </c>
      <c r="AD697">
        <v>-148.71589667338711</v>
      </c>
      <c r="AE697">
        <v>-27.784476381309691</v>
      </c>
      <c r="AF697">
        <v>-27.480588250341061</v>
      </c>
      <c r="AG697">
        <v>-21.247805099113201</v>
      </c>
      <c r="AH697">
        <v>-21.01541073291601</v>
      </c>
      <c r="AI697">
        <v>-109.6421059892328</v>
      </c>
      <c r="AJ697">
        <v>-25.221078869969041</v>
      </c>
      <c r="AK697">
        <v>-108.44291352624499</v>
      </c>
      <c r="AL697">
        <v>-24.94522747678019</v>
      </c>
      <c r="AM697">
        <v>4.6670916499570323</v>
      </c>
      <c r="AN697">
        <v>4.6160461042681176</v>
      </c>
    </row>
    <row r="698" spans="1:40" x14ac:dyDescent="0.25">
      <c r="A698" s="1" t="s">
        <v>822</v>
      </c>
      <c r="B698">
        <v>68956271810</v>
      </c>
      <c r="C698" t="s">
        <v>79</v>
      </c>
      <c r="D698" t="s">
        <v>127</v>
      </c>
      <c r="E698">
        <v>17455000000</v>
      </c>
      <c r="F698">
        <v>-2932000000</v>
      </c>
      <c r="G698">
        <v>-743000000</v>
      </c>
      <c r="H698">
        <v>-3230000000</v>
      </c>
      <c r="I698">
        <v>-3834000000</v>
      </c>
      <c r="J698">
        <v>-496000000</v>
      </c>
      <c r="K698">
        <v>4295000000</v>
      </c>
      <c r="L698">
        <v>-132000000</v>
      </c>
      <c r="M698">
        <v>4295000000</v>
      </c>
      <c r="N698">
        <v>8819000000</v>
      </c>
      <c r="O698">
        <v>1454000000</v>
      </c>
      <c r="P698">
        <v>185000000</v>
      </c>
      <c r="Q698">
        <v>10920000000</v>
      </c>
      <c r="R698">
        <v>9024000000</v>
      </c>
      <c r="S698">
        <v>23425000000</v>
      </c>
      <c r="T698">
        <v>0</v>
      </c>
      <c r="U698">
        <v>891000000</v>
      </c>
      <c r="V698">
        <v>14458000000</v>
      </c>
      <c r="W698">
        <v>75766271810</v>
      </c>
      <c r="X698">
        <v>76657271810</v>
      </c>
      <c r="Y698">
        <v>3.9505168610713262</v>
      </c>
      <c r="Z698">
        <v>-23.51851016712142</v>
      </c>
      <c r="AA698">
        <v>-92.807902839838491</v>
      </c>
      <c r="AB698">
        <v>-21.348690962848298</v>
      </c>
      <c r="AC698">
        <v>-17.9854647391758</v>
      </c>
      <c r="AD698">
        <v>-139.02474155241941</v>
      </c>
      <c r="AE698">
        <v>-26.14504495566166</v>
      </c>
      <c r="AF698">
        <v>-25.841156824693041</v>
      </c>
      <c r="AG698">
        <v>-19.994071937923842</v>
      </c>
      <c r="AH698">
        <v>-19.761677571726661</v>
      </c>
      <c r="AI698">
        <v>-103.1726403903096</v>
      </c>
      <c r="AJ698">
        <v>-23.732901489164089</v>
      </c>
      <c r="AK698">
        <v>-101.9734479273217</v>
      </c>
      <c r="AL698">
        <v>-23.45705009597523</v>
      </c>
      <c r="AM698">
        <v>4.3917084967058146</v>
      </c>
      <c r="AN698">
        <v>4.3406629510169008</v>
      </c>
    </row>
    <row r="699" spans="1:40" x14ac:dyDescent="0.25">
      <c r="A699" s="1" t="s">
        <v>821</v>
      </c>
      <c r="B699">
        <v>67588479510</v>
      </c>
      <c r="C699" t="s">
        <v>79</v>
      </c>
      <c r="D699" t="s">
        <v>127</v>
      </c>
      <c r="E699">
        <v>17455000000</v>
      </c>
      <c r="F699">
        <v>-2932000000</v>
      </c>
      <c r="G699">
        <v>-743000000</v>
      </c>
      <c r="H699">
        <v>-3230000000</v>
      </c>
      <c r="I699">
        <v>-3834000000</v>
      </c>
      <c r="J699">
        <v>-496000000</v>
      </c>
      <c r="K699">
        <v>4295000000</v>
      </c>
      <c r="L699">
        <v>-132000000</v>
      </c>
      <c r="M699">
        <v>4295000000</v>
      </c>
      <c r="N699">
        <v>8819000000</v>
      </c>
      <c r="O699">
        <v>1454000000</v>
      </c>
      <c r="P699">
        <v>185000000</v>
      </c>
      <c r="Q699">
        <v>10920000000</v>
      </c>
      <c r="R699">
        <v>9024000000</v>
      </c>
      <c r="S699">
        <v>23425000000</v>
      </c>
      <c r="T699">
        <v>0</v>
      </c>
      <c r="U699">
        <v>891000000</v>
      </c>
      <c r="V699">
        <v>14458000000</v>
      </c>
      <c r="W699">
        <v>74398479510</v>
      </c>
      <c r="X699">
        <v>75289479510</v>
      </c>
      <c r="Y699">
        <v>3.8721558012030939</v>
      </c>
      <c r="Z699">
        <v>-23.0520052899045</v>
      </c>
      <c r="AA699">
        <v>-90.96699799461642</v>
      </c>
      <c r="AB699">
        <v>-20.92522585448916</v>
      </c>
      <c r="AC699">
        <v>-17.628711400625981</v>
      </c>
      <c r="AD699">
        <v>-136.2670957862903</v>
      </c>
      <c r="AE699">
        <v>-25.678540078444751</v>
      </c>
      <c r="AF699">
        <v>-25.374651947476121</v>
      </c>
      <c r="AG699">
        <v>-19.637318599374019</v>
      </c>
      <c r="AH699">
        <v>-19.404924233176839</v>
      </c>
      <c r="AI699">
        <v>-101.3317355450875</v>
      </c>
      <c r="AJ699">
        <v>-23.30943638080495</v>
      </c>
      <c r="AK699">
        <v>-100.1325430820996</v>
      </c>
      <c r="AL699">
        <v>-23.033584987616099</v>
      </c>
      <c r="AM699">
        <v>4.3133474368375824</v>
      </c>
      <c r="AN699">
        <v>4.2623018911486676</v>
      </c>
    </row>
    <row r="700" spans="1:40" x14ac:dyDescent="0.25">
      <c r="A700" s="1" t="s">
        <v>820</v>
      </c>
      <c r="B700">
        <v>72473452010</v>
      </c>
      <c r="C700" t="s">
        <v>79</v>
      </c>
      <c r="D700" t="s">
        <v>127</v>
      </c>
      <c r="E700">
        <v>17455000000</v>
      </c>
      <c r="F700">
        <v>-2932000000</v>
      </c>
      <c r="G700">
        <v>-743000000</v>
      </c>
      <c r="H700">
        <v>-3230000000</v>
      </c>
      <c r="I700">
        <v>-3834000000</v>
      </c>
      <c r="J700">
        <v>-496000000</v>
      </c>
      <c r="K700">
        <v>4295000000</v>
      </c>
      <c r="L700">
        <v>-132000000</v>
      </c>
      <c r="M700">
        <v>4295000000</v>
      </c>
      <c r="N700">
        <v>8819000000</v>
      </c>
      <c r="O700">
        <v>1454000000</v>
      </c>
      <c r="P700">
        <v>185000000</v>
      </c>
      <c r="Q700">
        <v>10920000000</v>
      </c>
      <c r="R700">
        <v>9024000000</v>
      </c>
      <c r="S700">
        <v>23425000000</v>
      </c>
      <c r="T700">
        <v>0</v>
      </c>
      <c r="U700">
        <v>891000000</v>
      </c>
      <c r="V700">
        <v>14458000000</v>
      </c>
      <c r="W700">
        <v>79283452010</v>
      </c>
      <c r="X700">
        <v>80174452010</v>
      </c>
      <c r="Y700">
        <v>4.1520167293039254</v>
      </c>
      <c r="Z700">
        <v>-24.71809413710778</v>
      </c>
      <c r="AA700">
        <v>-97.541658156123816</v>
      </c>
      <c r="AB700">
        <v>-22.437601241486071</v>
      </c>
      <c r="AC700">
        <v>-18.902830466875329</v>
      </c>
      <c r="AD700">
        <v>-146.11583066532259</v>
      </c>
      <c r="AE700">
        <v>-27.344628925648021</v>
      </c>
      <c r="AF700">
        <v>-27.040740794679401</v>
      </c>
      <c r="AG700">
        <v>-20.911437665623371</v>
      </c>
      <c r="AH700">
        <v>-20.679043299426191</v>
      </c>
      <c r="AI700">
        <v>-107.90639570659491</v>
      </c>
      <c r="AJ700">
        <v>-24.821811767801861</v>
      </c>
      <c r="AK700">
        <v>-106.707203243607</v>
      </c>
      <c r="AL700">
        <v>-24.545960374612999</v>
      </c>
      <c r="AM700">
        <v>4.5932083649384126</v>
      </c>
      <c r="AN700">
        <v>4.5421628192494987</v>
      </c>
    </row>
    <row r="701" spans="1:40" x14ac:dyDescent="0.25">
      <c r="A701" s="1" t="s">
        <v>819</v>
      </c>
      <c r="B701">
        <v>71476917620</v>
      </c>
      <c r="C701" t="s">
        <v>79</v>
      </c>
      <c r="D701" t="s">
        <v>127</v>
      </c>
      <c r="E701">
        <v>17455000000</v>
      </c>
      <c r="F701">
        <v>-2932000000</v>
      </c>
      <c r="G701">
        <v>-743000000</v>
      </c>
      <c r="H701">
        <v>-3230000000</v>
      </c>
      <c r="I701">
        <v>-3834000000</v>
      </c>
      <c r="J701">
        <v>-496000000</v>
      </c>
      <c r="K701">
        <v>4295000000</v>
      </c>
      <c r="L701">
        <v>-132000000</v>
      </c>
      <c r="M701">
        <v>4295000000</v>
      </c>
      <c r="N701">
        <v>8819000000</v>
      </c>
      <c r="O701">
        <v>1454000000</v>
      </c>
      <c r="P701">
        <v>185000000</v>
      </c>
      <c r="Q701">
        <v>10920000000</v>
      </c>
      <c r="R701">
        <v>9024000000</v>
      </c>
      <c r="S701">
        <v>23425000000</v>
      </c>
      <c r="T701">
        <v>0</v>
      </c>
      <c r="U701">
        <v>891000000</v>
      </c>
      <c r="V701">
        <v>14458000000</v>
      </c>
      <c r="W701">
        <v>78286917620</v>
      </c>
      <c r="X701">
        <v>79177917620</v>
      </c>
      <c r="Y701">
        <v>4.0949250999713547</v>
      </c>
      <c r="Z701">
        <v>-24.378212012278311</v>
      </c>
      <c r="AA701">
        <v>-96.200427483176313</v>
      </c>
      <c r="AB701">
        <v>-22.129076662538701</v>
      </c>
      <c r="AC701">
        <v>-18.642910177360459</v>
      </c>
      <c r="AD701">
        <v>-144.10668874999999</v>
      </c>
      <c r="AE701">
        <v>-27.004746800818559</v>
      </c>
      <c r="AF701">
        <v>-26.700858669849929</v>
      </c>
      <c r="AG701">
        <v>-20.651517376108501</v>
      </c>
      <c r="AH701">
        <v>-20.419123009911321</v>
      </c>
      <c r="AI701">
        <v>-106.5651650336474</v>
      </c>
      <c r="AJ701">
        <v>-24.513287188854491</v>
      </c>
      <c r="AK701">
        <v>-105.36597257065949</v>
      </c>
      <c r="AL701">
        <v>-24.23743579566564</v>
      </c>
      <c r="AM701">
        <v>4.5361167356058436</v>
      </c>
      <c r="AN701">
        <v>4.4850711899169289</v>
      </c>
    </row>
    <row r="702" spans="1:40" x14ac:dyDescent="0.25">
      <c r="A702" s="1" t="s">
        <v>818</v>
      </c>
      <c r="B702">
        <v>69776947190</v>
      </c>
      <c r="C702" t="s">
        <v>79</v>
      </c>
      <c r="D702" t="s">
        <v>127</v>
      </c>
      <c r="E702">
        <v>17455000000</v>
      </c>
      <c r="F702">
        <v>-2932000000</v>
      </c>
      <c r="G702">
        <v>-743000000</v>
      </c>
      <c r="H702">
        <v>-3230000000</v>
      </c>
      <c r="I702">
        <v>-3834000000</v>
      </c>
      <c r="J702">
        <v>-496000000</v>
      </c>
      <c r="K702">
        <v>4295000000</v>
      </c>
      <c r="L702">
        <v>-132000000</v>
      </c>
      <c r="M702">
        <v>4295000000</v>
      </c>
      <c r="N702">
        <v>8819000000</v>
      </c>
      <c r="O702">
        <v>1454000000</v>
      </c>
      <c r="P702">
        <v>185000000</v>
      </c>
      <c r="Q702">
        <v>10920000000</v>
      </c>
      <c r="R702">
        <v>9024000000</v>
      </c>
      <c r="S702">
        <v>23425000000</v>
      </c>
      <c r="T702">
        <v>0</v>
      </c>
      <c r="U702">
        <v>891000000</v>
      </c>
      <c r="V702">
        <v>14458000000</v>
      </c>
      <c r="W702">
        <v>76586947190</v>
      </c>
      <c r="X702">
        <v>77477947190</v>
      </c>
      <c r="Y702">
        <v>3.9975334969922658</v>
      </c>
      <c r="Z702">
        <v>-23.798413093451568</v>
      </c>
      <c r="AA702">
        <v>-93.912445746971741</v>
      </c>
      <c r="AB702">
        <v>-21.60277002786378</v>
      </c>
      <c r="AC702">
        <v>-18.19951674230569</v>
      </c>
      <c r="AD702">
        <v>-140.67932901209679</v>
      </c>
      <c r="AE702">
        <v>-26.42494788199182</v>
      </c>
      <c r="AF702">
        <v>-26.121059751023189</v>
      </c>
      <c r="AG702">
        <v>-20.208123941053731</v>
      </c>
      <c r="AH702">
        <v>-19.975729574856551</v>
      </c>
      <c r="AI702">
        <v>-104.2771832974428</v>
      </c>
      <c r="AJ702">
        <v>-23.986980554179571</v>
      </c>
      <c r="AK702">
        <v>-103.07799083445489</v>
      </c>
      <c r="AL702">
        <v>-23.711129160990708</v>
      </c>
      <c r="AM702">
        <v>4.4387251326267547</v>
      </c>
      <c r="AN702">
        <v>4.38767958693784</v>
      </c>
    </row>
    <row r="703" spans="1:40" x14ac:dyDescent="0.25">
      <c r="A703" s="1" t="s">
        <v>817</v>
      </c>
      <c r="B703">
        <v>67764338520</v>
      </c>
      <c r="C703" t="s">
        <v>79</v>
      </c>
      <c r="D703" t="s">
        <v>127</v>
      </c>
      <c r="E703">
        <v>17455000000</v>
      </c>
      <c r="F703">
        <v>-2932000000</v>
      </c>
      <c r="G703">
        <v>-743000000</v>
      </c>
      <c r="H703">
        <v>-3230000000</v>
      </c>
      <c r="I703">
        <v>-3834000000</v>
      </c>
      <c r="J703">
        <v>-496000000</v>
      </c>
      <c r="K703">
        <v>4295000000</v>
      </c>
      <c r="L703">
        <v>-132000000</v>
      </c>
      <c r="M703">
        <v>4295000000</v>
      </c>
      <c r="N703">
        <v>8819000000</v>
      </c>
      <c r="O703">
        <v>1454000000</v>
      </c>
      <c r="P703">
        <v>185000000</v>
      </c>
      <c r="Q703">
        <v>10920000000</v>
      </c>
      <c r="R703">
        <v>9024000000</v>
      </c>
      <c r="S703">
        <v>23425000000</v>
      </c>
      <c r="T703">
        <v>0</v>
      </c>
      <c r="U703">
        <v>891000000</v>
      </c>
      <c r="V703">
        <v>14458000000</v>
      </c>
      <c r="W703">
        <v>74574338520</v>
      </c>
      <c r="X703">
        <v>75465338520</v>
      </c>
      <c r="Y703">
        <v>3.8822307946147241</v>
      </c>
      <c r="Z703">
        <v>-23.11198448840382</v>
      </c>
      <c r="AA703">
        <v>-91.203685760430687</v>
      </c>
      <c r="AB703">
        <v>-20.979671368421052</v>
      </c>
      <c r="AC703">
        <v>-17.674579687010951</v>
      </c>
      <c r="AD703">
        <v>-136.6216502419355</v>
      </c>
      <c r="AE703">
        <v>-25.738519276944061</v>
      </c>
      <c r="AF703">
        <v>-25.434631145975441</v>
      </c>
      <c r="AG703">
        <v>-19.683186885759</v>
      </c>
      <c r="AH703">
        <v>-19.450792519561819</v>
      </c>
      <c r="AI703">
        <v>-101.56842331090169</v>
      </c>
      <c r="AJ703">
        <v>-23.363881894736839</v>
      </c>
      <c r="AK703">
        <v>-100.3692308479139</v>
      </c>
      <c r="AL703">
        <v>-23.088030501547991</v>
      </c>
      <c r="AM703">
        <v>4.3234224302492121</v>
      </c>
      <c r="AN703">
        <v>4.2723768845602983</v>
      </c>
    </row>
    <row r="704" spans="1:40" x14ac:dyDescent="0.25">
      <c r="A704" s="1" t="s">
        <v>816</v>
      </c>
      <c r="B704">
        <v>65810349520</v>
      </c>
      <c r="C704" t="s">
        <v>79</v>
      </c>
      <c r="D704" t="s">
        <v>127</v>
      </c>
      <c r="E704">
        <v>17455000000</v>
      </c>
      <c r="F704">
        <v>-2932000000</v>
      </c>
      <c r="G704">
        <v>-743000000</v>
      </c>
      <c r="H704">
        <v>-3230000000</v>
      </c>
      <c r="I704">
        <v>-3834000000</v>
      </c>
      <c r="J704">
        <v>-496000000</v>
      </c>
      <c r="K704">
        <v>4295000000</v>
      </c>
      <c r="L704">
        <v>-132000000</v>
      </c>
      <c r="M704">
        <v>4295000000</v>
      </c>
      <c r="N704">
        <v>8819000000</v>
      </c>
      <c r="O704">
        <v>1454000000</v>
      </c>
      <c r="P704">
        <v>185000000</v>
      </c>
      <c r="Q704">
        <v>10920000000</v>
      </c>
      <c r="R704">
        <v>9024000000</v>
      </c>
      <c r="S704">
        <v>23425000000</v>
      </c>
      <c r="T704">
        <v>0</v>
      </c>
      <c r="U704">
        <v>891000000</v>
      </c>
      <c r="V704">
        <v>14458000000</v>
      </c>
      <c r="W704">
        <v>72620349520</v>
      </c>
      <c r="X704">
        <v>73511349520</v>
      </c>
      <c r="Y704">
        <v>3.7702864233743911</v>
      </c>
      <c r="Z704">
        <v>-22.445548949522511</v>
      </c>
      <c r="AA704">
        <v>-88.573821695827732</v>
      </c>
      <c r="AB704">
        <v>-20.374721213622291</v>
      </c>
      <c r="AC704">
        <v>-17.164932060511219</v>
      </c>
      <c r="AD704">
        <v>-132.68215629032261</v>
      </c>
      <c r="AE704">
        <v>-25.072083738062759</v>
      </c>
      <c r="AF704">
        <v>-24.768195607094139</v>
      </c>
      <c r="AG704">
        <v>-19.173539259259261</v>
      </c>
      <c r="AH704">
        <v>-18.941144893062081</v>
      </c>
      <c r="AI704">
        <v>-98.938559246298794</v>
      </c>
      <c r="AJ704">
        <v>-22.758931739938081</v>
      </c>
      <c r="AK704">
        <v>-97.739366783310899</v>
      </c>
      <c r="AL704">
        <v>-22.48308034674923</v>
      </c>
      <c r="AM704">
        <v>4.2114780590088801</v>
      </c>
      <c r="AN704">
        <v>4.1604325133199653</v>
      </c>
    </row>
    <row r="705" spans="1:40" x14ac:dyDescent="0.25">
      <c r="A705" s="1" t="s">
        <v>815</v>
      </c>
      <c r="B705">
        <v>63289703710</v>
      </c>
      <c r="C705" t="s">
        <v>79</v>
      </c>
      <c r="D705" t="s">
        <v>127</v>
      </c>
      <c r="E705">
        <v>17455000000</v>
      </c>
      <c r="F705">
        <v>-2932000000</v>
      </c>
      <c r="G705">
        <v>-743000000</v>
      </c>
      <c r="H705">
        <v>-3230000000</v>
      </c>
      <c r="I705">
        <v>-3834000000</v>
      </c>
      <c r="J705">
        <v>-496000000</v>
      </c>
      <c r="K705">
        <v>4295000000</v>
      </c>
      <c r="L705">
        <v>-132000000</v>
      </c>
      <c r="M705">
        <v>4295000000</v>
      </c>
      <c r="N705">
        <v>8819000000</v>
      </c>
      <c r="O705">
        <v>1454000000</v>
      </c>
      <c r="P705">
        <v>185000000</v>
      </c>
      <c r="Q705">
        <v>10920000000</v>
      </c>
      <c r="R705">
        <v>9024000000</v>
      </c>
      <c r="S705">
        <v>23425000000</v>
      </c>
      <c r="T705">
        <v>0</v>
      </c>
      <c r="U705">
        <v>891000000</v>
      </c>
      <c r="V705">
        <v>14458000000</v>
      </c>
      <c r="W705">
        <v>70099703710</v>
      </c>
      <c r="X705">
        <v>70990703710</v>
      </c>
      <c r="Y705">
        <v>3.6258781844743631</v>
      </c>
      <c r="Z705">
        <v>-21.585847104365619</v>
      </c>
      <c r="AA705">
        <v>-85.18129705248991</v>
      </c>
      <c r="AB705">
        <v>-19.594335513931892</v>
      </c>
      <c r="AC705">
        <v>-16.50748662232655</v>
      </c>
      <c r="AD705">
        <v>-127.60020909274191</v>
      </c>
      <c r="AE705">
        <v>-24.212381892905871</v>
      </c>
      <c r="AF705">
        <v>-23.90849376193724</v>
      </c>
      <c r="AG705">
        <v>-18.516093821074591</v>
      </c>
      <c r="AH705">
        <v>-18.283699454877411</v>
      </c>
      <c r="AI705">
        <v>-95.546034602960972</v>
      </c>
      <c r="AJ705">
        <v>-21.978546040247679</v>
      </c>
      <c r="AK705">
        <v>-94.346842139973077</v>
      </c>
      <c r="AL705">
        <v>-21.70269464705882</v>
      </c>
      <c r="AM705">
        <v>4.0670698201088511</v>
      </c>
      <c r="AN705">
        <v>4.0160242744199373</v>
      </c>
    </row>
    <row r="706" spans="1:40" x14ac:dyDescent="0.25">
      <c r="A706" s="1" t="s">
        <v>153</v>
      </c>
      <c r="B706">
        <v>68135596429</v>
      </c>
      <c r="C706" t="s">
        <v>79</v>
      </c>
      <c r="D706" t="s">
        <v>127</v>
      </c>
      <c r="E706">
        <v>17455000000</v>
      </c>
      <c r="F706">
        <v>-2932000000</v>
      </c>
      <c r="G706">
        <v>-743000000</v>
      </c>
      <c r="H706">
        <v>-3230000000</v>
      </c>
      <c r="I706">
        <v>-3834000000</v>
      </c>
      <c r="J706">
        <v>-496000000</v>
      </c>
      <c r="K706">
        <v>4295000000</v>
      </c>
      <c r="L706">
        <v>-132000000</v>
      </c>
      <c r="M706">
        <v>4295000000</v>
      </c>
      <c r="N706">
        <v>8819000000</v>
      </c>
      <c r="O706">
        <v>1454000000</v>
      </c>
      <c r="P706">
        <v>185000000</v>
      </c>
      <c r="Q706">
        <v>10920000000</v>
      </c>
      <c r="R706">
        <v>9024000000</v>
      </c>
      <c r="S706">
        <v>23425000000</v>
      </c>
      <c r="T706">
        <v>0</v>
      </c>
      <c r="U706">
        <v>891000000</v>
      </c>
      <c r="V706">
        <v>14458000000</v>
      </c>
      <c r="W706">
        <v>74945596429</v>
      </c>
      <c r="X706">
        <v>75836596429</v>
      </c>
      <c r="Y706">
        <v>3.9035002250930959</v>
      </c>
      <c r="Z706">
        <v>-23.2386072404502</v>
      </c>
      <c r="AA706">
        <v>-91.703359931359358</v>
      </c>
      <c r="AB706">
        <v>-21.094611897523219</v>
      </c>
      <c r="AC706">
        <v>-17.771412735785081</v>
      </c>
      <c r="AD706">
        <v>-137.3701540907258</v>
      </c>
      <c r="AE706">
        <v>-25.865142028990451</v>
      </c>
      <c r="AF706">
        <v>-25.561253898021828</v>
      </c>
      <c r="AG706">
        <v>-19.780019934533129</v>
      </c>
      <c r="AH706">
        <v>-19.547625568335938</v>
      </c>
      <c r="AI706">
        <v>-102.06809748183041</v>
      </c>
      <c r="AJ706">
        <v>-23.478822423839009</v>
      </c>
      <c r="AK706">
        <v>-100.8689050188425</v>
      </c>
      <c r="AL706">
        <v>-23.202971030650151</v>
      </c>
      <c r="AM706">
        <v>4.3446918607275853</v>
      </c>
      <c r="AN706">
        <v>4.2936463150386706</v>
      </c>
    </row>
    <row r="707" spans="1:40" x14ac:dyDescent="0.25">
      <c r="A707" s="1" t="s">
        <v>814</v>
      </c>
      <c r="B707">
        <v>68350535219</v>
      </c>
      <c r="C707" t="s">
        <v>79</v>
      </c>
      <c r="D707" t="s">
        <v>127</v>
      </c>
      <c r="E707">
        <v>17455000000</v>
      </c>
      <c r="F707">
        <v>-2932000000</v>
      </c>
      <c r="G707">
        <v>-743000000</v>
      </c>
      <c r="H707">
        <v>-3230000000</v>
      </c>
      <c r="I707">
        <v>-3834000000</v>
      </c>
      <c r="J707">
        <v>-496000000</v>
      </c>
      <c r="K707">
        <v>4295000000</v>
      </c>
      <c r="L707">
        <v>-132000000</v>
      </c>
      <c r="M707">
        <v>4295000000</v>
      </c>
      <c r="N707">
        <v>8819000000</v>
      </c>
      <c r="O707">
        <v>1454000000</v>
      </c>
      <c r="P707">
        <v>185000000</v>
      </c>
      <c r="Q707">
        <v>10920000000</v>
      </c>
      <c r="R707">
        <v>9024000000</v>
      </c>
      <c r="S707">
        <v>23425000000</v>
      </c>
      <c r="T707">
        <v>0</v>
      </c>
      <c r="U707">
        <v>891000000</v>
      </c>
      <c r="V707">
        <v>14458000000</v>
      </c>
      <c r="W707">
        <v>75160535219</v>
      </c>
      <c r="X707">
        <v>76051535219</v>
      </c>
      <c r="Y707">
        <v>3.9158141059295328</v>
      </c>
      <c r="Z707">
        <v>-23.311915149727149</v>
      </c>
      <c r="AA707">
        <v>-91.992644978465677</v>
      </c>
      <c r="AB707">
        <v>-21.16115641455108</v>
      </c>
      <c r="AC707">
        <v>-17.827473974700052</v>
      </c>
      <c r="AD707">
        <v>-137.80349842540321</v>
      </c>
      <c r="AE707">
        <v>-25.938449938267389</v>
      </c>
      <c r="AF707">
        <v>-25.63456180729877</v>
      </c>
      <c r="AG707">
        <v>-19.8360811734481</v>
      </c>
      <c r="AH707">
        <v>-19.603686807250909</v>
      </c>
      <c r="AI707">
        <v>-102.3573825289367</v>
      </c>
      <c r="AJ707">
        <v>-23.54536694086687</v>
      </c>
      <c r="AK707">
        <v>-101.1581900659489</v>
      </c>
      <c r="AL707">
        <v>-23.269515547678019</v>
      </c>
      <c r="AM707">
        <v>4.3570057415640218</v>
      </c>
      <c r="AN707">
        <v>4.305960195875107</v>
      </c>
    </row>
    <row r="708" spans="1:40" x14ac:dyDescent="0.25">
      <c r="A708" s="1" t="s">
        <v>813</v>
      </c>
      <c r="B708">
        <v>70402223670</v>
      </c>
      <c r="C708" t="s">
        <v>79</v>
      </c>
      <c r="D708" t="s">
        <v>127</v>
      </c>
      <c r="E708">
        <v>17455000000</v>
      </c>
      <c r="F708">
        <v>-2932000000</v>
      </c>
      <c r="G708">
        <v>-743000000</v>
      </c>
      <c r="H708">
        <v>-3230000000</v>
      </c>
      <c r="I708">
        <v>-3834000000</v>
      </c>
      <c r="J708">
        <v>-496000000</v>
      </c>
      <c r="K708">
        <v>4295000000</v>
      </c>
      <c r="L708">
        <v>-132000000</v>
      </c>
      <c r="M708">
        <v>4295000000</v>
      </c>
      <c r="N708">
        <v>8819000000</v>
      </c>
      <c r="O708">
        <v>1454000000</v>
      </c>
      <c r="P708">
        <v>185000000</v>
      </c>
      <c r="Q708">
        <v>10920000000</v>
      </c>
      <c r="R708">
        <v>9024000000</v>
      </c>
      <c r="S708">
        <v>23425000000</v>
      </c>
      <c r="T708">
        <v>0</v>
      </c>
      <c r="U708">
        <v>891000000</v>
      </c>
      <c r="V708">
        <v>14458000000</v>
      </c>
      <c r="W708">
        <v>77212223670</v>
      </c>
      <c r="X708">
        <v>78103223670</v>
      </c>
      <c r="Y708">
        <v>4.0333556957891723</v>
      </c>
      <c r="Z708">
        <v>-24.011672465893589</v>
      </c>
      <c r="AA708">
        <v>-94.754002247644678</v>
      </c>
      <c r="AB708">
        <v>-21.796354077399378</v>
      </c>
      <c r="AC708">
        <v>-18.3626039827856</v>
      </c>
      <c r="AD708">
        <v>-141.9399670766129</v>
      </c>
      <c r="AE708">
        <v>-26.63820725443383</v>
      </c>
      <c r="AF708">
        <v>-26.33431912346521</v>
      </c>
      <c r="AG708">
        <v>-20.371211181533649</v>
      </c>
      <c r="AH708">
        <v>-20.138816815336462</v>
      </c>
      <c r="AI708">
        <v>-105.1187397981157</v>
      </c>
      <c r="AJ708">
        <v>-24.180564603715169</v>
      </c>
      <c r="AK708">
        <v>-103.9195473351279</v>
      </c>
      <c r="AL708">
        <v>-23.904713210526321</v>
      </c>
      <c r="AM708">
        <v>4.4745473314236612</v>
      </c>
      <c r="AN708">
        <v>4.4235017857347474</v>
      </c>
    </row>
    <row r="709" spans="1:40" x14ac:dyDescent="0.25">
      <c r="A709" s="1" t="s">
        <v>812</v>
      </c>
      <c r="B709">
        <v>66220687210</v>
      </c>
      <c r="C709" t="s">
        <v>79</v>
      </c>
      <c r="D709" t="s">
        <v>127</v>
      </c>
      <c r="E709">
        <v>17455000000</v>
      </c>
      <c r="F709">
        <v>-2932000000</v>
      </c>
      <c r="G709">
        <v>-743000000</v>
      </c>
      <c r="H709">
        <v>-3230000000</v>
      </c>
      <c r="I709">
        <v>-3834000000</v>
      </c>
      <c r="J709">
        <v>-496000000</v>
      </c>
      <c r="K709">
        <v>4295000000</v>
      </c>
      <c r="L709">
        <v>-132000000</v>
      </c>
      <c r="M709">
        <v>4295000000</v>
      </c>
      <c r="N709">
        <v>8819000000</v>
      </c>
      <c r="O709">
        <v>1454000000</v>
      </c>
      <c r="P709">
        <v>185000000</v>
      </c>
      <c r="Q709">
        <v>10920000000</v>
      </c>
      <c r="R709">
        <v>9024000000</v>
      </c>
      <c r="S709">
        <v>23425000000</v>
      </c>
      <c r="T709">
        <v>0</v>
      </c>
      <c r="U709">
        <v>891000000</v>
      </c>
      <c r="V709">
        <v>14458000000</v>
      </c>
      <c r="W709">
        <v>73030687210</v>
      </c>
      <c r="X709">
        <v>73921687210</v>
      </c>
      <c r="Y709">
        <v>3.7937947413348612</v>
      </c>
      <c r="Z709">
        <v>-22.58550041268759</v>
      </c>
      <c r="AA709">
        <v>-89.12609314939435</v>
      </c>
      <c r="AB709">
        <v>-20.501760746130032</v>
      </c>
      <c r="AC709">
        <v>-17.271958062076159</v>
      </c>
      <c r="AD709">
        <v>-133.5094500201613</v>
      </c>
      <c r="AE709">
        <v>-25.212035201227831</v>
      </c>
      <c r="AF709">
        <v>-24.908147070259211</v>
      </c>
      <c r="AG709">
        <v>-19.280565260824201</v>
      </c>
      <c r="AH709">
        <v>-19.04817089462702</v>
      </c>
      <c r="AI709">
        <v>-99.490830699865413</v>
      </c>
      <c r="AJ709">
        <v>-22.885971272445818</v>
      </c>
      <c r="AK709">
        <v>-98.291638236877517</v>
      </c>
      <c r="AL709">
        <v>-22.61011987925697</v>
      </c>
      <c r="AM709">
        <v>4.2349863769693501</v>
      </c>
      <c r="AN709">
        <v>4.1839408312804354</v>
      </c>
    </row>
    <row r="710" spans="1:40" x14ac:dyDescent="0.25">
      <c r="A710" s="1" t="s">
        <v>811</v>
      </c>
      <c r="B710">
        <v>66513785560</v>
      </c>
      <c r="C710" t="s">
        <v>79</v>
      </c>
      <c r="D710" t="s">
        <v>127</v>
      </c>
      <c r="E710">
        <v>17455000000</v>
      </c>
      <c r="F710">
        <v>-2932000000</v>
      </c>
      <c r="G710">
        <v>-743000000</v>
      </c>
      <c r="H710">
        <v>-3230000000</v>
      </c>
      <c r="I710">
        <v>-3834000000</v>
      </c>
      <c r="J710">
        <v>-496000000</v>
      </c>
      <c r="K710">
        <v>4295000000</v>
      </c>
      <c r="L710">
        <v>-132000000</v>
      </c>
      <c r="M710">
        <v>4295000000</v>
      </c>
      <c r="N710">
        <v>8819000000</v>
      </c>
      <c r="O710">
        <v>1454000000</v>
      </c>
      <c r="P710">
        <v>185000000</v>
      </c>
      <c r="Q710">
        <v>10920000000</v>
      </c>
      <c r="R710">
        <v>9024000000</v>
      </c>
      <c r="S710">
        <v>23425000000</v>
      </c>
      <c r="T710">
        <v>0</v>
      </c>
      <c r="U710">
        <v>891000000</v>
      </c>
      <c r="V710">
        <v>14458000000</v>
      </c>
      <c r="W710">
        <v>73323785560</v>
      </c>
      <c r="X710">
        <v>74214785560</v>
      </c>
      <c r="Y710">
        <v>3.8105863970209111</v>
      </c>
      <c r="Z710">
        <v>-22.685465743519782</v>
      </c>
      <c r="AA710">
        <v>-89.520572759084786</v>
      </c>
      <c r="AB710">
        <v>-20.592503269349841</v>
      </c>
      <c r="AC710">
        <v>-17.348405206051119</v>
      </c>
      <c r="AD710">
        <v>-134.10037411290321</v>
      </c>
      <c r="AE710">
        <v>-25.312000532060029</v>
      </c>
      <c r="AF710">
        <v>-25.00811240109141</v>
      </c>
      <c r="AG710">
        <v>-19.357012404799161</v>
      </c>
      <c r="AH710">
        <v>-19.12461803860198</v>
      </c>
      <c r="AI710">
        <v>-99.885310309555848</v>
      </c>
      <c r="AJ710">
        <v>-22.976713795665631</v>
      </c>
      <c r="AK710">
        <v>-98.686117846567967</v>
      </c>
      <c r="AL710">
        <v>-22.70086240247678</v>
      </c>
      <c r="AM710">
        <v>4.2517780326554</v>
      </c>
      <c r="AN710">
        <v>4.2007324869664853</v>
      </c>
    </row>
    <row r="711" spans="1:40" x14ac:dyDescent="0.25">
      <c r="A711" s="1" t="s">
        <v>810</v>
      </c>
      <c r="B711">
        <v>61980531080</v>
      </c>
      <c r="C711" t="s">
        <v>79</v>
      </c>
      <c r="D711" t="s">
        <v>127</v>
      </c>
      <c r="E711">
        <v>17455000000</v>
      </c>
      <c r="F711">
        <v>-2932000000</v>
      </c>
      <c r="G711">
        <v>-743000000</v>
      </c>
      <c r="H711">
        <v>-3230000000</v>
      </c>
      <c r="I711">
        <v>-3834000000</v>
      </c>
      <c r="J711">
        <v>-496000000</v>
      </c>
      <c r="K711">
        <v>4295000000</v>
      </c>
      <c r="L711">
        <v>-132000000</v>
      </c>
      <c r="M711">
        <v>4295000000</v>
      </c>
      <c r="N711">
        <v>8819000000</v>
      </c>
      <c r="O711">
        <v>1454000000</v>
      </c>
      <c r="P711">
        <v>185000000</v>
      </c>
      <c r="Q711">
        <v>10920000000</v>
      </c>
      <c r="R711">
        <v>9024000000</v>
      </c>
      <c r="S711">
        <v>23425000000</v>
      </c>
      <c r="T711">
        <v>0</v>
      </c>
      <c r="U711">
        <v>891000000</v>
      </c>
      <c r="V711">
        <v>14458000000</v>
      </c>
      <c r="W711">
        <v>68790531080</v>
      </c>
      <c r="X711">
        <v>69681531080</v>
      </c>
      <c r="Y711">
        <v>3.55087545574334</v>
      </c>
      <c r="Z711">
        <v>-21.139335293315138</v>
      </c>
      <c r="AA711">
        <v>-83.419288129205924</v>
      </c>
      <c r="AB711">
        <v>-19.189018910216721</v>
      </c>
      <c r="AC711">
        <v>-16.166022712571731</v>
      </c>
      <c r="AD711">
        <v>-124.9607481451613</v>
      </c>
      <c r="AE711">
        <v>-23.76587008185539</v>
      </c>
      <c r="AF711">
        <v>-23.46198195088677</v>
      </c>
      <c r="AG711">
        <v>-18.174629911319769</v>
      </c>
      <c r="AH711">
        <v>-17.942235545122589</v>
      </c>
      <c r="AI711">
        <v>-93.784025679676986</v>
      </c>
      <c r="AJ711">
        <v>-21.573229436532511</v>
      </c>
      <c r="AK711">
        <v>-92.584833216689091</v>
      </c>
      <c r="AL711">
        <v>-21.297378043343649</v>
      </c>
      <c r="AM711">
        <v>3.9920670913778289</v>
      </c>
      <c r="AN711">
        <v>3.9410215456889142</v>
      </c>
    </row>
    <row r="712" spans="1:40" x14ac:dyDescent="0.25">
      <c r="A712" s="1" t="s">
        <v>809</v>
      </c>
      <c r="B712">
        <v>58287491870</v>
      </c>
      <c r="C712" t="s">
        <v>79</v>
      </c>
      <c r="D712" t="s">
        <v>127</v>
      </c>
      <c r="E712">
        <v>17455000000</v>
      </c>
      <c r="F712">
        <v>-2932000000</v>
      </c>
      <c r="G712">
        <v>-743000000</v>
      </c>
      <c r="H712">
        <v>-3230000000</v>
      </c>
      <c r="I712">
        <v>-3834000000</v>
      </c>
      <c r="J712">
        <v>-496000000</v>
      </c>
      <c r="K712">
        <v>4295000000</v>
      </c>
      <c r="L712">
        <v>-132000000</v>
      </c>
      <c r="M712">
        <v>4295000000</v>
      </c>
      <c r="N712">
        <v>8819000000</v>
      </c>
      <c r="O712">
        <v>1454000000</v>
      </c>
      <c r="P712">
        <v>185000000</v>
      </c>
      <c r="Q712">
        <v>10920000000</v>
      </c>
      <c r="R712">
        <v>9024000000</v>
      </c>
      <c r="S712">
        <v>23425000000</v>
      </c>
      <c r="T712">
        <v>0</v>
      </c>
      <c r="U712">
        <v>891000000</v>
      </c>
      <c r="V712">
        <v>14458000000</v>
      </c>
      <c r="W712">
        <v>65097491870</v>
      </c>
      <c r="X712">
        <v>65988491870</v>
      </c>
      <c r="Y712">
        <v>3.3393005940991118</v>
      </c>
      <c r="Z712">
        <v>-19.879772124829469</v>
      </c>
      <c r="AA712">
        <v>-78.448845047106332</v>
      </c>
      <c r="AB712">
        <v>-18.045663117647059</v>
      </c>
      <c r="AC712">
        <v>-15.20278869848722</v>
      </c>
      <c r="AD712">
        <v>-117.5151045766129</v>
      </c>
      <c r="AE712">
        <v>-22.506306913369709</v>
      </c>
      <c r="AF712">
        <v>-22.202418782401089</v>
      </c>
      <c r="AG712">
        <v>-17.21139589723526</v>
      </c>
      <c r="AH712">
        <v>-16.97900153103808</v>
      </c>
      <c r="AI712">
        <v>-88.813582597577394</v>
      </c>
      <c r="AJ712">
        <v>-20.42987364396285</v>
      </c>
      <c r="AK712">
        <v>-87.614390134589499</v>
      </c>
      <c r="AL712">
        <v>-20.154022250773991</v>
      </c>
      <c r="AM712">
        <v>3.7804922297336012</v>
      </c>
      <c r="AN712">
        <v>3.729446684044686</v>
      </c>
    </row>
    <row r="713" spans="1:40" x14ac:dyDescent="0.25">
      <c r="A713" s="1" t="s">
        <v>808</v>
      </c>
      <c r="B713">
        <v>55825465730</v>
      </c>
      <c r="C713" t="s">
        <v>79</v>
      </c>
      <c r="D713" t="s">
        <v>127</v>
      </c>
      <c r="E713">
        <v>17455000000</v>
      </c>
      <c r="F713">
        <v>-2932000000</v>
      </c>
      <c r="G713">
        <v>-743000000</v>
      </c>
      <c r="H713">
        <v>-3230000000</v>
      </c>
      <c r="I713">
        <v>-3834000000</v>
      </c>
      <c r="J713">
        <v>-496000000</v>
      </c>
      <c r="K713">
        <v>4295000000</v>
      </c>
      <c r="L713">
        <v>-132000000</v>
      </c>
      <c r="M713">
        <v>4295000000</v>
      </c>
      <c r="N713">
        <v>8819000000</v>
      </c>
      <c r="O713">
        <v>1454000000</v>
      </c>
      <c r="P713">
        <v>185000000</v>
      </c>
      <c r="Q713">
        <v>10920000000</v>
      </c>
      <c r="R713">
        <v>9024000000</v>
      </c>
      <c r="S713">
        <v>23425000000</v>
      </c>
      <c r="T713">
        <v>0</v>
      </c>
      <c r="U713">
        <v>891000000</v>
      </c>
      <c r="V713">
        <v>14458000000</v>
      </c>
      <c r="W713">
        <v>62635465730</v>
      </c>
      <c r="X713">
        <v>63526465730</v>
      </c>
      <c r="Y713">
        <v>3.1982506863362929</v>
      </c>
      <c r="Z713">
        <v>-19.04006334583902</v>
      </c>
      <c r="AA713">
        <v>-75.135216325706594</v>
      </c>
      <c r="AB713">
        <v>-17.283425922600621</v>
      </c>
      <c r="AC713">
        <v>-14.560632689097551</v>
      </c>
      <c r="AD713">
        <v>-112.5513421975806</v>
      </c>
      <c r="AE713">
        <v>-21.66659813437926</v>
      </c>
      <c r="AF713">
        <v>-21.362710003410641</v>
      </c>
      <c r="AG713">
        <v>-16.56923988784559</v>
      </c>
      <c r="AH713">
        <v>-16.33684552164841</v>
      </c>
      <c r="AI713">
        <v>-85.499953876177656</v>
      </c>
      <c r="AJ713">
        <v>-19.667636448916411</v>
      </c>
      <c r="AK713">
        <v>-84.300761413189775</v>
      </c>
      <c r="AL713">
        <v>-19.391785055727549</v>
      </c>
      <c r="AM713">
        <v>3.6394423219707819</v>
      </c>
      <c r="AN713">
        <v>3.588396776281868</v>
      </c>
    </row>
    <row r="714" spans="1:40" x14ac:dyDescent="0.25">
      <c r="A714" s="1" t="s">
        <v>807</v>
      </c>
      <c r="B714">
        <v>60065621860</v>
      </c>
      <c r="C714" t="s">
        <v>79</v>
      </c>
      <c r="D714" t="s">
        <v>127</v>
      </c>
      <c r="E714">
        <v>17455000000</v>
      </c>
      <c r="F714">
        <v>-2932000000</v>
      </c>
      <c r="G714">
        <v>-743000000</v>
      </c>
      <c r="H714">
        <v>-3230000000</v>
      </c>
      <c r="I714">
        <v>-3834000000</v>
      </c>
      <c r="J714">
        <v>-496000000</v>
      </c>
      <c r="K714">
        <v>4295000000</v>
      </c>
      <c r="L714">
        <v>-132000000</v>
      </c>
      <c r="M714">
        <v>4295000000</v>
      </c>
      <c r="N714">
        <v>8819000000</v>
      </c>
      <c r="O714">
        <v>1454000000</v>
      </c>
      <c r="P714">
        <v>185000000</v>
      </c>
      <c r="Q714">
        <v>10920000000</v>
      </c>
      <c r="R714">
        <v>9024000000</v>
      </c>
      <c r="S714">
        <v>23425000000</v>
      </c>
      <c r="T714">
        <v>0</v>
      </c>
      <c r="U714">
        <v>891000000</v>
      </c>
      <c r="V714">
        <v>14458000000</v>
      </c>
      <c r="W714">
        <v>66875621860</v>
      </c>
      <c r="X714">
        <v>67766621860</v>
      </c>
      <c r="Y714">
        <v>3.441169971927815</v>
      </c>
      <c r="Z714">
        <v>-20.486228465211461</v>
      </c>
      <c r="AA714">
        <v>-80.84202134589502</v>
      </c>
      <c r="AB714">
        <v>-18.596167758513928</v>
      </c>
      <c r="AC714">
        <v>-15.66656803860198</v>
      </c>
      <c r="AD714">
        <v>-121.1000440725806</v>
      </c>
      <c r="AE714">
        <v>-23.112763253751709</v>
      </c>
      <c r="AF714">
        <v>-22.808875122783078</v>
      </c>
      <c r="AG714">
        <v>-17.675175237350029</v>
      </c>
      <c r="AH714">
        <v>-17.442780871152841</v>
      </c>
      <c r="AI714">
        <v>-91.206758896366082</v>
      </c>
      <c r="AJ714">
        <v>-20.980378284829719</v>
      </c>
      <c r="AK714">
        <v>-90.007566433378202</v>
      </c>
      <c r="AL714">
        <v>-20.704526891640871</v>
      </c>
      <c r="AM714">
        <v>3.8823616075623031</v>
      </c>
      <c r="AN714">
        <v>3.8313160618733888</v>
      </c>
    </row>
    <row r="715" spans="1:40" x14ac:dyDescent="0.25">
      <c r="A715" s="1" t="s">
        <v>806</v>
      </c>
      <c r="B715">
        <v>61550653500</v>
      </c>
      <c r="C715" t="s">
        <v>79</v>
      </c>
      <c r="D715" t="s">
        <v>127</v>
      </c>
      <c r="E715">
        <v>17455000000</v>
      </c>
      <c r="F715">
        <v>-2932000000</v>
      </c>
      <c r="G715">
        <v>-743000000</v>
      </c>
      <c r="H715">
        <v>-3230000000</v>
      </c>
      <c r="I715">
        <v>-3834000000</v>
      </c>
      <c r="J715">
        <v>-496000000</v>
      </c>
      <c r="K715">
        <v>4295000000</v>
      </c>
      <c r="L715">
        <v>-132000000</v>
      </c>
      <c r="M715">
        <v>4295000000</v>
      </c>
      <c r="N715">
        <v>8819000000</v>
      </c>
      <c r="O715">
        <v>1454000000</v>
      </c>
      <c r="P715">
        <v>185000000</v>
      </c>
      <c r="Q715">
        <v>10920000000</v>
      </c>
      <c r="R715">
        <v>9024000000</v>
      </c>
      <c r="S715">
        <v>23425000000</v>
      </c>
      <c r="T715">
        <v>0</v>
      </c>
      <c r="U715">
        <v>891000000</v>
      </c>
      <c r="V715">
        <v>14458000000</v>
      </c>
      <c r="W715">
        <v>68360653500</v>
      </c>
      <c r="X715">
        <v>69251653500</v>
      </c>
      <c r="Y715">
        <v>3.526247694070467</v>
      </c>
      <c r="Z715">
        <v>-20.992719474761259</v>
      </c>
      <c r="AA715">
        <v>-82.840718034993273</v>
      </c>
      <c r="AB715">
        <v>-19.055929876160992</v>
      </c>
      <c r="AC715">
        <v>-16.053900234741789</v>
      </c>
      <c r="AD715">
        <v>-124.0940594758064</v>
      </c>
      <c r="AE715">
        <v>-23.619254263301499</v>
      </c>
      <c r="AF715">
        <v>-23.31536613233288</v>
      </c>
      <c r="AG715">
        <v>-18.062507433489831</v>
      </c>
      <c r="AH715">
        <v>-17.83011306729264</v>
      </c>
      <c r="AI715">
        <v>-93.205455585464335</v>
      </c>
      <c r="AJ715">
        <v>-21.440140402476779</v>
      </c>
      <c r="AK715">
        <v>-92.00626312247644</v>
      </c>
      <c r="AL715">
        <v>-21.164289009287931</v>
      </c>
      <c r="AM715">
        <v>3.9674393297049551</v>
      </c>
      <c r="AN715">
        <v>3.9163937840160412</v>
      </c>
    </row>
    <row r="716" spans="1:40" x14ac:dyDescent="0.25">
      <c r="A716" s="1" t="s">
        <v>805</v>
      </c>
      <c r="B716">
        <v>59420805490</v>
      </c>
      <c r="C716" t="s">
        <v>79</v>
      </c>
      <c r="D716" t="s">
        <v>127</v>
      </c>
      <c r="E716">
        <v>17455000000</v>
      </c>
      <c r="F716">
        <v>-2932000000</v>
      </c>
      <c r="G716">
        <v>-743000000</v>
      </c>
      <c r="H716">
        <v>-3230000000</v>
      </c>
      <c r="I716">
        <v>-3834000000</v>
      </c>
      <c r="J716">
        <v>-496000000</v>
      </c>
      <c r="K716">
        <v>4295000000</v>
      </c>
      <c r="L716">
        <v>-132000000</v>
      </c>
      <c r="M716">
        <v>4295000000</v>
      </c>
      <c r="N716">
        <v>8819000000</v>
      </c>
      <c r="O716">
        <v>1454000000</v>
      </c>
      <c r="P716">
        <v>185000000</v>
      </c>
      <c r="Q716">
        <v>10920000000</v>
      </c>
      <c r="R716">
        <v>9024000000</v>
      </c>
      <c r="S716">
        <v>23425000000</v>
      </c>
      <c r="T716">
        <v>0</v>
      </c>
      <c r="U716">
        <v>891000000</v>
      </c>
      <c r="V716">
        <v>14458000000</v>
      </c>
      <c r="W716">
        <v>66230805490</v>
      </c>
      <c r="X716">
        <v>67121805490</v>
      </c>
      <c r="Y716">
        <v>3.4042283294185052</v>
      </c>
      <c r="Z716">
        <v>-20.266304737380629</v>
      </c>
      <c r="AA716">
        <v>-79.974166204576036</v>
      </c>
      <c r="AB716">
        <v>-18.396534207430339</v>
      </c>
      <c r="AC716">
        <v>-15.49838432185707</v>
      </c>
      <c r="AD716">
        <v>-119.8000110685484</v>
      </c>
      <c r="AE716">
        <v>-22.89283952592087</v>
      </c>
      <c r="AF716">
        <v>-22.58895139495225</v>
      </c>
      <c r="AG716">
        <v>-17.506991520605109</v>
      </c>
      <c r="AH716">
        <v>-17.274597154407932</v>
      </c>
      <c r="AI716">
        <v>-90.338903755047113</v>
      </c>
      <c r="AJ716">
        <v>-20.780744733746129</v>
      </c>
      <c r="AK716">
        <v>-89.139711292059218</v>
      </c>
      <c r="AL716">
        <v>-20.50489334055727</v>
      </c>
      <c r="AM716">
        <v>3.8454199650529932</v>
      </c>
      <c r="AN716">
        <v>3.7943744193640789</v>
      </c>
    </row>
    <row r="717" spans="1:40" x14ac:dyDescent="0.25">
      <c r="A717" s="1" t="s">
        <v>804</v>
      </c>
      <c r="B717">
        <v>60104701640</v>
      </c>
      <c r="C717" t="s">
        <v>79</v>
      </c>
      <c r="D717" t="s">
        <v>127</v>
      </c>
      <c r="E717">
        <v>17455000000</v>
      </c>
      <c r="F717">
        <v>-2932000000</v>
      </c>
      <c r="G717">
        <v>-743000000</v>
      </c>
      <c r="H717">
        <v>-3230000000</v>
      </c>
      <c r="I717">
        <v>-3834000000</v>
      </c>
      <c r="J717">
        <v>-496000000</v>
      </c>
      <c r="K717">
        <v>4295000000</v>
      </c>
      <c r="L717">
        <v>-132000000</v>
      </c>
      <c r="M717">
        <v>4295000000</v>
      </c>
      <c r="N717">
        <v>8819000000</v>
      </c>
      <c r="O717">
        <v>1454000000</v>
      </c>
      <c r="P717">
        <v>185000000</v>
      </c>
      <c r="Q717">
        <v>10920000000</v>
      </c>
      <c r="R717">
        <v>9024000000</v>
      </c>
      <c r="S717">
        <v>23425000000</v>
      </c>
      <c r="T717">
        <v>0</v>
      </c>
      <c r="U717">
        <v>891000000</v>
      </c>
      <c r="V717">
        <v>14458000000</v>
      </c>
      <c r="W717">
        <v>66914701640</v>
      </c>
      <c r="X717">
        <v>67805701640</v>
      </c>
      <c r="Y717">
        <v>3.4434088593526209</v>
      </c>
      <c r="Z717">
        <v>-20.499557175989089</v>
      </c>
      <c r="AA717">
        <v>-80.894618627187086</v>
      </c>
      <c r="AB717">
        <v>-18.608266761609912</v>
      </c>
      <c r="AC717">
        <v>-15.67676099113198</v>
      </c>
      <c r="AD717">
        <v>-121.1788339516129</v>
      </c>
      <c r="AE717">
        <v>-23.12609196452933</v>
      </c>
      <c r="AF717">
        <v>-22.82220383356071</v>
      </c>
      <c r="AG717">
        <v>-17.68536818988002</v>
      </c>
      <c r="AH717">
        <v>-17.452973823682839</v>
      </c>
      <c r="AI717">
        <v>-91.259356177658148</v>
      </c>
      <c r="AJ717">
        <v>-20.992477287925691</v>
      </c>
      <c r="AK717">
        <v>-90.060163714670253</v>
      </c>
      <c r="AL717">
        <v>-20.71662589473684</v>
      </c>
      <c r="AM717">
        <v>3.8846004949871098</v>
      </c>
      <c r="AN717">
        <v>3.833554949298196</v>
      </c>
    </row>
    <row r="718" spans="1:40" x14ac:dyDescent="0.25">
      <c r="A718" s="1" t="s">
        <v>803</v>
      </c>
      <c r="B718">
        <v>57193258030</v>
      </c>
      <c r="C718" t="s">
        <v>79</v>
      </c>
      <c r="D718" t="s">
        <v>127</v>
      </c>
      <c r="E718">
        <v>17455000000</v>
      </c>
      <c r="F718">
        <v>-2932000000</v>
      </c>
      <c r="G718">
        <v>-743000000</v>
      </c>
      <c r="H718">
        <v>-3230000000</v>
      </c>
      <c r="I718">
        <v>-3834000000</v>
      </c>
      <c r="J718">
        <v>-496000000</v>
      </c>
      <c r="K718">
        <v>4295000000</v>
      </c>
      <c r="L718">
        <v>-132000000</v>
      </c>
      <c r="M718">
        <v>4295000000</v>
      </c>
      <c r="N718">
        <v>8819000000</v>
      </c>
      <c r="O718">
        <v>1454000000</v>
      </c>
      <c r="P718">
        <v>185000000</v>
      </c>
      <c r="Q718">
        <v>10920000000</v>
      </c>
      <c r="R718">
        <v>9024000000</v>
      </c>
      <c r="S718">
        <v>23425000000</v>
      </c>
      <c r="T718">
        <v>0</v>
      </c>
      <c r="U718">
        <v>891000000</v>
      </c>
      <c r="V718">
        <v>14458000000</v>
      </c>
      <c r="W718">
        <v>64003258030</v>
      </c>
      <c r="X718">
        <v>64894258030</v>
      </c>
      <c r="Y718">
        <v>3.2766117462045261</v>
      </c>
      <c r="Z718">
        <v>-19.50656822305594</v>
      </c>
      <c r="AA718">
        <v>-76.976121170928664</v>
      </c>
      <c r="AB718">
        <v>-17.706891030959749</v>
      </c>
      <c r="AC718">
        <v>-14.917386027647369</v>
      </c>
      <c r="AD718">
        <v>-115.3089879637097</v>
      </c>
      <c r="AE718">
        <v>-22.13310301159618</v>
      </c>
      <c r="AF718">
        <v>-21.829214880627561</v>
      </c>
      <c r="AG718">
        <v>-16.925993226395409</v>
      </c>
      <c r="AH718">
        <v>-16.693598860198229</v>
      </c>
      <c r="AI718">
        <v>-87.340858721399727</v>
      </c>
      <c r="AJ718">
        <v>-20.09110155727554</v>
      </c>
      <c r="AK718">
        <v>-86.141666258411846</v>
      </c>
      <c r="AL718">
        <v>-19.815250164086692</v>
      </c>
      <c r="AM718">
        <v>3.717803381839015</v>
      </c>
      <c r="AN718">
        <v>3.6667578361500999</v>
      </c>
    </row>
    <row r="719" spans="1:40" x14ac:dyDescent="0.25">
      <c r="A719" s="1" t="s">
        <v>802</v>
      </c>
      <c r="B719">
        <v>58228872200</v>
      </c>
      <c r="C719" t="s">
        <v>79</v>
      </c>
      <c r="D719" t="s">
        <v>127</v>
      </c>
      <c r="E719">
        <v>17455000000</v>
      </c>
      <c r="F719">
        <v>-2932000000</v>
      </c>
      <c r="G719">
        <v>-743000000</v>
      </c>
      <c r="H719">
        <v>-3230000000</v>
      </c>
      <c r="I719">
        <v>-3834000000</v>
      </c>
      <c r="J719">
        <v>-496000000</v>
      </c>
      <c r="K719">
        <v>4295000000</v>
      </c>
      <c r="L719">
        <v>-132000000</v>
      </c>
      <c r="M719">
        <v>4295000000</v>
      </c>
      <c r="N719">
        <v>8819000000</v>
      </c>
      <c r="O719">
        <v>1454000000</v>
      </c>
      <c r="P719">
        <v>185000000</v>
      </c>
      <c r="Q719">
        <v>10920000000</v>
      </c>
      <c r="R719">
        <v>9024000000</v>
      </c>
      <c r="S719">
        <v>23425000000</v>
      </c>
      <c r="T719">
        <v>0</v>
      </c>
      <c r="U719">
        <v>891000000</v>
      </c>
      <c r="V719">
        <v>14458000000</v>
      </c>
      <c r="W719">
        <v>65038872200</v>
      </c>
      <c r="X719">
        <v>65929872200</v>
      </c>
      <c r="Y719">
        <v>3.3359422629619022</v>
      </c>
      <c r="Z719">
        <v>-19.85977905866303</v>
      </c>
      <c r="AA719">
        <v>-78.369949125168233</v>
      </c>
      <c r="AB719">
        <v>-18.027514613003099</v>
      </c>
      <c r="AC719">
        <v>-15.18749926969223</v>
      </c>
      <c r="AD719">
        <v>-117.3969197580645</v>
      </c>
      <c r="AE719">
        <v>-22.48631384720327</v>
      </c>
      <c r="AF719">
        <v>-22.182425716234651</v>
      </c>
      <c r="AG719">
        <v>-17.19610646844027</v>
      </c>
      <c r="AH719">
        <v>-16.96371210224309</v>
      </c>
      <c r="AI719">
        <v>-88.734686675639296</v>
      </c>
      <c r="AJ719">
        <v>-20.411725139318889</v>
      </c>
      <c r="AK719">
        <v>-87.535494212651415</v>
      </c>
      <c r="AL719">
        <v>-20.135873746130031</v>
      </c>
      <c r="AM719">
        <v>3.7771338985963911</v>
      </c>
      <c r="AN719">
        <v>3.726088352907476</v>
      </c>
    </row>
    <row r="720" spans="1:40" x14ac:dyDescent="0.25">
      <c r="A720" s="1" t="s">
        <v>801</v>
      </c>
      <c r="B720">
        <v>63719581290</v>
      </c>
      <c r="C720" t="s">
        <v>79</v>
      </c>
      <c r="D720" t="s">
        <v>127</v>
      </c>
      <c r="E720">
        <v>17455000000</v>
      </c>
      <c r="F720">
        <v>-2932000000</v>
      </c>
      <c r="G720">
        <v>-743000000</v>
      </c>
      <c r="H720">
        <v>-3230000000</v>
      </c>
      <c r="I720">
        <v>-3834000000</v>
      </c>
      <c r="J720">
        <v>-496000000</v>
      </c>
      <c r="K720">
        <v>4295000000</v>
      </c>
      <c r="L720">
        <v>-132000000</v>
      </c>
      <c r="M720">
        <v>4295000000</v>
      </c>
      <c r="N720">
        <v>8819000000</v>
      </c>
      <c r="O720">
        <v>1454000000</v>
      </c>
      <c r="P720">
        <v>185000000</v>
      </c>
      <c r="Q720">
        <v>10920000000</v>
      </c>
      <c r="R720">
        <v>9024000000</v>
      </c>
      <c r="S720">
        <v>23425000000</v>
      </c>
      <c r="T720">
        <v>0</v>
      </c>
      <c r="U720">
        <v>891000000</v>
      </c>
      <c r="V720">
        <v>14458000000</v>
      </c>
      <c r="W720">
        <v>70529581290</v>
      </c>
      <c r="X720">
        <v>71420581290</v>
      </c>
      <c r="Y720">
        <v>3.650505946147236</v>
      </c>
      <c r="Z720">
        <v>-21.73246292291951</v>
      </c>
      <c r="AA720">
        <v>-85.759867146702561</v>
      </c>
      <c r="AB720">
        <v>-19.727424547987621</v>
      </c>
      <c r="AC720">
        <v>-16.619609100156499</v>
      </c>
      <c r="AD720">
        <v>-128.46689776209681</v>
      </c>
      <c r="AE720">
        <v>-24.35899771145975</v>
      </c>
      <c r="AF720">
        <v>-24.055109580491131</v>
      </c>
      <c r="AG720">
        <v>-18.62821629890454</v>
      </c>
      <c r="AH720">
        <v>-18.39582193270736</v>
      </c>
      <c r="AI720">
        <v>-96.124604697173623</v>
      </c>
      <c r="AJ720">
        <v>-22.1116350743034</v>
      </c>
      <c r="AK720">
        <v>-94.925412234185728</v>
      </c>
      <c r="AL720">
        <v>-21.835783681114549</v>
      </c>
      <c r="AM720">
        <v>4.091697581781724</v>
      </c>
      <c r="AN720">
        <v>4.0406520360928102</v>
      </c>
    </row>
    <row r="721" spans="1:40" x14ac:dyDescent="0.25">
      <c r="A721" s="1" t="s">
        <v>800</v>
      </c>
      <c r="B721">
        <v>64188538650</v>
      </c>
      <c r="C721" t="s">
        <v>79</v>
      </c>
      <c r="D721" t="s">
        <v>127</v>
      </c>
      <c r="E721">
        <v>17455000000</v>
      </c>
      <c r="F721">
        <v>-2932000000</v>
      </c>
      <c r="G721">
        <v>-743000000</v>
      </c>
      <c r="H721">
        <v>-3230000000</v>
      </c>
      <c r="I721">
        <v>-3834000000</v>
      </c>
      <c r="J721">
        <v>-496000000</v>
      </c>
      <c r="K721">
        <v>4295000000</v>
      </c>
      <c r="L721">
        <v>-132000000</v>
      </c>
      <c r="M721">
        <v>4295000000</v>
      </c>
      <c r="N721">
        <v>8819000000</v>
      </c>
      <c r="O721">
        <v>1454000000</v>
      </c>
      <c r="P721">
        <v>185000000</v>
      </c>
      <c r="Q721">
        <v>10920000000</v>
      </c>
      <c r="R721">
        <v>9024000000</v>
      </c>
      <c r="S721">
        <v>23425000000</v>
      </c>
      <c r="T721">
        <v>0</v>
      </c>
      <c r="U721">
        <v>891000000</v>
      </c>
      <c r="V721">
        <v>14458000000</v>
      </c>
      <c r="W721">
        <v>70998538650</v>
      </c>
      <c r="X721">
        <v>71889538650</v>
      </c>
      <c r="Y721">
        <v>3.6773725952449161</v>
      </c>
      <c r="Z721">
        <v>-21.892407452251021</v>
      </c>
      <c r="AA721">
        <v>-86.391034522207264</v>
      </c>
      <c r="AB721">
        <v>-19.872612585139318</v>
      </c>
      <c r="AC721">
        <v>-16.741924530516432</v>
      </c>
      <c r="AD721">
        <v>-129.41237631048389</v>
      </c>
      <c r="AE721">
        <v>-24.518942240791269</v>
      </c>
      <c r="AF721">
        <v>-24.215054109822649</v>
      </c>
      <c r="AG721">
        <v>-18.75053172926448</v>
      </c>
      <c r="AH721">
        <v>-18.518137363067289</v>
      </c>
      <c r="AI721">
        <v>-96.755772072678326</v>
      </c>
      <c r="AJ721">
        <v>-22.256823111455109</v>
      </c>
      <c r="AK721">
        <v>-95.556579609690445</v>
      </c>
      <c r="AL721">
        <v>-21.98097171826625</v>
      </c>
      <c r="AM721">
        <v>4.1185642308794046</v>
      </c>
      <c r="AN721">
        <v>4.0675186851904899</v>
      </c>
    </row>
    <row r="722" spans="1:40" x14ac:dyDescent="0.25">
      <c r="A722" s="1" t="s">
        <v>799</v>
      </c>
      <c r="B722">
        <v>65185073040</v>
      </c>
      <c r="C722" t="s">
        <v>79</v>
      </c>
      <c r="D722" t="s">
        <v>127</v>
      </c>
      <c r="E722">
        <v>17455000000</v>
      </c>
      <c r="F722">
        <v>-2932000000</v>
      </c>
      <c r="G722">
        <v>-743000000</v>
      </c>
      <c r="H722">
        <v>-3230000000</v>
      </c>
      <c r="I722">
        <v>-3834000000</v>
      </c>
      <c r="J722">
        <v>-496000000</v>
      </c>
      <c r="K722">
        <v>4295000000</v>
      </c>
      <c r="L722">
        <v>-132000000</v>
      </c>
      <c r="M722">
        <v>4295000000</v>
      </c>
      <c r="N722">
        <v>8819000000</v>
      </c>
      <c r="O722">
        <v>1454000000</v>
      </c>
      <c r="P722">
        <v>185000000</v>
      </c>
      <c r="Q722">
        <v>10920000000</v>
      </c>
      <c r="R722">
        <v>9024000000</v>
      </c>
      <c r="S722">
        <v>23425000000</v>
      </c>
      <c r="T722">
        <v>0</v>
      </c>
      <c r="U722">
        <v>891000000</v>
      </c>
      <c r="V722">
        <v>14458000000</v>
      </c>
      <c r="W722">
        <v>71995073040</v>
      </c>
      <c r="X722">
        <v>72886073040</v>
      </c>
      <c r="Y722">
        <v>3.7344642245774851</v>
      </c>
      <c r="Z722">
        <v>-22.23228957708049</v>
      </c>
      <c r="AA722">
        <v>-87.732265195154781</v>
      </c>
      <c r="AB722">
        <v>-20.181137164086689</v>
      </c>
      <c r="AC722">
        <v>-17.001844820031302</v>
      </c>
      <c r="AD722">
        <v>-131.42151822580649</v>
      </c>
      <c r="AE722">
        <v>-24.858824365620741</v>
      </c>
      <c r="AF722">
        <v>-24.554936234652111</v>
      </c>
      <c r="AG722">
        <v>-19.01045201877934</v>
      </c>
      <c r="AH722">
        <v>-18.778057652582159</v>
      </c>
      <c r="AI722">
        <v>-98.097002745625844</v>
      </c>
      <c r="AJ722">
        <v>-22.565347690402479</v>
      </c>
      <c r="AK722">
        <v>-96.897810282637948</v>
      </c>
      <c r="AL722">
        <v>-22.289496297213621</v>
      </c>
      <c r="AM722">
        <v>4.1756558602119744</v>
      </c>
      <c r="AN722">
        <v>4.1246103145230597</v>
      </c>
    </row>
    <row r="723" spans="1:40" x14ac:dyDescent="0.25">
      <c r="A723" s="1" t="s">
        <v>798</v>
      </c>
      <c r="B723">
        <v>62488568220</v>
      </c>
      <c r="C723" t="s">
        <v>79</v>
      </c>
      <c r="D723" t="s">
        <v>127</v>
      </c>
      <c r="E723">
        <v>17455000000</v>
      </c>
      <c r="F723">
        <v>-2932000000</v>
      </c>
      <c r="G723">
        <v>-743000000</v>
      </c>
      <c r="H723">
        <v>-3230000000</v>
      </c>
      <c r="I723">
        <v>-3834000000</v>
      </c>
      <c r="J723">
        <v>-496000000</v>
      </c>
      <c r="K723">
        <v>4295000000</v>
      </c>
      <c r="L723">
        <v>-132000000</v>
      </c>
      <c r="M723">
        <v>4295000000</v>
      </c>
      <c r="N723">
        <v>8819000000</v>
      </c>
      <c r="O723">
        <v>1454000000</v>
      </c>
      <c r="P723">
        <v>185000000</v>
      </c>
      <c r="Q723">
        <v>10920000000</v>
      </c>
      <c r="R723">
        <v>9024000000</v>
      </c>
      <c r="S723">
        <v>23425000000</v>
      </c>
      <c r="T723">
        <v>0</v>
      </c>
      <c r="U723">
        <v>891000000</v>
      </c>
      <c r="V723">
        <v>14458000000</v>
      </c>
      <c r="W723">
        <v>69298568220</v>
      </c>
      <c r="X723">
        <v>70189568220</v>
      </c>
      <c r="Y723">
        <v>3.5799809922658259</v>
      </c>
      <c r="Z723">
        <v>-21.312608533424289</v>
      </c>
      <c r="AA723">
        <v>-84.103052786002692</v>
      </c>
      <c r="AB723">
        <v>-19.346305950464401</v>
      </c>
      <c r="AC723">
        <v>-16.298531095461659</v>
      </c>
      <c r="AD723">
        <v>-125.98501657258061</v>
      </c>
      <c r="AE723">
        <v>-23.939143321964529</v>
      </c>
      <c r="AF723">
        <v>-23.63525519099591</v>
      </c>
      <c r="AG723">
        <v>-18.3071382942097</v>
      </c>
      <c r="AH723">
        <v>-18.07474392801252</v>
      </c>
      <c r="AI723">
        <v>-94.467790336473755</v>
      </c>
      <c r="AJ723">
        <v>-21.730516476780181</v>
      </c>
      <c r="AK723">
        <v>-93.268597873485874</v>
      </c>
      <c r="AL723">
        <v>-21.45466508359133</v>
      </c>
      <c r="AM723">
        <v>4.0211726279003148</v>
      </c>
      <c r="AN723">
        <v>3.970127082211401</v>
      </c>
    </row>
    <row r="724" spans="1:40" x14ac:dyDescent="0.25">
      <c r="A724" s="1" t="s">
        <v>797</v>
      </c>
      <c r="B724">
        <v>65165533150</v>
      </c>
      <c r="C724" t="s">
        <v>79</v>
      </c>
      <c r="D724" t="s">
        <v>127</v>
      </c>
      <c r="E724">
        <v>17455000000</v>
      </c>
      <c r="F724">
        <v>-2932000000</v>
      </c>
      <c r="G724">
        <v>-743000000</v>
      </c>
      <c r="H724">
        <v>-3230000000</v>
      </c>
      <c r="I724">
        <v>-3834000000</v>
      </c>
      <c r="J724">
        <v>-496000000</v>
      </c>
      <c r="K724">
        <v>4295000000</v>
      </c>
      <c r="L724">
        <v>-132000000</v>
      </c>
      <c r="M724">
        <v>4295000000</v>
      </c>
      <c r="N724">
        <v>8819000000</v>
      </c>
      <c r="O724">
        <v>1454000000</v>
      </c>
      <c r="P724">
        <v>185000000</v>
      </c>
      <c r="Q724">
        <v>10920000000</v>
      </c>
      <c r="R724">
        <v>9024000000</v>
      </c>
      <c r="S724">
        <v>23425000000</v>
      </c>
      <c r="T724">
        <v>0</v>
      </c>
      <c r="U724">
        <v>891000000</v>
      </c>
      <c r="V724">
        <v>14458000000</v>
      </c>
      <c r="W724">
        <v>71975533150</v>
      </c>
      <c r="X724">
        <v>72866533150</v>
      </c>
      <c r="Y724">
        <v>3.7333447808650821</v>
      </c>
      <c r="Z724">
        <v>-22.225625221691679</v>
      </c>
      <c r="AA724">
        <v>-87.705966554508748</v>
      </c>
      <c r="AB724">
        <v>-20.175087662538701</v>
      </c>
      <c r="AC724">
        <v>-16.996748343766299</v>
      </c>
      <c r="AD724">
        <v>-131.38212328629029</v>
      </c>
      <c r="AE724">
        <v>-24.85216001023192</v>
      </c>
      <c r="AF724">
        <v>-24.5482718792633</v>
      </c>
      <c r="AG724">
        <v>-19.005355542514341</v>
      </c>
      <c r="AH724">
        <v>-18.77296117631716</v>
      </c>
      <c r="AI724">
        <v>-98.070704104979811</v>
      </c>
      <c r="AJ724">
        <v>-22.559298188854491</v>
      </c>
      <c r="AK724">
        <v>-96.87151164199193</v>
      </c>
      <c r="AL724">
        <v>-22.28344679566564</v>
      </c>
      <c r="AM724">
        <v>4.1745364164995706</v>
      </c>
      <c r="AN724">
        <v>4.1234908708106559</v>
      </c>
    </row>
    <row r="725" spans="1:40" x14ac:dyDescent="0.25">
      <c r="A725" s="1" t="s">
        <v>796</v>
      </c>
      <c r="B725">
        <v>64598876340</v>
      </c>
      <c r="C725" t="s">
        <v>79</v>
      </c>
      <c r="D725" t="s">
        <v>127</v>
      </c>
      <c r="E725">
        <v>17455000000</v>
      </c>
      <c r="F725">
        <v>-2932000000</v>
      </c>
      <c r="G725">
        <v>-743000000</v>
      </c>
      <c r="H725">
        <v>-3230000000</v>
      </c>
      <c r="I725">
        <v>-3834000000</v>
      </c>
      <c r="J725">
        <v>-496000000</v>
      </c>
      <c r="K725">
        <v>4295000000</v>
      </c>
      <c r="L725">
        <v>-132000000</v>
      </c>
      <c r="M725">
        <v>4295000000</v>
      </c>
      <c r="N725">
        <v>8819000000</v>
      </c>
      <c r="O725">
        <v>1454000000</v>
      </c>
      <c r="P725">
        <v>185000000</v>
      </c>
      <c r="Q725">
        <v>10920000000</v>
      </c>
      <c r="R725">
        <v>9024000000</v>
      </c>
      <c r="S725">
        <v>23425000000</v>
      </c>
      <c r="T725">
        <v>0</v>
      </c>
      <c r="U725">
        <v>891000000</v>
      </c>
      <c r="V725">
        <v>14458000000</v>
      </c>
      <c r="W725">
        <v>71408876340</v>
      </c>
      <c r="X725">
        <v>72299876340</v>
      </c>
      <c r="Y725">
        <v>3.7008809132053848</v>
      </c>
      <c r="Z725">
        <v>-22.032358915416101</v>
      </c>
      <c r="AA725">
        <v>-86.943305975773896</v>
      </c>
      <c r="AB725">
        <v>-19.999652117647059</v>
      </c>
      <c r="AC725">
        <v>-16.848950532081378</v>
      </c>
      <c r="AD725">
        <v>-130.23967004032261</v>
      </c>
      <c r="AE725">
        <v>-24.658893703956341</v>
      </c>
      <c r="AF725">
        <v>-24.355005572987722</v>
      </c>
      <c r="AG725">
        <v>-18.85755773082942</v>
      </c>
      <c r="AH725">
        <v>-18.62516336463224</v>
      </c>
      <c r="AI725">
        <v>-97.308043526244958</v>
      </c>
      <c r="AJ725">
        <v>-22.38386264396285</v>
      </c>
      <c r="AK725">
        <v>-96.108851063257063</v>
      </c>
      <c r="AL725">
        <v>-22.108011250773991</v>
      </c>
      <c r="AM725">
        <v>4.1420725488398737</v>
      </c>
      <c r="AN725">
        <v>4.0910270031509599</v>
      </c>
    </row>
    <row r="726" spans="1:40" x14ac:dyDescent="0.25">
      <c r="A726" s="1" t="s">
        <v>795</v>
      </c>
      <c r="B726">
        <v>67803418300</v>
      </c>
      <c r="C726" t="s">
        <v>79</v>
      </c>
      <c r="D726" t="s">
        <v>127</v>
      </c>
      <c r="E726">
        <v>17455000000</v>
      </c>
      <c r="F726">
        <v>-2932000000</v>
      </c>
      <c r="G726">
        <v>-743000000</v>
      </c>
      <c r="H726">
        <v>-3230000000</v>
      </c>
      <c r="I726">
        <v>-3834000000</v>
      </c>
      <c r="J726">
        <v>-496000000</v>
      </c>
      <c r="K726">
        <v>4295000000</v>
      </c>
      <c r="L726">
        <v>-132000000</v>
      </c>
      <c r="M726">
        <v>4295000000</v>
      </c>
      <c r="N726">
        <v>8819000000</v>
      </c>
      <c r="O726">
        <v>1454000000</v>
      </c>
      <c r="P726">
        <v>185000000</v>
      </c>
      <c r="Q726">
        <v>10920000000</v>
      </c>
      <c r="R726">
        <v>9024000000</v>
      </c>
      <c r="S726">
        <v>23425000000</v>
      </c>
      <c r="T726">
        <v>0</v>
      </c>
      <c r="U726">
        <v>891000000</v>
      </c>
      <c r="V726">
        <v>14458000000</v>
      </c>
      <c r="W726">
        <v>74613418300</v>
      </c>
      <c r="X726">
        <v>75504418300</v>
      </c>
      <c r="Y726">
        <v>3.8844696820395299</v>
      </c>
      <c r="Z726">
        <v>-23.125313199181441</v>
      </c>
      <c r="AA726">
        <v>-91.256283041722739</v>
      </c>
      <c r="AB726">
        <v>-20.991770371517031</v>
      </c>
      <c r="AC726">
        <v>-17.684772639540949</v>
      </c>
      <c r="AD726">
        <v>-136.70044012096781</v>
      </c>
      <c r="AE726">
        <v>-25.751847987721689</v>
      </c>
      <c r="AF726">
        <v>-25.447959856753069</v>
      </c>
      <c r="AG726">
        <v>-19.69337983828899</v>
      </c>
      <c r="AH726">
        <v>-19.46098547209181</v>
      </c>
      <c r="AI726">
        <v>-101.6210205921938</v>
      </c>
      <c r="AJ726">
        <v>-23.375980897832822</v>
      </c>
      <c r="AK726">
        <v>-100.42182812920591</v>
      </c>
      <c r="AL726">
        <v>-23.100129504643959</v>
      </c>
      <c r="AM726">
        <v>4.3256613176740188</v>
      </c>
      <c r="AN726">
        <v>4.2746157719851041</v>
      </c>
    </row>
    <row r="727" spans="1:40" x14ac:dyDescent="0.25">
      <c r="A727" s="1" t="s">
        <v>794</v>
      </c>
      <c r="B727">
        <v>66552865340</v>
      </c>
      <c r="C727" t="s">
        <v>79</v>
      </c>
      <c r="D727" t="s">
        <v>127</v>
      </c>
      <c r="E727">
        <v>17455000000</v>
      </c>
      <c r="F727">
        <v>-2932000000</v>
      </c>
      <c r="G727">
        <v>-743000000</v>
      </c>
      <c r="H727">
        <v>-3230000000</v>
      </c>
      <c r="I727">
        <v>-3834000000</v>
      </c>
      <c r="J727">
        <v>-496000000</v>
      </c>
      <c r="K727">
        <v>4295000000</v>
      </c>
      <c r="L727">
        <v>-132000000</v>
      </c>
      <c r="M727">
        <v>4295000000</v>
      </c>
      <c r="N727">
        <v>8819000000</v>
      </c>
      <c r="O727">
        <v>1454000000</v>
      </c>
      <c r="P727">
        <v>185000000</v>
      </c>
      <c r="Q727">
        <v>10920000000</v>
      </c>
      <c r="R727">
        <v>9024000000</v>
      </c>
      <c r="S727">
        <v>23425000000</v>
      </c>
      <c r="T727">
        <v>0</v>
      </c>
      <c r="U727">
        <v>891000000</v>
      </c>
      <c r="V727">
        <v>14458000000</v>
      </c>
      <c r="W727">
        <v>73362865340</v>
      </c>
      <c r="X727">
        <v>74253865340</v>
      </c>
      <c r="Y727">
        <v>3.8128252844457182</v>
      </c>
      <c r="Z727">
        <v>-22.69879445429741</v>
      </c>
      <c r="AA727">
        <v>-89.573170040376851</v>
      </c>
      <c r="AB727">
        <v>-20.60460227244582</v>
      </c>
      <c r="AC727">
        <v>-17.35859815858112</v>
      </c>
      <c r="AD727">
        <v>-134.1791639919355</v>
      </c>
      <c r="AE727">
        <v>-25.32532924283765</v>
      </c>
      <c r="AF727">
        <v>-25.021441111869031</v>
      </c>
      <c r="AG727">
        <v>-19.367205357329158</v>
      </c>
      <c r="AH727">
        <v>-19.134810991131982</v>
      </c>
      <c r="AI727">
        <v>-99.937907590847914</v>
      </c>
      <c r="AJ727">
        <v>-22.988812798761611</v>
      </c>
      <c r="AK727">
        <v>-98.738715127860033</v>
      </c>
      <c r="AL727">
        <v>-22.712961405572759</v>
      </c>
      <c r="AM727">
        <v>4.2540169200802058</v>
      </c>
      <c r="AN727">
        <v>4.202971374391292</v>
      </c>
    </row>
    <row r="728" spans="1:40" x14ac:dyDescent="0.25">
      <c r="A728" s="1" t="s">
        <v>793</v>
      </c>
      <c r="B728">
        <v>67940197530</v>
      </c>
      <c r="C728" t="s">
        <v>79</v>
      </c>
      <c r="D728" t="s">
        <v>127</v>
      </c>
      <c r="E728">
        <v>17455000000</v>
      </c>
      <c r="F728">
        <v>-2932000000</v>
      </c>
      <c r="G728">
        <v>-743000000</v>
      </c>
      <c r="H728">
        <v>-3230000000</v>
      </c>
      <c r="I728">
        <v>-3834000000</v>
      </c>
      <c r="J728">
        <v>-496000000</v>
      </c>
      <c r="K728">
        <v>4295000000</v>
      </c>
      <c r="L728">
        <v>-132000000</v>
      </c>
      <c r="M728">
        <v>4295000000</v>
      </c>
      <c r="N728">
        <v>8819000000</v>
      </c>
      <c r="O728">
        <v>1454000000</v>
      </c>
      <c r="P728">
        <v>185000000</v>
      </c>
      <c r="Q728">
        <v>10920000000</v>
      </c>
      <c r="R728">
        <v>9024000000</v>
      </c>
      <c r="S728">
        <v>23425000000</v>
      </c>
      <c r="T728">
        <v>0</v>
      </c>
      <c r="U728">
        <v>891000000</v>
      </c>
      <c r="V728">
        <v>14458000000</v>
      </c>
      <c r="W728">
        <v>74750197530</v>
      </c>
      <c r="X728">
        <v>75641197530</v>
      </c>
      <c r="Y728">
        <v>3.892305788026353</v>
      </c>
      <c r="Z728">
        <v>-23.17196368690314</v>
      </c>
      <c r="AA728">
        <v>-91.440373526244954</v>
      </c>
      <c r="AB728">
        <v>-21.03411688235294</v>
      </c>
      <c r="AC728">
        <v>-17.720447973395931</v>
      </c>
      <c r="AD728">
        <v>-136.97620469758061</v>
      </c>
      <c r="AE728">
        <v>-25.798498475443381</v>
      </c>
      <c r="AF728">
        <v>-25.494610344474761</v>
      </c>
      <c r="AG728">
        <v>-19.72905517214398</v>
      </c>
      <c r="AH728">
        <v>-19.496660805946789</v>
      </c>
      <c r="AI728">
        <v>-101.805111076716</v>
      </c>
      <c r="AJ728">
        <v>-23.418327408668731</v>
      </c>
      <c r="AK728">
        <v>-100.60591861372809</v>
      </c>
      <c r="AL728">
        <v>-23.142476015479879</v>
      </c>
      <c r="AM728">
        <v>4.3334974236608419</v>
      </c>
      <c r="AN728">
        <v>4.2824518779719281</v>
      </c>
    </row>
    <row r="729" spans="1:40" x14ac:dyDescent="0.25">
      <c r="A729" s="1" t="s">
        <v>792</v>
      </c>
      <c r="B729">
        <v>72668850910</v>
      </c>
      <c r="C729" t="s">
        <v>79</v>
      </c>
      <c r="D729" t="s">
        <v>127</v>
      </c>
      <c r="E729">
        <v>17455000000</v>
      </c>
      <c r="F729">
        <v>-2932000000</v>
      </c>
      <c r="G729">
        <v>-743000000</v>
      </c>
      <c r="H729">
        <v>-3230000000</v>
      </c>
      <c r="I729">
        <v>-3834000000</v>
      </c>
      <c r="J729">
        <v>-496000000</v>
      </c>
      <c r="K729">
        <v>4295000000</v>
      </c>
      <c r="L729">
        <v>-132000000</v>
      </c>
      <c r="M729">
        <v>4295000000</v>
      </c>
      <c r="N729">
        <v>8819000000</v>
      </c>
      <c r="O729">
        <v>1454000000</v>
      </c>
      <c r="P729">
        <v>185000000</v>
      </c>
      <c r="Q729">
        <v>10920000000</v>
      </c>
      <c r="R729">
        <v>9024000000</v>
      </c>
      <c r="S729">
        <v>23425000000</v>
      </c>
      <c r="T729">
        <v>0</v>
      </c>
      <c r="U729">
        <v>891000000</v>
      </c>
      <c r="V729">
        <v>14458000000</v>
      </c>
      <c r="W729">
        <v>79478850910</v>
      </c>
      <c r="X729">
        <v>80369850910</v>
      </c>
      <c r="Y729">
        <v>4.1632111664279572</v>
      </c>
      <c r="Z729">
        <v>-24.784737690995911</v>
      </c>
      <c r="AA729">
        <v>-97.804644562584116</v>
      </c>
      <c r="AB729">
        <v>-22.49809625696594</v>
      </c>
      <c r="AC729">
        <v>-18.953795229525301</v>
      </c>
      <c r="AD729">
        <v>-146.50978006048391</v>
      </c>
      <c r="AE729">
        <v>-27.411272479536152</v>
      </c>
      <c r="AF729">
        <v>-27.107384348567528</v>
      </c>
      <c r="AG729">
        <v>-20.962402428273339</v>
      </c>
      <c r="AH729">
        <v>-20.730008062076159</v>
      </c>
      <c r="AI729">
        <v>-108.16938211305521</v>
      </c>
      <c r="AJ729">
        <v>-24.882306783281731</v>
      </c>
      <c r="AK729">
        <v>-106.9701896500673</v>
      </c>
      <c r="AL729">
        <v>-24.606455390092879</v>
      </c>
      <c r="AM729">
        <v>4.6044028020624461</v>
      </c>
      <c r="AN729">
        <v>4.5533572563735323</v>
      </c>
    </row>
    <row r="730" spans="1:40" x14ac:dyDescent="0.25">
      <c r="A730" s="1" t="s">
        <v>791</v>
      </c>
      <c r="B730">
        <v>71476917620</v>
      </c>
      <c r="C730" t="s">
        <v>79</v>
      </c>
      <c r="D730" t="s">
        <v>127</v>
      </c>
      <c r="E730">
        <v>17455000000</v>
      </c>
      <c r="F730">
        <v>-2932000000</v>
      </c>
      <c r="G730">
        <v>-743000000</v>
      </c>
      <c r="H730">
        <v>-3230000000</v>
      </c>
      <c r="I730">
        <v>-3834000000</v>
      </c>
      <c r="J730">
        <v>-496000000</v>
      </c>
      <c r="K730">
        <v>4295000000</v>
      </c>
      <c r="L730">
        <v>-132000000</v>
      </c>
      <c r="M730">
        <v>4295000000</v>
      </c>
      <c r="N730">
        <v>8819000000</v>
      </c>
      <c r="O730">
        <v>1454000000</v>
      </c>
      <c r="P730">
        <v>185000000</v>
      </c>
      <c r="Q730">
        <v>10920000000</v>
      </c>
      <c r="R730">
        <v>9024000000</v>
      </c>
      <c r="S730">
        <v>23425000000</v>
      </c>
      <c r="T730">
        <v>0</v>
      </c>
      <c r="U730">
        <v>891000000</v>
      </c>
      <c r="V730">
        <v>14458000000</v>
      </c>
      <c r="W730">
        <v>78286917620</v>
      </c>
      <c r="X730">
        <v>79177917620</v>
      </c>
      <c r="Y730">
        <v>4.0949250999713547</v>
      </c>
      <c r="Z730">
        <v>-24.378212012278311</v>
      </c>
      <c r="AA730">
        <v>-96.200427483176313</v>
      </c>
      <c r="AB730">
        <v>-22.129076662538701</v>
      </c>
      <c r="AC730">
        <v>-18.642910177360459</v>
      </c>
      <c r="AD730">
        <v>-144.10668874999999</v>
      </c>
      <c r="AE730">
        <v>-27.004746800818559</v>
      </c>
      <c r="AF730">
        <v>-26.700858669849929</v>
      </c>
      <c r="AG730">
        <v>-20.651517376108501</v>
      </c>
      <c r="AH730">
        <v>-20.419123009911321</v>
      </c>
      <c r="AI730">
        <v>-106.5651650336474</v>
      </c>
      <c r="AJ730">
        <v>-24.513287188854491</v>
      </c>
      <c r="AK730">
        <v>-105.36597257065949</v>
      </c>
      <c r="AL730">
        <v>-24.23743579566564</v>
      </c>
      <c r="AM730">
        <v>4.5361167356058436</v>
      </c>
      <c r="AN730">
        <v>4.4850711899169289</v>
      </c>
    </row>
    <row r="731" spans="1:40" x14ac:dyDescent="0.25">
      <c r="A731" s="1" t="s">
        <v>78</v>
      </c>
      <c r="B731">
        <v>70086366720</v>
      </c>
      <c r="C731" t="s">
        <v>79</v>
      </c>
      <c r="D731" t="s">
        <v>127</v>
      </c>
      <c r="E731">
        <v>17455000000</v>
      </c>
      <c r="F731">
        <v>-2932000000</v>
      </c>
      <c r="G731">
        <v>-743000000</v>
      </c>
      <c r="H731">
        <v>-3230000000</v>
      </c>
      <c r="I731">
        <v>-3834000000</v>
      </c>
      <c r="J731">
        <v>-496000000</v>
      </c>
      <c r="K731">
        <v>4295000000</v>
      </c>
      <c r="L731">
        <v>-132000000</v>
      </c>
      <c r="M731">
        <v>4295000000</v>
      </c>
      <c r="N731">
        <v>8819000000</v>
      </c>
      <c r="O731">
        <v>1454000000</v>
      </c>
      <c r="P731">
        <v>185000000</v>
      </c>
      <c r="Q731">
        <v>10920000000</v>
      </c>
      <c r="R731">
        <v>9024000000</v>
      </c>
      <c r="S731">
        <v>23425000000</v>
      </c>
      <c r="T731">
        <v>0</v>
      </c>
      <c r="U731">
        <v>891000000</v>
      </c>
      <c r="V731">
        <v>14458000000</v>
      </c>
      <c r="W731">
        <v>76896366720</v>
      </c>
      <c r="X731">
        <v>77787366720</v>
      </c>
      <c r="Y731">
        <v>4.0152601959323979</v>
      </c>
      <c r="Z731">
        <v>-23.903944993178719</v>
      </c>
      <c r="AA731">
        <v>-94.328891951547774</v>
      </c>
      <c r="AB731">
        <v>-21.69856554798762</v>
      </c>
      <c r="AC731">
        <v>-18.280220845070421</v>
      </c>
      <c r="AD731">
        <v>-141.3031587096774</v>
      </c>
      <c r="AE731">
        <v>-26.530479781718959</v>
      </c>
      <c r="AF731">
        <v>-26.22659165075034</v>
      </c>
      <c r="AG731">
        <v>-20.288828043818469</v>
      </c>
      <c r="AH731">
        <v>-20.056433677621278</v>
      </c>
      <c r="AI731">
        <v>-104.69362950201879</v>
      </c>
      <c r="AJ731">
        <v>-24.08277607430341</v>
      </c>
      <c r="AK731">
        <v>-103.494437039031</v>
      </c>
      <c r="AL731">
        <v>-23.806924681114548</v>
      </c>
      <c r="AM731">
        <v>4.456451831566886</v>
      </c>
      <c r="AN731">
        <v>4.4054062858779721</v>
      </c>
    </row>
    <row r="732" spans="1:40" x14ac:dyDescent="0.25">
      <c r="A732" s="1" t="s">
        <v>790</v>
      </c>
      <c r="B732">
        <v>70675657920</v>
      </c>
      <c r="C732" t="s">
        <v>79</v>
      </c>
      <c r="D732" t="s">
        <v>127</v>
      </c>
      <c r="E732">
        <v>17455000000</v>
      </c>
      <c r="F732">
        <v>-2932000000</v>
      </c>
      <c r="G732">
        <v>-743000000</v>
      </c>
      <c r="H732">
        <v>-3230000000</v>
      </c>
      <c r="I732">
        <v>-3834000000</v>
      </c>
      <c r="J732">
        <v>-496000000</v>
      </c>
      <c r="K732">
        <v>4295000000</v>
      </c>
      <c r="L732">
        <v>-132000000</v>
      </c>
      <c r="M732">
        <v>4295000000</v>
      </c>
      <c r="N732">
        <v>8819000000</v>
      </c>
      <c r="O732">
        <v>1454000000</v>
      </c>
      <c r="P732">
        <v>185000000</v>
      </c>
      <c r="Q732">
        <v>10920000000</v>
      </c>
      <c r="R732">
        <v>9024000000</v>
      </c>
      <c r="S732">
        <v>23425000000</v>
      </c>
      <c r="T732">
        <v>0</v>
      </c>
      <c r="U732">
        <v>891000000</v>
      </c>
      <c r="V732">
        <v>14458000000</v>
      </c>
      <c r="W732">
        <v>77485657920</v>
      </c>
      <c r="X732">
        <v>78376657920</v>
      </c>
      <c r="Y732">
        <v>4.0490207917502152</v>
      </c>
      <c r="Z732">
        <v>-24.104931077762618</v>
      </c>
      <c r="AA732">
        <v>-95.122016043068641</v>
      </c>
      <c r="AB732">
        <v>-21.881008643962851</v>
      </c>
      <c r="AC732">
        <v>-18.433922253521128</v>
      </c>
      <c r="AD732">
        <v>-142.49124580645159</v>
      </c>
      <c r="AE732">
        <v>-26.731465866302869</v>
      </c>
      <c r="AF732">
        <v>-26.427577735334239</v>
      </c>
      <c r="AG732">
        <v>-20.44252945226917</v>
      </c>
      <c r="AH732">
        <v>-20.21013508607199</v>
      </c>
      <c r="AI732">
        <v>-105.4867535935397</v>
      </c>
      <c r="AJ732">
        <v>-24.265219170278641</v>
      </c>
      <c r="AK732">
        <v>-104.28756113055179</v>
      </c>
      <c r="AL732">
        <v>-23.989367777089779</v>
      </c>
      <c r="AM732">
        <v>4.4902124273847033</v>
      </c>
      <c r="AN732">
        <v>4.4391668816957894</v>
      </c>
    </row>
    <row r="733" spans="1:40" x14ac:dyDescent="0.25">
      <c r="A733" s="1" t="s">
        <v>789</v>
      </c>
      <c r="B733">
        <v>71716739040</v>
      </c>
      <c r="C733" t="s">
        <v>79</v>
      </c>
      <c r="D733" t="s">
        <v>127</v>
      </c>
      <c r="E733">
        <v>17455000000</v>
      </c>
      <c r="F733">
        <v>-2932000000</v>
      </c>
      <c r="G733">
        <v>-743000000</v>
      </c>
      <c r="H733">
        <v>-3230000000</v>
      </c>
      <c r="I733">
        <v>-3834000000</v>
      </c>
      <c r="J733">
        <v>-496000000</v>
      </c>
      <c r="K733">
        <v>4295000000</v>
      </c>
      <c r="L733">
        <v>-132000000</v>
      </c>
      <c r="M733">
        <v>4295000000</v>
      </c>
      <c r="N733">
        <v>8819000000</v>
      </c>
      <c r="O733">
        <v>1454000000</v>
      </c>
      <c r="P733">
        <v>185000000</v>
      </c>
      <c r="Q733">
        <v>10920000000</v>
      </c>
      <c r="R733">
        <v>9024000000</v>
      </c>
      <c r="S733">
        <v>23425000000</v>
      </c>
      <c r="T733">
        <v>0</v>
      </c>
      <c r="U733">
        <v>891000000</v>
      </c>
      <c r="V733">
        <v>14458000000</v>
      </c>
      <c r="W733">
        <v>78526739040</v>
      </c>
      <c r="X733">
        <v>79417739040</v>
      </c>
      <c r="Y733">
        <v>4.1086645110283584</v>
      </c>
      <c r="Z733">
        <v>-24.460006493860849</v>
      </c>
      <c r="AA733">
        <v>-96.523201938088832</v>
      </c>
      <c r="AB733">
        <v>-22.20332478018576</v>
      </c>
      <c r="AC733">
        <v>-18.705461408450709</v>
      </c>
      <c r="AD733">
        <v>-144.59019967741929</v>
      </c>
      <c r="AE733">
        <v>-27.08654128240109</v>
      </c>
      <c r="AF733">
        <v>-26.78265315143247</v>
      </c>
      <c r="AG733">
        <v>-20.714068607198751</v>
      </c>
      <c r="AH733">
        <v>-20.48167424100156</v>
      </c>
      <c r="AI733">
        <v>-106.88793948855989</v>
      </c>
      <c r="AJ733">
        <v>-24.58753530650155</v>
      </c>
      <c r="AK733">
        <v>-105.688747025572</v>
      </c>
      <c r="AL733">
        <v>-24.311683913312699</v>
      </c>
      <c r="AM733">
        <v>4.5498561466628473</v>
      </c>
      <c r="AN733">
        <v>4.4988106009739326</v>
      </c>
    </row>
    <row r="734" spans="1:40" x14ac:dyDescent="0.25">
      <c r="A734" s="1" t="s">
        <v>788</v>
      </c>
      <c r="B734">
        <v>68672067840</v>
      </c>
      <c r="C734" t="s">
        <v>79</v>
      </c>
      <c r="D734" t="s">
        <v>127</v>
      </c>
      <c r="E734">
        <v>17455000000</v>
      </c>
      <c r="F734">
        <v>-2932000000</v>
      </c>
      <c r="G734">
        <v>-743000000</v>
      </c>
      <c r="H734">
        <v>-3230000000</v>
      </c>
      <c r="I734">
        <v>-3834000000</v>
      </c>
      <c r="J734">
        <v>-496000000</v>
      </c>
      <c r="K734">
        <v>4295000000</v>
      </c>
      <c r="L734">
        <v>-132000000</v>
      </c>
      <c r="M734">
        <v>4295000000</v>
      </c>
      <c r="N734">
        <v>8819000000</v>
      </c>
      <c r="O734">
        <v>1454000000</v>
      </c>
      <c r="P734">
        <v>185000000</v>
      </c>
      <c r="Q734">
        <v>10920000000</v>
      </c>
      <c r="R734">
        <v>9024000000</v>
      </c>
      <c r="S734">
        <v>23425000000</v>
      </c>
      <c r="T734">
        <v>0</v>
      </c>
      <c r="U734">
        <v>891000000</v>
      </c>
      <c r="V734">
        <v>14458000000</v>
      </c>
      <c r="W734">
        <v>75482067840</v>
      </c>
      <c r="X734">
        <v>76373067840</v>
      </c>
      <c r="Y734">
        <v>3.9342347659696362</v>
      </c>
      <c r="Z734">
        <v>-23.421578390177348</v>
      </c>
      <c r="AA734">
        <v>-92.425394131897718</v>
      </c>
      <c r="AB734">
        <v>-21.26070211764706</v>
      </c>
      <c r="AC734">
        <v>-17.91133746478873</v>
      </c>
      <c r="AD734">
        <v>-138.45174967741929</v>
      </c>
      <c r="AE734">
        <v>-26.0481131787176</v>
      </c>
      <c r="AF734">
        <v>-25.74422504774898</v>
      </c>
      <c r="AG734">
        <v>-19.919944663536771</v>
      </c>
      <c r="AH734">
        <v>-19.687550297339591</v>
      </c>
      <c r="AI734">
        <v>-102.79013168236879</v>
      </c>
      <c r="AJ734">
        <v>-23.644912643962851</v>
      </c>
      <c r="AK734">
        <v>-101.5909392193809</v>
      </c>
      <c r="AL734">
        <v>-23.369061250773989</v>
      </c>
      <c r="AM734">
        <v>4.3754264016041251</v>
      </c>
      <c r="AN734">
        <v>4.3243808559152104</v>
      </c>
    </row>
    <row r="735" spans="1:40" x14ac:dyDescent="0.25">
      <c r="A735" s="1" t="s">
        <v>787</v>
      </c>
      <c r="B735">
        <v>65627396639</v>
      </c>
      <c r="C735" t="s">
        <v>79</v>
      </c>
      <c r="D735" t="s">
        <v>127</v>
      </c>
      <c r="E735">
        <v>17455000000</v>
      </c>
      <c r="F735">
        <v>-2932000000</v>
      </c>
      <c r="G735">
        <v>-743000000</v>
      </c>
      <c r="H735">
        <v>-3230000000</v>
      </c>
      <c r="I735">
        <v>-3834000000</v>
      </c>
      <c r="J735">
        <v>-496000000</v>
      </c>
      <c r="K735">
        <v>4295000000</v>
      </c>
      <c r="L735">
        <v>-132000000</v>
      </c>
      <c r="M735">
        <v>4295000000</v>
      </c>
      <c r="N735">
        <v>8819000000</v>
      </c>
      <c r="O735">
        <v>1454000000</v>
      </c>
      <c r="P735">
        <v>185000000</v>
      </c>
      <c r="Q735">
        <v>10920000000</v>
      </c>
      <c r="R735">
        <v>9024000000</v>
      </c>
      <c r="S735">
        <v>23425000000</v>
      </c>
      <c r="T735">
        <v>0</v>
      </c>
      <c r="U735">
        <v>891000000</v>
      </c>
      <c r="V735">
        <v>14458000000</v>
      </c>
      <c r="W735">
        <v>72437396639</v>
      </c>
      <c r="X735">
        <v>73328396639</v>
      </c>
      <c r="Y735">
        <v>3.7598050208536238</v>
      </c>
      <c r="Z735">
        <v>-22.383150286152802</v>
      </c>
      <c r="AA735">
        <v>-88.327586324360695</v>
      </c>
      <c r="AB735">
        <v>-20.31807945479876</v>
      </c>
      <c r="AC735">
        <v>-17.117213520865931</v>
      </c>
      <c r="AD735">
        <v>-132.31329967540319</v>
      </c>
      <c r="AE735">
        <v>-25.009685074693039</v>
      </c>
      <c r="AF735">
        <v>-24.705796943724419</v>
      </c>
      <c r="AG735">
        <v>-19.12582071961398</v>
      </c>
      <c r="AH735">
        <v>-18.8934263534168</v>
      </c>
      <c r="AI735">
        <v>-98.692323874831757</v>
      </c>
      <c r="AJ735">
        <v>-22.70228998111455</v>
      </c>
      <c r="AK735">
        <v>-97.493131411843876</v>
      </c>
      <c r="AL735">
        <v>-22.426438587925691</v>
      </c>
      <c r="AM735">
        <v>4.2009966564881127</v>
      </c>
      <c r="AN735">
        <v>4.149951110799198</v>
      </c>
    </row>
    <row r="736" spans="1:40" x14ac:dyDescent="0.25">
      <c r="A736" s="1" t="s">
        <v>786</v>
      </c>
      <c r="B736">
        <v>63388090080</v>
      </c>
      <c r="C736" t="s">
        <v>79</v>
      </c>
      <c r="D736" t="s">
        <v>127</v>
      </c>
      <c r="E736">
        <v>17455000000</v>
      </c>
      <c r="F736">
        <v>-2932000000</v>
      </c>
      <c r="G736">
        <v>-743000000</v>
      </c>
      <c r="H736">
        <v>-3230000000</v>
      </c>
      <c r="I736">
        <v>-3834000000</v>
      </c>
      <c r="J736">
        <v>-496000000</v>
      </c>
      <c r="K736">
        <v>4295000000</v>
      </c>
      <c r="L736">
        <v>-132000000</v>
      </c>
      <c r="M736">
        <v>4295000000</v>
      </c>
      <c r="N736">
        <v>8819000000</v>
      </c>
      <c r="O736">
        <v>1454000000</v>
      </c>
      <c r="P736">
        <v>185000000</v>
      </c>
      <c r="Q736">
        <v>10920000000</v>
      </c>
      <c r="R736">
        <v>9024000000</v>
      </c>
      <c r="S736">
        <v>23425000000</v>
      </c>
      <c r="T736">
        <v>0</v>
      </c>
      <c r="U736">
        <v>891000000</v>
      </c>
      <c r="V736">
        <v>14458000000</v>
      </c>
      <c r="W736">
        <v>70198090080</v>
      </c>
      <c r="X736">
        <v>71089090080</v>
      </c>
      <c r="Y736">
        <v>3.6315147568032078</v>
      </c>
      <c r="Z736">
        <v>-21.619403165075031</v>
      </c>
      <c r="AA736">
        <v>-85.313714777927316</v>
      </c>
      <c r="AB736">
        <v>-19.624795690402479</v>
      </c>
      <c r="AC736">
        <v>-16.53314816901408</v>
      </c>
      <c r="AD736">
        <v>-127.7985687096774</v>
      </c>
      <c r="AE736">
        <v>-24.245937953615279</v>
      </c>
      <c r="AF736">
        <v>-23.942049822646659</v>
      </c>
      <c r="AG736">
        <v>-18.541755367762129</v>
      </c>
      <c r="AH736">
        <v>-18.309361001564941</v>
      </c>
      <c r="AI736">
        <v>-95.678452328398379</v>
      </c>
      <c r="AJ736">
        <v>-22.009006216718269</v>
      </c>
      <c r="AK736">
        <v>-94.479259865410498</v>
      </c>
      <c r="AL736">
        <v>-21.733154823529411</v>
      </c>
      <c r="AM736">
        <v>4.0727063924376967</v>
      </c>
      <c r="AN736">
        <v>4.0216608467487829</v>
      </c>
    </row>
    <row r="737" spans="1:40" x14ac:dyDescent="0.25">
      <c r="A737" s="1" t="s">
        <v>785</v>
      </c>
      <c r="B737">
        <v>62955943199</v>
      </c>
      <c r="C737" t="s">
        <v>79</v>
      </c>
      <c r="D737" t="s">
        <v>127</v>
      </c>
      <c r="E737">
        <v>17455000000</v>
      </c>
      <c r="F737">
        <v>-2932000000</v>
      </c>
      <c r="G737">
        <v>-743000000</v>
      </c>
      <c r="H737">
        <v>-3230000000</v>
      </c>
      <c r="I737">
        <v>-3834000000</v>
      </c>
      <c r="J737">
        <v>-496000000</v>
      </c>
      <c r="K737">
        <v>4295000000</v>
      </c>
      <c r="L737">
        <v>-132000000</v>
      </c>
      <c r="M737">
        <v>4295000000</v>
      </c>
      <c r="N737">
        <v>8819000000</v>
      </c>
      <c r="O737">
        <v>1454000000</v>
      </c>
      <c r="P737">
        <v>185000000</v>
      </c>
      <c r="Q737">
        <v>10920000000</v>
      </c>
      <c r="R737">
        <v>9024000000</v>
      </c>
      <c r="S737">
        <v>23425000000</v>
      </c>
      <c r="T737">
        <v>0</v>
      </c>
      <c r="U737">
        <v>891000000</v>
      </c>
      <c r="V737">
        <v>14458000000</v>
      </c>
      <c r="W737">
        <v>69765943199</v>
      </c>
      <c r="X737">
        <v>70656943199</v>
      </c>
      <c r="Y737">
        <v>3.6067569864795188</v>
      </c>
      <c r="Z737">
        <v>-21.472013369372441</v>
      </c>
      <c r="AA737">
        <v>-84.732090442799461</v>
      </c>
      <c r="AB737">
        <v>-19.491004086377711</v>
      </c>
      <c r="AC737">
        <v>-16.420433802556079</v>
      </c>
      <c r="AD737">
        <v>-126.92730483669359</v>
      </c>
      <c r="AE737">
        <v>-24.098548157912688</v>
      </c>
      <c r="AF737">
        <v>-23.794660026944069</v>
      </c>
      <c r="AG737">
        <v>-18.429041001304121</v>
      </c>
      <c r="AH737">
        <v>-18.196646635106941</v>
      </c>
      <c r="AI737">
        <v>-95.096827993270523</v>
      </c>
      <c r="AJ737">
        <v>-21.875214612693501</v>
      </c>
      <c r="AK737">
        <v>-93.897635530282642</v>
      </c>
      <c r="AL737">
        <v>-21.599363219504639</v>
      </c>
      <c r="AM737">
        <v>4.0479486221140073</v>
      </c>
      <c r="AN737">
        <v>3.996903076425093</v>
      </c>
    </row>
    <row r="738" spans="1:40" x14ac:dyDescent="0.25">
      <c r="A738" s="1" t="s">
        <v>784</v>
      </c>
      <c r="B738">
        <v>62936300160</v>
      </c>
      <c r="C738" t="s">
        <v>79</v>
      </c>
      <c r="D738" t="s">
        <v>127</v>
      </c>
      <c r="E738">
        <v>17455000000</v>
      </c>
      <c r="F738">
        <v>-2932000000</v>
      </c>
      <c r="G738">
        <v>-743000000</v>
      </c>
      <c r="H738">
        <v>-3230000000</v>
      </c>
      <c r="I738">
        <v>-3834000000</v>
      </c>
      <c r="J738">
        <v>-496000000</v>
      </c>
      <c r="K738">
        <v>4295000000</v>
      </c>
      <c r="L738">
        <v>-132000000</v>
      </c>
      <c r="M738">
        <v>4295000000</v>
      </c>
      <c r="N738">
        <v>8819000000</v>
      </c>
      <c r="O738">
        <v>1454000000</v>
      </c>
      <c r="P738">
        <v>185000000</v>
      </c>
      <c r="Q738">
        <v>10920000000</v>
      </c>
      <c r="R738">
        <v>9024000000</v>
      </c>
      <c r="S738">
        <v>23425000000</v>
      </c>
      <c r="T738">
        <v>0</v>
      </c>
      <c r="U738">
        <v>891000000</v>
      </c>
      <c r="V738">
        <v>14458000000</v>
      </c>
      <c r="W738">
        <v>69746300160</v>
      </c>
      <c r="X738">
        <v>70637300160</v>
      </c>
      <c r="Y738">
        <v>3.6056316333428819</v>
      </c>
      <c r="Z738">
        <v>-21.46531383356071</v>
      </c>
      <c r="AA738">
        <v>-84.705652974427991</v>
      </c>
      <c r="AB738">
        <v>-19.4849226501548</v>
      </c>
      <c r="AC738">
        <v>-16.41531042253521</v>
      </c>
      <c r="AD738">
        <v>-126.8877019354839</v>
      </c>
      <c r="AE738">
        <v>-24.091848622100951</v>
      </c>
      <c r="AF738">
        <v>-23.787960491132331</v>
      </c>
      <c r="AG738">
        <v>-18.423917621283259</v>
      </c>
      <c r="AH738">
        <v>-18.191523255086071</v>
      </c>
      <c r="AI738">
        <v>-95.070390524899054</v>
      </c>
      <c r="AJ738">
        <v>-21.869133176470591</v>
      </c>
      <c r="AK738">
        <v>-93.871198061911173</v>
      </c>
      <c r="AL738">
        <v>-21.593281783281729</v>
      </c>
      <c r="AM738">
        <v>4.04682326897737</v>
      </c>
      <c r="AN738">
        <v>3.9957777232884562</v>
      </c>
    </row>
    <row r="739" spans="1:40" x14ac:dyDescent="0.25">
      <c r="A739" s="1" t="s">
        <v>783</v>
      </c>
      <c r="B739">
        <v>62838084960</v>
      </c>
      <c r="C739" t="s">
        <v>79</v>
      </c>
      <c r="D739" t="s">
        <v>127</v>
      </c>
      <c r="E739">
        <v>17455000000</v>
      </c>
      <c r="F739">
        <v>-2932000000</v>
      </c>
      <c r="G739">
        <v>-743000000</v>
      </c>
      <c r="H739">
        <v>-3230000000</v>
      </c>
      <c r="I739">
        <v>-3834000000</v>
      </c>
      <c r="J739">
        <v>-496000000</v>
      </c>
      <c r="K739">
        <v>4295000000</v>
      </c>
      <c r="L739">
        <v>-132000000</v>
      </c>
      <c r="M739">
        <v>4295000000</v>
      </c>
      <c r="N739">
        <v>8819000000</v>
      </c>
      <c r="O739">
        <v>1454000000</v>
      </c>
      <c r="P739">
        <v>185000000</v>
      </c>
      <c r="Q739">
        <v>10920000000</v>
      </c>
      <c r="R739">
        <v>9024000000</v>
      </c>
      <c r="S739">
        <v>23425000000</v>
      </c>
      <c r="T739">
        <v>0</v>
      </c>
      <c r="U739">
        <v>891000000</v>
      </c>
      <c r="V739">
        <v>14458000000</v>
      </c>
      <c r="W739">
        <v>69648084960</v>
      </c>
      <c r="X739">
        <v>70539084960</v>
      </c>
      <c r="Y739">
        <v>3.600004867373245</v>
      </c>
      <c r="Z739">
        <v>-21.431816152796721</v>
      </c>
      <c r="AA739">
        <v>-84.57346562584118</v>
      </c>
      <c r="AB739">
        <v>-19.454515467492261</v>
      </c>
      <c r="AC739">
        <v>-16.389693521126759</v>
      </c>
      <c r="AD739">
        <v>-126.6896874193548</v>
      </c>
      <c r="AE739">
        <v>-24.058350941336968</v>
      </c>
      <c r="AF739">
        <v>-23.754462810368349</v>
      </c>
      <c r="AG739">
        <v>-18.398300719874801</v>
      </c>
      <c r="AH739">
        <v>-18.16590635367762</v>
      </c>
      <c r="AI739">
        <v>-94.938203176312243</v>
      </c>
      <c r="AJ739">
        <v>-21.838725993808051</v>
      </c>
      <c r="AK739">
        <v>-93.739010713324362</v>
      </c>
      <c r="AL739">
        <v>-21.5628746006192</v>
      </c>
      <c r="AM739">
        <v>4.0411965030077344</v>
      </c>
      <c r="AN739">
        <v>3.9901509573188201</v>
      </c>
    </row>
    <row r="740" spans="1:40" x14ac:dyDescent="0.25">
      <c r="A740" s="1" t="s">
        <v>782</v>
      </c>
      <c r="B740">
        <v>64095239520</v>
      </c>
      <c r="C740" t="s">
        <v>79</v>
      </c>
      <c r="D740" t="s">
        <v>127</v>
      </c>
      <c r="E740">
        <v>17455000000</v>
      </c>
      <c r="F740">
        <v>-2932000000</v>
      </c>
      <c r="G740">
        <v>-743000000</v>
      </c>
      <c r="H740">
        <v>-3230000000</v>
      </c>
      <c r="I740">
        <v>-3834000000</v>
      </c>
      <c r="J740">
        <v>-496000000</v>
      </c>
      <c r="K740">
        <v>4295000000</v>
      </c>
      <c r="L740">
        <v>-132000000</v>
      </c>
      <c r="M740">
        <v>4295000000</v>
      </c>
      <c r="N740">
        <v>8819000000</v>
      </c>
      <c r="O740">
        <v>1454000000</v>
      </c>
      <c r="P740">
        <v>185000000</v>
      </c>
      <c r="Q740">
        <v>10920000000</v>
      </c>
      <c r="R740">
        <v>9024000000</v>
      </c>
      <c r="S740">
        <v>23425000000</v>
      </c>
      <c r="T740">
        <v>0</v>
      </c>
      <c r="U740">
        <v>891000000</v>
      </c>
      <c r="V740">
        <v>14458000000</v>
      </c>
      <c r="W740">
        <v>70905239520</v>
      </c>
      <c r="X740">
        <v>71796239520</v>
      </c>
      <c r="Y740">
        <v>3.6720274717845891</v>
      </c>
      <c r="Z740">
        <v>-21.860586466575711</v>
      </c>
      <c r="AA740">
        <v>-86.265463687752359</v>
      </c>
      <c r="AB740">
        <v>-19.843727405572761</v>
      </c>
      <c r="AC740">
        <v>-16.717589859154931</v>
      </c>
      <c r="AD740">
        <v>-129.22427322580651</v>
      </c>
      <c r="AE740">
        <v>-24.487121255115959</v>
      </c>
      <c r="AF740">
        <v>-24.183233124147339</v>
      </c>
      <c r="AG740">
        <v>-18.726197057902969</v>
      </c>
      <c r="AH740">
        <v>-18.493802691705788</v>
      </c>
      <c r="AI740">
        <v>-96.630201238223421</v>
      </c>
      <c r="AJ740">
        <v>-22.22793793188854</v>
      </c>
      <c r="AK740">
        <v>-95.431008775235526</v>
      </c>
      <c r="AL740">
        <v>-21.952086538699689</v>
      </c>
      <c r="AM740">
        <v>4.113219107419078</v>
      </c>
      <c r="AN740">
        <v>4.0621735617301633</v>
      </c>
    </row>
    <row r="741" spans="1:40" x14ac:dyDescent="0.25">
      <c r="A741" s="1" t="s">
        <v>781</v>
      </c>
      <c r="B741">
        <v>64193454720</v>
      </c>
      <c r="C741" t="s">
        <v>79</v>
      </c>
      <c r="D741" t="s">
        <v>127</v>
      </c>
      <c r="E741">
        <v>17455000000</v>
      </c>
      <c r="F741">
        <v>-2932000000</v>
      </c>
      <c r="G741">
        <v>-743000000</v>
      </c>
      <c r="H741">
        <v>-3230000000</v>
      </c>
      <c r="I741">
        <v>-3834000000</v>
      </c>
      <c r="J741">
        <v>-496000000</v>
      </c>
      <c r="K741">
        <v>4295000000</v>
      </c>
      <c r="L741">
        <v>-132000000</v>
      </c>
      <c r="M741">
        <v>4295000000</v>
      </c>
      <c r="N741">
        <v>8819000000</v>
      </c>
      <c r="O741">
        <v>1454000000</v>
      </c>
      <c r="P741">
        <v>185000000</v>
      </c>
      <c r="Q741">
        <v>10920000000</v>
      </c>
      <c r="R741">
        <v>9024000000</v>
      </c>
      <c r="S741">
        <v>23425000000</v>
      </c>
      <c r="T741">
        <v>0</v>
      </c>
      <c r="U741">
        <v>891000000</v>
      </c>
      <c r="V741">
        <v>14458000000</v>
      </c>
      <c r="W741">
        <v>71003454720</v>
      </c>
      <c r="X741">
        <v>71894454720</v>
      </c>
      <c r="Y741">
        <v>3.6776542377542252</v>
      </c>
      <c r="Z741">
        <v>-21.894084147339701</v>
      </c>
      <c r="AA741">
        <v>-86.39765103633917</v>
      </c>
      <c r="AB741">
        <v>-19.87413458823529</v>
      </c>
      <c r="AC741">
        <v>-16.743206760563378</v>
      </c>
      <c r="AD741">
        <v>-129.42228774193549</v>
      </c>
      <c r="AE741">
        <v>-24.520618935879941</v>
      </c>
      <c r="AF741">
        <v>-24.216730804911322</v>
      </c>
      <c r="AG741">
        <v>-18.75181395931142</v>
      </c>
      <c r="AH741">
        <v>-18.51941959311424</v>
      </c>
      <c r="AI741">
        <v>-96.762388586810232</v>
      </c>
      <c r="AJ741">
        <v>-22.25834511455108</v>
      </c>
      <c r="AK741">
        <v>-95.563196123822337</v>
      </c>
      <c r="AL741">
        <v>-21.982493721362228</v>
      </c>
      <c r="AM741">
        <v>4.1188458733887137</v>
      </c>
      <c r="AN741">
        <v>4.0678003276997998</v>
      </c>
    </row>
    <row r="742" spans="1:40" x14ac:dyDescent="0.25">
      <c r="A742" s="1" t="s">
        <v>780</v>
      </c>
      <c r="B742">
        <v>62445224160</v>
      </c>
      <c r="C742" t="s">
        <v>79</v>
      </c>
      <c r="D742" t="s">
        <v>127</v>
      </c>
      <c r="E742">
        <v>17455000000</v>
      </c>
      <c r="F742">
        <v>-2932000000</v>
      </c>
      <c r="G742">
        <v>-743000000</v>
      </c>
      <c r="H742">
        <v>-3230000000</v>
      </c>
      <c r="I742">
        <v>-3834000000</v>
      </c>
      <c r="J742">
        <v>-496000000</v>
      </c>
      <c r="K742">
        <v>4295000000</v>
      </c>
      <c r="L742">
        <v>-132000000</v>
      </c>
      <c r="M742">
        <v>4295000000</v>
      </c>
      <c r="N742">
        <v>8819000000</v>
      </c>
      <c r="O742">
        <v>1454000000</v>
      </c>
      <c r="P742">
        <v>185000000</v>
      </c>
      <c r="Q742">
        <v>10920000000</v>
      </c>
      <c r="R742">
        <v>9024000000</v>
      </c>
      <c r="S742">
        <v>23425000000</v>
      </c>
      <c r="T742">
        <v>0</v>
      </c>
      <c r="U742">
        <v>891000000</v>
      </c>
      <c r="V742">
        <v>14458000000</v>
      </c>
      <c r="W742">
        <v>69255224160</v>
      </c>
      <c r="X742">
        <v>70146224160</v>
      </c>
      <c r="Y742">
        <v>3.5774978034947011</v>
      </c>
      <c r="Z742">
        <v>-21.29782542974079</v>
      </c>
      <c r="AA742">
        <v>-84.04471623149395</v>
      </c>
      <c r="AB742">
        <v>-19.332886736842109</v>
      </c>
      <c r="AC742">
        <v>-16.287225915492961</v>
      </c>
      <c r="AD742">
        <v>-125.8976293548387</v>
      </c>
      <c r="AE742">
        <v>-23.924360218281041</v>
      </c>
      <c r="AF742">
        <v>-23.620472087312411</v>
      </c>
      <c r="AG742">
        <v>-18.295833114240999</v>
      </c>
      <c r="AH742">
        <v>-18.063438748043819</v>
      </c>
      <c r="AI742">
        <v>-94.409453781965013</v>
      </c>
      <c r="AJ742">
        <v>-21.7170972631579</v>
      </c>
      <c r="AK742">
        <v>-93.210261318977118</v>
      </c>
      <c r="AL742">
        <v>-21.441245869969041</v>
      </c>
      <c r="AM742">
        <v>4.0186894391291892</v>
      </c>
      <c r="AN742">
        <v>3.9676438934402749</v>
      </c>
    </row>
    <row r="743" spans="1:40" x14ac:dyDescent="0.25">
      <c r="A743" s="1" t="s">
        <v>779</v>
      </c>
      <c r="B743">
        <v>66393475199</v>
      </c>
      <c r="C743" t="s">
        <v>79</v>
      </c>
      <c r="D743" t="s">
        <v>127</v>
      </c>
      <c r="E743">
        <v>17455000000</v>
      </c>
      <c r="F743">
        <v>-2932000000</v>
      </c>
      <c r="G743">
        <v>-743000000</v>
      </c>
      <c r="H743">
        <v>-3230000000</v>
      </c>
      <c r="I743">
        <v>-3834000000</v>
      </c>
      <c r="J743">
        <v>-496000000</v>
      </c>
      <c r="K743">
        <v>4295000000</v>
      </c>
      <c r="L743">
        <v>-132000000</v>
      </c>
      <c r="M743">
        <v>4295000000</v>
      </c>
      <c r="N743">
        <v>8819000000</v>
      </c>
      <c r="O743">
        <v>1454000000</v>
      </c>
      <c r="P743">
        <v>185000000</v>
      </c>
      <c r="Q743">
        <v>10920000000</v>
      </c>
      <c r="R743">
        <v>9024000000</v>
      </c>
      <c r="S743">
        <v>23425000000</v>
      </c>
      <c r="T743">
        <v>0</v>
      </c>
      <c r="U743">
        <v>891000000</v>
      </c>
      <c r="V743">
        <v>14458000000</v>
      </c>
      <c r="W743">
        <v>73203475199</v>
      </c>
      <c r="X743">
        <v>74094475199</v>
      </c>
      <c r="Y743">
        <v>3.8036937954167862</v>
      </c>
      <c r="Z743">
        <v>-22.644432196111872</v>
      </c>
      <c r="AA743">
        <v>-89.358647643337818</v>
      </c>
      <c r="AB743">
        <v>-20.555255479566561</v>
      </c>
      <c r="AC743">
        <v>-17.31702535185185</v>
      </c>
      <c r="AD743">
        <v>-133.85781290120971</v>
      </c>
      <c r="AE743">
        <v>-25.270966984652119</v>
      </c>
      <c r="AF743">
        <v>-24.967078853683489</v>
      </c>
      <c r="AG743">
        <v>-19.325632550599899</v>
      </c>
      <c r="AH743">
        <v>-19.093238184402711</v>
      </c>
      <c r="AI743">
        <v>-99.72338519380888</v>
      </c>
      <c r="AJ743">
        <v>-22.939466005882348</v>
      </c>
      <c r="AK743">
        <v>-98.524192730820999</v>
      </c>
      <c r="AL743">
        <v>-22.6636146126935</v>
      </c>
      <c r="AM743">
        <v>4.2448854310512747</v>
      </c>
      <c r="AN743">
        <v>4.19383988536236</v>
      </c>
    </row>
    <row r="744" spans="1:40" x14ac:dyDescent="0.25">
      <c r="A744" s="1" t="s">
        <v>778</v>
      </c>
      <c r="B744">
        <v>65234535840</v>
      </c>
      <c r="C744" t="s">
        <v>79</v>
      </c>
      <c r="D744" t="s">
        <v>127</v>
      </c>
      <c r="E744">
        <v>17455000000</v>
      </c>
      <c r="F744">
        <v>-2932000000</v>
      </c>
      <c r="G744">
        <v>-743000000</v>
      </c>
      <c r="H744">
        <v>-3230000000</v>
      </c>
      <c r="I744">
        <v>-3834000000</v>
      </c>
      <c r="J744">
        <v>-496000000</v>
      </c>
      <c r="K744">
        <v>4295000000</v>
      </c>
      <c r="L744">
        <v>-132000000</v>
      </c>
      <c r="M744">
        <v>4295000000</v>
      </c>
      <c r="N744">
        <v>8819000000</v>
      </c>
      <c r="O744">
        <v>1454000000</v>
      </c>
      <c r="P744">
        <v>185000000</v>
      </c>
      <c r="Q744">
        <v>10920000000</v>
      </c>
      <c r="R744">
        <v>9024000000</v>
      </c>
      <c r="S744">
        <v>23425000000</v>
      </c>
      <c r="T744">
        <v>0</v>
      </c>
      <c r="U744">
        <v>891000000</v>
      </c>
      <c r="V744">
        <v>14458000000</v>
      </c>
      <c r="W744">
        <v>72044535840</v>
      </c>
      <c r="X744">
        <v>72935535840</v>
      </c>
      <c r="Y744">
        <v>3.7372979570323688</v>
      </c>
      <c r="Z744">
        <v>-22.249159563437932</v>
      </c>
      <c r="AA744">
        <v>-87.798836931359361</v>
      </c>
      <c r="AB744">
        <v>-20.196450724458209</v>
      </c>
      <c r="AC744">
        <v>-17.014745915492959</v>
      </c>
      <c r="AD744">
        <v>-131.5212416129032</v>
      </c>
      <c r="AE744">
        <v>-24.875694351978169</v>
      </c>
      <c r="AF744">
        <v>-24.571806221009549</v>
      </c>
      <c r="AG744">
        <v>-19.023353114241001</v>
      </c>
      <c r="AH744">
        <v>-18.79095874804382</v>
      </c>
      <c r="AI744">
        <v>-98.163574481830423</v>
      </c>
      <c r="AJ744">
        <v>-22.580661250773989</v>
      </c>
      <c r="AK744">
        <v>-96.964382018842528</v>
      </c>
      <c r="AL744">
        <v>-22.304809857585141</v>
      </c>
      <c r="AM744">
        <v>4.1784895926668577</v>
      </c>
      <c r="AN744">
        <v>4.127444046977943</v>
      </c>
    </row>
    <row r="745" spans="1:40" x14ac:dyDescent="0.25">
      <c r="A745" s="1" t="s">
        <v>777</v>
      </c>
      <c r="B745">
        <v>62229150720</v>
      </c>
      <c r="C745" t="s">
        <v>79</v>
      </c>
      <c r="D745" t="s">
        <v>127</v>
      </c>
      <c r="E745">
        <v>17455000000</v>
      </c>
      <c r="F745">
        <v>-2932000000</v>
      </c>
      <c r="G745">
        <v>-743000000</v>
      </c>
      <c r="H745">
        <v>-3230000000</v>
      </c>
      <c r="I745">
        <v>-3834000000</v>
      </c>
      <c r="J745">
        <v>-496000000</v>
      </c>
      <c r="K745">
        <v>4295000000</v>
      </c>
      <c r="L745">
        <v>-132000000</v>
      </c>
      <c r="M745">
        <v>4295000000</v>
      </c>
      <c r="N745">
        <v>8819000000</v>
      </c>
      <c r="O745">
        <v>1454000000</v>
      </c>
      <c r="P745">
        <v>185000000</v>
      </c>
      <c r="Q745">
        <v>10920000000</v>
      </c>
      <c r="R745">
        <v>9024000000</v>
      </c>
      <c r="S745">
        <v>23425000000</v>
      </c>
      <c r="T745">
        <v>0</v>
      </c>
      <c r="U745">
        <v>891000000</v>
      </c>
      <c r="V745">
        <v>14458000000</v>
      </c>
      <c r="W745">
        <v>69039150720</v>
      </c>
      <c r="X745">
        <v>69930150720</v>
      </c>
      <c r="Y745">
        <v>3.5651189183615011</v>
      </c>
      <c r="Z745">
        <v>-21.22413053206003</v>
      </c>
      <c r="AA745">
        <v>-83.753904064602963</v>
      </c>
      <c r="AB745">
        <v>-19.265990934984519</v>
      </c>
      <c r="AC745">
        <v>-16.23086873239437</v>
      </c>
      <c r="AD745">
        <v>-125.4619974193548</v>
      </c>
      <c r="AE745">
        <v>-23.850665320600271</v>
      </c>
      <c r="AF745">
        <v>-23.546777189631651</v>
      </c>
      <c r="AG745">
        <v>-18.239475931142412</v>
      </c>
      <c r="AH745">
        <v>-18.007081564945231</v>
      </c>
      <c r="AI745">
        <v>-94.118641615074026</v>
      </c>
      <c r="AJ745">
        <v>-21.650201461300309</v>
      </c>
      <c r="AK745">
        <v>-92.919449152086131</v>
      </c>
      <c r="AL745">
        <v>-21.37435006811145</v>
      </c>
      <c r="AM745">
        <v>4.0063105539959896</v>
      </c>
      <c r="AN745">
        <v>3.9552650083070748</v>
      </c>
    </row>
    <row r="746" spans="1:40" x14ac:dyDescent="0.25">
      <c r="A746" s="1" t="s">
        <v>776</v>
      </c>
      <c r="B746">
        <v>60559492320</v>
      </c>
      <c r="C746" t="s">
        <v>79</v>
      </c>
      <c r="D746" t="s">
        <v>127</v>
      </c>
      <c r="E746">
        <v>17455000000</v>
      </c>
      <c r="F746">
        <v>-2932000000</v>
      </c>
      <c r="G746">
        <v>-743000000</v>
      </c>
      <c r="H746">
        <v>-3230000000</v>
      </c>
      <c r="I746">
        <v>-3834000000</v>
      </c>
      <c r="J746">
        <v>-496000000</v>
      </c>
      <c r="K746">
        <v>4295000000</v>
      </c>
      <c r="L746">
        <v>-132000000</v>
      </c>
      <c r="M746">
        <v>4295000000</v>
      </c>
      <c r="N746">
        <v>8819000000</v>
      </c>
      <c r="O746">
        <v>1454000000</v>
      </c>
      <c r="P746">
        <v>185000000</v>
      </c>
      <c r="Q746">
        <v>10920000000</v>
      </c>
      <c r="R746">
        <v>9024000000</v>
      </c>
      <c r="S746">
        <v>23425000000</v>
      </c>
      <c r="T746">
        <v>0</v>
      </c>
      <c r="U746">
        <v>891000000</v>
      </c>
      <c r="V746">
        <v>14458000000</v>
      </c>
      <c r="W746">
        <v>67369492320</v>
      </c>
      <c r="X746">
        <v>68260492320</v>
      </c>
      <c r="Y746">
        <v>3.4694638968776861</v>
      </c>
      <c r="Z746">
        <v>-20.654669959072301</v>
      </c>
      <c r="AA746">
        <v>-81.50671913862719</v>
      </c>
      <c r="AB746">
        <v>-18.749068829721359</v>
      </c>
      <c r="AC746">
        <v>-15.7953814084507</v>
      </c>
      <c r="AD746">
        <v>-122.0957506451613</v>
      </c>
      <c r="AE746">
        <v>-23.281204747612549</v>
      </c>
      <c r="AF746">
        <v>-22.977316616643929</v>
      </c>
      <c r="AG746">
        <v>-17.80398860719875</v>
      </c>
      <c r="AH746">
        <v>-17.57159424100157</v>
      </c>
      <c r="AI746">
        <v>-91.871456689098252</v>
      </c>
      <c r="AJ746">
        <v>-21.13327935603715</v>
      </c>
      <c r="AK746">
        <v>-90.672264226110357</v>
      </c>
      <c r="AL746">
        <v>-20.857427962848298</v>
      </c>
      <c r="AM746">
        <v>3.9106555325121741</v>
      </c>
      <c r="AN746">
        <v>3.8596099868232598</v>
      </c>
    </row>
    <row r="747" spans="1:40" x14ac:dyDescent="0.25">
      <c r="A747" s="1" t="s">
        <v>775</v>
      </c>
      <c r="B747">
        <v>63722021759</v>
      </c>
      <c r="C747" t="s">
        <v>79</v>
      </c>
      <c r="D747" t="s">
        <v>127</v>
      </c>
      <c r="E747">
        <v>17455000000</v>
      </c>
      <c r="F747">
        <v>-2932000000</v>
      </c>
      <c r="G747">
        <v>-743000000</v>
      </c>
      <c r="H747">
        <v>-3230000000</v>
      </c>
      <c r="I747">
        <v>-3834000000</v>
      </c>
      <c r="J747">
        <v>-496000000</v>
      </c>
      <c r="K747">
        <v>4295000000</v>
      </c>
      <c r="L747">
        <v>-132000000</v>
      </c>
      <c r="M747">
        <v>4295000000</v>
      </c>
      <c r="N747">
        <v>8819000000</v>
      </c>
      <c r="O747">
        <v>1454000000</v>
      </c>
      <c r="P747">
        <v>185000000</v>
      </c>
      <c r="Q747">
        <v>10920000000</v>
      </c>
      <c r="R747">
        <v>9024000000</v>
      </c>
      <c r="S747">
        <v>23425000000</v>
      </c>
      <c r="T747">
        <v>0</v>
      </c>
      <c r="U747">
        <v>891000000</v>
      </c>
      <c r="V747">
        <v>14458000000</v>
      </c>
      <c r="W747">
        <v>70532021759</v>
      </c>
      <c r="X747">
        <v>71423021759</v>
      </c>
      <c r="Y747">
        <v>3.6506457610426808</v>
      </c>
      <c r="Z747">
        <v>-21.733295279331511</v>
      </c>
      <c r="AA747">
        <v>-85.763151761776584</v>
      </c>
      <c r="AB747">
        <v>-19.728180111145509</v>
      </c>
      <c r="AC747">
        <v>-16.620245633541991</v>
      </c>
      <c r="AD747">
        <v>-128.47181806250001</v>
      </c>
      <c r="AE747">
        <v>-24.359830067871759</v>
      </c>
      <c r="AF747">
        <v>-24.055941936903139</v>
      </c>
      <c r="AG747">
        <v>-18.62885283229004</v>
      </c>
      <c r="AH747">
        <v>-18.396458466092849</v>
      </c>
      <c r="AI747">
        <v>-96.127889312247646</v>
      </c>
      <c r="AJ747">
        <v>-22.112390637461299</v>
      </c>
      <c r="AK747">
        <v>-94.928696849259751</v>
      </c>
      <c r="AL747">
        <v>-21.836539244272441</v>
      </c>
      <c r="AM747">
        <v>4.0918373966771702</v>
      </c>
      <c r="AN747">
        <v>4.0407918509882554</v>
      </c>
    </row>
    <row r="748" spans="1:40" x14ac:dyDescent="0.25">
      <c r="A748" s="1" t="s">
        <v>774</v>
      </c>
      <c r="B748">
        <v>61541644320</v>
      </c>
      <c r="C748" t="s">
        <v>79</v>
      </c>
      <c r="D748" t="s">
        <v>127</v>
      </c>
      <c r="E748">
        <v>17455000000</v>
      </c>
      <c r="F748">
        <v>-2932000000</v>
      </c>
      <c r="G748">
        <v>-743000000</v>
      </c>
      <c r="H748">
        <v>-3230000000</v>
      </c>
      <c r="I748">
        <v>-3834000000</v>
      </c>
      <c r="J748">
        <v>-496000000</v>
      </c>
      <c r="K748">
        <v>4295000000</v>
      </c>
      <c r="L748">
        <v>-132000000</v>
      </c>
      <c r="M748">
        <v>4295000000</v>
      </c>
      <c r="N748">
        <v>8819000000</v>
      </c>
      <c r="O748">
        <v>1454000000</v>
      </c>
      <c r="P748">
        <v>185000000</v>
      </c>
      <c r="Q748">
        <v>10920000000</v>
      </c>
      <c r="R748">
        <v>9024000000</v>
      </c>
      <c r="S748">
        <v>23425000000</v>
      </c>
      <c r="T748">
        <v>0</v>
      </c>
      <c r="U748">
        <v>891000000</v>
      </c>
      <c r="V748">
        <v>14458000000</v>
      </c>
      <c r="W748">
        <v>68351644320</v>
      </c>
      <c r="X748">
        <v>69242644320</v>
      </c>
      <c r="Y748">
        <v>3.5257315565740481</v>
      </c>
      <c r="Z748">
        <v>-20.989646766712141</v>
      </c>
      <c r="AA748">
        <v>-82.828592624495286</v>
      </c>
      <c r="AB748">
        <v>-19.053140656346748</v>
      </c>
      <c r="AC748">
        <v>-16.051550422535211</v>
      </c>
      <c r="AD748">
        <v>-124.0758958064516</v>
      </c>
      <c r="AE748">
        <v>-23.616181555252389</v>
      </c>
      <c r="AF748">
        <v>-23.312293424283769</v>
      </c>
      <c r="AG748">
        <v>-18.06015762128326</v>
      </c>
      <c r="AH748">
        <v>-17.827763255086069</v>
      </c>
      <c r="AI748">
        <v>-93.193330174966349</v>
      </c>
      <c r="AJ748">
        <v>-21.437351182662539</v>
      </c>
      <c r="AK748">
        <v>-91.994137711978468</v>
      </c>
      <c r="AL748">
        <v>-21.16149978947368</v>
      </c>
      <c r="AM748">
        <v>3.9669231922085362</v>
      </c>
      <c r="AN748">
        <v>3.9158776465196219</v>
      </c>
    </row>
    <row r="749" spans="1:40" x14ac:dyDescent="0.25">
      <c r="A749" s="1" t="s">
        <v>773</v>
      </c>
      <c r="B749">
        <v>60264846720</v>
      </c>
      <c r="C749" t="s">
        <v>79</v>
      </c>
      <c r="D749" t="s">
        <v>127</v>
      </c>
      <c r="E749">
        <v>17455000000</v>
      </c>
      <c r="F749">
        <v>-2932000000</v>
      </c>
      <c r="G749">
        <v>-743000000</v>
      </c>
      <c r="H749">
        <v>-3230000000</v>
      </c>
      <c r="I749">
        <v>-3834000000</v>
      </c>
      <c r="J749">
        <v>-496000000</v>
      </c>
      <c r="K749">
        <v>4295000000</v>
      </c>
      <c r="L749">
        <v>-132000000</v>
      </c>
      <c r="M749">
        <v>4295000000</v>
      </c>
      <c r="N749">
        <v>8819000000</v>
      </c>
      <c r="O749">
        <v>1454000000</v>
      </c>
      <c r="P749">
        <v>185000000</v>
      </c>
      <c r="Q749">
        <v>10920000000</v>
      </c>
      <c r="R749">
        <v>9024000000</v>
      </c>
      <c r="S749">
        <v>23425000000</v>
      </c>
      <c r="T749">
        <v>0</v>
      </c>
      <c r="U749">
        <v>891000000</v>
      </c>
      <c r="V749">
        <v>14458000000</v>
      </c>
      <c r="W749">
        <v>67074846720</v>
      </c>
      <c r="X749">
        <v>67965846720</v>
      </c>
      <c r="Y749">
        <v>3.452583598968777</v>
      </c>
      <c r="Z749">
        <v>-20.554176916780349</v>
      </c>
      <c r="AA749">
        <v>-81.110157092866757</v>
      </c>
      <c r="AB749">
        <v>-18.657847281733751</v>
      </c>
      <c r="AC749">
        <v>-15.718530704225349</v>
      </c>
      <c r="AD749">
        <v>-121.5017070967742</v>
      </c>
      <c r="AE749">
        <v>-23.180711705320601</v>
      </c>
      <c r="AF749">
        <v>-22.876823574351981</v>
      </c>
      <c r="AG749">
        <v>-17.7271379029734</v>
      </c>
      <c r="AH749">
        <v>-17.494743536776209</v>
      </c>
      <c r="AI749">
        <v>-91.474894643337819</v>
      </c>
      <c r="AJ749">
        <v>-21.042057808049531</v>
      </c>
      <c r="AK749">
        <v>-90.275702180349938</v>
      </c>
      <c r="AL749">
        <v>-20.76620641486068</v>
      </c>
      <c r="AM749">
        <v>3.893775234603265</v>
      </c>
      <c r="AN749">
        <v>3.8427296889143512</v>
      </c>
    </row>
    <row r="750" spans="1:40" x14ac:dyDescent="0.25">
      <c r="A750" s="1" t="s">
        <v>772</v>
      </c>
      <c r="B750">
        <v>64468457280</v>
      </c>
      <c r="C750" t="s">
        <v>79</v>
      </c>
      <c r="D750" t="s">
        <v>127</v>
      </c>
      <c r="E750">
        <v>17455000000</v>
      </c>
      <c r="F750">
        <v>-2932000000</v>
      </c>
      <c r="G750">
        <v>-743000000</v>
      </c>
      <c r="H750">
        <v>-3230000000</v>
      </c>
      <c r="I750">
        <v>-3834000000</v>
      </c>
      <c r="J750">
        <v>-496000000</v>
      </c>
      <c r="K750">
        <v>4295000000</v>
      </c>
      <c r="L750">
        <v>-132000000</v>
      </c>
      <c r="M750">
        <v>4295000000</v>
      </c>
      <c r="N750">
        <v>8819000000</v>
      </c>
      <c r="O750">
        <v>1454000000</v>
      </c>
      <c r="P750">
        <v>185000000</v>
      </c>
      <c r="Q750">
        <v>10920000000</v>
      </c>
      <c r="R750">
        <v>9024000000</v>
      </c>
      <c r="S750">
        <v>23425000000</v>
      </c>
      <c r="T750">
        <v>0</v>
      </c>
      <c r="U750">
        <v>891000000</v>
      </c>
      <c r="V750">
        <v>14458000000</v>
      </c>
      <c r="W750">
        <v>71278457280</v>
      </c>
      <c r="X750">
        <v>72169457280</v>
      </c>
      <c r="Y750">
        <v>3.6934091824692059</v>
      </c>
      <c r="Z750">
        <v>-21.987877653478851</v>
      </c>
      <c r="AA750">
        <v>-86.767775612382238</v>
      </c>
      <c r="AB750">
        <v>-19.9592746996904</v>
      </c>
      <c r="AC750">
        <v>-16.814934084507041</v>
      </c>
      <c r="AD750">
        <v>-129.97672838709681</v>
      </c>
      <c r="AE750">
        <v>-24.614412442019098</v>
      </c>
      <c r="AF750">
        <v>-24.310524311050479</v>
      </c>
      <c r="AG750">
        <v>-18.823541283255089</v>
      </c>
      <c r="AH750">
        <v>-18.591146917057898</v>
      </c>
      <c r="AI750">
        <v>-97.1325131628533</v>
      </c>
      <c r="AJ750">
        <v>-22.343485226006191</v>
      </c>
      <c r="AK750">
        <v>-95.933320699865405</v>
      </c>
      <c r="AL750">
        <v>-22.067633832817339</v>
      </c>
      <c r="AM750">
        <v>4.1346008181036948</v>
      </c>
      <c r="AN750">
        <v>4.083555272414781</v>
      </c>
    </row>
    <row r="751" spans="1:40" x14ac:dyDescent="0.25">
      <c r="A751" s="1" t="s">
        <v>771</v>
      </c>
      <c r="B751">
        <v>61836289920</v>
      </c>
      <c r="C751" t="s">
        <v>79</v>
      </c>
      <c r="D751" t="s">
        <v>127</v>
      </c>
      <c r="E751">
        <v>17455000000</v>
      </c>
      <c r="F751">
        <v>-2932000000</v>
      </c>
      <c r="G751">
        <v>-743000000</v>
      </c>
      <c r="H751">
        <v>-3230000000</v>
      </c>
      <c r="I751">
        <v>-3834000000</v>
      </c>
      <c r="J751">
        <v>-496000000</v>
      </c>
      <c r="K751">
        <v>4295000000</v>
      </c>
      <c r="L751">
        <v>-132000000</v>
      </c>
      <c r="M751">
        <v>4295000000</v>
      </c>
      <c r="N751">
        <v>8819000000</v>
      </c>
      <c r="O751">
        <v>1454000000</v>
      </c>
      <c r="P751">
        <v>185000000</v>
      </c>
      <c r="Q751">
        <v>10920000000</v>
      </c>
      <c r="R751">
        <v>9024000000</v>
      </c>
      <c r="S751">
        <v>23425000000</v>
      </c>
      <c r="T751">
        <v>0</v>
      </c>
      <c r="U751">
        <v>891000000</v>
      </c>
      <c r="V751">
        <v>14458000000</v>
      </c>
      <c r="W751">
        <v>68646289920</v>
      </c>
      <c r="X751">
        <v>69537289920</v>
      </c>
      <c r="Y751">
        <v>3.5426118544829559</v>
      </c>
      <c r="Z751">
        <v>-21.090139809004089</v>
      </c>
      <c r="AA751">
        <v>-83.225154670255719</v>
      </c>
      <c r="AB751">
        <v>-19.14436220433436</v>
      </c>
      <c r="AC751">
        <v>-16.128401126760561</v>
      </c>
      <c r="AD751">
        <v>-124.6699393548387</v>
      </c>
      <c r="AE751">
        <v>-23.71667459754434</v>
      </c>
      <c r="AF751">
        <v>-23.412786466575721</v>
      </c>
      <c r="AG751">
        <v>-18.13700832550861</v>
      </c>
      <c r="AH751">
        <v>-17.904613959311419</v>
      </c>
      <c r="AI751">
        <v>-93.589892220726782</v>
      </c>
      <c r="AJ751">
        <v>-21.528572730650151</v>
      </c>
      <c r="AK751">
        <v>-92.390699757738901</v>
      </c>
      <c r="AL751">
        <v>-21.252721337461299</v>
      </c>
      <c r="AM751">
        <v>3.9838034901174448</v>
      </c>
      <c r="AN751">
        <v>3.932757944428531</v>
      </c>
    </row>
    <row r="752" spans="1:40" x14ac:dyDescent="0.25">
      <c r="A752" s="1" t="s">
        <v>770</v>
      </c>
      <c r="B752">
        <v>59695198560</v>
      </c>
      <c r="C752" t="s">
        <v>79</v>
      </c>
      <c r="D752" t="s">
        <v>127</v>
      </c>
      <c r="E752">
        <v>17455000000</v>
      </c>
      <c r="F752">
        <v>-2932000000</v>
      </c>
      <c r="G752">
        <v>-743000000</v>
      </c>
      <c r="H752">
        <v>-3230000000</v>
      </c>
      <c r="I752">
        <v>-3834000000</v>
      </c>
      <c r="J752">
        <v>-496000000</v>
      </c>
      <c r="K752">
        <v>4295000000</v>
      </c>
      <c r="L752">
        <v>-132000000</v>
      </c>
      <c r="M752">
        <v>4295000000</v>
      </c>
      <c r="N752">
        <v>8819000000</v>
      </c>
      <c r="O752">
        <v>1454000000</v>
      </c>
      <c r="P752">
        <v>185000000</v>
      </c>
      <c r="Q752">
        <v>10920000000</v>
      </c>
      <c r="R752">
        <v>9024000000</v>
      </c>
      <c r="S752">
        <v>23425000000</v>
      </c>
      <c r="T752">
        <v>0</v>
      </c>
      <c r="U752">
        <v>891000000</v>
      </c>
      <c r="V752">
        <v>14458000000</v>
      </c>
      <c r="W752">
        <v>66505198560</v>
      </c>
      <c r="X752">
        <v>67396198560</v>
      </c>
      <c r="Y752">
        <v>3.4199483563448871</v>
      </c>
      <c r="Z752">
        <v>-20.359890368349252</v>
      </c>
      <c r="AA752">
        <v>-80.343470471063256</v>
      </c>
      <c r="AB752">
        <v>-18.481485622291022</v>
      </c>
      <c r="AC752">
        <v>-15.56995267605634</v>
      </c>
      <c r="AD752">
        <v>-120.3532229032258</v>
      </c>
      <c r="AE752">
        <v>-22.986425156889499</v>
      </c>
      <c r="AF752">
        <v>-22.682537025920869</v>
      </c>
      <c r="AG752">
        <v>-17.57855987480438</v>
      </c>
      <c r="AH752">
        <v>-17.3461655086072</v>
      </c>
      <c r="AI752">
        <v>-90.708208021534318</v>
      </c>
      <c r="AJ752">
        <v>-20.865696148606808</v>
      </c>
      <c r="AK752">
        <v>-89.509015558546437</v>
      </c>
      <c r="AL752">
        <v>-20.58984475541796</v>
      </c>
      <c r="AM752">
        <v>3.8611399919793761</v>
      </c>
      <c r="AN752">
        <v>3.8100944462904609</v>
      </c>
    </row>
    <row r="753" spans="1:40" x14ac:dyDescent="0.25">
      <c r="A753" s="1" t="s">
        <v>769</v>
      </c>
      <c r="B753">
        <v>57888038880</v>
      </c>
      <c r="C753" t="s">
        <v>79</v>
      </c>
      <c r="D753" t="s">
        <v>127</v>
      </c>
      <c r="E753">
        <v>17455000000</v>
      </c>
      <c r="F753">
        <v>-2932000000</v>
      </c>
      <c r="G753">
        <v>-743000000</v>
      </c>
      <c r="H753">
        <v>-3230000000</v>
      </c>
      <c r="I753">
        <v>-3834000000</v>
      </c>
      <c r="J753">
        <v>-496000000</v>
      </c>
      <c r="K753">
        <v>4295000000</v>
      </c>
      <c r="L753">
        <v>-132000000</v>
      </c>
      <c r="M753">
        <v>4295000000</v>
      </c>
      <c r="N753">
        <v>8819000000</v>
      </c>
      <c r="O753">
        <v>1454000000</v>
      </c>
      <c r="P753">
        <v>185000000</v>
      </c>
      <c r="Q753">
        <v>10920000000</v>
      </c>
      <c r="R753">
        <v>9024000000</v>
      </c>
      <c r="S753">
        <v>23425000000</v>
      </c>
      <c r="T753">
        <v>0</v>
      </c>
      <c r="U753">
        <v>891000000</v>
      </c>
      <c r="V753">
        <v>14458000000</v>
      </c>
      <c r="W753">
        <v>64698038880</v>
      </c>
      <c r="X753">
        <v>65589038880</v>
      </c>
      <c r="Y753">
        <v>3.3164158625035811</v>
      </c>
      <c r="Z753">
        <v>-19.743533042291951</v>
      </c>
      <c r="AA753">
        <v>-77.911223257065956</v>
      </c>
      <c r="AB753">
        <v>-17.92199346130031</v>
      </c>
      <c r="AC753">
        <v>-15.098601690140841</v>
      </c>
      <c r="AD753">
        <v>-116.7097558064516</v>
      </c>
      <c r="AE753">
        <v>-22.370067830832191</v>
      </c>
      <c r="AF753">
        <v>-22.066179699863579</v>
      </c>
      <c r="AG753">
        <v>-17.107208888888891</v>
      </c>
      <c r="AH753">
        <v>-16.874814522691711</v>
      </c>
      <c r="AI753">
        <v>-88.275960807537018</v>
      </c>
      <c r="AJ753">
        <v>-20.306203987616101</v>
      </c>
      <c r="AK753">
        <v>-87.076768344549123</v>
      </c>
      <c r="AL753">
        <v>-20.030352594427249</v>
      </c>
      <c r="AM753">
        <v>3.7576074981380692</v>
      </c>
      <c r="AN753">
        <v>3.7065619524491549</v>
      </c>
    </row>
    <row r="754" spans="1:40" x14ac:dyDescent="0.25">
      <c r="A754" s="1" t="s">
        <v>126</v>
      </c>
      <c r="B754">
        <v>55196942400</v>
      </c>
      <c r="C754" t="s">
        <v>79</v>
      </c>
      <c r="D754" t="s">
        <v>127</v>
      </c>
      <c r="E754">
        <v>17455000000</v>
      </c>
      <c r="F754">
        <v>-2932000000</v>
      </c>
      <c r="G754">
        <v>-743000000</v>
      </c>
      <c r="H754">
        <v>-3230000000</v>
      </c>
      <c r="I754">
        <v>-3834000000</v>
      </c>
      <c r="J754">
        <v>-496000000</v>
      </c>
      <c r="K754">
        <v>4295000000</v>
      </c>
      <c r="L754">
        <v>-132000000</v>
      </c>
      <c r="M754">
        <v>4295000000</v>
      </c>
      <c r="N754">
        <v>8819000000</v>
      </c>
      <c r="O754">
        <v>1454000000</v>
      </c>
      <c r="P754">
        <v>185000000</v>
      </c>
      <c r="Q754">
        <v>10920000000</v>
      </c>
      <c r="R754">
        <v>9024000000</v>
      </c>
      <c r="S754">
        <v>23425000000</v>
      </c>
      <c r="T754">
        <v>0</v>
      </c>
      <c r="U754">
        <v>891000000</v>
      </c>
      <c r="V754">
        <v>14458000000</v>
      </c>
      <c r="W754">
        <v>62006942400</v>
      </c>
      <c r="X754">
        <v>62897942400</v>
      </c>
      <c r="Y754">
        <v>3.1622424749355491</v>
      </c>
      <c r="Z754">
        <v>-18.825696589358799</v>
      </c>
      <c r="AA754">
        <v>-74.289289905787342</v>
      </c>
      <c r="AB754">
        <v>-17.08883665634675</v>
      </c>
      <c r="AC754">
        <v>-14.396698591549301</v>
      </c>
      <c r="AD754">
        <v>-111.28415806451611</v>
      </c>
      <c r="AE754">
        <v>-21.45223137789905</v>
      </c>
      <c r="AF754">
        <v>-21.14834324693042</v>
      </c>
      <c r="AG754">
        <v>-16.405305790297341</v>
      </c>
      <c r="AH754">
        <v>-16.17291142410016</v>
      </c>
      <c r="AI754">
        <v>-84.654027456258419</v>
      </c>
      <c r="AJ754">
        <v>-19.47304718266254</v>
      </c>
      <c r="AK754">
        <v>-83.454834993270524</v>
      </c>
      <c r="AL754">
        <v>-19.197195789473689</v>
      </c>
      <c r="AM754">
        <v>3.6034341105700372</v>
      </c>
      <c r="AN754">
        <v>3.5523885648811229</v>
      </c>
    </row>
    <row r="755" spans="1:40" x14ac:dyDescent="0.25">
      <c r="A755" s="1" t="s">
        <v>768</v>
      </c>
      <c r="B755">
        <v>52702276320</v>
      </c>
      <c r="C755" t="s">
        <v>78</v>
      </c>
      <c r="D755" t="s">
        <v>127</v>
      </c>
      <c r="E755">
        <v>21406000000</v>
      </c>
      <c r="F755">
        <v>-1848000000</v>
      </c>
      <c r="G755">
        <v>-108000000</v>
      </c>
      <c r="H755">
        <v>-2137000000</v>
      </c>
      <c r="I755">
        <v>-2792000000</v>
      </c>
      <c r="J755">
        <v>-6324000000</v>
      </c>
      <c r="K755">
        <v>4184000000</v>
      </c>
      <c r="L755">
        <v>0</v>
      </c>
      <c r="M755">
        <v>4184000000</v>
      </c>
      <c r="N755">
        <v>8665000000</v>
      </c>
      <c r="O755">
        <v>492000000</v>
      </c>
      <c r="P755">
        <v>209000000</v>
      </c>
      <c r="Q755">
        <v>10954000000</v>
      </c>
      <c r="R755">
        <v>8652000000</v>
      </c>
      <c r="S755">
        <v>22994000000</v>
      </c>
      <c r="T755">
        <v>0</v>
      </c>
      <c r="U755">
        <v>902000000</v>
      </c>
      <c r="V755">
        <v>9818000000</v>
      </c>
      <c r="W755">
        <v>59681276320</v>
      </c>
      <c r="X755">
        <v>60583276320</v>
      </c>
      <c r="Y755">
        <v>2.4620329029244141</v>
      </c>
      <c r="Z755">
        <v>-28.518547792207791</v>
      </c>
      <c r="AA755">
        <v>-487.98403999999999</v>
      </c>
      <c r="AB755">
        <v>-24.661804548432379</v>
      </c>
      <c r="AC755">
        <v>-18.876173467048709</v>
      </c>
      <c r="AD755">
        <v>-8.3336932827324475</v>
      </c>
      <c r="AE755">
        <v>-32.78315818181818</v>
      </c>
      <c r="AF755">
        <v>-32.295062943722947</v>
      </c>
      <c r="AG755">
        <v>-21.6988812034384</v>
      </c>
      <c r="AH755">
        <v>-21.3758153008596</v>
      </c>
      <c r="AI755">
        <v>-560.95626222222222</v>
      </c>
      <c r="AJ755">
        <v>-28.3496847543285</v>
      </c>
      <c r="AK755">
        <v>-552.60441037037037</v>
      </c>
      <c r="AL755">
        <v>-27.927597716424891</v>
      </c>
      <c r="AM755">
        <v>2.8302007063440162</v>
      </c>
      <c r="AN755">
        <v>2.788062987947304</v>
      </c>
    </row>
    <row r="756" spans="1:40" x14ac:dyDescent="0.25">
      <c r="A756" s="1" t="s">
        <v>767</v>
      </c>
      <c r="B756">
        <v>51209405280</v>
      </c>
      <c r="C756" t="s">
        <v>78</v>
      </c>
      <c r="D756" t="s">
        <v>127</v>
      </c>
      <c r="E756">
        <v>21406000000</v>
      </c>
      <c r="F756">
        <v>-1848000000</v>
      </c>
      <c r="G756">
        <v>-108000000</v>
      </c>
      <c r="H756">
        <v>-2137000000</v>
      </c>
      <c r="I756">
        <v>-2792000000</v>
      </c>
      <c r="J756">
        <v>-6324000000</v>
      </c>
      <c r="K756">
        <v>4184000000</v>
      </c>
      <c r="L756">
        <v>0</v>
      </c>
      <c r="M756">
        <v>4184000000</v>
      </c>
      <c r="N756">
        <v>8665000000</v>
      </c>
      <c r="O756">
        <v>492000000</v>
      </c>
      <c r="P756">
        <v>209000000</v>
      </c>
      <c r="Q756">
        <v>10954000000</v>
      </c>
      <c r="R756">
        <v>8652000000</v>
      </c>
      <c r="S756">
        <v>22994000000</v>
      </c>
      <c r="T756">
        <v>0</v>
      </c>
      <c r="U756">
        <v>902000000</v>
      </c>
      <c r="V756">
        <v>9818000000</v>
      </c>
      <c r="W756">
        <v>58188405280</v>
      </c>
      <c r="X756">
        <v>59090405280</v>
      </c>
      <c r="Y756">
        <v>2.3922921274409039</v>
      </c>
      <c r="Z756">
        <v>-27.710717142857138</v>
      </c>
      <c r="AA756">
        <v>-474.16116</v>
      </c>
      <c r="AB756">
        <v>-23.96322193729527</v>
      </c>
      <c r="AC756">
        <v>-18.341477535816619</v>
      </c>
      <c r="AD756">
        <v>-8.0976289184060715</v>
      </c>
      <c r="AE756">
        <v>-31.975327532467531</v>
      </c>
      <c r="AF756">
        <v>-31.487232294372291</v>
      </c>
      <c r="AG756">
        <v>-21.1641852722063</v>
      </c>
      <c r="AH756">
        <v>-20.84111936962751</v>
      </c>
      <c r="AI756">
        <v>-547.13338222222217</v>
      </c>
      <c r="AJ756">
        <v>-27.651102143191391</v>
      </c>
      <c r="AK756">
        <v>-538.78153037037032</v>
      </c>
      <c r="AL756">
        <v>-27.22901510528779</v>
      </c>
      <c r="AM756">
        <v>2.760459930860506</v>
      </c>
      <c r="AN756">
        <v>2.7183222124637951</v>
      </c>
    </row>
    <row r="757" spans="1:40" x14ac:dyDescent="0.25">
      <c r="A757" s="1" t="s">
        <v>766</v>
      </c>
      <c r="B757">
        <v>45277207200</v>
      </c>
      <c r="C757" t="s">
        <v>78</v>
      </c>
      <c r="D757" t="s">
        <v>127</v>
      </c>
      <c r="E757">
        <v>21406000000</v>
      </c>
      <c r="F757">
        <v>-1848000000</v>
      </c>
      <c r="G757">
        <v>-108000000</v>
      </c>
      <c r="H757">
        <v>-2137000000</v>
      </c>
      <c r="I757">
        <v>-2792000000</v>
      </c>
      <c r="J757">
        <v>-6324000000</v>
      </c>
      <c r="K757">
        <v>4184000000</v>
      </c>
      <c r="L757">
        <v>0</v>
      </c>
      <c r="M757">
        <v>4184000000</v>
      </c>
      <c r="N757">
        <v>8665000000</v>
      </c>
      <c r="O757">
        <v>492000000</v>
      </c>
      <c r="P757">
        <v>209000000</v>
      </c>
      <c r="Q757">
        <v>10954000000</v>
      </c>
      <c r="R757">
        <v>8652000000</v>
      </c>
      <c r="S757">
        <v>22994000000</v>
      </c>
      <c r="T757">
        <v>0</v>
      </c>
      <c r="U757">
        <v>902000000</v>
      </c>
      <c r="V757">
        <v>9818000000</v>
      </c>
      <c r="W757">
        <v>52256207200</v>
      </c>
      <c r="X757">
        <v>53158207200</v>
      </c>
      <c r="Y757">
        <v>2.115164309072223</v>
      </c>
      <c r="Z757">
        <v>-24.500653246753249</v>
      </c>
      <c r="AA757">
        <v>-419.23340000000002</v>
      </c>
      <c r="AB757">
        <v>-21.187275245671501</v>
      </c>
      <c r="AC757">
        <v>-16.216764756446992</v>
      </c>
      <c r="AD757">
        <v>-7.1595836812144213</v>
      </c>
      <c r="AE757">
        <v>-28.765263636363631</v>
      </c>
      <c r="AF757">
        <v>-28.277168398268401</v>
      </c>
      <c r="AG757">
        <v>-19.03947249283668</v>
      </c>
      <c r="AH757">
        <v>-18.716406590257879</v>
      </c>
      <c r="AI757">
        <v>-492.20562222222219</v>
      </c>
      <c r="AJ757">
        <v>-24.875155451567618</v>
      </c>
      <c r="AK757">
        <v>-483.8537703703704</v>
      </c>
      <c r="AL757">
        <v>-24.45306841366401</v>
      </c>
      <c r="AM757">
        <v>2.4833321124918251</v>
      </c>
      <c r="AN757">
        <v>2.4411943940951142</v>
      </c>
    </row>
    <row r="758" spans="1:40" x14ac:dyDescent="0.25">
      <c r="A758" s="1" t="s">
        <v>765</v>
      </c>
      <c r="B758">
        <v>46495075680</v>
      </c>
      <c r="C758" t="s">
        <v>78</v>
      </c>
      <c r="D758" t="s">
        <v>127</v>
      </c>
      <c r="E758">
        <v>21406000000</v>
      </c>
      <c r="F758">
        <v>-1848000000</v>
      </c>
      <c r="G758">
        <v>-108000000</v>
      </c>
      <c r="H758">
        <v>-2137000000</v>
      </c>
      <c r="I758">
        <v>-2792000000</v>
      </c>
      <c r="J758">
        <v>-6324000000</v>
      </c>
      <c r="K758">
        <v>4184000000</v>
      </c>
      <c r="L758">
        <v>0</v>
      </c>
      <c r="M758">
        <v>4184000000</v>
      </c>
      <c r="N758">
        <v>8665000000</v>
      </c>
      <c r="O758">
        <v>492000000</v>
      </c>
      <c r="P758">
        <v>209000000</v>
      </c>
      <c r="Q758">
        <v>10954000000</v>
      </c>
      <c r="R758">
        <v>8652000000</v>
      </c>
      <c r="S758">
        <v>22994000000</v>
      </c>
      <c r="T758">
        <v>0</v>
      </c>
      <c r="U758">
        <v>902000000</v>
      </c>
      <c r="V758">
        <v>9818000000</v>
      </c>
      <c r="W758">
        <v>53474075680</v>
      </c>
      <c r="X758">
        <v>54376075680</v>
      </c>
      <c r="Y758">
        <v>2.1720580995982441</v>
      </c>
      <c r="Z758">
        <v>-25.159672987012989</v>
      </c>
      <c r="AA758">
        <v>-430.50995999999998</v>
      </c>
      <c r="AB758">
        <v>-21.757171586335989</v>
      </c>
      <c r="AC758">
        <v>-16.652964068767911</v>
      </c>
      <c r="AD758">
        <v>-7.3521625047438333</v>
      </c>
      <c r="AE758">
        <v>-29.424283376623379</v>
      </c>
      <c r="AF758">
        <v>-28.936188138528141</v>
      </c>
      <c r="AG758">
        <v>-19.475671805157589</v>
      </c>
      <c r="AH758">
        <v>-19.152605902578799</v>
      </c>
      <c r="AI758">
        <v>-503.48218222222221</v>
      </c>
      <c r="AJ758">
        <v>-25.4450517922321</v>
      </c>
      <c r="AK758">
        <v>-495.13033037037042</v>
      </c>
      <c r="AL758">
        <v>-25.022964754328498</v>
      </c>
      <c r="AM758">
        <v>2.5402259030178449</v>
      </c>
      <c r="AN758">
        <v>2.498088184621134</v>
      </c>
    </row>
    <row r="759" spans="1:40" x14ac:dyDescent="0.25">
      <c r="A759" s="1" t="s">
        <v>764</v>
      </c>
      <c r="B759">
        <v>44334341280</v>
      </c>
      <c r="C759" t="s">
        <v>78</v>
      </c>
      <c r="D759" t="s">
        <v>127</v>
      </c>
      <c r="E759">
        <v>21406000000</v>
      </c>
      <c r="F759">
        <v>-1848000000</v>
      </c>
      <c r="G759">
        <v>-108000000</v>
      </c>
      <c r="H759">
        <v>-2137000000</v>
      </c>
      <c r="I759">
        <v>-2792000000</v>
      </c>
      <c r="J759">
        <v>-6324000000</v>
      </c>
      <c r="K759">
        <v>4184000000</v>
      </c>
      <c r="L759">
        <v>0</v>
      </c>
      <c r="M759">
        <v>4184000000</v>
      </c>
      <c r="N759">
        <v>8665000000</v>
      </c>
      <c r="O759">
        <v>492000000</v>
      </c>
      <c r="P759">
        <v>209000000</v>
      </c>
      <c r="Q759">
        <v>10954000000</v>
      </c>
      <c r="R759">
        <v>8652000000</v>
      </c>
      <c r="S759">
        <v>22994000000</v>
      </c>
      <c r="T759">
        <v>0</v>
      </c>
      <c r="U759">
        <v>902000000</v>
      </c>
      <c r="V759">
        <v>9818000000</v>
      </c>
      <c r="W759">
        <v>51313341280</v>
      </c>
      <c r="X759">
        <v>52215341280</v>
      </c>
      <c r="Y759">
        <v>2.0711175035036899</v>
      </c>
      <c r="Z759">
        <v>-23.99044441558442</v>
      </c>
      <c r="AA759">
        <v>-410.50315999999998</v>
      </c>
      <c r="AB759">
        <v>-20.746065175479639</v>
      </c>
      <c r="AC759">
        <v>-15.879062063037249</v>
      </c>
      <c r="AD759">
        <v>-7.0104903984819744</v>
      </c>
      <c r="AE759">
        <v>-28.25505480519481</v>
      </c>
      <c r="AF759">
        <v>-27.766959567099569</v>
      </c>
      <c r="AG759">
        <v>-18.701769799426931</v>
      </c>
      <c r="AH759">
        <v>-18.37870389684814</v>
      </c>
      <c r="AI759">
        <v>-483.47538222222221</v>
      </c>
      <c r="AJ759">
        <v>-24.433945381375761</v>
      </c>
      <c r="AK759">
        <v>-475.12353037037042</v>
      </c>
      <c r="AL759">
        <v>-24.011858343472159</v>
      </c>
      <c r="AM759">
        <v>2.439285306923292</v>
      </c>
      <c r="AN759">
        <v>2.3971475885265812</v>
      </c>
    </row>
    <row r="760" spans="1:40" x14ac:dyDescent="0.25">
      <c r="A760" s="1" t="s">
        <v>763</v>
      </c>
      <c r="B760">
        <v>45748640160</v>
      </c>
      <c r="C760" t="s">
        <v>78</v>
      </c>
      <c r="D760" t="s">
        <v>127</v>
      </c>
      <c r="E760">
        <v>21406000000</v>
      </c>
      <c r="F760">
        <v>-1848000000</v>
      </c>
      <c r="G760">
        <v>-108000000</v>
      </c>
      <c r="H760">
        <v>-2137000000</v>
      </c>
      <c r="I760">
        <v>-2792000000</v>
      </c>
      <c r="J760">
        <v>-6324000000</v>
      </c>
      <c r="K760">
        <v>4184000000</v>
      </c>
      <c r="L760">
        <v>0</v>
      </c>
      <c r="M760">
        <v>4184000000</v>
      </c>
      <c r="N760">
        <v>8665000000</v>
      </c>
      <c r="O760">
        <v>492000000</v>
      </c>
      <c r="P760">
        <v>209000000</v>
      </c>
      <c r="Q760">
        <v>10954000000</v>
      </c>
      <c r="R760">
        <v>8652000000</v>
      </c>
      <c r="S760">
        <v>22994000000</v>
      </c>
      <c r="T760">
        <v>0</v>
      </c>
      <c r="U760">
        <v>902000000</v>
      </c>
      <c r="V760">
        <v>9818000000</v>
      </c>
      <c r="W760">
        <v>52727640160</v>
      </c>
      <c r="X760">
        <v>53629640160</v>
      </c>
      <c r="Y760">
        <v>2.1371877118564888</v>
      </c>
      <c r="Z760">
        <v>-24.755757662337661</v>
      </c>
      <c r="AA760">
        <v>-423.59852000000001</v>
      </c>
      <c r="AB760">
        <v>-21.407880280767429</v>
      </c>
      <c r="AC760">
        <v>-16.385616103151861</v>
      </c>
      <c r="AD760">
        <v>-7.2341303225806453</v>
      </c>
      <c r="AE760">
        <v>-29.020368051948051</v>
      </c>
      <c r="AF760">
        <v>-28.53227281385281</v>
      </c>
      <c r="AG760">
        <v>-19.208323839541549</v>
      </c>
      <c r="AH760">
        <v>-18.885257936962748</v>
      </c>
      <c r="AI760">
        <v>-496.57074222222218</v>
      </c>
      <c r="AJ760">
        <v>-25.095760486663551</v>
      </c>
      <c r="AK760">
        <v>-488.21889037037039</v>
      </c>
      <c r="AL760">
        <v>-24.673673448759949</v>
      </c>
      <c r="AM760">
        <v>2.5053555152760909</v>
      </c>
      <c r="AN760">
        <v>2.46321779687938</v>
      </c>
    </row>
    <row r="761" spans="1:40" x14ac:dyDescent="0.25">
      <c r="A761" s="1" t="s">
        <v>762</v>
      </c>
      <c r="B761">
        <v>47909374560</v>
      </c>
      <c r="C761" t="s">
        <v>78</v>
      </c>
      <c r="D761" t="s">
        <v>127</v>
      </c>
      <c r="E761">
        <v>21406000000</v>
      </c>
      <c r="F761">
        <v>-1848000000</v>
      </c>
      <c r="G761">
        <v>-108000000</v>
      </c>
      <c r="H761">
        <v>-2137000000</v>
      </c>
      <c r="I761">
        <v>-2792000000</v>
      </c>
      <c r="J761">
        <v>-6324000000</v>
      </c>
      <c r="K761">
        <v>4184000000</v>
      </c>
      <c r="L761">
        <v>0</v>
      </c>
      <c r="M761">
        <v>4184000000</v>
      </c>
      <c r="N761">
        <v>8665000000</v>
      </c>
      <c r="O761">
        <v>492000000</v>
      </c>
      <c r="P761">
        <v>209000000</v>
      </c>
      <c r="Q761">
        <v>10954000000</v>
      </c>
      <c r="R761">
        <v>8652000000</v>
      </c>
      <c r="S761">
        <v>22994000000</v>
      </c>
      <c r="T761">
        <v>0</v>
      </c>
      <c r="U761">
        <v>902000000</v>
      </c>
      <c r="V761">
        <v>9818000000</v>
      </c>
      <c r="W761">
        <v>54888374560</v>
      </c>
      <c r="X761">
        <v>55790374560</v>
      </c>
      <c r="Y761">
        <v>2.2381283079510421</v>
      </c>
      <c r="Z761">
        <v>-25.92498623376623</v>
      </c>
      <c r="AA761">
        <v>-443.60532000000001</v>
      </c>
      <c r="AB761">
        <v>-22.418986691623768</v>
      </c>
      <c r="AC761">
        <v>-17.159518108882519</v>
      </c>
      <c r="AD761">
        <v>-7.575802428842505</v>
      </c>
      <c r="AE761">
        <v>-30.18959662337662</v>
      </c>
      <c r="AF761">
        <v>-29.701501385281389</v>
      </c>
      <c r="AG761">
        <v>-19.982225845272211</v>
      </c>
      <c r="AH761">
        <v>-19.65915994269341</v>
      </c>
      <c r="AI761">
        <v>-516.57754222222218</v>
      </c>
      <c r="AJ761">
        <v>-26.10686689751989</v>
      </c>
      <c r="AK761">
        <v>-508.22569037037039</v>
      </c>
      <c r="AL761">
        <v>-25.684779859616281</v>
      </c>
      <c r="AM761">
        <v>2.6062961113706442</v>
      </c>
      <c r="AN761">
        <v>2.564158392973932</v>
      </c>
    </row>
    <row r="762" spans="1:40" x14ac:dyDescent="0.25">
      <c r="A762" s="1" t="s">
        <v>761</v>
      </c>
      <c r="B762">
        <v>46337931360</v>
      </c>
      <c r="C762" t="s">
        <v>78</v>
      </c>
      <c r="D762" t="s">
        <v>127</v>
      </c>
      <c r="E762">
        <v>21406000000</v>
      </c>
      <c r="F762">
        <v>-1848000000</v>
      </c>
      <c r="G762">
        <v>-108000000</v>
      </c>
      <c r="H762">
        <v>-2137000000</v>
      </c>
      <c r="I762">
        <v>-2792000000</v>
      </c>
      <c r="J762">
        <v>-6324000000</v>
      </c>
      <c r="K762">
        <v>4184000000</v>
      </c>
      <c r="L762">
        <v>0</v>
      </c>
      <c r="M762">
        <v>4184000000</v>
      </c>
      <c r="N762">
        <v>8665000000</v>
      </c>
      <c r="O762">
        <v>492000000</v>
      </c>
      <c r="P762">
        <v>209000000</v>
      </c>
      <c r="Q762">
        <v>10954000000</v>
      </c>
      <c r="R762">
        <v>8652000000</v>
      </c>
      <c r="S762">
        <v>22994000000</v>
      </c>
      <c r="T762">
        <v>0</v>
      </c>
      <c r="U762">
        <v>902000000</v>
      </c>
      <c r="V762">
        <v>9818000000</v>
      </c>
      <c r="W762">
        <v>53316931360</v>
      </c>
      <c r="X762">
        <v>54218931360</v>
      </c>
      <c r="Y762">
        <v>2.164716965336821</v>
      </c>
      <c r="Z762">
        <v>-25.07463818181818</v>
      </c>
      <c r="AA762">
        <v>-429.05491999999998</v>
      </c>
      <c r="AB762">
        <v>-21.68363657463734</v>
      </c>
      <c r="AC762">
        <v>-16.596680286532951</v>
      </c>
      <c r="AD762">
        <v>-7.3273136242884247</v>
      </c>
      <c r="AE762">
        <v>-29.33924857142857</v>
      </c>
      <c r="AF762">
        <v>-28.851153333333329</v>
      </c>
      <c r="AG762">
        <v>-19.419388022922639</v>
      </c>
      <c r="AH762">
        <v>-19.096322120343839</v>
      </c>
      <c r="AI762">
        <v>-502.02714222222221</v>
      </c>
      <c r="AJ762">
        <v>-25.371516780533462</v>
      </c>
      <c r="AK762">
        <v>-493.67529037037042</v>
      </c>
      <c r="AL762">
        <v>-24.94942974262986</v>
      </c>
      <c r="AM762">
        <v>2.532884768756424</v>
      </c>
      <c r="AN762">
        <v>2.4907470503597118</v>
      </c>
    </row>
    <row r="763" spans="1:40" x14ac:dyDescent="0.25">
      <c r="A763" s="1" t="s">
        <v>760</v>
      </c>
      <c r="B763">
        <v>47536156800</v>
      </c>
      <c r="C763" t="s">
        <v>78</v>
      </c>
      <c r="D763" t="s">
        <v>127</v>
      </c>
      <c r="E763">
        <v>21406000000</v>
      </c>
      <c r="F763">
        <v>-1848000000</v>
      </c>
      <c r="G763">
        <v>-108000000</v>
      </c>
      <c r="H763">
        <v>-2137000000</v>
      </c>
      <c r="I763">
        <v>-2792000000</v>
      </c>
      <c r="J763">
        <v>-6324000000</v>
      </c>
      <c r="K763">
        <v>4184000000</v>
      </c>
      <c r="L763">
        <v>0</v>
      </c>
      <c r="M763">
        <v>4184000000</v>
      </c>
      <c r="N763">
        <v>8665000000</v>
      </c>
      <c r="O763">
        <v>492000000</v>
      </c>
      <c r="P763">
        <v>209000000</v>
      </c>
      <c r="Q763">
        <v>10954000000</v>
      </c>
      <c r="R763">
        <v>8652000000</v>
      </c>
      <c r="S763">
        <v>22994000000</v>
      </c>
      <c r="T763">
        <v>0</v>
      </c>
      <c r="U763">
        <v>902000000</v>
      </c>
      <c r="V763">
        <v>9818000000</v>
      </c>
      <c r="W763">
        <v>54515156800</v>
      </c>
      <c r="X763">
        <v>55417156800</v>
      </c>
      <c r="Y763">
        <v>2.2206931140801638</v>
      </c>
      <c r="Z763">
        <v>-25.723028571428571</v>
      </c>
      <c r="AA763">
        <v>-440.14960000000002</v>
      </c>
      <c r="AB763">
        <v>-22.24434103883949</v>
      </c>
      <c r="AC763">
        <v>-17.025844126074499</v>
      </c>
      <c r="AD763">
        <v>-7.5167863377609114</v>
      </c>
      <c r="AE763">
        <v>-29.987638961038961</v>
      </c>
      <c r="AF763">
        <v>-29.49954372294372</v>
      </c>
      <c r="AG763">
        <v>-19.848551862464181</v>
      </c>
      <c r="AH763">
        <v>-19.52548595988539</v>
      </c>
      <c r="AI763">
        <v>-513.12182222222225</v>
      </c>
      <c r="AJ763">
        <v>-25.932221244735612</v>
      </c>
      <c r="AK763">
        <v>-504.76997037037029</v>
      </c>
      <c r="AL763">
        <v>-25.51013420683201</v>
      </c>
      <c r="AM763">
        <v>2.5888609174997659</v>
      </c>
      <c r="AN763">
        <v>2.546723199103055</v>
      </c>
    </row>
    <row r="764" spans="1:40" x14ac:dyDescent="0.25">
      <c r="A764" s="1" t="s">
        <v>759</v>
      </c>
      <c r="B764">
        <v>44118267840</v>
      </c>
      <c r="C764" t="s">
        <v>78</v>
      </c>
      <c r="D764" t="s">
        <v>127</v>
      </c>
      <c r="E764">
        <v>21406000000</v>
      </c>
      <c r="F764">
        <v>-1848000000</v>
      </c>
      <c r="G764">
        <v>-108000000</v>
      </c>
      <c r="H764">
        <v>-2137000000</v>
      </c>
      <c r="I764">
        <v>-2792000000</v>
      </c>
      <c r="J764">
        <v>-6324000000</v>
      </c>
      <c r="K764">
        <v>4184000000</v>
      </c>
      <c r="L764">
        <v>0</v>
      </c>
      <c r="M764">
        <v>4184000000</v>
      </c>
      <c r="N764">
        <v>8665000000</v>
      </c>
      <c r="O764">
        <v>492000000</v>
      </c>
      <c r="P764">
        <v>209000000</v>
      </c>
      <c r="Q764">
        <v>10954000000</v>
      </c>
      <c r="R764">
        <v>8652000000</v>
      </c>
      <c r="S764">
        <v>22994000000</v>
      </c>
      <c r="T764">
        <v>0</v>
      </c>
      <c r="U764">
        <v>902000000</v>
      </c>
      <c r="V764">
        <v>9818000000</v>
      </c>
      <c r="W764">
        <v>51097267840</v>
      </c>
      <c r="X764">
        <v>51999267840</v>
      </c>
      <c r="Y764">
        <v>2.0610234438942352</v>
      </c>
      <c r="Z764">
        <v>-23.87352155844156</v>
      </c>
      <c r="AA764">
        <v>-408.50247999999999</v>
      </c>
      <c r="AB764">
        <v>-20.64495453439401</v>
      </c>
      <c r="AC764">
        <v>-15.801671862464181</v>
      </c>
      <c r="AD764">
        <v>-6.9763231878557876</v>
      </c>
      <c r="AE764">
        <v>-28.138131948051949</v>
      </c>
      <c r="AF764">
        <v>-27.650036709956709</v>
      </c>
      <c r="AG764">
        <v>-18.624379598853871</v>
      </c>
      <c r="AH764">
        <v>-18.30131369627507</v>
      </c>
      <c r="AI764">
        <v>-481.47470222222222</v>
      </c>
      <c r="AJ764">
        <v>-24.332834740290131</v>
      </c>
      <c r="AK764">
        <v>-473.12285037037037</v>
      </c>
      <c r="AL764">
        <v>-23.910747702386519</v>
      </c>
      <c r="AM764">
        <v>2.4291912473138368</v>
      </c>
      <c r="AN764">
        <v>2.387053528917126</v>
      </c>
    </row>
    <row r="765" spans="1:40" x14ac:dyDescent="0.25">
      <c r="A765" s="1" t="s">
        <v>758</v>
      </c>
      <c r="B765">
        <v>45650424960</v>
      </c>
      <c r="C765" t="s">
        <v>78</v>
      </c>
      <c r="D765" t="s">
        <v>127</v>
      </c>
      <c r="E765">
        <v>21406000000</v>
      </c>
      <c r="F765">
        <v>-1848000000</v>
      </c>
      <c r="G765">
        <v>-108000000</v>
      </c>
      <c r="H765">
        <v>-2137000000</v>
      </c>
      <c r="I765">
        <v>-2792000000</v>
      </c>
      <c r="J765">
        <v>-6324000000</v>
      </c>
      <c r="K765">
        <v>4184000000</v>
      </c>
      <c r="L765">
        <v>0</v>
      </c>
      <c r="M765">
        <v>4184000000</v>
      </c>
      <c r="N765">
        <v>8665000000</v>
      </c>
      <c r="O765">
        <v>492000000</v>
      </c>
      <c r="P765">
        <v>209000000</v>
      </c>
      <c r="Q765">
        <v>10954000000</v>
      </c>
      <c r="R765">
        <v>8652000000</v>
      </c>
      <c r="S765">
        <v>22994000000</v>
      </c>
      <c r="T765">
        <v>0</v>
      </c>
      <c r="U765">
        <v>902000000</v>
      </c>
      <c r="V765">
        <v>9818000000</v>
      </c>
      <c r="W765">
        <v>52629424960</v>
      </c>
      <c r="X765">
        <v>53531424960</v>
      </c>
      <c r="Y765">
        <v>2.1325995029431</v>
      </c>
      <c r="Z765">
        <v>-24.702610909090911</v>
      </c>
      <c r="AA765">
        <v>-422.68912</v>
      </c>
      <c r="AB765">
        <v>-21.361920898455779</v>
      </c>
      <c r="AC765">
        <v>-16.350438739255019</v>
      </c>
      <c r="AD765">
        <v>-7.2185997722960149</v>
      </c>
      <c r="AE765">
        <v>-28.9672212987013</v>
      </c>
      <c r="AF765">
        <v>-28.47912606060606</v>
      </c>
      <c r="AG765">
        <v>-19.1731464756447</v>
      </c>
      <c r="AH765">
        <v>-18.850080573065899</v>
      </c>
      <c r="AI765">
        <v>-495.66134222222217</v>
      </c>
      <c r="AJ765">
        <v>-25.0498011043519</v>
      </c>
      <c r="AK765">
        <v>-487.30949037037038</v>
      </c>
      <c r="AL765">
        <v>-24.627714066448291</v>
      </c>
      <c r="AM765">
        <v>2.5007673063627021</v>
      </c>
      <c r="AN765">
        <v>2.4586295879659912</v>
      </c>
    </row>
    <row r="766" spans="1:40" x14ac:dyDescent="0.25">
      <c r="A766" s="1" t="s">
        <v>757</v>
      </c>
      <c r="B766">
        <v>45866498400</v>
      </c>
      <c r="C766" t="s">
        <v>78</v>
      </c>
      <c r="D766" t="s">
        <v>127</v>
      </c>
      <c r="E766">
        <v>21406000000</v>
      </c>
      <c r="F766">
        <v>-1848000000</v>
      </c>
      <c r="G766">
        <v>-108000000</v>
      </c>
      <c r="H766">
        <v>-2137000000</v>
      </c>
      <c r="I766">
        <v>-2792000000</v>
      </c>
      <c r="J766">
        <v>-6324000000</v>
      </c>
      <c r="K766">
        <v>4184000000</v>
      </c>
      <c r="L766">
        <v>0</v>
      </c>
      <c r="M766">
        <v>4184000000</v>
      </c>
      <c r="N766">
        <v>8665000000</v>
      </c>
      <c r="O766">
        <v>492000000</v>
      </c>
      <c r="P766">
        <v>209000000</v>
      </c>
      <c r="Q766">
        <v>10954000000</v>
      </c>
      <c r="R766">
        <v>8652000000</v>
      </c>
      <c r="S766">
        <v>22994000000</v>
      </c>
      <c r="T766">
        <v>0</v>
      </c>
      <c r="U766">
        <v>902000000</v>
      </c>
      <c r="V766">
        <v>9818000000</v>
      </c>
      <c r="W766">
        <v>52845498400</v>
      </c>
      <c r="X766">
        <v>53747498400</v>
      </c>
      <c r="Y766">
        <v>2.1426935625525552</v>
      </c>
      <c r="Z766">
        <v>-24.819533766233771</v>
      </c>
      <c r="AA766">
        <v>-424.68979999999999</v>
      </c>
      <c r="AB766">
        <v>-21.463031539541412</v>
      </c>
      <c r="AC766">
        <v>-16.427828939828078</v>
      </c>
      <c r="AD766">
        <v>-7.2527669829222008</v>
      </c>
      <c r="AE766">
        <v>-29.084144155844161</v>
      </c>
      <c r="AF766">
        <v>-28.59604891774892</v>
      </c>
      <c r="AG766">
        <v>-19.25053667621777</v>
      </c>
      <c r="AH766">
        <v>-18.927470773638969</v>
      </c>
      <c r="AI766">
        <v>-497.66202222222222</v>
      </c>
      <c r="AJ766">
        <v>-25.150911745437529</v>
      </c>
      <c r="AK766">
        <v>-489.31017037037037</v>
      </c>
      <c r="AL766">
        <v>-24.728824707533931</v>
      </c>
      <c r="AM766">
        <v>2.5108613659721568</v>
      </c>
      <c r="AN766">
        <v>2.4687236475754459</v>
      </c>
    </row>
    <row r="767" spans="1:40" x14ac:dyDescent="0.25">
      <c r="A767" s="1" t="s">
        <v>756</v>
      </c>
      <c r="B767">
        <v>46711149120</v>
      </c>
      <c r="C767" t="s">
        <v>78</v>
      </c>
      <c r="D767" t="s">
        <v>127</v>
      </c>
      <c r="E767">
        <v>21406000000</v>
      </c>
      <c r="F767">
        <v>-1848000000</v>
      </c>
      <c r="G767">
        <v>-108000000</v>
      </c>
      <c r="H767">
        <v>-2137000000</v>
      </c>
      <c r="I767">
        <v>-2792000000</v>
      </c>
      <c r="J767">
        <v>-6324000000</v>
      </c>
      <c r="K767">
        <v>4184000000</v>
      </c>
      <c r="L767">
        <v>0</v>
      </c>
      <c r="M767">
        <v>4184000000</v>
      </c>
      <c r="N767">
        <v>8665000000</v>
      </c>
      <c r="O767">
        <v>492000000</v>
      </c>
      <c r="P767">
        <v>209000000</v>
      </c>
      <c r="Q767">
        <v>10954000000</v>
      </c>
      <c r="R767">
        <v>8652000000</v>
      </c>
      <c r="S767">
        <v>22994000000</v>
      </c>
      <c r="T767">
        <v>0</v>
      </c>
      <c r="U767">
        <v>902000000</v>
      </c>
      <c r="V767">
        <v>9818000000</v>
      </c>
      <c r="W767">
        <v>53690149120</v>
      </c>
      <c r="X767">
        <v>54592149120</v>
      </c>
      <c r="Y767">
        <v>2.1821521592076989</v>
      </c>
      <c r="Z767">
        <v>-25.276595844155839</v>
      </c>
      <c r="AA767">
        <v>-432.51064000000002</v>
      </c>
      <c r="AB767">
        <v>-21.858282227421618</v>
      </c>
      <c r="AC767">
        <v>-16.730354269340971</v>
      </c>
      <c r="AD767">
        <v>-7.3863297153700191</v>
      </c>
      <c r="AE767">
        <v>-29.541206233766228</v>
      </c>
      <c r="AF767">
        <v>-29.053110995670991</v>
      </c>
      <c r="AG767">
        <v>-19.553062005730659</v>
      </c>
      <c r="AH767">
        <v>-19.229996103151858</v>
      </c>
      <c r="AI767">
        <v>-505.4828622222222</v>
      </c>
      <c r="AJ767">
        <v>-25.54616243331774</v>
      </c>
      <c r="AK767">
        <v>-497.13101037037029</v>
      </c>
      <c r="AL767">
        <v>-25.124075395414131</v>
      </c>
      <c r="AM767">
        <v>2.550319962627301</v>
      </c>
      <c r="AN767">
        <v>2.5081822442305901</v>
      </c>
    </row>
    <row r="768" spans="1:40" x14ac:dyDescent="0.25">
      <c r="A768" s="1" t="s">
        <v>755</v>
      </c>
      <c r="B768">
        <v>42330751200</v>
      </c>
      <c r="C768" t="s">
        <v>78</v>
      </c>
      <c r="D768" t="s">
        <v>127</v>
      </c>
      <c r="E768">
        <v>21406000000</v>
      </c>
      <c r="F768">
        <v>-1848000000</v>
      </c>
      <c r="G768">
        <v>-108000000</v>
      </c>
      <c r="H768">
        <v>-2137000000</v>
      </c>
      <c r="I768">
        <v>-2792000000</v>
      </c>
      <c r="J768">
        <v>-6324000000</v>
      </c>
      <c r="K768">
        <v>4184000000</v>
      </c>
      <c r="L768">
        <v>0</v>
      </c>
      <c r="M768">
        <v>4184000000</v>
      </c>
      <c r="N768">
        <v>8665000000</v>
      </c>
      <c r="O768">
        <v>492000000</v>
      </c>
      <c r="P768">
        <v>209000000</v>
      </c>
      <c r="Q768">
        <v>10954000000</v>
      </c>
      <c r="R768">
        <v>8652000000</v>
      </c>
      <c r="S768">
        <v>22994000000</v>
      </c>
      <c r="T768">
        <v>0</v>
      </c>
      <c r="U768">
        <v>902000000</v>
      </c>
      <c r="V768">
        <v>9818000000</v>
      </c>
      <c r="W768">
        <v>49309751200</v>
      </c>
      <c r="X768">
        <v>50211751200</v>
      </c>
      <c r="Y768">
        <v>1.97751804167056</v>
      </c>
      <c r="Z768">
        <v>-22.90625064935065</v>
      </c>
      <c r="AA768">
        <v>-391.95139999999998</v>
      </c>
      <c r="AB768">
        <v>-19.808493776321949</v>
      </c>
      <c r="AC768">
        <v>-15.161443839541549</v>
      </c>
      <c r="AD768">
        <v>-6.6936671726755206</v>
      </c>
      <c r="AE768">
        <v>-27.170861038961039</v>
      </c>
      <c r="AF768">
        <v>-26.682765800865798</v>
      </c>
      <c r="AG768">
        <v>-17.984151575931229</v>
      </c>
      <c r="AH768">
        <v>-17.661085673352439</v>
      </c>
      <c r="AI768">
        <v>-464.92362222222221</v>
      </c>
      <c r="AJ768">
        <v>-23.49637398221806</v>
      </c>
      <c r="AK768">
        <v>-456.57177037037042</v>
      </c>
      <c r="AL768">
        <v>-23.074286944314458</v>
      </c>
      <c r="AM768">
        <v>2.345685845090161</v>
      </c>
      <c r="AN768">
        <v>2.303548126693451</v>
      </c>
    </row>
    <row r="769" spans="1:40" x14ac:dyDescent="0.25">
      <c r="A769" s="1" t="s">
        <v>754</v>
      </c>
      <c r="B769">
        <v>43293260160</v>
      </c>
      <c r="C769" t="s">
        <v>78</v>
      </c>
      <c r="D769" t="s">
        <v>127</v>
      </c>
      <c r="E769">
        <v>21406000000</v>
      </c>
      <c r="F769">
        <v>-1848000000</v>
      </c>
      <c r="G769">
        <v>-108000000</v>
      </c>
      <c r="H769">
        <v>-2137000000</v>
      </c>
      <c r="I769">
        <v>-2792000000</v>
      </c>
      <c r="J769">
        <v>-6324000000</v>
      </c>
      <c r="K769">
        <v>4184000000</v>
      </c>
      <c r="L769">
        <v>0</v>
      </c>
      <c r="M769">
        <v>4184000000</v>
      </c>
      <c r="N769">
        <v>8665000000</v>
      </c>
      <c r="O769">
        <v>492000000</v>
      </c>
      <c r="P769">
        <v>209000000</v>
      </c>
      <c r="Q769">
        <v>10954000000</v>
      </c>
      <c r="R769">
        <v>8652000000</v>
      </c>
      <c r="S769">
        <v>22994000000</v>
      </c>
      <c r="T769">
        <v>0</v>
      </c>
      <c r="U769">
        <v>902000000</v>
      </c>
      <c r="V769">
        <v>9818000000</v>
      </c>
      <c r="W769">
        <v>50272260160</v>
      </c>
      <c r="X769">
        <v>51174260160</v>
      </c>
      <c r="Y769">
        <v>2.022482489021769</v>
      </c>
      <c r="Z769">
        <v>-23.427088831168831</v>
      </c>
      <c r="AA769">
        <v>-400.86351999999999</v>
      </c>
      <c r="AB769">
        <v>-20.258895722976131</v>
      </c>
      <c r="AC769">
        <v>-15.506182005730659</v>
      </c>
      <c r="AD769">
        <v>-6.8458665654648954</v>
      </c>
      <c r="AE769">
        <v>-27.691699220779221</v>
      </c>
      <c r="AF769">
        <v>-27.20360398268398</v>
      </c>
      <c r="AG769">
        <v>-18.328889742120339</v>
      </c>
      <c r="AH769">
        <v>-18.005823839541549</v>
      </c>
      <c r="AI769">
        <v>-473.83574222222222</v>
      </c>
      <c r="AJ769">
        <v>-23.946775928872249</v>
      </c>
      <c r="AK769">
        <v>-465.48389037037037</v>
      </c>
      <c r="AL769">
        <v>-23.524688890968651</v>
      </c>
      <c r="AM769">
        <v>2.3906502924413719</v>
      </c>
      <c r="AN769">
        <v>2.3485125740446602</v>
      </c>
    </row>
    <row r="770" spans="1:40" x14ac:dyDescent="0.25">
      <c r="A770" s="1" t="s">
        <v>753</v>
      </c>
      <c r="B770">
        <v>45375422400</v>
      </c>
      <c r="C770" t="s">
        <v>78</v>
      </c>
      <c r="D770" t="s">
        <v>127</v>
      </c>
      <c r="E770">
        <v>21406000000</v>
      </c>
      <c r="F770">
        <v>-1848000000</v>
      </c>
      <c r="G770">
        <v>-108000000</v>
      </c>
      <c r="H770">
        <v>-2137000000</v>
      </c>
      <c r="I770">
        <v>-2792000000</v>
      </c>
      <c r="J770">
        <v>-6324000000</v>
      </c>
      <c r="K770">
        <v>4184000000</v>
      </c>
      <c r="L770">
        <v>0</v>
      </c>
      <c r="M770">
        <v>4184000000</v>
      </c>
      <c r="N770">
        <v>8665000000</v>
      </c>
      <c r="O770">
        <v>492000000</v>
      </c>
      <c r="P770">
        <v>209000000</v>
      </c>
      <c r="Q770">
        <v>10954000000</v>
      </c>
      <c r="R770">
        <v>8652000000</v>
      </c>
      <c r="S770">
        <v>22994000000</v>
      </c>
      <c r="T770">
        <v>0</v>
      </c>
      <c r="U770">
        <v>902000000</v>
      </c>
      <c r="V770">
        <v>9818000000</v>
      </c>
      <c r="W770">
        <v>52354422400</v>
      </c>
      <c r="X770">
        <v>53256422400</v>
      </c>
      <c r="Y770">
        <v>2.1197525179856109</v>
      </c>
      <c r="Z770">
        <v>-24.553799999999999</v>
      </c>
      <c r="AA770">
        <v>-420.14280000000002</v>
      </c>
      <c r="AB770">
        <v>-21.233234627983151</v>
      </c>
      <c r="AC770">
        <v>-16.251942120343841</v>
      </c>
      <c r="AD770">
        <v>-7.1751142314990508</v>
      </c>
      <c r="AE770">
        <v>-28.818410389610388</v>
      </c>
      <c r="AF770">
        <v>-28.330315151515151</v>
      </c>
      <c r="AG770">
        <v>-19.074649856733529</v>
      </c>
      <c r="AH770">
        <v>-18.751583954154729</v>
      </c>
      <c r="AI770">
        <v>-493.11502222222219</v>
      </c>
      <c r="AJ770">
        <v>-24.921114833879269</v>
      </c>
      <c r="AK770">
        <v>-484.76317037037029</v>
      </c>
      <c r="AL770">
        <v>-24.499027795975671</v>
      </c>
      <c r="AM770">
        <v>2.487920321405213</v>
      </c>
      <c r="AN770">
        <v>2.4457826030085021</v>
      </c>
    </row>
    <row r="771" spans="1:40" x14ac:dyDescent="0.25">
      <c r="A771" s="1" t="s">
        <v>752</v>
      </c>
      <c r="B771">
        <v>46495075680</v>
      </c>
      <c r="C771" t="s">
        <v>78</v>
      </c>
      <c r="D771" t="s">
        <v>127</v>
      </c>
      <c r="E771">
        <v>21406000000</v>
      </c>
      <c r="F771">
        <v>-1848000000</v>
      </c>
      <c r="G771">
        <v>-108000000</v>
      </c>
      <c r="H771">
        <v>-2137000000</v>
      </c>
      <c r="I771">
        <v>-2792000000</v>
      </c>
      <c r="J771">
        <v>-6324000000</v>
      </c>
      <c r="K771">
        <v>4184000000</v>
      </c>
      <c r="L771">
        <v>0</v>
      </c>
      <c r="M771">
        <v>4184000000</v>
      </c>
      <c r="N771">
        <v>8665000000</v>
      </c>
      <c r="O771">
        <v>492000000</v>
      </c>
      <c r="P771">
        <v>209000000</v>
      </c>
      <c r="Q771">
        <v>10954000000</v>
      </c>
      <c r="R771">
        <v>8652000000</v>
      </c>
      <c r="S771">
        <v>22994000000</v>
      </c>
      <c r="T771">
        <v>0</v>
      </c>
      <c r="U771">
        <v>902000000</v>
      </c>
      <c r="V771">
        <v>9818000000</v>
      </c>
      <c r="W771">
        <v>53474075680</v>
      </c>
      <c r="X771">
        <v>54376075680</v>
      </c>
      <c r="Y771">
        <v>2.1720580995982441</v>
      </c>
      <c r="Z771">
        <v>-25.159672987012989</v>
      </c>
      <c r="AA771">
        <v>-430.50995999999998</v>
      </c>
      <c r="AB771">
        <v>-21.757171586335989</v>
      </c>
      <c r="AC771">
        <v>-16.652964068767911</v>
      </c>
      <c r="AD771">
        <v>-7.3521625047438333</v>
      </c>
      <c r="AE771">
        <v>-29.424283376623379</v>
      </c>
      <c r="AF771">
        <v>-28.936188138528141</v>
      </c>
      <c r="AG771">
        <v>-19.475671805157589</v>
      </c>
      <c r="AH771">
        <v>-19.152605902578799</v>
      </c>
      <c r="AI771">
        <v>-503.48218222222221</v>
      </c>
      <c r="AJ771">
        <v>-25.4450517922321</v>
      </c>
      <c r="AK771">
        <v>-495.13033037037042</v>
      </c>
      <c r="AL771">
        <v>-25.022964754328498</v>
      </c>
      <c r="AM771">
        <v>2.5402259030178449</v>
      </c>
      <c r="AN771">
        <v>2.498088184621134</v>
      </c>
    </row>
    <row r="772" spans="1:40" x14ac:dyDescent="0.25">
      <c r="A772" s="1" t="s">
        <v>751</v>
      </c>
      <c r="B772">
        <v>45571852800</v>
      </c>
      <c r="C772" t="s">
        <v>78</v>
      </c>
      <c r="D772" t="s">
        <v>127</v>
      </c>
      <c r="E772">
        <v>21406000000</v>
      </c>
      <c r="F772">
        <v>-1848000000</v>
      </c>
      <c r="G772">
        <v>-108000000</v>
      </c>
      <c r="H772">
        <v>-2137000000</v>
      </c>
      <c r="I772">
        <v>-2792000000</v>
      </c>
      <c r="J772">
        <v>-6324000000</v>
      </c>
      <c r="K772">
        <v>4184000000</v>
      </c>
      <c r="L772">
        <v>0</v>
      </c>
      <c r="M772">
        <v>4184000000</v>
      </c>
      <c r="N772">
        <v>8665000000</v>
      </c>
      <c r="O772">
        <v>492000000</v>
      </c>
      <c r="P772">
        <v>209000000</v>
      </c>
      <c r="Q772">
        <v>10954000000</v>
      </c>
      <c r="R772">
        <v>8652000000</v>
      </c>
      <c r="S772">
        <v>22994000000</v>
      </c>
      <c r="T772">
        <v>0</v>
      </c>
      <c r="U772">
        <v>902000000</v>
      </c>
      <c r="V772">
        <v>9818000000</v>
      </c>
      <c r="W772">
        <v>52550852800</v>
      </c>
      <c r="X772">
        <v>53452852800</v>
      </c>
      <c r="Y772">
        <v>2.1289289358123891</v>
      </c>
      <c r="Z772">
        <v>-24.66009350649351</v>
      </c>
      <c r="AA772">
        <v>-421.96159999999998</v>
      </c>
      <c r="AB772">
        <v>-21.32515339260646</v>
      </c>
      <c r="AC772">
        <v>-16.32229684813754</v>
      </c>
      <c r="AD772">
        <v>-7.2061753320683124</v>
      </c>
      <c r="AE772">
        <v>-28.9247038961039</v>
      </c>
      <c r="AF772">
        <v>-28.436608658008659</v>
      </c>
      <c r="AG772">
        <v>-19.145004584527221</v>
      </c>
      <c r="AH772">
        <v>-18.821938681948421</v>
      </c>
      <c r="AI772">
        <v>-494.9338222222222</v>
      </c>
      <c r="AJ772">
        <v>-25.01303359850257</v>
      </c>
      <c r="AK772">
        <v>-486.58197037037041</v>
      </c>
      <c r="AL772">
        <v>-24.590946560598969</v>
      </c>
      <c r="AM772">
        <v>2.4970967392319912</v>
      </c>
      <c r="AN772">
        <v>2.4549590208352798</v>
      </c>
    </row>
    <row r="773" spans="1:40" x14ac:dyDescent="0.25">
      <c r="A773" s="1" t="s">
        <v>750</v>
      </c>
      <c r="B773">
        <v>45061133760</v>
      </c>
      <c r="C773" t="s">
        <v>78</v>
      </c>
      <c r="D773" t="s">
        <v>127</v>
      </c>
      <c r="E773">
        <v>21406000000</v>
      </c>
      <c r="F773">
        <v>-1848000000</v>
      </c>
      <c r="G773">
        <v>-108000000</v>
      </c>
      <c r="H773">
        <v>-2137000000</v>
      </c>
      <c r="I773">
        <v>-2792000000</v>
      </c>
      <c r="J773">
        <v>-6324000000</v>
      </c>
      <c r="K773">
        <v>4184000000</v>
      </c>
      <c r="L773">
        <v>0</v>
      </c>
      <c r="M773">
        <v>4184000000</v>
      </c>
      <c r="N773">
        <v>8665000000</v>
      </c>
      <c r="O773">
        <v>492000000</v>
      </c>
      <c r="P773">
        <v>209000000</v>
      </c>
      <c r="Q773">
        <v>10954000000</v>
      </c>
      <c r="R773">
        <v>8652000000</v>
      </c>
      <c r="S773">
        <v>22994000000</v>
      </c>
      <c r="T773">
        <v>0</v>
      </c>
      <c r="U773">
        <v>902000000</v>
      </c>
      <c r="V773">
        <v>9818000000</v>
      </c>
      <c r="W773">
        <v>52040133760</v>
      </c>
      <c r="X773">
        <v>52942133760</v>
      </c>
      <c r="Y773">
        <v>2.1050702494627669</v>
      </c>
      <c r="Z773">
        <v>-24.383730389610388</v>
      </c>
      <c r="AA773">
        <v>-417.23271999999997</v>
      </c>
      <c r="AB773">
        <v>-21.086164604585871</v>
      </c>
      <c r="AC773">
        <v>-16.139374555873921</v>
      </c>
      <c r="AD773">
        <v>-7.1254164705882346</v>
      </c>
      <c r="AE773">
        <v>-28.648340779220781</v>
      </c>
      <c r="AF773">
        <v>-28.160245541125541</v>
      </c>
      <c r="AG773">
        <v>-18.962082292263609</v>
      </c>
      <c r="AH773">
        <v>-18.639016389684809</v>
      </c>
      <c r="AI773">
        <v>-490.2049422222222</v>
      </c>
      <c r="AJ773">
        <v>-24.774044810481989</v>
      </c>
      <c r="AK773">
        <v>-481.85309037037041</v>
      </c>
      <c r="AL773">
        <v>-24.35195777257838</v>
      </c>
      <c r="AM773">
        <v>2.473238052882369</v>
      </c>
      <c r="AN773">
        <v>2.4311003344856581</v>
      </c>
    </row>
    <row r="774" spans="1:40" x14ac:dyDescent="0.25">
      <c r="A774" s="1" t="s">
        <v>749</v>
      </c>
      <c r="B774">
        <v>48596880960</v>
      </c>
      <c r="C774" t="s">
        <v>78</v>
      </c>
      <c r="D774" t="s">
        <v>127</v>
      </c>
      <c r="E774">
        <v>21406000000</v>
      </c>
      <c r="F774">
        <v>-1848000000</v>
      </c>
      <c r="G774">
        <v>-108000000</v>
      </c>
      <c r="H774">
        <v>-2137000000</v>
      </c>
      <c r="I774">
        <v>-2792000000</v>
      </c>
      <c r="J774">
        <v>-6324000000</v>
      </c>
      <c r="K774">
        <v>4184000000</v>
      </c>
      <c r="L774">
        <v>0</v>
      </c>
      <c r="M774">
        <v>4184000000</v>
      </c>
      <c r="N774">
        <v>8665000000</v>
      </c>
      <c r="O774">
        <v>492000000</v>
      </c>
      <c r="P774">
        <v>209000000</v>
      </c>
      <c r="Q774">
        <v>10954000000</v>
      </c>
      <c r="R774">
        <v>8652000000</v>
      </c>
      <c r="S774">
        <v>22994000000</v>
      </c>
      <c r="T774">
        <v>0</v>
      </c>
      <c r="U774">
        <v>902000000</v>
      </c>
      <c r="V774">
        <v>9818000000</v>
      </c>
      <c r="W774">
        <v>55575880960</v>
      </c>
      <c r="X774">
        <v>56477880960</v>
      </c>
      <c r="Y774">
        <v>2.2702457703447632</v>
      </c>
      <c r="Z774">
        <v>-26.29701350649351</v>
      </c>
      <c r="AA774">
        <v>-449.97111999999998</v>
      </c>
      <c r="AB774">
        <v>-22.74070236780533</v>
      </c>
      <c r="AC774">
        <v>-17.405759656160459</v>
      </c>
      <c r="AD774">
        <v>-7.6845162808349148</v>
      </c>
      <c r="AE774">
        <v>-30.5616238961039</v>
      </c>
      <c r="AF774">
        <v>-30.073528658008659</v>
      </c>
      <c r="AG774">
        <v>-20.22846739255014</v>
      </c>
      <c r="AH774">
        <v>-19.90540148997135</v>
      </c>
      <c r="AI774">
        <v>-522.94334222222221</v>
      </c>
      <c r="AJ774">
        <v>-26.428582573701451</v>
      </c>
      <c r="AK774">
        <v>-514.59149037037037</v>
      </c>
      <c r="AL774">
        <v>-26.00649553579785</v>
      </c>
      <c r="AM774">
        <v>2.6384135737643648</v>
      </c>
      <c r="AN774">
        <v>2.5962758553676539</v>
      </c>
    </row>
    <row r="775" spans="1:40" x14ac:dyDescent="0.25">
      <c r="A775" s="1" t="s">
        <v>748</v>
      </c>
      <c r="B775">
        <v>47437941600</v>
      </c>
      <c r="C775" t="s">
        <v>78</v>
      </c>
      <c r="D775" t="s">
        <v>127</v>
      </c>
      <c r="E775">
        <v>21406000000</v>
      </c>
      <c r="F775">
        <v>-1848000000</v>
      </c>
      <c r="G775">
        <v>-108000000</v>
      </c>
      <c r="H775">
        <v>-2137000000</v>
      </c>
      <c r="I775">
        <v>-2792000000</v>
      </c>
      <c r="J775">
        <v>-6324000000</v>
      </c>
      <c r="K775">
        <v>4184000000</v>
      </c>
      <c r="L775">
        <v>0</v>
      </c>
      <c r="M775">
        <v>4184000000</v>
      </c>
      <c r="N775">
        <v>8665000000</v>
      </c>
      <c r="O775">
        <v>492000000</v>
      </c>
      <c r="P775">
        <v>209000000</v>
      </c>
      <c r="Q775">
        <v>10954000000</v>
      </c>
      <c r="R775">
        <v>8652000000</v>
      </c>
      <c r="S775">
        <v>22994000000</v>
      </c>
      <c r="T775">
        <v>0</v>
      </c>
      <c r="U775">
        <v>902000000</v>
      </c>
      <c r="V775">
        <v>9818000000</v>
      </c>
      <c r="W775">
        <v>54416941600</v>
      </c>
      <c r="X775">
        <v>55318941600</v>
      </c>
      <c r="Y775">
        <v>2.2161049051667758</v>
      </c>
      <c r="Z775">
        <v>-25.669881818181821</v>
      </c>
      <c r="AA775">
        <v>-439.24020000000002</v>
      </c>
      <c r="AB775">
        <v>-22.19838165652784</v>
      </c>
      <c r="AC775">
        <v>-16.99066676217765</v>
      </c>
      <c r="AD775">
        <v>-7.5012557874762811</v>
      </c>
      <c r="AE775">
        <v>-29.934492207792211</v>
      </c>
      <c r="AF775">
        <v>-29.44639696969697</v>
      </c>
      <c r="AG775">
        <v>-19.813374498567331</v>
      </c>
      <c r="AH775">
        <v>-19.490308595988541</v>
      </c>
      <c r="AI775">
        <v>-512.21242222222224</v>
      </c>
      <c r="AJ775">
        <v>-25.886261862423961</v>
      </c>
      <c r="AK775">
        <v>-503.8605703703704</v>
      </c>
      <c r="AL775">
        <v>-25.464174824520359</v>
      </c>
      <c r="AM775">
        <v>2.584272708586377</v>
      </c>
      <c r="AN775">
        <v>2.542134990189667</v>
      </c>
    </row>
    <row r="776" spans="1:40" x14ac:dyDescent="0.25">
      <c r="A776" s="1" t="s">
        <v>747</v>
      </c>
      <c r="B776">
        <v>48577237920</v>
      </c>
      <c r="C776" t="s">
        <v>78</v>
      </c>
      <c r="D776" t="s">
        <v>127</v>
      </c>
      <c r="E776">
        <v>21406000000</v>
      </c>
      <c r="F776">
        <v>-1848000000</v>
      </c>
      <c r="G776">
        <v>-108000000</v>
      </c>
      <c r="H776">
        <v>-2137000000</v>
      </c>
      <c r="I776">
        <v>-2792000000</v>
      </c>
      <c r="J776">
        <v>-6324000000</v>
      </c>
      <c r="K776">
        <v>4184000000</v>
      </c>
      <c r="L776">
        <v>0</v>
      </c>
      <c r="M776">
        <v>4184000000</v>
      </c>
      <c r="N776">
        <v>8665000000</v>
      </c>
      <c r="O776">
        <v>492000000</v>
      </c>
      <c r="P776">
        <v>209000000</v>
      </c>
      <c r="Q776">
        <v>10954000000</v>
      </c>
      <c r="R776">
        <v>8652000000</v>
      </c>
      <c r="S776">
        <v>22994000000</v>
      </c>
      <c r="T776">
        <v>0</v>
      </c>
      <c r="U776">
        <v>902000000</v>
      </c>
      <c r="V776">
        <v>9818000000</v>
      </c>
      <c r="W776">
        <v>55556237920</v>
      </c>
      <c r="X776">
        <v>56458237920</v>
      </c>
      <c r="Y776">
        <v>2.2693281285620852</v>
      </c>
      <c r="Z776">
        <v>-26.286384155844161</v>
      </c>
      <c r="AA776">
        <v>-449.78924000000001</v>
      </c>
      <c r="AB776">
        <v>-22.731510491343009</v>
      </c>
      <c r="AC776">
        <v>-17.398724183381091</v>
      </c>
      <c r="AD776">
        <v>-7.6814101707779887</v>
      </c>
      <c r="AE776">
        <v>-30.55099454545455</v>
      </c>
      <c r="AF776">
        <v>-30.062899307359309</v>
      </c>
      <c r="AG776">
        <v>-20.221431919770769</v>
      </c>
      <c r="AH776">
        <v>-19.898366017191979</v>
      </c>
      <c r="AI776">
        <v>-522.76146222222224</v>
      </c>
      <c r="AJ776">
        <v>-26.41939069723912</v>
      </c>
      <c r="AK776">
        <v>-514.40961037037039</v>
      </c>
      <c r="AL776">
        <v>-25.997303659335518</v>
      </c>
      <c r="AM776">
        <v>2.6374959319816869</v>
      </c>
      <c r="AN776">
        <v>2.595358213584976</v>
      </c>
    </row>
    <row r="777" spans="1:40" x14ac:dyDescent="0.25">
      <c r="A777" s="1" t="s">
        <v>746</v>
      </c>
      <c r="B777">
        <v>49696891200</v>
      </c>
      <c r="C777" t="s">
        <v>78</v>
      </c>
      <c r="D777" t="s">
        <v>127</v>
      </c>
      <c r="E777">
        <v>21406000000</v>
      </c>
      <c r="F777">
        <v>-1848000000</v>
      </c>
      <c r="G777">
        <v>-108000000</v>
      </c>
      <c r="H777">
        <v>-2137000000</v>
      </c>
      <c r="I777">
        <v>-2792000000</v>
      </c>
      <c r="J777">
        <v>-6324000000</v>
      </c>
      <c r="K777">
        <v>4184000000</v>
      </c>
      <c r="L777">
        <v>0</v>
      </c>
      <c r="M777">
        <v>4184000000</v>
      </c>
      <c r="N777">
        <v>8665000000</v>
      </c>
      <c r="O777">
        <v>492000000</v>
      </c>
      <c r="P777">
        <v>209000000</v>
      </c>
      <c r="Q777">
        <v>10954000000</v>
      </c>
      <c r="R777">
        <v>8652000000</v>
      </c>
      <c r="S777">
        <v>22994000000</v>
      </c>
      <c r="T777">
        <v>0</v>
      </c>
      <c r="U777">
        <v>902000000</v>
      </c>
      <c r="V777">
        <v>9818000000</v>
      </c>
      <c r="W777">
        <v>56675891200</v>
      </c>
      <c r="X777">
        <v>57577891200</v>
      </c>
      <c r="Y777">
        <v>2.321633710174718</v>
      </c>
      <c r="Z777">
        <v>-26.89225714285714</v>
      </c>
      <c r="AA777">
        <v>-460.15640000000002</v>
      </c>
      <c r="AB777">
        <v>-23.25544744969584</v>
      </c>
      <c r="AC777">
        <v>-17.799746131805161</v>
      </c>
      <c r="AD777">
        <v>-7.8584584440227703</v>
      </c>
      <c r="AE777">
        <v>-31.15686753246753</v>
      </c>
      <c r="AF777">
        <v>-30.6687722943723</v>
      </c>
      <c r="AG777">
        <v>-20.622453868194839</v>
      </c>
      <c r="AH777">
        <v>-20.299387965616049</v>
      </c>
      <c r="AI777">
        <v>-533.12862222222225</v>
      </c>
      <c r="AJ777">
        <v>-26.943327655591951</v>
      </c>
      <c r="AK777">
        <v>-524.7767703703704</v>
      </c>
      <c r="AL777">
        <v>-26.521240617688349</v>
      </c>
      <c r="AM777">
        <v>2.6898015135943192</v>
      </c>
      <c r="AN777">
        <v>2.6476637951976079</v>
      </c>
    </row>
    <row r="778" spans="1:40" x14ac:dyDescent="0.25">
      <c r="A778" s="1" t="s">
        <v>745</v>
      </c>
      <c r="B778">
        <v>50737972320</v>
      </c>
      <c r="C778" t="s">
        <v>78</v>
      </c>
      <c r="D778" t="s">
        <v>127</v>
      </c>
      <c r="E778">
        <v>21406000000</v>
      </c>
      <c r="F778">
        <v>-1848000000</v>
      </c>
      <c r="G778">
        <v>-108000000</v>
      </c>
      <c r="H778">
        <v>-2137000000</v>
      </c>
      <c r="I778">
        <v>-2792000000</v>
      </c>
      <c r="J778">
        <v>-6324000000</v>
      </c>
      <c r="K778">
        <v>4184000000</v>
      </c>
      <c r="L778">
        <v>0</v>
      </c>
      <c r="M778">
        <v>4184000000</v>
      </c>
      <c r="N778">
        <v>8665000000</v>
      </c>
      <c r="O778">
        <v>492000000</v>
      </c>
      <c r="P778">
        <v>209000000</v>
      </c>
      <c r="Q778">
        <v>10954000000</v>
      </c>
      <c r="R778">
        <v>8652000000</v>
      </c>
      <c r="S778">
        <v>22994000000</v>
      </c>
      <c r="T778">
        <v>0</v>
      </c>
      <c r="U778">
        <v>902000000</v>
      </c>
      <c r="V778">
        <v>9818000000</v>
      </c>
      <c r="W778">
        <v>57716972320</v>
      </c>
      <c r="X778">
        <v>58618972320</v>
      </c>
      <c r="Y778">
        <v>2.370268724656639</v>
      </c>
      <c r="Z778">
        <v>-27.45561272727273</v>
      </c>
      <c r="AA778">
        <v>-469.79604</v>
      </c>
      <c r="AB778">
        <v>-23.742616902199341</v>
      </c>
      <c r="AC778">
        <v>-18.17262618911175</v>
      </c>
      <c r="AD778">
        <v>-8.0230822770398476</v>
      </c>
      <c r="AE778">
        <v>-31.720223116883119</v>
      </c>
      <c r="AF778">
        <v>-31.232127878787882</v>
      </c>
      <c r="AG778">
        <v>-20.995333925501431</v>
      </c>
      <c r="AH778">
        <v>-20.672268022922641</v>
      </c>
      <c r="AI778">
        <v>-542.76826222222223</v>
      </c>
      <c r="AJ778">
        <v>-27.430497108095459</v>
      </c>
      <c r="AK778">
        <v>-534.41641037037039</v>
      </c>
      <c r="AL778">
        <v>-27.008410070191861</v>
      </c>
      <c r="AM778">
        <v>2.7384365280762402</v>
      </c>
      <c r="AN778">
        <v>2.6962988096795288</v>
      </c>
    </row>
    <row r="779" spans="1:40" x14ac:dyDescent="0.25">
      <c r="A779" s="1" t="s">
        <v>744</v>
      </c>
      <c r="B779">
        <v>49971893760</v>
      </c>
      <c r="C779" t="s">
        <v>78</v>
      </c>
      <c r="D779" t="s">
        <v>127</v>
      </c>
      <c r="E779">
        <v>21406000000</v>
      </c>
      <c r="F779">
        <v>-1848000000</v>
      </c>
      <c r="G779">
        <v>-108000000</v>
      </c>
      <c r="H779">
        <v>-2137000000</v>
      </c>
      <c r="I779">
        <v>-2792000000</v>
      </c>
      <c r="J779">
        <v>-6324000000</v>
      </c>
      <c r="K779">
        <v>4184000000</v>
      </c>
      <c r="L779">
        <v>0</v>
      </c>
      <c r="M779">
        <v>4184000000</v>
      </c>
      <c r="N779">
        <v>8665000000</v>
      </c>
      <c r="O779">
        <v>492000000</v>
      </c>
      <c r="P779">
        <v>209000000</v>
      </c>
      <c r="Q779">
        <v>10954000000</v>
      </c>
      <c r="R779">
        <v>8652000000</v>
      </c>
      <c r="S779">
        <v>22994000000</v>
      </c>
      <c r="T779">
        <v>0</v>
      </c>
      <c r="U779">
        <v>902000000</v>
      </c>
      <c r="V779">
        <v>9818000000</v>
      </c>
      <c r="W779">
        <v>56950893760</v>
      </c>
      <c r="X779">
        <v>57852893760</v>
      </c>
      <c r="Y779">
        <v>2.3344806951322061</v>
      </c>
      <c r="Z779">
        <v>-27.041068051948049</v>
      </c>
      <c r="AA779">
        <v>-462.70272</v>
      </c>
      <c r="AB779">
        <v>-23.38413372016846</v>
      </c>
      <c r="AC779">
        <v>-17.898242750716332</v>
      </c>
      <c r="AD779">
        <v>-7.9019439848197344</v>
      </c>
      <c r="AE779">
        <v>-31.305678441558442</v>
      </c>
      <c r="AF779">
        <v>-30.817583203463201</v>
      </c>
      <c r="AG779">
        <v>-20.72095048710602</v>
      </c>
      <c r="AH779">
        <v>-20.397884584527219</v>
      </c>
      <c r="AI779">
        <v>-535.67494222222217</v>
      </c>
      <c r="AJ779">
        <v>-27.072013926064582</v>
      </c>
      <c r="AK779">
        <v>-527.32309037037032</v>
      </c>
      <c r="AL779">
        <v>-26.649926888160969</v>
      </c>
      <c r="AM779">
        <v>2.7026484985518082</v>
      </c>
      <c r="AN779">
        <v>2.6605107801550969</v>
      </c>
    </row>
    <row r="780" spans="1:40" x14ac:dyDescent="0.25">
      <c r="A780" s="1" t="s">
        <v>743</v>
      </c>
      <c r="B780">
        <v>46593290880</v>
      </c>
      <c r="C780" t="s">
        <v>78</v>
      </c>
      <c r="D780" t="s">
        <v>127</v>
      </c>
      <c r="E780">
        <v>21406000000</v>
      </c>
      <c r="F780">
        <v>-1848000000</v>
      </c>
      <c r="G780">
        <v>-108000000</v>
      </c>
      <c r="H780">
        <v>-2137000000</v>
      </c>
      <c r="I780">
        <v>-2792000000</v>
      </c>
      <c r="J780">
        <v>-6324000000</v>
      </c>
      <c r="K780">
        <v>4184000000</v>
      </c>
      <c r="L780">
        <v>0</v>
      </c>
      <c r="M780">
        <v>4184000000</v>
      </c>
      <c r="N780">
        <v>8665000000</v>
      </c>
      <c r="O780">
        <v>492000000</v>
      </c>
      <c r="P780">
        <v>209000000</v>
      </c>
      <c r="Q780">
        <v>10954000000</v>
      </c>
      <c r="R780">
        <v>8652000000</v>
      </c>
      <c r="S780">
        <v>22994000000</v>
      </c>
      <c r="T780">
        <v>0</v>
      </c>
      <c r="U780">
        <v>902000000</v>
      </c>
      <c r="V780">
        <v>9818000000</v>
      </c>
      <c r="W780">
        <v>53572290880</v>
      </c>
      <c r="X780">
        <v>54474290880</v>
      </c>
      <c r="Y780">
        <v>2.1766463085116321</v>
      </c>
      <c r="Z780">
        <v>-25.212819740259739</v>
      </c>
      <c r="AA780">
        <v>-431.41935999999998</v>
      </c>
      <c r="AB780">
        <v>-21.80313096864764</v>
      </c>
      <c r="AC780">
        <v>-16.688141432664761</v>
      </c>
      <c r="AD780">
        <v>-7.3676930550284627</v>
      </c>
      <c r="AE780">
        <v>-29.477430129870129</v>
      </c>
      <c r="AF780">
        <v>-28.989334891774892</v>
      </c>
      <c r="AG780">
        <v>-19.510849169054438</v>
      </c>
      <c r="AH780">
        <v>-19.187783266475641</v>
      </c>
      <c r="AI780">
        <v>-504.39158222222221</v>
      </c>
      <c r="AJ780">
        <v>-25.49101117454375</v>
      </c>
      <c r="AK780">
        <v>-496.03973037037042</v>
      </c>
      <c r="AL780">
        <v>-25.068924136640149</v>
      </c>
      <c r="AM780">
        <v>2.5448141119312342</v>
      </c>
      <c r="AN780">
        <v>2.5026763935345229</v>
      </c>
    </row>
    <row r="781" spans="1:40" x14ac:dyDescent="0.25">
      <c r="A781" s="1" t="s">
        <v>742</v>
      </c>
      <c r="B781">
        <v>42370037280</v>
      </c>
      <c r="C781" t="s">
        <v>78</v>
      </c>
      <c r="D781" t="s">
        <v>127</v>
      </c>
      <c r="E781">
        <v>21406000000</v>
      </c>
      <c r="F781">
        <v>-1848000000</v>
      </c>
      <c r="G781">
        <v>-108000000</v>
      </c>
      <c r="H781">
        <v>-2137000000</v>
      </c>
      <c r="I781">
        <v>-2792000000</v>
      </c>
      <c r="J781">
        <v>-6324000000</v>
      </c>
      <c r="K781">
        <v>4184000000</v>
      </c>
      <c r="L781">
        <v>0</v>
      </c>
      <c r="M781">
        <v>4184000000</v>
      </c>
      <c r="N781">
        <v>8665000000</v>
      </c>
      <c r="O781">
        <v>492000000</v>
      </c>
      <c r="P781">
        <v>209000000</v>
      </c>
      <c r="Q781">
        <v>10954000000</v>
      </c>
      <c r="R781">
        <v>8652000000</v>
      </c>
      <c r="S781">
        <v>22994000000</v>
      </c>
      <c r="T781">
        <v>0</v>
      </c>
      <c r="U781">
        <v>902000000</v>
      </c>
      <c r="V781">
        <v>9818000000</v>
      </c>
      <c r="W781">
        <v>49349037280</v>
      </c>
      <c r="X781">
        <v>50251037280</v>
      </c>
      <c r="Y781">
        <v>1.979353325235915</v>
      </c>
      <c r="Z781">
        <v>-22.927509350649348</v>
      </c>
      <c r="AA781">
        <v>-392.31515999999999</v>
      </c>
      <c r="AB781">
        <v>-19.826877529246609</v>
      </c>
      <c r="AC781">
        <v>-15.17551478510029</v>
      </c>
      <c r="AD781">
        <v>-6.6998793927893736</v>
      </c>
      <c r="AE781">
        <v>-27.192119740259741</v>
      </c>
      <c r="AF781">
        <v>-26.704024502164501</v>
      </c>
      <c r="AG781">
        <v>-17.998222521489971</v>
      </c>
      <c r="AH781">
        <v>-17.675156618911171</v>
      </c>
      <c r="AI781">
        <v>-465.28738222222222</v>
      </c>
      <c r="AJ781">
        <v>-23.514757735142719</v>
      </c>
      <c r="AK781">
        <v>-456.93553037037037</v>
      </c>
      <c r="AL781">
        <v>-23.092670697239122</v>
      </c>
      <c r="AM781">
        <v>2.3475211286555169</v>
      </c>
      <c r="AN781">
        <v>2.305383410258806</v>
      </c>
    </row>
    <row r="782" spans="1:40" x14ac:dyDescent="0.25">
      <c r="A782" s="1" t="s">
        <v>741</v>
      </c>
      <c r="B782">
        <v>41427171360</v>
      </c>
      <c r="C782" t="s">
        <v>78</v>
      </c>
      <c r="D782" t="s">
        <v>127</v>
      </c>
      <c r="E782">
        <v>21406000000</v>
      </c>
      <c r="F782">
        <v>-1848000000</v>
      </c>
      <c r="G782">
        <v>-108000000</v>
      </c>
      <c r="H782">
        <v>-2137000000</v>
      </c>
      <c r="I782">
        <v>-2792000000</v>
      </c>
      <c r="J782">
        <v>-6324000000</v>
      </c>
      <c r="K782">
        <v>4184000000</v>
      </c>
      <c r="L782">
        <v>0</v>
      </c>
      <c r="M782">
        <v>4184000000</v>
      </c>
      <c r="N782">
        <v>8665000000</v>
      </c>
      <c r="O782">
        <v>492000000</v>
      </c>
      <c r="P782">
        <v>209000000</v>
      </c>
      <c r="Q782">
        <v>10954000000</v>
      </c>
      <c r="R782">
        <v>8652000000</v>
      </c>
      <c r="S782">
        <v>22994000000</v>
      </c>
      <c r="T782">
        <v>0</v>
      </c>
      <c r="U782">
        <v>902000000</v>
      </c>
      <c r="V782">
        <v>9818000000</v>
      </c>
      <c r="W782">
        <v>48406171360</v>
      </c>
      <c r="X782">
        <v>49308171360</v>
      </c>
      <c r="Y782">
        <v>1.9353065196673831</v>
      </c>
      <c r="Z782">
        <v>-22.41730051948052</v>
      </c>
      <c r="AA782">
        <v>-383.58492000000001</v>
      </c>
      <c r="AB782">
        <v>-19.385667459054751</v>
      </c>
      <c r="AC782">
        <v>-14.837812091690539</v>
      </c>
      <c r="AD782">
        <v>-6.5507861100569258</v>
      </c>
      <c r="AE782">
        <v>-26.681910909090909</v>
      </c>
      <c r="AF782">
        <v>-26.193815670995669</v>
      </c>
      <c r="AG782">
        <v>-17.660519828080229</v>
      </c>
      <c r="AH782">
        <v>-17.337453925501428</v>
      </c>
      <c r="AI782">
        <v>-456.55714222222218</v>
      </c>
      <c r="AJ782">
        <v>-23.073547664950869</v>
      </c>
      <c r="AK782">
        <v>-448.20529037037039</v>
      </c>
      <c r="AL782">
        <v>-22.65146062704726</v>
      </c>
      <c r="AM782">
        <v>2.3034743230869852</v>
      </c>
      <c r="AN782">
        <v>2.2613366046902739</v>
      </c>
    </row>
    <row r="783" spans="1:40" x14ac:dyDescent="0.25">
      <c r="A783" s="1" t="s">
        <v>740</v>
      </c>
      <c r="B783">
        <v>43273617120</v>
      </c>
      <c r="C783" t="s">
        <v>78</v>
      </c>
      <c r="D783" t="s">
        <v>127</v>
      </c>
      <c r="E783">
        <v>21406000000</v>
      </c>
      <c r="F783">
        <v>-1848000000</v>
      </c>
      <c r="G783">
        <v>-108000000</v>
      </c>
      <c r="H783">
        <v>-2137000000</v>
      </c>
      <c r="I783">
        <v>-2792000000</v>
      </c>
      <c r="J783">
        <v>-6324000000</v>
      </c>
      <c r="K783">
        <v>4184000000</v>
      </c>
      <c r="L783">
        <v>0</v>
      </c>
      <c r="M783">
        <v>4184000000</v>
      </c>
      <c r="N783">
        <v>8665000000</v>
      </c>
      <c r="O783">
        <v>492000000</v>
      </c>
      <c r="P783">
        <v>209000000</v>
      </c>
      <c r="Q783">
        <v>10954000000</v>
      </c>
      <c r="R783">
        <v>8652000000</v>
      </c>
      <c r="S783">
        <v>22994000000</v>
      </c>
      <c r="T783">
        <v>0</v>
      </c>
      <c r="U783">
        <v>902000000</v>
      </c>
      <c r="V783">
        <v>9818000000</v>
      </c>
      <c r="W783">
        <v>50252617120</v>
      </c>
      <c r="X783">
        <v>51154617120</v>
      </c>
      <c r="Y783">
        <v>2.0215648472390919</v>
      </c>
      <c r="Z783">
        <v>-23.416459480519482</v>
      </c>
      <c r="AA783">
        <v>-400.68164000000002</v>
      </c>
      <c r="AB783">
        <v>-20.2497038465138</v>
      </c>
      <c r="AC783">
        <v>-15.49914653295129</v>
      </c>
      <c r="AD783">
        <v>-6.8427604554079693</v>
      </c>
      <c r="AE783">
        <v>-27.681069870129871</v>
      </c>
      <c r="AF783">
        <v>-27.19297463203463</v>
      </c>
      <c r="AG783">
        <v>-18.321854269340971</v>
      </c>
      <c r="AH783">
        <v>-17.998788366762181</v>
      </c>
      <c r="AI783">
        <v>-473.65386222222219</v>
      </c>
      <c r="AJ783">
        <v>-23.937584052409921</v>
      </c>
      <c r="AK783">
        <v>-465.3020103703704</v>
      </c>
      <c r="AL783">
        <v>-23.51549701450632</v>
      </c>
      <c r="AM783">
        <v>2.389732650658694</v>
      </c>
      <c r="AN783">
        <v>2.3475949322619831</v>
      </c>
    </row>
    <row r="784" spans="1:40" x14ac:dyDescent="0.25">
      <c r="A784" s="1" t="s">
        <v>739</v>
      </c>
      <c r="B784">
        <v>40209302880</v>
      </c>
      <c r="C784" t="s">
        <v>78</v>
      </c>
      <c r="D784" t="s">
        <v>127</v>
      </c>
      <c r="E784">
        <v>21406000000</v>
      </c>
      <c r="F784">
        <v>-1848000000</v>
      </c>
      <c r="G784">
        <v>-108000000</v>
      </c>
      <c r="H784">
        <v>-2137000000</v>
      </c>
      <c r="I784">
        <v>-2792000000</v>
      </c>
      <c r="J784">
        <v>-6324000000</v>
      </c>
      <c r="K784">
        <v>4184000000</v>
      </c>
      <c r="L784">
        <v>0</v>
      </c>
      <c r="M784">
        <v>4184000000</v>
      </c>
      <c r="N784">
        <v>8665000000</v>
      </c>
      <c r="O784">
        <v>492000000</v>
      </c>
      <c r="P784">
        <v>209000000</v>
      </c>
      <c r="Q784">
        <v>10954000000</v>
      </c>
      <c r="R784">
        <v>8652000000</v>
      </c>
      <c r="S784">
        <v>22994000000</v>
      </c>
      <c r="T784">
        <v>0</v>
      </c>
      <c r="U784">
        <v>902000000</v>
      </c>
      <c r="V784">
        <v>9818000000</v>
      </c>
      <c r="W784">
        <v>47188302880</v>
      </c>
      <c r="X784">
        <v>48090302880</v>
      </c>
      <c r="Y784">
        <v>1.8784127291413619</v>
      </c>
      <c r="Z784">
        <v>-21.75828077922078</v>
      </c>
      <c r="AA784">
        <v>-372.30835999999999</v>
      </c>
      <c r="AB784">
        <v>-18.81577111839027</v>
      </c>
      <c r="AC784">
        <v>-14.40161277936963</v>
      </c>
      <c r="AD784">
        <v>-6.3582072865275139</v>
      </c>
      <c r="AE784">
        <v>-26.022891168831169</v>
      </c>
      <c r="AF784">
        <v>-25.534795930735928</v>
      </c>
      <c r="AG784">
        <v>-17.22432051575931</v>
      </c>
      <c r="AH784">
        <v>-16.901254613180519</v>
      </c>
      <c r="AI784">
        <v>-445.28058222222222</v>
      </c>
      <c r="AJ784">
        <v>-22.50365132428638</v>
      </c>
      <c r="AK784">
        <v>-436.92873037037037</v>
      </c>
      <c r="AL784">
        <v>-22.081564286382779</v>
      </c>
      <c r="AM784">
        <v>2.246580532560964</v>
      </c>
      <c r="AN784">
        <v>2.2044428141642531</v>
      </c>
    </row>
    <row r="785" spans="1:40" x14ac:dyDescent="0.25">
      <c r="A785" s="1" t="s">
        <v>738</v>
      </c>
      <c r="B785">
        <v>42841470240</v>
      </c>
      <c r="C785" t="s">
        <v>78</v>
      </c>
      <c r="D785" t="s">
        <v>127</v>
      </c>
      <c r="E785">
        <v>21406000000</v>
      </c>
      <c r="F785">
        <v>-1848000000</v>
      </c>
      <c r="G785">
        <v>-108000000</v>
      </c>
      <c r="H785">
        <v>-2137000000</v>
      </c>
      <c r="I785">
        <v>-2792000000</v>
      </c>
      <c r="J785">
        <v>-6324000000</v>
      </c>
      <c r="K785">
        <v>4184000000</v>
      </c>
      <c r="L785">
        <v>0</v>
      </c>
      <c r="M785">
        <v>4184000000</v>
      </c>
      <c r="N785">
        <v>8665000000</v>
      </c>
      <c r="O785">
        <v>492000000</v>
      </c>
      <c r="P785">
        <v>209000000</v>
      </c>
      <c r="Q785">
        <v>10954000000</v>
      </c>
      <c r="R785">
        <v>8652000000</v>
      </c>
      <c r="S785">
        <v>22994000000</v>
      </c>
      <c r="T785">
        <v>0</v>
      </c>
      <c r="U785">
        <v>902000000</v>
      </c>
      <c r="V785">
        <v>9818000000</v>
      </c>
      <c r="W785">
        <v>49820470240</v>
      </c>
      <c r="X785">
        <v>50722470240</v>
      </c>
      <c r="Y785">
        <v>2.0013767280201811</v>
      </c>
      <c r="Z785">
        <v>-23.182613766233771</v>
      </c>
      <c r="AA785">
        <v>-396.68027999999998</v>
      </c>
      <c r="AB785">
        <v>-20.047482564342541</v>
      </c>
      <c r="AC785">
        <v>-15.34436613180516</v>
      </c>
      <c r="AD785">
        <v>-6.7744260341555984</v>
      </c>
      <c r="AE785">
        <v>-27.447224155844161</v>
      </c>
      <c r="AF785">
        <v>-26.95912891774892</v>
      </c>
      <c r="AG785">
        <v>-18.167073868194841</v>
      </c>
      <c r="AH785">
        <v>-17.844007965616051</v>
      </c>
      <c r="AI785">
        <v>-469.65250222222221</v>
      </c>
      <c r="AJ785">
        <v>-23.735362770238648</v>
      </c>
      <c r="AK785">
        <v>-461.30065037037042</v>
      </c>
      <c r="AL785">
        <v>-23.31327573233505</v>
      </c>
      <c r="AM785">
        <v>2.3695445314397832</v>
      </c>
      <c r="AN785">
        <v>2.3274068130430718</v>
      </c>
    </row>
    <row r="786" spans="1:40" x14ac:dyDescent="0.25">
      <c r="A786" s="1" t="s">
        <v>737</v>
      </c>
      <c r="B786">
        <v>42743255040</v>
      </c>
      <c r="C786" t="s">
        <v>78</v>
      </c>
      <c r="D786" t="s">
        <v>127</v>
      </c>
      <c r="E786">
        <v>21406000000</v>
      </c>
      <c r="F786">
        <v>-1848000000</v>
      </c>
      <c r="G786">
        <v>-108000000</v>
      </c>
      <c r="H786">
        <v>-2137000000</v>
      </c>
      <c r="I786">
        <v>-2792000000</v>
      </c>
      <c r="J786">
        <v>-6324000000</v>
      </c>
      <c r="K786">
        <v>4184000000</v>
      </c>
      <c r="L786">
        <v>0</v>
      </c>
      <c r="M786">
        <v>4184000000</v>
      </c>
      <c r="N786">
        <v>8665000000</v>
      </c>
      <c r="O786">
        <v>492000000</v>
      </c>
      <c r="P786">
        <v>209000000</v>
      </c>
      <c r="Q786">
        <v>10954000000</v>
      </c>
      <c r="R786">
        <v>8652000000</v>
      </c>
      <c r="S786">
        <v>22994000000</v>
      </c>
      <c r="T786">
        <v>0</v>
      </c>
      <c r="U786">
        <v>902000000</v>
      </c>
      <c r="V786">
        <v>9818000000</v>
      </c>
      <c r="W786">
        <v>49722255040</v>
      </c>
      <c r="X786">
        <v>50624255040</v>
      </c>
      <c r="Y786">
        <v>1.996788519106792</v>
      </c>
      <c r="Z786">
        <v>-23.129467012987011</v>
      </c>
      <c r="AA786">
        <v>-395.77087999999998</v>
      </c>
      <c r="AB786">
        <v>-20.00152318203088</v>
      </c>
      <c r="AC786">
        <v>-15.30918876790831</v>
      </c>
      <c r="AD786">
        <v>-6.7588954838709681</v>
      </c>
      <c r="AE786">
        <v>-27.3940774025974</v>
      </c>
      <c r="AF786">
        <v>-26.905982164502159</v>
      </c>
      <c r="AG786">
        <v>-18.131896504297991</v>
      </c>
      <c r="AH786">
        <v>-17.808830601719201</v>
      </c>
      <c r="AI786">
        <v>-468.74310222222221</v>
      </c>
      <c r="AJ786">
        <v>-23.689403387927001</v>
      </c>
      <c r="AK786">
        <v>-460.39125037037041</v>
      </c>
      <c r="AL786">
        <v>-23.2673163500234</v>
      </c>
      <c r="AM786">
        <v>2.3649563225263939</v>
      </c>
      <c r="AN786">
        <v>2.322818604129683</v>
      </c>
    </row>
    <row r="787" spans="1:40" x14ac:dyDescent="0.25">
      <c r="A787" s="1" t="s">
        <v>736</v>
      </c>
      <c r="B787">
        <v>42232536000</v>
      </c>
      <c r="C787" t="s">
        <v>78</v>
      </c>
      <c r="D787" t="s">
        <v>127</v>
      </c>
      <c r="E787">
        <v>21406000000</v>
      </c>
      <c r="F787">
        <v>-1848000000</v>
      </c>
      <c r="G787">
        <v>-108000000</v>
      </c>
      <c r="H787">
        <v>-2137000000</v>
      </c>
      <c r="I787">
        <v>-2792000000</v>
      </c>
      <c r="J787">
        <v>-6324000000</v>
      </c>
      <c r="K787">
        <v>4184000000</v>
      </c>
      <c r="L787">
        <v>0</v>
      </c>
      <c r="M787">
        <v>4184000000</v>
      </c>
      <c r="N787">
        <v>8665000000</v>
      </c>
      <c r="O787">
        <v>492000000</v>
      </c>
      <c r="P787">
        <v>209000000</v>
      </c>
      <c r="Q787">
        <v>10954000000</v>
      </c>
      <c r="R787">
        <v>8652000000</v>
      </c>
      <c r="S787">
        <v>22994000000</v>
      </c>
      <c r="T787">
        <v>0</v>
      </c>
      <c r="U787">
        <v>902000000</v>
      </c>
      <c r="V787">
        <v>9818000000</v>
      </c>
      <c r="W787">
        <v>49211536000</v>
      </c>
      <c r="X787">
        <v>50113536000</v>
      </c>
      <c r="Y787">
        <v>1.9729298327571709</v>
      </c>
      <c r="Z787">
        <v>-22.853103896103899</v>
      </c>
      <c r="AA787">
        <v>-391.04199999999997</v>
      </c>
      <c r="AB787">
        <v>-19.762534394010299</v>
      </c>
      <c r="AC787">
        <v>-15.1262664756447</v>
      </c>
      <c r="AD787">
        <v>-6.678136622390892</v>
      </c>
      <c r="AE787">
        <v>-27.117714285714289</v>
      </c>
      <c r="AF787">
        <v>-26.629619047619052</v>
      </c>
      <c r="AG787">
        <v>-17.948974212034379</v>
      </c>
      <c r="AH787">
        <v>-17.625908309455589</v>
      </c>
      <c r="AI787">
        <v>-464.0142222222222</v>
      </c>
      <c r="AJ787">
        <v>-23.450414599906409</v>
      </c>
      <c r="AK787">
        <v>-455.66237037037041</v>
      </c>
      <c r="AL787">
        <v>-23.028327562002811</v>
      </c>
      <c r="AM787">
        <v>2.341097636176773</v>
      </c>
      <c r="AN787">
        <v>2.2989599177800621</v>
      </c>
    </row>
    <row r="788" spans="1:40" x14ac:dyDescent="0.25">
      <c r="A788" s="1" t="s">
        <v>735</v>
      </c>
      <c r="B788">
        <v>43941480480</v>
      </c>
      <c r="C788" t="s">
        <v>78</v>
      </c>
      <c r="D788" t="s">
        <v>127</v>
      </c>
      <c r="E788">
        <v>21406000000</v>
      </c>
      <c r="F788">
        <v>-1848000000</v>
      </c>
      <c r="G788">
        <v>-108000000</v>
      </c>
      <c r="H788">
        <v>-2137000000</v>
      </c>
      <c r="I788">
        <v>-2792000000</v>
      </c>
      <c r="J788">
        <v>-6324000000</v>
      </c>
      <c r="K788">
        <v>4184000000</v>
      </c>
      <c r="L788">
        <v>0</v>
      </c>
      <c r="M788">
        <v>4184000000</v>
      </c>
      <c r="N788">
        <v>8665000000</v>
      </c>
      <c r="O788">
        <v>492000000</v>
      </c>
      <c r="P788">
        <v>209000000</v>
      </c>
      <c r="Q788">
        <v>10954000000</v>
      </c>
      <c r="R788">
        <v>8652000000</v>
      </c>
      <c r="S788">
        <v>22994000000</v>
      </c>
      <c r="T788">
        <v>0</v>
      </c>
      <c r="U788">
        <v>902000000</v>
      </c>
      <c r="V788">
        <v>9818000000</v>
      </c>
      <c r="W788">
        <v>50920480480</v>
      </c>
      <c r="X788">
        <v>51822480480</v>
      </c>
      <c r="Y788">
        <v>2.052764667850135</v>
      </c>
      <c r="Z788">
        <v>-23.777857402597402</v>
      </c>
      <c r="AA788">
        <v>-406.86556000000002</v>
      </c>
      <c r="AB788">
        <v>-20.56222764623304</v>
      </c>
      <c r="AC788">
        <v>-15.73835260744986</v>
      </c>
      <c r="AD788">
        <v>-6.9483681973434539</v>
      </c>
      <c r="AE788">
        <v>-28.042467792207791</v>
      </c>
      <c r="AF788">
        <v>-27.55437255411255</v>
      </c>
      <c r="AG788">
        <v>-18.561060343839539</v>
      </c>
      <c r="AH788">
        <v>-18.237994441260749</v>
      </c>
      <c r="AI788">
        <v>-479.83778222222219</v>
      </c>
      <c r="AJ788">
        <v>-24.250107852129151</v>
      </c>
      <c r="AK788">
        <v>-471.4859303703704</v>
      </c>
      <c r="AL788">
        <v>-23.82802081422555</v>
      </c>
      <c r="AM788">
        <v>2.420932471269738</v>
      </c>
      <c r="AN788">
        <v>2.3787947528730262</v>
      </c>
    </row>
    <row r="789" spans="1:40" x14ac:dyDescent="0.25">
      <c r="A789" s="1" t="s">
        <v>734</v>
      </c>
      <c r="B789">
        <v>45237921120</v>
      </c>
      <c r="C789" t="s">
        <v>78</v>
      </c>
      <c r="D789" t="s">
        <v>127</v>
      </c>
      <c r="E789">
        <v>21406000000</v>
      </c>
      <c r="F789">
        <v>-1848000000</v>
      </c>
      <c r="G789">
        <v>-108000000</v>
      </c>
      <c r="H789">
        <v>-2137000000</v>
      </c>
      <c r="I789">
        <v>-2792000000</v>
      </c>
      <c r="J789">
        <v>-6324000000</v>
      </c>
      <c r="K789">
        <v>4184000000</v>
      </c>
      <c r="L789">
        <v>0</v>
      </c>
      <c r="M789">
        <v>4184000000</v>
      </c>
      <c r="N789">
        <v>8665000000</v>
      </c>
      <c r="O789">
        <v>492000000</v>
      </c>
      <c r="P789">
        <v>209000000</v>
      </c>
      <c r="Q789">
        <v>10954000000</v>
      </c>
      <c r="R789">
        <v>8652000000</v>
      </c>
      <c r="S789">
        <v>22994000000</v>
      </c>
      <c r="T789">
        <v>0</v>
      </c>
      <c r="U789">
        <v>902000000</v>
      </c>
      <c r="V789">
        <v>9818000000</v>
      </c>
      <c r="W789">
        <v>52216921120</v>
      </c>
      <c r="X789">
        <v>53118921120</v>
      </c>
      <c r="Y789">
        <v>2.1133290255068671</v>
      </c>
      <c r="Z789">
        <v>-24.47939454545455</v>
      </c>
      <c r="AA789">
        <v>-418.86964</v>
      </c>
      <c r="AB789">
        <v>-21.168891492746841</v>
      </c>
      <c r="AC789">
        <v>-16.202693810888249</v>
      </c>
      <c r="AD789">
        <v>-7.1533714611005692</v>
      </c>
      <c r="AE789">
        <v>-28.74400493506494</v>
      </c>
      <c r="AF789">
        <v>-28.255909696969699</v>
      </c>
      <c r="AG789">
        <v>-19.025401547277941</v>
      </c>
      <c r="AH789">
        <v>-18.70233564469914</v>
      </c>
      <c r="AI789">
        <v>-491.84186222222218</v>
      </c>
      <c r="AJ789">
        <v>-24.856771698642959</v>
      </c>
      <c r="AK789">
        <v>-483.49001037037038</v>
      </c>
      <c r="AL789">
        <v>-24.43468466073935</v>
      </c>
      <c r="AM789">
        <v>2.4814968289264692</v>
      </c>
      <c r="AN789">
        <v>2.4393591105297578</v>
      </c>
    </row>
    <row r="790" spans="1:40" x14ac:dyDescent="0.25">
      <c r="A790" s="1" t="s">
        <v>733</v>
      </c>
      <c r="B790">
        <v>44903989440</v>
      </c>
      <c r="C790" t="s">
        <v>78</v>
      </c>
      <c r="D790" t="s">
        <v>127</v>
      </c>
      <c r="E790">
        <v>21406000000</v>
      </c>
      <c r="F790">
        <v>-1848000000</v>
      </c>
      <c r="G790">
        <v>-108000000</v>
      </c>
      <c r="H790">
        <v>-2137000000</v>
      </c>
      <c r="I790">
        <v>-2792000000</v>
      </c>
      <c r="J790">
        <v>-6324000000</v>
      </c>
      <c r="K790">
        <v>4184000000</v>
      </c>
      <c r="L790">
        <v>0</v>
      </c>
      <c r="M790">
        <v>4184000000</v>
      </c>
      <c r="N790">
        <v>8665000000</v>
      </c>
      <c r="O790">
        <v>492000000</v>
      </c>
      <c r="P790">
        <v>209000000</v>
      </c>
      <c r="Q790">
        <v>10954000000</v>
      </c>
      <c r="R790">
        <v>8652000000</v>
      </c>
      <c r="S790">
        <v>22994000000</v>
      </c>
      <c r="T790">
        <v>0</v>
      </c>
      <c r="U790">
        <v>902000000</v>
      </c>
      <c r="V790">
        <v>9818000000</v>
      </c>
      <c r="W790">
        <v>51882989440</v>
      </c>
      <c r="X790">
        <v>52784989440</v>
      </c>
      <c r="Y790">
        <v>2.097729115201346</v>
      </c>
      <c r="Z790">
        <v>-24.298695584415579</v>
      </c>
      <c r="AA790">
        <v>-415.77767999999998</v>
      </c>
      <c r="AB790">
        <v>-21.01262959288723</v>
      </c>
      <c r="AC790">
        <v>-16.083090773638968</v>
      </c>
      <c r="AD790">
        <v>-7.1005675901328269</v>
      </c>
      <c r="AE790">
        <v>-28.563305974025969</v>
      </c>
      <c r="AF790">
        <v>-28.075210735930739</v>
      </c>
      <c r="AG790">
        <v>-18.905798510028649</v>
      </c>
      <c r="AH790">
        <v>-18.582732607449859</v>
      </c>
      <c r="AI790">
        <v>-488.7499022222222</v>
      </c>
      <c r="AJ790">
        <v>-24.70050979878334</v>
      </c>
      <c r="AK790">
        <v>-480.39805037037041</v>
      </c>
      <c r="AL790">
        <v>-24.278422760879739</v>
      </c>
      <c r="AM790">
        <v>2.4658969186209481</v>
      </c>
      <c r="AN790">
        <v>2.4237592002242359</v>
      </c>
    </row>
    <row r="791" spans="1:40" x14ac:dyDescent="0.25">
      <c r="A791" s="1" t="s">
        <v>732</v>
      </c>
      <c r="B791">
        <v>43371832320</v>
      </c>
      <c r="C791" t="s">
        <v>78</v>
      </c>
      <c r="D791" t="s">
        <v>127</v>
      </c>
      <c r="E791">
        <v>21406000000</v>
      </c>
      <c r="F791">
        <v>-1848000000</v>
      </c>
      <c r="G791">
        <v>-108000000</v>
      </c>
      <c r="H791">
        <v>-2137000000</v>
      </c>
      <c r="I791">
        <v>-2792000000</v>
      </c>
      <c r="J791">
        <v>-6324000000</v>
      </c>
      <c r="K791">
        <v>4184000000</v>
      </c>
      <c r="L791">
        <v>0</v>
      </c>
      <c r="M791">
        <v>4184000000</v>
      </c>
      <c r="N791">
        <v>8665000000</v>
      </c>
      <c r="O791">
        <v>492000000</v>
      </c>
      <c r="P791">
        <v>209000000</v>
      </c>
      <c r="Q791">
        <v>10954000000</v>
      </c>
      <c r="R791">
        <v>8652000000</v>
      </c>
      <c r="S791">
        <v>22994000000</v>
      </c>
      <c r="T791">
        <v>0</v>
      </c>
      <c r="U791">
        <v>902000000</v>
      </c>
      <c r="V791">
        <v>9818000000</v>
      </c>
      <c r="W791">
        <v>50350832320</v>
      </c>
      <c r="X791">
        <v>51252832320</v>
      </c>
      <c r="Y791">
        <v>2.0261530561524812</v>
      </c>
      <c r="Z791">
        <v>-23.469606233766239</v>
      </c>
      <c r="AA791">
        <v>-401.59104000000002</v>
      </c>
      <c r="AB791">
        <v>-20.295663228825461</v>
      </c>
      <c r="AC791">
        <v>-15.534323896848139</v>
      </c>
      <c r="AD791">
        <v>-6.8582910056925996</v>
      </c>
      <c r="AE791">
        <v>-27.734216623376621</v>
      </c>
      <c r="AF791">
        <v>-27.246121385281381</v>
      </c>
      <c r="AG791">
        <v>-18.357031633237821</v>
      </c>
      <c r="AH791">
        <v>-18.03396573065903</v>
      </c>
      <c r="AI791">
        <v>-474.56326222222219</v>
      </c>
      <c r="AJ791">
        <v>-23.983543434721572</v>
      </c>
      <c r="AK791">
        <v>-466.21141037037029</v>
      </c>
      <c r="AL791">
        <v>-23.56145639681797</v>
      </c>
      <c r="AM791">
        <v>2.394320859572082</v>
      </c>
      <c r="AN791">
        <v>2.352183141175372</v>
      </c>
    </row>
    <row r="792" spans="1:40" x14ac:dyDescent="0.25">
      <c r="A792" s="1" t="s">
        <v>731</v>
      </c>
      <c r="B792">
        <v>42173606880</v>
      </c>
      <c r="C792" t="s">
        <v>78</v>
      </c>
      <c r="D792" t="s">
        <v>127</v>
      </c>
      <c r="E792">
        <v>21406000000</v>
      </c>
      <c r="F792">
        <v>-1848000000</v>
      </c>
      <c r="G792">
        <v>-108000000</v>
      </c>
      <c r="H792">
        <v>-2137000000</v>
      </c>
      <c r="I792">
        <v>-2792000000</v>
      </c>
      <c r="J792">
        <v>-6324000000</v>
      </c>
      <c r="K792">
        <v>4184000000</v>
      </c>
      <c r="L792">
        <v>0</v>
      </c>
      <c r="M792">
        <v>4184000000</v>
      </c>
      <c r="N792">
        <v>8665000000</v>
      </c>
      <c r="O792">
        <v>492000000</v>
      </c>
      <c r="P792">
        <v>209000000</v>
      </c>
      <c r="Q792">
        <v>10954000000</v>
      </c>
      <c r="R792">
        <v>8652000000</v>
      </c>
      <c r="S792">
        <v>22994000000</v>
      </c>
      <c r="T792">
        <v>0</v>
      </c>
      <c r="U792">
        <v>902000000</v>
      </c>
      <c r="V792">
        <v>9818000000</v>
      </c>
      <c r="W792">
        <v>49152606880</v>
      </c>
      <c r="X792">
        <v>50054606880</v>
      </c>
      <c r="Y792">
        <v>1.970176907409138</v>
      </c>
      <c r="Z792">
        <v>-22.821215844155841</v>
      </c>
      <c r="AA792">
        <v>-390.49635999999998</v>
      </c>
      <c r="AB792">
        <v>-19.7349587646233</v>
      </c>
      <c r="AC792">
        <v>-15.105160057306589</v>
      </c>
      <c r="AD792">
        <v>-6.6688182922201138</v>
      </c>
      <c r="AE792">
        <v>-27.08582623376623</v>
      </c>
      <c r="AF792">
        <v>-26.597730995671</v>
      </c>
      <c r="AG792">
        <v>-17.927867793696279</v>
      </c>
      <c r="AH792">
        <v>-17.604801891117479</v>
      </c>
      <c r="AI792">
        <v>-463.46858222222221</v>
      </c>
      <c r="AJ792">
        <v>-23.422838970519422</v>
      </c>
      <c r="AK792">
        <v>-455.11673037037042</v>
      </c>
      <c r="AL792">
        <v>-23.00075193261582</v>
      </c>
      <c r="AM792">
        <v>2.3383447108287401</v>
      </c>
      <c r="AN792">
        <v>2.2962069924320279</v>
      </c>
    </row>
    <row r="793" spans="1:40" x14ac:dyDescent="0.25">
      <c r="A793" s="1" t="s">
        <v>77</v>
      </c>
      <c r="B793">
        <v>40450426222</v>
      </c>
      <c r="C793" t="s">
        <v>78</v>
      </c>
      <c r="D793" t="s">
        <v>127</v>
      </c>
      <c r="E793">
        <v>21406000000</v>
      </c>
      <c r="F793">
        <v>-1848000000</v>
      </c>
      <c r="G793">
        <v>-108000000</v>
      </c>
      <c r="H793">
        <v>-2137000000</v>
      </c>
      <c r="I793">
        <v>-2792000000</v>
      </c>
      <c r="J793">
        <v>-6324000000</v>
      </c>
      <c r="K793">
        <v>4184000000</v>
      </c>
      <c r="L793">
        <v>0</v>
      </c>
      <c r="M793">
        <v>4184000000</v>
      </c>
      <c r="N793">
        <v>8665000000</v>
      </c>
      <c r="O793">
        <v>492000000</v>
      </c>
      <c r="P793">
        <v>209000000</v>
      </c>
      <c r="Q793">
        <v>10954000000</v>
      </c>
      <c r="R793">
        <v>8652000000</v>
      </c>
      <c r="S793">
        <v>22994000000</v>
      </c>
      <c r="T793">
        <v>0</v>
      </c>
      <c r="U793">
        <v>902000000</v>
      </c>
      <c r="V793">
        <v>9818000000</v>
      </c>
      <c r="W793">
        <v>47429426222</v>
      </c>
      <c r="X793">
        <v>48331426222</v>
      </c>
      <c r="Y793">
        <v>1.889677016817715</v>
      </c>
      <c r="Z793">
        <v>-21.888758778138531</v>
      </c>
      <c r="AA793">
        <v>-374.54098353703711</v>
      </c>
      <c r="AB793">
        <v>-18.92860375386055</v>
      </c>
      <c r="AC793">
        <v>-14.48797500787966</v>
      </c>
      <c r="AD793">
        <v>-6.3963355822264392</v>
      </c>
      <c r="AE793">
        <v>-26.15336916774892</v>
      </c>
      <c r="AF793">
        <v>-25.665273929653679</v>
      </c>
      <c r="AG793">
        <v>-17.310682744269339</v>
      </c>
      <c r="AH793">
        <v>-16.987616841690549</v>
      </c>
      <c r="AI793">
        <v>-447.51320575925928</v>
      </c>
      <c r="AJ793">
        <v>-22.616483959756671</v>
      </c>
      <c r="AK793">
        <v>-439.16135390740737</v>
      </c>
      <c r="AL793">
        <v>-22.19439692185307</v>
      </c>
      <c r="AM793">
        <v>2.2578448202373171</v>
      </c>
      <c r="AN793">
        <v>2.2157071018406049</v>
      </c>
    </row>
    <row r="794" spans="1:40" x14ac:dyDescent="0.25">
      <c r="A794" s="1" t="s">
        <v>730</v>
      </c>
      <c r="B794">
        <v>42190229501</v>
      </c>
      <c r="C794" t="s">
        <v>78</v>
      </c>
      <c r="D794" t="s">
        <v>127</v>
      </c>
      <c r="E794">
        <v>21406000000</v>
      </c>
      <c r="F794">
        <v>-1848000000</v>
      </c>
      <c r="G794">
        <v>-108000000</v>
      </c>
      <c r="H794">
        <v>-2137000000</v>
      </c>
      <c r="I794">
        <v>-2792000000</v>
      </c>
      <c r="J794">
        <v>-6324000000</v>
      </c>
      <c r="K794">
        <v>4184000000</v>
      </c>
      <c r="L794">
        <v>0</v>
      </c>
      <c r="M794">
        <v>4184000000</v>
      </c>
      <c r="N794">
        <v>8665000000</v>
      </c>
      <c r="O794">
        <v>492000000</v>
      </c>
      <c r="P794">
        <v>209000000</v>
      </c>
      <c r="Q794">
        <v>10954000000</v>
      </c>
      <c r="R794">
        <v>8652000000</v>
      </c>
      <c r="S794">
        <v>22994000000</v>
      </c>
      <c r="T794">
        <v>0</v>
      </c>
      <c r="U794">
        <v>902000000</v>
      </c>
      <c r="V794">
        <v>9818000000</v>
      </c>
      <c r="W794">
        <v>49169229501</v>
      </c>
      <c r="X794">
        <v>50071229501</v>
      </c>
      <c r="Y794">
        <v>1.9709534476782209</v>
      </c>
      <c r="Z794">
        <v>-22.830210768939391</v>
      </c>
      <c r="AA794">
        <v>-390.65027315740741</v>
      </c>
      <c r="AB794">
        <v>-19.742737248947119</v>
      </c>
      <c r="AC794">
        <v>-15.11111371812321</v>
      </c>
      <c r="AD794">
        <v>-6.6714467901644534</v>
      </c>
      <c r="AE794">
        <v>-27.094821158549781</v>
      </c>
      <c r="AF794">
        <v>-26.606725920454551</v>
      </c>
      <c r="AG794">
        <v>-17.933821454512891</v>
      </c>
      <c r="AH794">
        <v>-17.610755551934101</v>
      </c>
      <c r="AI794">
        <v>-463.62249537962958</v>
      </c>
      <c r="AJ794">
        <v>-23.43061745484324</v>
      </c>
      <c r="AK794">
        <v>-455.27064352777779</v>
      </c>
      <c r="AL794">
        <v>-23.008530416939639</v>
      </c>
      <c r="AM794">
        <v>2.339121251097823</v>
      </c>
      <c r="AN794">
        <v>2.2969835327011121</v>
      </c>
    </row>
    <row r="795" spans="1:40" x14ac:dyDescent="0.25">
      <c r="A795" s="1" t="s">
        <v>729</v>
      </c>
      <c r="B795">
        <v>44523147533</v>
      </c>
      <c r="C795" t="s">
        <v>78</v>
      </c>
      <c r="D795" t="s">
        <v>127</v>
      </c>
      <c r="E795">
        <v>21406000000</v>
      </c>
      <c r="F795">
        <v>-1848000000</v>
      </c>
      <c r="G795">
        <v>-108000000</v>
      </c>
      <c r="H795">
        <v>-2137000000</v>
      </c>
      <c r="I795">
        <v>-2792000000</v>
      </c>
      <c r="J795">
        <v>-6324000000</v>
      </c>
      <c r="K795">
        <v>4184000000</v>
      </c>
      <c r="L795">
        <v>0</v>
      </c>
      <c r="M795">
        <v>4184000000</v>
      </c>
      <c r="N795">
        <v>8665000000</v>
      </c>
      <c r="O795">
        <v>492000000</v>
      </c>
      <c r="P795">
        <v>209000000</v>
      </c>
      <c r="Q795">
        <v>10954000000</v>
      </c>
      <c r="R795">
        <v>8652000000</v>
      </c>
      <c r="S795">
        <v>22994000000</v>
      </c>
      <c r="T795">
        <v>0</v>
      </c>
      <c r="U795">
        <v>902000000</v>
      </c>
      <c r="V795">
        <v>9818000000</v>
      </c>
      <c r="W795">
        <v>51502147533</v>
      </c>
      <c r="X795">
        <v>52404147533</v>
      </c>
      <c r="Y795">
        <v>2.0799377526394469</v>
      </c>
      <c r="Z795">
        <v>-24.09261230140693</v>
      </c>
      <c r="AA795">
        <v>-412.25136604629631</v>
      </c>
      <c r="AB795">
        <v>-20.834416253158629</v>
      </c>
      <c r="AC795">
        <v>-15.94668607915473</v>
      </c>
      <c r="AD795">
        <v>-7.0403459097090453</v>
      </c>
      <c r="AE795">
        <v>-28.35722269101732</v>
      </c>
      <c r="AF795">
        <v>-27.869127452922079</v>
      </c>
      <c r="AG795">
        <v>-18.769393815544412</v>
      </c>
      <c r="AH795">
        <v>-18.446327912965611</v>
      </c>
      <c r="AI795">
        <v>-485.22358826851848</v>
      </c>
      <c r="AJ795">
        <v>-24.522296459054751</v>
      </c>
      <c r="AK795">
        <v>-476.87173641666669</v>
      </c>
      <c r="AL795">
        <v>-24.100209421151149</v>
      </c>
      <c r="AM795">
        <v>2.448105556059049</v>
      </c>
      <c r="AN795">
        <v>2.4059678376623381</v>
      </c>
    </row>
    <row r="796" spans="1:40" x14ac:dyDescent="0.25">
      <c r="A796" s="1" t="s">
        <v>728</v>
      </c>
      <c r="B796">
        <v>42506557370</v>
      </c>
      <c r="C796" t="s">
        <v>78</v>
      </c>
      <c r="D796" t="s">
        <v>127</v>
      </c>
      <c r="E796">
        <v>21406000000</v>
      </c>
      <c r="F796">
        <v>-1848000000</v>
      </c>
      <c r="G796">
        <v>-108000000</v>
      </c>
      <c r="H796">
        <v>-2137000000</v>
      </c>
      <c r="I796">
        <v>-2792000000</v>
      </c>
      <c r="J796">
        <v>-6324000000</v>
      </c>
      <c r="K796">
        <v>4184000000</v>
      </c>
      <c r="L796">
        <v>0</v>
      </c>
      <c r="M796">
        <v>4184000000</v>
      </c>
      <c r="N796">
        <v>8665000000</v>
      </c>
      <c r="O796">
        <v>492000000</v>
      </c>
      <c r="P796">
        <v>209000000</v>
      </c>
      <c r="Q796">
        <v>10954000000</v>
      </c>
      <c r="R796">
        <v>8652000000</v>
      </c>
      <c r="S796">
        <v>22994000000</v>
      </c>
      <c r="T796">
        <v>0</v>
      </c>
      <c r="U796">
        <v>902000000</v>
      </c>
      <c r="V796">
        <v>9818000000</v>
      </c>
      <c r="W796">
        <v>49485557370</v>
      </c>
      <c r="X796">
        <v>50387557370</v>
      </c>
      <c r="Y796">
        <v>1.985730980566196</v>
      </c>
      <c r="Z796">
        <v>-23.001383858225111</v>
      </c>
      <c r="AA796">
        <v>-393.5792349074074</v>
      </c>
      <c r="AB796">
        <v>-19.890761520823581</v>
      </c>
      <c r="AC796">
        <v>-15.224411665472781</v>
      </c>
      <c r="AD796">
        <v>-6.7214670098039218</v>
      </c>
      <c r="AE796">
        <v>-27.265994247835501</v>
      </c>
      <c r="AF796">
        <v>-26.77789900974026</v>
      </c>
      <c r="AG796">
        <v>-18.04711940186246</v>
      </c>
      <c r="AH796">
        <v>-17.72405349928367</v>
      </c>
      <c r="AI796">
        <v>-466.55145712962963</v>
      </c>
      <c r="AJ796">
        <v>-23.578641726719699</v>
      </c>
      <c r="AK796">
        <v>-458.19960527777778</v>
      </c>
      <c r="AL796">
        <v>-23.156554688816101</v>
      </c>
      <c r="AM796">
        <v>2.353898783985799</v>
      </c>
      <c r="AN796">
        <v>2.3117610655890868</v>
      </c>
    </row>
    <row r="797" spans="1:40" x14ac:dyDescent="0.25">
      <c r="A797" s="1" t="s">
        <v>727</v>
      </c>
      <c r="B797">
        <v>44958098353</v>
      </c>
      <c r="C797" t="s">
        <v>78</v>
      </c>
      <c r="D797" t="s">
        <v>127</v>
      </c>
      <c r="E797">
        <v>21406000000</v>
      </c>
      <c r="F797">
        <v>-1848000000</v>
      </c>
      <c r="G797">
        <v>-108000000</v>
      </c>
      <c r="H797">
        <v>-2137000000</v>
      </c>
      <c r="I797">
        <v>-2792000000</v>
      </c>
      <c r="J797">
        <v>-6324000000</v>
      </c>
      <c r="K797">
        <v>4184000000</v>
      </c>
      <c r="L797">
        <v>0</v>
      </c>
      <c r="M797">
        <v>4184000000</v>
      </c>
      <c r="N797">
        <v>8665000000</v>
      </c>
      <c r="O797">
        <v>492000000</v>
      </c>
      <c r="P797">
        <v>209000000</v>
      </c>
      <c r="Q797">
        <v>10954000000</v>
      </c>
      <c r="R797">
        <v>8652000000</v>
      </c>
      <c r="S797">
        <v>22994000000</v>
      </c>
      <c r="T797">
        <v>0</v>
      </c>
      <c r="U797">
        <v>902000000</v>
      </c>
      <c r="V797">
        <v>9818000000</v>
      </c>
      <c r="W797">
        <v>51937098353</v>
      </c>
      <c r="X797">
        <v>52839098353</v>
      </c>
      <c r="Y797">
        <v>2.1002568603662519</v>
      </c>
      <c r="Z797">
        <v>-24.327975299242421</v>
      </c>
      <c r="AA797">
        <v>-416.27868845370369</v>
      </c>
      <c r="AB797">
        <v>-21.037949627047261</v>
      </c>
      <c r="AC797">
        <v>-16.102470756805161</v>
      </c>
      <c r="AD797">
        <v>-7.1091237117330799</v>
      </c>
      <c r="AE797">
        <v>-28.592585688852811</v>
      </c>
      <c r="AF797">
        <v>-28.104490450757581</v>
      </c>
      <c r="AG797">
        <v>-18.925178493194839</v>
      </c>
      <c r="AH797">
        <v>-18.602112590616041</v>
      </c>
      <c r="AI797">
        <v>-489.25091067592592</v>
      </c>
      <c r="AJ797">
        <v>-24.725829832943379</v>
      </c>
      <c r="AK797">
        <v>-480.89905882407407</v>
      </c>
      <c r="AL797">
        <v>-24.303742795039771</v>
      </c>
      <c r="AM797">
        <v>2.468424663785854</v>
      </c>
      <c r="AN797">
        <v>2.4262869453891431</v>
      </c>
    </row>
    <row r="798" spans="1:40" x14ac:dyDescent="0.25">
      <c r="A798" s="1" t="s">
        <v>726</v>
      </c>
      <c r="B798">
        <v>44167278681</v>
      </c>
      <c r="C798" t="s">
        <v>78</v>
      </c>
      <c r="D798" t="s">
        <v>127</v>
      </c>
      <c r="E798">
        <v>21406000000</v>
      </c>
      <c r="F798">
        <v>-1848000000</v>
      </c>
      <c r="G798">
        <v>-108000000</v>
      </c>
      <c r="H798">
        <v>-2137000000</v>
      </c>
      <c r="I798">
        <v>-2792000000</v>
      </c>
      <c r="J798">
        <v>-6324000000</v>
      </c>
      <c r="K798">
        <v>4184000000</v>
      </c>
      <c r="L798">
        <v>0</v>
      </c>
      <c r="M798">
        <v>4184000000</v>
      </c>
      <c r="N798">
        <v>8665000000</v>
      </c>
      <c r="O798">
        <v>492000000</v>
      </c>
      <c r="P798">
        <v>209000000</v>
      </c>
      <c r="Q798">
        <v>10954000000</v>
      </c>
      <c r="R798">
        <v>8652000000</v>
      </c>
      <c r="S798">
        <v>22994000000</v>
      </c>
      <c r="T798">
        <v>0</v>
      </c>
      <c r="U798">
        <v>902000000</v>
      </c>
      <c r="V798">
        <v>9818000000</v>
      </c>
      <c r="W798">
        <v>51146278681</v>
      </c>
      <c r="X798">
        <v>52048278681</v>
      </c>
      <c r="Y798">
        <v>2.0633130281696719</v>
      </c>
      <c r="Z798">
        <v>-23.900042576298699</v>
      </c>
      <c r="AA798">
        <v>-408.95628408333329</v>
      </c>
      <c r="AB798">
        <v>-20.667888947590079</v>
      </c>
      <c r="AC798">
        <v>-15.819225888610321</v>
      </c>
      <c r="AD798">
        <v>-6.9840731627134716</v>
      </c>
      <c r="AE798">
        <v>-28.164652965909092</v>
      </c>
      <c r="AF798">
        <v>-27.676557727813851</v>
      </c>
      <c r="AG798">
        <v>-18.641933625</v>
      </c>
      <c r="AH798">
        <v>-18.318867722421199</v>
      </c>
      <c r="AI798">
        <v>-481.92850630555557</v>
      </c>
      <c r="AJ798">
        <v>-24.3557691534862</v>
      </c>
      <c r="AK798">
        <v>-473.57665445370372</v>
      </c>
      <c r="AL798">
        <v>-23.933682115582592</v>
      </c>
      <c r="AM798">
        <v>2.431480831589274</v>
      </c>
      <c r="AN798">
        <v>2.3893431131925631</v>
      </c>
    </row>
    <row r="799" spans="1:40" x14ac:dyDescent="0.25">
      <c r="A799" s="1" t="s">
        <v>725</v>
      </c>
      <c r="B799">
        <v>41893672124</v>
      </c>
      <c r="C799" t="s">
        <v>78</v>
      </c>
      <c r="D799" t="s">
        <v>127</v>
      </c>
      <c r="E799">
        <v>21406000000</v>
      </c>
      <c r="F799">
        <v>-1848000000</v>
      </c>
      <c r="G799">
        <v>-108000000</v>
      </c>
      <c r="H799">
        <v>-2137000000</v>
      </c>
      <c r="I799">
        <v>-2792000000</v>
      </c>
      <c r="J799">
        <v>-6324000000</v>
      </c>
      <c r="K799">
        <v>4184000000</v>
      </c>
      <c r="L799">
        <v>0</v>
      </c>
      <c r="M799">
        <v>4184000000</v>
      </c>
      <c r="N799">
        <v>8665000000</v>
      </c>
      <c r="O799">
        <v>492000000</v>
      </c>
      <c r="P799">
        <v>209000000</v>
      </c>
      <c r="Q799">
        <v>10954000000</v>
      </c>
      <c r="R799">
        <v>8652000000</v>
      </c>
      <c r="S799">
        <v>22994000000</v>
      </c>
      <c r="T799">
        <v>0</v>
      </c>
      <c r="U799">
        <v>902000000</v>
      </c>
      <c r="V799">
        <v>9818000000</v>
      </c>
      <c r="W799">
        <v>48872672124</v>
      </c>
      <c r="X799">
        <v>49774672124</v>
      </c>
      <c r="Y799">
        <v>1.957099510604503</v>
      </c>
      <c r="Z799">
        <v>-22.669735997835499</v>
      </c>
      <c r="AA799">
        <v>-387.90437151851847</v>
      </c>
      <c r="AB799">
        <v>-19.603964494150681</v>
      </c>
      <c r="AC799">
        <v>-15.004896892550139</v>
      </c>
      <c r="AD799">
        <v>-6.6245528342820998</v>
      </c>
      <c r="AE799">
        <v>-26.934346387445888</v>
      </c>
      <c r="AF799">
        <v>-26.446251149350651</v>
      </c>
      <c r="AG799">
        <v>-17.827604628939831</v>
      </c>
      <c r="AH799">
        <v>-17.50453872636103</v>
      </c>
      <c r="AI799">
        <v>-460.87659374074082</v>
      </c>
      <c r="AJ799">
        <v>-23.291844700046791</v>
      </c>
      <c r="AK799">
        <v>-452.52474188888891</v>
      </c>
      <c r="AL799">
        <v>-22.86975766214319</v>
      </c>
      <c r="AM799">
        <v>2.325267314024106</v>
      </c>
      <c r="AN799">
        <v>2.2831295956273938</v>
      </c>
    </row>
    <row r="800" spans="1:40" x14ac:dyDescent="0.25">
      <c r="A800" s="1" t="s">
        <v>724</v>
      </c>
      <c r="B800">
        <v>42644950812</v>
      </c>
      <c r="C800" t="s">
        <v>78</v>
      </c>
      <c r="D800" t="s">
        <v>127</v>
      </c>
      <c r="E800">
        <v>21406000000</v>
      </c>
      <c r="F800">
        <v>-1848000000</v>
      </c>
      <c r="G800">
        <v>-108000000</v>
      </c>
      <c r="H800">
        <v>-2137000000</v>
      </c>
      <c r="I800">
        <v>-2792000000</v>
      </c>
      <c r="J800">
        <v>-6324000000</v>
      </c>
      <c r="K800">
        <v>4184000000</v>
      </c>
      <c r="L800">
        <v>0</v>
      </c>
      <c r="M800">
        <v>4184000000</v>
      </c>
      <c r="N800">
        <v>8665000000</v>
      </c>
      <c r="O800">
        <v>492000000</v>
      </c>
      <c r="P800">
        <v>209000000</v>
      </c>
      <c r="Q800">
        <v>10954000000</v>
      </c>
      <c r="R800">
        <v>8652000000</v>
      </c>
      <c r="S800">
        <v>22994000000</v>
      </c>
      <c r="T800">
        <v>0</v>
      </c>
      <c r="U800">
        <v>902000000</v>
      </c>
      <c r="V800">
        <v>9818000000</v>
      </c>
      <c r="W800">
        <v>49623950812</v>
      </c>
      <c r="X800">
        <v>50525950812</v>
      </c>
      <c r="Y800">
        <v>1.992196151172569</v>
      </c>
      <c r="Z800">
        <v>-23.076272084415589</v>
      </c>
      <c r="AA800">
        <v>-394.86065566666667</v>
      </c>
      <c r="AB800">
        <v>-19.955522139447819</v>
      </c>
      <c r="AC800">
        <v>-15.273979517191981</v>
      </c>
      <c r="AD800">
        <v>-6.743350855787476</v>
      </c>
      <c r="AE800">
        <v>-27.340882474025971</v>
      </c>
      <c r="AF800">
        <v>-26.852787235930741</v>
      </c>
      <c r="AG800">
        <v>-18.09668725358166</v>
      </c>
      <c r="AH800">
        <v>-17.77362135100287</v>
      </c>
      <c r="AI800">
        <v>-467.8328778888889</v>
      </c>
      <c r="AJ800">
        <v>-23.64340234534394</v>
      </c>
      <c r="AK800">
        <v>-459.48102603703711</v>
      </c>
      <c r="AL800">
        <v>-23.221315307440339</v>
      </c>
      <c r="AM800">
        <v>2.3603639545921711</v>
      </c>
      <c r="AN800">
        <v>2.3182262361954589</v>
      </c>
    </row>
    <row r="801" spans="1:40" x14ac:dyDescent="0.25">
      <c r="A801" s="1" t="s">
        <v>723</v>
      </c>
      <c r="B801">
        <v>42506557370</v>
      </c>
      <c r="C801" t="s">
        <v>78</v>
      </c>
      <c r="D801" t="s">
        <v>127</v>
      </c>
      <c r="E801">
        <v>21406000000</v>
      </c>
      <c r="F801">
        <v>-1848000000</v>
      </c>
      <c r="G801">
        <v>-108000000</v>
      </c>
      <c r="H801">
        <v>-2137000000</v>
      </c>
      <c r="I801">
        <v>-2792000000</v>
      </c>
      <c r="J801">
        <v>-6324000000</v>
      </c>
      <c r="K801">
        <v>4184000000</v>
      </c>
      <c r="L801">
        <v>0</v>
      </c>
      <c r="M801">
        <v>4184000000</v>
      </c>
      <c r="N801">
        <v>8665000000</v>
      </c>
      <c r="O801">
        <v>492000000</v>
      </c>
      <c r="P801">
        <v>209000000</v>
      </c>
      <c r="Q801">
        <v>10954000000</v>
      </c>
      <c r="R801">
        <v>8652000000</v>
      </c>
      <c r="S801">
        <v>22994000000</v>
      </c>
      <c r="T801">
        <v>0</v>
      </c>
      <c r="U801">
        <v>902000000</v>
      </c>
      <c r="V801">
        <v>9818000000</v>
      </c>
      <c r="W801">
        <v>49485557370</v>
      </c>
      <c r="X801">
        <v>50387557370</v>
      </c>
      <c r="Y801">
        <v>1.985730980566196</v>
      </c>
      <c r="Z801">
        <v>-23.001383858225111</v>
      </c>
      <c r="AA801">
        <v>-393.5792349074074</v>
      </c>
      <c r="AB801">
        <v>-19.890761520823581</v>
      </c>
      <c r="AC801">
        <v>-15.224411665472781</v>
      </c>
      <c r="AD801">
        <v>-6.7214670098039218</v>
      </c>
      <c r="AE801">
        <v>-27.265994247835501</v>
      </c>
      <c r="AF801">
        <v>-26.77789900974026</v>
      </c>
      <c r="AG801">
        <v>-18.04711940186246</v>
      </c>
      <c r="AH801">
        <v>-17.72405349928367</v>
      </c>
      <c r="AI801">
        <v>-466.55145712962963</v>
      </c>
      <c r="AJ801">
        <v>-23.578641726719699</v>
      </c>
      <c r="AK801">
        <v>-458.19960527777778</v>
      </c>
      <c r="AL801">
        <v>-23.156554688816101</v>
      </c>
      <c r="AM801">
        <v>2.353898783985799</v>
      </c>
      <c r="AN801">
        <v>2.3117610655890868</v>
      </c>
    </row>
    <row r="802" spans="1:40" x14ac:dyDescent="0.25">
      <c r="A802" s="1" t="s">
        <v>722</v>
      </c>
      <c r="B802">
        <v>40826065567</v>
      </c>
      <c r="C802" t="s">
        <v>78</v>
      </c>
      <c r="D802" t="s">
        <v>127</v>
      </c>
      <c r="E802">
        <v>21406000000</v>
      </c>
      <c r="F802">
        <v>-1848000000</v>
      </c>
      <c r="G802">
        <v>-108000000</v>
      </c>
      <c r="H802">
        <v>-2137000000</v>
      </c>
      <c r="I802">
        <v>-2792000000</v>
      </c>
      <c r="J802">
        <v>-6324000000</v>
      </c>
      <c r="K802">
        <v>4184000000</v>
      </c>
      <c r="L802">
        <v>0</v>
      </c>
      <c r="M802">
        <v>4184000000</v>
      </c>
      <c r="N802">
        <v>8665000000</v>
      </c>
      <c r="O802">
        <v>492000000</v>
      </c>
      <c r="P802">
        <v>209000000</v>
      </c>
      <c r="Q802">
        <v>10954000000</v>
      </c>
      <c r="R802">
        <v>8652000000</v>
      </c>
      <c r="S802">
        <v>22994000000</v>
      </c>
      <c r="T802">
        <v>0</v>
      </c>
      <c r="U802">
        <v>902000000</v>
      </c>
      <c r="V802">
        <v>9818000000</v>
      </c>
      <c r="W802">
        <v>47805065567</v>
      </c>
      <c r="X802">
        <v>48707065567</v>
      </c>
      <c r="Y802">
        <v>1.9072253371484631</v>
      </c>
      <c r="Z802">
        <v>-22.0920268219697</v>
      </c>
      <c r="AA802">
        <v>-378.01912562037029</v>
      </c>
      <c r="AB802">
        <v>-19.10438257697707</v>
      </c>
      <c r="AC802">
        <v>-14.62251632055874</v>
      </c>
      <c r="AD802">
        <v>-6.4557345931372554</v>
      </c>
      <c r="AE802">
        <v>-26.35663721158009</v>
      </c>
      <c r="AF802">
        <v>-25.868541973484849</v>
      </c>
      <c r="AG802">
        <v>-17.445224056948419</v>
      </c>
      <c r="AH802">
        <v>-17.122158154369629</v>
      </c>
      <c r="AI802">
        <v>-450.99134784259257</v>
      </c>
      <c r="AJ802">
        <v>-22.792262782873191</v>
      </c>
      <c r="AK802">
        <v>-442.63949599074073</v>
      </c>
      <c r="AL802">
        <v>-22.370175744969579</v>
      </c>
      <c r="AM802">
        <v>2.275393140568065</v>
      </c>
      <c r="AN802">
        <v>2.2332554221713541</v>
      </c>
    </row>
    <row r="803" spans="1:40" x14ac:dyDescent="0.25">
      <c r="A803" s="1" t="s">
        <v>721</v>
      </c>
      <c r="B803">
        <v>42842655730</v>
      </c>
      <c r="C803" t="s">
        <v>78</v>
      </c>
      <c r="D803" t="s">
        <v>127</v>
      </c>
      <c r="E803">
        <v>21406000000</v>
      </c>
      <c r="F803">
        <v>-1848000000</v>
      </c>
      <c r="G803">
        <v>-108000000</v>
      </c>
      <c r="H803">
        <v>-2137000000</v>
      </c>
      <c r="I803">
        <v>-2792000000</v>
      </c>
      <c r="J803">
        <v>-6324000000</v>
      </c>
      <c r="K803">
        <v>4184000000</v>
      </c>
      <c r="L803">
        <v>0</v>
      </c>
      <c r="M803">
        <v>4184000000</v>
      </c>
      <c r="N803">
        <v>8665000000</v>
      </c>
      <c r="O803">
        <v>492000000</v>
      </c>
      <c r="P803">
        <v>209000000</v>
      </c>
      <c r="Q803">
        <v>10954000000</v>
      </c>
      <c r="R803">
        <v>8652000000</v>
      </c>
      <c r="S803">
        <v>22994000000</v>
      </c>
      <c r="T803">
        <v>0</v>
      </c>
      <c r="U803">
        <v>902000000</v>
      </c>
      <c r="V803">
        <v>9818000000</v>
      </c>
      <c r="W803">
        <v>49821655730</v>
      </c>
      <c r="X803">
        <v>50723655730</v>
      </c>
      <c r="Y803">
        <v>2.0014321092217129</v>
      </c>
      <c r="Z803">
        <v>-23.183255265151519</v>
      </c>
      <c r="AA803">
        <v>-396.69125675925932</v>
      </c>
      <c r="AB803">
        <v>-20.048037309312122</v>
      </c>
      <c r="AC803">
        <v>-15.344790734240689</v>
      </c>
      <c r="AD803">
        <v>-6.774613493042378</v>
      </c>
      <c r="AE803">
        <v>-27.447865654761909</v>
      </c>
      <c r="AF803">
        <v>-26.959770416666672</v>
      </c>
      <c r="AG803">
        <v>-18.16749847063037</v>
      </c>
      <c r="AH803">
        <v>-17.84443256805158</v>
      </c>
      <c r="AI803">
        <v>-469.66347898148149</v>
      </c>
      <c r="AJ803">
        <v>-23.735917515208239</v>
      </c>
      <c r="AK803">
        <v>-461.31162712962958</v>
      </c>
      <c r="AL803">
        <v>-23.313830477304631</v>
      </c>
      <c r="AM803">
        <v>2.369599912641315</v>
      </c>
      <c r="AN803">
        <v>2.3274621942446041</v>
      </c>
    </row>
    <row r="804" spans="1:40" x14ac:dyDescent="0.25">
      <c r="A804" s="1" t="s">
        <v>720</v>
      </c>
      <c r="B804">
        <v>44641770484</v>
      </c>
      <c r="C804" t="s">
        <v>78</v>
      </c>
      <c r="D804" t="s">
        <v>127</v>
      </c>
      <c r="E804">
        <v>21406000000</v>
      </c>
      <c r="F804">
        <v>-1848000000</v>
      </c>
      <c r="G804">
        <v>-108000000</v>
      </c>
      <c r="H804">
        <v>-2137000000</v>
      </c>
      <c r="I804">
        <v>-2792000000</v>
      </c>
      <c r="J804">
        <v>-6324000000</v>
      </c>
      <c r="K804">
        <v>4184000000</v>
      </c>
      <c r="L804">
        <v>0</v>
      </c>
      <c r="M804">
        <v>4184000000</v>
      </c>
      <c r="N804">
        <v>8665000000</v>
      </c>
      <c r="O804">
        <v>492000000</v>
      </c>
      <c r="P804">
        <v>209000000</v>
      </c>
      <c r="Q804">
        <v>10954000000</v>
      </c>
      <c r="R804">
        <v>8652000000</v>
      </c>
      <c r="S804">
        <v>22994000000</v>
      </c>
      <c r="T804">
        <v>0</v>
      </c>
      <c r="U804">
        <v>902000000</v>
      </c>
      <c r="V804">
        <v>9818000000</v>
      </c>
      <c r="W804">
        <v>51620770484</v>
      </c>
      <c r="X804">
        <v>52522770484</v>
      </c>
      <c r="Y804">
        <v>2.0854793274782768</v>
      </c>
      <c r="Z804">
        <v>-24.156802209956709</v>
      </c>
      <c r="AA804">
        <v>-413.34972670370371</v>
      </c>
      <c r="AB804">
        <v>-20.889925355170799</v>
      </c>
      <c r="AC804">
        <v>-15.98917280945559</v>
      </c>
      <c r="AD804">
        <v>-7.0591034920936124</v>
      </c>
      <c r="AE804">
        <v>-28.421412599567098</v>
      </c>
      <c r="AF804">
        <v>-27.933317361471861</v>
      </c>
      <c r="AG804">
        <v>-18.81188054584527</v>
      </c>
      <c r="AH804">
        <v>-18.48881464326648</v>
      </c>
      <c r="AI804">
        <v>-486.32194892592588</v>
      </c>
      <c r="AJ804">
        <v>-24.577805561066921</v>
      </c>
      <c r="AK804">
        <v>-477.97009707407409</v>
      </c>
      <c r="AL804">
        <v>-24.155718523163308</v>
      </c>
      <c r="AM804">
        <v>2.4536471308978789</v>
      </c>
      <c r="AN804">
        <v>2.411509412501168</v>
      </c>
    </row>
    <row r="805" spans="1:40" x14ac:dyDescent="0.25">
      <c r="A805" s="1" t="s">
        <v>719</v>
      </c>
      <c r="B805">
        <v>44819704910</v>
      </c>
      <c r="C805" t="s">
        <v>78</v>
      </c>
      <c r="D805" t="s">
        <v>127</v>
      </c>
      <c r="E805">
        <v>21406000000</v>
      </c>
      <c r="F805">
        <v>-1848000000</v>
      </c>
      <c r="G805">
        <v>-108000000</v>
      </c>
      <c r="H805">
        <v>-2137000000</v>
      </c>
      <c r="I805">
        <v>-2792000000</v>
      </c>
      <c r="J805">
        <v>-6324000000</v>
      </c>
      <c r="K805">
        <v>4184000000</v>
      </c>
      <c r="L805">
        <v>0</v>
      </c>
      <c r="M805">
        <v>4184000000</v>
      </c>
      <c r="N805">
        <v>8665000000</v>
      </c>
      <c r="O805">
        <v>492000000</v>
      </c>
      <c r="P805">
        <v>209000000</v>
      </c>
      <c r="Q805">
        <v>10954000000</v>
      </c>
      <c r="R805">
        <v>8652000000</v>
      </c>
      <c r="S805">
        <v>22994000000</v>
      </c>
      <c r="T805">
        <v>0</v>
      </c>
      <c r="U805">
        <v>902000000</v>
      </c>
      <c r="V805">
        <v>9818000000</v>
      </c>
      <c r="W805">
        <v>51798704910</v>
      </c>
      <c r="X805">
        <v>52700704910</v>
      </c>
      <c r="Y805">
        <v>2.0937916897131639</v>
      </c>
      <c r="Z805">
        <v>-24.253087072510819</v>
      </c>
      <c r="AA805">
        <v>-414.99726768518519</v>
      </c>
      <c r="AB805">
        <v>-20.973189007955082</v>
      </c>
      <c r="AC805">
        <v>-16.052902904727791</v>
      </c>
      <c r="AD805">
        <v>-7.087239865591398</v>
      </c>
      <c r="AE805">
        <v>-28.517697462121209</v>
      </c>
      <c r="AF805">
        <v>-28.029602224025979</v>
      </c>
      <c r="AG805">
        <v>-18.875610641117479</v>
      </c>
      <c r="AH805">
        <v>-18.552544738538678</v>
      </c>
      <c r="AI805">
        <v>-487.96948990740742</v>
      </c>
      <c r="AJ805">
        <v>-24.661069213851189</v>
      </c>
      <c r="AK805">
        <v>-479.61763805555557</v>
      </c>
      <c r="AL805">
        <v>-24.238982175947591</v>
      </c>
      <c r="AM805">
        <v>2.461959493132766</v>
      </c>
      <c r="AN805">
        <v>2.419821774736056</v>
      </c>
    </row>
    <row r="806" spans="1:40" x14ac:dyDescent="0.25">
      <c r="A806" s="1" t="s">
        <v>718</v>
      </c>
      <c r="B806">
        <v>47686426221</v>
      </c>
      <c r="C806" t="s">
        <v>78</v>
      </c>
      <c r="D806" t="s">
        <v>127</v>
      </c>
      <c r="E806">
        <v>21406000000</v>
      </c>
      <c r="F806">
        <v>-1848000000</v>
      </c>
      <c r="G806">
        <v>-108000000</v>
      </c>
      <c r="H806">
        <v>-2137000000</v>
      </c>
      <c r="I806">
        <v>-2792000000</v>
      </c>
      <c r="J806">
        <v>-6324000000</v>
      </c>
      <c r="K806">
        <v>4184000000</v>
      </c>
      <c r="L806">
        <v>0</v>
      </c>
      <c r="M806">
        <v>4184000000</v>
      </c>
      <c r="N806">
        <v>8665000000</v>
      </c>
      <c r="O806">
        <v>492000000</v>
      </c>
      <c r="P806">
        <v>209000000</v>
      </c>
      <c r="Q806">
        <v>10954000000</v>
      </c>
      <c r="R806">
        <v>8652000000</v>
      </c>
      <c r="S806">
        <v>22994000000</v>
      </c>
      <c r="T806">
        <v>0</v>
      </c>
      <c r="U806">
        <v>902000000</v>
      </c>
      <c r="V806">
        <v>9818000000</v>
      </c>
      <c r="W806">
        <v>54665426221</v>
      </c>
      <c r="X806">
        <v>55567426221</v>
      </c>
      <c r="Y806">
        <v>2.227713081425768</v>
      </c>
      <c r="Z806">
        <v>-25.804343193181818</v>
      </c>
      <c r="AA806">
        <v>-441.54098352777783</v>
      </c>
      <c r="AB806">
        <v>-22.31465897098737</v>
      </c>
      <c r="AC806">
        <v>-17.079665551934099</v>
      </c>
      <c r="AD806">
        <v>-7.5405481057874759</v>
      </c>
      <c r="AE806">
        <v>-30.068953582792211</v>
      </c>
      <c r="AF806">
        <v>-29.580858344696971</v>
      </c>
      <c r="AG806">
        <v>-19.90237328832378</v>
      </c>
      <c r="AH806">
        <v>-19.57930738574499</v>
      </c>
      <c r="AI806">
        <v>-514.51320575</v>
      </c>
      <c r="AJ806">
        <v>-26.002539176883481</v>
      </c>
      <c r="AK806">
        <v>-506.16135389814809</v>
      </c>
      <c r="AL806">
        <v>-25.580452138979879</v>
      </c>
      <c r="AM806">
        <v>2.5958808848453701</v>
      </c>
      <c r="AN806">
        <v>2.5537431664486592</v>
      </c>
    </row>
    <row r="807" spans="1:40" x14ac:dyDescent="0.25">
      <c r="A807" s="1" t="s">
        <v>717</v>
      </c>
      <c r="B807">
        <v>47903901631</v>
      </c>
      <c r="C807" t="s">
        <v>78</v>
      </c>
      <c r="D807" t="s">
        <v>127</v>
      </c>
      <c r="E807">
        <v>21406000000</v>
      </c>
      <c r="F807">
        <v>-1848000000</v>
      </c>
      <c r="G807">
        <v>-108000000</v>
      </c>
      <c r="H807">
        <v>-2137000000</v>
      </c>
      <c r="I807">
        <v>-2792000000</v>
      </c>
      <c r="J807">
        <v>-6324000000</v>
      </c>
      <c r="K807">
        <v>4184000000</v>
      </c>
      <c r="L807">
        <v>0</v>
      </c>
      <c r="M807">
        <v>4184000000</v>
      </c>
      <c r="N807">
        <v>8665000000</v>
      </c>
      <c r="O807">
        <v>492000000</v>
      </c>
      <c r="P807">
        <v>209000000</v>
      </c>
      <c r="Q807">
        <v>10954000000</v>
      </c>
      <c r="R807">
        <v>8652000000</v>
      </c>
      <c r="S807">
        <v>22994000000</v>
      </c>
      <c r="T807">
        <v>0</v>
      </c>
      <c r="U807">
        <v>902000000</v>
      </c>
      <c r="V807">
        <v>9818000000</v>
      </c>
      <c r="W807">
        <v>54882901631</v>
      </c>
      <c r="X807">
        <v>55784901631</v>
      </c>
      <c r="Y807">
        <v>2.2378726352891709</v>
      </c>
      <c r="Z807">
        <v>-25.922024692099569</v>
      </c>
      <c r="AA807">
        <v>-443.55464473148152</v>
      </c>
      <c r="AB807">
        <v>-22.416425657931679</v>
      </c>
      <c r="AC807">
        <v>-17.15755789075931</v>
      </c>
      <c r="AD807">
        <v>-7.5749370067994937</v>
      </c>
      <c r="AE807">
        <v>-30.186635081709959</v>
      </c>
      <c r="AF807">
        <v>-29.698539843614721</v>
      </c>
      <c r="AG807">
        <v>-19.980265627148999</v>
      </c>
      <c r="AH807">
        <v>-19.657199724570201</v>
      </c>
      <c r="AI807">
        <v>-516.52686695370369</v>
      </c>
      <c r="AJ807">
        <v>-26.1043058638278</v>
      </c>
      <c r="AK807">
        <v>-508.17501510185178</v>
      </c>
      <c r="AL807">
        <v>-25.682218825924188</v>
      </c>
      <c r="AM807">
        <v>2.606040438708773</v>
      </c>
      <c r="AN807">
        <v>2.5639027203120621</v>
      </c>
    </row>
    <row r="808" spans="1:40" x14ac:dyDescent="0.25">
      <c r="A808" s="1" t="s">
        <v>716</v>
      </c>
      <c r="B808">
        <v>46065245894</v>
      </c>
      <c r="C808" t="s">
        <v>78</v>
      </c>
      <c r="D808" t="s">
        <v>127</v>
      </c>
      <c r="E808">
        <v>21406000000</v>
      </c>
      <c r="F808">
        <v>-1848000000</v>
      </c>
      <c r="G808">
        <v>-108000000</v>
      </c>
      <c r="H808">
        <v>-2137000000</v>
      </c>
      <c r="I808">
        <v>-2792000000</v>
      </c>
      <c r="J808">
        <v>-6324000000</v>
      </c>
      <c r="K808">
        <v>4184000000</v>
      </c>
      <c r="L808">
        <v>0</v>
      </c>
      <c r="M808">
        <v>4184000000</v>
      </c>
      <c r="N808">
        <v>8665000000</v>
      </c>
      <c r="O808">
        <v>492000000</v>
      </c>
      <c r="P808">
        <v>209000000</v>
      </c>
      <c r="Q808">
        <v>10954000000</v>
      </c>
      <c r="R808">
        <v>8652000000</v>
      </c>
      <c r="S808">
        <v>22994000000</v>
      </c>
      <c r="T808">
        <v>0</v>
      </c>
      <c r="U808">
        <v>902000000</v>
      </c>
      <c r="V808">
        <v>9818000000</v>
      </c>
      <c r="W808">
        <v>53044245894</v>
      </c>
      <c r="X808">
        <v>53946245894</v>
      </c>
      <c r="Y808">
        <v>2.151978225450808</v>
      </c>
      <c r="Z808">
        <v>-24.92708111147186</v>
      </c>
      <c r="AA808">
        <v>-426.53005457407409</v>
      </c>
      <c r="AB808">
        <v>-21.55603457838091</v>
      </c>
      <c r="AC808">
        <v>-16.499013572349568</v>
      </c>
      <c r="AD808">
        <v>-7.2841944803921566</v>
      </c>
      <c r="AE808">
        <v>-29.19169150108225</v>
      </c>
      <c r="AF808">
        <v>-28.703596262987009</v>
      </c>
      <c r="AG808">
        <v>-19.32172130873926</v>
      </c>
      <c r="AH808">
        <v>-18.998655406160459</v>
      </c>
      <c r="AI808">
        <v>-499.50227679629631</v>
      </c>
      <c r="AJ808">
        <v>-25.24391478427702</v>
      </c>
      <c r="AK808">
        <v>-491.15042494444452</v>
      </c>
      <c r="AL808">
        <v>-24.821827746373419</v>
      </c>
      <c r="AM808">
        <v>2.5201460288704101</v>
      </c>
      <c r="AN808">
        <v>2.4780083104736992</v>
      </c>
    </row>
    <row r="809" spans="1:40" x14ac:dyDescent="0.25">
      <c r="A809" s="1" t="s">
        <v>715</v>
      </c>
      <c r="B809">
        <v>46164098353</v>
      </c>
      <c r="C809" t="s">
        <v>78</v>
      </c>
      <c r="D809" t="s">
        <v>127</v>
      </c>
      <c r="E809">
        <v>21406000000</v>
      </c>
      <c r="F809">
        <v>-1848000000</v>
      </c>
      <c r="G809">
        <v>-108000000</v>
      </c>
      <c r="H809">
        <v>-2137000000</v>
      </c>
      <c r="I809">
        <v>-2792000000</v>
      </c>
      <c r="J809">
        <v>-6324000000</v>
      </c>
      <c r="K809">
        <v>4184000000</v>
      </c>
      <c r="L809">
        <v>0</v>
      </c>
      <c r="M809">
        <v>4184000000</v>
      </c>
      <c r="N809">
        <v>8665000000</v>
      </c>
      <c r="O809">
        <v>492000000</v>
      </c>
      <c r="P809">
        <v>209000000</v>
      </c>
      <c r="Q809">
        <v>10954000000</v>
      </c>
      <c r="R809">
        <v>8652000000</v>
      </c>
      <c r="S809">
        <v>22994000000</v>
      </c>
      <c r="T809">
        <v>0</v>
      </c>
      <c r="U809">
        <v>902000000</v>
      </c>
      <c r="V809">
        <v>9818000000</v>
      </c>
      <c r="W809">
        <v>53143098353</v>
      </c>
      <c r="X809">
        <v>54045098353</v>
      </c>
      <c r="Y809">
        <v>2.156596204475381</v>
      </c>
      <c r="Z809">
        <v>-24.980572701839829</v>
      </c>
      <c r="AA809">
        <v>-427.44535512037038</v>
      </c>
      <c r="AB809">
        <v>-21.602292163313059</v>
      </c>
      <c r="AC809">
        <v>-16.534419180873929</v>
      </c>
      <c r="AD809">
        <v>-7.299825799019608</v>
      </c>
      <c r="AE809">
        <v>-29.245183091450219</v>
      </c>
      <c r="AF809">
        <v>-28.757087853354982</v>
      </c>
      <c r="AG809">
        <v>-19.35712691726361</v>
      </c>
      <c r="AH809">
        <v>-19.034061014684809</v>
      </c>
      <c r="AI809">
        <v>-500.41757734259261</v>
      </c>
      <c r="AJ809">
        <v>-25.29017236920917</v>
      </c>
      <c r="AK809">
        <v>-492.06572549074082</v>
      </c>
      <c r="AL809">
        <v>-24.868085331305569</v>
      </c>
      <c r="AM809">
        <v>2.5247640078949831</v>
      </c>
      <c r="AN809">
        <v>2.4826262894982709</v>
      </c>
    </row>
    <row r="810" spans="1:40" x14ac:dyDescent="0.25">
      <c r="A810" s="1" t="s">
        <v>714</v>
      </c>
      <c r="B810">
        <v>44582459009</v>
      </c>
      <c r="C810" t="s">
        <v>78</v>
      </c>
      <c r="D810" t="s">
        <v>127</v>
      </c>
      <c r="E810">
        <v>21406000000</v>
      </c>
      <c r="F810">
        <v>-1848000000</v>
      </c>
      <c r="G810">
        <v>-108000000</v>
      </c>
      <c r="H810">
        <v>-2137000000</v>
      </c>
      <c r="I810">
        <v>-2792000000</v>
      </c>
      <c r="J810">
        <v>-6324000000</v>
      </c>
      <c r="K810">
        <v>4184000000</v>
      </c>
      <c r="L810">
        <v>0</v>
      </c>
      <c r="M810">
        <v>4184000000</v>
      </c>
      <c r="N810">
        <v>8665000000</v>
      </c>
      <c r="O810">
        <v>492000000</v>
      </c>
      <c r="P810">
        <v>209000000</v>
      </c>
      <c r="Q810">
        <v>10954000000</v>
      </c>
      <c r="R810">
        <v>8652000000</v>
      </c>
      <c r="S810">
        <v>22994000000</v>
      </c>
      <c r="T810">
        <v>0</v>
      </c>
      <c r="U810">
        <v>902000000</v>
      </c>
      <c r="V810">
        <v>9818000000</v>
      </c>
      <c r="W810">
        <v>51561459009</v>
      </c>
      <c r="X810">
        <v>52463459009</v>
      </c>
      <c r="Y810">
        <v>2.0827085400822201</v>
      </c>
      <c r="Z810">
        <v>-24.12470725595238</v>
      </c>
      <c r="AA810">
        <v>-412.80054637962962</v>
      </c>
      <c r="AB810">
        <v>-20.862170804398691</v>
      </c>
      <c r="AC810">
        <v>-15.967929444484239</v>
      </c>
      <c r="AD810">
        <v>-7.0497247009803923</v>
      </c>
      <c r="AE810">
        <v>-28.38931764556277</v>
      </c>
      <c r="AF810">
        <v>-27.901222407467529</v>
      </c>
      <c r="AG810">
        <v>-18.790637180873929</v>
      </c>
      <c r="AH810">
        <v>-18.467571278295129</v>
      </c>
      <c r="AI810">
        <v>-485.77276860185191</v>
      </c>
      <c r="AJ810">
        <v>-24.550051010294801</v>
      </c>
      <c r="AK810">
        <v>-477.42091675</v>
      </c>
      <c r="AL810">
        <v>-24.1279639723912</v>
      </c>
      <c r="AM810">
        <v>2.4508763435018222</v>
      </c>
      <c r="AN810">
        <v>2.4087386251051108</v>
      </c>
    </row>
    <row r="811" spans="1:40" x14ac:dyDescent="0.25">
      <c r="A811" s="1" t="s">
        <v>713</v>
      </c>
      <c r="B811">
        <v>45650065566</v>
      </c>
      <c r="C811" t="s">
        <v>78</v>
      </c>
      <c r="D811" t="s">
        <v>127</v>
      </c>
      <c r="E811">
        <v>21406000000</v>
      </c>
      <c r="F811">
        <v>-1848000000</v>
      </c>
      <c r="G811">
        <v>-108000000</v>
      </c>
      <c r="H811">
        <v>-2137000000</v>
      </c>
      <c r="I811">
        <v>-2792000000</v>
      </c>
      <c r="J811">
        <v>-6324000000</v>
      </c>
      <c r="K811">
        <v>4184000000</v>
      </c>
      <c r="L811">
        <v>0</v>
      </c>
      <c r="M811">
        <v>4184000000</v>
      </c>
      <c r="N811">
        <v>8665000000</v>
      </c>
      <c r="O811">
        <v>492000000</v>
      </c>
      <c r="P811">
        <v>209000000</v>
      </c>
      <c r="Q811">
        <v>10954000000</v>
      </c>
      <c r="R811">
        <v>8652000000</v>
      </c>
      <c r="S811">
        <v>22994000000</v>
      </c>
      <c r="T811">
        <v>0</v>
      </c>
      <c r="U811">
        <v>902000000</v>
      </c>
      <c r="V811">
        <v>9818000000</v>
      </c>
      <c r="W811">
        <v>52629065566</v>
      </c>
      <c r="X811">
        <v>53531065566</v>
      </c>
      <c r="Y811">
        <v>2.1325827135382598</v>
      </c>
      <c r="Z811">
        <v>-24.702416431818179</v>
      </c>
      <c r="AA811">
        <v>-422.68579227777781</v>
      </c>
      <c r="AB811">
        <v>-21.361752721572302</v>
      </c>
      <c r="AC811">
        <v>-16.35031001647565</v>
      </c>
      <c r="AD811">
        <v>-7.2185429421252376</v>
      </c>
      <c r="AE811">
        <v>-28.967026821428568</v>
      </c>
      <c r="AF811">
        <v>-28.478931583333331</v>
      </c>
      <c r="AG811">
        <v>-19.173017752865331</v>
      </c>
      <c r="AH811">
        <v>-18.84995185028653</v>
      </c>
      <c r="AI811">
        <v>-495.65801449999998</v>
      </c>
      <c r="AJ811">
        <v>-25.049632927468409</v>
      </c>
      <c r="AK811">
        <v>-487.30616264814807</v>
      </c>
      <c r="AL811">
        <v>-24.627545889564811</v>
      </c>
      <c r="AM811">
        <v>2.5007505169578619</v>
      </c>
      <c r="AN811">
        <v>2.458612798561151</v>
      </c>
    </row>
    <row r="812" spans="1:40" x14ac:dyDescent="0.25">
      <c r="A812" s="1" t="s">
        <v>712</v>
      </c>
      <c r="B812">
        <v>46085016385</v>
      </c>
      <c r="C812" t="s">
        <v>78</v>
      </c>
      <c r="D812" t="s">
        <v>127</v>
      </c>
      <c r="E812">
        <v>21406000000</v>
      </c>
      <c r="F812">
        <v>-1848000000</v>
      </c>
      <c r="G812">
        <v>-108000000</v>
      </c>
      <c r="H812">
        <v>-2137000000</v>
      </c>
      <c r="I812">
        <v>-2792000000</v>
      </c>
      <c r="J812">
        <v>-6324000000</v>
      </c>
      <c r="K812">
        <v>4184000000</v>
      </c>
      <c r="L812">
        <v>0</v>
      </c>
      <c r="M812">
        <v>4184000000</v>
      </c>
      <c r="N812">
        <v>8665000000</v>
      </c>
      <c r="O812">
        <v>492000000</v>
      </c>
      <c r="P812">
        <v>209000000</v>
      </c>
      <c r="Q812">
        <v>10954000000</v>
      </c>
      <c r="R812">
        <v>8652000000</v>
      </c>
      <c r="S812">
        <v>22994000000</v>
      </c>
      <c r="T812">
        <v>0</v>
      </c>
      <c r="U812">
        <v>902000000</v>
      </c>
      <c r="V812">
        <v>9818000000</v>
      </c>
      <c r="W812">
        <v>53064016385</v>
      </c>
      <c r="X812">
        <v>53966016385</v>
      </c>
      <c r="Y812">
        <v>2.1529018212183502</v>
      </c>
      <c r="Z812">
        <v>-24.937779429112549</v>
      </c>
      <c r="AA812">
        <v>-426.71311467592591</v>
      </c>
      <c r="AB812">
        <v>-21.565286094992981</v>
      </c>
      <c r="AC812">
        <v>-16.50609469376791</v>
      </c>
      <c r="AD812">
        <v>-7.2873207439911436</v>
      </c>
      <c r="AE812">
        <v>-29.202389818722938</v>
      </c>
      <c r="AF812">
        <v>-28.714294580627701</v>
      </c>
      <c r="AG812">
        <v>-19.328802430157591</v>
      </c>
      <c r="AH812">
        <v>-19.005736527578801</v>
      </c>
      <c r="AI812">
        <v>-499.68533689814808</v>
      </c>
      <c r="AJ812">
        <v>-25.253166300889099</v>
      </c>
      <c r="AK812">
        <v>-491.33348504629629</v>
      </c>
      <c r="AL812">
        <v>-24.83107926298549</v>
      </c>
      <c r="AM812">
        <v>2.5210696246379518</v>
      </c>
      <c r="AN812">
        <v>2.4789319062412409</v>
      </c>
    </row>
    <row r="813" spans="1:40" x14ac:dyDescent="0.25">
      <c r="A813" s="1" t="s">
        <v>711</v>
      </c>
      <c r="B813">
        <v>46361803271</v>
      </c>
      <c r="C813" t="s">
        <v>78</v>
      </c>
      <c r="D813" t="s">
        <v>127</v>
      </c>
      <c r="E813">
        <v>21406000000</v>
      </c>
      <c r="F813">
        <v>-1848000000</v>
      </c>
      <c r="G813">
        <v>-108000000</v>
      </c>
      <c r="H813">
        <v>-2137000000</v>
      </c>
      <c r="I813">
        <v>-2792000000</v>
      </c>
      <c r="J813">
        <v>-6324000000</v>
      </c>
      <c r="K813">
        <v>4184000000</v>
      </c>
      <c r="L813">
        <v>0</v>
      </c>
      <c r="M813">
        <v>4184000000</v>
      </c>
      <c r="N813">
        <v>8665000000</v>
      </c>
      <c r="O813">
        <v>492000000</v>
      </c>
      <c r="P813">
        <v>209000000</v>
      </c>
      <c r="Q813">
        <v>10954000000</v>
      </c>
      <c r="R813">
        <v>8652000000</v>
      </c>
      <c r="S813">
        <v>22994000000</v>
      </c>
      <c r="T813">
        <v>0</v>
      </c>
      <c r="U813">
        <v>902000000</v>
      </c>
      <c r="V813">
        <v>9818000000</v>
      </c>
      <c r="W813">
        <v>53340803271</v>
      </c>
      <c r="X813">
        <v>54242803271</v>
      </c>
      <c r="Y813">
        <v>2.1658321625245258</v>
      </c>
      <c r="Z813">
        <v>-25.08755588257576</v>
      </c>
      <c r="AA813">
        <v>-429.27595621296302</v>
      </c>
      <c r="AB813">
        <v>-21.694807333177351</v>
      </c>
      <c r="AC813">
        <v>-16.605230397922639</v>
      </c>
      <c r="AD813">
        <v>-7.3310884362745101</v>
      </c>
      <c r="AE813">
        <v>-29.35216627218615</v>
      </c>
      <c r="AF813">
        <v>-28.864071034090909</v>
      </c>
      <c r="AG813">
        <v>-19.427938134312321</v>
      </c>
      <c r="AH813">
        <v>-19.10487223173352</v>
      </c>
      <c r="AI813">
        <v>-502.2481784351852</v>
      </c>
      <c r="AJ813">
        <v>-25.382687539073469</v>
      </c>
      <c r="AK813">
        <v>-493.89632658333329</v>
      </c>
      <c r="AL813">
        <v>-24.960600501169861</v>
      </c>
      <c r="AM813">
        <v>2.5339999659441279</v>
      </c>
      <c r="AN813">
        <v>2.491862247547417</v>
      </c>
    </row>
    <row r="814" spans="1:40" x14ac:dyDescent="0.25">
      <c r="A814" s="1" t="s">
        <v>710</v>
      </c>
      <c r="B814">
        <v>48635409828</v>
      </c>
      <c r="C814" t="s">
        <v>78</v>
      </c>
      <c r="D814" t="s">
        <v>127</v>
      </c>
      <c r="E814">
        <v>21406000000</v>
      </c>
      <c r="F814">
        <v>-1848000000</v>
      </c>
      <c r="G814">
        <v>-108000000</v>
      </c>
      <c r="H814">
        <v>-2137000000</v>
      </c>
      <c r="I814">
        <v>-2792000000</v>
      </c>
      <c r="J814">
        <v>-6324000000</v>
      </c>
      <c r="K814">
        <v>4184000000</v>
      </c>
      <c r="L814">
        <v>0</v>
      </c>
      <c r="M814">
        <v>4184000000</v>
      </c>
      <c r="N814">
        <v>8665000000</v>
      </c>
      <c r="O814">
        <v>492000000</v>
      </c>
      <c r="P814">
        <v>209000000</v>
      </c>
      <c r="Q814">
        <v>10954000000</v>
      </c>
      <c r="R814">
        <v>8652000000</v>
      </c>
      <c r="S814">
        <v>22994000000</v>
      </c>
      <c r="T814">
        <v>0</v>
      </c>
      <c r="U814">
        <v>902000000</v>
      </c>
      <c r="V814">
        <v>9818000000</v>
      </c>
      <c r="W814">
        <v>55614409828</v>
      </c>
      <c r="X814">
        <v>56516409828</v>
      </c>
      <c r="Y814">
        <v>2.2720456800896951</v>
      </c>
      <c r="Z814">
        <v>-26.31786246103896</v>
      </c>
      <c r="AA814">
        <v>-450.32786877777778</v>
      </c>
      <c r="AB814">
        <v>-22.75873178661675</v>
      </c>
      <c r="AC814">
        <v>-17.419559393982809</v>
      </c>
      <c r="AD814">
        <v>-7.6906087647058827</v>
      </c>
      <c r="AE814">
        <v>-30.582472850649349</v>
      </c>
      <c r="AF814">
        <v>-30.094377612554108</v>
      </c>
      <c r="AG814">
        <v>-20.24226713037249</v>
      </c>
      <c r="AH814">
        <v>-19.9192012277937</v>
      </c>
      <c r="AI814">
        <v>-523.30009099999995</v>
      </c>
      <c r="AJ814">
        <v>-26.446611992512871</v>
      </c>
      <c r="AK814">
        <v>-514.9482391481481</v>
      </c>
      <c r="AL814">
        <v>-26.024524954609269</v>
      </c>
      <c r="AM814">
        <v>2.6402134835092959</v>
      </c>
      <c r="AN814">
        <v>2.598075765112585</v>
      </c>
    </row>
    <row r="815" spans="1:40" x14ac:dyDescent="0.25">
      <c r="A815" s="1" t="s">
        <v>125</v>
      </c>
      <c r="B815">
        <v>57828688515</v>
      </c>
      <c r="C815" t="s">
        <v>77</v>
      </c>
      <c r="D815" t="s">
        <v>105</v>
      </c>
      <c r="E815">
        <v>25550000000</v>
      </c>
      <c r="F815">
        <v>-1356000000</v>
      </c>
      <c r="G815">
        <v>672000000</v>
      </c>
      <c r="H815">
        <v>-1645000000</v>
      </c>
      <c r="I815">
        <v>-2317000000</v>
      </c>
      <c r="J815">
        <v>-10101000000</v>
      </c>
      <c r="K815">
        <v>4397000000</v>
      </c>
      <c r="L815">
        <v>0</v>
      </c>
      <c r="M815">
        <v>4397000000</v>
      </c>
      <c r="N815">
        <v>8751000000</v>
      </c>
      <c r="O815">
        <v>504000000</v>
      </c>
      <c r="P815">
        <v>215000000</v>
      </c>
      <c r="Q815">
        <v>10982000000</v>
      </c>
      <c r="R815">
        <v>8945000000</v>
      </c>
      <c r="S815">
        <v>23451000000</v>
      </c>
      <c r="T815">
        <v>0</v>
      </c>
      <c r="U815">
        <v>902000000</v>
      </c>
      <c r="V815">
        <v>7563000000</v>
      </c>
      <c r="W815">
        <v>64628688515</v>
      </c>
      <c r="X815">
        <v>65530688515</v>
      </c>
      <c r="Y815">
        <v>2.263353757925636</v>
      </c>
      <c r="Z815">
        <v>-42.646525453539823</v>
      </c>
      <c r="AA815">
        <v>86.054596004464287</v>
      </c>
      <c r="AB815">
        <v>-35.15421794224924</v>
      </c>
      <c r="AC815">
        <v>-24.95843267803194</v>
      </c>
      <c r="AD815">
        <v>-5.7250458880308877</v>
      </c>
      <c r="AE815">
        <v>-48.326466456489683</v>
      </c>
      <c r="AF815">
        <v>-47.661274716076697</v>
      </c>
      <c r="AG815">
        <v>-28.282558703064311</v>
      </c>
      <c r="AH815">
        <v>-27.89326219896418</v>
      </c>
      <c r="AI815">
        <v>97.515905528273805</v>
      </c>
      <c r="AJ815">
        <v>-39.836284811550151</v>
      </c>
      <c r="AK815">
        <v>96.173643623511907</v>
      </c>
      <c r="AL815">
        <v>-39.287956544072948</v>
      </c>
      <c r="AM815">
        <v>2.5648018988258321</v>
      </c>
      <c r="AN815">
        <v>2.529498572015656</v>
      </c>
    </row>
    <row r="816" spans="1:40" x14ac:dyDescent="0.25">
      <c r="A816" s="1" t="s">
        <v>709</v>
      </c>
      <c r="B816">
        <v>59687114744</v>
      </c>
      <c r="C816" t="s">
        <v>77</v>
      </c>
      <c r="D816" t="s">
        <v>105</v>
      </c>
      <c r="E816">
        <v>25550000000</v>
      </c>
      <c r="F816">
        <v>-1356000000</v>
      </c>
      <c r="G816">
        <v>672000000</v>
      </c>
      <c r="H816">
        <v>-1645000000</v>
      </c>
      <c r="I816">
        <v>-2317000000</v>
      </c>
      <c r="J816">
        <v>-10101000000</v>
      </c>
      <c r="K816">
        <v>4397000000</v>
      </c>
      <c r="L816">
        <v>0</v>
      </c>
      <c r="M816">
        <v>4397000000</v>
      </c>
      <c r="N816">
        <v>8751000000</v>
      </c>
      <c r="O816">
        <v>504000000</v>
      </c>
      <c r="P816">
        <v>215000000</v>
      </c>
      <c r="Q816">
        <v>10982000000</v>
      </c>
      <c r="R816">
        <v>8945000000</v>
      </c>
      <c r="S816">
        <v>23451000000</v>
      </c>
      <c r="T816">
        <v>0</v>
      </c>
      <c r="U816">
        <v>902000000</v>
      </c>
      <c r="V816">
        <v>7563000000</v>
      </c>
      <c r="W816">
        <v>66487114744</v>
      </c>
      <c r="X816">
        <v>67389114744</v>
      </c>
      <c r="Y816">
        <v>2.3360905966340511</v>
      </c>
      <c r="Z816">
        <v>-44.017046271386427</v>
      </c>
      <c r="AA816">
        <v>88.820111226190477</v>
      </c>
      <c r="AB816">
        <v>-36.283960330699088</v>
      </c>
      <c r="AC816">
        <v>-25.760515642641352</v>
      </c>
      <c r="AD816">
        <v>-5.9090302686862684</v>
      </c>
      <c r="AE816">
        <v>-49.69698727433628</v>
      </c>
      <c r="AF816">
        <v>-49.031795533923301</v>
      </c>
      <c r="AG816">
        <v>-29.084641667673711</v>
      </c>
      <c r="AH816">
        <v>-28.695345163573592</v>
      </c>
      <c r="AI816">
        <v>100.28142075</v>
      </c>
      <c r="AJ816">
        <v>-40.966027199999999</v>
      </c>
      <c r="AK816">
        <v>98.939158845238097</v>
      </c>
      <c r="AL816">
        <v>-40.417698932522804</v>
      </c>
      <c r="AM816">
        <v>2.6375387375342472</v>
      </c>
      <c r="AN816">
        <v>2.6022354107240711</v>
      </c>
    </row>
    <row r="817" spans="1:40" x14ac:dyDescent="0.25">
      <c r="A817" s="1" t="s">
        <v>708</v>
      </c>
      <c r="B817">
        <v>62969016383</v>
      </c>
      <c r="C817" t="s">
        <v>77</v>
      </c>
      <c r="D817" t="s">
        <v>105</v>
      </c>
      <c r="E817">
        <v>25550000000</v>
      </c>
      <c r="F817">
        <v>-1356000000</v>
      </c>
      <c r="G817">
        <v>672000000</v>
      </c>
      <c r="H817">
        <v>-1645000000</v>
      </c>
      <c r="I817">
        <v>-2317000000</v>
      </c>
      <c r="J817">
        <v>-10101000000</v>
      </c>
      <c r="K817">
        <v>4397000000</v>
      </c>
      <c r="L817">
        <v>0</v>
      </c>
      <c r="M817">
        <v>4397000000</v>
      </c>
      <c r="N817">
        <v>8751000000</v>
      </c>
      <c r="O817">
        <v>504000000</v>
      </c>
      <c r="P817">
        <v>215000000</v>
      </c>
      <c r="Q817">
        <v>10982000000</v>
      </c>
      <c r="R817">
        <v>8945000000</v>
      </c>
      <c r="S817">
        <v>23451000000</v>
      </c>
      <c r="T817">
        <v>0</v>
      </c>
      <c r="U817">
        <v>902000000</v>
      </c>
      <c r="V817">
        <v>7563000000</v>
      </c>
      <c r="W817">
        <v>69769016383</v>
      </c>
      <c r="X817">
        <v>70671016383</v>
      </c>
      <c r="Y817">
        <v>2.4645407586301369</v>
      </c>
      <c r="Z817">
        <v>-46.437327716076688</v>
      </c>
      <c r="AA817">
        <v>93.703893427083329</v>
      </c>
      <c r="AB817">
        <v>-38.279037314893607</v>
      </c>
      <c r="AC817">
        <v>-27.176960027190329</v>
      </c>
      <c r="AD817">
        <v>-6.2339388558558557</v>
      </c>
      <c r="AE817">
        <v>-52.117268719026548</v>
      </c>
      <c r="AF817">
        <v>-51.452076978613569</v>
      </c>
      <c r="AG817">
        <v>-30.5010860522227</v>
      </c>
      <c r="AH817">
        <v>-30.111789548122569</v>
      </c>
      <c r="AI817">
        <v>105.1652029508929</v>
      </c>
      <c r="AJ817">
        <v>-42.961104184194532</v>
      </c>
      <c r="AK817">
        <v>103.82294104613089</v>
      </c>
      <c r="AL817">
        <v>-42.412775916717322</v>
      </c>
      <c r="AM817">
        <v>2.765988899530333</v>
      </c>
      <c r="AN817">
        <v>2.730685572720156</v>
      </c>
    </row>
    <row r="818" spans="1:40" x14ac:dyDescent="0.25">
      <c r="A818" s="1" t="s">
        <v>707</v>
      </c>
      <c r="B818">
        <v>63285344251</v>
      </c>
      <c r="C818" t="s">
        <v>77</v>
      </c>
      <c r="D818" t="s">
        <v>105</v>
      </c>
      <c r="E818">
        <v>25550000000</v>
      </c>
      <c r="F818">
        <v>-1356000000</v>
      </c>
      <c r="G818">
        <v>672000000</v>
      </c>
      <c r="H818">
        <v>-1645000000</v>
      </c>
      <c r="I818">
        <v>-2317000000</v>
      </c>
      <c r="J818">
        <v>-10101000000</v>
      </c>
      <c r="K818">
        <v>4397000000</v>
      </c>
      <c r="L818">
        <v>0</v>
      </c>
      <c r="M818">
        <v>4397000000</v>
      </c>
      <c r="N818">
        <v>8751000000</v>
      </c>
      <c r="O818">
        <v>504000000</v>
      </c>
      <c r="P818">
        <v>215000000</v>
      </c>
      <c r="Q818">
        <v>10982000000</v>
      </c>
      <c r="R818">
        <v>8945000000</v>
      </c>
      <c r="S818">
        <v>23451000000</v>
      </c>
      <c r="T818">
        <v>0</v>
      </c>
      <c r="U818">
        <v>902000000</v>
      </c>
      <c r="V818">
        <v>7563000000</v>
      </c>
      <c r="W818">
        <v>70085344251</v>
      </c>
      <c r="X818">
        <v>70987344251</v>
      </c>
      <c r="Y818">
        <v>2.4769214971037181</v>
      </c>
      <c r="Z818">
        <v>-46.670607854719762</v>
      </c>
      <c r="AA818">
        <v>94.174619421130956</v>
      </c>
      <c r="AB818">
        <v>-38.471333891185409</v>
      </c>
      <c r="AC818">
        <v>-27.313484786793271</v>
      </c>
      <c r="AD818">
        <v>-6.2652553461043459</v>
      </c>
      <c r="AE818">
        <v>-52.350548857669622</v>
      </c>
      <c r="AF818">
        <v>-51.685357117256643</v>
      </c>
      <c r="AG818">
        <v>-30.637610811825638</v>
      </c>
      <c r="AH818">
        <v>-30.248314307725511</v>
      </c>
      <c r="AI818">
        <v>105.6359289449405</v>
      </c>
      <c r="AJ818">
        <v>-43.153400760486321</v>
      </c>
      <c r="AK818">
        <v>104.2936670401786</v>
      </c>
      <c r="AL818">
        <v>-42.605072493009118</v>
      </c>
      <c r="AM818">
        <v>2.7783696380039138</v>
      </c>
      <c r="AN818">
        <v>2.7430663111937381</v>
      </c>
    </row>
    <row r="819" spans="1:40" x14ac:dyDescent="0.25">
      <c r="A819" s="1" t="s">
        <v>706</v>
      </c>
      <c r="B819">
        <v>62969016383</v>
      </c>
      <c r="C819" t="s">
        <v>77</v>
      </c>
      <c r="D819" t="s">
        <v>105</v>
      </c>
      <c r="E819">
        <v>25550000000</v>
      </c>
      <c r="F819">
        <v>-1356000000</v>
      </c>
      <c r="G819">
        <v>672000000</v>
      </c>
      <c r="H819">
        <v>-1645000000</v>
      </c>
      <c r="I819">
        <v>-2317000000</v>
      </c>
      <c r="J819">
        <v>-10101000000</v>
      </c>
      <c r="K819">
        <v>4397000000</v>
      </c>
      <c r="L819">
        <v>0</v>
      </c>
      <c r="M819">
        <v>4397000000</v>
      </c>
      <c r="N819">
        <v>8751000000</v>
      </c>
      <c r="O819">
        <v>504000000</v>
      </c>
      <c r="P819">
        <v>215000000</v>
      </c>
      <c r="Q819">
        <v>10982000000</v>
      </c>
      <c r="R819">
        <v>8945000000</v>
      </c>
      <c r="S819">
        <v>23451000000</v>
      </c>
      <c r="T819">
        <v>0</v>
      </c>
      <c r="U819">
        <v>902000000</v>
      </c>
      <c r="V819">
        <v>7563000000</v>
      </c>
      <c r="W819">
        <v>69769016383</v>
      </c>
      <c r="X819">
        <v>70671016383</v>
      </c>
      <c r="Y819">
        <v>2.4645407586301369</v>
      </c>
      <c r="Z819">
        <v>-46.437327716076688</v>
      </c>
      <c r="AA819">
        <v>93.703893427083329</v>
      </c>
      <c r="AB819">
        <v>-38.279037314893607</v>
      </c>
      <c r="AC819">
        <v>-27.176960027190329</v>
      </c>
      <c r="AD819">
        <v>-6.2339388558558557</v>
      </c>
      <c r="AE819">
        <v>-52.117268719026548</v>
      </c>
      <c r="AF819">
        <v>-51.452076978613569</v>
      </c>
      <c r="AG819">
        <v>-30.5010860522227</v>
      </c>
      <c r="AH819">
        <v>-30.111789548122569</v>
      </c>
      <c r="AI819">
        <v>105.1652029508929</v>
      </c>
      <c r="AJ819">
        <v>-42.961104184194532</v>
      </c>
      <c r="AK819">
        <v>103.82294104613089</v>
      </c>
      <c r="AL819">
        <v>-42.412775916717322</v>
      </c>
      <c r="AM819">
        <v>2.765988899530333</v>
      </c>
      <c r="AN819">
        <v>2.730685572720156</v>
      </c>
    </row>
    <row r="820" spans="1:40" x14ac:dyDescent="0.25">
      <c r="A820" s="1" t="s">
        <v>705</v>
      </c>
      <c r="B820">
        <v>61407147530</v>
      </c>
      <c r="C820" t="s">
        <v>77</v>
      </c>
      <c r="D820" t="s">
        <v>105</v>
      </c>
      <c r="E820">
        <v>25550000000</v>
      </c>
      <c r="F820">
        <v>-1356000000</v>
      </c>
      <c r="G820">
        <v>672000000</v>
      </c>
      <c r="H820">
        <v>-1645000000</v>
      </c>
      <c r="I820">
        <v>-2317000000</v>
      </c>
      <c r="J820">
        <v>-10101000000</v>
      </c>
      <c r="K820">
        <v>4397000000</v>
      </c>
      <c r="L820">
        <v>0</v>
      </c>
      <c r="M820">
        <v>4397000000</v>
      </c>
      <c r="N820">
        <v>8751000000</v>
      </c>
      <c r="O820">
        <v>504000000</v>
      </c>
      <c r="P820">
        <v>215000000</v>
      </c>
      <c r="Q820">
        <v>10982000000</v>
      </c>
      <c r="R820">
        <v>8945000000</v>
      </c>
      <c r="S820">
        <v>23451000000</v>
      </c>
      <c r="T820">
        <v>0</v>
      </c>
      <c r="U820">
        <v>902000000</v>
      </c>
      <c r="V820">
        <v>7563000000</v>
      </c>
      <c r="W820">
        <v>68207147530</v>
      </c>
      <c r="X820">
        <v>69109147530</v>
      </c>
      <c r="Y820">
        <v>2.40341086223092</v>
      </c>
      <c r="Z820">
        <v>-45.285507028023602</v>
      </c>
      <c r="AA820">
        <v>91.379683824404765</v>
      </c>
      <c r="AB820">
        <v>-37.329572966565351</v>
      </c>
      <c r="AC820">
        <v>-26.502869024600781</v>
      </c>
      <c r="AD820">
        <v>-6.0793136847836848</v>
      </c>
      <c r="AE820">
        <v>-50.965448030973448</v>
      </c>
      <c r="AF820">
        <v>-50.300256290560469</v>
      </c>
      <c r="AG820">
        <v>-29.826995049633151</v>
      </c>
      <c r="AH820">
        <v>-29.437698545533021</v>
      </c>
      <c r="AI820">
        <v>102.8409933482143</v>
      </c>
      <c r="AJ820">
        <v>-42.011639835866262</v>
      </c>
      <c r="AK820">
        <v>101.4987314434524</v>
      </c>
      <c r="AL820">
        <v>-41.463311568389059</v>
      </c>
      <c r="AM820">
        <v>2.7048590031311148</v>
      </c>
      <c r="AN820">
        <v>2.6695556763209392</v>
      </c>
    </row>
    <row r="821" spans="1:40" x14ac:dyDescent="0.25">
      <c r="A821" s="1" t="s">
        <v>704</v>
      </c>
      <c r="B821">
        <v>64847213103</v>
      </c>
      <c r="C821" t="s">
        <v>77</v>
      </c>
      <c r="D821" t="s">
        <v>105</v>
      </c>
      <c r="E821">
        <v>25550000000</v>
      </c>
      <c r="F821">
        <v>-1356000000</v>
      </c>
      <c r="G821">
        <v>672000000</v>
      </c>
      <c r="H821">
        <v>-1645000000</v>
      </c>
      <c r="I821">
        <v>-2317000000</v>
      </c>
      <c r="J821">
        <v>-10101000000</v>
      </c>
      <c r="K821">
        <v>4397000000</v>
      </c>
      <c r="L821">
        <v>0</v>
      </c>
      <c r="M821">
        <v>4397000000</v>
      </c>
      <c r="N821">
        <v>8751000000</v>
      </c>
      <c r="O821">
        <v>504000000</v>
      </c>
      <c r="P821">
        <v>215000000</v>
      </c>
      <c r="Q821">
        <v>10982000000</v>
      </c>
      <c r="R821">
        <v>8945000000</v>
      </c>
      <c r="S821">
        <v>23451000000</v>
      </c>
      <c r="T821">
        <v>0</v>
      </c>
      <c r="U821">
        <v>902000000</v>
      </c>
      <c r="V821">
        <v>7563000000</v>
      </c>
      <c r="W821">
        <v>71647213103</v>
      </c>
      <c r="X821">
        <v>72549213103</v>
      </c>
      <c r="Y821">
        <v>2.538051393463796</v>
      </c>
      <c r="Z821">
        <v>-47.822428542035397</v>
      </c>
      <c r="AA821">
        <v>96.498829022321431</v>
      </c>
      <c r="AB821">
        <v>-39.420798238905768</v>
      </c>
      <c r="AC821">
        <v>-27.987575788951229</v>
      </c>
      <c r="AD821">
        <v>-6.4198805170775168</v>
      </c>
      <c r="AE821">
        <v>-53.50236954498525</v>
      </c>
      <c r="AF821">
        <v>-52.837177804572271</v>
      </c>
      <c r="AG821">
        <v>-31.3117018139836</v>
      </c>
      <c r="AH821">
        <v>-30.922405309883469</v>
      </c>
      <c r="AI821">
        <v>107.96013854613091</v>
      </c>
      <c r="AJ821">
        <v>-44.102865108206693</v>
      </c>
      <c r="AK821">
        <v>106.61787664136909</v>
      </c>
      <c r="AL821">
        <v>-43.554536840729483</v>
      </c>
      <c r="AM821">
        <v>2.8394995343639922</v>
      </c>
      <c r="AN821">
        <v>2.804196207553816</v>
      </c>
    </row>
    <row r="822" spans="1:40" x14ac:dyDescent="0.25">
      <c r="A822" s="1" t="s">
        <v>703</v>
      </c>
      <c r="B822">
        <v>63740065563</v>
      </c>
      <c r="C822" t="s">
        <v>77</v>
      </c>
      <c r="D822" t="s">
        <v>105</v>
      </c>
      <c r="E822">
        <v>25550000000</v>
      </c>
      <c r="F822">
        <v>-1356000000</v>
      </c>
      <c r="G822">
        <v>672000000</v>
      </c>
      <c r="H822">
        <v>-1645000000</v>
      </c>
      <c r="I822">
        <v>-2317000000</v>
      </c>
      <c r="J822">
        <v>-10101000000</v>
      </c>
      <c r="K822">
        <v>4397000000</v>
      </c>
      <c r="L822">
        <v>0</v>
      </c>
      <c r="M822">
        <v>4397000000</v>
      </c>
      <c r="N822">
        <v>8751000000</v>
      </c>
      <c r="O822">
        <v>504000000</v>
      </c>
      <c r="P822">
        <v>215000000</v>
      </c>
      <c r="Q822">
        <v>10982000000</v>
      </c>
      <c r="R822">
        <v>8945000000</v>
      </c>
      <c r="S822">
        <v>23451000000</v>
      </c>
      <c r="T822">
        <v>0</v>
      </c>
      <c r="U822">
        <v>902000000</v>
      </c>
      <c r="V822">
        <v>7563000000</v>
      </c>
      <c r="W822">
        <v>70540065563</v>
      </c>
      <c r="X822">
        <v>71442065563</v>
      </c>
      <c r="Y822">
        <v>2.4947188087279839</v>
      </c>
      <c r="Z822">
        <v>-47.005948055309737</v>
      </c>
      <c r="AA822">
        <v>94.851288040178574</v>
      </c>
      <c r="AB822">
        <v>-38.747760220668702</v>
      </c>
      <c r="AC822">
        <v>-27.509739129477769</v>
      </c>
      <c r="AD822">
        <v>-6.310272801009801</v>
      </c>
      <c r="AE822">
        <v>-52.68588905825959</v>
      </c>
      <c r="AF822">
        <v>-52.020697317846597</v>
      </c>
      <c r="AG822">
        <v>-30.833865154510139</v>
      </c>
      <c r="AH822">
        <v>-30.444568650410009</v>
      </c>
      <c r="AI822">
        <v>106.31259756398811</v>
      </c>
      <c r="AJ822">
        <v>-43.429827089969613</v>
      </c>
      <c r="AK822">
        <v>104.97033565922619</v>
      </c>
      <c r="AL822">
        <v>-42.881498822492397</v>
      </c>
      <c r="AM822">
        <v>2.79616694962818</v>
      </c>
      <c r="AN822">
        <v>2.7608636228180039</v>
      </c>
    </row>
    <row r="823" spans="1:40" x14ac:dyDescent="0.25">
      <c r="A823" s="1" t="s">
        <v>702</v>
      </c>
      <c r="B823">
        <v>64194786874</v>
      </c>
      <c r="C823" t="s">
        <v>77</v>
      </c>
      <c r="D823" t="s">
        <v>105</v>
      </c>
      <c r="E823">
        <v>25550000000</v>
      </c>
      <c r="F823">
        <v>-1356000000</v>
      </c>
      <c r="G823">
        <v>672000000</v>
      </c>
      <c r="H823">
        <v>-1645000000</v>
      </c>
      <c r="I823">
        <v>-2317000000</v>
      </c>
      <c r="J823">
        <v>-10101000000</v>
      </c>
      <c r="K823">
        <v>4397000000</v>
      </c>
      <c r="L823">
        <v>0</v>
      </c>
      <c r="M823">
        <v>4397000000</v>
      </c>
      <c r="N823">
        <v>8751000000</v>
      </c>
      <c r="O823">
        <v>504000000</v>
      </c>
      <c r="P823">
        <v>215000000</v>
      </c>
      <c r="Q823">
        <v>10982000000</v>
      </c>
      <c r="R823">
        <v>8945000000</v>
      </c>
      <c r="S823">
        <v>23451000000</v>
      </c>
      <c r="T823">
        <v>0</v>
      </c>
      <c r="U823">
        <v>902000000</v>
      </c>
      <c r="V823">
        <v>7563000000</v>
      </c>
      <c r="W823">
        <v>70994786874</v>
      </c>
      <c r="X823">
        <v>71896786874</v>
      </c>
      <c r="Y823">
        <v>2.5125161203131121</v>
      </c>
      <c r="Z823">
        <v>-47.34128825516224</v>
      </c>
      <c r="AA823">
        <v>95.527956657738102</v>
      </c>
      <c r="AB823">
        <v>-39.024186549544083</v>
      </c>
      <c r="AC823">
        <v>-27.705993471730689</v>
      </c>
      <c r="AD823">
        <v>-6.3552902558162554</v>
      </c>
      <c r="AE823">
        <v>-53.021229258112093</v>
      </c>
      <c r="AF823">
        <v>-52.356037517699107</v>
      </c>
      <c r="AG823">
        <v>-31.03011949676306</v>
      </c>
      <c r="AH823">
        <v>-30.64082299266293</v>
      </c>
      <c r="AI823">
        <v>106.98926618154761</v>
      </c>
      <c r="AJ823">
        <v>-43.706253418844987</v>
      </c>
      <c r="AK823">
        <v>105.64700427678569</v>
      </c>
      <c r="AL823">
        <v>-43.157925151367778</v>
      </c>
      <c r="AM823">
        <v>2.8139642612133069</v>
      </c>
      <c r="AN823">
        <v>2.7786609344031312</v>
      </c>
    </row>
    <row r="824" spans="1:40" x14ac:dyDescent="0.25">
      <c r="A824" s="1" t="s">
        <v>701</v>
      </c>
      <c r="B824">
        <v>64234327858</v>
      </c>
      <c r="C824" t="s">
        <v>77</v>
      </c>
      <c r="D824" t="s">
        <v>105</v>
      </c>
      <c r="E824">
        <v>25550000000</v>
      </c>
      <c r="F824">
        <v>-1356000000</v>
      </c>
      <c r="G824">
        <v>672000000</v>
      </c>
      <c r="H824">
        <v>-1645000000</v>
      </c>
      <c r="I824">
        <v>-2317000000</v>
      </c>
      <c r="J824">
        <v>-10101000000</v>
      </c>
      <c r="K824">
        <v>4397000000</v>
      </c>
      <c r="L824">
        <v>0</v>
      </c>
      <c r="M824">
        <v>4397000000</v>
      </c>
      <c r="N824">
        <v>8751000000</v>
      </c>
      <c r="O824">
        <v>504000000</v>
      </c>
      <c r="P824">
        <v>215000000</v>
      </c>
      <c r="Q824">
        <v>10982000000</v>
      </c>
      <c r="R824">
        <v>8945000000</v>
      </c>
      <c r="S824">
        <v>23451000000</v>
      </c>
      <c r="T824">
        <v>0</v>
      </c>
      <c r="U824">
        <v>902000000</v>
      </c>
      <c r="V824">
        <v>7563000000</v>
      </c>
      <c r="W824">
        <v>71034327858</v>
      </c>
      <c r="X824">
        <v>71936327858</v>
      </c>
      <c r="Y824">
        <v>2.514063712641879</v>
      </c>
      <c r="Z824">
        <v>-47.37044827286136</v>
      </c>
      <c r="AA824">
        <v>95.586797407738089</v>
      </c>
      <c r="AB824">
        <v>-39.048223621884503</v>
      </c>
      <c r="AC824">
        <v>-27.723059066896852</v>
      </c>
      <c r="AD824">
        <v>-6.359204817146817</v>
      </c>
      <c r="AE824">
        <v>-53.050389275811213</v>
      </c>
      <c r="AF824">
        <v>-52.385197535398227</v>
      </c>
      <c r="AG824">
        <v>-31.047185091929219</v>
      </c>
      <c r="AH824">
        <v>-30.657888587829088</v>
      </c>
      <c r="AI824">
        <v>107.04810693154759</v>
      </c>
      <c r="AJ824">
        <v>-43.730290491185407</v>
      </c>
      <c r="AK824">
        <v>105.7058450267857</v>
      </c>
      <c r="AL824">
        <v>-43.181962223708197</v>
      </c>
      <c r="AM824">
        <v>2.8155118535420738</v>
      </c>
      <c r="AN824">
        <v>2.7802085267318981</v>
      </c>
    </row>
    <row r="825" spans="1:40" x14ac:dyDescent="0.25">
      <c r="A825" s="1" t="s">
        <v>700</v>
      </c>
      <c r="B825">
        <v>64016852448</v>
      </c>
      <c r="C825" t="s">
        <v>77</v>
      </c>
      <c r="D825" t="s">
        <v>105</v>
      </c>
      <c r="E825">
        <v>25550000000</v>
      </c>
      <c r="F825">
        <v>-1356000000</v>
      </c>
      <c r="G825">
        <v>672000000</v>
      </c>
      <c r="H825">
        <v>-1645000000</v>
      </c>
      <c r="I825">
        <v>-2317000000</v>
      </c>
      <c r="J825">
        <v>-10101000000</v>
      </c>
      <c r="K825">
        <v>4397000000</v>
      </c>
      <c r="L825">
        <v>0</v>
      </c>
      <c r="M825">
        <v>4397000000</v>
      </c>
      <c r="N825">
        <v>8751000000</v>
      </c>
      <c r="O825">
        <v>504000000</v>
      </c>
      <c r="P825">
        <v>215000000</v>
      </c>
      <c r="Q825">
        <v>10982000000</v>
      </c>
      <c r="R825">
        <v>8945000000</v>
      </c>
      <c r="S825">
        <v>23451000000</v>
      </c>
      <c r="T825">
        <v>0</v>
      </c>
      <c r="U825">
        <v>902000000</v>
      </c>
      <c r="V825">
        <v>7563000000</v>
      </c>
      <c r="W825">
        <v>70816852448</v>
      </c>
      <c r="X825">
        <v>71718852448</v>
      </c>
      <c r="Y825">
        <v>2.5055519549119372</v>
      </c>
      <c r="Z825">
        <v>-47.21006817699115</v>
      </c>
      <c r="AA825">
        <v>95.263173285714288</v>
      </c>
      <c r="AB825">
        <v>-38.916019725227962</v>
      </c>
      <c r="AC825">
        <v>-27.629198294346139</v>
      </c>
      <c r="AD825">
        <v>-6.3376747300267304</v>
      </c>
      <c r="AE825">
        <v>-52.890009179941003</v>
      </c>
      <c r="AF825">
        <v>-52.224817439528017</v>
      </c>
      <c r="AG825">
        <v>-30.95332431937851</v>
      </c>
      <c r="AH825">
        <v>-30.564027815278379</v>
      </c>
      <c r="AI825">
        <v>106.72448280952381</v>
      </c>
      <c r="AJ825">
        <v>-43.598086594528873</v>
      </c>
      <c r="AK825">
        <v>105.38222090476189</v>
      </c>
      <c r="AL825">
        <v>-43.04975832705167</v>
      </c>
      <c r="AM825">
        <v>2.8070000958121328</v>
      </c>
      <c r="AN825">
        <v>2.7716967690019572</v>
      </c>
    </row>
    <row r="826" spans="1:40" x14ac:dyDescent="0.25">
      <c r="A826" s="1" t="s">
        <v>699</v>
      </c>
      <c r="B826">
        <v>60734950809</v>
      </c>
      <c r="C826" t="s">
        <v>77</v>
      </c>
      <c r="D826" t="s">
        <v>105</v>
      </c>
      <c r="E826">
        <v>25550000000</v>
      </c>
      <c r="F826">
        <v>-1356000000</v>
      </c>
      <c r="G826">
        <v>672000000</v>
      </c>
      <c r="H826">
        <v>-1645000000</v>
      </c>
      <c r="I826">
        <v>-2317000000</v>
      </c>
      <c r="J826">
        <v>-10101000000</v>
      </c>
      <c r="K826">
        <v>4397000000</v>
      </c>
      <c r="L826">
        <v>0</v>
      </c>
      <c r="M826">
        <v>4397000000</v>
      </c>
      <c r="N826">
        <v>8751000000</v>
      </c>
      <c r="O826">
        <v>504000000</v>
      </c>
      <c r="P826">
        <v>215000000</v>
      </c>
      <c r="Q826">
        <v>10982000000</v>
      </c>
      <c r="R826">
        <v>8945000000</v>
      </c>
      <c r="S826">
        <v>23451000000</v>
      </c>
      <c r="T826">
        <v>0</v>
      </c>
      <c r="U826">
        <v>902000000</v>
      </c>
      <c r="V826">
        <v>7563000000</v>
      </c>
      <c r="W826">
        <v>67534950809</v>
      </c>
      <c r="X826">
        <v>68436950809</v>
      </c>
      <c r="Y826">
        <v>2.3771017929158509</v>
      </c>
      <c r="Z826">
        <v>-44.789786732300882</v>
      </c>
      <c r="AA826">
        <v>90.379391084821435</v>
      </c>
      <c r="AB826">
        <v>-36.920942741033443</v>
      </c>
      <c r="AC826">
        <v>-26.212753909797151</v>
      </c>
      <c r="AD826">
        <v>-6.0127661428571431</v>
      </c>
      <c r="AE826">
        <v>-50.469727735250743</v>
      </c>
      <c r="AF826">
        <v>-49.804535994837757</v>
      </c>
      <c r="AG826">
        <v>-29.536879934829521</v>
      </c>
      <c r="AH826">
        <v>-29.147583430729391</v>
      </c>
      <c r="AI826">
        <v>101.840700608631</v>
      </c>
      <c r="AJ826">
        <v>-41.603009610334347</v>
      </c>
      <c r="AK826">
        <v>100.498438703869</v>
      </c>
      <c r="AL826">
        <v>-41.054681342857137</v>
      </c>
      <c r="AM826">
        <v>2.678549933816047</v>
      </c>
      <c r="AN826">
        <v>2.6432466070058709</v>
      </c>
    </row>
    <row r="827" spans="1:40" x14ac:dyDescent="0.25">
      <c r="A827" s="1" t="s">
        <v>698</v>
      </c>
      <c r="B827">
        <v>59608032777</v>
      </c>
      <c r="C827" t="s">
        <v>77</v>
      </c>
      <c r="D827" t="s">
        <v>105</v>
      </c>
      <c r="E827">
        <v>25550000000</v>
      </c>
      <c r="F827">
        <v>-1356000000</v>
      </c>
      <c r="G827">
        <v>672000000</v>
      </c>
      <c r="H827">
        <v>-1645000000</v>
      </c>
      <c r="I827">
        <v>-2317000000</v>
      </c>
      <c r="J827">
        <v>-10101000000</v>
      </c>
      <c r="K827">
        <v>4397000000</v>
      </c>
      <c r="L827">
        <v>0</v>
      </c>
      <c r="M827">
        <v>4397000000</v>
      </c>
      <c r="N827">
        <v>8751000000</v>
      </c>
      <c r="O827">
        <v>504000000</v>
      </c>
      <c r="P827">
        <v>215000000</v>
      </c>
      <c r="Q827">
        <v>10982000000</v>
      </c>
      <c r="R827">
        <v>8945000000</v>
      </c>
      <c r="S827">
        <v>23451000000</v>
      </c>
      <c r="T827">
        <v>0</v>
      </c>
      <c r="U827">
        <v>902000000</v>
      </c>
      <c r="V827">
        <v>7563000000</v>
      </c>
      <c r="W827">
        <v>66408032777</v>
      </c>
      <c r="X827">
        <v>67310032777</v>
      </c>
      <c r="Y827">
        <v>2.3329954120156562</v>
      </c>
      <c r="Z827">
        <v>-43.958726236725667</v>
      </c>
      <c r="AA827">
        <v>88.702429727678577</v>
      </c>
      <c r="AB827">
        <v>-36.235886186626139</v>
      </c>
      <c r="AC827">
        <v>-25.726384452740611</v>
      </c>
      <c r="AD827">
        <v>-5.901201146124146</v>
      </c>
      <c r="AE827">
        <v>-49.638667239675513</v>
      </c>
      <c r="AF827">
        <v>-48.973475499262527</v>
      </c>
      <c r="AG827">
        <v>-29.050510477772981</v>
      </c>
      <c r="AH827">
        <v>-28.661213973672851</v>
      </c>
      <c r="AI827">
        <v>100.1637392514881</v>
      </c>
      <c r="AJ827">
        <v>-40.91795305592705</v>
      </c>
      <c r="AK827">
        <v>98.821477346726184</v>
      </c>
      <c r="AL827">
        <v>-40.369624788449848</v>
      </c>
      <c r="AM827">
        <v>2.634443552915851</v>
      </c>
      <c r="AN827">
        <v>2.5991402261056749</v>
      </c>
    </row>
    <row r="828" spans="1:40" x14ac:dyDescent="0.25">
      <c r="A828" s="1" t="s">
        <v>697</v>
      </c>
      <c r="B828">
        <v>57354196711</v>
      </c>
      <c r="C828" t="s">
        <v>77</v>
      </c>
      <c r="D828" t="s">
        <v>105</v>
      </c>
      <c r="E828">
        <v>25550000000</v>
      </c>
      <c r="F828">
        <v>-1356000000</v>
      </c>
      <c r="G828">
        <v>672000000</v>
      </c>
      <c r="H828">
        <v>-1645000000</v>
      </c>
      <c r="I828">
        <v>-2317000000</v>
      </c>
      <c r="J828">
        <v>-10101000000</v>
      </c>
      <c r="K828">
        <v>4397000000</v>
      </c>
      <c r="L828">
        <v>0</v>
      </c>
      <c r="M828">
        <v>4397000000</v>
      </c>
      <c r="N828">
        <v>8751000000</v>
      </c>
      <c r="O828">
        <v>504000000</v>
      </c>
      <c r="P828">
        <v>215000000</v>
      </c>
      <c r="Q828">
        <v>10982000000</v>
      </c>
      <c r="R828">
        <v>8945000000</v>
      </c>
      <c r="S828">
        <v>23451000000</v>
      </c>
      <c r="T828">
        <v>0</v>
      </c>
      <c r="U828">
        <v>902000000</v>
      </c>
      <c r="V828">
        <v>7563000000</v>
      </c>
      <c r="W828">
        <v>64154196711</v>
      </c>
      <c r="X828">
        <v>65056196711</v>
      </c>
      <c r="Y828">
        <v>2.2447826501369859</v>
      </c>
      <c r="Z828">
        <v>-42.296605244100292</v>
      </c>
      <c r="AA828">
        <v>85.348507010416668</v>
      </c>
      <c r="AB828">
        <v>-34.865773076595737</v>
      </c>
      <c r="AC828">
        <v>-24.753645537764349</v>
      </c>
      <c r="AD828">
        <v>-5.6780711524601521</v>
      </c>
      <c r="AE828">
        <v>-47.976546247050138</v>
      </c>
      <c r="AF828">
        <v>-47.311354506637173</v>
      </c>
      <c r="AG828">
        <v>-28.07777156279672</v>
      </c>
      <c r="AH828">
        <v>-27.688475058696589</v>
      </c>
      <c r="AI828">
        <v>96.809816534226186</v>
      </c>
      <c r="AJ828">
        <v>-39.547839945896648</v>
      </c>
      <c r="AK828">
        <v>95.467554629464288</v>
      </c>
      <c r="AL828">
        <v>-38.999511678419452</v>
      </c>
      <c r="AM828">
        <v>2.546230791037182</v>
      </c>
      <c r="AN828">
        <v>2.5109274642270059</v>
      </c>
    </row>
    <row r="829" spans="1:40" x14ac:dyDescent="0.25">
      <c r="A829" s="1" t="s">
        <v>696</v>
      </c>
      <c r="B829">
        <v>55357377040</v>
      </c>
      <c r="C829" t="s">
        <v>77</v>
      </c>
      <c r="D829" t="s">
        <v>105</v>
      </c>
      <c r="E829">
        <v>25550000000</v>
      </c>
      <c r="F829">
        <v>-1356000000</v>
      </c>
      <c r="G829">
        <v>672000000</v>
      </c>
      <c r="H829">
        <v>-1645000000</v>
      </c>
      <c r="I829">
        <v>-2317000000</v>
      </c>
      <c r="J829">
        <v>-10101000000</v>
      </c>
      <c r="K829">
        <v>4397000000</v>
      </c>
      <c r="L829">
        <v>0</v>
      </c>
      <c r="M829">
        <v>4397000000</v>
      </c>
      <c r="N829">
        <v>8751000000</v>
      </c>
      <c r="O829">
        <v>504000000</v>
      </c>
      <c r="P829">
        <v>215000000</v>
      </c>
      <c r="Q829">
        <v>10982000000</v>
      </c>
      <c r="R829">
        <v>8945000000</v>
      </c>
      <c r="S829">
        <v>23451000000</v>
      </c>
      <c r="T829">
        <v>0</v>
      </c>
      <c r="U829">
        <v>902000000</v>
      </c>
      <c r="V829">
        <v>7563000000</v>
      </c>
      <c r="W829">
        <v>62157377040</v>
      </c>
      <c r="X829">
        <v>63059377040</v>
      </c>
      <c r="Y829">
        <v>2.1666292383561641</v>
      </c>
      <c r="Z829">
        <v>-40.82402436578171</v>
      </c>
      <c r="AA829">
        <v>82.377049166666666</v>
      </c>
      <c r="AB829">
        <v>-33.651900936170208</v>
      </c>
      <c r="AC829">
        <v>-23.89183299093656</v>
      </c>
      <c r="AD829">
        <v>-5.4803858073458072</v>
      </c>
      <c r="AE829">
        <v>-46.503965368731564</v>
      </c>
      <c r="AF829">
        <v>-45.838773628318577</v>
      </c>
      <c r="AG829">
        <v>-27.21595901596892</v>
      </c>
      <c r="AH829">
        <v>-26.8266625118688</v>
      </c>
      <c r="AI829">
        <v>93.838358690476184</v>
      </c>
      <c r="AJ829">
        <v>-38.333967805471133</v>
      </c>
      <c r="AK829">
        <v>92.496096785714286</v>
      </c>
      <c r="AL829">
        <v>-37.785639537993923</v>
      </c>
      <c r="AM829">
        <v>2.4680773792563602</v>
      </c>
      <c r="AN829">
        <v>2.4327740524461841</v>
      </c>
    </row>
    <row r="830" spans="1:40" x14ac:dyDescent="0.25">
      <c r="A830" s="1" t="s">
        <v>695</v>
      </c>
      <c r="B830">
        <v>54981737695</v>
      </c>
      <c r="C830" t="s">
        <v>77</v>
      </c>
      <c r="D830" t="s">
        <v>105</v>
      </c>
      <c r="E830">
        <v>25550000000</v>
      </c>
      <c r="F830">
        <v>-1356000000</v>
      </c>
      <c r="G830">
        <v>672000000</v>
      </c>
      <c r="H830">
        <v>-1645000000</v>
      </c>
      <c r="I830">
        <v>-2317000000</v>
      </c>
      <c r="J830">
        <v>-10101000000</v>
      </c>
      <c r="K830">
        <v>4397000000</v>
      </c>
      <c r="L830">
        <v>0</v>
      </c>
      <c r="M830">
        <v>4397000000</v>
      </c>
      <c r="N830">
        <v>8751000000</v>
      </c>
      <c r="O830">
        <v>504000000</v>
      </c>
      <c r="P830">
        <v>215000000</v>
      </c>
      <c r="Q830">
        <v>10982000000</v>
      </c>
      <c r="R830">
        <v>8945000000</v>
      </c>
      <c r="S830">
        <v>23451000000</v>
      </c>
      <c r="T830">
        <v>0</v>
      </c>
      <c r="U830">
        <v>902000000</v>
      </c>
      <c r="V830">
        <v>7563000000</v>
      </c>
      <c r="W830">
        <v>61781737695</v>
      </c>
      <c r="X830">
        <v>62683737695</v>
      </c>
      <c r="Y830">
        <v>2.151927111350294</v>
      </c>
      <c r="Z830">
        <v>-40.547004199852509</v>
      </c>
      <c r="AA830">
        <v>81.818062046130947</v>
      </c>
      <c r="AB830">
        <v>-33.423548750759878</v>
      </c>
      <c r="AC830">
        <v>-23.729709838152779</v>
      </c>
      <c r="AD830">
        <v>-5.4431974750024752</v>
      </c>
      <c r="AE830">
        <v>-46.226945202802362</v>
      </c>
      <c r="AF830">
        <v>-45.561753462389383</v>
      </c>
      <c r="AG830">
        <v>-27.053835863185149</v>
      </c>
      <c r="AH830">
        <v>-26.664539359085019</v>
      </c>
      <c r="AI830">
        <v>93.27937156994048</v>
      </c>
      <c r="AJ830">
        <v>-38.105615620060789</v>
      </c>
      <c r="AK830">
        <v>91.937109665178568</v>
      </c>
      <c r="AL830">
        <v>-37.557287352583593</v>
      </c>
      <c r="AM830">
        <v>2.4533752522504888</v>
      </c>
      <c r="AN830">
        <v>2.4180719254403131</v>
      </c>
    </row>
    <row r="831" spans="1:40" x14ac:dyDescent="0.25">
      <c r="A831" s="1" t="s">
        <v>694</v>
      </c>
      <c r="B831">
        <v>56761081957</v>
      </c>
      <c r="C831" t="s">
        <v>77</v>
      </c>
      <c r="D831" t="s">
        <v>105</v>
      </c>
      <c r="E831">
        <v>25550000000</v>
      </c>
      <c r="F831">
        <v>-1356000000</v>
      </c>
      <c r="G831">
        <v>672000000</v>
      </c>
      <c r="H831">
        <v>-1645000000</v>
      </c>
      <c r="I831">
        <v>-2317000000</v>
      </c>
      <c r="J831">
        <v>-10101000000</v>
      </c>
      <c r="K831">
        <v>4397000000</v>
      </c>
      <c r="L831">
        <v>0</v>
      </c>
      <c r="M831">
        <v>4397000000</v>
      </c>
      <c r="N831">
        <v>8751000000</v>
      </c>
      <c r="O831">
        <v>504000000</v>
      </c>
      <c r="P831">
        <v>215000000</v>
      </c>
      <c r="Q831">
        <v>10982000000</v>
      </c>
      <c r="R831">
        <v>8945000000</v>
      </c>
      <c r="S831">
        <v>23451000000</v>
      </c>
      <c r="T831">
        <v>0</v>
      </c>
      <c r="U831">
        <v>902000000</v>
      </c>
      <c r="V831">
        <v>7563000000</v>
      </c>
      <c r="W831">
        <v>63561081957</v>
      </c>
      <c r="X831">
        <v>64463081957</v>
      </c>
      <c r="Y831">
        <v>2.2215687654403129</v>
      </c>
      <c r="Z831">
        <v>-41.859204983038353</v>
      </c>
      <c r="AA831">
        <v>84.465895769345238</v>
      </c>
      <c r="AB831">
        <v>-34.505216995136777</v>
      </c>
      <c r="AC831">
        <v>-24.49766161286146</v>
      </c>
      <c r="AD831">
        <v>-5.6193527330957327</v>
      </c>
      <c r="AE831">
        <v>-47.539145985988199</v>
      </c>
      <c r="AF831">
        <v>-46.87395424557522</v>
      </c>
      <c r="AG831">
        <v>-27.821787637893831</v>
      </c>
      <c r="AH831">
        <v>-27.4324911337937</v>
      </c>
      <c r="AI831">
        <v>95.927205293154756</v>
      </c>
      <c r="AJ831">
        <v>-39.187283864437688</v>
      </c>
      <c r="AK831">
        <v>94.584943388392858</v>
      </c>
      <c r="AL831">
        <v>-38.638955596960493</v>
      </c>
      <c r="AM831">
        <v>2.523016906340509</v>
      </c>
      <c r="AN831">
        <v>2.4877135795303329</v>
      </c>
    </row>
    <row r="832" spans="1:40" x14ac:dyDescent="0.25">
      <c r="A832" s="1" t="s">
        <v>693</v>
      </c>
      <c r="B832">
        <v>58560196711</v>
      </c>
      <c r="C832" t="s">
        <v>77</v>
      </c>
      <c r="D832" t="s">
        <v>105</v>
      </c>
      <c r="E832">
        <v>25550000000</v>
      </c>
      <c r="F832">
        <v>-1356000000</v>
      </c>
      <c r="G832">
        <v>672000000</v>
      </c>
      <c r="H832">
        <v>-1645000000</v>
      </c>
      <c r="I832">
        <v>-2317000000</v>
      </c>
      <c r="J832">
        <v>-10101000000</v>
      </c>
      <c r="K832">
        <v>4397000000</v>
      </c>
      <c r="L832">
        <v>0</v>
      </c>
      <c r="M832">
        <v>4397000000</v>
      </c>
      <c r="N832">
        <v>8751000000</v>
      </c>
      <c r="O832">
        <v>504000000</v>
      </c>
      <c r="P832">
        <v>215000000</v>
      </c>
      <c r="Q832">
        <v>10982000000</v>
      </c>
      <c r="R832">
        <v>8945000000</v>
      </c>
      <c r="S832">
        <v>23451000000</v>
      </c>
      <c r="T832">
        <v>0</v>
      </c>
      <c r="U832">
        <v>902000000</v>
      </c>
      <c r="V832">
        <v>7563000000</v>
      </c>
      <c r="W832">
        <v>65360196711</v>
      </c>
      <c r="X832">
        <v>66262196711</v>
      </c>
      <c r="Y832">
        <v>2.2919842156947161</v>
      </c>
      <c r="Z832">
        <v>-43.185985775073753</v>
      </c>
      <c r="AA832">
        <v>87.143149867559529</v>
      </c>
      <c r="AB832">
        <v>-35.598903775683887</v>
      </c>
      <c r="AC832">
        <v>-25.27414618515321</v>
      </c>
      <c r="AD832">
        <v>-5.7974652718542723</v>
      </c>
      <c r="AE832">
        <v>-48.865926778023599</v>
      </c>
      <c r="AF832">
        <v>-48.20073503761062</v>
      </c>
      <c r="AG832">
        <v>-28.598272210185581</v>
      </c>
      <c r="AH832">
        <v>-28.20897570608545</v>
      </c>
      <c r="AI832">
        <v>98.604459391369048</v>
      </c>
      <c r="AJ832">
        <v>-40.280970644984812</v>
      </c>
      <c r="AK832">
        <v>97.26219748660715</v>
      </c>
      <c r="AL832">
        <v>-39.732642377507602</v>
      </c>
      <c r="AM832">
        <v>2.5934323565949118</v>
      </c>
      <c r="AN832">
        <v>2.5581290297847361</v>
      </c>
    </row>
    <row r="833" spans="1:40" x14ac:dyDescent="0.25">
      <c r="A833" s="1" t="s">
        <v>692</v>
      </c>
      <c r="B833">
        <v>56504065564</v>
      </c>
      <c r="C833" t="s">
        <v>77</v>
      </c>
      <c r="D833" t="s">
        <v>105</v>
      </c>
      <c r="E833">
        <v>25550000000</v>
      </c>
      <c r="F833">
        <v>-1356000000</v>
      </c>
      <c r="G833">
        <v>672000000</v>
      </c>
      <c r="H833">
        <v>-1645000000</v>
      </c>
      <c r="I833">
        <v>-2317000000</v>
      </c>
      <c r="J833">
        <v>-10101000000</v>
      </c>
      <c r="K833">
        <v>4397000000</v>
      </c>
      <c r="L833">
        <v>0</v>
      </c>
      <c r="M833">
        <v>4397000000</v>
      </c>
      <c r="N833">
        <v>8751000000</v>
      </c>
      <c r="O833">
        <v>504000000</v>
      </c>
      <c r="P833">
        <v>215000000</v>
      </c>
      <c r="Q833">
        <v>10982000000</v>
      </c>
      <c r="R833">
        <v>8945000000</v>
      </c>
      <c r="S833">
        <v>23451000000</v>
      </c>
      <c r="T833">
        <v>0</v>
      </c>
      <c r="U833">
        <v>902000000</v>
      </c>
      <c r="V833">
        <v>7563000000</v>
      </c>
      <c r="W833">
        <v>63304065564</v>
      </c>
      <c r="X833">
        <v>64206065564</v>
      </c>
      <c r="Y833">
        <v>2.211509415420744</v>
      </c>
      <c r="Z833">
        <v>-41.669664870206489</v>
      </c>
      <c r="AA833">
        <v>84.083430898809524</v>
      </c>
      <c r="AB833">
        <v>-34.348976026747721</v>
      </c>
      <c r="AC833">
        <v>-24.38673524557618</v>
      </c>
      <c r="AD833">
        <v>-5.5939080847440854</v>
      </c>
      <c r="AE833">
        <v>-47.349605873156342</v>
      </c>
      <c r="AF833">
        <v>-46.684414132743363</v>
      </c>
      <c r="AG833">
        <v>-27.71086127060855</v>
      </c>
      <c r="AH833">
        <v>-27.32156476650842</v>
      </c>
      <c r="AI833">
        <v>95.544740422619043</v>
      </c>
      <c r="AJ833">
        <v>-39.031042896048632</v>
      </c>
      <c r="AK833">
        <v>94.202478517857145</v>
      </c>
      <c r="AL833">
        <v>-38.482714628571429</v>
      </c>
      <c r="AM833">
        <v>2.5129575563209392</v>
      </c>
      <c r="AN833">
        <v>2.4776542295107631</v>
      </c>
    </row>
    <row r="834" spans="1:40" x14ac:dyDescent="0.25">
      <c r="A834" s="1" t="s">
        <v>691</v>
      </c>
      <c r="B834">
        <v>56820393433</v>
      </c>
      <c r="C834" t="s">
        <v>77</v>
      </c>
      <c r="D834" t="s">
        <v>105</v>
      </c>
      <c r="E834">
        <v>25550000000</v>
      </c>
      <c r="F834">
        <v>-1356000000</v>
      </c>
      <c r="G834">
        <v>672000000</v>
      </c>
      <c r="H834">
        <v>-1645000000</v>
      </c>
      <c r="I834">
        <v>-2317000000</v>
      </c>
      <c r="J834">
        <v>-10101000000</v>
      </c>
      <c r="K834">
        <v>4397000000</v>
      </c>
      <c r="L834">
        <v>0</v>
      </c>
      <c r="M834">
        <v>4397000000</v>
      </c>
      <c r="N834">
        <v>8751000000</v>
      </c>
      <c r="O834">
        <v>504000000</v>
      </c>
      <c r="P834">
        <v>215000000</v>
      </c>
      <c r="Q834">
        <v>10982000000</v>
      </c>
      <c r="R834">
        <v>8945000000</v>
      </c>
      <c r="S834">
        <v>23451000000</v>
      </c>
      <c r="T834">
        <v>0</v>
      </c>
      <c r="U834">
        <v>902000000</v>
      </c>
      <c r="V834">
        <v>7563000000</v>
      </c>
      <c r="W834">
        <v>63620393433</v>
      </c>
      <c r="X834">
        <v>64522393433</v>
      </c>
      <c r="Y834">
        <v>2.2238901539334641</v>
      </c>
      <c r="Z834">
        <v>-41.902945009587022</v>
      </c>
      <c r="AA834">
        <v>84.55415689434524</v>
      </c>
      <c r="AB834">
        <v>-34.541272603647407</v>
      </c>
      <c r="AC834">
        <v>-24.523260005610702</v>
      </c>
      <c r="AD834">
        <v>-5.6252245750915746</v>
      </c>
      <c r="AE834">
        <v>-47.582886012536868</v>
      </c>
      <c r="AF834">
        <v>-46.917694272123903</v>
      </c>
      <c r="AG834">
        <v>-27.847386030643069</v>
      </c>
      <c r="AH834">
        <v>-27.458089526542938</v>
      </c>
      <c r="AI834">
        <v>96.015466418154759</v>
      </c>
      <c r="AJ834">
        <v>-39.223339472948332</v>
      </c>
      <c r="AK834">
        <v>94.673204513392861</v>
      </c>
      <c r="AL834">
        <v>-38.675011205471122</v>
      </c>
      <c r="AM834">
        <v>2.5253382948336589</v>
      </c>
      <c r="AN834">
        <v>2.4900349680234828</v>
      </c>
    </row>
    <row r="835" spans="1:40" x14ac:dyDescent="0.25">
      <c r="A835" s="1" t="s">
        <v>690</v>
      </c>
      <c r="B835">
        <v>56761081957</v>
      </c>
      <c r="C835" t="s">
        <v>77</v>
      </c>
      <c r="D835" t="s">
        <v>105</v>
      </c>
      <c r="E835">
        <v>25550000000</v>
      </c>
      <c r="F835">
        <v>-1356000000</v>
      </c>
      <c r="G835">
        <v>672000000</v>
      </c>
      <c r="H835">
        <v>-1645000000</v>
      </c>
      <c r="I835">
        <v>-2317000000</v>
      </c>
      <c r="J835">
        <v>-10101000000</v>
      </c>
      <c r="K835">
        <v>4397000000</v>
      </c>
      <c r="L835">
        <v>0</v>
      </c>
      <c r="M835">
        <v>4397000000</v>
      </c>
      <c r="N835">
        <v>8751000000</v>
      </c>
      <c r="O835">
        <v>504000000</v>
      </c>
      <c r="P835">
        <v>215000000</v>
      </c>
      <c r="Q835">
        <v>10982000000</v>
      </c>
      <c r="R835">
        <v>8945000000</v>
      </c>
      <c r="S835">
        <v>23451000000</v>
      </c>
      <c r="T835">
        <v>0</v>
      </c>
      <c r="U835">
        <v>902000000</v>
      </c>
      <c r="V835">
        <v>7563000000</v>
      </c>
      <c r="W835">
        <v>63561081957</v>
      </c>
      <c r="X835">
        <v>64463081957</v>
      </c>
      <c r="Y835">
        <v>2.2215687654403129</v>
      </c>
      <c r="Z835">
        <v>-41.859204983038353</v>
      </c>
      <c r="AA835">
        <v>84.465895769345238</v>
      </c>
      <c r="AB835">
        <v>-34.505216995136777</v>
      </c>
      <c r="AC835">
        <v>-24.49766161286146</v>
      </c>
      <c r="AD835">
        <v>-5.6193527330957327</v>
      </c>
      <c r="AE835">
        <v>-47.539145985988199</v>
      </c>
      <c r="AF835">
        <v>-46.87395424557522</v>
      </c>
      <c r="AG835">
        <v>-27.821787637893831</v>
      </c>
      <c r="AH835">
        <v>-27.4324911337937</v>
      </c>
      <c r="AI835">
        <v>95.927205293154756</v>
      </c>
      <c r="AJ835">
        <v>-39.187283864437688</v>
      </c>
      <c r="AK835">
        <v>94.584943388392858</v>
      </c>
      <c r="AL835">
        <v>-38.638955596960493</v>
      </c>
      <c r="AM835">
        <v>2.523016906340509</v>
      </c>
      <c r="AN835">
        <v>2.4877135795303329</v>
      </c>
    </row>
    <row r="836" spans="1:40" x14ac:dyDescent="0.25">
      <c r="A836" s="1" t="s">
        <v>689</v>
      </c>
      <c r="B836">
        <v>56859934416</v>
      </c>
      <c r="C836" t="s">
        <v>77</v>
      </c>
      <c r="D836" t="s">
        <v>105</v>
      </c>
      <c r="E836">
        <v>25550000000</v>
      </c>
      <c r="F836">
        <v>-1356000000</v>
      </c>
      <c r="G836">
        <v>672000000</v>
      </c>
      <c r="H836">
        <v>-1645000000</v>
      </c>
      <c r="I836">
        <v>-2317000000</v>
      </c>
      <c r="J836">
        <v>-10101000000</v>
      </c>
      <c r="K836">
        <v>4397000000</v>
      </c>
      <c r="L836">
        <v>0</v>
      </c>
      <c r="M836">
        <v>4397000000</v>
      </c>
      <c r="N836">
        <v>8751000000</v>
      </c>
      <c r="O836">
        <v>504000000</v>
      </c>
      <c r="P836">
        <v>215000000</v>
      </c>
      <c r="Q836">
        <v>10982000000</v>
      </c>
      <c r="R836">
        <v>8945000000</v>
      </c>
      <c r="S836">
        <v>23451000000</v>
      </c>
      <c r="T836">
        <v>0</v>
      </c>
      <c r="U836">
        <v>902000000</v>
      </c>
      <c r="V836">
        <v>7563000000</v>
      </c>
      <c r="W836">
        <v>63659934416</v>
      </c>
      <c r="X836">
        <v>64561934416</v>
      </c>
      <c r="Y836">
        <v>2.2254377462230921</v>
      </c>
      <c r="Z836">
        <v>-41.932105026548683</v>
      </c>
      <c r="AA836">
        <v>84.612997642857138</v>
      </c>
      <c r="AB836">
        <v>-34.565309675379943</v>
      </c>
      <c r="AC836">
        <v>-24.54032560034527</v>
      </c>
      <c r="AD836">
        <v>-5.6291391363231362</v>
      </c>
      <c r="AE836">
        <v>-47.612046029498522</v>
      </c>
      <c r="AF836">
        <v>-46.946854289085543</v>
      </c>
      <c r="AG836">
        <v>-27.86445162537764</v>
      </c>
      <c r="AH836">
        <v>-27.47515512127751</v>
      </c>
      <c r="AI836">
        <v>96.074307166666671</v>
      </c>
      <c r="AJ836">
        <v>-39.247376544680847</v>
      </c>
      <c r="AK836">
        <v>94.732045261904759</v>
      </c>
      <c r="AL836">
        <v>-38.699048277203637</v>
      </c>
      <c r="AM836">
        <v>2.5268858871232882</v>
      </c>
      <c r="AN836">
        <v>2.4915825603131121</v>
      </c>
    </row>
    <row r="837" spans="1:40" x14ac:dyDescent="0.25">
      <c r="A837" s="1" t="s">
        <v>688</v>
      </c>
      <c r="B837">
        <v>57176262285</v>
      </c>
      <c r="C837" t="s">
        <v>77</v>
      </c>
      <c r="D837" t="s">
        <v>105</v>
      </c>
      <c r="E837">
        <v>25550000000</v>
      </c>
      <c r="F837">
        <v>-1356000000</v>
      </c>
      <c r="G837">
        <v>672000000</v>
      </c>
      <c r="H837">
        <v>-1645000000</v>
      </c>
      <c r="I837">
        <v>-2317000000</v>
      </c>
      <c r="J837">
        <v>-10101000000</v>
      </c>
      <c r="K837">
        <v>4397000000</v>
      </c>
      <c r="L837">
        <v>0</v>
      </c>
      <c r="M837">
        <v>4397000000</v>
      </c>
      <c r="N837">
        <v>8751000000</v>
      </c>
      <c r="O837">
        <v>504000000</v>
      </c>
      <c r="P837">
        <v>215000000</v>
      </c>
      <c r="Q837">
        <v>10982000000</v>
      </c>
      <c r="R837">
        <v>8945000000</v>
      </c>
      <c r="S837">
        <v>23451000000</v>
      </c>
      <c r="T837">
        <v>0</v>
      </c>
      <c r="U837">
        <v>902000000</v>
      </c>
      <c r="V837">
        <v>7563000000</v>
      </c>
      <c r="W837">
        <v>63976262285</v>
      </c>
      <c r="X837">
        <v>64878262285</v>
      </c>
      <c r="Y837">
        <v>2.2378184847358118</v>
      </c>
      <c r="Z837">
        <v>-42.165385165929202</v>
      </c>
      <c r="AA837">
        <v>85.083723638392854</v>
      </c>
      <c r="AB837">
        <v>-34.757606252279643</v>
      </c>
      <c r="AC837">
        <v>-24.676850360379799</v>
      </c>
      <c r="AD837">
        <v>-5.6604556266706263</v>
      </c>
      <c r="AE837">
        <v>-47.845326168879048</v>
      </c>
      <c r="AF837">
        <v>-47.180134428466083</v>
      </c>
      <c r="AG837">
        <v>-28.000976385412169</v>
      </c>
      <c r="AH837">
        <v>-27.611679881312039</v>
      </c>
      <c r="AI837">
        <v>96.545033162202387</v>
      </c>
      <c r="AJ837">
        <v>-39.439673121580547</v>
      </c>
      <c r="AK837">
        <v>95.202771257440475</v>
      </c>
      <c r="AL837">
        <v>-38.891344854103338</v>
      </c>
      <c r="AM837">
        <v>2.5392666256360079</v>
      </c>
      <c r="AN837">
        <v>2.5039632988258318</v>
      </c>
    </row>
    <row r="838" spans="1:40" x14ac:dyDescent="0.25">
      <c r="A838" s="1" t="s">
        <v>687</v>
      </c>
      <c r="B838">
        <v>57433278679</v>
      </c>
      <c r="C838" t="s">
        <v>77</v>
      </c>
      <c r="D838" t="s">
        <v>105</v>
      </c>
      <c r="E838">
        <v>25550000000</v>
      </c>
      <c r="F838">
        <v>-1356000000</v>
      </c>
      <c r="G838">
        <v>672000000</v>
      </c>
      <c r="H838">
        <v>-1645000000</v>
      </c>
      <c r="I838">
        <v>-2317000000</v>
      </c>
      <c r="J838">
        <v>-10101000000</v>
      </c>
      <c r="K838">
        <v>4397000000</v>
      </c>
      <c r="L838">
        <v>0</v>
      </c>
      <c r="M838">
        <v>4397000000</v>
      </c>
      <c r="N838">
        <v>8751000000</v>
      </c>
      <c r="O838">
        <v>504000000</v>
      </c>
      <c r="P838">
        <v>215000000</v>
      </c>
      <c r="Q838">
        <v>10982000000</v>
      </c>
      <c r="R838">
        <v>8945000000</v>
      </c>
      <c r="S838">
        <v>23451000000</v>
      </c>
      <c r="T838">
        <v>0</v>
      </c>
      <c r="U838">
        <v>902000000</v>
      </c>
      <c r="V838">
        <v>7563000000</v>
      </c>
      <c r="W838">
        <v>64233278679</v>
      </c>
      <c r="X838">
        <v>65135278679</v>
      </c>
      <c r="Y838">
        <v>2.247877834794521</v>
      </c>
      <c r="Z838">
        <v>-42.354925279498516</v>
      </c>
      <c r="AA838">
        <v>85.466188510416671</v>
      </c>
      <c r="AB838">
        <v>-34.913847221276598</v>
      </c>
      <c r="AC838">
        <v>-24.787776728096681</v>
      </c>
      <c r="AD838">
        <v>-5.6859002751212753</v>
      </c>
      <c r="AE838">
        <v>-48.034866282448377</v>
      </c>
      <c r="AF838">
        <v>-47.369674542035398</v>
      </c>
      <c r="AG838">
        <v>-28.111902753129051</v>
      </c>
      <c r="AH838">
        <v>-27.722606249028921</v>
      </c>
      <c r="AI838">
        <v>96.92749803422619</v>
      </c>
      <c r="AJ838">
        <v>-39.595914090577509</v>
      </c>
      <c r="AK838">
        <v>95.585236129464292</v>
      </c>
      <c r="AL838">
        <v>-39.047585823100313</v>
      </c>
      <c r="AM838">
        <v>2.5493259756947162</v>
      </c>
      <c r="AN838">
        <v>2.5140226488845401</v>
      </c>
    </row>
    <row r="839" spans="1:40" x14ac:dyDescent="0.25">
      <c r="A839" s="1" t="s">
        <v>686</v>
      </c>
      <c r="B839">
        <v>57116950810</v>
      </c>
      <c r="C839" t="s">
        <v>77</v>
      </c>
      <c r="D839" t="s">
        <v>105</v>
      </c>
      <c r="E839">
        <v>25550000000</v>
      </c>
      <c r="F839">
        <v>-1356000000</v>
      </c>
      <c r="G839">
        <v>672000000</v>
      </c>
      <c r="H839">
        <v>-1645000000</v>
      </c>
      <c r="I839">
        <v>-2317000000</v>
      </c>
      <c r="J839">
        <v>-10101000000</v>
      </c>
      <c r="K839">
        <v>4397000000</v>
      </c>
      <c r="L839">
        <v>0</v>
      </c>
      <c r="M839">
        <v>4397000000</v>
      </c>
      <c r="N839">
        <v>8751000000</v>
      </c>
      <c r="O839">
        <v>504000000</v>
      </c>
      <c r="P839">
        <v>215000000</v>
      </c>
      <c r="Q839">
        <v>10982000000</v>
      </c>
      <c r="R839">
        <v>8945000000</v>
      </c>
      <c r="S839">
        <v>23451000000</v>
      </c>
      <c r="T839">
        <v>0</v>
      </c>
      <c r="U839">
        <v>902000000</v>
      </c>
      <c r="V839">
        <v>7563000000</v>
      </c>
      <c r="W839">
        <v>63916950810</v>
      </c>
      <c r="X839">
        <v>64818950810</v>
      </c>
      <c r="Y839">
        <v>2.2354970962817999</v>
      </c>
      <c r="Z839">
        <v>-42.121645140117991</v>
      </c>
      <c r="AA839">
        <v>84.995462514880955</v>
      </c>
      <c r="AB839">
        <v>-34.721550644376897</v>
      </c>
      <c r="AC839">
        <v>-24.651251968062152</v>
      </c>
      <c r="AD839">
        <v>-5.6545837847737852</v>
      </c>
      <c r="AE839">
        <v>-47.801586143067837</v>
      </c>
      <c r="AF839">
        <v>-47.136394402654872</v>
      </c>
      <c r="AG839">
        <v>-27.975377993094519</v>
      </c>
      <c r="AH839">
        <v>-27.586081488994392</v>
      </c>
      <c r="AI839">
        <v>96.456772038690474</v>
      </c>
      <c r="AJ839">
        <v>-39.403617513677808</v>
      </c>
      <c r="AK839">
        <v>95.114510133928576</v>
      </c>
      <c r="AL839">
        <v>-38.855289246200613</v>
      </c>
      <c r="AM839">
        <v>2.536945237181996</v>
      </c>
      <c r="AN839">
        <v>2.5016419103718199</v>
      </c>
    </row>
    <row r="840" spans="1:40" x14ac:dyDescent="0.25">
      <c r="A840" s="1" t="s">
        <v>685</v>
      </c>
      <c r="B840">
        <v>59370786875</v>
      </c>
      <c r="C840" t="s">
        <v>77</v>
      </c>
      <c r="D840" t="s">
        <v>105</v>
      </c>
      <c r="E840">
        <v>25550000000</v>
      </c>
      <c r="F840">
        <v>-1356000000</v>
      </c>
      <c r="G840">
        <v>672000000</v>
      </c>
      <c r="H840">
        <v>-1645000000</v>
      </c>
      <c r="I840">
        <v>-2317000000</v>
      </c>
      <c r="J840">
        <v>-10101000000</v>
      </c>
      <c r="K840">
        <v>4397000000</v>
      </c>
      <c r="L840">
        <v>0</v>
      </c>
      <c r="M840">
        <v>4397000000</v>
      </c>
      <c r="N840">
        <v>8751000000</v>
      </c>
      <c r="O840">
        <v>504000000</v>
      </c>
      <c r="P840">
        <v>215000000</v>
      </c>
      <c r="Q840">
        <v>10982000000</v>
      </c>
      <c r="R840">
        <v>8945000000</v>
      </c>
      <c r="S840">
        <v>23451000000</v>
      </c>
      <c r="T840">
        <v>0</v>
      </c>
      <c r="U840">
        <v>902000000</v>
      </c>
      <c r="V840">
        <v>7563000000</v>
      </c>
      <c r="W840">
        <v>66170786875</v>
      </c>
      <c r="X840">
        <v>67072786875</v>
      </c>
      <c r="Y840">
        <v>2.3237098581213309</v>
      </c>
      <c r="Z840">
        <v>-43.783766132005901</v>
      </c>
      <c r="AA840">
        <v>88.349385230654761</v>
      </c>
      <c r="AB840">
        <v>-36.091663753799388</v>
      </c>
      <c r="AC840">
        <v>-25.623990882606819</v>
      </c>
      <c r="AD840">
        <v>-5.8777137783387783</v>
      </c>
      <c r="AE840">
        <v>-49.463707134955747</v>
      </c>
      <c r="AF840">
        <v>-48.798515394542783</v>
      </c>
      <c r="AG840">
        <v>-28.948116907639189</v>
      </c>
      <c r="AH840">
        <v>-28.558820403539059</v>
      </c>
      <c r="AI840">
        <v>99.810694754464279</v>
      </c>
      <c r="AJ840">
        <v>-40.773730623100313</v>
      </c>
      <c r="AK840">
        <v>98.468432849702381</v>
      </c>
      <c r="AL840">
        <v>-40.225402355623103</v>
      </c>
      <c r="AM840">
        <v>2.625157999021527</v>
      </c>
      <c r="AN840">
        <v>2.58985467221135</v>
      </c>
    </row>
    <row r="841" spans="1:40" x14ac:dyDescent="0.25">
      <c r="A841" s="1" t="s">
        <v>684</v>
      </c>
      <c r="B841">
        <v>60655868842</v>
      </c>
      <c r="C841" t="s">
        <v>77</v>
      </c>
      <c r="D841" t="s">
        <v>105</v>
      </c>
      <c r="E841">
        <v>25550000000</v>
      </c>
      <c r="F841">
        <v>-1356000000</v>
      </c>
      <c r="G841">
        <v>672000000</v>
      </c>
      <c r="H841">
        <v>-1645000000</v>
      </c>
      <c r="I841">
        <v>-2317000000</v>
      </c>
      <c r="J841">
        <v>-10101000000</v>
      </c>
      <c r="K841">
        <v>4397000000</v>
      </c>
      <c r="L841">
        <v>0</v>
      </c>
      <c r="M841">
        <v>4397000000</v>
      </c>
      <c r="N841">
        <v>8751000000</v>
      </c>
      <c r="O841">
        <v>504000000</v>
      </c>
      <c r="P841">
        <v>215000000</v>
      </c>
      <c r="Q841">
        <v>10982000000</v>
      </c>
      <c r="R841">
        <v>8945000000</v>
      </c>
      <c r="S841">
        <v>23451000000</v>
      </c>
      <c r="T841">
        <v>0</v>
      </c>
      <c r="U841">
        <v>902000000</v>
      </c>
      <c r="V841">
        <v>7563000000</v>
      </c>
      <c r="W841">
        <v>67455868842</v>
      </c>
      <c r="X841">
        <v>68357868842</v>
      </c>
      <c r="Y841">
        <v>2.374006608297456</v>
      </c>
      <c r="Z841">
        <v>-44.731466697640123</v>
      </c>
      <c r="AA841">
        <v>90.261709586309522</v>
      </c>
      <c r="AB841">
        <v>-36.872868596960487</v>
      </c>
      <c r="AC841">
        <v>-26.178622719896421</v>
      </c>
      <c r="AD841">
        <v>-6.0049370202950199</v>
      </c>
      <c r="AE841">
        <v>-50.411407700589969</v>
      </c>
      <c r="AF841">
        <v>-49.74621596017699</v>
      </c>
      <c r="AG841">
        <v>-29.502748744928791</v>
      </c>
      <c r="AH841">
        <v>-29.113452240828661</v>
      </c>
      <c r="AI841">
        <v>101.7230191101191</v>
      </c>
      <c r="AJ841">
        <v>-41.554935466261398</v>
      </c>
      <c r="AK841">
        <v>100.3807572053571</v>
      </c>
      <c r="AL841">
        <v>-41.006607198784202</v>
      </c>
      <c r="AM841">
        <v>2.6754547491976521</v>
      </c>
      <c r="AN841">
        <v>2.640151422387476</v>
      </c>
    </row>
    <row r="842" spans="1:40" x14ac:dyDescent="0.25">
      <c r="A842" s="1" t="s">
        <v>683</v>
      </c>
      <c r="B842">
        <v>62830622940</v>
      </c>
      <c r="C842" t="s">
        <v>77</v>
      </c>
      <c r="D842" t="s">
        <v>105</v>
      </c>
      <c r="E842">
        <v>25550000000</v>
      </c>
      <c r="F842">
        <v>-1356000000</v>
      </c>
      <c r="G842">
        <v>672000000</v>
      </c>
      <c r="H842">
        <v>-1645000000</v>
      </c>
      <c r="I842">
        <v>-2317000000</v>
      </c>
      <c r="J842">
        <v>-10101000000</v>
      </c>
      <c r="K842">
        <v>4397000000</v>
      </c>
      <c r="L842">
        <v>0</v>
      </c>
      <c r="M842">
        <v>4397000000</v>
      </c>
      <c r="N842">
        <v>8751000000</v>
      </c>
      <c r="O842">
        <v>504000000</v>
      </c>
      <c r="P842">
        <v>215000000</v>
      </c>
      <c r="Q842">
        <v>10982000000</v>
      </c>
      <c r="R842">
        <v>8945000000</v>
      </c>
      <c r="S842">
        <v>23451000000</v>
      </c>
      <c r="T842">
        <v>0</v>
      </c>
      <c r="U842">
        <v>902000000</v>
      </c>
      <c r="V842">
        <v>7563000000</v>
      </c>
      <c r="W842">
        <v>69630622940</v>
      </c>
      <c r="X842">
        <v>70532622940</v>
      </c>
      <c r="Y842">
        <v>2.4591241855185908</v>
      </c>
      <c r="Z842">
        <v>-46.335267654867259</v>
      </c>
      <c r="AA842">
        <v>93.497950803571428</v>
      </c>
      <c r="AB842">
        <v>-38.194907562310028</v>
      </c>
      <c r="AC842">
        <v>-27.11723044454035</v>
      </c>
      <c r="AD842">
        <v>-6.2202378912978924</v>
      </c>
      <c r="AE842">
        <v>-52.015208657817112</v>
      </c>
      <c r="AF842">
        <v>-51.350016917404133</v>
      </c>
      <c r="AG842">
        <v>-30.441356469572721</v>
      </c>
      <c r="AH842">
        <v>-30.052059965472591</v>
      </c>
      <c r="AI842">
        <v>104.9592603273809</v>
      </c>
      <c r="AJ842">
        <v>-42.87697443161094</v>
      </c>
      <c r="AK842">
        <v>103.61699842261901</v>
      </c>
      <c r="AL842">
        <v>-42.328646164133737</v>
      </c>
      <c r="AM842">
        <v>2.760572326418786</v>
      </c>
      <c r="AN842">
        <v>2.7252689996086099</v>
      </c>
    </row>
    <row r="843" spans="1:40" x14ac:dyDescent="0.25">
      <c r="A843" s="1" t="s">
        <v>682</v>
      </c>
      <c r="B843">
        <v>64254098350</v>
      </c>
      <c r="C843" t="s">
        <v>77</v>
      </c>
      <c r="D843" t="s">
        <v>105</v>
      </c>
      <c r="E843">
        <v>25550000000</v>
      </c>
      <c r="F843">
        <v>-1356000000</v>
      </c>
      <c r="G843">
        <v>672000000</v>
      </c>
      <c r="H843">
        <v>-1645000000</v>
      </c>
      <c r="I843">
        <v>-2317000000</v>
      </c>
      <c r="J843">
        <v>-10101000000</v>
      </c>
      <c r="K843">
        <v>4397000000</v>
      </c>
      <c r="L843">
        <v>0</v>
      </c>
      <c r="M843">
        <v>4397000000</v>
      </c>
      <c r="N843">
        <v>8751000000</v>
      </c>
      <c r="O843">
        <v>504000000</v>
      </c>
      <c r="P843">
        <v>215000000</v>
      </c>
      <c r="Q843">
        <v>10982000000</v>
      </c>
      <c r="R843">
        <v>8945000000</v>
      </c>
      <c r="S843">
        <v>23451000000</v>
      </c>
      <c r="T843">
        <v>0</v>
      </c>
      <c r="U843">
        <v>902000000</v>
      </c>
      <c r="V843">
        <v>7563000000</v>
      </c>
      <c r="W843">
        <v>71054098350</v>
      </c>
      <c r="X843">
        <v>71956098350</v>
      </c>
      <c r="Y843">
        <v>2.514837508806262</v>
      </c>
      <c r="Z843">
        <v>-47.385028281710923</v>
      </c>
      <c r="AA843">
        <v>95.61621778273809</v>
      </c>
      <c r="AB843">
        <v>-39.060242158054713</v>
      </c>
      <c r="AC843">
        <v>-27.731591864479931</v>
      </c>
      <c r="AD843">
        <v>-6.3611620978120982</v>
      </c>
      <c r="AE843">
        <v>-53.064969284660769</v>
      </c>
      <c r="AF843">
        <v>-52.39977754424779</v>
      </c>
      <c r="AG843">
        <v>-31.055717889512302</v>
      </c>
      <c r="AH843">
        <v>-30.666421385412171</v>
      </c>
      <c r="AI843">
        <v>107.07752730654759</v>
      </c>
      <c r="AJ843">
        <v>-43.742309027355617</v>
      </c>
      <c r="AK843">
        <v>105.7352654017857</v>
      </c>
      <c r="AL843">
        <v>-43.193980759878421</v>
      </c>
      <c r="AM843">
        <v>2.8162856497064581</v>
      </c>
      <c r="AN843">
        <v>2.780982322896282</v>
      </c>
    </row>
    <row r="844" spans="1:40" x14ac:dyDescent="0.25">
      <c r="A844" s="1" t="s">
        <v>681</v>
      </c>
      <c r="B844">
        <v>61921180317</v>
      </c>
      <c r="C844" t="s">
        <v>77</v>
      </c>
      <c r="D844" t="s">
        <v>105</v>
      </c>
      <c r="E844">
        <v>25550000000</v>
      </c>
      <c r="F844">
        <v>-1356000000</v>
      </c>
      <c r="G844">
        <v>672000000</v>
      </c>
      <c r="H844">
        <v>-1645000000</v>
      </c>
      <c r="I844">
        <v>-2317000000</v>
      </c>
      <c r="J844">
        <v>-10101000000</v>
      </c>
      <c r="K844">
        <v>4397000000</v>
      </c>
      <c r="L844">
        <v>0</v>
      </c>
      <c r="M844">
        <v>4397000000</v>
      </c>
      <c r="N844">
        <v>8751000000</v>
      </c>
      <c r="O844">
        <v>504000000</v>
      </c>
      <c r="P844">
        <v>215000000</v>
      </c>
      <c r="Q844">
        <v>10982000000</v>
      </c>
      <c r="R844">
        <v>8945000000</v>
      </c>
      <c r="S844">
        <v>23451000000</v>
      </c>
      <c r="T844">
        <v>0</v>
      </c>
      <c r="U844">
        <v>902000000</v>
      </c>
      <c r="V844">
        <v>7563000000</v>
      </c>
      <c r="W844">
        <v>68721180317</v>
      </c>
      <c r="X844">
        <v>69623180317</v>
      </c>
      <c r="Y844">
        <v>2.4235295623091981</v>
      </c>
      <c r="Z844">
        <v>-45.664587254424781</v>
      </c>
      <c r="AA844">
        <v>92.144613566964281</v>
      </c>
      <c r="AB844">
        <v>-37.642054903951369</v>
      </c>
      <c r="AC844">
        <v>-26.724721759602939</v>
      </c>
      <c r="AD844">
        <v>-6.130202981585982</v>
      </c>
      <c r="AE844">
        <v>-51.344528257374627</v>
      </c>
      <c r="AF844">
        <v>-50.679336516961648</v>
      </c>
      <c r="AG844">
        <v>-30.048847784635299</v>
      </c>
      <c r="AH844">
        <v>-29.65955128053518</v>
      </c>
      <c r="AI844">
        <v>103.6059230907738</v>
      </c>
      <c r="AJ844">
        <v>-42.32412177325228</v>
      </c>
      <c r="AK844">
        <v>102.2636611860119</v>
      </c>
      <c r="AL844">
        <v>-41.775793505775077</v>
      </c>
      <c r="AM844">
        <v>2.7249777032093929</v>
      </c>
      <c r="AN844">
        <v>2.6896743763992168</v>
      </c>
    </row>
    <row r="845" spans="1:40" x14ac:dyDescent="0.25">
      <c r="A845" s="1" t="s">
        <v>680</v>
      </c>
      <c r="B845">
        <v>65341475398</v>
      </c>
      <c r="C845" t="s">
        <v>77</v>
      </c>
      <c r="D845" t="s">
        <v>105</v>
      </c>
      <c r="E845">
        <v>25550000000</v>
      </c>
      <c r="F845">
        <v>-1356000000</v>
      </c>
      <c r="G845">
        <v>672000000</v>
      </c>
      <c r="H845">
        <v>-1645000000</v>
      </c>
      <c r="I845">
        <v>-2317000000</v>
      </c>
      <c r="J845">
        <v>-10101000000</v>
      </c>
      <c r="K845">
        <v>4397000000</v>
      </c>
      <c r="L845">
        <v>0</v>
      </c>
      <c r="M845">
        <v>4397000000</v>
      </c>
      <c r="N845">
        <v>8751000000</v>
      </c>
      <c r="O845">
        <v>504000000</v>
      </c>
      <c r="P845">
        <v>215000000</v>
      </c>
      <c r="Q845">
        <v>10982000000</v>
      </c>
      <c r="R845">
        <v>8945000000</v>
      </c>
      <c r="S845">
        <v>23451000000</v>
      </c>
      <c r="T845">
        <v>0</v>
      </c>
      <c r="U845">
        <v>902000000</v>
      </c>
      <c r="V845">
        <v>7563000000</v>
      </c>
      <c r="W845">
        <v>72141475398</v>
      </c>
      <c r="X845">
        <v>73043475398</v>
      </c>
      <c r="Y845">
        <v>2.5573962973776911</v>
      </c>
      <c r="Z845">
        <v>-48.186928759587019</v>
      </c>
      <c r="AA845">
        <v>97.234338389880946</v>
      </c>
      <c r="AB845">
        <v>-39.721261640121583</v>
      </c>
      <c r="AC845">
        <v>-28.200895726370309</v>
      </c>
      <c r="AD845">
        <v>-6.4688125332145336</v>
      </c>
      <c r="AE845">
        <v>-53.866869762536872</v>
      </c>
      <c r="AF845">
        <v>-53.201678022123893</v>
      </c>
      <c r="AG845">
        <v>-31.525021751402679</v>
      </c>
      <c r="AH845">
        <v>-31.135725247302549</v>
      </c>
      <c r="AI845">
        <v>108.69564791369049</v>
      </c>
      <c r="AJ845">
        <v>-44.403328509422487</v>
      </c>
      <c r="AK845">
        <v>107.3533860089286</v>
      </c>
      <c r="AL845">
        <v>-43.855000241945291</v>
      </c>
      <c r="AM845">
        <v>2.8588444382778859</v>
      </c>
      <c r="AN845">
        <v>2.8235411114677098</v>
      </c>
    </row>
    <row r="846" spans="1:40" x14ac:dyDescent="0.25">
      <c r="A846" s="1" t="s">
        <v>679</v>
      </c>
      <c r="B846">
        <v>65499639333</v>
      </c>
      <c r="C846" t="s">
        <v>77</v>
      </c>
      <c r="D846" t="s">
        <v>105</v>
      </c>
      <c r="E846">
        <v>25550000000</v>
      </c>
      <c r="F846">
        <v>-1356000000</v>
      </c>
      <c r="G846">
        <v>672000000</v>
      </c>
      <c r="H846">
        <v>-1645000000</v>
      </c>
      <c r="I846">
        <v>-2317000000</v>
      </c>
      <c r="J846">
        <v>-10101000000</v>
      </c>
      <c r="K846">
        <v>4397000000</v>
      </c>
      <c r="L846">
        <v>0</v>
      </c>
      <c r="M846">
        <v>4397000000</v>
      </c>
      <c r="N846">
        <v>8751000000</v>
      </c>
      <c r="O846">
        <v>504000000</v>
      </c>
      <c r="P846">
        <v>215000000</v>
      </c>
      <c r="Q846">
        <v>10982000000</v>
      </c>
      <c r="R846">
        <v>8945000000</v>
      </c>
      <c r="S846">
        <v>23451000000</v>
      </c>
      <c r="T846">
        <v>0</v>
      </c>
      <c r="U846">
        <v>902000000</v>
      </c>
      <c r="V846">
        <v>7563000000</v>
      </c>
      <c r="W846">
        <v>72299639333</v>
      </c>
      <c r="X846">
        <v>73201639333</v>
      </c>
      <c r="Y846">
        <v>2.5635866666536198</v>
      </c>
      <c r="Z846">
        <v>-48.303568829646018</v>
      </c>
      <c r="AA846">
        <v>97.469701388392863</v>
      </c>
      <c r="AB846">
        <v>-39.817409928875378</v>
      </c>
      <c r="AC846">
        <v>-28.269158106603371</v>
      </c>
      <c r="AD846">
        <v>-6.4844707784377782</v>
      </c>
      <c r="AE846">
        <v>-53.983509832595871</v>
      </c>
      <c r="AF846">
        <v>-53.318318092182892</v>
      </c>
      <c r="AG846">
        <v>-31.593284131635741</v>
      </c>
      <c r="AH846">
        <v>-31.203987627535611</v>
      </c>
      <c r="AI846">
        <v>108.9310109122024</v>
      </c>
      <c r="AJ846">
        <v>-44.499476798176289</v>
      </c>
      <c r="AK846">
        <v>107.5887490074405</v>
      </c>
      <c r="AL846">
        <v>-43.951148530699093</v>
      </c>
      <c r="AM846">
        <v>2.8650348075538159</v>
      </c>
      <c r="AN846">
        <v>2.8297314807436398</v>
      </c>
    </row>
    <row r="847" spans="1:40" x14ac:dyDescent="0.25">
      <c r="A847" s="1" t="s">
        <v>678</v>
      </c>
      <c r="B847">
        <v>63127180317</v>
      </c>
      <c r="C847" t="s">
        <v>77</v>
      </c>
      <c r="D847" t="s">
        <v>105</v>
      </c>
      <c r="E847">
        <v>25550000000</v>
      </c>
      <c r="F847">
        <v>-1356000000</v>
      </c>
      <c r="G847">
        <v>672000000</v>
      </c>
      <c r="H847">
        <v>-1645000000</v>
      </c>
      <c r="I847">
        <v>-2317000000</v>
      </c>
      <c r="J847">
        <v>-10101000000</v>
      </c>
      <c r="K847">
        <v>4397000000</v>
      </c>
      <c r="L847">
        <v>0</v>
      </c>
      <c r="M847">
        <v>4397000000</v>
      </c>
      <c r="N847">
        <v>8751000000</v>
      </c>
      <c r="O847">
        <v>504000000</v>
      </c>
      <c r="P847">
        <v>215000000</v>
      </c>
      <c r="Q847">
        <v>10982000000</v>
      </c>
      <c r="R847">
        <v>8945000000</v>
      </c>
      <c r="S847">
        <v>23451000000</v>
      </c>
      <c r="T847">
        <v>0</v>
      </c>
      <c r="U847">
        <v>902000000</v>
      </c>
      <c r="V847">
        <v>7563000000</v>
      </c>
      <c r="W847">
        <v>69927180317</v>
      </c>
      <c r="X847">
        <v>70829180317</v>
      </c>
      <c r="Y847">
        <v>2.4707311278669279</v>
      </c>
      <c r="Z847">
        <v>-46.553967785398228</v>
      </c>
      <c r="AA847">
        <v>93.939256424107143</v>
      </c>
      <c r="AB847">
        <v>-38.375185603039512</v>
      </c>
      <c r="AC847">
        <v>-27.2452224069918</v>
      </c>
      <c r="AD847">
        <v>-6.2495971009801012</v>
      </c>
      <c r="AE847">
        <v>-52.233908788348081</v>
      </c>
      <c r="AF847">
        <v>-51.568717047935102</v>
      </c>
      <c r="AG847">
        <v>-30.569348432024171</v>
      </c>
      <c r="AH847">
        <v>-30.18005192792404</v>
      </c>
      <c r="AI847">
        <v>105.4005659479167</v>
      </c>
      <c r="AJ847">
        <v>-43.057252472340423</v>
      </c>
      <c r="AK847">
        <v>104.05830404315481</v>
      </c>
      <c r="AL847">
        <v>-42.50892420486322</v>
      </c>
      <c r="AM847">
        <v>2.7721792687671232</v>
      </c>
      <c r="AN847">
        <v>2.7368759419569471</v>
      </c>
    </row>
    <row r="848" spans="1:40" x14ac:dyDescent="0.25">
      <c r="A848" s="1" t="s">
        <v>677</v>
      </c>
      <c r="B848">
        <v>62257278678</v>
      </c>
      <c r="C848" t="s">
        <v>77</v>
      </c>
      <c r="D848" t="s">
        <v>105</v>
      </c>
      <c r="E848">
        <v>25550000000</v>
      </c>
      <c r="F848">
        <v>-1356000000</v>
      </c>
      <c r="G848">
        <v>672000000</v>
      </c>
      <c r="H848">
        <v>-1645000000</v>
      </c>
      <c r="I848">
        <v>-2317000000</v>
      </c>
      <c r="J848">
        <v>-10101000000</v>
      </c>
      <c r="K848">
        <v>4397000000</v>
      </c>
      <c r="L848">
        <v>0</v>
      </c>
      <c r="M848">
        <v>4397000000</v>
      </c>
      <c r="N848">
        <v>8751000000</v>
      </c>
      <c r="O848">
        <v>504000000</v>
      </c>
      <c r="P848">
        <v>215000000</v>
      </c>
      <c r="Q848">
        <v>10982000000</v>
      </c>
      <c r="R848">
        <v>8945000000</v>
      </c>
      <c r="S848">
        <v>23451000000</v>
      </c>
      <c r="T848">
        <v>0</v>
      </c>
      <c r="U848">
        <v>902000000</v>
      </c>
      <c r="V848">
        <v>7563000000</v>
      </c>
      <c r="W848">
        <v>69057278678</v>
      </c>
      <c r="X848">
        <v>69959278678</v>
      </c>
      <c r="Y848">
        <v>2.4366840969863008</v>
      </c>
      <c r="Z848">
        <v>-45.91244740265487</v>
      </c>
      <c r="AA848">
        <v>92.644759937499998</v>
      </c>
      <c r="AB848">
        <v>-37.846370017021279</v>
      </c>
      <c r="AC848">
        <v>-26.869779317220541</v>
      </c>
      <c r="AD848">
        <v>-6.1634767525987524</v>
      </c>
      <c r="AE848">
        <v>-51.592388405604723</v>
      </c>
      <c r="AF848">
        <v>-50.927196665191737</v>
      </c>
      <c r="AG848">
        <v>-30.193905342252911</v>
      </c>
      <c r="AH848">
        <v>-29.804608838152781</v>
      </c>
      <c r="AI848">
        <v>104.1060694613095</v>
      </c>
      <c r="AJ848">
        <v>-42.52843688632219</v>
      </c>
      <c r="AK848">
        <v>102.7638075565476</v>
      </c>
      <c r="AL848">
        <v>-41.980108618844987</v>
      </c>
      <c r="AM848">
        <v>2.738132237886497</v>
      </c>
      <c r="AN848">
        <v>2.7028289110763208</v>
      </c>
    </row>
    <row r="849" spans="1:40" x14ac:dyDescent="0.25">
      <c r="A849" s="1" t="s">
        <v>676</v>
      </c>
      <c r="B849">
        <v>62257278678</v>
      </c>
      <c r="C849" t="s">
        <v>77</v>
      </c>
      <c r="D849" t="s">
        <v>105</v>
      </c>
      <c r="E849">
        <v>25550000000</v>
      </c>
      <c r="F849">
        <v>-1356000000</v>
      </c>
      <c r="G849">
        <v>672000000</v>
      </c>
      <c r="H849">
        <v>-1645000000</v>
      </c>
      <c r="I849">
        <v>-2317000000</v>
      </c>
      <c r="J849">
        <v>-10101000000</v>
      </c>
      <c r="K849">
        <v>4397000000</v>
      </c>
      <c r="L849">
        <v>0</v>
      </c>
      <c r="M849">
        <v>4397000000</v>
      </c>
      <c r="N849">
        <v>8751000000</v>
      </c>
      <c r="O849">
        <v>504000000</v>
      </c>
      <c r="P849">
        <v>215000000</v>
      </c>
      <c r="Q849">
        <v>10982000000</v>
      </c>
      <c r="R849">
        <v>8945000000</v>
      </c>
      <c r="S849">
        <v>23451000000</v>
      </c>
      <c r="T849">
        <v>0</v>
      </c>
      <c r="U849">
        <v>902000000</v>
      </c>
      <c r="V849">
        <v>7563000000</v>
      </c>
      <c r="W849">
        <v>69057278678</v>
      </c>
      <c r="X849">
        <v>69959278678</v>
      </c>
      <c r="Y849">
        <v>2.4366840969863008</v>
      </c>
      <c r="Z849">
        <v>-45.91244740265487</v>
      </c>
      <c r="AA849">
        <v>92.644759937499998</v>
      </c>
      <c r="AB849">
        <v>-37.846370017021279</v>
      </c>
      <c r="AC849">
        <v>-26.869779317220541</v>
      </c>
      <c r="AD849">
        <v>-6.1634767525987524</v>
      </c>
      <c r="AE849">
        <v>-51.592388405604723</v>
      </c>
      <c r="AF849">
        <v>-50.927196665191737</v>
      </c>
      <c r="AG849">
        <v>-30.193905342252911</v>
      </c>
      <c r="AH849">
        <v>-29.804608838152781</v>
      </c>
      <c r="AI849">
        <v>104.1060694613095</v>
      </c>
      <c r="AJ849">
        <v>-42.52843688632219</v>
      </c>
      <c r="AK849">
        <v>102.7638075565476</v>
      </c>
      <c r="AL849">
        <v>-41.980108618844987</v>
      </c>
      <c r="AM849">
        <v>2.738132237886497</v>
      </c>
      <c r="AN849">
        <v>2.7028289110763208</v>
      </c>
    </row>
    <row r="850" spans="1:40" x14ac:dyDescent="0.25">
      <c r="A850" s="1" t="s">
        <v>675</v>
      </c>
      <c r="B850">
        <v>60240688514</v>
      </c>
      <c r="C850" t="s">
        <v>77</v>
      </c>
      <c r="D850" t="s">
        <v>105</v>
      </c>
      <c r="E850">
        <v>25550000000</v>
      </c>
      <c r="F850">
        <v>-1356000000</v>
      </c>
      <c r="G850">
        <v>672000000</v>
      </c>
      <c r="H850">
        <v>-1645000000</v>
      </c>
      <c r="I850">
        <v>-2317000000</v>
      </c>
      <c r="J850">
        <v>-10101000000</v>
      </c>
      <c r="K850">
        <v>4397000000</v>
      </c>
      <c r="L850">
        <v>0</v>
      </c>
      <c r="M850">
        <v>4397000000</v>
      </c>
      <c r="N850">
        <v>8751000000</v>
      </c>
      <c r="O850">
        <v>504000000</v>
      </c>
      <c r="P850">
        <v>215000000</v>
      </c>
      <c r="Q850">
        <v>10982000000</v>
      </c>
      <c r="R850">
        <v>8945000000</v>
      </c>
      <c r="S850">
        <v>23451000000</v>
      </c>
      <c r="T850">
        <v>0</v>
      </c>
      <c r="U850">
        <v>902000000</v>
      </c>
      <c r="V850">
        <v>7563000000</v>
      </c>
      <c r="W850">
        <v>67040688514</v>
      </c>
      <c r="X850">
        <v>67942688514</v>
      </c>
      <c r="Y850">
        <v>2.3577568890019571</v>
      </c>
      <c r="Z850">
        <v>-44.42528651474926</v>
      </c>
      <c r="AA850">
        <v>89.643881717261905</v>
      </c>
      <c r="AB850">
        <v>-36.620479339817628</v>
      </c>
      <c r="AC850">
        <v>-25.999433972378071</v>
      </c>
      <c r="AD850">
        <v>-5.9638341267201271</v>
      </c>
      <c r="AE850">
        <v>-50.105227517699113</v>
      </c>
      <c r="AF850">
        <v>-49.440035777286127</v>
      </c>
      <c r="AG850">
        <v>-29.323559997410449</v>
      </c>
      <c r="AH850">
        <v>-28.934263493310311</v>
      </c>
      <c r="AI850">
        <v>101.1051912410714</v>
      </c>
      <c r="AJ850">
        <v>-41.302546209118539</v>
      </c>
      <c r="AK850">
        <v>99.762929336309526</v>
      </c>
      <c r="AL850">
        <v>-40.754217941641343</v>
      </c>
      <c r="AM850">
        <v>2.6592050299021528</v>
      </c>
      <c r="AN850">
        <v>2.6239017030919771</v>
      </c>
    </row>
    <row r="851" spans="1:40" x14ac:dyDescent="0.25">
      <c r="A851" s="1" t="s">
        <v>674</v>
      </c>
      <c r="B851">
        <v>56504065564</v>
      </c>
      <c r="C851" t="s">
        <v>77</v>
      </c>
      <c r="D851" t="s">
        <v>105</v>
      </c>
      <c r="E851">
        <v>25550000000</v>
      </c>
      <c r="F851">
        <v>-1356000000</v>
      </c>
      <c r="G851">
        <v>672000000</v>
      </c>
      <c r="H851">
        <v>-1645000000</v>
      </c>
      <c r="I851">
        <v>-2317000000</v>
      </c>
      <c r="J851">
        <v>-10101000000</v>
      </c>
      <c r="K851">
        <v>4397000000</v>
      </c>
      <c r="L851">
        <v>0</v>
      </c>
      <c r="M851">
        <v>4397000000</v>
      </c>
      <c r="N851">
        <v>8751000000</v>
      </c>
      <c r="O851">
        <v>504000000</v>
      </c>
      <c r="P851">
        <v>215000000</v>
      </c>
      <c r="Q851">
        <v>10982000000</v>
      </c>
      <c r="R851">
        <v>8945000000</v>
      </c>
      <c r="S851">
        <v>23451000000</v>
      </c>
      <c r="T851">
        <v>0</v>
      </c>
      <c r="U851">
        <v>902000000</v>
      </c>
      <c r="V851">
        <v>7563000000</v>
      </c>
      <c r="W851">
        <v>63304065564</v>
      </c>
      <c r="X851">
        <v>64206065564</v>
      </c>
      <c r="Y851">
        <v>2.211509415420744</v>
      </c>
      <c r="Z851">
        <v>-41.669664870206489</v>
      </c>
      <c r="AA851">
        <v>84.083430898809524</v>
      </c>
      <c r="AB851">
        <v>-34.348976026747721</v>
      </c>
      <c r="AC851">
        <v>-24.38673524557618</v>
      </c>
      <c r="AD851">
        <v>-5.5939080847440854</v>
      </c>
      <c r="AE851">
        <v>-47.349605873156342</v>
      </c>
      <c r="AF851">
        <v>-46.684414132743363</v>
      </c>
      <c r="AG851">
        <v>-27.71086127060855</v>
      </c>
      <c r="AH851">
        <v>-27.32156476650842</v>
      </c>
      <c r="AI851">
        <v>95.544740422619043</v>
      </c>
      <c r="AJ851">
        <v>-39.031042896048632</v>
      </c>
      <c r="AK851">
        <v>94.202478517857145</v>
      </c>
      <c r="AL851">
        <v>-38.482714628571429</v>
      </c>
      <c r="AM851">
        <v>2.5129575563209392</v>
      </c>
      <c r="AN851">
        <v>2.4776542295107631</v>
      </c>
    </row>
    <row r="852" spans="1:40" x14ac:dyDescent="0.25">
      <c r="A852" s="1" t="s">
        <v>673</v>
      </c>
      <c r="B852">
        <v>55001508187</v>
      </c>
      <c r="C852" t="s">
        <v>77</v>
      </c>
      <c r="D852" t="s">
        <v>105</v>
      </c>
      <c r="E852">
        <v>25550000000</v>
      </c>
      <c r="F852">
        <v>-1356000000</v>
      </c>
      <c r="G852">
        <v>672000000</v>
      </c>
      <c r="H852">
        <v>-1645000000</v>
      </c>
      <c r="I852">
        <v>-2317000000</v>
      </c>
      <c r="J852">
        <v>-10101000000</v>
      </c>
      <c r="K852">
        <v>4397000000</v>
      </c>
      <c r="L852">
        <v>0</v>
      </c>
      <c r="M852">
        <v>4397000000</v>
      </c>
      <c r="N852">
        <v>8751000000</v>
      </c>
      <c r="O852">
        <v>504000000</v>
      </c>
      <c r="P852">
        <v>215000000</v>
      </c>
      <c r="Q852">
        <v>10982000000</v>
      </c>
      <c r="R852">
        <v>8945000000</v>
      </c>
      <c r="S852">
        <v>23451000000</v>
      </c>
      <c r="T852">
        <v>0</v>
      </c>
      <c r="U852">
        <v>902000000</v>
      </c>
      <c r="V852">
        <v>7563000000</v>
      </c>
      <c r="W852">
        <v>61801508187</v>
      </c>
      <c r="X852">
        <v>62703508187</v>
      </c>
      <c r="Y852">
        <v>2.152700907514677</v>
      </c>
      <c r="Z852">
        <v>-40.561584208702072</v>
      </c>
      <c r="AA852">
        <v>81.847482421130948</v>
      </c>
      <c r="AB852">
        <v>-33.435567286930088</v>
      </c>
      <c r="AC852">
        <v>-23.738242635735869</v>
      </c>
      <c r="AD852">
        <v>-5.4451547556677564</v>
      </c>
      <c r="AE852">
        <v>-46.241525211651918</v>
      </c>
      <c r="AF852">
        <v>-45.576333471238939</v>
      </c>
      <c r="AG852">
        <v>-27.062368660768239</v>
      </c>
      <c r="AH852">
        <v>-26.673072156668109</v>
      </c>
      <c r="AI852">
        <v>93.308791944940481</v>
      </c>
      <c r="AJ852">
        <v>-38.117634156231013</v>
      </c>
      <c r="AK852">
        <v>91.966530040178569</v>
      </c>
      <c r="AL852">
        <v>-37.569305888753803</v>
      </c>
      <c r="AM852">
        <v>2.4541490484148731</v>
      </c>
      <c r="AN852">
        <v>2.418845721604697</v>
      </c>
    </row>
    <row r="853" spans="1:40" x14ac:dyDescent="0.25">
      <c r="A853" s="1" t="s">
        <v>672</v>
      </c>
      <c r="B853">
        <v>53162852450</v>
      </c>
      <c r="C853" t="s">
        <v>77</v>
      </c>
      <c r="D853" t="s">
        <v>105</v>
      </c>
      <c r="E853">
        <v>25550000000</v>
      </c>
      <c r="F853">
        <v>-1356000000</v>
      </c>
      <c r="G853">
        <v>672000000</v>
      </c>
      <c r="H853">
        <v>-1645000000</v>
      </c>
      <c r="I853">
        <v>-2317000000</v>
      </c>
      <c r="J853">
        <v>-10101000000</v>
      </c>
      <c r="K853">
        <v>4397000000</v>
      </c>
      <c r="L853">
        <v>0</v>
      </c>
      <c r="M853">
        <v>4397000000</v>
      </c>
      <c r="N853">
        <v>8751000000</v>
      </c>
      <c r="O853">
        <v>504000000</v>
      </c>
      <c r="P853">
        <v>215000000</v>
      </c>
      <c r="Q853">
        <v>10982000000</v>
      </c>
      <c r="R853">
        <v>8945000000</v>
      </c>
      <c r="S853">
        <v>23451000000</v>
      </c>
      <c r="T853">
        <v>0</v>
      </c>
      <c r="U853">
        <v>902000000</v>
      </c>
      <c r="V853">
        <v>7563000000</v>
      </c>
      <c r="W853">
        <v>59962852450</v>
      </c>
      <c r="X853">
        <v>60864852450</v>
      </c>
      <c r="Y853">
        <v>2.0807378649706458</v>
      </c>
      <c r="Z853">
        <v>-39.205643399705018</v>
      </c>
      <c r="AA853">
        <v>79.111387574404759</v>
      </c>
      <c r="AB853">
        <v>-32.317843434650463</v>
      </c>
      <c r="AC853">
        <v>-22.94469246870954</v>
      </c>
      <c r="AD853">
        <v>-5.2631276556776561</v>
      </c>
      <c r="AE853">
        <v>-44.885584402654857</v>
      </c>
      <c r="AF853">
        <v>-44.220392662241878</v>
      </c>
      <c r="AG853">
        <v>-26.268818493741911</v>
      </c>
      <c r="AH853">
        <v>-25.879521989641781</v>
      </c>
      <c r="AI853">
        <v>90.572697098214292</v>
      </c>
      <c r="AJ853">
        <v>-36.999910303951367</v>
      </c>
      <c r="AK853">
        <v>89.230435193452379</v>
      </c>
      <c r="AL853">
        <v>-36.451582036474157</v>
      </c>
      <c r="AM853">
        <v>2.3821860058708419</v>
      </c>
      <c r="AN853">
        <v>2.3468826790606649</v>
      </c>
    </row>
    <row r="854" spans="1:40" x14ac:dyDescent="0.25">
      <c r="A854" s="1" t="s">
        <v>671</v>
      </c>
      <c r="B854">
        <v>54507245892</v>
      </c>
      <c r="C854" t="s">
        <v>77</v>
      </c>
      <c r="D854" t="s">
        <v>105</v>
      </c>
      <c r="E854">
        <v>25550000000</v>
      </c>
      <c r="F854">
        <v>-1356000000</v>
      </c>
      <c r="G854">
        <v>672000000</v>
      </c>
      <c r="H854">
        <v>-1645000000</v>
      </c>
      <c r="I854">
        <v>-2317000000</v>
      </c>
      <c r="J854">
        <v>-10101000000</v>
      </c>
      <c r="K854">
        <v>4397000000</v>
      </c>
      <c r="L854">
        <v>0</v>
      </c>
      <c r="M854">
        <v>4397000000</v>
      </c>
      <c r="N854">
        <v>8751000000</v>
      </c>
      <c r="O854">
        <v>504000000</v>
      </c>
      <c r="P854">
        <v>215000000</v>
      </c>
      <c r="Q854">
        <v>10982000000</v>
      </c>
      <c r="R854">
        <v>8945000000</v>
      </c>
      <c r="S854">
        <v>23451000000</v>
      </c>
      <c r="T854">
        <v>0</v>
      </c>
      <c r="U854">
        <v>902000000</v>
      </c>
      <c r="V854">
        <v>7563000000</v>
      </c>
      <c r="W854">
        <v>61307245892</v>
      </c>
      <c r="X854">
        <v>62209245892</v>
      </c>
      <c r="Y854">
        <v>2.1333560036007828</v>
      </c>
      <c r="Z854">
        <v>-40.197083991150443</v>
      </c>
      <c r="AA854">
        <v>81.111973053571433</v>
      </c>
      <c r="AB854">
        <v>-33.135103885714287</v>
      </c>
      <c r="AC854">
        <v>-23.524922698316789</v>
      </c>
      <c r="AD854">
        <v>-5.3962227395307396</v>
      </c>
      <c r="AE854">
        <v>-45.877024994100303</v>
      </c>
      <c r="AF854">
        <v>-45.211833253687317</v>
      </c>
      <c r="AG854">
        <v>-26.84904872334916</v>
      </c>
      <c r="AH854">
        <v>-26.45975221924903</v>
      </c>
      <c r="AI854">
        <v>92.573282577380951</v>
      </c>
      <c r="AJ854">
        <v>-37.817170755015198</v>
      </c>
      <c r="AK854">
        <v>91.231020672619053</v>
      </c>
      <c r="AL854">
        <v>-37.268842487538002</v>
      </c>
      <c r="AM854">
        <v>2.434804144500978</v>
      </c>
      <c r="AN854">
        <v>2.3995008176908019</v>
      </c>
    </row>
    <row r="855" spans="1:40" x14ac:dyDescent="0.25">
      <c r="A855" s="1" t="s">
        <v>670</v>
      </c>
      <c r="B855">
        <v>55436459007</v>
      </c>
      <c r="C855" t="s">
        <v>77</v>
      </c>
      <c r="D855" t="s">
        <v>105</v>
      </c>
      <c r="E855">
        <v>25550000000</v>
      </c>
      <c r="F855">
        <v>-1356000000</v>
      </c>
      <c r="G855">
        <v>672000000</v>
      </c>
      <c r="H855">
        <v>-1645000000</v>
      </c>
      <c r="I855">
        <v>-2317000000</v>
      </c>
      <c r="J855">
        <v>-10101000000</v>
      </c>
      <c r="K855">
        <v>4397000000</v>
      </c>
      <c r="L855">
        <v>0</v>
      </c>
      <c r="M855">
        <v>4397000000</v>
      </c>
      <c r="N855">
        <v>8751000000</v>
      </c>
      <c r="O855">
        <v>504000000</v>
      </c>
      <c r="P855">
        <v>215000000</v>
      </c>
      <c r="Q855">
        <v>10982000000</v>
      </c>
      <c r="R855">
        <v>8945000000</v>
      </c>
      <c r="S855">
        <v>23451000000</v>
      </c>
      <c r="T855">
        <v>0</v>
      </c>
      <c r="U855">
        <v>902000000</v>
      </c>
      <c r="V855">
        <v>7563000000</v>
      </c>
      <c r="W855">
        <v>62236459007</v>
      </c>
      <c r="X855">
        <v>63138459007</v>
      </c>
      <c r="Y855">
        <v>2.1697244229745598</v>
      </c>
      <c r="Z855">
        <v>-40.882344400442477</v>
      </c>
      <c r="AA855">
        <v>82.494730665178565</v>
      </c>
      <c r="AB855">
        <v>-33.699975080243163</v>
      </c>
      <c r="AC855">
        <v>-23.92596418083729</v>
      </c>
      <c r="AD855">
        <v>-5.4882149299079286</v>
      </c>
      <c r="AE855">
        <v>-46.56228540339233</v>
      </c>
      <c r="AF855">
        <v>-45.897093662979351</v>
      </c>
      <c r="AG855">
        <v>-27.250090205869661</v>
      </c>
      <c r="AH855">
        <v>-26.860793701769531</v>
      </c>
      <c r="AI855">
        <v>93.956040188988098</v>
      </c>
      <c r="AJ855">
        <v>-38.382041949544067</v>
      </c>
      <c r="AK855">
        <v>92.613778284226186</v>
      </c>
      <c r="AL855">
        <v>-37.833713682066872</v>
      </c>
      <c r="AM855">
        <v>2.471172563874755</v>
      </c>
      <c r="AN855">
        <v>2.4358692370645789</v>
      </c>
    </row>
    <row r="856" spans="1:40" x14ac:dyDescent="0.25">
      <c r="A856" s="1" t="s">
        <v>669</v>
      </c>
      <c r="B856">
        <v>52233639335</v>
      </c>
      <c r="C856" t="s">
        <v>77</v>
      </c>
      <c r="D856" t="s">
        <v>105</v>
      </c>
      <c r="E856">
        <v>25550000000</v>
      </c>
      <c r="F856">
        <v>-1356000000</v>
      </c>
      <c r="G856">
        <v>672000000</v>
      </c>
      <c r="H856">
        <v>-1645000000</v>
      </c>
      <c r="I856">
        <v>-2317000000</v>
      </c>
      <c r="J856">
        <v>-10101000000</v>
      </c>
      <c r="K856">
        <v>4397000000</v>
      </c>
      <c r="L856">
        <v>0</v>
      </c>
      <c r="M856">
        <v>4397000000</v>
      </c>
      <c r="N856">
        <v>8751000000</v>
      </c>
      <c r="O856">
        <v>504000000</v>
      </c>
      <c r="P856">
        <v>215000000</v>
      </c>
      <c r="Q856">
        <v>10982000000</v>
      </c>
      <c r="R856">
        <v>8945000000</v>
      </c>
      <c r="S856">
        <v>23451000000</v>
      </c>
      <c r="T856">
        <v>0</v>
      </c>
      <c r="U856">
        <v>902000000</v>
      </c>
      <c r="V856">
        <v>7563000000</v>
      </c>
      <c r="W856">
        <v>59033639335</v>
      </c>
      <c r="X856">
        <v>59935639335</v>
      </c>
      <c r="Y856">
        <v>2.0443694455968688</v>
      </c>
      <c r="Z856">
        <v>-38.520382990412983</v>
      </c>
      <c r="AA856">
        <v>77.728629962797612</v>
      </c>
      <c r="AB856">
        <v>-31.752972240121579</v>
      </c>
      <c r="AC856">
        <v>-22.543650986189039</v>
      </c>
      <c r="AD856">
        <v>-5.1711354653004653</v>
      </c>
      <c r="AE856">
        <v>-44.200323993362829</v>
      </c>
      <c r="AF856">
        <v>-43.53513225294985</v>
      </c>
      <c r="AG856">
        <v>-25.86777701122141</v>
      </c>
      <c r="AH856">
        <v>-25.478480507121279</v>
      </c>
      <c r="AI856">
        <v>89.189939486607145</v>
      </c>
      <c r="AJ856">
        <v>-36.43503910942249</v>
      </c>
      <c r="AK856">
        <v>87.847677581845232</v>
      </c>
      <c r="AL856">
        <v>-35.886710841945288</v>
      </c>
      <c r="AM856">
        <v>2.345817586497065</v>
      </c>
      <c r="AN856">
        <v>2.310514259686888</v>
      </c>
    </row>
    <row r="857" spans="1:40" x14ac:dyDescent="0.25">
      <c r="A857" s="1" t="s">
        <v>76</v>
      </c>
      <c r="B857">
        <v>52862200000</v>
      </c>
      <c r="C857" t="s">
        <v>77</v>
      </c>
      <c r="D857" t="s">
        <v>105</v>
      </c>
      <c r="E857">
        <v>25550000000</v>
      </c>
      <c r="F857">
        <v>-1356000000</v>
      </c>
      <c r="G857">
        <v>672000000</v>
      </c>
      <c r="H857">
        <v>-1645000000</v>
      </c>
      <c r="I857">
        <v>-2317000000</v>
      </c>
      <c r="J857">
        <v>-10101000000</v>
      </c>
      <c r="K857">
        <v>4397000000</v>
      </c>
      <c r="L857">
        <v>0</v>
      </c>
      <c r="M857">
        <v>4397000000</v>
      </c>
      <c r="N857">
        <v>8751000000</v>
      </c>
      <c r="O857">
        <v>504000000</v>
      </c>
      <c r="P857">
        <v>215000000</v>
      </c>
      <c r="Q857">
        <v>10982000000</v>
      </c>
      <c r="R857">
        <v>8945000000</v>
      </c>
      <c r="S857">
        <v>23451000000</v>
      </c>
      <c r="T857">
        <v>0</v>
      </c>
      <c r="U857">
        <v>902000000</v>
      </c>
      <c r="V857">
        <v>7563000000</v>
      </c>
      <c r="W857">
        <v>59662200000</v>
      </c>
      <c r="X857">
        <v>60564200000</v>
      </c>
      <c r="Y857">
        <v>2.0689706457925641</v>
      </c>
      <c r="Z857">
        <v>-38.983923303834807</v>
      </c>
      <c r="AA857">
        <v>78.663988095238096</v>
      </c>
      <c r="AB857">
        <v>-32.135075987841937</v>
      </c>
      <c r="AC857">
        <v>-22.814933103150629</v>
      </c>
      <c r="AD857">
        <v>-5.233363033363033</v>
      </c>
      <c r="AE857">
        <v>-44.66386430678466</v>
      </c>
      <c r="AF857">
        <v>-43.998672566371681</v>
      </c>
      <c r="AG857">
        <v>-26.139059128183</v>
      </c>
      <c r="AH857">
        <v>-25.749762624082869</v>
      </c>
      <c r="AI857">
        <v>90.125297619047615</v>
      </c>
      <c r="AJ857">
        <v>-36.817142857142848</v>
      </c>
      <c r="AK857">
        <v>88.783035714285717</v>
      </c>
      <c r="AL857">
        <v>-36.268814589665652</v>
      </c>
      <c r="AM857">
        <v>2.3704187866927589</v>
      </c>
      <c r="AN857">
        <v>2.3351154598825832</v>
      </c>
    </row>
    <row r="858" spans="1:40" x14ac:dyDescent="0.25">
      <c r="A858" s="1" t="s">
        <v>668</v>
      </c>
      <c r="B858">
        <v>53301056000</v>
      </c>
      <c r="C858" t="s">
        <v>77</v>
      </c>
      <c r="D858" t="s">
        <v>105</v>
      </c>
      <c r="E858">
        <v>25550000000</v>
      </c>
      <c r="F858">
        <v>-1356000000</v>
      </c>
      <c r="G858">
        <v>672000000</v>
      </c>
      <c r="H858">
        <v>-1645000000</v>
      </c>
      <c r="I858">
        <v>-2317000000</v>
      </c>
      <c r="J858">
        <v>-10101000000</v>
      </c>
      <c r="K858">
        <v>4397000000</v>
      </c>
      <c r="L858">
        <v>0</v>
      </c>
      <c r="M858">
        <v>4397000000</v>
      </c>
      <c r="N858">
        <v>8751000000</v>
      </c>
      <c r="O858">
        <v>504000000</v>
      </c>
      <c r="P858">
        <v>215000000</v>
      </c>
      <c r="Q858">
        <v>10982000000</v>
      </c>
      <c r="R858">
        <v>8945000000</v>
      </c>
      <c r="S858">
        <v>23451000000</v>
      </c>
      <c r="T858">
        <v>0</v>
      </c>
      <c r="U858">
        <v>902000000</v>
      </c>
      <c r="V858">
        <v>7563000000</v>
      </c>
      <c r="W858">
        <v>60101056000</v>
      </c>
      <c r="X858">
        <v>61003056000</v>
      </c>
      <c r="Y858">
        <v>2.086147005870842</v>
      </c>
      <c r="Z858">
        <v>-39.30756342182891</v>
      </c>
      <c r="AA858">
        <v>79.317047619047614</v>
      </c>
      <c r="AB858">
        <v>-32.401857750759881</v>
      </c>
      <c r="AC858">
        <v>-23.004340094950368</v>
      </c>
      <c r="AD858">
        <v>-5.2768098208098211</v>
      </c>
      <c r="AE858">
        <v>-44.987504424778763</v>
      </c>
      <c r="AF858">
        <v>-44.322312684365777</v>
      </c>
      <c r="AG858">
        <v>-26.328466119982739</v>
      </c>
      <c r="AH858">
        <v>-25.939169615882609</v>
      </c>
      <c r="AI858">
        <v>90.778357142857146</v>
      </c>
      <c r="AJ858">
        <v>-37.083924620060792</v>
      </c>
      <c r="AK858">
        <v>89.436095238095234</v>
      </c>
      <c r="AL858">
        <v>-36.535596352583589</v>
      </c>
      <c r="AM858">
        <v>2.3875951467710368</v>
      </c>
      <c r="AN858">
        <v>2.3522918199608611</v>
      </c>
    </row>
    <row r="859" spans="1:40" x14ac:dyDescent="0.25">
      <c r="A859" s="1" t="s">
        <v>667</v>
      </c>
      <c r="B859">
        <v>58228212000</v>
      </c>
      <c r="C859" t="s">
        <v>77</v>
      </c>
      <c r="D859" t="s">
        <v>105</v>
      </c>
      <c r="E859">
        <v>25550000000</v>
      </c>
      <c r="F859">
        <v>-1356000000</v>
      </c>
      <c r="G859">
        <v>672000000</v>
      </c>
      <c r="H859">
        <v>-1645000000</v>
      </c>
      <c r="I859">
        <v>-2317000000</v>
      </c>
      <c r="J859">
        <v>-10101000000</v>
      </c>
      <c r="K859">
        <v>4397000000</v>
      </c>
      <c r="L859">
        <v>0</v>
      </c>
      <c r="M859">
        <v>4397000000</v>
      </c>
      <c r="N859">
        <v>8751000000</v>
      </c>
      <c r="O859">
        <v>504000000</v>
      </c>
      <c r="P859">
        <v>215000000</v>
      </c>
      <c r="Q859">
        <v>10982000000</v>
      </c>
      <c r="R859">
        <v>8945000000</v>
      </c>
      <c r="S859">
        <v>23451000000</v>
      </c>
      <c r="T859">
        <v>0</v>
      </c>
      <c r="U859">
        <v>902000000</v>
      </c>
      <c r="V859">
        <v>7563000000</v>
      </c>
      <c r="W859">
        <v>65028212000</v>
      </c>
      <c r="X859">
        <v>65930212000</v>
      </c>
      <c r="Y859">
        <v>2.2789906849315069</v>
      </c>
      <c r="Z859">
        <v>-42.941159292035401</v>
      </c>
      <c r="AA859">
        <v>86.649124999999998</v>
      </c>
      <c r="AB859">
        <v>-35.397089361702129</v>
      </c>
      <c r="AC859">
        <v>-25.130864048338371</v>
      </c>
      <c r="AD859">
        <v>-5.7645987525987534</v>
      </c>
      <c r="AE859">
        <v>-48.621100294985247</v>
      </c>
      <c r="AF859">
        <v>-47.955908554572268</v>
      </c>
      <c r="AG859">
        <v>-28.454990073370741</v>
      </c>
      <c r="AH859">
        <v>-28.065693569270611</v>
      </c>
      <c r="AI859">
        <v>98.110434523809531</v>
      </c>
      <c r="AJ859">
        <v>-40.07915623100304</v>
      </c>
      <c r="AK859">
        <v>96.768172619047618</v>
      </c>
      <c r="AL859">
        <v>-39.530827963525837</v>
      </c>
      <c r="AM859">
        <v>2.580438825831703</v>
      </c>
      <c r="AN859">
        <v>2.545135499021526</v>
      </c>
    </row>
    <row r="860" spans="1:40" x14ac:dyDescent="0.25">
      <c r="A860" s="1" t="s">
        <v>666</v>
      </c>
      <c r="B860">
        <v>58208264000</v>
      </c>
      <c r="C860" t="s">
        <v>77</v>
      </c>
      <c r="D860" t="s">
        <v>105</v>
      </c>
      <c r="E860">
        <v>25550000000</v>
      </c>
      <c r="F860">
        <v>-1356000000</v>
      </c>
      <c r="G860">
        <v>672000000</v>
      </c>
      <c r="H860">
        <v>-1645000000</v>
      </c>
      <c r="I860">
        <v>-2317000000</v>
      </c>
      <c r="J860">
        <v>-10101000000</v>
      </c>
      <c r="K860">
        <v>4397000000</v>
      </c>
      <c r="L860">
        <v>0</v>
      </c>
      <c r="M860">
        <v>4397000000</v>
      </c>
      <c r="N860">
        <v>8751000000</v>
      </c>
      <c r="O860">
        <v>504000000</v>
      </c>
      <c r="P860">
        <v>215000000</v>
      </c>
      <c r="Q860">
        <v>10982000000</v>
      </c>
      <c r="R860">
        <v>8945000000</v>
      </c>
      <c r="S860">
        <v>23451000000</v>
      </c>
      <c r="T860">
        <v>0</v>
      </c>
      <c r="U860">
        <v>902000000</v>
      </c>
      <c r="V860">
        <v>7563000000</v>
      </c>
      <c r="W860">
        <v>65008264000</v>
      </c>
      <c r="X860">
        <v>65910264000</v>
      </c>
      <c r="Y860">
        <v>2.2782099412915851</v>
      </c>
      <c r="Z860">
        <v>-42.926448377581117</v>
      </c>
      <c r="AA860">
        <v>86.619440476190476</v>
      </c>
      <c r="AB860">
        <v>-35.38496291793313</v>
      </c>
      <c r="AC860">
        <v>-25.122254639620198</v>
      </c>
      <c r="AD860">
        <v>-5.7626238986238976</v>
      </c>
      <c r="AE860">
        <v>-48.60638938053097</v>
      </c>
      <c r="AF860">
        <v>-47.941197640117991</v>
      </c>
      <c r="AG860">
        <v>-28.446380664652569</v>
      </c>
      <c r="AH860">
        <v>-28.057084160552439</v>
      </c>
      <c r="AI860">
        <v>98.080749999999995</v>
      </c>
      <c r="AJ860">
        <v>-40.067029787234041</v>
      </c>
      <c r="AK860">
        <v>96.738488095238097</v>
      </c>
      <c r="AL860">
        <v>-39.518701519756839</v>
      </c>
      <c r="AM860">
        <v>2.5796580821917812</v>
      </c>
      <c r="AN860">
        <v>2.544354755381605</v>
      </c>
    </row>
    <row r="861" spans="1:40" x14ac:dyDescent="0.25">
      <c r="A861" s="1" t="s">
        <v>665</v>
      </c>
      <c r="B861">
        <v>59305404000</v>
      </c>
      <c r="C861" t="s">
        <v>77</v>
      </c>
      <c r="D861" t="s">
        <v>105</v>
      </c>
      <c r="E861">
        <v>25550000000</v>
      </c>
      <c r="F861">
        <v>-1356000000</v>
      </c>
      <c r="G861">
        <v>672000000</v>
      </c>
      <c r="H861">
        <v>-1645000000</v>
      </c>
      <c r="I861">
        <v>-2317000000</v>
      </c>
      <c r="J861">
        <v>-10101000000</v>
      </c>
      <c r="K861">
        <v>4397000000</v>
      </c>
      <c r="L861">
        <v>0</v>
      </c>
      <c r="M861">
        <v>4397000000</v>
      </c>
      <c r="N861">
        <v>8751000000</v>
      </c>
      <c r="O861">
        <v>504000000</v>
      </c>
      <c r="P861">
        <v>215000000</v>
      </c>
      <c r="Q861">
        <v>10982000000</v>
      </c>
      <c r="R861">
        <v>8945000000</v>
      </c>
      <c r="S861">
        <v>23451000000</v>
      </c>
      <c r="T861">
        <v>0</v>
      </c>
      <c r="U861">
        <v>902000000</v>
      </c>
      <c r="V861">
        <v>7563000000</v>
      </c>
      <c r="W861">
        <v>66105404000</v>
      </c>
      <c r="X861">
        <v>67007404000</v>
      </c>
      <c r="Y861">
        <v>2.3211508414872801</v>
      </c>
      <c r="Z861">
        <v>-43.735548672566367</v>
      </c>
      <c r="AA861">
        <v>88.252089285714291</v>
      </c>
      <c r="AB861">
        <v>-36.051917325227961</v>
      </c>
      <c r="AC861">
        <v>-25.595772119119552</v>
      </c>
      <c r="AD861">
        <v>-5.8712408672408669</v>
      </c>
      <c r="AE861">
        <v>-49.415489675516227</v>
      </c>
      <c r="AF861">
        <v>-48.750297935103248</v>
      </c>
      <c r="AG861">
        <v>-28.919898144151919</v>
      </c>
      <c r="AH861">
        <v>-28.530601640051788</v>
      </c>
      <c r="AI861">
        <v>99.71339880952381</v>
      </c>
      <c r="AJ861">
        <v>-40.733984194528873</v>
      </c>
      <c r="AK861">
        <v>98.371136904761912</v>
      </c>
      <c r="AL861">
        <v>-40.18565592705167</v>
      </c>
      <c r="AM861">
        <v>2.6225989823874749</v>
      </c>
      <c r="AN861">
        <v>2.5872956555772988</v>
      </c>
    </row>
    <row r="862" spans="1:40" x14ac:dyDescent="0.25">
      <c r="A862" s="1" t="s">
        <v>664</v>
      </c>
      <c r="B862">
        <v>55994036000</v>
      </c>
      <c r="C862" t="s">
        <v>77</v>
      </c>
      <c r="D862" t="s">
        <v>105</v>
      </c>
      <c r="E862">
        <v>25550000000</v>
      </c>
      <c r="F862">
        <v>-1356000000</v>
      </c>
      <c r="G862">
        <v>672000000</v>
      </c>
      <c r="H862">
        <v>-1645000000</v>
      </c>
      <c r="I862">
        <v>-2317000000</v>
      </c>
      <c r="J862">
        <v>-10101000000</v>
      </c>
      <c r="K862">
        <v>4397000000</v>
      </c>
      <c r="L862">
        <v>0</v>
      </c>
      <c r="M862">
        <v>4397000000</v>
      </c>
      <c r="N862">
        <v>8751000000</v>
      </c>
      <c r="O862">
        <v>504000000</v>
      </c>
      <c r="P862">
        <v>215000000</v>
      </c>
      <c r="Q862">
        <v>10982000000</v>
      </c>
      <c r="R862">
        <v>8945000000</v>
      </c>
      <c r="S862">
        <v>23451000000</v>
      </c>
      <c r="T862">
        <v>0</v>
      </c>
      <c r="U862">
        <v>902000000</v>
      </c>
      <c r="V862">
        <v>7563000000</v>
      </c>
      <c r="W862">
        <v>62794036000</v>
      </c>
      <c r="X862">
        <v>63696036000</v>
      </c>
      <c r="Y862">
        <v>2.1915473972602739</v>
      </c>
      <c r="Z862">
        <v>-41.293536873156341</v>
      </c>
      <c r="AA862">
        <v>83.32445833333334</v>
      </c>
      <c r="AB862">
        <v>-34.038927659574469</v>
      </c>
      <c r="AC862">
        <v>-24.16661027190332</v>
      </c>
      <c r="AD862">
        <v>-5.5434151074151066</v>
      </c>
      <c r="AE862">
        <v>-46.973477876106188</v>
      </c>
      <c r="AF862">
        <v>-46.308286135693223</v>
      </c>
      <c r="AG862">
        <v>-27.49073629693569</v>
      </c>
      <c r="AH862">
        <v>-27.10143979283556</v>
      </c>
      <c r="AI862">
        <v>94.785767857142858</v>
      </c>
      <c r="AJ862">
        <v>-38.72099452887538</v>
      </c>
      <c r="AK862">
        <v>93.443505952380946</v>
      </c>
      <c r="AL862">
        <v>-38.172666261398177</v>
      </c>
      <c r="AM862">
        <v>2.49299553816047</v>
      </c>
      <c r="AN862">
        <v>2.457692211350293</v>
      </c>
    </row>
    <row r="863" spans="1:40" x14ac:dyDescent="0.25">
      <c r="A863" s="1" t="s">
        <v>663</v>
      </c>
      <c r="B863">
        <v>54916844000</v>
      </c>
      <c r="C863" t="s">
        <v>77</v>
      </c>
      <c r="D863" t="s">
        <v>105</v>
      </c>
      <c r="E863">
        <v>25550000000</v>
      </c>
      <c r="F863">
        <v>-1356000000</v>
      </c>
      <c r="G863">
        <v>672000000</v>
      </c>
      <c r="H863">
        <v>-1645000000</v>
      </c>
      <c r="I863">
        <v>-2317000000</v>
      </c>
      <c r="J863">
        <v>-10101000000</v>
      </c>
      <c r="K863">
        <v>4397000000</v>
      </c>
      <c r="L863">
        <v>0</v>
      </c>
      <c r="M863">
        <v>4397000000</v>
      </c>
      <c r="N863">
        <v>8751000000</v>
      </c>
      <c r="O863">
        <v>504000000</v>
      </c>
      <c r="P863">
        <v>215000000</v>
      </c>
      <c r="Q863">
        <v>10982000000</v>
      </c>
      <c r="R863">
        <v>8945000000</v>
      </c>
      <c r="S863">
        <v>23451000000</v>
      </c>
      <c r="T863">
        <v>0</v>
      </c>
      <c r="U863">
        <v>902000000</v>
      </c>
      <c r="V863">
        <v>7563000000</v>
      </c>
      <c r="W863">
        <v>61716844000</v>
      </c>
      <c r="X863">
        <v>62618844000</v>
      </c>
      <c r="Y863">
        <v>2.1493872407045012</v>
      </c>
      <c r="Z863">
        <v>-40.499147492625369</v>
      </c>
      <c r="AA863">
        <v>81.721494047619046</v>
      </c>
      <c r="AB863">
        <v>-33.384099696048629</v>
      </c>
      <c r="AC863">
        <v>-23.701702201122139</v>
      </c>
      <c r="AD863">
        <v>-5.4367729927729931</v>
      </c>
      <c r="AE863">
        <v>-46.179088495575222</v>
      </c>
      <c r="AF863">
        <v>-45.513896755162243</v>
      </c>
      <c r="AG863">
        <v>-27.025828226154509</v>
      </c>
      <c r="AH863">
        <v>-26.636531722054379</v>
      </c>
      <c r="AI863">
        <v>93.182803571428565</v>
      </c>
      <c r="AJ863">
        <v>-38.066166565349548</v>
      </c>
      <c r="AK863">
        <v>91.840541666666667</v>
      </c>
      <c r="AL863">
        <v>-37.517838297872338</v>
      </c>
      <c r="AM863">
        <v>2.4508353816046968</v>
      </c>
      <c r="AN863">
        <v>2.4155320547945212</v>
      </c>
    </row>
    <row r="864" spans="1:40" x14ac:dyDescent="0.25">
      <c r="A864" s="1" t="s">
        <v>662</v>
      </c>
      <c r="B864">
        <v>49191768000</v>
      </c>
      <c r="C864" t="s">
        <v>77</v>
      </c>
      <c r="D864" t="s">
        <v>105</v>
      </c>
      <c r="E864">
        <v>25550000000</v>
      </c>
      <c r="F864">
        <v>-1356000000</v>
      </c>
      <c r="G864">
        <v>672000000</v>
      </c>
      <c r="H864">
        <v>-1645000000</v>
      </c>
      <c r="I864">
        <v>-2317000000</v>
      </c>
      <c r="J864">
        <v>-10101000000</v>
      </c>
      <c r="K864">
        <v>4397000000</v>
      </c>
      <c r="L864">
        <v>0</v>
      </c>
      <c r="M864">
        <v>4397000000</v>
      </c>
      <c r="N864">
        <v>8751000000</v>
      </c>
      <c r="O864">
        <v>504000000</v>
      </c>
      <c r="P864">
        <v>215000000</v>
      </c>
      <c r="Q864">
        <v>10982000000</v>
      </c>
      <c r="R864">
        <v>8945000000</v>
      </c>
      <c r="S864">
        <v>23451000000</v>
      </c>
      <c r="T864">
        <v>0</v>
      </c>
      <c r="U864">
        <v>902000000</v>
      </c>
      <c r="V864">
        <v>7563000000</v>
      </c>
      <c r="W864">
        <v>55991768000</v>
      </c>
      <c r="X864">
        <v>56893768000</v>
      </c>
      <c r="Y864">
        <v>1.9253138160469669</v>
      </c>
      <c r="Z864">
        <v>-36.277115044247793</v>
      </c>
      <c r="AA864">
        <v>73.202035714285714</v>
      </c>
      <c r="AB864">
        <v>-29.90381033434651</v>
      </c>
      <c r="AC864">
        <v>-21.230801899007339</v>
      </c>
      <c r="AD864">
        <v>-4.8699899019899018</v>
      </c>
      <c r="AE864">
        <v>-41.957056047197639</v>
      </c>
      <c r="AF864">
        <v>-41.29186430678466</v>
      </c>
      <c r="AG864">
        <v>-24.55492792403971</v>
      </c>
      <c r="AH864">
        <v>-24.165631419939579</v>
      </c>
      <c r="AI864">
        <v>84.663345238095232</v>
      </c>
      <c r="AJ864">
        <v>-34.585877203647406</v>
      </c>
      <c r="AK864">
        <v>83.321083333333334</v>
      </c>
      <c r="AL864">
        <v>-34.037548936170211</v>
      </c>
      <c r="AM864">
        <v>2.2267619569471631</v>
      </c>
      <c r="AN864">
        <v>2.1914586301369861</v>
      </c>
    </row>
    <row r="865" spans="1:40" x14ac:dyDescent="0.25">
      <c r="A865" s="1" t="s">
        <v>661</v>
      </c>
      <c r="B865">
        <v>51824904000</v>
      </c>
      <c r="C865" t="s">
        <v>77</v>
      </c>
      <c r="D865" t="s">
        <v>105</v>
      </c>
      <c r="E865">
        <v>25550000000</v>
      </c>
      <c r="F865">
        <v>-1356000000</v>
      </c>
      <c r="G865">
        <v>672000000</v>
      </c>
      <c r="H865">
        <v>-1645000000</v>
      </c>
      <c r="I865">
        <v>-2317000000</v>
      </c>
      <c r="J865">
        <v>-10101000000</v>
      </c>
      <c r="K865">
        <v>4397000000</v>
      </c>
      <c r="L865">
        <v>0</v>
      </c>
      <c r="M865">
        <v>4397000000</v>
      </c>
      <c r="N865">
        <v>8751000000</v>
      </c>
      <c r="O865">
        <v>504000000</v>
      </c>
      <c r="P865">
        <v>215000000</v>
      </c>
      <c r="Q865">
        <v>10982000000</v>
      </c>
      <c r="R865">
        <v>8945000000</v>
      </c>
      <c r="S865">
        <v>23451000000</v>
      </c>
      <c r="T865">
        <v>0</v>
      </c>
      <c r="U865">
        <v>902000000</v>
      </c>
      <c r="V865">
        <v>7563000000</v>
      </c>
      <c r="W865">
        <v>58624904000</v>
      </c>
      <c r="X865">
        <v>59526904000</v>
      </c>
      <c r="Y865">
        <v>2.0283719765166341</v>
      </c>
      <c r="Z865">
        <v>-38.218955752212388</v>
      </c>
      <c r="AA865">
        <v>77.120392857142861</v>
      </c>
      <c r="AB865">
        <v>-31.504500911854102</v>
      </c>
      <c r="AC865">
        <v>-22.367243849805789</v>
      </c>
      <c r="AD865">
        <v>-5.1306706266706268</v>
      </c>
      <c r="AE865">
        <v>-43.898896755162241</v>
      </c>
      <c r="AF865">
        <v>-43.233705014749262</v>
      </c>
      <c r="AG865">
        <v>-25.691369874838148</v>
      </c>
      <c r="AH865">
        <v>-25.302073370738022</v>
      </c>
      <c r="AI865">
        <v>88.581702380952379</v>
      </c>
      <c r="AJ865">
        <v>-36.186567781155013</v>
      </c>
      <c r="AK865">
        <v>87.239440476190481</v>
      </c>
      <c r="AL865">
        <v>-35.63823951367781</v>
      </c>
      <c r="AM865">
        <v>2.3298201174168298</v>
      </c>
      <c r="AN865">
        <v>2.2945167906066541</v>
      </c>
    </row>
    <row r="866" spans="1:40" x14ac:dyDescent="0.25">
      <c r="A866" s="1" t="s">
        <v>660</v>
      </c>
      <c r="B866">
        <v>49870000000</v>
      </c>
      <c r="C866" t="s">
        <v>77</v>
      </c>
      <c r="D866" t="s">
        <v>105</v>
      </c>
      <c r="E866">
        <v>25550000000</v>
      </c>
      <c r="F866">
        <v>-1356000000</v>
      </c>
      <c r="G866">
        <v>672000000</v>
      </c>
      <c r="H866">
        <v>-1645000000</v>
      </c>
      <c r="I866">
        <v>-2317000000</v>
      </c>
      <c r="J866">
        <v>-10101000000</v>
      </c>
      <c r="K866">
        <v>4397000000</v>
      </c>
      <c r="L866">
        <v>0</v>
      </c>
      <c r="M866">
        <v>4397000000</v>
      </c>
      <c r="N866">
        <v>8751000000</v>
      </c>
      <c r="O866">
        <v>504000000</v>
      </c>
      <c r="P866">
        <v>215000000</v>
      </c>
      <c r="Q866">
        <v>10982000000</v>
      </c>
      <c r="R866">
        <v>8945000000</v>
      </c>
      <c r="S866">
        <v>23451000000</v>
      </c>
      <c r="T866">
        <v>0</v>
      </c>
      <c r="U866">
        <v>902000000</v>
      </c>
      <c r="V866">
        <v>7563000000</v>
      </c>
      <c r="W866">
        <v>56670000000</v>
      </c>
      <c r="X866">
        <v>57572000000</v>
      </c>
      <c r="Y866">
        <v>1.9518590998043051</v>
      </c>
      <c r="Z866">
        <v>-36.777286135693217</v>
      </c>
      <c r="AA866">
        <v>74.211309523809518</v>
      </c>
      <c r="AB866">
        <v>-30.316109422492399</v>
      </c>
      <c r="AC866">
        <v>-21.523521795425118</v>
      </c>
      <c r="AD866">
        <v>-4.9371349371349371</v>
      </c>
      <c r="AE866">
        <v>-42.45722713864307</v>
      </c>
      <c r="AF866">
        <v>-41.792035398230091</v>
      </c>
      <c r="AG866">
        <v>-24.847647820457489</v>
      </c>
      <c r="AH866">
        <v>-24.458351316357358</v>
      </c>
      <c r="AI866">
        <v>85.672619047619051</v>
      </c>
      <c r="AJ866">
        <v>-34.998176291793307</v>
      </c>
      <c r="AK866">
        <v>84.330357142857139</v>
      </c>
      <c r="AL866">
        <v>-34.449848024316111</v>
      </c>
      <c r="AM866">
        <v>2.2533072407045012</v>
      </c>
      <c r="AN866">
        <v>2.2180039138943251</v>
      </c>
    </row>
    <row r="867" spans="1:40" x14ac:dyDescent="0.25">
      <c r="A867" s="1" t="s">
        <v>659</v>
      </c>
      <c r="B867">
        <v>49291508000</v>
      </c>
      <c r="C867" t="s">
        <v>77</v>
      </c>
      <c r="D867" t="s">
        <v>105</v>
      </c>
      <c r="E867">
        <v>25550000000</v>
      </c>
      <c r="F867">
        <v>-1356000000</v>
      </c>
      <c r="G867">
        <v>672000000</v>
      </c>
      <c r="H867">
        <v>-1645000000</v>
      </c>
      <c r="I867">
        <v>-2317000000</v>
      </c>
      <c r="J867">
        <v>-10101000000</v>
      </c>
      <c r="K867">
        <v>4397000000</v>
      </c>
      <c r="L867">
        <v>0</v>
      </c>
      <c r="M867">
        <v>4397000000</v>
      </c>
      <c r="N867">
        <v>8751000000</v>
      </c>
      <c r="O867">
        <v>504000000</v>
      </c>
      <c r="P867">
        <v>215000000</v>
      </c>
      <c r="Q867">
        <v>10982000000</v>
      </c>
      <c r="R867">
        <v>8945000000</v>
      </c>
      <c r="S867">
        <v>23451000000</v>
      </c>
      <c r="T867">
        <v>0</v>
      </c>
      <c r="U867">
        <v>902000000</v>
      </c>
      <c r="V867">
        <v>7563000000</v>
      </c>
      <c r="W867">
        <v>56091508000</v>
      </c>
      <c r="X867">
        <v>56993508000</v>
      </c>
      <c r="Y867">
        <v>1.9292175342465749</v>
      </c>
      <c r="Z867">
        <v>-36.350669616519177</v>
      </c>
      <c r="AA867">
        <v>73.350458333333336</v>
      </c>
      <c r="AB867">
        <v>-29.964442553191489</v>
      </c>
      <c r="AC867">
        <v>-21.273848942598189</v>
      </c>
      <c r="AD867">
        <v>-4.8798641718641722</v>
      </c>
      <c r="AE867">
        <v>-42.03061061946903</v>
      </c>
      <c r="AF867">
        <v>-41.365418879056037</v>
      </c>
      <c r="AG867">
        <v>-24.597974967630559</v>
      </c>
      <c r="AH867">
        <v>-24.208678463530429</v>
      </c>
      <c r="AI867">
        <v>84.811767857142854</v>
      </c>
      <c r="AJ867">
        <v>-34.6465094224924</v>
      </c>
      <c r="AK867">
        <v>83.469505952380956</v>
      </c>
      <c r="AL867">
        <v>-34.098181155015197</v>
      </c>
      <c r="AM867">
        <v>2.2306656751467711</v>
      </c>
      <c r="AN867">
        <v>2.1953623483365949</v>
      </c>
    </row>
    <row r="868" spans="1:40" x14ac:dyDescent="0.25">
      <c r="A868" s="1" t="s">
        <v>658</v>
      </c>
      <c r="B868">
        <v>51745112000</v>
      </c>
      <c r="C868" t="s">
        <v>77</v>
      </c>
      <c r="D868" t="s">
        <v>105</v>
      </c>
      <c r="E868">
        <v>25550000000</v>
      </c>
      <c r="F868">
        <v>-1356000000</v>
      </c>
      <c r="G868">
        <v>672000000</v>
      </c>
      <c r="H868">
        <v>-1645000000</v>
      </c>
      <c r="I868">
        <v>-2317000000</v>
      </c>
      <c r="J868">
        <v>-10101000000</v>
      </c>
      <c r="K868">
        <v>4397000000</v>
      </c>
      <c r="L868">
        <v>0</v>
      </c>
      <c r="M868">
        <v>4397000000</v>
      </c>
      <c r="N868">
        <v>8751000000</v>
      </c>
      <c r="O868">
        <v>504000000</v>
      </c>
      <c r="P868">
        <v>215000000</v>
      </c>
      <c r="Q868">
        <v>10982000000</v>
      </c>
      <c r="R868">
        <v>8945000000</v>
      </c>
      <c r="S868">
        <v>23451000000</v>
      </c>
      <c r="T868">
        <v>0</v>
      </c>
      <c r="U868">
        <v>902000000</v>
      </c>
      <c r="V868">
        <v>7563000000</v>
      </c>
      <c r="W868">
        <v>58545112000</v>
      </c>
      <c r="X868">
        <v>59447112000</v>
      </c>
      <c r="Y868">
        <v>2.0252490019569471</v>
      </c>
      <c r="Z868">
        <v>-38.160112094395281</v>
      </c>
      <c r="AA868">
        <v>77.00165476190476</v>
      </c>
      <c r="AB868">
        <v>-31.45599513677811</v>
      </c>
      <c r="AC868">
        <v>-22.3328062149331</v>
      </c>
      <c r="AD868">
        <v>-5.1227712107712096</v>
      </c>
      <c r="AE868">
        <v>-43.840053097345127</v>
      </c>
      <c r="AF868">
        <v>-43.174861356932148</v>
      </c>
      <c r="AG868">
        <v>-25.656932239965471</v>
      </c>
      <c r="AH868">
        <v>-25.267635735865341</v>
      </c>
      <c r="AI868">
        <v>88.462964285714293</v>
      </c>
      <c r="AJ868">
        <v>-36.138062006079018</v>
      </c>
      <c r="AK868">
        <v>87.12070238095238</v>
      </c>
      <c r="AL868">
        <v>-35.589733738601822</v>
      </c>
      <c r="AM868">
        <v>2.3266971428571428</v>
      </c>
      <c r="AN868">
        <v>2.2913938160469671</v>
      </c>
    </row>
    <row r="869" spans="1:40" x14ac:dyDescent="0.25">
      <c r="A869" s="1" t="s">
        <v>657</v>
      </c>
      <c r="B869">
        <v>55076428000</v>
      </c>
      <c r="C869" t="s">
        <v>77</v>
      </c>
      <c r="D869" t="s">
        <v>105</v>
      </c>
      <c r="E869">
        <v>25550000000</v>
      </c>
      <c r="F869">
        <v>-1356000000</v>
      </c>
      <c r="G869">
        <v>672000000</v>
      </c>
      <c r="H869">
        <v>-1645000000</v>
      </c>
      <c r="I869">
        <v>-2317000000</v>
      </c>
      <c r="J869">
        <v>-10101000000</v>
      </c>
      <c r="K869">
        <v>4397000000</v>
      </c>
      <c r="L869">
        <v>0</v>
      </c>
      <c r="M869">
        <v>4397000000</v>
      </c>
      <c r="N869">
        <v>8751000000</v>
      </c>
      <c r="O869">
        <v>504000000</v>
      </c>
      <c r="P869">
        <v>215000000</v>
      </c>
      <c r="Q869">
        <v>10982000000</v>
      </c>
      <c r="R869">
        <v>8945000000</v>
      </c>
      <c r="S869">
        <v>23451000000</v>
      </c>
      <c r="T869">
        <v>0</v>
      </c>
      <c r="U869">
        <v>902000000</v>
      </c>
      <c r="V869">
        <v>7563000000</v>
      </c>
      <c r="W869">
        <v>61876428000</v>
      </c>
      <c r="X869">
        <v>62778428000</v>
      </c>
      <c r="Y869">
        <v>2.1556331898238752</v>
      </c>
      <c r="Z869">
        <v>-40.61683480825959</v>
      </c>
      <c r="AA869">
        <v>81.958970238095233</v>
      </c>
      <c r="AB869">
        <v>-33.481111246200612</v>
      </c>
      <c r="AC869">
        <v>-23.770577470867501</v>
      </c>
      <c r="AD869">
        <v>-5.4525718245718249</v>
      </c>
      <c r="AE869">
        <v>-46.296775811209443</v>
      </c>
      <c r="AF869">
        <v>-45.631584070796457</v>
      </c>
      <c r="AG869">
        <v>-27.094703495899871</v>
      </c>
      <c r="AH869">
        <v>-26.705406991799741</v>
      </c>
      <c r="AI869">
        <v>93.420279761904766</v>
      </c>
      <c r="AJ869">
        <v>-38.163178115501523</v>
      </c>
      <c r="AK869">
        <v>92.078017857142854</v>
      </c>
      <c r="AL869">
        <v>-37.614849848024313</v>
      </c>
      <c r="AM869">
        <v>2.45708133072407</v>
      </c>
      <c r="AN869">
        <v>2.4217780039138939</v>
      </c>
    </row>
    <row r="870" spans="1:40" x14ac:dyDescent="0.25">
      <c r="A870" s="1" t="s">
        <v>656</v>
      </c>
      <c r="B870">
        <v>54916844000</v>
      </c>
      <c r="C870" t="s">
        <v>77</v>
      </c>
      <c r="D870" t="s">
        <v>105</v>
      </c>
      <c r="E870">
        <v>25550000000</v>
      </c>
      <c r="F870">
        <v>-1356000000</v>
      </c>
      <c r="G870">
        <v>672000000</v>
      </c>
      <c r="H870">
        <v>-1645000000</v>
      </c>
      <c r="I870">
        <v>-2317000000</v>
      </c>
      <c r="J870">
        <v>-10101000000</v>
      </c>
      <c r="K870">
        <v>4397000000</v>
      </c>
      <c r="L870">
        <v>0</v>
      </c>
      <c r="M870">
        <v>4397000000</v>
      </c>
      <c r="N870">
        <v>8751000000</v>
      </c>
      <c r="O870">
        <v>504000000</v>
      </c>
      <c r="P870">
        <v>215000000</v>
      </c>
      <c r="Q870">
        <v>10982000000</v>
      </c>
      <c r="R870">
        <v>8945000000</v>
      </c>
      <c r="S870">
        <v>23451000000</v>
      </c>
      <c r="T870">
        <v>0</v>
      </c>
      <c r="U870">
        <v>902000000</v>
      </c>
      <c r="V870">
        <v>7563000000</v>
      </c>
      <c r="W870">
        <v>61716844000</v>
      </c>
      <c r="X870">
        <v>62618844000</v>
      </c>
      <c r="Y870">
        <v>2.1493872407045012</v>
      </c>
      <c r="Z870">
        <v>-40.499147492625369</v>
      </c>
      <c r="AA870">
        <v>81.721494047619046</v>
      </c>
      <c r="AB870">
        <v>-33.384099696048629</v>
      </c>
      <c r="AC870">
        <v>-23.701702201122139</v>
      </c>
      <c r="AD870">
        <v>-5.4367729927729931</v>
      </c>
      <c r="AE870">
        <v>-46.179088495575222</v>
      </c>
      <c r="AF870">
        <v>-45.513896755162243</v>
      </c>
      <c r="AG870">
        <v>-27.025828226154509</v>
      </c>
      <c r="AH870">
        <v>-26.636531722054379</v>
      </c>
      <c r="AI870">
        <v>93.182803571428565</v>
      </c>
      <c r="AJ870">
        <v>-38.066166565349548</v>
      </c>
      <c r="AK870">
        <v>91.840541666666667</v>
      </c>
      <c r="AL870">
        <v>-37.517838297872338</v>
      </c>
      <c r="AM870">
        <v>2.4508353816046968</v>
      </c>
      <c r="AN870">
        <v>2.4155320547945212</v>
      </c>
    </row>
    <row r="871" spans="1:40" x14ac:dyDescent="0.25">
      <c r="A871" s="1" t="s">
        <v>655</v>
      </c>
      <c r="B871">
        <v>55595076000</v>
      </c>
      <c r="C871" t="s">
        <v>77</v>
      </c>
      <c r="D871" t="s">
        <v>105</v>
      </c>
      <c r="E871">
        <v>25550000000</v>
      </c>
      <c r="F871">
        <v>-1356000000</v>
      </c>
      <c r="G871">
        <v>672000000</v>
      </c>
      <c r="H871">
        <v>-1645000000</v>
      </c>
      <c r="I871">
        <v>-2317000000</v>
      </c>
      <c r="J871">
        <v>-10101000000</v>
      </c>
      <c r="K871">
        <v>4397000000</v>
      </c>
      <c r="L871">
        <v>0</v>
      </c>
      <c r="M871">
        <v>4397000000</v>
      </c>
      <c r="N871">
        <v>8751000000</v>
      </c>
      <c r="O871">
        <v>504000000</v>
      </c>
      <c r="P871">
        <v>215000000</v>
      </c>
      <c r="Q871">
        <v>10982000000</v>
      </c>
      <c r="R871">
        <v>8945000000</v>
      </c>
      <c r="S871">
        <v>23451000000</v>
      </c>
      <c r="T871">
        <v>0</v>
      </c>
      <c r="U871">
        <v>902000000</v>
      </c>
      <c r="V871">
        <v>7563000000</v>
      </c>
      <c r="W871">
        <v>62395076000</v>
      </c>
      <c r="X871">
        <v>63297076000</v>
      </c>
      <c r="Y871">
        <v>2.1759325244618402</v>
      </c>
      <c r="Z871">
        <v>-40.999318584070799</v>
      </c>
      <c r="AA871">
        <v>82.730767857142851</v>
      </c>
      <c r="AB871">
        <v>-33.79639878419453</v>
      </c>
      <c r="AC871">
        <v>-23.994422097539921</v>
      </c>
      <c r="AD871">
        <v>-5.5039180279180284</v>
      </c>
      <c r="AE871">
        <v>-46.679259587020653</v>
      </c>
      <c r="AF871">
        <v>-46.014067846607666</v>
      </c>
      <c r="AG871">
        <v>-27.318548122572292</v>
      </c>
      <c r="AH871">
        <v>-26.929251618472161</v>
      </c>
      <c r="AI871">
        <v>94.192077380952384</v>
      </c>
      <c r="AJ871">
        <v>-38.478465653495441</v>
      </c>
      <c r="AK871">
        <v>92.849815476190471</v>
      </c>
      <c r="AL871">
        <v>-37.930137386018238</v>
      </c>
      <c r="AM871">
        <v>2.4773806653620349</v>
      </c>
      <c r="AN871">
        <v>2.4420773385518588</v>
      </c>
    </row>
    <row r="872" spans="1:40" x14ac:dyDescent="0.25">
      <c r="A872" s="1" t="s">
        <v>654</v>
      </c>
      <c r="B872">
        <v>55894296000</v>
      </c>
      <c r="C872" t="s">
        <v>77</v>
      </c>
      <c r="D872" t="s">
        <v>105</v>
      </c>
      <c r="E872">
        <v>25550000000</v>
      </c>
      <c r="F872">
        <v>-1356000000</v>
      </c>
      <c r="G872">
        <v>672000000</v>
      </c>
      <c r="H872">
        <v>-1645000000</v>
      </c>
      <c r="I872">
        <v>-2317000000</v>
      </c>
      <c r="J872">
        <v>-10101000000</v>
      </c>
      <c r="K872">
        <v>4397000000</v>
      </c>
      <c r="L872">
        <v>0</v>
      </c>
      <c r="M872">
        <v>4397000000</v>
      </c>
      <c r="N872">
        <v>8751000000</v>
      </c>
      <c r="O872">
        <v>504000000</v>
      </c>
      <c r="P872">
        <v>215000000</v>
      </c>
      <c r="Q872">
        <v>10982000000</v>
      </c>
      <c r="R872">
        <v>8945000000</v>
      </c>
      <c r="S872">
        <v>23451000000</v>
      </c>
      <c r="T872">
        <v>0</v>
      </c>
      <c r="U872">
        <v>902000000</v>
      </c>
      <c r="V872">
        <v>7563000000</v>
      </c>
      <c r="W872">
        <v>62694296000</v>
      </c>
      <c r="X872">
        <v>63596296000</v>
      </c>
      <c r="Y872">
        <v>2.187643679060665</v>
      </c>
      <c r="Z872">
        <v>-41.219982300884958</v>
      </c>
      <c r="AA872">
        <v>83.176035714285717</v>
      </c>
      <c r="AB872">
        <v>-33.978295440729482</v>
      </c>
      <c r="AC872">
        <v>-24.12356322831247</v>
      </c>
      <c r="AD872">
        <v>-5.5335408375408379</v>
      </c>
      <c r="AE872">
        <v>-46.899923303834811</v>
      </c>
      <c r="AF872">
        <v>-46.234731563421832</v>
      </c>
      <c r="AG872">
        <v>-27.447689253344841</v>
      </c>
      <c r="AH872">
        <v>-27.05839274924471</v>
      </c>
      <c r="AI872">
        <v>94.637345238095236</v>
      </c>
      <c r="AJ872">
        <v>-38.660362310030393</v>
      </c>
      <c r="AK872">
        <v>93.295083333333338</v>
      </c>
      <c r="AL872">
        <v>-38.112034042553191</v>
      </c>
      <c r="AM872">
        <v>2.4890918199608612</v>
      </c>
      <c r="AN872">
        <v>2.453788493150685</v>
      </c>
    </row>
    <row r="873" spans="1:40" x14ac:dyDescent="0.25">
      <c r="A873" s="1" t="s">
        <v>653</v>
      </c>
      <c r="B873">
        <v>55156220000</v>
      </c>
      <c r="C873" t="s">
        <v>77</v>
      </c>
      <c r="D873" t="s">
        <v>105</v>
      </c>
      <c r="E873">
        <v>25550000000</v>
      </c>
      <c r="F873">
        <v>-1356000000</v>
      </c>
      <c r="G873">
        <v>672000000</v>
      </c>
      <c r="H873">
        <v>-1645000000</v>
      </c>
      <c r="I873">
        <v>-2317000000</v>
      </c>
      <c r="J873">
        <v>-10101000000</v>
      </c>
      <c r="K873">
        <v>4397000000</v>
      </c>
      <c r="L873">
        <v>0</v>
      </c>
      <c r="M873">
        <v>4397000000</v>
      </c>
      <c r="N873">
        <v>8751000000</v>
      </c>
      <c r="O873">
        <v>504000000</v>
      </c>
      <c r="P873">
        <v>215000000</v>
      </c>
      <c r="Q873">
        <v>10982000000</v>
      </c>
      <c r="R873">
        <v>8945000000</v>
      </c>
      <c r="S873">
        <v>23451000000</v>
      </c>
      <c r="T873">
        <v>0</v>
      </c>
      <c r="U873">
        <v>902000000</v>
      </c>
      <c r="V873">
        <v>7563000000</v>
      </c>
      <c r="W873">
        <v>61956220000</v>
      </c>
      <c r="X873">
        <v>62858220000</v>
      </c>
      <c r="Y873">
        <v>2.1587561643835622</v>
      </c>
      <c r="Z873">
        <v>-40.675678466076697</v>
      </c>
      <c r="AA873">
        <v>82.077708333333334</v>
      </c>
      <c r="AB873">
        <v>-33.529617021276593</v>
      </c>
      <c r="AC873">
        <v>-23.805015105740178</v>
      </c>
      <c r="AD873">
        <v>-5.4604712404712403</v>
      </c>
      <c r="AE873">
        <v>-46.35561946902655</v>
      </c>
      <c r="AF873">
        <v>-45.690427728613571</v>
      </c>
      <c r="AG873">
        <v>-27.129141130772549</v>
      </c>
      <c r="AH873">
        <v>-26.739844626672419</v>
      </c>
      <c r="AI873">
        <v>93.539017857142852</v>
      </c>
      <c r="AJ873">
        <v>-38.211683890577511</v>
      </c>
      <c r="AK873">
        <v>92.196755952380954</v>
      </c>
      <c r="AL873">
        <v>-37.663355623100301</v>
      </c>
      <c r="AM873">
        <v>2.460204305283757</v>
      </c>
      <c r="AN873">
        <v>2.4249009784735809</v>
      </c>
    </row>
    <row r="874" spans="1:40" x14ac:dyDescent="0.25">
      <c r="A874" s="1" t="s">
        <v>652</v>
      </c>
      <c r="B874">
        <v>56572528000</v>
      </c>
      <c r="C874" t="s">
        <v>77</v>
      </c>
      <c r="D874" t="s">
        <v>105</v>
      </c>
      <c r="E874">
        <v>25550000000</v>
      </c>
      <c r="F874">
        <v>-1356000000</v>
      </c>
      <c r="G874">
        <v>672000000</v>
      </c>
      <c r="H874">
        <v>-1645000000</v>
      </c>
      <c r="I874">
        <v>-2317000000</v>
      </c>
      <c r="J874">
        <v>-10101000000</v>
      </c>
      <c r="K874">
        <v>4397000000</v>
      </c>
      <c r="L874">
        <v>0</v>
      </c>
      <c r="M874">
        <v>4397000000</v>
      </c>
      <c r="N874">
        <v>8751000000</v>
      </c>
      <c r="O874">
        <v>504000000</v>
      </c>
      <c r="P874">
        <v>215000000</v>
      </c>
      <c r="Q874">
        <v>10982000000</v>
      </c>
      <c r="R874">
        <v>8945000000</v>
      </c>
      <c r="S874">
        <v>23451000000</v>
      </c>
      <c r="T874">
        <v>0</v>
      </c>
      <c r="U874">
        <v>902000000</v>
      </c>
      <c r="V874">
        <v>7563000000</v>
      </c>
      <c r="W874">
        <v>63372528000</v>
      </c>
      <c r="X874">
        <v>64274528000</v>
      </c>
      <c r="Y874">
        <v>2.214188962818004</v>
      </c>
      <c r="Z874">
        <v>-41.720153392330381</v>
      </c>
      <c r="AA874">
        <v>84.185309523809522</v>
      </c>
      <c r="AB874">
        <v>-34.390594528875383</v>
      </c>
      <c r="AC874">
        <v>-24.41628312473026</v>
      </c>
      <c r="AD874">
        <v>-5.6006858726858724</v>
      </c>
      <c r="AE874">
        <v>-47.400094395280227</v>
      </c>
      <c r="AF874">
        <v>-46.734902654867263</v>
      </c>
      <c r="AG874">
        <v>-27.74040914976262</v>
      </c>
      <c r="AH874">
        <v>-27.351112645662489</v>
      </c>
      <c r="AI874">
        <v>95.646619047619041</v>
      </c>
      <c r="AJ874">
        <v>-39.072661398176287</v>
      </c>
      <c r="AK874">
        <v>94.304357142857143</v>
      </c>
      <c r="AL874">
        <v>-38.524333130699091</v>
      </c>
      <c r="AM874">
        <v>2.5156371037182002</v>
      </c>
      <c r="AN874">
        <v>2.480333776908024</v>
      </c>
    </row>
    <row r="875" spans="1:40" x14ac:dyDescent="0.25">
      <c r="A875" s="1" t="s">
        <v>651</v>
      </c>
      <c r="B875">
        <v>56253360000</v>
      </c>
      <c r="C875" t="s">
        <v>77</v>
      </c>
      <c r="D875" t="s">
        <v>105</v>
      </c>
      <c r="E875">
        <v>25550000000</v>
      </c>
      <c r="F875">
        <v>-1356000000</v>
      </c>
      <c r="G875">
        <v>672000000</v>
      </c>
      <c r="H875">
        <v>-1645000000</v>
      </c>
      <c r="I875">
        <v>-2317000000</v>
      </c>
      <c r="J875">
        <v>-10101000000</v>
      </c>
      <c r="K875">
        <v>4397000000</v>
      </c>
      <c r="L875">
        <v>0</v>
      </c>
      <c r="M875">
        <v>4397000000</v>
      </c>
      <c r="N875">
        <v>8751000000</v>
      </c>
      <c r="O875">
        <v>504000000</v>
      </c>
      <c r="P875">
        <v>215000000</v>
      </c>
      <c r="Q875">
        <v>10982000000</v>
      </c>
      <c r="R875">
        <v>8945000000</v>
      </c>
      <c r="S875">
        <v>23451000000</v>
      </c>
      <c r="T875">
        <v>0</v>
      </c>
      <c r="U875">
        <v>902000000</v>
      </c>
      <c r="V875">
        <v>7563000000</v>
      </c>
      <c r="W875">
        <v>63053360000</v>
      </c>
      <c r="X875">
        <v>63955360000</v>
      </c>
      <c r="Y875">
        <v>2.201697064579256</v>
      </c>
      <c r="Z875">
        <v>-41.484778761061953</v>
      </c>
      <c r="AA875">
        <v>83.710357142857148</v>
      </c>
      <c r="AB875">
        <v>-34.196571428571431</v>
      </c>
      <c r="AC875">
        <v>-24.278532585239539</v>
      </c>
      <c r="AD875">
        <v>-5.5690882090882088</v>
      </c>
      <c r="AE875">
        <v>-47.164719764011799</v>
      </c>
      <c r="AF875">
        <v>-46.49952802359882</v>
      </c>
      <c r="AG875">
        <v>-27.602658610271899</v>
      </c>
      <c r="AH875">
        <v>-27.213362106171779</v>
      </c>
      <c r="AI875">
        <v>95.171666666666667</v>
      </c>
      <c r="AJ875">
        <v>-38.878638297872342</v>
      </c>
      <c r="AK875">
        <v>93.829404761904769</v>
      </c>
      <c r="AL875">
        <v>-38.33031003039514</v>
      </c>
      <c r="AM875">
        <v>2.5031452054794521</v>
      </c>
      <c r="AN875">
        <v>2.467841878669276</v>
      </c>
    </row>
    <row r="876" spans="1:40" x14ac:dyDescent="0.25">
      <c r="A876" s="1" t="s">
        <v>650</v>
      </c>
      <c r="B876">
        <v>55495336000</v>
      </c>
      <c r="C876" t="s">
        <v>77</v>
      </c>
      <c r="D876" t="s">
        <v>105</v>
      </c>
      <c r="E876">
        <v>25550000000</v>
      </c>
      <c r="F876">
        <v>-1356000000</v>
      </c>
      <c r="G876">
        <v>672000000</v>
      </c>
      <c r="H876">
        <v>-1645000000</v>
      </c>
      <c r="I876">
        <v>-2317000000</v>
      </c>
      <c r="J876">
        <v>-10101000000</v>
      </c>
      <c r="K876">
        <v>4397000000</v>
      </c>
      <c r="L876">
        <v>0</v>
      </c>
      <c r="M876">
        <v>4397000000</v>
      </c>
      <c r="N876">
        <v>8751000000</v>
      </c>
      <c r="O876">
        <v>504000000</v>
      </c>
      <c r="P876">
        <v>215000000</v>
      </c>
      <c r="Q876">
        <v>10982000000</v>
      </c>
      <c r="R876">
        <v>8945000000</v>
      </c>
      <c r="S876">
        <v>23451000000</v>
      </c>
      <c r="T876">
        <v>0</v>
      </c>
      <c r="U876">
        <v>902000000</v>
      </c>
      <c r="V876">
        <v>7563000000</v>
      </c>
      <c r="W876">
        <v>62295336000</v>
      </c>
      <c r="X876">
        <v>63197336000</v>
      </c>
      <c r="Y876">
        <v>2.1720288062622308</v>
      </c>
      <c r="Z876">
        <v>-40.925764011799409</v>
      </c>
      <c r="AA876">
        <v>82.582345238095243</v>
      </c>
      <c r="AB876">
        <v>-33.735766565349543</v>
      </c>
      <c r="AC876">
        <v>-23.951375053949072</v>
      </c>
      <c r="AD876">
        <v>-5.494043758043758</v>
      </c>
      <c r="AE876">
        <v>-46.605705014749262</v>
      </c>
      <c r="AF876">
        <v>-45.940513274336283</v>
      </c>
      <c r="AG876">
        <v>-27.275501078981438</v>
      </c>
      <c r="AH876">
        <v>-26.886204574881312</v>
      </c>
      <c r="AI876">
        <v>94.043654761904762</v>
      </c>
      <c r="AJ876">
        <v>-38.417833434650447</v>
      </c>
      <c r="AK876">
        <v>92.701392857142864</v>
      </c>
      <c r="AL876">
        <v>-37.869505167173251</v>
      </c>
      <c r="AM876">
        <v>2.4734769471624261</v>
      </c>
      <c r="AN876">
        <v>2.4381736203522499</v>
      </c>
    </row>
    <row r="877" spans="1:40" x14ac:dyDescent="0.25">
      <c r="A877" s="1" t="s">
        <v>649</v>
      </c>
      <c r="B877">
        <v>54857000000</v>
      </c>
      <c r="C877" t="s">
        <v>77</v>
      </c>
      <c r="D877" t="s">
        <v>105</v>
      </c>
      <c r="E877">
        <v>25550000000</v>
      </c>
      <c r="F877">
        <v>-1356000000</v>
      </c>
      <c r="G877">
        <v>672000000</v>
      </c>
      <c r="H877">
        <v>-1645000000</v>
      </c>
      <c r="I877">
        <v>-2317000000</v>
      </c>
      <c r="J877">
        <v>-10101000000</v>
      </c>
      <c r="K877">
        <v>4397000000</v>
      </c>
      <c r="L877">
        <v>0</v>
      </c>
      <c r="M877">
        <v>4397000000</v>
      </c>
      <c r="N877">
        <v>8751000000</v>
      </c>
      <c r="O877">
        <v>504000000</v>
      </c>
      <c r="P877">
        <v>215000000</v>
      </c>
      <c r="Q877">
        <v>10982000000</v>
      </c>
      <c r="R877">
        <v>8945000000</v>
      </c>
      <c r="S877">
        <v>23451000000</v>
      </c>
      <c r="T877">
        <v>0</v>
      </c>
      <c r="U877">
        <v>902000000</v>
      </c>
      <c r="V877">
        <v>7563000000</v>
      </c>
      <c r="W877">
        <v>61657000000</v>
      </c>
      <c r="X877">
        <v>62559000000</v>
      </c>
      <c r="Y877">
        <v>2.147045009784736</v>
      </c>
      <c r="Z877">
        <v>-40.455014749262538</v>
      </c>
      <c r="AA877">
        <v>81.632440476190482</v>
      </c>
      <c r="AB877">
        <v>-33.34772036474164</v>
      </c>
      <c r="AC877">
        <v>-23.675873974967629</v>
      </c>
      <c r="AD877">
        <v>-5.4308484308484308</v>
      </c>
      <c r="AE877">
        <v>-46.134955752212392</v>
      </c>
      <c r="AF877">
        <v>-45.469764011799413</v>
      </c>
      <c r="AG877">
        <v>-27</v>
      </c>
      <c r="AH877">
        <v>-26.61070349589987</v>
      </c>
      <c r="AI877">
        <v>93.09375</v>
      </c>
      <c r="AJ877">
        <v>-38.029787234042551</v>
      </c>
      <c r="AK877">
        <v>91.751488095238102</v>
      </c>
      <c r="AL877">
        <v>-37.481458966565349</v>
      </c>
      <c r="AM877">
        <v>2.4484931506849321</v>
      </c>
      <c r="AN877">
        <v>2.413189823874756</v>
      </c>
    </row>
    <row r="878" spans="1:40" x14ac:dyDescent="0.25">
      <c r="A878" s="1" t="s">
        <v>648</v>
      </c>
      <c r="B878">
        <v>53001836000</v>
      </c>
      <c r="C878" t="s">
        <v>77</v>
      </c>
      <c r="D878" t="s">
        <v>105</v>
      </c>
      <c r="E878">
        <v>25550000000</v>
      </c>
      <c r="F878">
        <v>-1356000000</v>
      </c>
      <c r="G878">
        <v>672000000</v>
      </c>
      <c r="H878">
        <v>-1645000000</v>
      </c>
      <c r="I878">
        <v>-2317000000</v>
      </c>
      <c r="J878">
        <v>-10101000000</v>
      </c>
      <c r="K878">
        <v>4397000000</v>
      </c>
      <c r="L878">
        <v>0</v>
      </c>
      <c r="M878">
        <v>4397000000</v>
      </c>
      <c r="N878">
        <v>8751000000</v>
      </c>
      <c r="O878">
        <v>504000000</v>
      </c>
      <c r="P878">
        <v>215000000</v>
      </c>
      <c r="Q878">
        <v>10982000000</v>
      </c>
      <c r="R878">
        <v>8945000000</v>
      </c>
      <c r="S878">
        <v>23451000000</v>
      </c>
      <c r="T878">
        <v>0</v>
      </c>
      <c r="U878">
        <v>902000000</v>
      </c>
      <c r="V878">
        <v>7563000000</v>
      </c>
      <c r="W878">
        <v>59801836000</v>
      </c>
      <c r="X878">
        <v>60703836000</v>
      </c>
      <c r="Y878">
        <v>2.0744358512720158</v>
      </c>
      <c r="Z878">
        <v>-39.086899705014751</v>
      </c>
      <c r="AA878">
        <v>78.871779761904762</v>
      </c>
      <c r="AB878">
        <v>-32.219961094224921</v>
      </c>
      <c r="AC878">
        <v>-22.87519896417782</v>
      </c>
      <c r="AD878">
        <v>-5.2471870111870116</v>
      </c>
      <c r="AE878">
        <v>-44.766840707964597</v>
      </c>
      <c r="AF878">
        <v>-44.101648967551633</v>
      </c>
      <c r="AG878">
        <v>-26.19932498921019</v>
      </c>
      <c r="AH878">
        <v>-25.81002848511006</v>
      </c>
      <c r="AI878">
        <v>90.33308928571428</v>
      </c>
      <c r="AJ878">
        <v>-36.902027963525839</v>
      </c>
      <c r="AK878">
        <v>88.990827380952382</v>
      </c>
      <c r="AL878">
        <v>-36.353699696048629</v>
      </c>
      <c r="AM878">
        <v>2.375883992172211</v>
      </c>
      <c r="AN878">
        <v>2.3405806653620349</v>
      </c>
    </row>
    <row r="879" spans="1:40" x14ac:dyDescent="0.25">
      <c r="A879" s="1" t="s">
        <v>124</v>
      </c>
      <c r="B879">
        <v>59345300000</v>
      </c>
      <c r="C879" t="s">
        <v>76</v>
      </c>
      <c r="D879" t="s">
        <v>105</v>
      </c>
      <c r="E879">
        <v>29048000000</v>
      </c>
      <c r="F879">
        <v>-1270000000</v>
      </c>
      <c r="G879">
        <v>506000000</v>
      </c>
      <c r="H879">
        <v>-1543000000</v>
      </c>
      <c r="I879">
        <v>-2240000000</v>
      </c>
      <c r="J879">
        <v>-8883000000</v>
      </c>
      <c r="K879">
        <v>4865000000</v>
      </c>
      <c r="L879">
        <v>0</v>
      </c>
      <c r="M879">
        <v>4865000000</v>
      </c>
      <c r="N879">
        <v>9368000000</v>
      </c>
      <c r="O879">
        <v>1442000000</v>
      </c>
      <c r="P879">
        <v>189000000</v>
      </c>
      <c r="Q879">
        <v>10894000000</v>
      </c>
      <c r="R879">
        <v>9020000000</v>
      </c>
      <c r="S879">
        <v>23712000000</v>
      </c>
      <c r="T879">
        <v>0</v>
      </c>
      <c r="U879">
        <v>1153000000</v>
      </c>
      <c r="V879">
        <v>7400000000</v>
      </c>
      <c r="W879">
        <v>65563300000</v>
      </c>
      <c r="X879">
        <v>66716300000</v>
      </c>
      <c r="Y879">
        <v>2.0430081244836131</v>
      </c>
      <c r="Z879">
        <v>-46.728582677165363</v>
      </c>
      <c r="AA879">
        <v>117.2832015810277</v>
      </c>
      <c r="AB879">
        <v>-38.460985093972781</v>
      </c>
      <c r="AC879">
        <v>-26.493437499999999</v>
      </c>
      <c r="AD879">
        <v>-6.6807722616233258</v>
      </c>
      <c r="AE879">
        <v>-52.532519685039368</v>
      </c>
      <c r="AF879">
        <v>-51.62464566929134</v>
      </c>
      <c r="AG879">
        <v>-29.784062500000001</v>
      </c>
      <c r="AH879">
        <v>-29.269330357142859</v>
      </c>
      <c r="AI879">
        <v>131.85039525691701</v>
      </c>
      <c r="AJ879">
        <v>-43.238042773817241</v>
      </c>
      <c r="AK879">
        <v>129.57173913043479</v>
      </c>
      <c r="AL879">
        <v>-42.490797148412177</v>
      </c>
      <c r="AM879">
        <v>2.296760534288075</v>
      </c>
      <c r="AN879">
        <v>2.257067612228036</v>
      </c>
    </row>
    <row r="880" spans="1:40" x14ac:dyDescent="0.25">
      <c r="A880" s="1" t="s">
        <v>647</v>
      </c>
      <c r="B880">
        <v>57470188000</v>
      </c>
      <c r="C880" t="s">
        <v>76</v>
      </c>
      <c r="D880" t="s">
        <v>105</v>
      </c>
      <c r="E880">
        <v>29048000000</v>
      </c>
      <c r="F880">
        <v>-1270000000</v>
      </c>
      <c r="G880">
        <v>506000000</v>
      </c>
      <c r="H880">
        <v>-1543000000</v>
      </c>
      <c r="I880">
        <v>-2240000000</v>
      </c>
      <c r="J880">
        <v>-8883000000</v>
      </c>
      <c r="K880">
        <v>4865000000</v>
      </c>
      <c r="L880">
        <v>0</v>
      </c>
      <c r="M880">
        <v>4865000000</v>
      </c>
      <c r="N880">
        <v>9368000000</v>
      </c>
      <c r="O880">
        <v>1442000000</v>
      </c>
      <c r="P880">
        <v>189000000</v>
      </c>
      <c r="Q880">
        <v>10894000000</v>
      </c>
      <c r="R880">
        <v>9020000000</v>
      </c>
      <c r="S880">
        <v>23712000000</v>
      </c>
      <c r="T880">
        <v>0</v>
      </c>
      <c r="U880">
        <v>1153000000</v>
      </c>
      <c r="V880">
        <v>7400000000</v>
      </c>
      <c r="W880">
        <v>63688188000</v>
      </c>
      <c r="X880">
        <v>64841188000</v>
      </c>
      <c r="Y880">
        <v>1.9784559350041311</v>
      </c>
      <c r="Z880">
        <v>-45.252116535433068</v>
      </c>
      <c r="AA880">
        <v>113.5774466403162</v>
      </c>
      <c r="AB880">
        <v>-37.245747245625402</v>
      </c>
      <c r="AC880">
        <v>-25.656333928571431</v>
      </c>
      <c r="AD880">
        <v>-6.4696823145333786</v>
      </c>
      <c r="AE880">
        <v>-51.056053543307087</v>
      </c>
      <c r="AF880">
        <v>-50.148179527559058</v>
      </c>
      <c r="AG880">
        <v>-28.94695892857143</v>
      </c>
      <c r="AH880">
        <v>-28.432226785714281</v>
      </c>
      <c r="AI880">
        <v>128.14464031620551</v>
      </c>
      <c r="AJ880">
        <v>-42.022804925469863</v>
      </c>
      <c r="AK880">
        <v>125.86598418972331</v>
      </c>
      <c r="AL880">
        <v>-41.275559300064813</v>
      </c>
      <c r="AM880">
        <v>2.2322083448085932</v>
      </c>
      <c r="AN880">
        <v>2.1925154227485542</v>
      </c>
    </row>
    <row r="881" spans="1:40" x14ac:dyDescent="0.25">
      <c r="A881" s="1" t="s">
        <v>646</v>
      </c>
      <c r="B881">
        <v>57310604000</v>
      </c>
      <c r="C881" t="s">
        <v>76</v>
      </c>
      <c r="D881" t="s">
        <v>105</v>
      </c>
      <c r="E881">
        <v>29048000000</v>
      </c>
      <c r="F881">
        <v>-1270000000</v>
      </c>
      <c r="G881">
        <v>506000000</v>
      </c>
      <c r="H881">
        <v>-1543000000</v>
      </c>
      <c r="I881">
        <v>-2240000000</v>
      </c>
      <c r="J881">
        <v>-8883000000</v>
      </c>
      <c r="K881">
        <v>4865000000</v>
      </c>
      <c r="L881">
        <v>0</v>
      </c>
      <c r="M881">
        <v>4865000000</v>
      </c>
      <c r="N881">
        <v>9368000000</v>
      </c>
      <c r="O881">
        <v>1442000000</v>
      </c>
      <c r="P881">
        <v>189000000</v>
      </c>
      <c r="Q881">
        <v>10894000000</v>
      </c>
      <c r="R881">
        <v>9020000000</v>
      </c>
      <c r="S881">
        <v>23712000000</v>
      </c>
      <c r="T881">
        <v>0</v>
      </c>
      <c r="U881">
        <v>1153000000</v>
      </c>
      <c r="V881">
        <v>7400000000</v>
      </c>
      <c r="W881">
        <v>63528604000</v>
      </c>
      <c r="X881">
        <v>64681604000</v>
      </c>
      <c r="Y881">
        <v>1.972962131644175</v>
      </c>
      <c r="Z881">
        <v>-45.126459842519687</v>
      </c>
      <c r="AA881">
        <v>113.2620632411067</v>
      </c>
      <c r="AB881">
        <v>-37.142322747893722</v>
      </c>
      <c r="AC881">
        <v>-25.585091071428572</v>
      </c>
      <c r="AD881">
        <v>-6.4517172126533833</v>
      </c>
      <c r="AE881">
        <v>-50.930396850393699</v>
      </c>
      <c r="AF881">
        <v>-50.02252283464567</v>
      </c>
      <c r="AG881">
        <v>-28.87571607142857</v>
      </c>
      <c r="AH881">
        <v>-28.360983928571429</v>
      </c>
      <c r="AI881">
        <v>127.829256916996</v>
      </c>
      <c r="AJ881">
        <v>-41.919380427738183</v>
      </c>
      <c r="AK881">
        <v>125.5506007905138</v>
      </c>
      <c r="AL881">
        <v>-41.172134802333119</v>
      </c>
      <c r="AM881">
        <v>2.2267145414486369</v>
      </c>
      <c r="AN881">
        <v>2.1870216193885978</v>
      </c>
    </row>
    <row r="882" spans="1:40" x14ac:dyDescent="0.25">
      <c r="A882" s="1" t="s">
        <v>645</v>
      </c>
      <c r="B882">
        <v>56632372000</v>
      </c>
      <c r="C882" t="s">
        <v>76</v>
      </c>
      <c r="D882" t="s">
        <v>105</v>
      </c>
      <c r="E882">
        <v>29048000000</v>
      </c>
      <c r="F882">
        <v>-1270000000</v>
      </c>
      <c r="G882">
        <v>506000000</v>
      </c>
      <c r="H882">
        <v>-1543000000</v>
      </c>
      <c r="I882">
        <v>-2240000000</v>
      </c>
      <c r="J882">
        <v>-8883000000</v>
      </c>
      <c r="K882">
        <v>4865000000</v>
      </c>
      <c r="L882">
        <v>0</v>
      </c>
      <c r="M882">
        <v>4865000000</v>
      </c>
      <c r="N882">
        <v>9368000000</v>
      </c>
      <c r="O882">
        <v>1442000000</v>
      </c>
      <c r="P882">
        <v>189000000</v>
      </c>
      <c r="Q882">
        <v>10894000000</v>
      </c>
      <c r="R882">
        <v>9020000000</v>
      </c>
      <c r="S882">
        <v>23712000000</v>
      </c>
      <c r="T882">
        <v>0</v>
      </c>
      <c r="U882">
        <v>1153000000</v>
      </c>
      <c r="V882">
        <v>7400000000</v>
      </c>
      <c r="W882">
        <v>62850372000</v>
      </c>
      <c r="X882">
        <v>64003372000</v>
      </c>
      <c r="Y882">
        <v>1.9496134673643619</v>
      </c>
      <c r="Z882">
        <v>-44.592418897637792</v>
      </c>
      <c r="AA882">
        <v>111.9216837944664</v>
      </c>
      <c r="AB882">
        <v>-36.702768632534017</v>
      </c>
      <c r="AC882">
        <v>-25.282308928571432</v>
      </c>
      <c r="AD882">
        <v>-6.3753655296634024</v>
      </c>
      <c r="AE882">
        <v>-50.396355905511811</v>
      </c>
      <c r="AF882">
        <v>-49.488481889763783</v>
      </c>
      <c r="AG882">
        <v>-28.57293392857143</v>
      </c>
      <c r="AH882">
        <v>-28.058201785714289</v>
      </c>
      <c r="AI882">
        <v>126.4888774703557</v>
      </c>
      <c r="AJ882">
        <v>-41.479826312378478</v>
      </c>
      <c r="AK882">
        <v>124.2102213438735</v>
      </c>
      <c r="AL882">
        <v>-40.732580686973428</v>
      </c>
      <c r="AM882">
        <v>2.203365877168824</v>
      </c>
      <c r="AN882">
        <v>2.163672955108785</v>
      </c>
    </row>
    <row r="883" spans="1:40" x14ac:dyDescent="0.25">
      <c r="A883" s="1" t="s">
        <v>644</v>
      </c>
      <c r="B883">
        <v>55236012000</v>
      </c>
      <c r="C883" t="s">
        <v>76</v>
      </c>
      <c r="D883" t="s">
        <v>105</v>
      </c>
      <c r="E883">
        <v>29048000000</v>
      </c>
      <c r="F883">
        <v>-1270000000</v>
      </c>
      <c r="G883">
        <v>506000000</v>
      </c>
      <c r="H883">
        <v>-1543000000</v>
      </c>
      <c r="I883">
        <v>-2240000000</v>
      </c>
      <c r="J883">
        <v>-8883000000</v>
      </c>
      <c r="K883">
        <v>4865000000</v>
      </c>
      <c r="L883">
        <v>0</v>
      </c>
      <c r="M883">
        <v>4865000000</v>
      </c>
      <c r="N883">
        <v>9368000000</v>
      </c>
      <c r="O883">
        <v>1442000000</v>
      </c>
      <c r="P883">
        <v>189000000</v>
      </c>
      <c r="Q883">
        <v>10894000000</v>
      </c>
      <c r="R883">
        <v>9020000000</v>
      </c>
      <c r="S883">
        <v>23712000000</v>
      </c>
      <c r="T883">
        <v>0</v>
      </c>
      <c r="U883">
        <v>1153000000</v>
      </c>
      <c r="V883">
        <v>7400000000</v>
      </c>
      <c r="W883">
        <v>61454012000</v>
      </c>
      <c r="X883">
        <v>62607012000</v>
      </c>
      <c r="Y883">
        <v>1.9015426879647479</v>
      </c>
      <c r="Z883">
        <v>-43.492922834645668</v>
      </c>
      <c r="AA883">
        <v>109.1620790513834</v>
      </c>
      <c r="AB883">
        <v>-35.797804277381722</v>
      </c>
      <c r="AC883">
        <v>-24.658933928571429</v>
      </c>
      <c r="AD883">
        <v>-6.2181708882134412</v>
      </c>
      <c r="AE883">
        <v>-49.296859842519687</v>
      </c>
      <c r="AF883">
        <v>-48.388985826771652</v>
      </c>
      <c r="AG883">
        <v>-27.949558928571431</v>
      </c>
      <c r="AH883">
        <v>-27.434826785714289</v>
      </c>
      <c r="AI883">
        <v>123.7292727272727</v>
      </c>
      <c r="AJ883">
        <v>-40.574861957226183</v>
      </c>
      <c r="AK883">
        <v>121.4506166007905</v>
      </c>
      <c r="AL883">
        <v>-39.827616331821133</v>
      </c>
      <c r="AM883">
        <v>2.1552950977692098</v>
      </c>
      <c r="AN883">
        <v>2.1156021757091712</v>
      </c>
    </row>
    <row r="884" spans="1:40" x14ac:dyDescent="0.25">
      <c r="A884" s="1" t="s">
        <v>643</v>
      </c>
      <c r="B884">
        <v>54737312000</v>
      </c>
      <c r="C884" t="s">
        <v>76</v>
      </c>
      <c r="D884" t="s">
        <v>105</v>
      </c>
      <c r="E884">
        <v>29048000000</v>
      </c>
      <c r="F884">
        <v>-1270000000</v>
      </c>
      <c r="G884">
        <v>506000000</v>
      </c>
      <c r="H884">
        <v>-1543000000</v>
      </c>
      <c r="I884">
        <v>-2240000000</v>
      </c>
      <c r="J884">
        <v>-8883000000</v>
      </c>
      <c r="K884">
        <v>4865000000</v>
      </c>
      <c r="L884">
        <v>0</v>
      </c>
      <c r="M884">
        <v>4865000000</v>
      </c>
      <c r="N884">
        <v>9368000000</v>
      </c>
      <c r="O884">
        <v>1442000000</v>
      </c>
      <c r="P884">
        <v>189000000</v>
      </c>
      <c r="Q884">
        <v>10894000000</v>
      </c>
      <c r="R884">
        <v>9020000000</v>
      </c>
      <c r="S884">
        <v>23712000000</v>
      </c>
      <c r="T884">
        <v>0</v>
      </c>
      <c r="U884">
        <v>1153000000</v>
      </c>
      <c r="V884">
        <v>7400000000</v>
      </c>
      <c r="W884">
        <v>60955312000</v>
      </c>
      <c r="X884">
        <v>62108312000</v>
      </c>
      <c r="Y884">
        <v>1.8843745524648861</v>
      </c>
      <c r="Z884">
        <v>-43.10024566929134</v>
      </c>
      <c r="AA884">
        <v>108.1765059288538</v>
      </c>
      <c r="AB884">
        <v>-35.474602721970193</v>
      </c>
      <c r="AC884">
        <v>-24.436299999999999</v>
      </c>
      <c r="AD884">
        <v>-6.1620299448384559</v>
      </c>
      <c r="AE884">
        <v>-48.904182677165352</v>
      </c>
      <c r="AF884">
        <v>-47.996308661417324</v>
      </c>
      <c r="AG884">
        <v>-27.726925000000001</v>
      </c>
      <c r="AH884">
        <v>-27.21219285714286</v>
      </c>
      <c r="AI884">
        <v>122.7436996047431</v>
      </c>
      <c r="AJ884">
        <v>-40.251660401814647</v>
      </c>
      <c r="AK884">
        <v>120.4650434782609</v>
      </c>
      <c r="AL884">
        <v>-39.50441477640959</v>
      </c>
      <c r="AM884">
        <v>2.138126962269348</v>
      </c>
      <c r="AN884">
        <v>2.0984340402093089</v>
      </c>
    </row>
    <row r="885" spans="1:40" x14ac:dyDescent="0.25">
      <c r="A885" s="1" t="s">
        <v>642</v>
      </c>
      <c r="B885">
        <v>52961940000</v>
      </c>
      <c r="C885" t="s">
        <v>76</v>
      </c>
      <c r="D885" t="s">
        <v>105</v>
      </c>
      <c r="E885">
        <v>29048000000</v>
      </c>
      <c r="F885">
        <v>-1270000000</v>
      </c>
      <c r="G885">
        <v>506000000</v>
      </c>
      <c r="H885">
        <v>-1543000000</v>
      </c>
      <c r="I885">
        <v>-2240000000</v>
      </c>
      <c r="J885">
        <v>-8883000000</v>
      </c>
      <c r="K885">
        <v>4865000000</v>
      </c>
      <c r="L885">
        <v>0</v>
      </c>
      <c r="M885">
        <v>4865000000</v>
      </c>
      <c r="N885">
        <v>9368000000</v>
      </c>
      <c r="O885">
        <v>1442000000</v>
      </c>
      <c r="P885">
        <v>189000000</v>
      </c>
      <c r="Q885">
        <v>10894000000</v>
      </c>
      <c r="R885">
        <v>9020000000</v>
      </c>
      <c r="S885">
        <v>23712000000</v>
      </c>
      <c r="T885">
        <v>0</v>
      </c>
      <c r="U885">
        <v>1153000000</v>
      </c>
      <c r="V885">
        <v>7400000000</v>
      </c>
      <c r="W885">
        <v>59179940000</v>
      </c>
      <c r="X885">
        <v>60332940000</v>
      </c>
      <c r="Y885">
        <v>1.823255990085376</v>
      </c>
      <c r="Z885">
        <v>-41.70231496062992</v>
      </c>
      <c r="AA885">
        <v>104.6678656126482</v>
      </c>
      <c r="AB885">
        <v>-34.324005184705122</v>
      </c>
      <c r="AC885">
        <v>-23.643723214285711</v>
      </c>
      <c r="AD885">
        <v>-5.9621681864235052</v>
      </c>
      <c r="AE885">
        <v>-47.506251968503939</v>
      </c>
      <c r="AF885">
        <v>-46.598377952755897</v>
      </c>
      <c r="AG885">
        <v>-26.934348214285709</v>
      </c>
      <c r="AH885">
        <v>-26.419616071428571</v>
      </c>
      <c r="AI885">
        <v>119.2350592885376</v>
      </c>
      <c r="AJ885">
        <v>-39.101062864549583</v>
      </c>
      <c r="AK885">
        <v>116.9564031620553</v>
      </c>
      <c r="AL885">
        <v>-38.353817239144533</v>
      </c>
      <c r="AM885">
        <v>2.077008399889837</v>
      </c>
      <c r="AN885">
        <v>2.0373154778297988</v>
      </c>
    </row>
    <row r="886" spans="1:40" x14ac:dyDescent="0.25">
      <c r="A886" s="1" t="s">
        <v>641</v>
      </c>
      <c r="B886">
        <v>57549980000</v>
      </c>
      <c r="C886" t="s">
        <v>76</v>
      </c>
      <c r="D886" t="s">
        <v>105</v>
      </c>
      <c r="E886">
        <v>29048000000</v>
      </c>
      <c r="F886">
        <v>-1270000000</v>
      </c>
      <c r="G886">
        <v>506000000</v>
      </c>
      <c r="H886">
        <v>-1543000000</v>
      </c>
      <c r="I886">
        <v>-2240000000</v>
      </c>
      <c r="J886">
        <v>-8883000000</v>
      </c>
      <c r="K886">
        <v>4865000000</v>
      </c>
      <c r="L886">
        <v>0</v>
      </c>
      <c r="M886">
        <v>4865000000</v>
      </c>
      <c r="N886">
        <v>9368000000</v>
      </c>
      <c r="O886">
        <v>1442000000</v>
      </c>
      <c r="P886">
        <v>189000000</v>
      </c>
      <c r="Q886">
        <v>10894000000</v>
      </c>
      <c r="R886">
        <v>9020000000</v>
      </c>
      <c r="S886">
        <v>23712000000</v>
      </c>
      <c r="T886">
        <v>0</v>
      </c>
      <c r="U886">
        <v>1153000000</v>
      </c>
      <c r="V886">
        <v>7400000000</v>
      </c>
      <c r="W886">
        <v>63767980000</v>
      </c>
      <c r="X886">
        <v>64920980000</v>
      </c>
      <c r="Y886">
        <v>1.981202836684109</v>
      </c>
      <c r="Z886">
        <v>-45.314944881889772</v>
      </c>
      <c r="AA886">
        <v>113.73513833992099</v>
      </c>
      <c r="AB886">
        <v>-37.29745949449125</v>
      </c>
      <c r="AC886">
        <v>-25.691955357142859</v>
      </c>
      <c r="AD886">
        <v>-6.4786648654733758</v>
      </c>
      <c r="AE886">
        <v>-51.118881889763777</v>
      </c>
      <c r="AF886">
        <v>-50.211007874015749</v>
      </c>
      <c r="AG886">
        <v>-28.982580357142862</v>
      </c>
      <c r="AH886">
        <v>-28.467848214285709</v>
      </c>
      <c r="AI886">
        <v>128.30233201581029</v>
      </c>
      <c r="AJ886">
        <v>-42.07451717433571</v>
      </c>
      <c r="AK886">
        <v>126.0236758893281</v>
      </c>
      <c r="AL886">
        <v>-41.327271548930653</v>
      </c>
      <c r="AM886">
        <v>2.2349552464885711</v>
      </c>
      <c r="AN886">
        <v>2.1952623244285321</v>
      </c>
    </row>
    <row r="887" spans="1:40" x14ac:dyDescent="0.25">
      <c r="A887" s="1" t="s">
        <v>640</v>
      </c>
      <c r="B887">
        <v>58148420000</v>
      </c>
      <c r="C887" t="s">
        <v>76</v>
      </c>
      <c r="D887" t="s">
        <v>105</v>
      </c>
      <c r="E887">
        <v>29048000000</v>
      </c>
      <c r="F887">
        <v>-1270000000</v>
      </c>
      <c r="G887">
        <v>506000000</v>
      </c>
      <c r="H887">
        <v>-1543000000</v>
      </c>
      <c r="I887">
        <v>-2240000000</v>
      </c>
      <c r="J887">
        <v>-8883000000</v>
      </c>
      <c r="K887">
        <v>4865000000</v>
      </c>
      <c r="L887">
        <v>0</v>
      </c>
      <c r="M887">
        <v>4865000000</v>
      </c>
      <c r="N887">
        <v>9368000000</v>
      </c>
      <c r="O887">
        <v>1442000000</v>
      </c>
      <c r="P887">
        <v>189000000</v>
      </c>
      <c r="Q887">
        <v>10894000000</v>
      </c>
      <c r="R887">
        <v>9020000000</v>
      </c>
      <c r="S887">
        <v>23712000000</v>
      </c>
      <c r="T887">
        <v>0</v>
      </c>
      <c r="U887">
        <v>1153000000</v>
      </c>
      <c r="V887">
        <v>7400000000</v>
      </c>
      <c r="W887">
        <v>64366420000</v>
      </c>
      <c r="X887">
        <v>65519420000</v>
      </c>
      <c r="Y887">
        <v>2.0018045992839442</v>
      </c>
      <c r="Z887">
        <v>-45.786157480314962</v>
      </c>
      <c r="AA887">
        <v>114.9178260869565</v>
      </c>
      <c r="AB887">
        <v>-37.685301360985093</v>
      </c>
      <c r="AC887">
        <v>-25.959116071428571</v>
      </c>
      <c r="AD887">
        <v>-6.5460339975233586</v>
      </c>
      <c r="AE887">
        <v>-51.590094488188967</v>
      </c>
      <c r="AF887">
        <v>-50.682220472440953</v>
      </c>
      <c r="AG887">
        <v>-29.24974107142857</v>
      </c>
      <c r="AH887">
        <v>-28.735008928571428</v>
      </c>
      <c r="AI887">
        <v>129.48501976284581</v>
      </c>
      <c r="AJ887">
        <v>-42.462359040829547</v>
      </c>
      <c r="AK887">
        <v>127.2063636363636</v>
      </c>
      <c r="AL887">
        <v>-41.715113415424497</v>
      </c>
      <c r="AM887">
        <v>2.2555570090884061</v>
      </c>
      <c r="AN887">
        <v>2.215864087028367</v>
      </c>
    </row>
    <row r="888" spans="1:40" x14ac:dyDescent="0.25">
      <c r="A888" s="1" t="s">
        <v>639</v>
      </c>
      <c r="B888">
        <v>57988836000</v>
      </c>
      <c r="C888" t="s">
        <v>76</v>
      </c>
      <c r="D888" t="s">
        <v>105</v>
      </c>
      <c r="E888">
        <v>29048000000</v>
      </c>
      <c r="F888">
        <v>-1270000000</v>
      </c>
      <c r="G888">
        <v>506000000</v>
      </c>
      <c r="H888">
        <v>-1543000000</v>
      </c>
      <c r="I888">
        <v>-2240000000</v>
      </c>
      <c r="J888">
        <v>-8883000000</v>
      </c>
      <c r="K888">
        <v>4865000000</v>
      </c>
      <c r="L888">
        <v>0</v>
      </c>
      <c r="M888">
        <v>4865000000</v>
      </c>
      <c r="N888">
        <v>9368000000</v>
      </c>
      <c r="O888">
        <v>1442000000</v>
      </c>
      <c r="P888">
        <v>189000000</v>
      </c>
      <c r="Q888">
        <v>10894000000</v>
      </c>
      <c r="R888">
        <v>9020000000</v>
      </c>
      <c r="S888">
        <v>23712000000</v>
      </c>
      <c r="T888">
        <v>0</v>
      </c>
      <c r="U888">
        <v>1153000000</v>
      </c>
      <c r="V888">
        <v>7400000000</v>
      </c>
      <c r="W888">
        <v>64206836000</v>
      </c>
      <c r="X888">
        <v>65359836000</v>
      </c>
      <c r="Y888">
        <v>1.9963107959239881</v>
      </c>
      <c r="Z888">
        <v>-45.660500787401567</v>
      </c>
      <c r="AA888">
        <v>114.602442687747</v>
      </c>
      <c r="AB888">
        <v>-37.581876863253413</v>
      </c>
      <c r="AC888">
        <v>-25.887873214285719</v>
      </c>
      <c r="AD888">
        <v>-6.5280688956433641</v>
      </c>
      <c r="AE888">
        <v>-51.464437795275593</v>
      </c>
      <c r="AF888">
        <v>-50.556563779527558</v>
      </c>
      <c r="AG888">
        <v>-29.17849821428571</v>
      </c>
      <c r="AH888">
        <v>-28.663766071428569</v>
      </c>
      <c r="AI888">
        <v>129.16963636363641</v>
      </c>
      <c r="AJ888">
        <v>-42.35893454309786</v>
      </c>
      <c r="AK888">
        <v>126.8909802371542</v>
      </c>
      <c r="AL888">
        <v>-41.61168891769281</v>
      </c>
      <c r="AM888">
        <v>2.2500632057284489</v>
      </c>
      <c r="AN888">
        <v>2.2103702836684112</v>
      </c>
    </row>
    <row r="889" spans="1:40" x14ac:dyDescent="0.25">
      <c r="A889" s="1" t="s">
        <v>638</v>
      </c>
      <c r="B889">
        <v>62975836000</v>
      </c>
      <c r="C889" t="s">
        <v>76</v>
      </c>
      <c r="D889" t="s">
        <v>105</v>
      </c>
      <c r="E889">
        <v>29048000000</v>
      </c>
      <c r="F889">
        <v>-1270000000</v>
      </c>
      <c r="G889">
        <v>506000000</v>
      </c>
      <c r="H889">
        <v>-1543000000</v>
      </c>
      <c r="I889">
        <v>-2240000000</v>
      </c>
      <c r="J889">
        <v>-8883000000</v>
      </c>
      <c r="K889">
        <v>4865000000</v>
      </c>
      <c r="L889">
        <v>0</v>
      </c>
      <c r="M889">
        <v>4865000000</v>
      </c>
      <c r="N889">
        <v>9368000000</v>
      </c>
      <c r="O889">
        <v>1442000000</v>
      </c>
      <c r="P889">
        <v>189000000</v>
      </c>
      <c r="Q889">
        <v>10894000000</v>
      </c>
      <c r="R889">
        <v>9020000000</v>
      </c>
      <c r="S889">
        <v>23712000000</v>
      </c>
      <c r="T889">
        <v>0</v>
      </c>
      <c r="U889">
        <v>1153000000</v>
      </c>
      <c r="V889">
        <v>7400000000</v>
      </c>
      <c r="W889">
        <v>69193836000</v>
      </c>
      <c r="X889">
        <v>70346836000</v>
      </c>
      <c r="Y889">
        <v>2.1679921509226112</v>
      </c>
      <c r="Z889">
        <v>-49.587272440944879</v>
      </c>
      <c r="AA889">
        <v>124.4581739130435</v>
      </c>
      <c r="AB889">
        <v>-40.813892417368763</v>
      </c>
      <c r="AC889">
        <v>-28.114212500000001</v>
      </c>
      <c r="AD889">
        <v>-7.0894783293932226</v>
      </c>
      <c r="AE889">
        <v>-55.391209448818898</v>
      </c>
      <c r="AF889">
        <v>-54.483335433070863</v>
      </c>
      <c r="AG889">
        <v>-31.404837499999999</v>
      </c>
      <c r="AH889">
        <v>-30.890105357142861</v>
      </c>
      <c r="AI889">
        <v>139.0253675889328</v>
      </c>
      <c r="AJ889">
        <v>-45.590950097213216</v>
      </c>
      <c r="AK889">
        <v>136.74671146245061</v>
      </c>
      <c r="AL889">
        <v>-44.843704471808167</v>
      </c>
      <c r="AM889">
        <v>2.4217445607270718</v>
      </c>
      <c r="AN889">
        <v>2.3820516386670341</v>
      </c>
    </row>
    <row r="890" spans="1:40" x14ac:dyDescent="0.25">
      <c r="A890" s="1" t="s">
        <v>637</v>
      </c>
      <c r="B890">
        <v>59923792000</v>
      </c>
      <c r="C890" t="s">
        <v>76</v>
      </c>
      <c r="D890" t="s">
        <v>105</v>
      </c>
      <c r="E890">
        <v>29048000000</v>
      </c>
      <c r="F890">
        <v>-1270000000</v>
      </c>
      <c r="G890">
        <v>506000000</v>
      </c>
      <c r="H890">
        <v>-1543000000</v>
      </c>
      <c r="I890">
        <v>-2240000000</v>
      </c>
      <c r="J890">
        <v>-8883000000</v>
      </c>
      <c r="K890">
        <v>4865000000</v>
      </c>
      <c r="L890">
        <v>0</v>
      </c>
      <c r="M890">
        <v>4865000000</v>
      </c>
      <c r="N890">
        <v>9368000000</v>
      </c>
      <c r="O890">
        <v>1442000000</v>
      </c>
      <c r="P890">
        <v>189000000</v>
      </c>
      <c r="Q890">
        <v>10894000000</v>
      </c>
      <c r="R890">
        <v>9020000000</v>
      </c>
      <c r="S890">
        <v>23712000000</v>
      </c>
      <c r="T890">
        <v>0</v>
      </c>
      <c r="U890">
        <v>1153000000</v>
      </c>
      <c r="V890">
        <v>7400000000</v>
      </c>
      <c r="W890">
        <v>66141792000</v>
      </c>
      <c r="X890">
        <v>67294792000</v>
      </c>
      <c r="Y890">
        <v>2.0629231616634538</v>
      </c>
      <c r="Z890">
        <v>-47.184088188976382</v>
      </c>
      <c r="AA890">
        <v>118.4264664031621</v>
      </c>
      <c r="AB890">
        <v>-38.835898898250157</v>
      </c>
      <c r="AC890">
        <v>-26.75169285714286</v>
      </c>
      <c r="AD890">
        <v>-6.7458957559383093</v>
      </c>
      <c r="AE890">
        <v>-52.988025196850387</v>
      </c>
      <c r="AF890">
        <v>-52.080151181102359</v>
      </c>
      <c r="AG890">
        <v>-30.042317857142859</v>
      </c>
      <c r="AH890">
        <v>-29.52758571428571</v>
      </c>
      <c r="AI890">
        <v>132.99366007905141</v>
      </c>
      <c r="AJ890">
        <v>-43.612956578094618</v>
      </c>
      <c r="AK890">
        <v>130.71500395256919</v>
      </c>
      <c r="AL890">
        <v>-42.865710952689568</v>
      </c>
      <c r="AM890">
        <v>2.3166755714679148</v>
      </c>
      <c r="AN890">
        <v>2.2769826494078771</v>
      </c>
    </row>
    <row r="891" spans="1:40" x14ac:dyDescent="0.25">
      <c r="A891" s="1" t="s">
        <v>636</v>
      </c>
      <c r="B891">
        <v>57609824000</v>
      </c>
      <c r="C891" t="s">
        <v>76</v>
      </c>
      <c r="D891" t="s">
        <v>105</v>
      </c>
      <c r="E891">
        <v>29048000000</v>
      </c>
      <c r="F891">
        <v>-1270000000</v>
      </c>
      <c r="G891">
        <v>506000000</v>
      </c>
      <c r="H891">
        <v>-1543000000</v>
      </c>
      <c r="I891">
        <v>-2240000000</v>
      </c>
      <c r="J891">
        <v>-8883000000</v>
      </c>
      <c r="K891">
        <v>4865000000</v>
      </c>
      <c r="L891">
        <v>0</v>
      </c>
      <c r="M891">
        <v>4865000000</v>
      </c>
      <c r="N891">
        <v>9368000000</v>
      </c>
      <c r="O891">
        <v>1442000000</v>
      </c>
      <c r="P891">
        <v>189000000</v>
      </c>
      <c r="Q891">
        <v>10894000000</v>
      </c>
      <c r="R891">
        <v>9020000000</v>
      </c>
      <c r="S891">
        <v>23712000000</v>
      </c>
      <c r="T891">
        <v>0</v>
      </c>
      <c r="U891">
        <v>1153000000</v>
      </c>
      <c r="V891">
        <v>7400000000</v>
      </c>
      <c r="W891">
        <v>63827824000</v>
      </c>
      <c r="X891">
        <v>64980824000</v>
      </c>
      <c r="Y891">
        <v>1.983263012944092</v>
      </c>
      <c r="Z891">
        <v>-45.362066141732292</v>
      </c>
      <c r="AA891">
        <v>113.8534071146245</v>
      </c>
      <c r="AB891">
        <v>-37.336243681140637</v>
      </c>
      <c r="AC891">
        <v>-25.71867142857143</v>
      </c>
      <c r="AD891">
        <v>-6.4854017786783746</v>
      </c>
      <c r="AE891">
        <v>-51.166003149606297</v>
      </c>
      <c r="AF891">
        <v>-50.258129133858269</v>
      </c>
      <c r="AG891">
        <v>-29.009296428571432</v>
      </c>
      <c r="AH891">
        <v>-28.49456428571429</v>
      </c>
      <c r="AI891">
        <v>128.42060079051379</v>
      </c>
      <c r="AJ891">
        <v>-42.113301360985091</v>
      </c>
      <c r="AK891">
        <v>126.1419446640316</v>
      </c>
      <c r="AL891">
        <v>-41.366055735580041</v>
      </c>
      <c r="AM891">
        <v>2.2370154227485539</v>
      </c>
      <c r="AN891">
        <v>2.1973225006885162</v>
      </c>
    </row>
    <row r="892" spans="1:40" x14ac:dyDescent="0.25">
      <c r="A892" s="1" t="s">
        <v>635</v>
      </c>
      <c r="B892">
        <v>57769408000</v>
      </c>
      <c r="C892" t="s">
        <v>76</v>
      </c>
      <c r="D892" t="s">
        <v>105</v>
      </c>
      <c r="E892">
        <v>29048000000</v>
      </c>
      <c r="F892">
        <v>-1270000000</v>
      </c>
      <c r="G892">
        <v>506000000</v>
      </c>
      <c r="H892">
        <v>-1543000000</v>
      </c>
      <c r="I892">
        <v>-2240000000</v>
      </c>
      <c r="J892">
        <v>-8883000000</v>
      </c>
      <c r="K892">
        <v>4865000000</v>
      </c>
      <c r="L892">
        <v>0</v>
      </c>
      <c r="M892">
        <v>4865000000</v>
      </c>
      <c r="N892">
        <v>9368000000</v>
      </c>
      <c r="O892">
        <v>1442000000</v>
      </c>
      <c r="P892">
        <v>189000000</v>
      </c>
      <c r="Q892">
        <v>10894000000</v>
      </c>
      <c r="R892">
        <v>9020000000</v>
      </c>
      <c r="S892">
        <v>23712000000</v>
      </c>
      <c r="T892">
        <v>0</v>
      </c>
      <c r="U892">
        <v>1153000000</v>
      </c>
      <c r="V892">
        <v>7400000000</v>
      </c>
      <c r="W892">
        <v>63987408000</v>
      </c>
      <c r="X892">
        <v>65140408000</v>
      </c>
      <c r="Y892">
        <v>1.988756816304049</v>
      </c>
      <c r="Z892">
        <v>-45.487722834645673</v>
      </c>
      <c r="AA892">
        <v>114.168790513834</v>
      </c>
      <c r="AB892">
        <v>-37.439668178872317</v>
      </c>
      <c r="AC892">
        <v>-25.789914285714289</v>
      </c>
      <c r="AD892">
        <v>-6.50336688055837</v>
      </c>
      <c r="AE892">
        <v>-51.291659842519692</v>
      </c>
      <c r="AF892">
        <v>-50.383785826771657</v>
      </c>
      <c r="AG892">
        <v>-29.080539285714281</v>
      </c>
      <c r="AH892">
        <v>-28.565807142857139</v>
      </c>
      <c r="AI892">
        <v>128.7359841897233</v>
      </c>
      <c r="AJ892">
        <v>-42.216725858716792</v>
      </c>
      <c r="AK892">
        <v>126.45732806324111</v>
      </c>
      <c r="AL892">
        <v>-41.469480233311728</v>
      </c>
      <c r="AM892">
        <v>2.2425092261085098</v>
      </c>
      <c r="AN892">
        <v>2.2028163040484721</v>
      </c>
    </row>
    <row r="893" spans="1:40" x14ac:dyDescent="0.25">
      <c r="A893" s="1" t="s">
        <v>634</v>
      </c>
      <c r="B893">
        <v>56353100000</v>
      </c>
      <c r="C893" t="s">
        <v>76</v>
      </c>
      <c r="D893" t="s">
        <v>105</v>
      </c>
      <c r="E893">
        <v>29048000000</v>
      </c>
      <c r="F893">
        <v>-1270000000</v>
      </c>
      <c r="G893">
        <v>506000000</v>
      </c>
      <c r="H893">
        <v>-1543000000</v>
      </c>
      <c r="I893">
        <v>-2240000000</v>
      </c>
      <c r="J893">
        <v>-8883000000</v>
      </c>
      <c r="K893">
        <v>4865000000</v>
      </c>
      <c r="L893">
        <v>0</v>
      </c>
      <c r="M893">
        <v>4865000000</v>
      </c>
      <c r="N893">
        <v>9368000000</v>
      </c>
      <c r="O893">
        <v>1442000000</v>
      </c>
      <c r="P893">
        <v>189000000</v>
      </c>
      <c r="Q893">
        <v>10894000000</v>
      </c>
      <c r="R893">
        <v>9020000000</v>
      </c>
      <c r="S893">
        <v>23712000000</v>
      </c>
      <c r="T893">
        <v>0</v>
      </c>
      <c r="U893">
        <v>1153000000</v>
      </c>
      <c r="V893">
        <v>7400000000</v>
      </c>
      <c r="W893">
        <v>62571100000</v>
      </c>
      <c r="X893">
        <v>63724100000</v>
      </c>
      <c r="Y893">
        <v>1.93999931148444</v>
      </c>
      <c r="Z893">
        <v>-44.372519685039371</v>
      </c>
      <c r="AA893">
        <v>111.36976284584981</v>
      </c>
      <c r="AB893">
        <v>-36.521775761503562</v>
      </c>
      <c r="AC893">
        <v>-25.157633928571428</v>
      </c>
      <c r="AD893">
        <v>-6.3439266013734086</v>
      </c>
      <c r="AE893">
        <v>-50.176456692913384</v>
      </c>
      <c r="AF893">
        <v>-49.268582677165362</v>
      </c>
      <c r="AG893">
        <v>-28.44825892857143</v>
      </c>
      <c r="AH893">
        <v>-27.933526785714289</v>
      </c>
      <c r="AI893">
        <v>125.93695652173911</v>
      </c>
      <c r="AJ893">
        <v>-41.298833441348023</v>
      </c>
      <c r="AK893">
        <v>123.6583003952569</v>
      </c>
      <c r="AL893">
        <v>-40.551587815942973</v>
      </c>
      <c r="AM893">
        <v>2.1937517212889008</v>
      </c>
      <c r="AN893">
        <v>2.1540587992288631</v>
      </c>
    </row>
    <row r="894" spans="1:40" x14ac:dyDescent="0.25">
      <c r="A894" s="1" t="s">
        <v>633</v>
      </c>
      <c r="B894">
        <v>56013984000</v>
      </c>
      <c r="C894" t="s">
        <v>76</v>
      </c>
      <c r="D894" t="s">
        <v>105</v>
      </c>
      <c r="E894">
        <v>29048000000</v>
      </c>
      <c r="F894">
        <v>-1270000000</v>
      </c>
      <c r="G894">
        <v>506000000</v>
      </c>
      <c r="H894">
        <v>-1543000000</v>
      </c>
      <c r="I894">
        <v>-2240000000</v>
      </c>
      <c r="J894">
        <v>-8883000000</v>
      </c>
      <c r="K894">
        <v>4865000000</v>
      </c>
      <c r="L894">
        <v>0</v>
      </c>
      <c r="M894">
        <v>4865000000</v>
      </c>
      <c r="N894">
        <v>9368000000</v>
      </c>
      <c r="O894">
        <v>1442000000</v>
      </c>
      <c r="P894">
        <v>189000000</v>
      </c>
      <c r="Q894">
        <v>10894000000</v>
      </c>
      <c r="R894">
        <v>9020000000</v>
      </c>
      <c r="S894">
        <v>23712000000</v>
      </c>
      <c r="T894">
        <v>0</v>
      </c>
      <c r="U894">
        <v>1153000000</v>
      </c>
      <c r="V894">
        <v>7400000000</v>
      </c>
      <c r="W894">
        <v>62231984000</v>
      </c>
      <c r="X894">
        <v>63384984000</v>
      </c>
      <c r="Y894">
        <v>1.928324979344533</v>
      </c>
      <c r="Z894">
        <v>-44.105499212598417</v>
      </c>
      <c r="AA894">
        <v>110.6995731225296</v>
      </c>
      <c r="AB894">
        <v>-36.30199870382372</v>
      </c>
      <c r="AC894">
        <v>-25.006242857142858</v>
      </c>
      <c r="AD894">
        <v>-6.3057507598784186</v>
      </c>
      <c r="AE894">
        <v>-49.909436220472443</v>
      </c>
      <c r="AF894">
        <v>-49.001562204724408</v>
      </c>
      <c r="AG894">
        <v>-28.29686785714286</v>
      </c>
      <c r="AH894">
        <v>-27.782135714285719</v>
      </c>
      <c r="AI894">
        <v>125.266766798419</v>
      </c>
      <c r="AJ894">
        <v>-41.079056383668181</v>
      </c>
      <c r="AK894">
        <v>122.98811067193679</v>
      </c>
      <c r="AL894">
        <v>-40.331810758263117</v>
      </c>
      <c r="AM894">
        <v>2.1820773891489949</v>
      </c>
      <c r="AN894">
        <v>2.1423844670889558</v>
      </c>
    </row>
    <row r="895" spans="1:40" x14ac:dyDescent="0.25">
      <c r="A895" s="1" t="s">
        <v>632</v>
      </c>
      <c r="B895">
        <v>57430292000</v>
      </c>
      <c r="C895" t="s">
        <v>76</v>
      </c>
      <c r="D895" t="s">
        <v>105</v>
      </c>
      <c r="E895">
        <v>29048000000</v>
      </c>
      <c r="F895">
        <v>-1270000000</v>
      </c>
      <c r="G895">
        <v>506000000</v>
      </c>
      <c r="H895">
        <v>-1543000000</v>
      </c>
      <c r="I895">
        <v>-2240000000</v>
      </c>
      <c r="J895">
        <v>-8883000000</v>
      </c>
      <c r="K895">
        <v>4865000000</v>
      </c>
      <c r="L895">
        <v>0</v>
      </c>
      <c r="M895">
        <v>4865000000</v>
      </c>
      <c r="N895">
        <v>9368000000</v>
      </c>
      <c r="O895">
        <v>1442000000</v>
      </c>
      <c r="P895">
        <v>189000000</v>
      </c>
      <c r="Q895">
        <v>10894000000</v>
      </c>
      <c r="R895">
        <v>9020000000</v>
      </c>
      <c r="S895">
        <v>23712000000</v>
      </c>
      <c r="T895">
        <v>0</v>
      </c>
      <c r="U895">
        <v>1153000000</v>
      </c>
      <c r="V895">
        <v>7400000000</v>
      </c>
      <c r="W895">
        <v>63648292000</v>
      </c>
      <c r="X895">
        <v>64801292000</v>
      </c>
      <c r="Y895">
        <v>1.9770824841641419</v>
      </c>
      <c r="Z895">
        <v>-45.220702362204733</v>
      </c>
      <c r="AA895">
        <v>113.49860079051381</v>
      </c>
      <c r="AB895">
        <v>-37.219891121192482</v>
      </c>
      <c r="AC895">
        <v>-25.638523214285719</v>
      </c>
      <c r="AD895">
        <v>-6.4651910390633791</v>
      </c>
      <c r="AE895">
        <v>-51.024639370078738</v>
      </c>
      <c r="AF895">
        <v>-50.11676535433071</v>
      </c>
      <c r="AG895">
        <v>-28.929148214285711</v>
      </c>
      <c r="AH895">
        <v>-28.414416071428569</v>
      </c>
      <c r="AI895">
        <v>128.06579446640319</v>
      </c>
      <c r="AJ895">
        <v>-41.996948801036943</v>
      </c>
      <c r="AK895">
        <v>125.7871383399209</v>
      </c>
      <c r="AL895">
        <v>-41.249703175631893</v>
      </c>
      <c r="AM895">
        <v>2.2308348939686038</v>
      </c>
      <c r="AN895">
        <v>2.1911419719085652</v>
      </c>
    </row>
    <row r="896" spans="1:40" x14ac:dyDescent="0.25">
      <c r="A896" s="1" t="s">
        <v>631</v>
      </c>
      <c r="B896">
        <v>56851800000</v>
      </c>
      <c r="C896" t="s">
        <v>76</v>
      </c>
      <c r="D896" t="s">
        <v>105</v>
      </c>
      <c r="E896">
        <v>29048000000</v>
      </c>
      <c r="F896">
        <v>-1270000000</v>
      </c>
      <c r="G896">
        <v>506000000</v>
      </c>
      <c r="H896">
        <v>-1543000000</v>
      </c>
      <c r="I896">
        <v>-2240000000</v>
      </c>
      <c r="J896">
        <v>-8883000000</v>
      </c>
      <c r="K896">
        <v>4865000000</v>
      </c>
      <c r="L896">
        <v>0</v>
      </c>
      <c r="M896">
        <v>4865000000</v>
      </c>
      <c r="N896">
        <v>9368000000</v>
      </c>
      <c r="O896">
        <v>1442000000</v>
      </c>
      <c r="P896">
        <v>189000000</v>
      </c>
      <c r="Q896">
        <v>10894000000</v>
      </c>
      <c r="R896">
        <v>9020000000</v>
      </c>
      <c r="S896">
        <v>23712000000</v>
      </c>
      <c r="T896">
        <v>0</v>
      </c>
      <c r="U896">
        <v>1153000000</v>
      </c>
      <c r="V896">
        <v>7400000000</v>
      </c>
      <c r="W896">
        <v>63069800000</v>
      </c>
      <c r="X896">
        <v>64222800000</v>
      </c>
      <c r="Y896">
        <v>1.9571674469843019</v>
      </c>
      <c r="Z896">
        <v>-44.7651968503937</v>
      </c>
      <c r="AA896">
        <v>112.35533596837941</v>
      </c>
      <c r="AB896">
        <v>-36.844977316915099</v>
      </c>
      <c r="AC896">
        <v>-25.380267857142861</v>
      </c>
      <c r="AD896">
        <v>-6.4000675447483957</v>
      </c>
      <c r="AE896">
        <v>-50.569133858267719</v>
      </c>
      <c r="AF896">
        <v>-49.661259842519677</v>
      </c>
      <c r="AG896">
        <v>-28.67089285714286</v>
      </c>
      <c r="AH896">
        <v>-28.156160714285711</v>
      </c>
      <c r="AI896">
        <v>126.92252964426881</v>
      </c>
      <c r="AJ896">
        <v>-41.62203499675956</v>
      </c>
      <c r="AK896">
        <v>124.6438735177866</v>
      </c>
      <c r="AL896">
        <v>-40.874789371354503</v>
      </c>
      <c r="AM896">
        <v>2.210919856788764</v>
      </c>
      <c r="AN896">
        <v>2.171226934728725</v>
      </c>
    </row>
    <row r="897" spans="1:40" x14ac:dyDescent="0.25">
      <c r="A897" s="1" t="s">
        <v>630</v>
      </c>
      <c r="B897">
        <v>55375648000</v>
      </c>
      <c r="C897" t="s">
        <v>76</v>
      </c>
      <c r="D897" t="s">
        <v>105</v>
      </c>
      <c r="E897">
        <v>29048000000</v>
      </c>
      <c r="F897">
        <v>-1270000000</v>
      </c>
      <c r="G897">
        <v>506000000</v>
      </c>
      <c r="H897">
        <v>-1543000000</v>
      </c>
      <c r="I897">
        <v>-2240000000</v>
      </c>
      <c r="J897">
        <v>-8883000000</v>
      </c>
      <c r="K897">
        <v>4865000000</v>
      </c>
      <c r="L897">
        <v>0</v>
      </c>
      <c r="M897">
        <v>4865000000</v>
      </c>
      <c r="N897">
        <v>9368000000</v>
      </c>
      <c r="O897">
        <v>1442000000</v>
      </c>
      <c r="P897">
        <v>189000000</v>
      </c>
      <c r="Q897">
        <v>10894000000</v>
      </c>
      <c r="R897">
        <v>9020000000</v>
      </c>
      <c r="S897">
        <v>23712000000</v>
      </c>
      <c r="T897">
        <v>0</v>
      </c>
      <c r="U897">
        <v>1153000000</v>
      </c>
      <c r="V897">
        <v>7400000000</v>
      </c>
      <c r="W897">
        <v>61593648000</v>
      </c>
      <c r="X897">
        <v>62746648000</v>
      </c>
      <c r="Y897">
        <v>1.9063497659047099</v>
      </c>
      <c r="Z897">
        <v>-43.602872440944878</v>
      </c>
      <c r="AA897">
        <v>109.43803952569171</v>
      </c>
      <c r="AB897">
        <v>-35.888300712896957</v>
      </c>
      <c r="AC897">
        <v>-24.721271428571431</v>
      </c>
      <c r="AD897">
        <v>-6.2338903523584372</v>
      </c>
      <c r="AE897">
        <v>-49.406809448818898</v>
      </c>
      <c r="AF897">
        <v>-48.498935433070869</v>
      </c>
      <c r="AG897">
        <v>-28.011896428571429</v>
      </c>
      <c r="AH897">
        <v>-27.49716428571428</v>
      </c>
      <c r="AI897">
        <v>124.00523320158101</v>
      </c>
      <c r="AJ897">
        <v>-40.66535839274141</v>
      </c>
      <c r="AK897">
        <v>121.7265770750988</v>
      </c>
      <c r="AL897">
        <v>-39.91811276733636</v>
      </c>
      <c r="AM897">
        <v>2.160102175709171</v>
      </c>
      <c r="AN897">
        <v>2.1204092536491319</v>
      </c>
    </row>
    <row r="898" spans="1:40" x14ac:dyDescent="0.25">
      <c r="A898" s="1" t="s">
        <v>629</v>
      </c>
      <c r="B898">
        <v>55375648000</v>
      </c>
      <c r="C898" t="s">
        <v>76</v>
      </c>
      <c r="D898" t="s">
        <v>105</v>
      </c>
      <c r="E898">
        <v>29048000000</v>
      </c>
      <c r="F898">
        <v>-1270000000</v>
      </c>
      <c r="G898">
        <v>506000000</v>
      </c>
      <c r="H898">
        <v>-1543000000</v>
      </c>
      <c r="I898">
        <v>-2240000000</v>
      </c>
      <c r="J898">
        <v>-8883000000</v>
      </c>
      <c r="K898">
        <v>4865000000</v>
      </c>
      <c r="L898">
        <v>0</v>
      </c>
      <c r="M898">
        <v>4865000000</v>
      </c>
      <c r="N898">
        <v>9368000000</v>
      </c>
      <c r="O898">
        <v>1442000000</v>
      </c>
      <c r="P898">
        <v>189000000</v>
      </c>
      <c r="Q898">
        <v>10894000000</v>
      </c>
      <c r="R898">
        <v>9020000000</v>
      </c>
      <c r="S898">
        <v>23712000000</v>
      </c>
      <c r="T898">
        <v>0</v>
      </c>
      <c r="U898">
        <v>1153000000</v>
      </c>
      <c r="V898">
        <v>7400000000</v>
      </c>
      <c r="W898">
        <v>61593648000</v>
      </c>
      <c r="X898">
        <v>62746648000</v>
      </c>
      <c r="Y898">
        <v>1.9063497659047099</v>
      </c>
      <c r="Z898">
        <v>-43.602872440944878</v>
      </c>
      <c r="AA898">
        <v>109.43803952569171</v>
      </c>
      <c r="AB898">
        <v>-35.888300712896957</v>
      </c>
      <c r="AC898">
        <v>-24.721271428571431</v>
      </c>
      <c r="AD898">
        <v>-6.2338903523584372</v>
      </c>
      <c r="AE898">
        <v>-49.406809448818898</v>
      </c>
      <c r="AF898">
        <v>-48.498935433070869</v>
      </c>
      <c r="AG898">
        <v>-28.011896428571429</v>
      </c>
      <c r="AH898">
        <v>-27.49716428571428</v>
      </c>
      <c r="AI898">
        <v>124.00523320158101</v>
      </c>
      <c r="AJ898">
        <v>-40.66535839274141</v>
      </c>
      <c r="AK898">
        <v>121.7265770750988</v>
      </c>
      <c r="AL898">
        <v>-39.91811276733636</v>
      </c>
      <c r="AM898">
        <v>2.160102175709171</v>
      </c>
      <c r="AN898">
        <v>2.1204092536491319</v>
      </c>
    </row>
    <row r="899" spans="1:40" x14ac:dyDescent="0.25">
      <c r="A899" s="1" t="s">
        <v>628</v>
      </c>
      <c r="B899">
        <v>58128472000</v>
      </c>
      <c r="C899" t="s">
        <v>76</v>
      </c>
      <c r="D899" t="s">
        <v>105</v>
      </c>
      <c r="E899">
        <v>29048000000</v>
      </c>
      <c r="F899">
        <v>-1270000000</v>
      </c>
      <c r="G899">
        <v>506000000</v>
      </c>
      <c r="H899">
        <v>-1543000000</v>
      </c>
      <c r="I899">
        <v>-2240000000</v>
      </c>
      <c r="J899">
        <v>-8883000000</v>
      </c>
      <c r="K899">
        <v>4865000000</v>
      </c>
      <c r="L899">
        <v>0</v>
      </c>
      <c r="M899">
        <v>4865000000</v>
      </c>
      <c r="N899">
        <v>9368000000</v>
      </c>
      <c r="O899">
        <v>1442000000</v>
      </c>
      <c r="P899">
        <v>189000000</v>
      </c>
      <c r="Q899">
        <v>10894000000</v>
      </c>
      <c r="R899">
        <v>9020000000</v>
      </c>
      <c r="S899">
        <v>23712000000</v>
      </c>
      <c r="T899">
        <v>0</v>
      </c>
      <c r="U899">
        <v>1153000000</v>
      </c>
      <c r="V899">
        <v>7400000000</v>
      </c>
      <c r="W899">
        <v>64346472000</v>
      </c>
      <c r="X899">
        <v>65499472000</v>
      </c>
      <c r="Y899">
        <v>2.001117873863949</v>
      </c>
      <c r="Z899">
        <v>-45.770450393700777</v>
      </c>
      <c r="AA899">
        <v>114.87840316205531</v>
      </c>
      <c r="AB899">
        <v>-37.672373298768633</v>
      </c>
      <c r="AC899">
        <v>-25.95021071428571</v>
      </c>
      <c r="AD899">
        <v>-6.5437883597883602</v>
      </c>
      <c r="AE899">
        <v>-51.574387401574803</v>
      </c>
      <c r="AF899">
        <v>-50.666513385826782</v>
      </c>
      <c r="AG899">
        <v>-29.240835714285719</v>
      </c>
      <c r="AH899">
        <v>-28.72610357142857</v>
      </c>
      <c r="AI899">
        <v>129.44559683794469</v>
      </c>
      <c r="AJ899">
        <v>-42.449430978613087</v>
      </c>
      <c r="AK899">
        <v>127.1669407114624</v>
      </c>
      <c r="AL899">
        <v>-41.702185353208037</v>
      </c>
      <c r="AM899">
        <v>2.2548702836684109</v>
      </c>
      <c r="AN899">
        <v>2.2151773616083719</v>
      </c>
    </row>
    <row r="900" spans="1:40" x14ac:dyDescent="0.25">
      <c r="A900" s="1" t="s">
        <v>627</v>
      </c>
      <c r="B900">
        <v>56532632000</v>
      </c>
      <c r="C900" t="s">
        <v>76</v>
      </c>
      <c r="D900" t="s">
        <v>105</v>
      </c>
      <c r="E900">
        <v>29048000000</v>
      </c>
      <c r="F900">
        <v>-1270000000</v>
      </c>
      <c r="G900">
        <v>506000000</v>
      </c>
      <c r="H900">
        <v>-1543000000</v>
      </c>
      <c r="I900">
        <v>-2240000000</v>
      </c>
      <c r="J900">
        <v>-8883000000</v>
      </c>
      <c r="K900">
        <v>4865000000</v>
      </c>
      <c r="L900">
        <v>0</v>
      </c>
      <c r="M900">
        <v>4865000000</v>
      </c>
      <c r="N900">
        <v>9368000000</v>
      </c>
      <c r="O900">
        <v>1442000000</v>
      </c>
      <c r="P900">
        <v>189000000</v>
      </c>
      <c r="Q900">
        <v>10894000000</v>
      </c>
      <c r="R900">
        <v>9020000000</v>
      </c>
      <c r="S900">
        <v>23712000000</v>
      </c>
      <c r="T900">
        <v>0</v>
      </c>
      <c r="U900">
        <v>1153000000</v>
      </c>
      <c r="V900">
        <v>7400000000</v>
      </c>
      <c r="W900">
        <v>62750632000</v>
      </c>
      <c r="X900">
        <v>63903632000</v>
      </c>
      <c r="Y900">
        <v>1.9461798402643899</v>
      </c>
      <c r="Z900">
        <v>-44.513883464566931</v>
      </c>
      <c r="AA900">
        <v>111.7245691699605</v>
      </c>
      <c r="AB900">
        <v>-36.638128321451717</v>
      </c>
      <c r="AC900">
        <v>-25.237782142857139</v>
      </c>
      <c r="AD900">
        <v>-6.364137340988405</v>
      </c>
      <c r="AE900">
        <v>-50.317820472440943</v>
      </c>
      <c r="AF900">
        <v>-49.409946456692907</v>
      </c>
      <c r="AG900">
        <v>-28.528407142857141</v>
      </c>
      <c r="AH900">
        <v>-28.013674999999999</v>
      </c>
      <c r="AI900">
        <v>126.2917628458498</v>
      </c>
      <c r="AJ900">
        <v>-41.415186001296178</v>
      </c>
      <c r="AK900">
        <v>124.0131067193676</v>
      </c>
      <c r="AL900">
        <v>-40.667940375891121</v>
      </c>
      <c r="AM900">
        <v>2.199932250068851</v>
      </c>
      <c r="AN900">
        <v>2.1602393280088128</v>
      </c>
    </row>
    <row r="901" spans="1:40" x14ac:dyDescent="0.25">
      <c r="A901" s="1" t="s">
        <v>626</v>
      </c>
      <c r="B901">
        <v>57350500000</v>
      </c>
      <c r="C901" t="s">
        <v>76</v>
      </c>
      <c r="D901" t="s">
        <v>105</v>
      </c>
      <c r="E901">
        <v>29048000000</v>
      </c>
      <c r="F901">
        <v>-1270000000</v>
      </c>
      <c r="G901">
        <v>506000000</v>
      </c>
      <c r="H901">
        <v>-1543000000</v>
      </c>
      <c r="I901">
        <v>-2240000000</v>
      </c>
      <c r="J901">
        <v>-8883000000</v>
      </c>
      <c r="K901">
        <v>4865000000</v>
      </c>
      <c r="L901">
        <v>0</v>
      </c>
      <c r="M901">
        <v>4865000000</v>
      </c>
      <c r="N901">
        <v>9368000000</v>
      </c>
      <c r="O901">
        <v>1442000000</v>
      </c>
      <c r="P901">
        <v>189000000</v>
      </c>
      <c r="Q901">
        <v>10894000000</v>
      </c>
      <c r="R901">
        <v>9020000000</v>
      </c>
      <c r="S901">
        <v>23712000000</v>
      </c>
      <c r="T901">
        <v>0</v>
      </c>
      <c r="U901">
        <v>1153000000</v>
      </c>
      <c r="V901">
        <v>7400000000</v>
      </c>
      <c r="W901">
        <v>63568500000</v>
      </c>
      <c r="X901">
        <v>64721500000</v>
      </c>
      <c r="Y901">
        <v>1.974335582484164</v>
      </c>
      <c r="Z901">
        <v>-45.157874015748028</v>
      </c>
      <c r="AA901">
        <v>113.34090909090909</v>
      </c>
      <c r="AB901">
        <v>-37.168178872326642</v>
      </c>
      <c r="AC901">
        <v>-25.60290178571428</v>
      </c>
      <c r="AD901">
        <v>-6.4562084881233819</v>
      </c>
      <c r="AE901">
        <v>-50.961811023622047</v>
      </c>
      <c r="AF901">
        <v>-50.053937007874019</v>
      </c>
      <c r="AG901">
        <v>-28.89352678571429</v>
      </c>
      <c r="AH901">
        <v>-28.378794642857141</v>
      </c>
      <c r="AI901">
        <v>127.90810276679839</v>
      </c>
      <c r="AJ901">
        <v>-41.945236552171103</v>
      </c>
      <c r="AK901">
        <v>125.6294466403162</v>
      </c>
      <c r="AL901">
        <v>-41.197990926766039</v>
      </c>
      <c r="AM901">
        <v>2.2280879922886259</v>
      </c>
      <c r="AN901">
        <v>2.1883950702285868</v>
      </c>
    </row>
    <row r="902" spans="1:40" x14ac:dyDescent="0.25">
      <c r="A902" s="1" t="s">
        <v>625</v>
      </c>
      <c r="B902">
        <v>55255960000</v>
      </c>
      <c r="C902" t="s">
        <v>76</v>
      </c>
      <c r="D902" t="s">
        <v>105</v>
      </c>
      <c r="E902">
        <v>29048000000</v>
      </c>
      <c r="F902">
        <v>-1270000000</v>
      </c>
      <c r="G902">
        <v>506000000</v>
      </c>
      <c r="H902">
        <v>-1543000000</v>
      </c>
      <c r="I902">
        <v>-2240000000</v>
      </c>
      <c r="J902">
        <v>-8883000000</v>
      </c>
      <c r="K902">
        <v>4865000000</v>
      </c>
      <c r="L902">
        <v>0</v>
      </c>
      <c r="M902">
        <v>4865000000</v>
      </c>
      <c r="N902">
        <v>9368000000</v>
      </c>
      <c r="O902">
        <v>1442000000</v>
      </c>
      <c r="P902">
        <v>189000000</v>
      </c>
      <c r="Q902">
        <v>10894000000</v>
      </c>
      <c r="R902">
        <v>9020000000</v>
      </c>
      <c r="S902">
        <v>23712000000</v>
      </c>
      <c r="T902">
        <v>0</v>
      </c>
      <c r="U902">
        <v>1153000000</v>
      </c>
      <c r="V902">
        <v>7400000000</v>
      </c>
      <c r="W902">
        <v>61473960000</v>
      </c>
      <c r="X902">
        <v>62626960000</v>
      </c>
      <c r="Y902">
        <v>1.9022294133847419</v>
      </c>
      <c r="Z902">
        <v>-43.508629921259839</v>
      </c>
      <c r="AA902">
        <v>109.2015019762846</v>
      </c>
      <c r="AB902">
        <v>-35.810732339598182</v>
      </c>
      <c r="AC902">
        <v>-24.66783928571429</v>
      </c>
      <c r="AD902">
        <v>-6.2204165259484414</v>
      </c>
      <c r="AE902">
        <v>-49.312566929133858</v>
      </c>
      <c r="AF902">
        <v>-48.40469291338583</v>
      </c>
      <c r="AG902">
        <v>-27.958464285714289</v>
      </c>
      <c r="AH902">
        <v>-27.44373214285714</v>
      </c>
      <c r="AI902">
        <v>123.7686956521739</v>
      </c>
      <c r="AJ902">
        <v>-40.587790019442643</v>
      </c>
      <c r="AK902">
        <v>121.4900395256917</v>
      </c>
      <c r="AL902">
        <v>-39.840544394037593</v>
      </c>
      <c r="AM902">
        <v>2.1559818231892041</v>
      </c>
      <c r="AN902">
        <v>2.116288901129165</v>
      </c>
    </row>
    <row r="903" spans="1:40" x14ac:dyDescent="0.25">
      <c r="A903" s="1" t="s">
        <v>624</v>
      </c>
      <c r="B903">
        <v>53700016000</v>
      </c>
      <c r="C903" t="s">
        <v>76</v>
      </c>
      <c r="D903" t="s">
        <v>105</v>
      </c>
      <c r="E903">
        <v>29048000000</v>
      </c>
      <c r="F903">
        <v>-1270000000</v>
      </c>
      <c r="G903">
        <v>506000000</v>
      </c>
      <c r="H903">
        <v>-1543000000</v>
      </c>
      <c r="I903">
        <v>-2240000000</v>
      </c>
      <c r="J903">
        <v>-8883000000</v>
      </c>
      <c r="K903">
        <v>4865000000</v>
      </c>
      <c r="L903">
        <v>0</v>
      </c>
      <c r="M903">
        <v>4865000000</v>
      </c>
      <c r="N903">
        <v>9368000000</v>
      </c>
      <c r="O903">
        <v>1442000000</v>
      </c>
      <c r="P903">
        <v>189000000</v>
      </c>
      <c r="Q903">
        <v>10894000000</v>
      </c>
      <c r="R903">
        <v>9020000000</v>
      </c>
      <c r="S903">
        <v>23712000000</v>
      </c>
      <c r="T903">
        <v>0</v>
      </c>
      <c r="U903">
        <v>1153000000</v>
      </c>
      <c r="V903">
        <v>7400000000</v>
      </c>
      <c r="W903">
        <v>59918016000</v>
      </c>
      <c r="X903">
        <v>61071016000</v>
      </c>
      <c r="Y903">
        <v>1.8486648306251721</v>
      </c>
      <c r="Z903">
        <v>-42.283477165354327</v>
      </c>
      <c r="AA903">
        <v>106.12651383399211</v>
      </c>
      <c r="AB903">
        <v>-34.802343486714193</v>
      </c>
      <c r="AC903">
        <v>-23.973221428571431</v>
      </c>
      <c r="AD903">
        <v>-6.0452567826184849</v>
      </c>
      <c r="AE903">
        <v>-48.087414173228353</v>
      </c>
      <c r="AF903">
        <v>-47.179540157480318</v>
      </c>
      <c r="AG903">
        <v>-27.26384642857143</v>
      </c>
      <c r="AH903">
        <v>-26.749114285714281</v>
      </c>
      <c r="AI903">
        <v>120.69370750988141</v>
      </c>
      <c r="AJ903">
        <v>-39.579401166558647</v>
      </c>
      <c r="AK903">
        <v>118.4150513833992</v>
      </c>
      <c r="AL903">
        <v>-38.832155541153597</v>
      </c>
      <c r="AM903">
        <v>2.102417240429634</v>
      </c>
      <c r="AN903">
        <v>2.0627243183695949</v>
      </c>
    </row>
    <row r="904" spans="1:40" x14ac:dyDescent="0.25">
      <c r="A904" s="1" t="s">
        <v>623</v>
      </c>
      <c r="B904">
        <v>52662720000</v>
      </c>
      <c r="C904" t="s">
        <v>76</v>
      </c>
      <c r="D904" t="s">
        <v>105</v>
      </c>
      <c r="E904">
        <v>29048000000</v>
      </c>
      <c r="F904">
        <v>-1270000000</v>
      </c>
      <c r="G904">
        <v>506000000</v>
      </c>
      <c r="H904">
        <v>-1543000000</v>
      </c>
      <c r="I904">
        <v>-2240000000</v>
      </c>
      <c r="J904">
        <v>-8883000000</v>
      </c>
      <c r="K904">
        <v>4865000000</v>
      </c>
      <c r="L904">
        <v>0</v>
      </c>
      <c r="M904">
        <v>4865000000</v>
      </c>
      <c r="N904">
        <v>9368000000</v>
      </c>
      <c r="O904">
        <v>1442000000</v>
      </c>
      <c r="P904">
        <v>189000000</v>
      </c>
      <c r="Q904">
        <v>10894000000</v>
      </c>
      <c r="R904">
        <v>9020000000</v>
      </c>
      <c r="S904">
        <v>23712000000</v>
      </c>
      <c r="T904">
        <v>0</v>
      </c>
      <c r="U904">
        <v>1153000000</v>
      </c>
      <c r="V904">
        <v>7400000000</v>
      </c>
      <c r="W904">
        <v>58880720000</v>
      </c>
      <c r="X904">
        <v>60033720000</v>
      </c>
      <c r="Y904">
        <v>1.812955108785459</v>
      </c>
      <c r="Z904">
        <v>-41.466708661417321</v>
      </c>
      <c r="AA904">
        <v>104.0765217391304</v>
      </c>
      <c r="AB904">
        <v>-34.1300842514582</v>
      </c>
      <c r="AC904">
        <v>-23.51014285714286</v>
      </c>
      <c r="AD904">
        <v>-5.9284836203985138</v>
      </c>
      <c r="AE904">
        <v>-47.270645669291341</v>
      </c>
      <c r="AF904">
        <v>-46.362771653543312</v>
      </c>
      <c r="AG904">
        <v>-26.800767857142858</v>
      </c>
      <c r="AH904">
        <v>-26.28603571428571</v>
      </c>
      <c r="AI904">
        <v>118.6437154150198</v>
      </c>
      <c r="AJ904">
        <v>-38.907141931302647</v>
      </c>
      <c r="AK904">
        <v>116.36505928853759</v>
      </c>
      <c r="AL904">
        <v>-38.159896305897597</v>
      </c>
      <c r="AM904">
        <v>2.06670751858992</v>
      </c>
      <c r="AN904">
        <v>2.0270145965298809</v>
      </c>
    </row>
    <row r="905" spans="1:40" x14ac:dyDescent="0.25">
      <c r="A905" s="1" t="s">
        <v>622</v>
      </c>
      <c r="B905">
        <v>52762460000</v>
      </c>
      <c r="C905" t="s">
        <v>76</v>
      </c>
      <c r="D905" t="s">
        <v>105</v>
      </c>
      <c r="E905">
        <v>29048000000</v>
      </c>
      <c r="F905">
        <v>-1270000000</v>
      </c>
      <c r="G905">
        <v>506000000</v>
      </c>
      <c r="H905">
        <v>-1543000000</v>
      </c>
      <c r="I905">
        <v>-2240000000</v>
      </c>
      <c r="J905">
        <v>-8883000000</v>
      </c>
      <c r="K905">
        <v>4865000000</v>
      </c>
      <c r="L905">
        <v>0</v>
      </c>
      <c r="M905">
        <v>4865000000</v>
      </c>
      <c r="N905">
        <v>9368000000</v>
      </c>
      <c r="O905">
        <v>1442000000</v>
      </c>
      <c r="P905">
        <v>189000000</v>
      </c>
      <c r="Q905">
        <v>10894000000</v>
      </c>
      <c r="R905">
        <v>9020000000</v>
      </c>
      <c r="S905">
        <v>23712000000</v>
      </c>
      <c r="T905">
        <v>0</v>
      </c>
      <c r="U905">
        <v>1153000000</v>
      </c>
      <c r="V905">
        <v>7400000000</v>
      </c>
      <c r="W905">
        <v>58980460000</v>
      </c>
      <c r="X905">
        <v>60133460000</v>
      </c>
      <c r="Y905">
        <v>1.8163887358854309</v>
      </c>
      <c r="Z905">
        <v>-41.54524409448819</v>
      </c>
      <c r="AA905">
        <v>104.2736363636364</v>
      </c>
      <c r="AB905">
        <v>-34.194724562540507</v>
      </c>
      <c r="AC905">
        <v>-23.554669642857139</v>
      </c>
      <c r="AD905">
        <v>-5.9397118090735113</v>
      </c>
      <c r="AE905">
        <v>-47.349181102362202</v>
      </c>
      <c r="AF905">
        <v>-46.441307086614167</v>
      </c>
      <c r="AG905">
        <v>-26.845294642857141</v>
      </c>
      <c r="AH905">
        <v>-26.330562499999999</v>
      </c>
      <c r="AI905">
        <v>118.8408300395257</v>
      </c>
      <c r="AJ905">
        <v>-38.971782242384961</v>
      </c>
      <c r="AK905">
        <v>116.56217391304349</v>
      </c>
      <c r="AL905">
        <v>-38.224536616979911</v>
      </c>
      <c r="AM905">
        <v>2.070141145689893</v>
      </c>
      <c r="AN905">
        <v>2.030448223629854</v>
      </c>
    </row>
    <row r="906" spans="1:40" x14ac:dyDescent="0.25">
      <c r="A906" s="1" t="s">
        <v>621</v>
      </c>
      <c r="B906">
        <v>52961940000</v>
      </c>
      <c r="C906" t="s">
        <v>76</v>
      </c>
      <c r="D906" t="s">
        <v>105</v>
      </c>
      <c r="E906">
        <v>29048000000</v>
      </c>
      <c r="F906">
        <v>-1270000000</v>
      </c>
      <c r="G906">
        <v>506000000</v>
      </c>
      <c r="H906">
        <v>-1543000000</v>
      </c>
      <c r="I906">
        <v>-2240000000</v>
      </c>
      <c r="J906">
        <v>-8883000000</v>
      </c>
      <c r="K906">
        <v>4865000000</v>
      </c>
      <c r="L906">
        <v>0</v>
      </c>
      <c r="M906">
        <v>4865000000</v>
      </c>
      <c r="N906">
        <v>9368000000</v>
      </c>
      <c r="O906">
        <v>1442000000</v>
      </c>
      <c r="P906">
        <v>189000000</v>
      </c>
      <c r="Q906">
        <v>10894000000</v>
      </c>
      <c r="R906">
        <v>9020000000</v>
      </c>
      <c r="S906">
        <v>23712000000</v>
      </c>
      <c r="T906">
        <v>0</v>
      </c>
      <c r="U906">
        <v>1153000000</v>
      </c>
      <c r="V906">
        <v>7400000000</v>
      </c>
      <c r="W906">
        <v>59179940000</v>
      </c>
      <c r="X906">
        <v>60332940000</v>
      </c>
      <c r="Y906">
        <v>1.823255990085376</v>
      </c>
      <c r="Z906">
        <v>-41.70231496062992</v>
      </c>
      <c r="AA906">
        <v>104.6678656126482</v>
      </c>
      <c r="AB906">
        <v>-34.324005184705122</v>
      </c>
      <c r="AC906">
        <v>-23.643723214285711</v>
      </c>
      <c r="AD906">
        <v>-5.9621681864235052</v>
      </c>
      <c r="AE906">
        <v>-47.506251968503939</v>
      </c>
      <c r="AF906">
        <v>-46.598377952755897</v>
      </c>
      <c r="AG906">
        <v>-26.934348214285709</v>
      </c>
      <c r="AH906">
        <v>-26.419616071428571</v>
      </c>
      <c r="AI906">
        <v>119.2350592885376</v>
      </c>
      <c r="AJ906">
        <v>-39.101062864549583</v>
      </c>
      <c r="AK906">
        <v>116.9564031620553</v>
      </c>
      <c r="AL906">
        <v>-38.353817239144533</v>
      </c>
      <c r="AM906">
        <v>2.077008399889837</v>
      </c>
      <c r="AN906">
        <v>2.0373154778297988</v>
      </c>
    </row>
    <row r="907" spans="1:40" x14ac:dyDescent="0.25">
      <c r="A907" s="1" t="s">
        <v>620</v>
      </c>
      <c r="B907">
        <v>53919444000</v>
      </c>
      <c r="C907" t="s">
        <v>76</v>
      </c>
      <c r="D907" t="s">
        <v>105</v>
      </c>
      <c r="E907">
        <v>29048000000</v>
      </c>
      <c r="F907">
        <v>-1270000000</v>
      </c>
      <c r="G907">
        <v>506000000</v>
      </c>
      <c r="H907">
        <v>-1543000000</v>
      </c>
      <c r="I907">
        <v>-2240000000</v>
      </c>
      <c r="J907">
        <v>-8883000000</v>
      </c>
      <c r="K907">
        <v>4865000000</v>
      </c>
      <c r="L907">
        <v>0</v>
      </c>
      <c r="M907">
        <v>4865000000</v>
      </c>
      <c r="N907">
        <v>9368000000</v>
      </c>
      <c r="O907">
        <v>1442000000</v>
      </c>
      <c r="P907">
        <v>189000000</v>
      </c>
      <c r="Q907">
        <v>10894000000</v>
      </c>
      <c r="R907">
        <v>9020000000</v>
      </c>
      <c r="S907">
        <v>23712000000</v>
      </c>
      <c r="T907">
        <v>0</v>
      </c>
      <c r="U907">
        <v>1153000000</v>
      </c>
      <c r="V907">
        <v>7400000000</v>
      </c>
      <c r="W907">
        <v>60137444000</v>
      </c>
      <c r="X907">
        <v>61290444000</v>
      </c>
      <c r="Y907">
        <v>1.856218810245112</v>
      </c>
      <c r="Z907">
        <v>-42.456255118110242</v>
      </c>
      <c r="AA907">
        <v>106.5601660079051</v>
      </c>
      <c r="AB907">
        <v>-34.944552171095268</v>
      </c>
      <c r="AC907">
        <v>-24.071180357142861</v>
      </c>
      <c r="AD907">
        <v>-6.0699587977034781</v>
      </c>
      <c r="AE907">
        <v>-48.260192125984247</v>
      </c>
      <c r="AF907">
        <v>-47.352318110236219</v>
      </c>
      <c r="AG907">
        <v>-27.36180535714286</v>
      </c>
      <c r="AH907">
        <v>-26.847073214285711</v>
      </c>
      <c r="AI907">
        <v>121.1273596837945</v>
      </c>
      <c r="AJ907">
        <v>-39.721609850939728</v>
      </c>
      <c r="AK907">
        <v>118.84870355731221</v>
      </c>
      <c r="AL907">
        <v>-38.974364225534671</v>
      </c>
      <c r="AM907">
        <v>2.109971220049573</v>
      </c>
      <c r="AN907">
        <v>2.070278297989534</v>
      </c>
    </row>
    <row r="908" spans="1:40" x14ac:dyDescent="0.25">
      <c r="A908" s="1" t="s">
        <v>619</v>
      </c>
      <c r="B908">
        <v>53819704000</v>
      </c>
      <c r="C908" t="s">
        <v>76</v>
      </c>
      <c r="D908" t="s">
        <v>105</v>
      </c>
      <c r="E908">
        <v>29048000000</v>
      </c>
      <c r="F908">
        <v>-1270000000</v>
      </c>
      <c r="G908">
        <v>506000000</v>
      </c>
      <c r="H908">
        <v>-1543000000</v>
      </c>
      <c r="I908">
        <v>-2240000000</v>
      </c>
      <c r="J908">
        <v>-8883000000</v>
      </c>
      <c r="K908">
        <v>4865000000</v>
      </c>
      <c r="L908">
        <v>0</v>
      </c>
      <c r="M908">
        <v>4865000000</v>
      </c>
      <c r="N908">
        <v>9368000000</v>
      </c>
      <c r="O908">
        <v>1442000000</v>
      </c>
      <c r="P908">
        <v>189000000</v>
      </c>
      <c r="Q908">
        <v>10894000000</v>
      </c>
      <c r="R908">
        <v>9020000000</v>
      </c>
      <c r="S908">
        <v>23712000000</v>
      </c>
      <c r="T908">
        <v>0</v>
      </c>
      <c r="U908">
        <v>1153000000</v>
      </c>
      <c r="V908">
        <v>7400000000</v>
      </c>
      <c r="W908">
        <v>60037704000</v>
      </c>
      <c r="X908">
        <v>61190704000</v>
      </c>
      <c r="Y908">
        <v>1.852785183145139</v>
      </c>
      <c r="Z908">
        <v>-42.377719685039366</v>
      </c>
      <c r="AA908">
        <v>106.3630513833992</v>
      </c>
      <c r="AB908">
        <v>-34.87991186001296</v>
      </c>
      <c r="AC908">
        <v>-24.026653571428572</v>
      </c>
      <c r="AD908">
        <v>-6.0587306090284816</v>
      </c>
      <c r="AE908">
        <v>-48.181656692913393</v>
      </c>
      <c r="AF908">
        <v>-47.273782677165357</v>
      </c>
      <c r="AG908">
        <v>-27.31727857142857</v>
      </c>
      <c r="AH908">
        <v>-26.802546428571429</v>
      </c>
      <c r="AI908">
        <v>120.9302450592885</v>
      </c>
      <c r="AJ908">
        <v>-39.656969539857421</v>
      </c>
      <c r="AK908">
        <v>118.65158893280631</v>
      </c>
      <c r="AL908">
        <v>-38.909723914452357</v>
      </c>
      <c r="AM908">
        <v>2.1065375929496009</v>
      </c>
      <c r="AN908">
        <v>2.0668446708895618</v>
      </c>
    </row>
    <row r="909" spans="1:40" x14ac:dyDescent="0.25">
      <c r="A909" s="1" t="s">
        <v>618</v>
      </c>
      <c r="B909">
        <v>54797156000</v>
      </c>
      <c r="C909" t="s">
        <v>76</v>
      </c>
      <c r="D909" t="s">
        <v>105</v>
      </c>
      <c r="E909">
        <v>29048000000</v>
      </c>
      <c r="F909">
        <v>-1270000000</v>
      </c>
      <c r="G909">
        <v>506000000</v>
      </c>
      <c r="H909">
        <v>-1543000000</v>
      </c>
      <c r="I909">
        <v>-2240000000</v>
      </c>
      <c r="J909">
        <v>-8883000000</v>
      </c>
      <c r="K909">
        <v>4865000000</v>
      </c>
      <c r="L909">
        <v>0</v>
      </c>
      <c r="M909">
        <v>4865000000</v>
      </c>
      <c r="N909">
        <v>9368000000</v>
      </c>
      <c r="O909">
        <v>1442000000</v>
      </c>
      <c r="P909">
        <v>189000000</v>
      </c>
      <c r="Q909">
        <v>10894000000</v>
      </c>
      <c r="R909">
        <v>9020000000</v>
      </c>
      <c r="S909">
        <v>23712000000</v>
      </c>
      <c r="T909">
        <v>0</v>
      </c>
      <c r="U909">
        <v>1153000000</v>
      </c>
      <c r="V909">
        <v>7400000000</v>
      </c>
      <c r="W909">
        <v>61015156000</v>
      </c>
      <c r="X909">
        <v>62168156000</v>
      </c>
      <c r="Y909">
        <v>1.8864347287248691</v>
      </c>
      <c r="Z909">
        <v>-43.14736692913386</v>
      </c>
      <c r="AA909">
        <v>108.29477470355729</v>
      </c>
      <c r="AB909">
        <v>-35.513386908619573</v>
      </c>
      <c r="AC909">
        <v>-24.463016071428569</v>
      </c>
      <c r="AD909">
        <v>-6.1687668580434538</v>
      </c>
      <c r="AE909">
        <v>-48.951303937007872</v>
      </c>
      <c r="AF909">
        <v>-48.043429921259843</v>
      </c>
      <c r="AG909">
        <v>-27.753641071428572</v>
      </c>
      <c r="AH909">
        <v>-27.23890892857143</v>
      </c>
      <c r="AI909">
        <v>122.86196837944659</v>
      </c>
      <c r="AJ909">
        <v>-40.290444588464027</v>
      </c>
      <c r="AK909">
        <v>120.5833122529644</v>
      </c>
      <c r="AL909">
        <v>-39.543198963058977</v>
      </c>
      <c r="AM909">
        <v>2.1401871385293312</v>
      </c>
      <c r="AN909">
        <v>2.1004942164692921</v>
      </c>
    </row>
    <row r="910" spans="1:40" x14ac:dyDescent="0.25">
      <c r="A910" s="1" t="s">
        <v>617</v>
      </c>
      <c r="B910">
        <v>52343552000</v>
      </c>
      <c r="C910" t="s">
        <v>76</v>
      </c>
      <c r="D910" t="s">
        <v>105</v>
      </c>
      <c r="E910">
        <v>29048000000</v>
      </c>
      <c r="F910">
        <v>-1270000000</v>
      </c>
      <c r="G910">
        <v>506000000</v>
      </c>
      <c r="H910">
        <v>-1543000000</v>
      </c>
      <c r="I910">
        <v>-2240000000</v>
      </c>
      <c r="J910">
        <v>-8883000000</v>
      </c>
      <c r="K910">
        <v>4865000000</v>
      </c>
      <c r="L910">
        <v>0</v>
      </c>
      <c r="M910">
        <v>4865000000</v>
      </c>
      <c r="N910">
        <v>9368000000</v>
      </c>
      <c r="O910">
        <v>1442000000</v>
      </c>
      <c r="P910">
        <v>189000000</v>
      </c>
      <c r="Q910">
        <v>10894000000</v>
      </c>
      <c r="R910">
        <v>9020000000</v>
      </c>
      <c r="S910">
        <v>23712000000</v>
      </c>
      <c r="T910">
        <v>0</v>
      </c>
      <c r="U910">
        <v>1153000000</v>
      </c>
      <c r="V910">
        <v>7400000000</v>
      </c>
      <c r="W910">
        <v>58561552000</v>
      </c>
      <c r="X910">
        <v>59714552000</v>
      </c>
      <c r="Y910">
        <v>1.801967502065547</v>
      </c>
      <c r="Z910">
        <v>-41.215395275590552</v>
      </c>
      <c r="AA910">
        <v>103.4457549407115</v>
      </c>
      <c r="AB910">
        <v>-33.923235255994818</v>
      </c>
      <c r="AC910">
        <v>-23.367657142857141</v>
      </c>
      <c r="AD910">
        <v>-5.8925534166385232</v>
      </c>
      <c r="AE910">
        <v>-47.019332283464557</v>
      </c>
      <c r="AF910">
        <v>-46.111458267716543</v>
      </c>
      <c r="AG910">
        <v>-26.658282142857139</v>
      </c>
      <c r="AH910">
        <v>-26.143550000000001</v>
      </c>
      <c r="AI910">
        <v>118.0129486166008</v>
      </c>
      <c r="AJ910">
        <v>-38.700292935839272</v>
      </c>
      <c r="AK910">
        <v>115.73429249011861</v>
      </c>
      <c r="AL910">
        <v>-37.953047310434222</v>
      </c>
      <c r="AM910">
        <v>2.0557199118700078</v>
      </c>
      <c r="AN910">
        <v>2.0160269898099701</v>
      </c>
    </row>
    <row r="911" spans="1:40" x14ac:dyDescent="0.25">
      <c r="A911" s="1" t="s">
        <v>616</v>
      </c>
      <c r="B911">
        <v>51804956000</v>
      </c>
      <c r="C911" t="s">
        <v>76</v>
      </c>
      <c r="D911" t="s">
        <v>105</v>
      </c>
      <c r="E911">
        <v>29048000000</v>
      </c>
      <c r="F911">
        <v>-1270000000</v>
      </c>
      <c r="G911">
        <v>506000000</v>
      </c>
      <c r="H911">
        <v>-1543000000</v>
      </c>
      <c r="I911">
        <v>-2240000000</v>
      </c>
      <c r="J911">
        <v>-8883000000</v>
      </c>
      <c r="K911">
        <v>4865000000</v>
      </c>
      <c r="L911">
        <v>0</v>
      </c>
      <c r="M911">
        <v>4865000000</v>
      </c>
      <c r="N911">
        <v>9368000000</v>
      </c>
      <c r="O911">
        <v>1442000000</v>
      </c>
      <c r="P911">
        <v>189000000</v>
      </c>
      <c r="Q911">
        <v>10894000000</v>
      </c>
      <c r="R911">
        <v>9020000000</v>
      </c>
      <c r="S911">
        <v>23712000000</v>
      </c>
      <c r="T911">
        <v>0</v>
      </c>
      <c r="U911">
        <v>1153000000</v>
      </c>
      <c r="V911">
        <v>7400000000</v>
      </c>
      <c r="W911">
        <v>58022956000</v>
      </c>
      <c r="X911">
        <v>59175956000</v>
      </c>
      <c r="Y911">
        <v>1.7834259157256951</v>
      </c>
      <c r="Z911">
        <v>-40.791303937007868</v>
      </c>
      <c r="AA911">
        <v>102.3813359683794</v>
      </c>
      <c r="AB911">
        <v>-33.574177576150348</v>
      </c>
      <c r="AC911">
        <v>-23.127212499999999</v>
      </c>
      <c r="AD911">
        <v>-5.8319211977935383</v>
      </c>
      <c r="AE911">
        <v>-46.595240944881887</v>
      </c>
      <c r="AF911">
        <v>-45.687366929133859</v>
      </c>
      <c r="AG911">
        <v>-26.417837500000001</v>
      </c>
      <c r="AH911">
        <v>-25.903105357142859</v>
      </c>
      <c r="AI911">
        <v>116.9485296442688</v>
      </c>
      <c r="AJ911">
        <v>-38.351235255994823</v>
      </c>
      <c r="AK911">
        <v>114.6698735177866</v>
      </c>
      <c r="AL911">
        <v>-37.603989630589759</v>
      </c>
      <c r="AM911">
        <v>2.037178325530157</v>
      </c>
      <c r="AN911">
        <v>1.9974854034701179</v>
      </c>
    </row>
    <row r="912" spans="1:40" x14ac:dyDescent="0.25">
      <c r="A912" s="1" t="s">
        <v>615</v>
      </c>
      <c r="B912">
        <v>49770260000</v>
      </c>
      <c r="C912" t="s">
        <v>76</v>
      </c>
      <c r="D912" t="s">
        <v>105</v>
      </c>
      <c r="E912">
        <v>29048000000</v>
      </c>
      <c r="F912">
        <v>-1270000000</v>
      </c>
      <c r="G912">
        <v>506000000</v>
      </c>
      <c r="H912">
        <v>-1543000000</v>
      </c>
      <c r="I912">
        <v>-2240000000</v>
      </c>
      <c r="J912">
        <v>-8883000000</v>
      </c>
      <c r="K912">
        <v>4865000000</v>
      </c>
      <c r="L912">
        <v>0</v>
      </c>
      <c r="M912">
        <v>4865000000</v>
      </c>
      <c r="N912">
        <v>9368000000</v>
      </c>
      <c r="O912">
        <v>1442000000</v>
      </c>
      <c r="P912">
        <v>189000000</v>
      </c>
      <c r="Q912">
        <v>10894000000</v>
      </c>
      <c r="R912">
        <v>9020000000</v>
      </c>
      <c r="S912">
        <v>23712000000</v>
      </c>
      <c r="T912">
        <v>0</v>
      </c>
      <c r="U912">
        <v>1153000000</v>
      </c>
      <c r="V912">
        <v>7400000000</v>
      </c>
      <c r="W912">
        <v>55988260000</v>
      </c>
      <c r="X912">
        <v>57141260000</v>
      </c>
      <c r="Y912">
        <v>1.713379922886257</v>
      </c>
      <c r="Z912">
        <v>-39.189181102362213</v>
      </c>
      <c r="AA912">
        <v>98.360197628458494</v>
      </c>
      <c r="AB912">
        <v>-32.255515230071289</v>
      </c>
      <c r="AC912">
        <v>-22.218866071428572</v>
      </c>
      <c r="AD912">
        <v>-5.6028661488235958</v>
      </c>
      <c r="AE912">
        <v>-44.993118110236217</v>
      </c>
      <c r="AF912">
        <v>-44.085244094488189</v>
      </c>
      <c r="AG912">
        <v>-25.50949107142857</v>
      </c>
      <c r="AH912">
        <v>-24.994758928571429</v>
      </c>
      <c r="AI912">
        <v>112.92739130434779</v>
      </c>
      <c r="AJ912">
        <v>-37.03257290991575</v>
      </c>
      <c r="AK912">
        <v>110.6487351778656</v>
      </c>
      <c r="AL912">
        <v>-36.285327284510693</v>
      </c>
      <c r="AM912">
        <v>1.9671323326907191</v>
      </c>
      <c r="AN912">
        <v>1.92743941063068</v>
      </c>
    </row>
    <row r="913" spans="1:40" x14ac:dyDescent="0.25">
      <c r="A913" s="1" t="s">
        <v>614</v>
      </c>
      <c r="B913">
        <v>49790208000</v>
      </c>
      <c r="C913" t="s">
        <v>76</v>
      </c>
      <c r="D913" t="s">
        <v>105</v>
      </c>
      <c r="E913">
        <v>29048000000</v>
      </c>
      <c r="F913">
        <v>-1270000000</v>
      </c>
      <c r="G913">
        <v>506000000</v>
      </c>
      <c r="H913">
        <v>-1543000000</v>
      </c>
      <c r="I913">
        <v>-2240000000</v>
      </c>
      <c r="J913">
        <v>-8883000000</v>
      </c>
      <c r="K913">
        <v>4865000000</v>
      </c>
      <c r="L913">
        <v>0</v>
      </c>
      <c r="M913">
        <v>4865000000</v>
      </c>
      <c r="N913">
        <v>9368000000</v>
      </c>
      <c r="O913">
        <v>1442000000</v>
      </c>
      <c r="P913">
        <v>189000000</v>
      </c>
      <c r="Q913">
        <v>10894000000</v>
      </c>
      <c r="R913">
        <v>9020000000</v>
      </c>
      <c r="S913">
        <v>23712000000</v>
      </c>
      <c r="T913">
        <v>0</v>
      </c>
      <c r="U913">
        <v>1153000000</v>
      </c>
      <c r="V913">
        <v>7400000000</v>
      </c>
      <c r="W913">
        <v>56008208000</v>
      </c>
      <c r="X913">
        <v>57161208000</v>
      </c>
      <c r="Y913">
        <v>1.7140666483062521</v>
      </c>
      <c r="Z913">
        <v>-39.204888188976383</v>
      </c>
      <c r="AA913">
        <v>98.399620553359682</v>
      </c>
      <c r="AB913">
        <v>-32.268443292287749</v>
      </c>
      <c r="AC913">
        <v>-22.22777142857143</v>
      </c>
      <c r="AD913">
        <v>-5.6051117865585951</v>
      </c>
      <c r="AE913">
        <v>-45.008825196850403</v>
      </c>
      <c r="AF913">
        <v>-44.10095118110236</v>
      </c>
      <c r="AG913">
        <v>-25.518396428571432</v>
      </c>
      <c r="AH913">
        <v>-25.00366428571429</v>
      </c>
      <c r="AI913">
        <v>112.966814229249</v>
      </c>
      <c r="AJ913">
        <v>-37.04550097213221</v>
      </c>
      <c r="AK913">
        <v>110.68815810276681</v>
      </c>
      <c r="AL913">
        <v>-36.298255346727153</v>
      </c>
      <c r="AM913">
        <v>1.9678190581107129</v>
      </c>
      <c r="AN913">
        <v>1.928126136050675</v>
      </c>
    </row>
    <row r="914" spans="1:40" x14ac:dyDescent="0.25">
      <c r="A914" s="1" t="s">
        <v>613</v>
      </c>
      <c r="B914">
        <v>50588128000</v>
      </c>
      <c r="C914" t="s">
        <v>76</v>
      </c>
      <c r="D914" t="s">
        <v>105</v>
      </c>
      <c r="E914">
        <v>29048000000</v>
      </c>
      <c r="F914">
        <v>-1270000000</v>
      </c>
      <c r="G914">
        <v>506000000</v>
      </c>
      <c r="H914">
        <v>-1543000000</v>
      </c>
      <c r="I914">
        <v>-2240000000</v>
      </c>
      <c r="J914">
        <v>-8883000000</v>
      </c>
      <c r="K914">
        <v>4865000000</v>
      </c>
      <c r="L914">
        <v>0</v>
      </c>
      <c r="M914">
        <v>4865000000</v>
      </c>
      <c r="N914">
        <v>9368000000</v>
      </c>
      <c r="O914">
        <v>1442000000</v>
      </c>
      <c r="P914">
        <v>189000000</v>
      </c>
      <c r="Q914">
        <v>10894000000</v>
      </c>
      <c r="R914">
        <v>9020000000</v>
      </c>
      <c r="S914">
        <v>23712000000</v>
      </c>
      <c r="T914">
        <v>0</v>
      </c>
      <c r="U914">
        <v>1153000000</v>
      </c>
      <c r="V914">
        <v>7400000000</v>
      </c>
      <c r="W914">
        <v>56806128000</v>
      </c>
      <c r="X914">
        <v>57959128000</v>
      </c>
      <c r="Y914">
        <v>1.741535665106031</v>
      </c>
      <c r="Z914">
        <v>-39.83317165354331</v>
      </c>
      <c r="AA914">
        <v>99.976537549407112</v>
      </c>
      <c r="AB914">
        <v>-32.785565780946207</v>
      </c>
      <c r="AC914">
        <v>-22.58398571428571</v>
      </c>
      <c r="AD914">
        <v>-5.6949372959585727</v>
      </c>
      <c r="AE914">
        <v>-45.637108661417322</v>
      </c>
      <c r="AF914">
        <v>-44.729234645669287</v>
      </c>
      <c r="AG914">
        <v>-25.874610714285719</v>
      </c>
      <c r="AH914">
        <v>-25.35987857142857</v>
      </c>
      <c r="AI914">
        <v>114.5437312252964</v>
      </c>
      <c r="AJ914">
        <v>-37.562623460790668</v>
      </c>
      <c r="AK914">
        <v>112.26507509881419</v>
      </c>
      <c r="AL914">
        <v>-36.815377835385611</v>
      </c>
      <c r="AM914">
        <v>1.9952880749104931</v>
      </c>
      <c r="AN914">
        <v>1.955595152850454</v>
      </c>
    </row>
    <row r="915" spans="1:40" x14ac:dyDescent="0.25">
      <c r="A915" s="1" t="s">
        <v>612</v>
      </c>
      <c r="B915">
        <v>49151872000</v>
      </c>
      <c r="C915" t="s">
        <v>76</v>
      </c>
      <c r="D915" t="s">
        <v>105</v>
      </c>
      <c r="E915">
        <v>29048000000</v>
      </c>
      <c r="F915">
        <v>-1270000000</v>
      </c>
      <c r="G915">
        <v>506000000</v>
      </c>
      <c r="H915">
        <v>-1543000000</v>
      </c>
      <c r="I915">
        <v>-2240000000</v>
      </c>
      <c r="J915">
        <v>-8883000000</v>
      </c>
      <c r="K915">
        <v>4865000000</v>
      </c>
      <c r="L915">
        <v>0</v>
      </c>
      <c r="M915">
        <v>4865000000</v>
      </c>
      <c r="N915">
        <v>9368000000</v>
      </c>
      <c r="O915">
        <v>1442000000</v>
      </c>
      <c r="P915">
        <v>189000000</v>
      </c>
      <c r="Q915">
        <v>10894000000</v>
      </c>
      <c r="R915">
        <v>9020000000</v>
      </c>
      <c r="S915">
        <v>23712000000</v>
      </c>
      <c r="T915">
        <v>0</v>
      </c>
      <c r="U915">
        <v>1153000000</v>
      </c>
      <c r="V915">
        <v>7400000000</v>
      </c>
      <c r="W915">
        <v>55369872000</v>
      </c>
      <c r="X915">
        <v>56522872000</v>
      </c>
      <c r="Y915">
        <v>1.692091434866428</v>
      </c>
      <c r="Z915">
        <v>-38.702261417322838</v>
      </c>
      <c r="AA915">
        <v>97.138086956521732</v>
      </c>
      <c r="AB915">
        <v>-31.854745301360989</v>
      </c>
      <c r="AC915">
        <v>-21.942799999999998</v>
      </c>
      <c r="AD915">
        <v>-5.5332513790386129</v>
      </c>
      <c r="AE915">
        <v>-44.50619842519685</v>
      </c>
      <c r="AF915">
        <v>-43.598324409448821</v>
      </c>
      <c r="AG915">
        <v>-25.233425</v>
      </c>
      <c r="AH915">
        <v>-24.718692857142859</v>
      </c>
      <c r="AI915">
        <v>111.7052806324111</v>
      </c>
      <c r="AJ915">
        <v>-36.631802981205453</v>
      </c>
      <c r="AK915">
        <v>109.4266245059289</v>
      </c>
      <c r="AL915">
        <v>-35.884557355800389</v>
      </c>
      <c r="AM915">
        <v>1.9458438446708901</v>
      </c>
      <c r="AN915">
        <v>1.9061509226108511</v>
      </c>
    </row>
    <row r="916" spans="1:40" x14ac:dyDescent="0.25">
      <c r="A916" s="1" t="s">
        <v>611</v>
      </c>
      <c r="B916">
        <v>49151872000</v>
      </c>
      <c r="C916" t="s">
        <v>76</v>
      </c>
      <c r="D916" t="s">
        <v>105</v>
      </c>
      <c r="E916">
        <v>29048000000</v>
      </c>
      <c r="F916">
        <v>-1270000000</v>
      </c>
      <c r="G916">
        <v>506000000</v>
      </c>
      <c r="H916">
        <v>-1543000000</v>
      </c>
      <c r="I916">
        <v>-2240000000</v>
      </c>
      <c r="J916">
        <v>-8883000000</v>
      </c>
      <c r="K916">
        <v>4865000000</v>
      </c>
      <c r="L916">
        <v>0</v>
      </c>
      <c r="M916">
        <v>4865000000</v>
      </c>
      <c r="N916">
        <v>9368000000</v>
      </c>
      <c r="O916">
        <v>1442000000</v>
      </c>
      <c r="P916">
        <v>189000000</v>
      </c>
      <c r="Q916">
        <v>10894000000</v>
      </c>
      <c r="R916">
        <v>9020000000</v>
      </c>
      <c r="S916">
        <v>23712000000</v>
      </c>
      <c r="T916">
        <v>0</v>
      </c>
      <c r="U916">
        <v>1153000000</v>
      </c>
      <c r="V916">
        <v>7400000000</v>
      </c>
      <c r="W916">
        <v>55369872000</v>
      </c>
      <c r="X916">
        <v>56522872000</v>
      </c>
      <c r="Y916">
        <v>1.692091434866428</v>
      </c>
      <c r="Z916">
        <v>-38.702261417322838</v>
      </c>
      <c r="AA916">
        <v>97.138086956521732</v>
      </c>
      <c r="AB916">
        <v>-31.854745301360989</v>
      </c>
      <c r="AC916">
        <v>-21.942799999999998</v>
      </c>
      <c r="AD916">
        <v>-5.5332513790386129</v>
      </c>
      <c r="AE916">
        <v>-44.50619842519685</v>
      </c>
      <c r="AF916">
        <v>-43.598324409448821</v>
      </c>
      <c r="AG916">
        <v>-25.233425</v>
      </c>
      <c r="AH916">
        <v>-24.718692857142859</v>
      </c>
      <c r="AI916">
        <v>111.7052806324111</v>
      </c>
      <c r="AJ916">
        <v>-36.631802981205453</v>
      </c>
      <c r="AK916">
        <v>109.4266245059289</v>
      </c>
      <c r="AL916">
        <v>-35.884557355800389</v>
      </c>
      <c r="AM916">
        <v>1.9458438446708901</v>
      </c>
      <c r="AN916">
        <v>1.9061509226108511</v>
      </c>
    </row>
    <row r="917" spans="1:40" x14ac:dyDescent="0.25">
      <c r="A917" s="1" t="s">
        <v>610</v>
      </c>
      <c r="B917">
        <v>48673120000</v>
      </c>
      <c r="C917" t="s">
        <v>76</v>
      </c>
      <c r="D917" t="s">
        <v>105</v>
      </c>
      <c r="E917">
        <v>29048000000</v>
      </c>
      <c r="F917">
        <v>-1270000000</v>
      </c>
      <c r="G917">
        <v>506000000</v>
      </c>
      <c r="H917">
        <v>-1543000000</v>
      </c>
      <c r="I917">
        <v>-2240000000</v>
      </c>
      <c r="J917">
        <v>-8883000000</v>
      </c>
      <c r="K917">
        <v>4865000000</v>
      </c>
      <c r="L917">
        <v>0</v>
      </c>
      <c r="M917">
        <v>4865000000</v>
      </c>
      <c r="N917">
        <v>9368000000</v>
      </c>
      <c r="O917">
        <v>1442000000</v>
      </c>
      <c r="P917">
        <v>189000000</v>
      </c>
      <c r="Q917">
        <v>10894000000</v>
      </c>
      <c r="R917">
        <v>9020000000</v>
      </c>
      <c r="S917">
        <v>23712000000</v>
      </c>
      <c r="T917">
        <v>0</v>
      </c>
      <c r="U917">
        <v>1153000000</v>
      </c>
      <c r="V917">
        <v>7400000000</v>
      </c>
      <c r="W917">
        <v>54891120000</v>
      </c>
      <c r="X917">
        <v>56044120000</v>
      </c>
      <c r="Y917">
        <v>1.67561002478656</v>
      </c>
      <c r="Z917">
        <v>-38.32529133858268</v>
      </c>
      <c r="AA917">
        <v>96.191936758893277</v>
      </c>
      <c r="AB917">
        <v>-31.544471808165909</v>
      </c>
      <c r="AC917">
        <v>-21.72907142857143</v>
      </c>
      <c r="AD917">
        <v>-5.4793560733986268</v>
      </c>
      <c r="AE917">
        <v>-44.129228346456692</v>
      </c>
      <c r="AF917">
        <v>-43.221354330708657</v>
      </c>
      <c r="AG917">
        <v>-25.019696428571429</v>
      </c>
      <c r="AH917">
        <v>-24.504964285714291</v>
      </c>
      <c r="AI917">
        <v>110.75913043478261</v>
      </c>
      <c r="AJ917">
        <v>-36.32152948801037</v>
      </c>
      <c r="AK917">
        <v>108.4804743083004</v>
      </c>
      <c r="AL917">
        <v>-35.574283862605313</v>
      </c>
      <c r="AM917">
        <v>1.9293624345910221</v>
      </c>
      <c r="AN917">
        <v>1.889669512530983</v>
      </c>
    </row>
    <row r="918" spans="1:40" x14ac:dyDescent="0.25">
      <c r="A918" s="1" t="s">
        <v>609</v>
      </c>
      <c r="B918">
        <v>49052132000</v>
      </c>
      <c r="C918" t="s">
        <v>76</v>
      </c>
      <c r="D918" t="s">
        <v>105</v>
      </c>
      <c r="E918">
        <v>29048000000</v>
      </c>
      <c r="F918">
        <v>-1270000000</v>
      </c>
      <c r="G918">
        <v>506000000</v>
      </c>
      <c r="H918">
        <v>-1543000000</v>
      </c>
      <c r="I918">
        <v>-2240000000</v>
      </c>
      <c r="J918">
        <v>-8883000000</v>
      </c>
      <c r="K918">
        <v>4865000000</v>
      </c>
      <c r="L918">
        <v>0</v>
      </c>
      <c r="M918">
        <v>4865000000</v>
      </c>
      <c r="N918">
        <v>9368000000</v>
      </c>
      <c r="O918">
        <v>1442000000</v>
      </c>
      <c r="P918">
        <v>189000000</v>
      </c>
      <c r="Q918">
        <v>10894000000</v>
      </c>
      <c r="R918">
        <v>9020000000</v>
      </c>
      <c r="S918">
        <v>23712000000</v>
      </c>
      <c r="T918">
        <v>0</v>
      </c>
      <c r="U918">
        <v>1153000000</v>
      </c>
      <c r="V918">
        <v>7400000000</v>
      </c>
      <c r="W918">
        <v>55270132000</v>
      </c>
      <c r="X918">
        <v>56423132000</v>
      </c>
      <c r="Y918">
        <v>1.688657807766456</v>
      </c>
      <c r="Z918">
        <v>-38.623725984251969</v>
      </c>
      <c r="AA918">
        <v>96.940972332015804</v>
      </c>
      <c r="AB918">
        <v>-31.790104990278682</v>
      </c>
      <c r="AC918">
        <v>-21.898273214285719</v>
      </c>
      <c r="AD918">
        <v>-5.5220231903636163</v>
      </c>
      <c r="AE918">
        <v>-44.427662992125981</v>
      </c>
      <c r="AF918">
        <v>-43.519788976377953</v>
      </c>
      <c r="AG918">
        <v>-25.188898214285711</v>
      </c>
      <c r="AH918">
        <v>-24.674166071428569</v>
      </c>
      <c r="AI918">
        <v>111.5081660079051</v>
      </c>
      <c r="AJ918">
        <v>-36.567162670123139</v>
      </c>
      <c r="AK918">
        <v>109.2295098814229</v>
      </c>
      <c r="AL918">
        <v>-35.819917044718082</v>
      </c>
      <c r="AM918">
        <v>1.942410217570917</v>
      </c>
      <c r="AN918">
        <v>1.9027172955108791</v>
      </c>
    </row>
    <row r="919" spans="1:40" x14ac:dyDescent="0.25">
      <c r="A919" s="1" t="s">
        <v>608</v>
      </c>
      <c r="B919">
        <v>49690468000</v>
      </c>
      <c r="C919" t="s">
        <v>76</v>
      </c>
      <c r="D919" t="s">
        <v>105</v>
      </c>
      <c r="E919">
        <v>29048000000</v>
      </c>
      <c r="F919">
        <v>-1270000000</v>
      </c>
      <c r="G919">
        <v>506000000</v>
      </c>
      <c r="H919">
        <v>-1543000000</v>
      </c>
      <c r="I919">
        <v>-2240000000</v>
      </c>
      <c r="J919">
        <v>-8883000000</v>
      </c>
      <c r="K919">
        <v>4865000000</v>
      </c>
      <c r="L919">
        <v>0</v>
      </c>
      <c r="M919">
        <v>4865000000</v>
      </c>
      <c r="N919">
        <v>9368000000</v>
      </c>
      <c r="O919">
        <v>1442000000</v>
      </c>
      <c r="P919">
        <v>189000000</v>
      </c>
      <c r="Q919">
        <v>10894000000</v>
      </c>
      <c r="R919">
        <v>9020000000</v>
      </c>
      <c r="S919">
        <v>23712000000</v>
      </c>
      <c r="T919">
        <v>0</v>
      </c>
      <c r="U919">
        <v>1153000000</v>
      </c>
      <c r="V919">
        <v>7400000000</v>
      </c>
      <c r="W919">
        <v>55908468000</v>
      </c>
      <c r="X919">
        <v>57061468000</v>
      </c>
      <c r="Y919">
        <v>1.710633021206279</v>
      </c>
      <c r="Z919">
        <v>-39.126352755905508</v>
      </c>
      <c r="AA919">
        <v>98.202505928853753</v>
      </c>
      <c r="AB919">
        <v>-32.203802981205442</v>
      </c>
      <c r="AC919">
        <v>-22.18324464285714</v>
      </c>
      <c r="AD919">
        <v>-5.5938835978835977</v>
      </c>
      <c r="AE919">
        <v>-44.930289763779527</v>
      </c>
      <c r="AF919">
        <v>-44.022415748031499</v>
      </c>
      <c r="AG919">
        <v>-25.473869642857139</v>
      </c>
      <c r="AH919">
        <v>-24.959137500000001</v>
      </c>
      <c r="AI919">
        <v>112.7696996047431</v>
      </c>
      <c r="AJ919">
        <v>-36.980860661049903</v>
      </c>
      <c r="AK919">
        <v>110.49104347826091</v>
      </c>
      <c r="AL919">
        <v>-36.233615035644853</v>
      </c>
      <c r="AM919">
        <v>1.9643854310107409</v>
      </c>
      <c r="AN919">
        <v>1.9246925089507021</v>
      </c>
    </row>
    <row r="920" spans="1:40" x14ac:dyDescent="0.25">
      <c r="A920" s="1" t="s">
        <v>607</v>
      </c>
      <c r="B920">
        <v>49331404000</v>
      </c>
      <c r="C920" t="s">
        <v>76</v>
      </c>
      <c r="D920" t="s">
        <v>105</v>
      </c>
      <c r="E920">
        <v>29048000000</v>
      </c>
      <c r="F920">
        <v>-1270000000</v>
      </c>
      <c r="G920">
        <v>506000000</v>
      </c>
      <c r="H920">
        <v>-1543000000</v>
      </c>
      <c r="I920">
        <v>-2240000000</v>
      </c>
      <c r="J920">
        <v>-8883000000</v>
      </c>
      <c r="K920">
        <v>4865000000</v>
      </c>
      <c r="L920">
        <v>0</v>
      </c>
      <c r="M920">
        <v>4865000000</v>
      </c>
      <c r="N920">
        <v>9368000000</v>
      </c>
      <c r="O920">
        <v>1442000000</v>
      </c>
      <c r="P920">
        <v>189000000</v>
      </c>
      <c r="Q920">
        <v>10894000000</v>
      </c>
      <c r="R920">
        <v>9020000000</v>
      </c>
      <c r="S920">
        <v>23712000000</v>
      </c>
      <c r="T920">
        <v>0</v>
      </c>
      <c r="U920">
        <v>1153000000</v>
      </c>
      <c r="V920">
        <v>7400000000</v>
      </c>
      <c r="W920">
        <v>55549404000</v>
      </c>
      <c r="X920">
        <v>56702404000</v>
      </c>
      <c r="Y920">
        <v>1.6982719636463779</v>
      </c>
      <c r="Z920">
        <v>-38.843625196850397</v>
      </c>
      <c r="AA920">
        <v>97.492893280632416</v>
      </c>
      <c r="AB920">
        <v>-31.97109786130914</v>
      </c>
      <c r="AC920">
        <v>-22.022948214285719</v>
      </c>
      <c r="AD920">
        <v>-5.5534621186536084</v>
      </c>
      <c r="AE920">
        <v>-44.647562204724409</v>
      </c>
      <c r="AF920">
        <v>-43.73968818897638</v>
      </c>
      <c r="AG920">
        <v>-25.313573214285711</v>
      </c>
      <c r="AH920">
        <v>-24.798841071428569</v>
      </c>
      <c r="AI920">
        <v>112.0600869565217</v>
      </c>
      <c r="AJ920">
        <v>-36.748155541153587</v>
      </c>
      <c r="AK920">
        <v>109.7814308300395</v>
      </c>
      <c r="AL920">
        <v>-36.000909915748537</v>
      </c>
      <c r="AM920">
        <v>1.95202437345084</v>
      </c>
      <c r="AN920">
        <v>1.912331451390801</v>
      </c>
    </row>
    <row r="921" spans="1:40" x14ac:dyDescent="0.25">
      <c r="A921" s="1" t="s">
        <v>606</v>
      </c>
      <c r="B921">
        <v>50962365520</v>
      </c>
      <c r="C921" t="s">
        <v>76</v>
      </c>
      <c r="D921" t="s">
        <v>105</v>
      </c>
      <c r="E921">
        <v>29048000000</v>
      </c>
      <c r="F921">
        <v>-1270000000</v>
      </c>
      <c r="G921">
        <v>506000000</v>
      </c>
      <c r="H921">
        <v>-1543000000</v>
      </c>
      <c r="I921">
        <v>-2240000000</v>
      </c>
      <c r="J921">
        <v>-8883000000</v>
      </c>
      <c r="K921">
        <v>4865000000</v>
      </c>
      <c r="L921">
        <v>0</v>
      </c>
      <c r="M921">
        <v>4865000000</v>
      </c>
      <c r="N921">
        <v>9368000000</v>
      </c>
      <c r="O921">
        <v>1442000000</v>
      </c>
      <c r="P921">
        <v>189000000</v>
      </c>
      <c r="Q921">
        <v>10894000000</v>
      </c>
      <c r="R921">
        <v>9020000000</v>
      </c>
      <c r="S921">
        <v>23712000000</v>
      </c>
      <c r="T921">
        <v>0</v>
      </c>
      <c r="U921">
        <v>1153000000</v>
      </c>
      <c r="V921">
        <v>7400000000</v>
      </c>
      <c r="W921">
        <v>57180365520</v>
      </c>
      <c r="X921">
        <v>58333365520</v>
      </c>
      <c r="Y921">
        <v>1.754419082897273</v>
      </c>
      <c r="Z921">
        <v>-40.127846866141731</v>
      </c>
      <c r="AA921">
        <v>100.7161373913043</v>
      </c>
      <c r="AB921">
        <v>-33.028104679196367</v>
      </c>
      <c r="AC921">
        <v>-22.751056035714289</v>
      </c>
      <c r="AD921">
        <v>-5.7370669278396944</v>
      </c>
      <c r="AE921">
        <v>-45.93178387401575</v>
      </c>
      <c r="AF921">
        <v>-45.023909858267707</v>
      </c>
      <c r="AG921">
        <v>-26.041681035714291</v>
      </c>
      <c r="AH921">
        <v>-25.526948892857138</v>
      </c>
      <c r="AI921">
        <v>115.2833310671937</v>
      </c>
      <c r="AJ921">
        <v>-37.805162359040828</v>
      </c>
      <c r="AK921">
        <v>113.0046749407115</v>
      </c>
      <c r="AL921">
        <v>-37.057916733635771</v>
      </c>
      <c r="AM921">
        <v>2.0081714927017349</v>
      </c>
      <c r="AN921">
        <v>1.968478570641697</v>
      </c>
    </row>
    <row r="922" spans="1:40" x14ac:dyDescent="0.25">
      <c r="A922" s="1" t="s">
        <v>605</v>
      </c>
      <c r="B922">
        <v>52067621870</v>
      </c>
      <c r="C922" t="s">
        <v>76</v>
      </c>
      <c r="D922" t="s">
        <v>105</v>
      </c>
      <c r="E922">
        <v>29048000000</v>
      </c>
      <c r="F922">
        <v>-1270000000</v>
      </c>
      <c r="G922">
        <v>506000000</v>
      </c>
      <c r="H922">
        <v>-1543000000</v>
      </c>
      <c r="I922">
        <v>-2240000000</v>
      </c>
      <c r="J922">
        <v>-8883000000</v>
      </c>
      <c r="K922">
        <v>4865000000</v>
      </c>
      <c r="L922">
        <v>0</v>
      </c>
      <c r="M922">
        <v>4865000000</v>
      </c>
      <c r="N922">
        <v>9368000000</v>
      </c>
      <c r="O922">
        <v>1442000000</v>
      </c>
      <c r="P922">
        <v>189000000</v>
      </c>
      <c r="Q922">
        <v>10894000000</v>
      </c>
      <c r="R922">
        <v>9020000000</v>
      </c>
      <c r="S922">
        <v>23712000000</v>
      </c>
      <c r="T922">
        <v>0</v>
      </c>
      <c r="U922">
        <v>1153000000</v>
      </c>
      <c r="V922">
        <v>7400000000</v>
      </c>
      <c r="W922">
        <v>58285621870</v>
      </c>
      <c r="X922">
        <v>59438621870</v>
      </c>
      <c r="Y922">
        <v>1.7924683926604239</v>
      </c>
      <c r="Z922">
        <v>-40.998127456692913</v>
      </c>
      <c r="AA922">
        <v>102.9004384782609</v>
      </c>
      <c r="AB922">
        <v>-33.744408211276728</v>
      </c>
      <c r="AC922">
        <v>-23.24447404910714</v>
      </c>
      <c r="AD922">
        <v>-5.8614906979623997</v>
      </c>
      <c r="AE922">
        <v>-46.802064464566932</v>
      </c>
      <c r="AF922">
        <v>-45.894190448818897</v>
      </c>
      <c r="AG922">
        <v>-26.535099049107139</v>
      </c>
      <c r="AH922">
        <v>-26.02036690625</v>
      </c>
      <c r="AI922">
        <v>117.46763215415019</v>
      </c>
      <c r="AJ922">
        <v>-38.521465891121203</v>
      </c>
      <c r="AK922">
        <v>115.18897602766801</v>
      </c>
      <c r="AL922">
        <v>-37.774220265716139</v>
      </c>
      <c r="AM922">
        <v>2.046220802464886</v>
      </c>
      <c r="AN922">
        <v>2.006527880404847</v>
      </c>
    </row>
    <row r="923" spans="1:40" x14ac:dyDescent="0.25">
      <c r="A923" s="1" t="s">
        <v>604</v>
      </c>
      <c r="B923">
        <v>51344181350</v>
      </c>
      <c r="C923" t="s">
        <v>76</v>
      </c>
      <c r="D923" t="s">
        <v>105</v>
      </c>
      <c r="E923">
        <v>29048000000</v>
      </c>
      <c r="F923">
        <v>-1270000000</v>
      </c>
      <c r="G923">
        <v>506000000</v>
      </c>
      <c r="H923">
        <v>-1543000000</v>
      </c>
      <c r="I923">
        <v>-2240000000</v>
      </c>
      <c r="J923">
        <v>-8883000000</v>
      </c>
      <c r="K923">
        <v>4865000000</v>
      </c>
      <c r="L923">
        <v>0</v>
      </c>
      <c r="M923">
        <v>4865000000</v>
      </c>
      <c r="N923">
        <v>9368000000</v>
      </c>
      <c r="O923">
        <v>1442000000</v>
      </c>
      <c r="P923">
        <v>189000000</v>
      </c>
      <c r="Q923">
        <v>10894000000</v>
      </c>
      <c r="R923">
        <v>9020000000</v>
      </c>
      <c r="S923">
        <v>23712000000</v>
      </c>
      <c r="T923">
        <v>0</v>
      </c>
      <c r="U923">
        <v>1153000000</v>
      </c>
      <c r="V923">
        <v>7400000000</v>
      </c>
      <c r="W923">
        <v>57562181350</v>
      </c>
      <c r="X923">
        <v>58715181350</v>
      </c>
      <c r="Y923">
        <v>1.7675633899063621</v>
      </c>
      <c r="Z923">
        <v>-40.428489251968507</v>
      </c>
      <c r="AA923">
        <v>101.4707141304348</v>
      </c>
      <c r="AB923">
        <v>-33.275554990278678</v>
      </c>
      <c r="AC923">
        <v>-22.921509531249999</v>
      </c>
      <c r="AD923">
        <v>-5.780049684791174</v>
      </c>
      <c r="AE923">
        <v>-46.232426259842519</v>
      </c>
      <c r="AF923">
        <v>-45.324552244094491</v>
      </c>
      <c r="AG923">
        <v>-26.212134531250001</v>
      </c>
      <c r="AH923">
        <v>-25.69740238839286</v>
      </c>
      <c r="AI923">
        <v>116.0379078063241</v>
      </c>
      <c r="AJ923">
        <v>-38.052612670123139</v>
      </c>
      <c r="AK923">
        <v>113.7592516798419</v>
      </c>
      <c r="AL923">
        <v>-37.305367044718082</v>
      </c>
      <c r="AM923">
        <v>2.0213157997108229</v>
      </c>
      <c r="AN923">
        <v>1.9816228776507849</v>
      </c>
    </row>
    <row r="924" spans="1:40" x14ac:dyDescent="0.25">
      <c r="A924" s="1" t="s">
        <v>603</v>
      </c>
      <c r="B924">
        <v>53052304800</v>
      </c>
      <c r="C924" t="s">
        <v>76</v>
      </c>
      <c r="D924" t="s">
        <v>105</v>
      </c>
      <c r="E924">
        <v>29048000000</v>
      </c>
      <c r="F924">
        <v>-1270000000</v>
      </c>
      <c r="G924">
        <v>506000000</v>
      </c>
      <c r="H924">
        <v>-1543000000</v>
      </c>
      <c r="I924">
        <v>-2240000000</v>
      </c>
      <c r="J924">
        <v>-8883000000</v>
      </c>
      <c r="K924">
        <v>4865000000</v>
      </c>
      <c r="L924">
        <v>0</v>
      </c>
      <c r="M924">
        <v>4865000000</v>
      </c>
      <c r="N924">
        <v>9368000000</v>
      </c>
      <c r="O924">
        <v>1442000000</v>
      </c>
      <c r="P924">
        <v>189000000</v>
      </c>
      <c r="Q924">
        <v>10894000000</v>
      </c>
      <c r="R924">
        <v>9020000000</v>
      </c>
      <c r="S924">
        <v>23712000000</v>
      </c>
      <c r="T924">
        <v>0</v>
      </c>
      <c r="U924">
        <v>1153000000</v>
      </c>
      <c r="V924">
        <v>7400000000</v>
      </c>
      <c r="W924">
        <v>59270304800</v>
      </c>
      <c r="X924">
        <v>60423304800</v>
      </c>
      <c r="Y924">
        <v>1.8263668686312311</v>
      </c>
      <c r="Z924">
        <v>-41.773468346456703</v>
      </c>
      <c r="AA924">
        <v>104.84645217391309</v>
      </c>
      <c r="AB924">
        <v>-34.382569539857421</v>
      </c>
      <c r="AC924">
        <v>-23.684064642857141</v>
      </c>
      <c r="AD924">
        <v>-5.9723409658899023</v>
      </c>
      <c r="AE924">
        <v>-47.577405354330708</v>
      </c>
      <c r="AF924">
        <v>-46.669531338582679</v>
      </c>
      <c r="AG924">
        <v>-26.97468964285714</v>
      </c>
      <c r="AH924">
        <v>-26.459957500000002</v>
      </c>
      <c r="AI924">
        <v>119.41364584980241</v>
      </c>
      <c r="AJ924">
        <v>-39.159627219701882</v>
      </c>
      <c r="AK924">
        <v>117.1349897233202</v>
      </c>
      <c r="AL924">
        <v>-38.412381594296818</v>
      </c>
      <c r="AM924">
        <v>2.080119278435693</v>
      </c>
      <c r="AN924">
        <v>2.0404263563756539</v>
      </c>
    </row>
    <row r="925" spans="1:40" x14ac:dyDescent="0.25">
      <c r="A925" s="1" t="s">
        <v>602</v>
      </c>
      <c r="B925">
        <v>55061861800</v>
      </c>
      <c r="C925" t="s">
        <v>76</v>
      </c>
      <c r="D925" t="s">
        <v>105</v>
      </c>
      <c r="E925">
        <v>29048000000</v>
      </c>
      <c r="F925">
        <v>-1270000000</v>
      </c>
      <c r="G925">
        <v>506000000</v>
      </c>
      <c r="H925">
        <v>-1543000000</v>
      </c>
      <c r="I925">
        <v>-2240000000</v>
      </c>
      <c r="J925">
        <v>-8883000000</v>
      </c>
      <c r="K925">
        <v>4865000000</v>
      </c>
      <c r="L925">
        <v>0</v>
      </c>
      <c r="M925">
        <v>4865000000</v>
      </c>
      <c r="N925">
        <v>9368000000</v>
      </c>
      <c r="O925">
        <v>1442000000</v>
      </c>
      <c r="P925">
        <v>189000000</v>
      </c>
      <c r="Q925">
        <v>10894000000</v>
      </c>
      <c r="R925">
        <v>9020000000</v>
      </c>
      <c r="S925">
        <v>23712000000</v>
      </c>
      <c r="T925">
        <v>0</v>
      </c>
      <c r="U925">
        <v>1153000000</v>
      </c>
      <c r="V925">
        <v>7400000000</v>
      </c>
      <c r="W925">
        <v>61279861800</v>
      </c>
      <c r="X925">
        <v>62432861800</v>
      </c>
      <c r="Y925">
        <v>1.8955474318369601</v>
      </c>
      <c r="Z925">
        <v>-43.355796692913387</v>
      </c>
      <c r="AA925">
        <v>108.81790869565221</v>
      </c>
      <c r="AB925">
        <v>-35.684939598185352</v>
      </c>
      <c r="AC925">
        <v>-24.58118830357143</v>
      </c>
      <c r="AD925">
        <v>-6.1985660024766407</v>
      </c>
      <c r="AE925">
        <v>-49.159733700787399</v>
      </c>
      <c r="AF925">
        <v>-48.251859685039371</v>
      </c>
      <c r="AG925">
        <v>-27.871813303571429</v>
      </c>
      <c r="AH925">
        <v>-27.357081160714291</v>
      </c>
      <c r="AI925">
        <v>123.38510237154151</v>
      </c>
      <c r="AJ925">
        <v>-40.461997278029813</v>
      </c>
      <c r="AK925">
        <v>121.1064462450593</v>
      </c>
      <c r="AL925">
        <v>-39.714751652624763</v>
      </c>
      <c r="AM925">
        <v>2.1492998416414211</v>
      </c>
      <c r="AN925">
        <v>2.109606919581382</v>
      </c>
    </row>
    <row r="926" spans="1:40" x14ac:dyDescent="0.25">
      <c r="A926" s="1" t="s">
        <v>601</v>
      </c>
      <c r="B926">
        <v>56347978280</v>
      </c>
      <c r="C926" t="s">
        <v>76</v>
      </c>
      <c r="D926" t="s">
        <v>105</v>
      </c>
      <c r="E926">
        <v>29048000000</v>
      </c>
      <c r="F926">
        <v>-1270000000</v>
      </c>
      <c r="G926">
        <v>506000000</v>
      </c>
      <c r="H926">
        <v>-1543000000</v>
      </c>
      <c r="I926">
        <v>-2240000000</v>
      </c>
      <c r="J926">
        <v>-8883000000</v>
      </c>
      <c r="K926">
        <v>4865000000</v>
      </c>
      <c r="L926">
        <v>0</v>
      </c>
      <c r="M926">
        <v>4865000000</v>
      </c>
      <c r="N926">
        <v>9368000000</v>
      </c>
      <c r="O926">
        <v>1442000000</v>
      </c>
      <c r="P926">
        <v>189000000</v>
      </c>
      <c r="Q926">
        <v>10894000000</v>
      </c>
      <c r="R926">
        <v>9020000000</v>
      </c>
      <c r="S926">
        <v>23712000000</v>
      </c>
      <c r="T926">
        <v>0</v>
      </c>
      <c r="U926">
        <v>1153000000</v>
      </c>
      <c r="V926">
        <v>7400000000</v>
      </c>
      <c r="W926">
        <v>62565978280</v>
      </c>
      <c r="X926">
        <v>63718978280</v>
      </c>
      <c r="Y926">
        <v>1.9398229922886261</v>
      </c>
      <c r="Z926">
        <v>-44.368486834645672</v>
      </c>
      <c r="AA926">
        <v>111.3596408695652</v>
      </c>
      <c r="AB926">
        <v>-36.518456435515233</v>
      </c>
      <c r="AC926">
        <v>-25.155347446428571</v>
      </c>
      <c r="AD926">
        <v>-6.3433500258921534</v>
      </c>
      <c r="AE926">
        <v>-50.172423842519677</v>
      </c>
      <c r="AF926">
        <v>-49.264549826771663</v>
      </c>
      <c r="AG926">
        <v>-28.44597244642857</v>
      </c>
      <c r="AH926">
        <v>-27.931240303571428</v>
      </c>
      <c r="AI926">
        <v>125.9268345454545</v>
      </c>
      <c r="AJ926">
        <v>-41.295514115359687</v>
      </c>
      <c r="AK926">
        <v>123.64817841897229</v>
      </c>
      <c r="AL926">
        <v>-40.548268489954637</v>
      </c>
      <c r="AM926">
        <v>2.1935754020930869</v>
      </c>
      <c r="AN926">
        <v>2.1538824800330492</v>
      </c>
    </row>
    <row r="927" spans="1:40" x14ac:dyDescent="0.25">
      <c r="A927" s="1" t="s">
        <v>600</v>
      </c>
      <c r="B927">
        <v>56970940950</v>
      </c>
      <c r="C927" t="s">
        <v>76</v>
      </c>
      <c r="D927" t="s">
        <v>105</v>
      </c>
      <c r="E927">
        <v>29048000000</v>
      </c>
      <c r="F927">
        <v>-1270000000</v>
      </c>
      <c r="G927">
        <v>506000000</v>
      </c>
      <c r="H927">
        <v>-1543000000</v>
      </c>
      <c r="I927">
        <v>-2240000000</v>
      </c>
      <c r="J927">
        <v>-8883000000</v>
      </c>
      <c r="K927">
        <v>4865000000</v>
      </c>
      <c r="L927">
        <v>0</v>
      </c>
      <c r="M927">
        <v>4865000000</v>
      </c>
      <c r="N927">
        <v>9368000000</v>
      </c>
      <c r="O927">
        <v>1442000000</v>
      </c>
      <c r="P927">
        <v>189000000</v>
      </c>
      <c r="Q927">
        <v>10894000000</v>
      </c>
      <c r="R927">
        <v>9020000000</v>
      </c>
      <c r="S927">
        <v>23712000000</v>
      </c>
      <c r="T927">
        <v>0</v>
      </c>
      <c r="U927">
        <v>1153000000</v>
      </c>
      <c r="V927">
        <v>7400000000</v>
      </c>
      <c r="W927">
        <v>63188940950</v>
      </c>
      <c r="X927">
        <v>64341940950</v>
      </c>
      <c r="Y927">
        <v>1.961268966882401</v>
      </c>
      <c r="Z927">
        <v>-44.859008622047241</v>
      </c>
      <c r="AA927">
        <v>112.5907923913043</v>
      </c>
      <c r="AB927">
        <v>-36.922191153596891</v>
      </c>
      <c r="AC927">
        <v>-25.43345578125</v>
      </c>
      <c r="AD927">
        <v>-6.413479787234043</v>
      </c>
      <c r="AE927">
        <v>-50.662945629921261</v>
      </c>
      <c r="AF927">
        <v>-49.755071614173232</v>
      </c>
      <c r="AG927">
        <v>-28.724080781249999</v>
      </c>
      <c r="AH927">
        <v>-28.209348638392861</v>
      </c>
      <c r="AI927">
        <v>127.1579860671937</v>
      </c>
      <c r="AJ927">
        <v>-41.699248833441352</v>
      </c>
      <c r="AK927">
        <v>124.8793299407115</v>
      </c>
      <c r="AL927">
        <v>-40.952003208036302</v>
      </c>
      <c r="AM927">
        <v>2.2150213766868632</v>
      </c>
      <c r="AN927">
        <v>2.175328454626825</v>
      </c>
    </row>
    <row r="928" spans="1:40" x14ac:dyDescent="0.25">
      <c r="A928" s="1" t="s">
        <v>599</v>
      </c>
      <c r="B928">
        <v>58337439710</v>
      </c>
      <c r="C928" t="s">
        <v>76</v>
      </c>
      <c r="D928" t="s">
        <v>105</v>
      </c>
      <c r="E928">
        <v>29048000000</v>
      </c>
      <c r="F928">
        <v>-1270000000</v>
      </c>
      <c r="G928">
        <v>506000000</v>
      </c>
      <c r="H928">
        <v>-1543000000</v>
      </c>
      <c r="I928">
        <v>-2240000000</v>
      </c>
      <c r="J928">
        <v>-8883000000</v>
      </c>
      <c r="K928">
        <v>4865000000</v>
      </c>
      <c r="L928">
        <v>0</v>
      </c>
      <c r="M928">
        <v>4865000000</v>
      </c>
      <c r="N928">
        <v>9368000000</v>
      </c>
      <c r="O928">
        <v>1442000000</v>
      </c>
      <c r="P928">
        <v>189000000</v>
      </c>
      <c r="Q928">
        <v>10894000000</v>
      </c>
      <c r="R928">
        <v>9020000000</v>
      </c>
      <c r="S928">
        <v>23712000000</v>
      </c>
      <c r="T928">
        <v>0</v>
      </c>
      <c r="U928">
        <v>1153000000</v>
      </c>
      <c r="V928">
        <v>7400000000</v>
      </c>
      <c r="W928">
        <v>64555439710</v>
      </c>
      <c r="X928">
        <v>65708439710</v>
      </c>
      <c r="Y928">
        <v>2.0083117498622971</v>
      </c>
      <c r="Z928">
        <v>-45.934991897637786</v>
      </c>
      <c r="AA928">
        <v>115.291382826087</v>
      </c>
      <c r="AB928">
        <v>-37.807802793259881</v>
      </c>
      <c r="AC928">
        <v>-26.043499870535719</v>
      </c>
      <c r="AD928">
        <v>-6.5673128121130251</v>
      </c>
      <c r="AE928">
        <v>-51.738928905511813</v>
      </c>
      <c r="AF928">
        <v>-50.831054889763777</v>
      </c>
      <c r="AG928">
        <v>-29.33412487053571</v>
      </c>
      <c r="AH928">
        <v>-28.819392727678569</v>
      </c>
      <c r="AI928">
        <v>129.8585765019763</v>
      </c>
      <c r="AJ928">
        <v>-42.584860473104342</v>
      </c>
      <c r="AK928">
        <v>127.5799203754941</v>
      </c>
      <c r="AL928">
        <v>-41.837614847699292</v>
      </c>
      <c r="AM928">
        <v>2.262064159666759</v>
      </c>
      <c r="AN928">
        <v>2.22237123760672</v>
      </c>
    </row>
    <row r="929" spans="1:40" x14ac:dyDescent="0.25">
      <c r="A929" s="1" t="s">
        <v>598</v>
      </c>
      <c r="B929">
        <v>59161358080</v>
      </c>
      <c r="C929" t="s">
        <v>76</v>
      </c>
      <c r="D929" t="s">
        <v>105</v>
      </c>
      <c r="E929">
        <v>29048000000</v>
      </c>
      <c r="F929">
        <v>-1270000000</v>
      </c>
      <c r="G929">
        <v>506000000</v>
      </c>
      <c r="H929">
        <v>-1543000000</v>
      </c>
      <c r="I929">
        <v>-2240000000</v>
      </c>
      <c r="J929">
        <v>-8883000000</v>
      </c>
      <c r="K929">
        <v>4865000000</v>
      </c>
      <c r="L929">
        <v>0</v>
      </c>
      <c r="M929">
        <v>4865000000</v>
      </c>
      <c r="N929">
        <v>9368000000</v>
      </c>
      <c r="O929">
        <v>1442000000</v>
      </c>
      <c r="P929">
        <v>189000000</v>
      </c>
      <c r="Q929">
        <v>10894000000</v>
      </c>
      <c r="R929">
        <v>9020000000</v>
      </c>
      <c r="S929">
        <v>23712000000</v>
      </c>
      <c r="T929">
        <v>0</v>
      </c>
      <c r="U929">
        <v>1153000000</v>
      </c>
      <c r="V929">
        <v>7400000000</v>
      </c>
      <c r="W929">
        <v>65379358080</v>
      </c>
      <c r="X929">
        <v>66532358080</v>
      </c>
      <c r="Y929">
        <v>2.0366757807766449</v>
      </c>
      <c r="Z929">
        <v>-46.583746519685043</v>
      </c>
      <c r="AA929">
        <v>116.91968</v>
      </c>
      <c r="AB929">
        <v>-38.341774517174343</v>
      </c>
      <c r="AC929">
        <v>-26.411320571428568</v>
      </c>
      <c r="AD929">
        <v>-6.6600650771135879</v>
      </c>
      <c r="AE929">
        <v>-52.387683527559062</v>
      </c>
      <c r="AF929">
        <v>-51.479809511811027</v>
      </c>
      <c r="AG929">
        <v>-29.701945571428571</v>
      </c>
      <c r="AH929">
        <v>-29.187213428571429</v>
      </c>
      <c r="AI929">
        <v>131.48687367588931</v>
      </c>
      <c r="AJ929">
        <v>-43.118832197018797</v>
      </c>
      <c r="AK929">
        <v>129.2082175494071</v>
      </c>
      <c r="AL929">
        <v>-42.37158657161374</v>
      </c>
      <c r="AM929">
        <v>2.2904281905811068</v>
      </c>
      <c r="AN929">
        <v>2.2507352685210691</v>
      </c>
    </row>
    <row r="930" spans="1:40" x14ac:dyDescent="0.25">
      <c r="A930" s="1" t="s">
        <v>597</v>
      </c>
      <c r="B930">
        <v>58679064400</v>
      </c>
      <c r="C930" t="s">
        <v>76</v>
      </c>
      <c r="D930" t="s">
        <v>105</v>
      </c>
      <c r="E930">
        <v>29048000000</v>
      </c>
      <c r="F930">
        <v>-1270000000</v>
      </c>
      <c r="G930">
        <v>506000000</v>
      </c>
      <c r="H930">
        <v>-1543000000</v>
      </c>
      <c r="I930">
        <v>-2240000000</v>
      </c>
      <c r="J930">
        <v>-8883000000</v>
      </c>
      <c r="K930">
        <v>4865000000</v>
      </c>
      <c r="L930">
        <v>0</v>
      </c>
      <c r="M930">
        <v>4865000000</v>
      </c>
      <c r="N930">
        <v>9368000000</v>
      </c>
      <c r="O930">
        <v>1442000000</v>
      </c>
      <c r="P930">
        <v>189000000</v>
      </c>
      <c r="Q930">
        <v>10894000000</v>
      </c>
      <c r="R930">
        <v>9020000000</v>
      </c>
      <c r="S930">
        <v>23712000000</v>
      </c>
      <c r="T930">
        <v>0</v>
      </c>
      <c r="U930">
        <v>1153000000</v>
      </c>
      <c r="V930">
        <v>7400000000</v>
      </c>
      <c r="W930">
        <v>64897064400</v>
      </c>
      <c r="X930">
        <v>66050064400</v>
      </c>
      <c r="Y930">
        <v>2.020072445607271</v>
      </c>
      <c r="Z930">
        <v>-46.20398771653543</v>
      </c>
      <c r="AA930">
        <v>115.9665304347826</v>
      </c>
      <c r="AB930">
        <v>-38.029205703175627</v>
      </c>
      <c r="AC930">
        <v>-26.196010892857139</v>
      </c>
      <c r="AD930">
        <v>-6.6057710683327704</v>
      </c>
      <c r="AE930">
        <v>-52.007924724409449</v>
      </c>
      <c r="AF930">
        <v>-51.100050708661421</v>
      </c>
      <c r="AG930">
        <v>-29.486635892857141</v>
      </c>
      <c r="AH930">
        <v>-28.971903749999999</v>
      </c>
      <c r="AI930">
        <v>130.5337241106719</v>
      </c>
      <c r="AJ930">
        <v>-42.806263383020088</v>
      </c>
      <c r="AK930">
        <v>128.25506798418971</v>
      </c>
      <c r="AL930">
        <v>-42.059017757615038</v>
      </c>
      <c r="AM930">
        <v>2.273824855411732</v>
      </c>
      <c r="AN930">
        <v>2.2341319333516938</v>
      </c>
    </row>
    <row r="931" spans="1:40" x14ac:dyDescent="0.25">
      <c r="A931" s="1" t="s">
        <v>596</v>
      </c>
      <c r="B931">
        <v>58196770720</v>
      </c>
      <c r="C931" t="s">
        <v>76</v>
      </c>
      <c r="D931" t="s">
        <v>105</v>
      </c>
      <c r="E931">
        <v>29048000000</v>
      </c>
      <c r="F931">
        <v>-1270000000</v>
      </c>
      <c r="G931">
        <v>506000000</v>
      </c>
      <c r="H931">
        <v>-1543000000</v>
      </c>
      <c r="I931">
        <v>-2240000000</v>
      </c>
      <c r="J931">
        <v>-8883000000</v>
      </c>
      <c r="K931">
        <v>4865000000</v>
      </c>
      <c r="L931">
        <v>0</v>
      </c>
      <c r="M931">
        <v>4865000000</v>
      </c>
      <c r="N931">
        <v>9368000000</v>
      </c>
      <c r="O931">
        <v>1442000000</v>
      </c>
      <c r="P931">
        <v>189000000</v>
      </c>
      <c r="Q931">
        <v>10894000000</v>
      </c>
      <c r="R931">
        <v>9020000000</v>
      </c>
      <c r="S931">
        <v>23712000000</v>
      </c>
      <c r="T931">
        <v>0</v>
      </c>
      <c r="U931">
        <v>1153000000</v>
      </c>
      <c r="V931">
        <v>7400000000</v>
      </c>
      <c r="W931">
        <v>64414770720</v>
      </c>
      <c r="X931">
        <v>65567770720</v>
      </c>
      <c r="Y931">
        <v>2.0034691104378961</v>
      </c>
      <c r="Z931">
        <v>-45.824228913385816</v>
      </c>
      <c r="AA931">
        <v>115.0133808695652</v>
      </c>
      <c r="AB931">
        <v>-37.716636889176932</v>
      </c>
      <c r="AC931">
        <v>-25.980701214285709</v>
      </c>
      <c r="AD931">
        <v>-6.5514770595519529</v>
      </c>
      <c r="AE931">
        <v>-51.628165921259843</v>
      </c>
      <c r="AF931">
        <v>-50.720291905511807</v>
      </c>
      <c r="AG931">
        <v>-29.271326214285711</v>
      </c>
      <c r="AH931">
        <v>-28.756594071428569</v>
      </c>
      <c r="AI931">
        <v>129.58057454545451</v>
      </c>
      <c r="AJ931">
        <v>-42.493694569021393</v>
      </c>
      <c r="AK931">
        <v>127.30191841897231</v>
      </c>
      <c r="AL931">
        <v>-41.746448943616329</v>
      </c>
      <c r="AM931">
        <v>2.257221520242358</v>
      </c>
      <c r="AN931">
        <v>2.217528598182319</v>
      </c>
    </row>
    <row r="932" spans="1:40" x14ac:dyDescent="0.25">
      <c r="A932" s="1" t="s">
        <v>595</v>
      </c>
      <c r="B932">
        <v>58337439710</v>
      </c>
      <c r="C932" t="s">
        <v>76</v>
      </c>
      <c r="D932" t="s">
        <v>105</v>
      </c>
      <c r="E932">
        <v>29048000000</v>
      </c>
      <c r="F932">
        <v>-1270000000</v>
      </c>
      <c r="G932">
        <v>506000000</v>
      </c>
      <c r="H932">
        <v>-1543000000</v>
      </c>
      <c r="I932">
        <v>-2240000000</v>
      </c>
      <c r="J932">
        <v>-8883000000</v>
      </c>
      <c r="K932">
        <v>4865000000</v>
      </c>
      <c r="L932">
        <v>0</v>
      </c>
      <c r="M932">
        <v>4865000000</v>
      </c>
      <c r="N932">
        <v>9368000000</v>
      </c>
      <c r="O932">
        <v>1442000000</v>
      </c>
      <c r="P932">
        <v>189000000</v>
      </c>
      <c r="Q932">
        <v>10894000000</v>
      </c>
      <c r="R932">
        <v>9020000000</v>
      </c>
      <c r="S932">
        <v>23712000000</v>
      </c>
      <c r="T932">
        <v>0</v>
      </c>
      <c r="U932">
        <v>1153000000</v>
      </c>
      <c r="V932">
        <v>7400000000</v>
      </c>
      <c r="W932">
        <v>64555439710</v>
      </c>
      <c r="X932">
        <v>65708439710</v>
      </c>
      <c r="Y932">
        <v>2.0083117498622971</v>
      </c>
      <c r="Z932">
        <v>-45.934991897637786</v>
      </c>
      <c r="AA932">
        <v>115.291382826087</v>
      </c>
      <c r="AB932">
        <v>-37.807802793259881</v>
      </c>
      <c r="AC932">
        <v>-26.043499870535719</v>
      </c>
      <c r="AD932">
        <v>-6.5673128121130251</v>
      </c>
      <c r="AE932">
        <v>-51.738928905511813</v>
      </c>
      <c r="AF932">
        <v>-50.831054889763777</v>
      </c>
      <c r="AG932">
        <v>-29.33412487053571</v>
      </c>
      <c r="AH932">
        <v>-28.819392727678569</v>
      </c>
      <c r="AI932">
        <v>129.8585765019763</v>
      </c>
      <c r="AJ932">
        <v>-42.584860473104342</v>
      </c>
      <c r="AK932">
        <v>127.5799203754941</v>
      </c>
      <c r="AL932">
        <v>-41.837614847699292</v>
      </c>
      <c r="AM932">
        <v>2.262064159666759</v>
      </c>
      <c r="AN932">
        <v>2.22237123760672</v>
      </c>
    </row>
    <row r="933" spans="1:40" x14ac:dyDescent="0.25">
      <c r="A933" s="1" t="s">
        <v>594</v>
      </c>
      <c r="B933">
        <v>61010150520</v>
      </c>
      <c r="C933" t="s">
        <v>76</v>
      </c>
      <c r="D933" t="s">
        <v>105</v>
      </c>
      <c r="E933">
        <v>29048000000</v>
      </c>
      <c r="F933">
        <v>-1270000000</v>
      </c>
      <c r="G933">
        <v>506000000</v>
      </c>
      <c r="H933">
        <v>-1543000000</v>
      </c>
      <c r="I933">
        <v>-2240000000</v>
      </c>
      <c r="J933">
        <v>-8883000000</v>
      </c>
      <c r="K933">
        <v>4865000000</v>
      </c>
      <c r="L933">
        <v>0</v>
      </c>
      <c r="M933">
        <v>4865000000</v>
      </c>
      <c r="N933">
        <v>9368000000</v>
      </c>
      <c r="O933">
        <v>1442000000</v>
      </c>
      <c r="P933">
        <v>189000000</v>
      </c>
      <c r="Q933">
        <v>10894000000</v>
      </c>
      <c r="R933">
        <v>9020000000</v>
      </c>
      <c r="S933">
        <v>23712000000</v>
      </c>
      <c r="T933">
        <v>0</v>
      </c>
      <c r="U933">
        <v>1153000000</v>
      </c>
      <c r="V933">
        <v>7400000000</v>
      </c>
      <c r="W933">
        <v>67228150520</v>
      </c>
      <c r="X933">
        <v>68381150520</v>
      </c>
      <c r="Y933">
        <v>2.100321898925916</v>
      </c>
      <c r="Z933">
        <v>-48.039488598425187</v>
      </c>
      <c r="AA933">
        <v>120.57342</v>
      </c>
      <c r="AB933">
        <v>-39.539954970836042</v>
      </c>
      <c r="AC933">
        <v>-27.23667433928571</v>
      </c>
      <c r="AD933">
        <v>-6.8681921107733874</v>
      </c>
      <c r="AE933">
        <v>-53.843425606299213</v>
      </c>
      <c r="AF933">
        <v>-52.935551590551178</v>
      </c>
      <c r="AG933">
        <v>-30.527299339285719</v>
      </c>
      <c r="AH933">
        <v>-30.01256719642857</v>
      </c>
      <c r="AI933">
        <v>135.14061367588931</v>
      </c>
      <c r="AJ933">
        <v>-44.317012650680489</v>
      </c>
      <c r="AK933">
        <v>132.86195754940709</v>
      </c>
      <c r="AL933">
        <v>-43.569767025275439</v>
      </c>
      <c r="AM933">
        <v>2.354074308730377</v>
      </c>
      <c r="AN933">
        <v>2.3143813866703389</v>
      </c>
    </row>
    <row r="934" spans="1:40" x14ac:dyDescent="0.25">
      <c r="A934" s="1" t="s">
        <v>593</v>
      </c>
      <c r="B934">
        <v>61351775210</v>
      </c>
      <c r="C934" t="s">
        <v>76</v>
      </c>
      <c r="D934" t="s">
        <v>105</v>
      </c>
      <c r="E934">
        <v>29048000000</v>
      </c>
      <c r="F934">
        <v>-1270000000</v>
      </c>
      <c r="G934">
        <v>506000000</v>
      </c>
      <c r="H934">
        <v>-1543000000</v>
      </c>
      <c r="I934">
        <v>-2240000000</v>
      </c>
      <c r="J934">
        <v>-8883000000</v>
      </c>
      <c r="K934">
        <v>4865000000</v>
      </c>
      <c r="L934">
        <v>0</v>
      </c>
      <c r="M934">
        <v>4865000000</v>
      </c>
      <c r="N934">
        <v>9368000000</v>
      </c>
      <c r="O934">
        <v>1442000000</v>
      </c>
      <c r="P934">
        <v>189000000</v>
      </c>
      <c r="Q934">
        <v>10894000000</v>
      </c>
      <c r="R934">
        <v>9020000000</v>
      </c>
      <c r="S934">
        <v>23712000000</v>
      </c>
      <c r="T934">
        <v>0</v>
      </c>
      <c r="U934">
        <v>1153000000</v>
      </c>
      <c r="V934">
        <v>7400000000</v>
      </c>
      <c r="W934">
        <v>67569775210</v>
      </c>
      <c r="X934">
        <v>68722775210</v>
      </c>
      <c r="Y934">
        <v>2.112082594670889</v>
      </c>
      <c r="Z934">
        <v>-48.308484417322838</v>
      </c>
      <c r="AA934">
        <v>121.24856760869569</v>
      </c>
      <c r="AB934">
        <v>-39.761357880751781</v>
      </c>
      <c r="AC934">
        <v>-27.38918536160714</v>
      </c>
      <c r="AD934">
        <v>-6.9066503669931327</v>
      </c>
      <c r="AE934">
        <v>-54.11242142519685</v>
      </c>
      <c r="AF934">
        <v>-53.204547409448821</v>
      </c>
      <c r="AG934">
        <v>-30.679810361607139</v>
      </c>
      <c r="AH934">
        <v>-30.165078218750001</v>
      </c>
      <c r="AI934">
        <v>135.81576128458499</v>
      </c>
      <c r="AJ934">
        <v>-44.538415560596242</v>
      </c>
      <c r="AK934">
        <v>133.5371051581028</v>
      </c>
      <c r="AL934">
        <v>-43.791169935191178</v>
      </c>
      <c r="AM934">
        <v>2.3658350044753509</v>
      </c>
      <c r="AN934">
        <v>2.3261420824153132</v>
      </c>
    </row>
    <row r="935" spans="1:40" x14ac:dyDescent="0.25">
      <c r="A935" s="1" t="s">
        <v>592</v>
      </c>
      <c r="B935">
        <v>60146041010</v>
      </c>
      <c r="C935" t="s">
        <v>76</v>
      </c>
      <c r="D935" t="s">
        <v>105</v>
      </c>
      <c r="E935">
        <v>29048000000</v>
      </c>
      <c r="F935">
        <v>-1270000000</v>
      </c>
      <c r="G935">
        <v>506000000</v>
      </c>
      <c r="H935">
        <v>-1543000000</v>
      </c>
      <c r="I935">
        <v>-2240000000</v>
      </c>
      <c r="J935">
        <v>-8883000000</v>
      </c>
      <c r="K935">
        <v>4865000000</v>
      </c>
      <c r="L935">
        <v>0</v>
      </c>
      <c r="M935">
        <v>4865000000</v>
      </c>
      <c r="N935">
        <v>9368000000</v>
      </c>
      <c r="O935">
        <v>1442000000</v>
      </c>
      <c r="P935">
        <v>189000000</v>
      </c>
      <c r="Q935">
        <v>10894000000</v>
      </c>
      <c r="R935">
        <v>9020000000</v>
      </c>
      <c r="S935">
        <v>23712000000</v>
      </c>
      <c r="T935">
        <v>0</v>
      </c>
      <c r="U935">
        <v>1153000000</v>
      </c>
      <c r="V935">
        <v>7400000000</v>
      </c>
      <c r="W935">
        <v>66364041010</v>
      </c>
      <c r="X935">
        <v>67517041010</v>
      </c>
      <c r="Y935">
        <v>2.0705742567474519</v>
      </c>
      <c r="Z935">
        <v>-47.359087409448819</v>
      </c>
      <c r="AA935">
        <v>118.8656936956522</v>
      </c>
      <c r="AB935">
        <v>-38.979935845755023</v>
      </c>
      <c r="AC935">
        <v>-26.850911165178569</v>
      </c>
      <c r="AD935">
        <v>-6.7709153450410886</v>
      </c>
      <c r="AE935">
        <v>-53.163024417322838</v>
      </c>
      <c r="AF935">
        <v>-52.255150401574802</v>
      </c>
      <c r="AG935">
        <v>-30.141536165178572</v>
      </c>
      <c r="AH935">
        <v>-29.62680402232143</v>
      </c>
      <c r="AI935">
        <v>133.43288737154151</v>
      </c>
      <c r="AJ935">
        <v>-43.756993525599484</v>
      </c>
      <c r="AK935">
        <v>131.15423124505929</v>
      </c>
      <c r="AL935">
        <v>-43.009747900194427</v>
      </c>
      <c r="AM935">
        <v>2.3243266665519138</v>
      </c>
      <c r="AN935">
        <v>2.2846337444918761</v>
      </c>
    </row>
    <row r="936" spans="1:40" x14ac:dyDescent="0.25">
      <c r="A936" s="1" t="s">
        <v>591</v>
      </c>
      <c r="B936">
        <v>60869481530</v>
      </c>
      <c r="C936" t="s">
        <v>76</v>
      </c>
      <c r="D936" t="s">
        <v>105</v>
      </c>
      <c r="E936">
        <v>29048000000</v>
      </c>
      <c r="F936">
        <v>-1270000000</v>
      </c>
      <c r="G936">
        <v>506000000</v>
      </c>
      <c r="H936">
        <v>-1543000000</v>
      </c>
      <c r="I936">
        <v>-2240000000</v>
      </c>
      <c r="J936">
        <v>-8883000000</v>
      </c>
      <c r="K936">
        <v>4865000000</v>
      </c>
      <c r="L936">
        <v>0</v>
      </c>
      <c r="M936">
        <v>4865000000</v>
      </c>
      <c r="N936">
        <v>9368000000</v>
      </c>
      <c r="O936">
        <v>1442000000</v>
      </c>
      <c r="P936">
        <v>189000000</v>
      </c>
      <c r="Q936">
        <v>10894000000</v>
      </c>
      <c r="R936">
        <v>9020000000</v>
      </c>
      <c r="S936">
        <v>23712000000</v>
      </c>
      <c r="T936">
        <v>0</v>
      </c>
      <c r="U936">
        <v>1153000000</v>
      </c>
      <c r="V936">
        <v>7400000000</v>
      </c>
      <c r="W936">
        <v>67087481530</v>
      </c>
      <c r="X936">
        <v>68240481530</v>
      </c>
      <c r="Y936">
        <v>2.095479259501515</v>
      </c>
      <c r="Z936">
        <v>-47.928725614173231</v>
      </c>
      <c r="AA936">
        <v>120.29541804347831</v>
      </c>
      <c r="AB936">
        <v>-39.448789066753079</v>
      </c>
      <c r="AC936">
        <v>-27.17387568303571</v>
      </c>
      <c r="AD936">
        <v>-6.8523563582123153</v>
      </c>
      <c r="AE936">
        <v>-53.732662622047243</v>
      </c>
      <c r="AF936">
        <v>-52.824788606299222</v>
      </c>
      <c r="AG936">
        <v>-30.464500683035709</v>
      </c>
      <c r="AH936">
        <v>-29.949768540178571</v>
      </c>
      <c r="AI936">
        <v>134.86261171936761</v>
      </c>
      <c r="AJ936">
        <v>-44.22584674659754</v>
      </c>
      <c r="AK936">
        <v>132.58395559288539</v>
      </c>
      <c r="AL936">
        <v>-43.478601121192483</v>
      </c>
      <c r="AM936">
        <v>2.349231669305976</v>
      </c>
      <c r="AN936">
        <v>2.3095387472459379</v>
      </c>
    </row>
    <row r="937" spans="1:40" x14ac:dyDescent="0.25">
      <c r="A937" s="1" t="s">
        <v>590</v>
      </c>
      <c r="B937">
        <v>60326901140</v>
      </c>
      <c r="C937" t="s">
        <v>76</v>
      </c>
      <c r="D937" t="s">
        <v>105</v>
      </c>
      <c r="E937">
        <v>29048000000</v>
      </c>
      <c r="F937">
        <v>-1270000000</v>
      </c>
      <c r="G937">
        <v>506000000</v>
      </c>
      <c r="H937">
        <v>-1543000000</v>
      </c>
      <c r="I937">
        <v>-2240000000</v>
      </c>
      <c r="J937">
        <v>-8883000000</v>
      </c>
      <c r="K937">
        <v>4865000000</v>
      </c>
      <c r="L937">
        <v>0</v>
      </c>
      <c r="M937">
        <v>4865000000</v>
      </c>
      <c r="N937">
        <v>9368000000</v>
      </c>
      <c r="O937">
        <v>1442000000</v>
      </c>
      <c r="P937">
        <v>189000000</v>
      </c>
      <c r="Q937">
        <v>10894000000</v>
      </c>
      <c r="R937">
        <v>9020000000</v>
      </c>
      <c r="S937">
        <v>23712000000</v>
      </c>
      <c r="T937">
        <v>0</v>
      </c>
      <c r="U937">
        <v>1153000000</v>
      </c>
      <c r="V937">
        <v>7400000000</v>
      </c>
      <c r="W937">
        <v>66544901140</v>
      </c>
      <c r="X937">
        <v>67697901140</v>
      </c>
      <c r="Y937">
        <v>2.0768005074359679</v>
      </c>
      <c r="Z937">
        <v>-47.501496960629922</v>
      </c>
      <c r="AA937">
        <v>119.22312478260871</v>
      </c>
      <c r="AB937">
        <v>-39.097149151004537</v>
      </c>
      <c r="AC937">
        <v>-26.931652294642859</v>
      </c>
      <c r="AD937">
        <v>-6.7912755983338959</v>
      </c>
      <c r="AE937">
        <v>-53.305433968503927</v>
      </c>
      <c r="AF937">
        <v>-52.397559952755913</v>
      </c>
      <c r="AG937">
        <v>-30.222277294642861</v>
      </c>
      <c r="AH937">
        <v>-29.707545151785709</v>
      </c>
      <c r="AI937">
        <v>133.79031845849801</v>
      </c>
      <c r="AJ937">
        <v>-43.874206830848998</v>
      </c>
      <c r="AK937">
        <v>131.51166233201579</v>
      </c>
      <c r="AL937">
        <v>-43.126961205443941</v>
      </c>
      <c r="AM937">
        <v>2.3305529172404298</v>
      </c>
      <c r="AN937">
        <v>2.2908599951803912</v>
      </c>
    </row>
    <row r="938" spans="1:40" x14ac:dyDescent="0.25">
      <c r="A938" s="1" t="s">
        <v>589</v>
      </c>
      <c r="B938">
        <v>61010150520</v>
      </c>
      <c r="C938" t="s">
        <v>76</v>
      </c>
      <c r="D938" t="s">
        <v>105</v>
      </c>
      <c r="E938">
        <v>29048000000</v>
      </c>
      <c r="F938">
        <v>-1270000000</v>
      </c>
      <c r="G938">
        <v>506000000</v>
      </c>
      <c r="H938">
        <v>-1543000000</v>
      </c>
      <c r="I938">
        <v>-2240000000</v>
      </c>
      <c r="J938">
        <v>-8883000000</v>
      </c>
      <c r="K938">
        <v>4865000000</v>
      </c>
      <c r="L938">
        <v>0</v>
      </c>
      <c r="M938">
        <v>4865000000</v>
      </c>
      <c r="N938">
        <v>9368000000</v>
      </c>
      <c r="O938">
        <v>1442000000</v>
      </c>
      <c r="P938">
        <v>189000000</v>
      </c>
      <c r="Q938">
        <v>10894000000</v>
      </c>
      <c r="R938">
        <v>9020000000</v>
      </c>
      <c r="S938">
        <v>23712000000</v>
      </c>
      <c r="T938">
        <v>0</v>
      </c>
      <c r="U938">
        <v>1153000000</v>
      </c>
      <c r="V938">
        <v>7400000000</v>
      </c>
      <c r="W938">
        <v>67228150520</v>
      </c>
      <c r="X938">
        <v>68381150520</v>
      </c>
      <c r="Y938">
        <v>2.100321898925916</v>
      </c>
      <c r="Z938">
        <v>-48.039488598425187</v>
      </c>
      <c r="AA938">
        <v>120.57342</v>
      </c>
      <c r="AB938">
        <v>-39.539954970836042</v>
      </c>
      <c r="AC938">
        <v>-27.23667433928571</v>
      </c>
      <c r="AD938">
        <v>-6.8681921107733874</v>
      </c>
      <c r="AE938">
        <v>-53.843425606299213</v>
      </c>
      <c r="AF938">
        <v>-52.935551590551178</v>
      </c>
      <c r="AG938">
        <v>-30.527299339285719</v>
      </c>
      <c r="AH938">
        <v>-30.01256719642857</v>
      </c>
      <c r="AI938">
        <v>135.14061367588931</v>
      </c>
      <c r="AJ938">
        <v>-44.317012650680489</v>
      </c>
      <c r="AK938">
        <v>132.86195754940709</v>
      </c>
      <c r="AL938">
        <v>-43.569767025275439</v>
      </c>
      <c r="AM938">
        <v>2.354074308730377</v>
      </c>
      <c r="AN938">
        <v>2.3143813866703389</v>
      </c>
    </row>
    <row r="939" spans="1:40" x14ac:dyDescent="0.25">
      <c r="A939" s="1" t="s">
        <v>588</v>
      </c>
      <c r="B939">
        <v>59543173910</v>
      </c>
      <c r="C939" t="s">
        <v>76</v>
      </c>
      <c r="D939" t="s">
        <v>105</v>
      </c>
      <c r="E939">
        <v>29048000000</v>
      </c>
      <c r="F939">
        <v>-1270000000</v>
      </c>
      <c r="G939">
        <v>506000000</v>
      </c>
      <c r="H939">
        <v>-1543000000</v>
      </c>
      <c r="I939">
        <v>-2240000000</v>
      </c>
      <c r="J939">
        <v>-8883000000</v>
      </c>
      <c r="K939">
        <v>4865000000</v>
      </c>
      <c r="L939">
        <v>0</v>
      </c>
      <c r="M939">
        <v>4865000000</v>
      </c>
      <c r="N939">
        <v>9368000000</v>
      </c>
      <c r="O939">
        <v>1442000000</v>
      </c>
      <c r="P939">
        <v>189000000</v>
      </c>
      <c r="Q939">
        <v>10894000000</v>
      </c>
      <c r="R939">
        <v>9020000000</v>
      </c>
      <c r="S939">
        <v>23712000000</v>
      </c>
      <c r="T939">
        <v>0</v>
      </c>
      <c r="U939">
        <v>1153000000</v>
      </c>
      <c r="V939">
        <v>7400000000</v>
      </c>
      <c r="W939">
        <v>65761173910</v>
      </c>
      <c r="X939">
        <v>66914173910</v>
      </c>
      <c r="Y939">
        <v>2.0498200877857342</v>
      </c>
      <c r="Z939">
        <v>-46.884388905511813</v>
      </c>
      <c r="AA939">
        <v>117.6742567391304</v>
      </c>
      <c r="AB939">
        <v>-38.58922482825664</v>
      </c>
      <c r="AC939">
        <v>-26.581774066964289</v>
      </c>
      <c r="AD939">
        <v>-6.7030478340650683</v>
      </c>
      <c r="AE939">
        <v>-52.688325913385818</v>
      </c>
      <c r="AF939">
        <v>-51.780451897637803</v>
      </c>
      <c r="AG939">
        <v>-29.872399066964281</v>
      </c>
      <c r="AH939">
        <v>-29.357666924107139</v>
      </c>
      <c r="AI939">
        <v>132.24145041501981</v>
      </c>
      <c r="AJ939">
        <v>-43.366282508101101</v>
      </c>
      <c r="AK939">
        <v>129.96279428853751</v>
      </c>
      <c r="AL939">
        <v>-42.619036882696037</v>
      </c>
      <c r="AM939">
        <v>2.3035724975901961</v>
      </c>
      <c r="AN939">
        <v>2.2638795755301571</v>
      </c>
    </row>
    <row r="940" spans="1:40" x14ac:dyDescent="0.25">
      <c r="A940" s="1" t="s">
        <v>587</v>
      </c>
      <c r="B940">
        <v>62155598010</v>
      </c>
      <c r="C940" t="s">
        <v>76</v>
      </c>
      <c r="D940" t="s">
        <v>105</v>
      </c>
      <c r="E940">
        <v>29048000000</v>
      </c>
      <c r="F940">
        <v>-1270000000</v>
      </c>
      <c r="G940">
        <v>506000000</v>
      </c>
      <c r="H940">
        <v>-1543000000</v>
      </c>
      <c r="I940">
        <v>-2240000000</v>
      </c>
      <c r="J940">
        <v>-8883000000</v>
      </c>
      <c r="K940">
        <v>4865000000</v>
      </c>
      <c r="L940">
        <v>0</v>
      </c>
      <c r="M940">
        <v>4865000000</v>
      </c>
      <c r="N940">
        <v>9368000000</v>
      </c>
      <c r="O940">
        <v>1442000000</v>
      </c>
      <c r="P940">
        <v>189000000</v>
      </c>
      <c r="Q940">
        <v>10894000000</v>
      </c>
      <c r="R940">
        <v>9020000000</v>
      </c>
      <c r="S940">
        <v>23712000000</v>
      </c>
      <c r="T940">
        <v>0</v>
      </c>
      <c r="U940">
        <v>1153000000</v>
      </c>
      <c r="V940">
        <v>7400000000</v>
      </c>
      <c r="W940">
        <v>68373598010</v>
      </c>
      <c r="X940">
        <v>69526598010</v>
      </c>
      <c r="Y940">
        <v>2.1397548199531808</v>
      </c>
      <c r="Z940">
        <v>-48.94141575590551</v>
      </c>
      <c r="AA940">
        <v>122.8371502173913</v>
      </c>
      <c r="AB940">
        <v>-40.282305904082953</v>
      </c>
      <c r="AC940">
        <v>-27.748034825892859</v>
      </c>
      <c r="AD940">
        <v>-6.9971403816278288</v>
      </c>
      <c r="AE940">
        <v>-54.745352763779529</v>
      </c>
      <c r="AF940">
        <v>-53.837478748031486</v>
      </c>
      <c r="AG940">
        <v>-31.038659825892861</v>
      </c>
      <c r="AH940">
        <v>-30.523927683035719</v>
      </c>
      <c r="AI940">
        <v>137.40434389328061</v>
      </c>
      <c r="AJ940">
        <v>-45.059363583927407</v>
      </c>
      <c r="AK940">
        <v>135.12568776679839</v>
      </c>
      <c r="AL940">
        <v>-44.312117958522357</v>
      </c>
      <c r="AM940">
        <v>2.3935072297576432</v>
      </c>
      <c r="AN940">
        <v>2.3538143076976041</v>
      </c>
    </row>
    <row r="941" spans="1:40" x14ac:dyDescent="0.25">
      <c r="A941" s="1" t="s">
        <v>586</v>
      </c>
      <c r="B941">
        <v>63280949930</v>
      </c>
      <c r="C941" t="s">
        <v>76</v>
      </c>
      <c r="D941" t="s">
        <v>105</v>
      </c>
      <c r="E941">
        <v>29048000000</v>
      </c>
      <c r="F941">
        <v>-1270000000</v>
      </c>
      <c r="G941">
        <v>506000000</v>
      </c>
      <c r="H941">
        <v>-1543000000</v>
      </c>
      <c r="I941">
        <v>-2240000000</v>
      </c>
      <c r="J941">
        <v>-8883000000</v>
      </c>
      <c r="K941">
        <v>4865000000</v>
      </c>
      <c r="L941">
        <v>0</v>
      </c>
      <c r="M941">
        <v>4865000000</v>
      </c>
      <c r="N941">
        <v>9368000000</v>
      </c>
      <c r="O941">
        <v>1442000000</v>
      </c>
      <c r="P941">
        <v>189000000</v>
      </c>
      <c r="Q941">
        <v>10894000000</v>
      </c>
      <c r="R941">
        <v>9020000000</v>
      </c>
      <c r="S941">
        <v>23712000000</v>
      </c>
      <c r="T941">
        <v>0</v>
      </c>
      <c r="U941">
        <v>1153000000</v>
      </c>
      <c r="V941">
        <v>7400000000</v>
      </c>
      <c r="W941">
        <v>69498949930</v>
      </c>
      <c r="X941">
        <v>70651949930</v>
      </c>
      <c r="Y941">
        <v>2.1784959353483888</v>
      </c>
      <c r="Z941">
        <v>-49.827519629921262</v>
      </c>
      <c r="AA941">
        <v>125.0611658695652</v>
      </c>
      <c r="AB941">
        <v>-41.011633136746603</v>
      </c>
      <c r="AC941">
        <v>-28.250424075892859</v>
      </c>
      <c r="AD941">
        <v>-7.1238264021164017</v>
      </c>
      <c r="AE941">
        <v>-55.631456637795267</v>
      </c>
      <c r="AF941">
        <v>-54.723582622047253</v>
      </c>
      <c r="AG941">
        <v>-31.541049075892861</v>
      </c>
      <c r="AH941">
        <v>-31.026316933035719</v>
      </c>
      <c r="AI941">
        <v>139.62835954545449</v>
      </c>
      <c r="AJ941">
        <v>-45.788690816591057</v>
      </c>
      <c r="AK941">
        <v>137.3497034189723</v>
      </c>
      <c r="AL941">
        <v>-45.041445191186</v>
      </c>
      <c r="AM941">
        <v>2.4322483451528498</v>
      </c>
      <c r="AN941">
        <v>2.3925554230928121</v>
      </c>
    </row>
    <row r="942" spans="1:40" x14ac:dyDescent="0.25">
      <c r="A942" s="1" t="s">
        <v>585</v>
      </c>
      <c r="B942">
        <v>66415858849</v>
      </c>
      <c r="C942" t="s">
        <v>76</v>
      </c>
      <c r="D942" t="s">
        <v>105</v>
      </c>
      <c r="E942">
        <v>29048000000</v>
      </c>
      <c r="F942">
        <v>-1270000000</v>
      </c>
      <c r="G942">
        <v>506000000</v>
      </c>
      <c r="H942">
        <v>-1543000000</v>
      </c>
      <c r="I942">
        <v>-2240000000</v>
      </c>
      <c r="J942">
        <v>-8883000000</v>
      </c>
      <c r="K942">
        <v>4865000000</v>
      </c>
      <c r="L942">
        <v>0</v>
      </c>
      <c r="M942">
        <v>4865000000</v>
      </c>
      <c r="N942">
        <v>9368000000</v>
      </c>
      <c r="O942">
        <v>1442000000</v>
      </c>
      <c r="P942">
        <v>189000000</v>
      </c>
      <c r="Q942">
        <v>10894000000</v>
      </c>
      <c r="R942">
        <v>9020000000</v>
      </c>
      <c r="S942">
        <v>23712000000</v>
      </c>
      <c r="T942">
        <v>0</v>
      </c>
      <c r="U942">
        <v>1153000000</v>
      </c>
      <c r="V942">
        <v>7400000000</v>
      </c>
      <c r="W942">
        <v>72633858849</v>
      </c>
      <c r="X942">
        <v>73786858849</v>
      </c>
      <c r="Y942">
        <v>2.2864176139148999</v>
      </c>
      <c r="Z942">
        <v>-52.295951849606297</v>
      </c>
      <c r="AA942">
        <v>131.25663804150199</v>
      </c>
      <c r="AB942">
        <v>-43.043330427090083</v>
      </c>
      <c r="AC942">
        <v>-29.649936986160711</v>
      </c>
      <c r="AD942">
        <v>-7.47673745907914</v>
      </c>
      <c r="AE942">
        <v>-58.099888857480323</v>
      </c>
      <c r="AF942">
        <v>-57.192014841732281</v>
      </c>
      <c r="AG942">
        <v>-32.940561986160724</v>
      </c>
      <c r="AH942">
        <v>-32.425829843303568</v>
      </c>
      <c r="AI942">
        <v>145.8238317173913</v>
      </c>
      <c r="AJ942">
        <v>-47.820388106934537</v>
      </c>
      <c r="AK942">
        <v>143.54517559090911</v>
      </c>
      <c r="AL942">
        <v>-47.073142481529487</v>
      </c>
      <c r="AM942">
        <v>2.540170023719361</v>
      </c>
      <c r="AN942">
        <v>2.5004771016593219</v>
      </c>
    </row>
    <row r="943" spans="1:40" x14ac:dyDescent="0.25">
      <c r="A943" s="1" t="s">
        <v>584</v>
      </c>
      <c r="B943">
        <v>66496241130</v>
      </c>
      <c r="C943" t="s">
        <v>76</v>
      </c>
      <c r="D943" t="s">
        <v>105</v>
      </c>
      <c r="E943">
        <v>29048000000</v>
      </c>
      <c r="F943">
        <v>-1270000000</v>
      </c>
      <c r="G943">
        <v>506000000</v>
      </c>
      <c r="H943">
        <v>-1543000000</v>
      </c>
      <c r="I943">
        <v>-2240000000</v>
      </c>
      <c r="J943">
        <v>-8883000000</v>
      </c>
      <c r="K943">
        <v>4865000000</v>
      </c>
      <c r="L943">
        <v>0</v>
      </c>
      <c r="M943">
        <v>4865000000</v>
      </c>
      <c r="N943">
        <v>9368000000</v>
      </c>
      <c r="O943">
        <v>1442000000</v>
      </c>
      <c r="P943">
        <v>189000000</v>
      </c>
      <c r="Q943">
        <v>10894000000</v>
      </c>
      <c r="R943">
        <v>9020000000</v>
      </c>
      <c r="S943">
        <v>23712000000</v>
      </c>
      <c r="T943">
        <v>0</v>
      </c>
      <c r="U943">
        <v>1153000000</v>
      </c>
      <c r="V943">
        <v>7400000000</v>
      </c>
      <c r="W943">
        <v>72714241130</v>
      </c>
      <c r="X943">
        <v>73867241130</v>
      </c>
      <c r="Y943">
        <v>2.289184836477554</v>
      </c>
      <c r="Z943">
        <v>-52.359244984251973</v>
      </c>
      <c r="AA943">
        <v>131.41549630434781</v>
      </c>
      <c r="AB943">
        <v>-43.095425230071292</v>
      </c>
      <c r="AC943">
        <v>-29.685821933035719</v>
      </c>
      <c r="AD943">
        <v>-7.4857864606551843</v>
      </c>
      <c r="AE943">
        <v>-58.163181992125978</v>
      </c>
      <c r="AF943">
        <v>-57.255307976377949</v>
      </c>
      <c r="AG943">
        <v>-32.976446933035717</v>
      </c>
      <c r="AH943">
        <v>-32.461714790178569</v>
      </c>
      <c r="AI943">
        <v>145.98268998023721</v>
      </c>
      <c r="AJ943">
        <v>-47.872482909915753</v>
      </c>
      <c r="AK943">
        <v>143.70403385375491</v>
      </c>
      <c r="AL943">
        <v>-47.125237284510703</v>
      </c>
      <c r="AM943">
        <v>2.5429372462820159</v>
      </c>
      <c r="AN943">
        <v>2.5032443242219768</v>
      </c>
    </row>
    <row r="944" spans="1:40" x14ac:dyDescent="0.25">
      <c r="A944" s="1" t="s">
        <v>583</v>
      </c>
      <c r="B944">
        <v>68123982300</v>
      </c>
      <c r="C944" t="s">
        <v>76</v>
      </c>
      <c r="D944" t="s">
        <v>105</v>
      </c>
      <c r="E944">
        <v>29048000000</v>
      </c>
      <c r="F944">
        <v>-1270000000</v>
      </c>
      <c r="G944">
        <v>506000000</v>
      </c>
      <c r="H944">
        <v>-1543000000</v>
      </c>
      <c r="I944">
        <v>-2240000000</v>
      </c>
      <c r="J944">
        <v>-8883000000</v>
      </c>
      <c r="K944">
        <v>4865000000</v>
      </c>
      <c r="L944">
        <v>0</v>
      </c>
      <c r="M944">
        <v>4865000000</v>
      </c>
      <c r="N944">
        <v>9368000000</v>
      </c>
      <c r="O944">
        <v>1442000000</v>
      </c>
      <c r="P944">
        <v>189000000</v>
      </c>
      <c r="Q944">
        <v>10894000000</v>
      </c>
      <c r="R944">
        <v>9020000000</v>
      </c>
      <c r="S944">
        <v>23712000000</v>
      </c>
      <c r="T944">
        <v>0</v>
      </c>
      <c r="U944">
        <v>1153000000</v>
      </c>
      <c r="V944">
        <v>7400000000</v>
      </c>
      <c r="W944">
        <v>74341982300</v>
      </c>
      <c r="X944">
        <v>75494982300</v>
      </c>
      <c r="Y944">
        <v>2.345221092674195</v>
      </c>
      <c r="Z944">
        <v>-53.640930944881887</v>
      </c>
      <c r="AA944">
        <v>134.6323760869565</v>
      </c>
      <c r="AB944">
        <v>-44.150344977316912</v>
      </c>
      <c r="AC944">
        <v>-30.41249209821429</v>
      </c>
      <c r="AD944">
        <v>-7.6690287402904422</v>
      </c>
      <c r="AE944">
        <v>-59.444867952755907</v>
      </c>
      <c r="AF944">
        <v>-58.536993937007871</v>
      </c>
      <c r="AG944">
        <v>-33.703117098214292</v>
      </c>
      <c r="AH944">
        <v>-33.188384955357137</v>
      </c>
      <c r="AI944">
        <v>149.19956976284581</v>
      </c>
      <c r="AJ944">
        <v>-48.927402657161373</v>
      </c>
      <c r="AK944">
        <v>146.92091363636371</v>
      </c>
      <c r="AL944">
        <v>-48.180157031756323</v>
      </c>
      <c r="AM944">
        <v>2.598973502478656</v>
      </c>
      <c r="AN944">
        <v>2.5592805804186169</v>
      </c>
    </row>
    <row r="945" spans="1:40" x14ac:dyDescent="0.25">
      <c r="A945" s="1" t="s">
        <v>582</v>
      </c>
      <c r="B945">
        <v>70133539300</v>
      </c>
      <c r="C945" t="s">
        <v>76</v>
      </c>
      <c r="D945" t="s">
        <v>105</v>
      </c>
      <c r="E945">
        <v>29048000000</v>
      </c>
      <c r="F945">
        <v>-1270000000</v>
      </c>
      <c r="G945">
        <v>506000000</v>
      </c>
      <c r="H945">
        <v>-1543000000</v>
      </c>
      <c r="I945">
        <v>-2240000000</v>
      </c>
      <c r="J945">
        <v>-8883000000</v>
      </c>
      <c r="K945">
        <v>4865000000</v>
      </c>
      <c r="L945">
        <v>0</v>
      </c>
      <c r="M945">
        <v>4865000000</v>
      </c>
      <c r="N945">
        <v>9368000000</v>
      </c>
      <c r="O945">
        <v>1442000000</v>
      </c>
      <c r="P945">
        <v>189000000</v>
      </c>
      <c r="Q945">
        <v>10894000000</v>
      </c>
      <c r="R945">
        <v>9020000000</v>
      </c>
      <c r="S945">
        <v>23712000000</v>
      </c>
      <c r="T945">
        <v>0</v>
      </c>
      <c r="U945">
        <v>1153000000</v>
      </c>
      <c r="V945">
        <v>7400000000</v>
      </c>
      <c r="W945">
        <v>76351539300</v>
      </c>
      <c r="X945">
        <v>77504539300</v>
      </c>
      <c r="Y945">
        <v>2.4144016558799231</v>
      </c>
      <c r="Z945">
        <v>-55.223259291338593</v>
      </c>
      <c r="AA945">
        <v>138.60383260869571</v>
      </c>
      <c r="AB945">
        <v>-45.45271503564485</v>
      </c>
      <c r="AC945">
        <v>-31.309615758928569</v>
      </c>
      <c r="AD945">
        <v>-7.8952537768771824</v>
      </c>
      <c r="AE945">
        <v>-61.027196299212598</v>
      </c>
      <c r="AF945">
        <v>-60.11932228346457</v>
      </c>
      <c r="AG945">
        <v>-34.600240758928571</v>
      </c>
      <c r="AH945">
        <v>-34.085508616071429</v>
      </c>
      <c r="AI945">
        <v>153.171026284585</v>
      </c>
      <c r="AJ945">
        <v>-50.229772715489297</v>
      </c>
      <c r="AK945">
        <v>150.89237015810281</v>
      </c>
      <c r="AL945">
        <v>-49.482527090084247</v>
      </c>
      <c r="AM945">
        <v>2.668154065684385</v>
      </c>
      <c r="AN945">
        <v>2.6284611436243459</v>
      </c>
    </row>
    <row r="946" spans="1:40" x14ac:dyDescent="0.25">
      <c r="A946" s="1" t="s">
        <v>123</v>
      </c>
      <c r="B946">
        <v>74011984310</v>
      </c>
      <c r="C946" t="s">
        <v>75</v>
      </c>
      <c r="D946" t="s">
        <v>105</v>
      </c>
      <c r="E946">
        <v>31877000000</v>
      </c>
      <c r="F946">
        <v>-810000000</v>
      </c>
      <c r="G946">
        <v>390000000</v>
      </c>
      <c r="H946">
        <v>-1062000000</v>
      </c>
      <c r="I946">
        <v>-1757000000</v>
      </c>
      <c r="J946">
        <v>-9180000000</v>
      </c>
      <c r="K946">
        <v>4208000000</v>
      </c>
      <c r="L946">
        <v>103000000</v>
      </c>
      <c r="M946">
        <v>4311000000</v>
      </c>
      <c r="N946">
        <v>9249000000</v>
      </c>
      <c r="O946">
        <v>1479000000</v>
      </c>
      <c r="P946">
        <v>201000000</v>
      </c>
      <c r="Q946">
        <v>10938000000</v>
      </c>
      <c r="R946">
        <v>8853000000</v>
      </c>
      <c r="S946">
        <v>23605000000</v>
      </c>
      <c r="T946">
        <v>0</v>
      </c>
      <c r="U946">
        <v>1164000000</v>
      </c>
      <c r="V946">
        <v>8504000000</v>
      </c>
      <c r="W946">
        <v>80839984310</v>
      </c>
      <c r="X946">
        <v>82003984310</v>
      </c>
      <c r="Y946">
        <v>2.3217989243027888</v>
      </c>
      <c r="Z946">
        <v>-91.372820135802471</v>
      </c>
      <c r="AA946">
        <v>189.7743187435897</v>
      </c>
      <c r="AB946">
        <v>-69.691134001883242</v>
      </c>
      <c r="AC946">
        <v>-42.124066198064881</v>
      </c>
      <c r="AD946">
        <v>-8.0623076590413945</v>
      </c>
      <c r="AE946">
        <v>-101.2394868024691</v>
      </c>
      <c r="AF946">
        <v>-99.802449765432101</v>
      </c>
      <c r="AG946">
        <v>-46.672728690950493</v>
      </c>
      <c r="AH946">
        <v>-46.010235805350028</v>
      </c>
      <c r="AI946">
        <v>210.26662643589739</v>
      </c>
      <c r="AJ946">
        <v>-77.216557730696792</v>
      </c>
      <c r="AK946">
        <v>207.28201105128201</v>
      </c>
      <c r="AL946">
        <v>-76.120512532956681</v>
      </c>
      <c r="AM946">
        <v>2.5725126050130189</v>
      </c>
      <c r="AN946">
        <v>2.5359972491137812</v>
      </c>
    </row>
    <row r="947" spans="1:40" x14ac:dyDescent="0.25">
      <c r="A947" s="1" t="s">
        <v>581</v>
      </c>
      <c r="B947">
        <v>72123000730</v>
      </c>
      <c r="C947" t="s">
        <v>75</v>
      </c>
      <c r="D947" t="s">
        <v>105</v>
      </c>
      <c r="E947">
        <v>31877000000</v>
      </c>
      <c r="F947">
        <v>-810000000</v>
      </c>
      <c r="G947">
        <v>390000000</v>
      </c>
      <c r="H947">
        <v>-1062000000</v>
      </c>
      <c r="I947">
        <v>-1757000000</v>
      </c>
      <c r="J947">
        <v>-9180000000</v>
      </c>
      <c r="K947">
        <v>4208000000</v>
      </c>
      <c r="L947">
        <v>103000000</v>
      </c>
      <c r="M947">
        <v>4311000000</v>
      </c>
      <c r="N947">
        <v>9249000000</v>
      </c>
      <c r="O947">
        <v>1479000000</v>
      </c>
      <c r="P947">
        <v>201000000</v>
      </c>
      <c r="Q947">
        <v>10938000000</v>
      </c>
      <c r="R947">
        <v>8853000000</v>
      </c>
      <c r="S947">
        <v>23605000000</v>
      </c>
      <c r="T947">
        <v>0</v>
      </c>
      <c r="U947">
        <v>1164000000</v>
      </c>
      <c r="V947">
        <v>8504000000</v>
      </c>
      <c r="W947">
        <v>78951000730</v>
      </c>
      <c r="X947">
        <v>80115000730</v>
      </c>
      <c r="Y947">
        <v>2.2625404125231361</v>
      </c>
      <c r="Z947">
        <v>-89.040741641975302</v>
      </c>
      <c r="AA947">
        <v>184.93077110256411</v>
      </c>
      <c r="AB947">
        <v>-67.91243006591337</v>
      </c>
      <c r="AC947">
        <v>-41.048947484348318</v>
      </c>
      <c r="AD947">
        <v>-7.8565360272331164</v>
      </c>
      <c r="AE947">
        <v>-98.907408308641976</v>
      </c>
      <c r="AF947">
        <v>-97.470371271604932</v>
      </c>
      <c r="AG947">
        <v>-45.597609977233923</v>
      </c>
      <c r="AH947">
        <v>-44.935117091633472</v>
      </c>
      <c r="AI947">
        <v>205.4230787948718</v>
      </c>
      <c r="AJ947">
        <v>-75.437853794726934</v>
      </c>
      <c r="AK947">
        <v>202.43846341025639</v>
      </c>
      <c r="AL947">
        <v>-74.341808596986823</v>
      </c>
      <c r="AM947">
        <v>2.5132540932333658</v>
      </c>
      <c r="AN947">
        <v>2.4767387373341281</v>
      </c>
    </row>
    <row r="948" spans="1:40" x14ac:dyDescent="0.25">
      <c r="A948" s="1" t="s">
        <v>580</v>
      </c>
      <c r="B948">
        <v>68927805100</v>
      </c>
      <c r="C948" t="s">
        <v>75</v>
      </c>
      <c r="D948" t="s">
        <v>105</v>
      </c>
      <c r="E948">
        <v>31877000000</v>
      </c>
      <c r="F948">
        <v>-810000000</v>
      </c>
      <c r="G948">
        <v>390000000</v>
      </c>
      <c r="H948">
        <v>-1062000000</v>
      </c>
      <c r="I948">
        <v>-1757000000</v>
      </c>
      <c r="J948">
        <v>-9180000000</v>
      </c>
      <c r="K948">
        <v>4208000000</v>
      </c>
      <c r="L948">
        <v>103000000</v>
      </c>
      <c r="M948">
        <v>4311000000</v>
      </c>
      <c r="N948">
        <v>9249000000</v>
      </c>
      <c r="O948">
        <v>1479000000</v>
      </c>
      <c r="P948">
        <v>201000000</v>
      </c>
      <c r="Q948">
        <v>10938000000</v>
      </c>
      <c r="R948">
        <v>8853000000</v>
      </c>
      <c r="S948">
        <v>23605000000</v>
      </c>
      <c r="T948">
        <v>0</v>
      </c>
      <c r="U948">
        <v>1164000000</v>
      </c>
      <c r="V948">
        <v>8504000000</v>
      </c>
      <c r="W948">
        <v>75755805100</v>
      </c>
      <c r="X948">
        <v>76919805100</v>
      </c>
      <c r="Y948">
        <v>2.1623052702575518</v>
      </c>
      <c r="Z948">
        <v>-85.096055679012352</v>
      </c>
      <c r="AA948">
        <v>176.73796179487181</v>
      </c>
      <c r="AB948">
        <v>-64.903771280602641</v>
      </c>
      <c r="AC948">
        <v>-39.230395617529879</v>
      </c>
      <c r="AD948">
        <v>-7.5084755010893236</v>
      </c>
      <c r="AE948">
        <v>-94.962722345679012</v>
      </c>
      <c r="AF948">
        <v>-93.525685308641982</v>
      </c>
      <c r="AG948">
        <v>-43.779058110415477</v>
      </c>
      <c r="AH948">
        <v>-43.116565224815027</v>
      </c>
      <c r="AI948">
        <v>197.2302694871795</v>
      </c>
      <c r="AJ948">
        <v>-72.42919500941619</v>
      </c>
      <c r="AK948">
        <v>194.24565410256409</v>
      </c>
      <c r="AL948">
        <v>-71.33314981167608</v>
      </c>
      <c r="AM948">
        <v>2.413018950967782</v>
      </c>
      <c r="AN948">
        <v>2.3765035950685451</v>
      </c>
    </row>
    <row r="949" spans="1:40" x14ac:dyDescent="0.25">
      <c r="A949" s="1" t="s">
        <v>579</v>
      </c>
      <c r="B949">
        <v>67199586079</v>
      </c>
      <c r="C949" t="s">
        <v>75</v>
      </c>
      <c r="D949" t="s">
        <v>105</v>
      </c>
      <c r="E949">
        <v>31877000000</v>
      </c>
      <c r="F949">
        <v>-810000000</v>
      </c>
      <c r="G949">
        <v>390000000</v>
      </c>
      <c r="H949">
        <v>-1062000000</v>
      </c>
      <c r="I949">
        <v>-1757000000</v>
      </c>
      <c r="J949">
        <v>-9180000000</v>
      </c>
      <c r="K949">
        <v>4208000000</v>
      </c>
      <c r="L949">
        <v>103000000</v>
      </c>
      <c r="M949">
        <v>4311000000</v>
      </c>
      <c r="N949">
        <v>9249000000</v>
      </c>
      <c r="O949">
        <v>1479000000</v>
      </c>
      <c r="P949">
        <v>201000000</v>
      </c>
      <c r="Q949">
        <v>10938000000</v>
      </c>
      <c r="R949">
        <v>8853000000</v>
      </c>
      <c r="S949">
        <v>23605000000</v>
      </c>
      <c r="T949">
        <v>0</v>
      </c>
      <c r="U949">
        <v>1164000000</v>
      </c>
      <c r="V949">
        <v>8504000000</v>
      </c>
      <c r="W949">
        <v>74027586079</v>
      </c>
      <c r="X949">
        <v>75191586079</v>
      </c>
      <c r="Y949">
        <v>2.1080900360447972</v>
      </c>
      <c r="Z949">
        <v>-82.962451949382711</v>
      </c>
      <c r="AA949">
        <v>172.3066309717949</v>
      </c>
      <c r="AB949">
        <v>-63.276446402071556</v>
      </c>
      <c r="AC949">
        <v>-38.246776368241321</v>
      </c>
      <c r="AD949">
        <v>-7.3202163484749452</v>
      </c>
      <c r="AE949">
        <v>-92.829118616049385</v>
      </c>
      <c r="AF949">
        <v>-91.392081579012341</v>
      </c>
      <c r="AG949">
        <v>-42.795438861126918</v>
      </c>
      <c r="AH949">
        <v>-42.132945975526468</v>
      </c>
      <c r="AI949">
        <v>192.79893866410259</v>
      </c>
      <c r="AJ949">
        <v>-70.801870130885121</v>
      </c>
      <c r="AK949">
        <v>189.81432327948721</v>
      </c>
      <c r="AL949">
        <v>-69.70582493314501</v>
      </c>
      <c r="AM949">
        <v>2.3588037167550269</v>
      </c>
      <c r="AN949">
        <v>2.32228836085579</v>
      </c>
    </row>
    <row r="950" spans="1:40" x14ac:dyDescent="0.25">
      <c r="A950" s="1" t="s">
        <v>578</v>
      </c>
      <c r="B950">
        <v>70796693110</v>
      </c>
      <c r="C950" t="s">
        <v>75</v>
      </c>
      <c r="D950" t="s">
        <v>105</v>
      </c>
      <c r="E950">
        <v>31877000000</v>
      </c>
      <c r="F950">
        <v>-810000000</v>
      </c>
      <c r="G950">
        <v>390000000</v>
      </c>
      <c r="H950">
        <v>-1062000000</v>
      </c>
      <c r="I950">
        <v>-1757000000</v>
      </c>
      <c r="J950">
        <v>-9180000000</v>
      </c>
      <c r="K950">
        <v>4208000000</v>
      </c>
      <c r="L950">
        <v>103000000</v>
      </c>
      <c r="M950">
        <v>4311000000</v>
      </c>
      <c r="N950">
        <v>9249000000</v>
      </c>
      <c r="O950">
        <v>1479000000</v>
      </c>
      <c r="P950">
        <v>201000000</v>
      </c>
      <c r="Q950">
        <v>10938000000</v>
      </c>
      <c r="R950">
        <v>8853000000</v>
      </c>
      <c r="S950">
        <v>23605000000</v>
      </c>
      <c r="T950">
        <v>0</v>
      </c>
      <c r="U950">
        <v>1164000000</v>
      </c>
      <c r="V950">
        <v>8504000000</v>
      </c>
      <c r="W950">
        <v>77624693110</v>
      </c>
      <c r="X950">
        <v>78788693110</v>
      </c>
      <c r="Y950">
        <v>2.2209333723374218</v>
      </c>
      <c r="Z950">
        <v>-87.403324827160489</v>
      </c>
      <c r="AA950">
        <v>181.52998233333329</v>
      </c>
      <c r="AB950">
        <v>-66.663552834274952</v>
      </c>
      <c r="AC950">
        <v>-40.294076898121801</v>
      </c>
      <c r="AD950">
        <v>-7.7120580729847497</v>
      </c>
      <c r="AE950">
        <v>-97.269991493827163</v>
      </c>
      <c r="AF950">
        <v>-95.832954456790119</v>
      </c>
      <c r="AG950">
        <v>-44.842739391007399</v>
      </c>
      <c r="AH950">
        <v>-44.180246505406942</v>
      </c>
      <c r="AI950">
        <v>202.02229002564101</v>
      </c>
      <c r="AJ950">
        <v>-74.188976563088517</v>
      </c>
      <c r="AK950">
        <v>199.0376746410256</v>
      </c>
      <c r="AL950">
        <v>-73.092931365348406</v>
      </c>
      <c r="AM950">
        <v>2.471647053047652</v>
      </c>
      <c r="AN950">
        <v>2.4351316971484138</v>
      </c>
    </row>
    <row r="951" spans="1:40" x14ac:dyDescent="0.25">
      <c r="A951" s="1" t="s">
        <v>577</v>
      </c>
      <c r="B951">
        <v>72806250110</v>
      </c>
      <c r="C951" t="s">
        <v>75</v>
      </c>
      <c r="D951" t="s">
        <v>105</v>
      </c>
      <c r="E951">
        <v>31877000000</v>
      </c>
      <c r="F951">
        <v>-810000000</v>
      </c>
      <c r="G951">
        <v>390000000</v>
      </c>
      <c r="H951">
        <v>-1062000000</v>
      </c>
      <c r="I951">
        <v>-1757000000</v>
      </c>
      <c r="J951">
        <v>-9180000000</v>
      </c>
      <c r="K951">
        <v>4208000000</v>
      </c>
      <c r="L951">
        <v>103000000</v>
      </c>
      <c r="M951">
        <v>4311000000</v>
      </c>
      <c r="N951">
        <v>9249000000</v>
      </c>
      <c r="O951">
        <v>1479000000</v>
      </c>
      <c r="P951">
        <v>201000000</v>
      </c>
      <c r="Q951">
        <v>10938000000</v>
      </c>
      <c r="R951">
        <v>8853000000</v>
      </c>
      <c r="S951">
        <v>23605000000</v>
      </c>
      <c r="T951">
        <v>0</v>
      </c>
      <c r="U951">
        <v>1164000000</v>
      </c>
      <c r="V951">
        <v>8504000000</v>
      </c>
      <c r="W951">
        <v>79634250110</v>
      </c>
      <c r="X951">
        <v>80798250110</v>
      </c>
      <c r="Y951">
        <v>2.2839743423157759</v>
      </c>
      <c r="Z951">
        <v>-89.884259395061733</v>
      </c>
      <c r="AA951">
        <v>186.6826925897436</v>
      </c>
      <c r="AB951">
        <v>-68.555791064030132</v>
      </c>
      <c r="AC951">
        <v>-41.437820210586217</v>
      </c>
      <c r="AD951">
        <v>-7.9309640642701522</v>
      </c>
      <c r="AE951">
        <v>-99.750926061728393</v>
      </c>
      <c r="AF951">
        <v>-98.313889024691363</v>
      </c>
      <c r="AG951">
        <v>-45.986482703471829</v>
      </c>
      <c r="AH951">
        <v>-45.323989817871372</v>
      </c>
      <c r="AI951">
        <v>207.17500028205129</v>
      </c>
      <c r="AJ951">
        <v>-76.081214792843696</v>
      </c>
      <c r="AK951">
        <v>204.19038489743591</v>
      </c>
      <c r="AL951">
        <v>-74.985169595103585</v>
      </c>
      <c r="AM951">
        <v>2.534688023026006</v>
      </c>
      <c r="AN951">
        <v>2.4981726671267679</v>
      </c>
    </row>
    <row r="952" spans="1:40" x14ac:dyDescent="0.25">
      <c r="A952" s="1" t="s">
        <v>576</v>
      </c>
      <c r="B952">
        <v>72786154540</v>
      </c>
      <c r="C952" t="s">
        <v>75</v>
      </c>
      <c r="D952" t="s">
        <v>105</v>
      </c>
      <c r="E952">
        <v>31877000000</v>
      </c>
      <c r="F952">
        <v>-810000000</v>
      </c>
      <c r="G952">
        <v>390000000</v>
      </c>
      <c r="H952">
        <v>-1062000000</v>
      </c>
      <c r="I952">
        <v>-1757000000</v>
      </c>
      <c r="J952">
        <v>-9180000000</v>
      </c>
      <c r="K952">
        <v>4208000000</v>
      </c>
      <c r="L952">
        <v>103000000</v>
      </c>
      <c r="M952">
        <v>4311000000</v>
      </c>
      <c r="N952">
        <v>9249000000</v>
      </c>
      <c r="O952">
        <v>1479000000</v>
      </c>
      <c r="P952">
        <v>201000000</v>
      </c>
      <c r="Q952">
        <v>10938000000</v>
      </c>
      <c r="R952">
        <v>8853000000</v>
      </c>
      <c r="S952">
        <v>23605000000</v>
      </c>
      <c r="T952">
        <v>0</v>
      </c>
      <c r="U952">
        <v>1164000000</v>
      </c>
      <c r="V952">
        <v>8504000000</v>
      </c>
      <c r="W952">
        <v>79614154540</v>
      </c>
      <c r="X952">
        <v>80778154540</v>
      </c>
      <c r="Y952">
        <v>2.2833439326159932</v>
      </c>
      <c r="Z952">
        <v>-89.859450049382716</v>
      </c>
      <c r="AA952">
        <v>186.63116548717949</v>
      </c>
      <c r="AB952">
        <v>-68.536868681732585</v>
      </c>
      <c r="AC952">
        <v>-41.426382777461583</v>
      </c>
      <c r="AD952">
        <v>-7.9287750043572984</v>
      </c>
      <c r="AE952">
        <v>-99.72611671604939</v>
      </c>
      <c r="AF952">
        <v>-98.289079679012346</v>
      </c>
      <c r="AG952">
        <v>-45.975045270347181</v>
      </c>
      <c r="AH952">
        <v>-45.312552384746731</v>
      </c>
      <c r="AI952">
        <v>207.12347317948721</v>
      </c>
      <c r="AJ952">
        <v>-76.062292410546135</v>
      </c>
      <c r="AK952">
        <v>204.1388577948718</v>
      </c>
      <c r="AL952">
        <v>-74.966247212806024</v>
      </c>
      <c r="AM952">
        <v>2.534057613326222</v>
      </c>
      <c r="AN952">
        <v>2.4975422574269852</v>
      </c>
    </row>
    <row r="953" spans="1:40" x14ac:dyDescent="0.25">
      <c r="A953" s="1" t="s">
        <v>575</v>
      </c>
      <c r="B953">
        <v>69872296890</v>
      </c>
      <c r="C953" t="s">
        <v>75</v>
      </c>
      <c r="D953" t="s">
        <v>105</v>
      </c>
      <c r="E953">
        <v>31877000000</v>
      </c>
      <c r="F953">
        <v>-810000000</v>
      </c>
      <c r="G953">
        <v>390000000</v>
      </c>
      <c r="H953">
        <v>-1062000000</v>
      </c>
      <c r="I953">
        <v>-1757000000</v>
      </c>
      <c r="J953">
        <v>-9180000000</v>
      </c>
      <c r="K953">
        <v>4208000000</v>
      </c>
      <c r="L953">
        <v>103000000</v>
      </c>
      <c r="M953">
        <v>4311000000</v>
      </c>
      <c r="N953">
        <v>9249000000</v>
      </c>
      <c r="O953">
        <v>1479000000</v>
      </c>
      <c r="P953">
        <v>201000000</v>
      </c>
      <c r="Q953">
        <v>10938000000</v>
      </c>
      <c r="R953">
        <v>8853000000</v>
      </c>
      <c r="S953">
        <v>23605000000</v>
      </c>
      <c r="T953">
        <v>0</v>
      </c>
      <c r="U953">
        <v>1164000000</v>
      </c>
      <c r="V953">
        <v>8504000000</v>
      </c>
      <c r="W953">
        <v>76700296890</v>
      </c>
      <c r="X953">
        <v>77864296890</v>
      </c>
      <c r="Y953">
        <v>2.1919345261473788</v>
      </c>
      <c r="Z953">
        <v>-86.262094925925922</v>
      </c>
      <c r="AA953">
        <v>179.15973561538459</v>
      </c>
      <c r="AB953">
        <v>-65.793123248587577</v>
      </c>
      <c r="AC953">
        <v>-39.767954974388161</v>
      </c>
      <c r="AD953">
        <v>-7.611361316993464</v>
      </c>
      <c r="AE953">
        <v>-96.128761592592596</v>
      </c>
      <c r="AF953">
        <v>-94.691724555555552</v>
      </c>
      <c r="AG953">
        <v>-44.316617467273772</v>
      </c>
      <c r="AH953">
        <v>-43.654124581673308</v>
      </c>
      <c r="AI953">
        <v>199.65204330769231</v>
      </c>
      <c r="AJ953">
        <v>-73.318546977401127</v>
      </c>
      <c r="AK953">
        <v>196.6674279230769</v>
      </c>
      <c r="AL953">
        <v>-72.222501779661016</v>
      </c>
      <c r="AM953">
        <v>2.442648206857609</v>
      </c>
      <c r="AN953">
        <v>2.4061328509583708</v>
      </c>
    </row>
    <row r="954" spans="1:40" x14ac:dyDescent="0.25">
      <c r="A954" s="1" t="s">
        <v>151</v>
      </c>
      <c r="B954">
        <v>68726849400</v>
      </c>
      <c r="C954" t="s">
        <v>75</v>
      </c>
      <c r="D954" t="s">
        <v>105</v>
      </c>
      <c r="E954">
        <v>31877000000</v>
      </c>
      <c r="F954">
        <v>-810000000</v>
      </c>
      <c r="G954">
        <v>390000000</v>
      </c>
      <c r="H954">
        <v>-1062000000</v>
      </c>
      <c r="I954">
        <v>-1757000000</v>
      </c>
      <c r="J954">
        <v>-9180000000</v>
      </c>
      <c r="K954">
        <v>4208000000</v>
      </c>
      <c r="L954">
        <v>103000000</v>
      </c>
      <c r="M954">
        <v>4311000000</v>
      </c>
      <c r="N954">
        <v>9249000000</v>
      </c>
      <c r="O954">
        <v>1479000000</v>
      </c>
      <c r="P954">
        <v>201000000</v>
      </c>
      <c r="Q954">
        <v>10938000000</v>
      </c>
      <c r="R954">
        <v>8853000000</v>
      </c>
      <c r="S954">
        <v>23605000000</v>
      </c>
      <c r="T954">
        <v>0</v>
      </c>
      <c r="U954">
        <v>1164000000</v>
      </c>
      <c r="V954">
        <v>8504000000</v>
      </c>
      <c r="W954">
        <v>75554849400</v>
      </c>
      <c r="X954">
        <v>76718849400</v>
      </c>
      <c r="Y954">
        <v>2.1560011732597171</v>
      </c>
      <c r="Z954">
        <v>-84.847962222222222</v>
      </c>
      <c r="AA954">
        <v>176.22269076923081</v>
      </c>
      <c r="AB954">
        <v>-64.71454745762712</v>
      </c>
      <c r="AC954">
        <v>-39.116021286283427</v>
      </c>
      <c r="AD954">
        <v>-7.486584901960784</v>
      </c>
      <c r="AE954">
        <v>-94.714628888888882</v>
      </c>
      <c r="AF954">
        <v>-93.277591851851852</v>
      </c>
      <c r="AG954">
        <v>-43.664683779169039</v>
      </c>
      <c r="AH954">
        <v>-43.002190893568581</v>
      </c>
      <c r="AI954">
        <v>196.7149984615385</v>
      </c>
      <c r="AJ954">
        <v>-72.239971186440684</v>
      </c>
      <c r="AK954">
        <v>193.73038307692309</v>
      </c>
      <c r="AL954">
        <v>-71.143925988700559</v>
      </c>
      <c r="AM954">
        <v>2.4067148539699472</v>
      </c>
      <c r="AN954">
        <v>2.37019949807071</v>
      </c>
    </row>
    <row r="955" spans="1:40" x14ac:dyDescent="0.25">
      <c r="A955" s="1" t="s">
        <v>574</v>
      </c>
      <c r="B955">
        <v>69410098780</v>
      </c>
      <c r="C955" t="s">
        <v>75</v>
      </c>
      <c r="D955" t="s">
        <v>105</v>
      </c>
      <c r="E955">
        <v>31877000000</v>
      </c>
      <c r="F955">
        <v>-810000000</v>
      </c>
      <c r="G955">
        <v>390000000</v>
      </c>
      <c r="H955">
        <v>-1062000000</v>
      </c>
      <c r="I955">
        <v>-1757000000</v>
      </c>
      <c r="J955">
        <v>-9180000000</v>
      </c>
      <c r="K955">
        <v>4208000000</v>
      </c>
      <c r="L955">
        <v>103000000</v>
      </c>
      <c r="M955">
        <v>4311000000</v>
      </c>
      <c r="N955">
        <v>9249000000</v>
      </c>
      <c r="O955">
        <v>1479000000</v>
      </c>
      <c r="P955">
        <v>201000000</v>
      </c>
      <c r="Q955">
        <v>10938000000</v>
      </c>
      <c r="R955">
        <v>8853000000</v>
      </c>
      <c r="S955">
        <v>23605000000</v>
      </c>
      <c r="T955">
        <v>0</v>
      </c>
      <c r="U955">
        <v>1164000000</v>
      </c>
      <c r="V955">
        <v>8504000000</v>
      </c>
      <c r="W955">
        <v>76238098780</v>
      </c>
      <c r="X955">
        <v>77402098780</v>
      </c>
      <c r="Y955">
        <v>2.1774351030523569</v>
      </c>
      <c r="Z955">
        <v>-85.691479975308638</v>
      </c>
      <c r="AA955">
        <v>177.9746122564103</v>
      </c>
      <c r="AB955">
        <v>-65.357908455743882</v>
      </c>
      <c r="AC955">
        <v>-39.504894012521341</v>
      </c>
      <c r="AD955">
        <v>-7.5610129389978216</v>
      </c>
      <c r="AE955">
        <v>-95.558146641975313</v>
      </c>
      <c r="AF955">
        <v>-94.121109604938269</v>
      </c>
      <c r="AG955">
        <v>-44.053556505406952</v>
      </c>
      <c r="AH955">
        <v>-43.391063619806488</v>
      </c>
      <c r="AI955">
        <v>198.46691994871799</v>
      </c>
      <c r="AJ955">
        <v>-72.883332184557432</v>
      </c>
      <c r="AK955">
        <v>195.48230456410261</v>
      </c>
      <c r="AL955">
        <v>-71.787286986817321</v>
      </c>
      <c r="AM955">
        <v>2.428148783762587</v>
      </c>
      <c r="AN955">
        <v>2.3916334278633502</v>
      </c>
    </row>
    <row r="956" spans="1:40" x14ac:dyDescent="0.25">
      <c r="A956" s="1" t="s">
        <v>573</v>
      </c>
      <c r="B956">
        <v>69269429790</v>
      </c>
      <c r="C956" t="s">
        <v>75</v>
      </c>
      <c r="D956" t="s">
        <v>105</v>
      </c>
      <c r="E956">
        <v>31877000000</v>
      </c>
      <c r="F956">
        <v>-810000000</v>
      </c>
      <c r="G956">
        <v>390000000</v>
      </c>
      <c r="H956">
        <v>-1062000000</v>
      </c>
      <c r="I956">
        <v>-1757000000</v>
      </c>
      <c r="J956">
        <v>-9180000000</v>
      </c>
      <c r="K956">
        <v>4208000000</v>
      </c>
      <c r="L956">
        <v>103000000</v>
      </c>
      <c r="M956">
        <v>4311000000</v>
      </c>
      <c r="N956">
        <v>9249000000</v>
      </c>
      <c r="O956">
        <v>1479000000</v>
      </c>
      <c r="P956">
        <v>201000000</v>
      </c>
      <c r="Q956">
        <v>10938000000</v>
      </c>
      <c r="R956">
        <v>8853000000</v>
      </c>
      <c r="S956">
        <v>23605000000</v>
      </c>
      <c r="T956">
        <v>0</v>
      </c>
      <c r="U956">
        <v>1164000000</v>
      </c>
      <c r="V956">
        <v>8504000000</v>
      </c>
      <c r="W956">
        <v>76097429790</v>
      </c>
      <c r="X956">
        <v>77261429790</v>
      </c>
      <c r="Y956">
        <v>2.1730222351538728</v>
      </c>
      <c r="Z956">
        <v>-85.51781455555556</v>
      </c>
      <c r="AA956">
        <v>177.61392253846151</v>
      </c>
      <c r="AB956">
        <v>-65.225451779661014</v>
      </c>
      <c r="AC956">
        <v>-39.424831980648833</v>
      </c>
      <c r="AD956">
        <v>-7.5456895196078433</v>
      </c>
      <c r="AE956">
        <v>-95.38448122222222</v>
      </c>
      <c r="AF956">
        <v>-93.947444185185191</v>
      </c>
      <c r="AG956">
        <v>-43.973494473534437</v>
      </c>
      <c r="AH956">
        <v>-43.31100158793398</v>
      </c>
      <c r="AI956">
        <v>198.1062302307692</v>
      </c>
      <c r="AJ956">
        <v>-72.750875508474579</v>
      </c>
      <c r="AK956">
        <v>195.12161484615379</v>
      </c>
      <c r="AL956">
        <v>-71.654830310734468</v>
      </c>
      <c r="AM956">
        <v>2.423735915864103</v>
      </c>
      <c r="AN956">
        <v>2.3872205599648648</v>
      </c>
    </row>
    <row r="957" spans="1:40" x14ac:dyDescent="0.25">
      <c r="A957" s="1" t="s">
        <v>572</v>
      </c>
      <c r="B957">
        <v>67119203800</v>
      </c>
      <c r="C957" t="s">
        <v>75</v>
      </c>
      <c r="D957" t="s">
        <v>105</v>
      </c>
      <c r="E957">
        <v>31877000000</v>
      </c>
      <c r="F957">
        <v>-810000000</v>
      </c>
      <c r="G957">
        <v>390000000</v>
      </c>
      <c r="H957">
        <v>-1062000000</v>
      </c>
      <c r="I957">
        <v>-1757000000</v>
      </c>
      <c r="J957">
        <v>-9180000000</v>
      </c>
      <c r="K957">
        <v>4208000000</v>
      </c>
      <c r="L957">
        <v>103000000</v>
      </c>
      <c r="M957">
        <v>4311000000</v>
      </c>
      <c r="N957">
        <v>9249000000</v>
      </c>
      <c r="O957">
        <v>1479000000</v>
      </c>
      <c r="P957">
        <v>201000000</v>
      </c>
      <c r="Q957">
        <v>10938000000</v>
      </c>
      <c r="R957">
        <v>8853000000</v>
      </c>
      <c r="S957">
        <v>23605000000</v>
      </c>
      <c r="T957">
        <v>0</v>
      </c>
      <c r="U957">
        <v>1164000000</v>
      </c>
      <c r="V957">
        <v>8504000000</v>
      </c>
      <c r="W957">
        <v>73947203800</v>
      </c>
      <c r="X957">
        <v>75111203800</v>
      </c>
      <c r="Y957">
        <v>2.1055683972770329</v>
      </c>
      <c r="Z957">
        <v>-82.863214567901238</v>
      </c>
      <c r="AA957">
        <v>172.10052256410259</v>
      </c>
      <c r="AB957">
        <v>-63.200756873822982</v>
      </c>
      <c r="AC957">
        <v>-38.201026636311887</v>
      </c>
      <c r="AD957">
        <v>-7.3114601089324616</v>
      </c>
      <c r="AE957">
        <v>-92.729881234567898</v>
      </c>
      <c r="AF957">
        <v>-91.292844197530869</v>
      </c>
      <c r="AG957">
        <v>-42.749689129197499</v>
      </c>
      <c r="AH957">
        <v>-42.087196243597042</v>
      </c>
      <c r="AI957">
        <v>192.59283025641031</v>
      </c>
      <c r="AJ957">
        <v>-70.726180602636532</v>
      </c>
      <c r="AK957">
        <v>189.6082148717949</v>
      </c>
      <c r="AL957">
        <v>-69.630135404896421</v>
      </c>
      <c r="AM957">
        <v>2.356282077987264</v>
      </c>
      <c r="AN957">
        <v>2.3197667220880258</v>
      </c>
    </row>
    <row r="958" spans="1:40" x14ac:dyDescent="0.25">
      <c r="A958" s="1" t="s">
        <v>571</v>
      </c>
      <c r="B958">
        <v>67420637349</v>
      </c>
      <c r="C958" t="s">
        <v>75</v>
      </c>
      <c r="D958" t="s">
        <v>105</v>
      </c>
      <c r="E958">
        <v>31877000000</v>
      </c>
      <c r="F958">
        <v>-810000000</v>
      </c>
      <c r="G958">
        <v>390000000</v>
      </c>
      <c r="H958">
        <v>-1062000000</v>
      </c>
      <c r="I958">
        <v>-1757000000</v>
      </c>
      <c r="J958">
        <v>-9180000000</v>
      </c>
      <c r="K958">
        <v>4208000000</v>
      </c>
      <c r="L958">
        <v>103000000</v>
      </c>
      <c r="M958">
        <v>4311000000</v>
      </c>
      <c r="N958">
        <v>9249000000</v>
      </c>
      <c r="O958">
        <v>1479000000</v>
      </c>
      <c r="P958">
        <v>201000000</v>
      </c>
      <c r="Q958">
        <v>10938000000</v>
      </c>
      <c r="R958">
        <v>8853000000</v>
      </c>
      <c r="S958">
        <v>23605000000</v>
      </c>
      <c r="T958">
        <v>0</v>
      </c>
      <c r="U958">
        <v>1164000000</v>
      </c>
      <c r="V958">
        <v>8504000000</v>
      </c>
      <c r="W958">
        <v>74248637349</v>
      </c>
      <c r="X958">
        <v>75412637349</v>
      </c>
      <c r="Y958">
        <v>2.1150245427424159</v>
      </c>
      <c r="Z958">
        <v>-83.235354751851858</v>
      </c>
      <c r="AA958">
        <v>172.87342910000001</v>
      </c>
      <c r="AB958">
        <v>-63.484592607344631</v>
      </c>
      <c r="AC958">
        <v>-38.372588132612407</v>
      </c>
      <c r="AD958">
        <v>-7.3442960075163386</v>
      </c>
      <c r="AE958">
        <v>-93.102021418518518</v>
      </c>
      <c r="AF958">
        <v>-91.664984381481474</v>
      </c>
      <c r="AG958">
        <v>-42.921250625498011</v>
      </c>
      <c r="AH958">
        <v>-42.258757739897547</v>
      </c>
      <c r="AI958">
        <v>193.3657367923077</v>
      </c>
      <c r="AJ958">
        <v>-71.010016336158188</v>
      </c>
      <c r="AK958">
        <v>190.38112140769229</v>
      </c>
      <c r="AL958">
        <v>-69.913971138418077</v>
      </c>
      <c r="AM958">
        <v>2.3657382234526461</v>
      </c>
      <c r="AN958">
        <v>2.3292228675534079</v>
      </c>
    </row>
    <row r="959" spans="1:40" x14ac:dyDescent="0.25">
      <c r="A959" s="1" t="s">
        <v>570</v>
      </c>
      <c r="B959">
        <v>66837865819</v>
      </c>
      <c r="C959" t="s">
        <v>75</v>
      </c>
      <c r="D959" t="s">
        <v>105</v>
      </c>
      <c r="E959">
        <v>31877000000</v>
      </c>
      <c r="F959">
        <v>-810000000</v>
      </c>
      <c r="G959">
        <v>390000000</v>
      </c>
      <c r="H959">
        <v>-1062000000</v>
      </c>
      <c r="I959">
        <v>-1757000000</v>
      </c>
      <c r="J959">
        <v>-9180000000</v>
      </c>
      <c r="K959">
        <v>4208000000</v>
      </c>
      <c r="L959">
        <v>103000000</v>
      </c>
      <c r="M959">
        <v>4311000000</v>
      </c>
      <c r="N959">
        <v>9249000000</v>
      </c>
      <c r="O959">
        <v>1479000000</v>
      </c>
      <c r="P959">
        <v>201000000</v>
      </c>
      <c r="Q959">
        <v>10938000000</v>
      </c>
      <c r="R959">
        <v>8853000000</v>
      </c>
      <c r="S959">
        <v>23605000000</v>
      </c>
      <c r="T959">
        <v>0</v>
      </c>
      <c r="U959">
        <v>1164000000</v>
      </c>
      <c r="V959">
        <v>8504000000</v>
      </c>
      <c r="W959">
        <v>73665865819</v>
      </c>
      <c r="X959">
        <v>74829865819</v>
      </c>
      <c r="Y959">
        <v>2.096742661448693</v>
      </c>
      <c r="Z959">
        <v>-82.515883727160499</v>
      </c>
      <c r="AA959">
        <v>171.37914312564101</v>
      </c>
      <c r="AB959">
        <v>-62.935843520715629</v>
      </c>
      <c r="AC959">
        <v>-38.040902571997727</v>
      </c>
      <c r="AD959">
        <v>-7.2808132700435726</v>
      </c>
      <c r="AE959">
        <v>-92.382550393827159</v>
      </c>
      <c r="AF959">
        <v>-90.94551335679013</v>
      </c>
      <c r="AG959">
        <v>-42.589565064883317</v>
      </c>
      <c r="AH959">
        <v>-41.927072179282867</v>
      </c>
      <c r="AI959">
        <v>191.8714508179487</v>
      </c>
      <c r="AJ959">
        <v>-70.461267249529186</v>
      </c>
      <c r="AK959">
        <v>188.88683543333329</v>
      </c>
      <c r="AL959">
        <v>-69.365222051789075</v>
      </c>
      <c r="AM959">
        <v>2.3474563421589232</v>
      </c>
      <c r="AN959">
        <v>2.310940986259685</v>
      </c>
    </row>
    <row r="960" spans="1:40" x14ac:dyDescent="0.25">
      <c r="A960" s="1" t="s">
        <v>569</v>
      </c>
      <c r="B960">
        <v>66295285430</v>
      </c>
      <c r="C960" t="s">
        <v>75</v>
      </c>
      <c r="D960" t="s">
        <v>105</v>
      </c>
      <c r="E960">
        <v>31877000000</v>
      </c>
      <c r="F960">
        <v>-810000000</v>
      </c>
      <c r="G960">
        <v>390000000</v>
      </c>
      <c r="H960">
        <v>-1062000000</v>
      </c>
      <c r="I960">
        <v>-1757000000</v>
      </c>
      <c r="J960">
        <v>-9180000000</v>
      </c>
      <c r="K960">
        <v>4208000000</v>
      </c>
      <c r="L960">
        <v>103000000</v>
      </c>
      <c r="M960">
        <v>4311000000</v>
      </c>
      <c r="N960">
        <v>9249000000</v>
      </c>
      <c r="O960">
        <v>1479000000</v>
      </c>
      <c r="P960">
        <v>201000000</v>
      </c>
      <c r="Q960">
        <v>10938000000</v>
      </c>
      <c r="R960">
        <v>8853000000</v>
      </c>
      <c r="S960">
        <v>23605000000</v>
      </c>
      <c r="T960">
        <v>0</v>
      </c>
      <c r="U960">
        <v>1164000000</v>
      </c>
      <c r="V960">
        <v>8504000000</v>
      </c>
      <c r="W960">
        <v>73123285430</v>
      </c>
      <c r="X960">
        <v>74287285430</v>
      </c>
      <c r="Y960">
        <v>2.0797215995859082</v>
      </c>
      <c r="Z960">
        <v>-81.846031395061729</v>
      </c>
      <c r="AA960">
        <v>169.9879113589744</v>
      </c>
      <c r="AB960">
        <v>-62.424939199623353</v>
      </c>
      <c r="AC960">
        <v>-37.73209187820148</v>
      </c>
      <c r="AD960">
        <v>-7.2217086525054466</v>
      </c>
      <c r="AE960">
        <v>-91.712698061728389</v>
      </c>
      <c r="AF960">
        <v>-90.27566102469136</v>
      </c>
      <c r="AG960">
        <v>-42.280754371087077</v>
      </c>
      <c r="AH960">
        <v>-41.618261485486627</v>
      </c>
      <c r="AI960">
        <v>190.48021905128209</v>
      </c>
      <c r="AJ960">
        <v>-69.950362928436917</v>
      </c>
      <c r="AK960">
        <v>187.49560366666671</v>
      </c>
      <c r="AL960">
        <v>-68.854317730696792</v>
      </c>
      <c r="AM960">
        <v>2.3304352802961379</v>
      </c>
      <c r="AN960">
        <v>2.2939199243969011</v>
      </c>
    </row>
    <row r="961" spans="1:40" x14ac:dyDescent="0.25">
      <c r="A961" s="1" t="s">
        <v>568</v>
      </c>
      <c r="B961">
        <v>67701975329</v>
      </c>
      <c r="C961" t="s">
        <v>75</v>
      </c>
      <c r="D961" t="s">
        <v>105</v>
      </c>
      <c r="E961">
        <v>31877000000</v>
      </c>
      <c r="F961">
        <v>-810000000</v>
      </c>
      <c r="G961">
        <v>390000000</v>
      </c>
      <c r="H961">
        <v>-1062000000</v>
      </c>
      <c r="I961">
        <v>-1757000000</v>
      </c>
      <c r="J961">
        <v>-9180000000</v>
      </c>
      <c r="K961">
        <v>4208000000</v>
      </c>
      <c r="L961">
        <v>103000000</v>
      </c>
      <c r="M961">
        <v>4311000000</v>
      </c>
      <c r="N961">
        <v>9249000000</v>
      </c>
      <c r="O961">
        <v>1479000000</v>
      </c>
      <c r="P961">
        <v>201000000</v>
      </c>
      <c r="Q961">
        <v>10938000000</v>
      </c>
      <c r="R961">
        <v>8853000000</v>
      </c>
      <c r="S961">
        <v>23605000000</v>
      </c>
      <c r="T961">
        <v>0</v>
      </c>
      <c r="U961">
        <v>1164000000</v>
      </c>
      <c r="V961">
        <v>8504000000</v>
      </c>
      <c r="W961">
        <v>74529975329</v>
      </c>
      <c r="X961">
        <v>75693975329</v>
      </c>
      <c r="Y961">
        <v>2.1238502785393858</v>
      </c>
      <c r="Z961">
        <v>-83.582685591358029</v>
      </c>
      <c r="AA961">
        <v>173.59480853589741</v>
      </c>
      <c r="AB961">
        <v>-63.749505959510358</v>
      </c>
      <c r="AC961">
        <v>-38.53271219635743</v>
      </c>
      <c r="AD961">
        <v>-7.374942846296296</v>
      </c>
      <c r="AE961">
        <v>-93.449352258024689</v>
      </c>
      <c r="AF961">
        <v>-92.012315220987659</v>
      </c>
      <c r="AG961">
        <v>-43.081374689243027</v>
      </c>
      <c r="AH961">
        <v>-42.41888180364257</v>
      </c>
      <c r="AI961">
        <v>194.0871162282051</v>
      </c>
      <c r="AJ961">
        <v>-71.274929688323923</v>
      </c>
      <c r="AK961">
        <v>191.10250084358981</v>
      </c>
      <c r="AL961">
        <v>-70.178884490583798</v>
      </c>
      <c r="AM961">
        <v>2.3745639592496151</v>
      </c>
      <c r="AN961">
        <v>2.3380486033503778</v>
      </c>
    </row>
    <row r="962" spans="1:40" x14ac:dyDescent="0.25">
      <c r="A962" s="1" t="s">
        <v>567</v>
      </c>
      <c r="B962">
        <v>69470385490</v>
      </c>
      <c r="C962" t="s">
        <v>75</v>
      </c>
      <c r="D962" t="s">
        <v>105</v>
      </c>
      <c r="E962">
        <v>31877000000</v>
      </c>
      <c r="F962">
        <v>-810000000</v>
      </c>
      <c r="G962">
        <v>390000000</v>
      </c>
      <c r="H962">
        <v>-1062000000</v>
      </c>
      <c r="I962">
        <v>-1757000000</v>
      </c>
      <c r="J962">
        <v>-9180000000</v>
      </c>
      <c r="K962">
        <v>4208000000</v>
      </c>
      <c r="L962">
        <v>103000000</v>
      </c>
      <c r="M962">
        <v>4311000000</v>
      </c>
      <c r="N962">
        <v>9249000000</v>
      </c>
      <c r="O962">
        <v>1479000000</v>
      </c>
      <c r="P962">
        <v>201000000</v>
      </c>
      <c r="Q962">
        <v>10938000000</v>
      </c>
      <c r="R962">
        <v>8853000000</v>
      </c>
      <c r="S962">
        <v>23605000000</v>
      </c>
      <c r="T962">
        <v>0</v>
      </c>
      <c r="U962">
        <v>1164000000</v>
      </c>
      <c r="V962">
        <v>8504000000</v>
      </c>
      <c r="W962">
        <v>76298385490</v>
      </c>
      <c r="X962">
        <v>77462385490</v>
      </c>
      <c r="Y962">
        <v>2.179326332151708</v>
      </c>
      <c r="Z962">
        <v>-85.765908012345676</v>
      </c>
      <c r="AA962">
        <v>178.12919356410259</v>
      </c>
      <c r="AB962">
        <v>-65.414675602636535</v>
      </c>
      <c r="AC962">
        <v>-39.539206311895278</v>
      </c>
      <c r="AD962">
        <v>-7.5675801187363838</v>
      </c>
      <c r="AE962">
        <v>-95.63257467901235</v>
      </c>
      <c r="AF962">
        <v>-94.195537641975307</v>
      </c>
      <c r="AG962">
        <v>-44.087868804780882</v>
      </c>
      <c r="AH962">
        <v>-43.425375919180418</v>
      </c>
      <c r="AI962">
        <v>198.62150125641031</v>
      </c>
      <c r="AJ962">
        <v>-72.940099331450099</v>
      </c>
      <c r="AK962">
        <v>195.6368858717949</v>
      </c>
      <c r="AL962">
        <v>-71.844054133709975</v>
      </c>
      <c r="AM962">
        <v>2.4300400128619382</v>
      </c>
      <c r="AN962">
        <v>2.3935246569627</v>
      </c>
    </row>
    <row r="963" spans="1:40" x14ac:dyDescent="0.25">
      <c r="A963" s="1" t="s">
        <v>566</v>
      </c>
      <c r="B963">
        <v>68083791160</v>
      </c>
      <c r="C963" t="s">
        <v>75</v>
      </c>
      <c r="D963" t="s">
        <v>105</v>
      </c>
      <c r="E963">
        <v>31877000000</v>
      </c>
      <c r="F963">
        <v>-810000000</v>
      </c>
      <c r="G963">
        <v>390000000</v>
      </c>
      <c r="H963">
        <v>-1062000000</v>
      </c>
      <c r="I963">
        <v>-1757000000</v>
      </c>
      <c r="J963">
        <v>-9180000000</v>
      </c>
      <c r="K963">
        <v>4208000000</v>
      </c>
      <c r="L963">
        <v>103000000</v>
      </c>
      <c r="M963">
        <v>4311000000</v>
      </c>
      <c r="N963">
        <v>9249000000</v>
      </c>
      <c r="O963">
        <v>1479000000</v>
      </c>
      <c r="P963">
        <v>201000000</v>
      </c>
      <c r="Q963">
        <v>10938000000</v>
      </c>
      <c r="R963">
        <v>8853000000</v>
      </c>
      <c r="S963">
        <v>23605000000</v>
      </c>
      <c r="T963">
        <v>0</v>
      </c>
      <c r="U963">
        <v>1164000000</v>
      </c>
      <c r="V963">
        <v>8504000000</v>
      </c>
      <c r="W963">
        <v>74911791160</v>
      </c>
      <c r="X963">
        <v>76075791160</v>
      </c>
      <c r="Y963">
        <v>2.135828062866644</v>
      </c>
      <c r="Z963">
        <v>-84.054063160493826</v>
      </c>
      <c r="AA963">
        <v>174.57382348717951</v>
      </c>
      <c r="AB963">
        <v>-64.109031224105465</v>
      </c>
      <c r="AC963">
        <v>-38.750023426294817</v>
      </c>
      <c r="AD963">
        <v>-7.4165349847494557</v>
      </c>
      <c r="AE963">
        <v>-93.9207298271605</v>
      </c>
      <c r="AF963">
        <v>-92.483692790123456</v>
      </c>
      <c r="AG963">
        <v>-43.298685919180421</v>
      </c>
      <c r="AH963">
        <v>-42.636193033579957</v>
      </c>
      <c r="AI963">
        <v>195.0661311794872</v>
      </c>
      <c r="AJ963">
        <v>-71.634454952919015</v>
      </c>
      <c r="AK963">
        <v>192.08151579487179</v>
      </c>
      <c r="AL963">
        <v>-70.538409755178904</v>
      </c>
      <c r="AM963">
        <v>2.3865417435768741</v>
      </c>
      <c r="AN963">
        <v>2.3500263876776359</v>
      </c>
    </row>
    <row r="964" spans="1:40" x14ac:dyDescent="0.25">
      <c r="A964" s="1" t="s">
        <v>565</v>
      </c>
      <c r="B964">
        <v>68606275980</v>
      </c>
      <c r="C964" t="s">
        <v>75</v>
      </c>
      <c r="D964" t="s">
        <v>105</v>
      </c>
      <c r="E964">
        <v>31877000000</v>
      </c>
      <c r="F964">
        <v>-810000000</v>
      </c>
      <c r="G964">
        <v>390000000</v>
      </c>
      <c r="H964">
        <v>-1062000000</v>
      </c>
      <c r="I964">
        <v>-1757000000</v>
      </c>
      <c r="J964">
        <v>-9180000000</v>
      </c>
      <c r="K964">
        <v>4208000000</v>
      </c>
      <c r="L964">
        <v>103000000</v>
      </c>
      <c r="M964">
        <v>4311000000</v>
      </c>
      <c r="N964">
        <v>9249000000</v>
      </c>
      <c r="O964">
        <v>1479000000</v>
      </c>
      <c r="P964">
        <v>201000000</v>
      </c>
      <c r="Q964">
        <v>10938000000</v>
      </c>
      <c r="R964">
        <v>8853000000</v>
      </c>
      <c r="S964">
        <v>23605000000</v>
      </c>
      <c r="T964">
        <v>0</v>
      </c>
      <c r="U964">
        <v>1164000000</v>
      </c>
      <c r="V964">
        <v>8504000000</v>
      </c>
      <c r="W964">
        <v>75434275980</v>
      </c>
      <c r="X964">
        <v>76598275980</v>
      </c>
      <c r="Y964">
        <v>2.1522187150610161</v>
      </c>
      <c r="Z964">
        <v>-84.699106148148147</v>
      </c>
      <c r="AA964">
        <v>175.91352815384619</v>
      </c>
      <c r="AB964">
        <v>-64.601013163841813</v>
      </c>
      <c r="AC964">
        <v>-39.047396687535567</v>
      </c>
      <c r="AD964">
        <v>-7.4734505424836604</v>
      </c>
      <c r="AE964">
        <v>-94.565772814814821</v>
      </c>
      <c r="AF964">
        <v>-93.128735777777777</v>
      </c>
      <c r="AG964">
        <v>-43.596059180421172</v>
      </c>
      <c r="AH964">
        <v>-42.933566294820707</v>
      </c>
      <c r="AI964">
        <v>196.40583584615379</v>
      </c>
      <c r="AJ964">
        <v>-72.126436892655363</v>
      </c>
      <c r="AK964">
        <v>193.4212204615385</v>
      </c>
      <c r="AL964">
        <v>-71.030391694915252</v>
      </c>
      <c r="AM964">
        <v>2.4029323957712458</v>
      </c>
      <c r="AN964">
        <v>2.3664170398720081</v>
      </c>
    </row>
    <row r="965" spans="1:40" x14ac:dyDescent="0.25">
      <c r="A965" s="1" t="s">
        <v>564</v>
      </c>
      <c r="B965">
        <v>68345033569</v>
      </c>
      <c r="C965" t="s">
        <v>75</v>
      </c>
      <c r="D965" t="s">
        <v>105</v>
      </c>
      <c r="E965">
        <v>31877000000</v>
      </c>
      <c r="F965">
        <v>-810000000</v>
      </c>
      <c r="G965">
        <v>390000000</v>
      </c>
      <c r="H965">
        <v>-1062000000</v>
      </c>
      <c r="I965">
        <v>-1757000000</v>
      </c>
      <c r="J965">
        <v>-9180000000</v>
      </c>
      <c r="K965">
        <v>4208000000</v>
      </c>
      <c r="L965">
        <v>103000000</v>
      </c>
      <c r="M965">
        <v>4311000000</v>
      </c>
      <c r="N965">
        <v>9249000000</v>
      </c>
      <c r="O965">
        <v>1479000000</v>
      </c>
      <c r="P965">
        <v>201000000</v>
      </c>
      <c r="Q965">
        <v>10938000000</v>
      </c>
      <c r="R965">
        <v>8853000000</v>
      </c>
      <c r="S965">
        <v>23605000000</v>
      </c>
      <c r="T965">
        <v>0</v>
      </c>
      <c r="U965">
        <v>1164000000</v>
      </c>
      <c r="V965">
        <v>8504000000</v>
      </c>
      <c r="W965">
        <v>75173033569</v>
      </c>
      <c r="X965">
        <v>76337033569</v>
      </c>
      <c r="Y965">
        <v>2.1440233889324589</v>
      </c>
      <c r="Z965">
        <v>-84.376584653086425</v>
      </c>
      <c r="AA965">
        <v>175.24367581794871</v>
      </c>
      <c r="AB965">
        <v>-64.355022193032013</v>
      </c>
      <c r="AC965">
        <v>-38.898710056346047</v>
      </c>
      <c r="AD965">
        <v>-7.4449927635076252</v>
      </c>
      <c r="AE965">
        <v>-94.243251319753085</v>
      </c>
      <c r="AF965">
        <v>-92.806214282716056</v>
      </c>
      <c r="AG965">
        <v>-43.447372549231638</v>
      </c>
      <c r="AH965">
        <v>-42.784879663631187</v>
      </c>
      <c r="AI965">
        <v>195.7359835102564</v>
      </c>
      <c r="AJ965">
        <v>-71.880445921845578</v>
      </c>
      <c r="AK965">
        <v>192.75136812564099</v>
      </c>
      <c r="AL965">
        <v>-70.784400724105467</v>
      </c>
      <c r="AM965">
        <v>2.3947370696426891</v>
      </c>
      <c r="AN965">
        <v>2.3582217137434509</v>
      </c>
    </row>
    <row r="966" spans="1:40" x14ac:dyDescent="0.25">
      <c r="A966" s="1" t="s">
        <v>563</v>
      </c>
      <c r="B966">
        <v>64948882240</v>
      </c>
      <c r="C966" t="s">
        <v>75</v>
      </c>
      <c r="D966" t="s">
        <v>105</v>
      </c>
      <c r="E966">
        <v>31877000000</v>
      </c>
      <c r="F966">
        <v>-810000000</v>
      </c>
      <c r="G966">
        <v>390000000</v>
      </c>
      <c r="H966">
        <v>-1062000000</v>
      </c>
      <c r="I966">
        <v>-1757000000</v>
      </c>
      <c r="J966">
        <v>-9180000000</v>
      </c>
      <c r="K966">
        <v>4208000000</v>
      </c>
      <c r="L966">
        <v>103000000</v>
      </c>
      <c r="M966">
        <v>4311000000</v>
      </c>
      <c r="N966">
        <v>9249000000</v>
      </c>
      <c r="O966">
        <v>1479000000</v>
      </c>
      <c r="P966">
        <v>201000000</v>
      </c>
      <c r="Q966">
        <v>10938000000</v>
      </c>
      <c r="R966">
        <v>8853000000</v>
      </c>
      <c r="S966">
        <v>23605000000</v>
      </c>
      <c r="T966">
        <v>0</v>
      </c>
      <c r="U966">
        <v>1164000000</v>
      </c>
      <c r="V966">
        <v>8504000000</v>
      </c>
      <c r="W966">
        <v>71776882240</v>
      </c>
      <c r="X966">
        <v>72940882240</v>
      </c>
      <c r="Y966">
        <v>2.0374841497004108</v>
      </c>
      <c r="Z966">
        <v>-80.183805234567899</v>
      </c>
      <c r="AA966">
        <v>166.53559548717951</v>
      </c>
      <c r="AB966">
        <v>-61.157139585687382</v>
      </c>
      <c r="AC966">
        <v>-36.965783858850322</v>
      </c>
      <c r="AD966">
        <v>-7.0750416383442269</v>
      </c>
      <c r="AE966">
        <v>-90.050471901234573</v>
      </c>
      <c r="AF966">
        <v>-88.613434864197529</v>
      </c>
      <c r="AG966">
        <v>-41.514446351735913</v>
      </c>
      <c r="AH966">
        <v>-40.851953466135463</v>
      </c>
      <c r="AI966">
        <v>187.0279031794872</v>
      </c>
      <c r="AJ966">
        <v>-68.682563314500939</v>
      </c>
      <c r="AK966">
        <v>184.04328779487179</v>
      </c>
      <c r="AL966">
        <v>-67.586518116760828</v>
      </c>
      <c r="AM966">
        <v>2.288197830410641</v>
      </c>
      <c r="AN966">
        <v>2.2516824745114028</v>
      </c>
    </row>
    <row r="967" spans="1:40" x14ac:dyDescent="0.25">
      <c r="A967" s="1" t="s">
        <v>562</v>
      </c>
      <c r="B967">
        <v>62517318270</v>
      </c>
      <c r="C967" t="s">
        <v>75</v>
      </c>
      <c r="D967" t="s">
        <v>105</v>
      </c>
      <c r="E967">
        <v>31877000000</v>
      </c>
      <c r="F967">
        <v>-810000000</v>
      </c>
      <c r="G967">
        <v>390000000</v>
      </c>
      <c r="H967">
        <v>-1062000000</v>
      </c>
      <c r="I967">
        <v>-1757000000</v>
      </c>
      <c r="J967">
        <v>-9180000000</v>
      </c>
      <c r="K967">
        <v>4208000000</v>
      </c>
      <c r="L967">
        <v>103000000</v>
      </c>
      <c r="M967">
        <v>4311000000</v>
      </c>
      <c r="N967">
        <v>9249000000</v>
      </c>
      <c r="O967">
        <v>1479000000</v>
      </c>
      <c r="P967">
        <v>201000000</v>
      </c>
      <c r="Q967">
        <v>10938000000</v>
      </c>
      <c r="R967">
        <v>8853000000</v>
      </c>
      <c r="S967">
        <v>23605000000</v>
      </c>
      <c r="T967">
        <v>0</v>
      </c>
      <c r="U967">
        <v>1164000000</v>
      </c>
      <c r="V967">
        <v>8504000000</v>
      </c>
      <c r="W967">
        <v>69345318270</v>
      </c>
      <c r="X967">
        <v>70509318270</v>
      </c>
      <c r="Y967">
        <v>1.9612045760266019</v>
      </c>
      <c r="Z967">
        <v>-77.181874407407406</v>
      </c>
      <c r="AA967">
        <v>160.3008160769231</v>
      </c>
      <c r="AB967">
        <v>-58.867531327683608</v>
      </c>
      <c r="AC967">
        <v>-35.581854450768347</v>
      </c>
      <c r="AD967">
        <v>-6.8101653888888887</v>
      </c>
      <c r="AE967">
        <v>-87.04854107407408</v>
      </c>
      <c r="AF967">
        <v>-85.611504037037037</v>
      </c>
      <c r="AG967">
        <v>-40.130516943653959</v>
      </c>
      <c r="AH967">
        <v>-39.468024058053501</v>
      </c>
      <c r="AI967">
        <v>180.79312376923079</v>
      </c>
      <c r="AJ967">
        <v>-66.392955056497172</v>
      </c>
      <c r="AK967">
        <v>177.80850838461541</v>
      </c>
      <c r="AL967">
        <v>-65.296909858757061</v>
      </c>
      <c r="AM967">
        <v>2.2119182567368321</v>
      </c>
      <c r="AN967">
        <v>2.1754029008375939</v>
      </c>
    </row>
    <row r="968" spans="1:40" x14ac:dyDescent="0.25">
      <c r="A968" s="1" t="s">
        <v>561</v>
      </c>
      <c r="B968">
        <v>61934546740</v>
      </c>
      <c r="C968" t="s">
        <v>75</v>
      </c>
      <c r="D968" t="s">
        <v>105</v>
      </c>
      <c r="E968">
        <v>31877000000</v>
      </c>
      <c r="F968">
        <v>-810000000</v>
      </c>
      <c r="G968">
        <v>390000000</v>
      </c>
      <c r="H968">
        <v>-1062000000</v>
      </c>
      <c r="I968">
        <v>-1757000000</v>
      </c>
      <c r="J968">
        <v>-9180000000</v>
      </c>
      <c r="K968">
        <v>4208000000</v>
      </c>
      <c r="L968">
        <v>103000000</v>
      </c>
      <c r="M968">
        <v>4311000000</v>
      </c>
      <c r="N968">
        <v>9249000000</v>
      </c>
      <c r="O968">
        <v>1479000000</v>
      </c>
      <c r="P968">
        <v>201000000</v>
      </c>
      <c r="Q968">
        <v>10938000000</v>
      </c>
      <c r="R968">
        <v>8853000000</v>
      </c>
      <c r="S968">
        <v>23605000000</v>
      </c>
      <c r="T968">
        <v>0</v>
      </c>
      <c r="U968">
        <v>1164000000</v>
      </c>
      <c r="V968">
        <v>8504000000</v>
      </c>
      <c r="W968">
        <v>68762546740</v>
      </c>
      <c r="X968">
        <v>69926546740</v>
      </c>
      <c r="Y968">
        <v>1.942922694732879</v>
      </c>
      <c r="Z968">
        <v>-76.462403382716047</v>
      </c>
      <c r="AA968">
        <v>158.8065301025641</v>
      </c>
      <c r="AB968">
        <v>-58.318782241054613</v>
      </c>
      <c r="AC968">
        <v>-35.250168890153667</v>
      </c>
      <c r="AD968">
        <v>-6.7466826514161218</v>
      </c>
      <c r="AE968">
        <v>-86.329070049382722</v>
      </c>
      <c r="AF968">
        <v>-84.892033012345678</v>
      </c>
      <c r="AG968">
        <v>-39.798831383039271</v>
      </c>
      <c r="AH968">
        <v>-39.136338497438807</v>
      </c>
      <c r="AI968">
        <v>179.29883779487179</v>
      </c>
      <c r="AJ968">
        <v>-65.84420596986817</v>
      </c>
      <c r="AK968">
        <v>176.31422241025641</v>
      </c>
      <c r="AL968">
        <v>-64.74816077212806</v>
      </c>
      <c r="AM968">
        <v>2.1936363754431101</v>
      </c>
      <c r="AN968">
        <v>2.1571210195438719</v>
      </c>
    </row>
    <row r="969" spans="1:40" x14ac:dyDescent="0.25">
      <c r="A969" s="1" t="s">
        <v>560</v>
      </c>
      <c r="B969">
        <v>65029264520</v>
      </c>
      <c r="C969" t="s">
        <v>75</v>
      </c>
      <c r="D969" t="s">
        <v>105</v>
      </c>
      <c r="E969">
        <v>31877000000</v>
      </c>
      <c r="F969">
        <v>-810000000</v>
      </c>
      <c r="G969">
        <v>390000000</v>
      </c>
      <c r="H969">
        <v>-1062000000</v>
      </c>
      <c r="I969">
        <v>-1757000000</v>
      </c>
      <c r="J969">
        <v>-9180000000</v>
      </c>
      <c r="K969">
        <v>4208000000</v>
      </c>
      <c r="L969">
        <v>103000000</v>
      </c>
      <c r="M969">
        <v>4311000000</v>
      </c>
      <c r="N969">
        <v>9249000000</v>
      </c>
      <c r="O969">
        <v>1479000000</v>
      </c>
      <c r="P969">
        <v>201000000</v>
      </c>
      <c r="Q969">
        <v>10938000000</v>
      </c>
      <c r="R969">
        <v>8853000000</v>
      </c>
      <c r="S969">
        <v>23605000000</v>
      </c>
      <c r="T969">
        <v>0</v>
      </c>
      <c r="U969">
        <v>1164000000</v>
      </c>
      <c r="V969">
        <v>8504000000</v>
      </c>
      <c r="W969">
        <v>71857264520</v>
      </c>
      <c r="X969">
        <v>73021264520</v>
      </c>
      <c r="Y969">
        <v>2.0400057884995451</v>
      </c>
      <c r="Z969">
        <v>-80.283042617283954</v>
      </c>
      <c r="AA969">
        <v>166.74170389743591</v>
      </c>
      <c r="AB969">
        <v>-61.232829114877589</v>
      </c>
      <c r="AC969">
        <v>-37.011533591348893</v>
      </c>
      <c r="AD969">
        <v>-7.083797877995643</v>
      </c>
      <c r="AE969">
        <v>-90.149709283950614</v>
      </c>
      <c r="AF969">
        <v>-88.712672246913584</v>
      </c>
      <c r="AG969">
        <v>-41.560196084234491</v>
      </c>
      <c r="AH969">
        <v>-40.897703198634026</v>
      </c>
      <c r="AI969">
        <v>187.2340115897436</v>
      </c>
      <c r="AJ969">
        <v>-68.758252843691153</v>
      </c>
      <c r="AK969">
        <v>184.24939620512819</v>
      </c>
      <c r="AL969">
        <v>-67.662207645951042</v>
      </c>
      <c r="AM969">
        <v>2.2907194692097752</v>
      </c>
      <c r="AN969">
        <v>2.254204113310537</v>
      </c>
    </row>
    <row r="970" spans="1:40" x14ac:dyDescent="0.25">
      <c r="A970" s="1" t="s">
        <v>559</v>
      </c>
      <c r="B970">
        <v>64245537290</v>
      </c>
      <c r="C970" t="s">
        <v>75</v>
      </c>
      <c r="D970" t="s">
        <v>105</v>
      </c>
      <c r="E970">
        <v>31877000000</v>
      </c>
      <c r="F970">
        <v>-810000000</v>
      </c>
      <c r="G970">
        <v>390000000</v>
      </c>
      <c r="H970">
        <v>-1062000000</v>
      </c>
      <c r="I970">
        <v>-1757000000</v>
      </c>
      <c r="J970">
        <v>-9180000000</v>
      </c>
      <c r="K970">
        <v>4208000000</v>
      </c>
      <c r="L970">
        <v>103000000</v>
      </c>
      <c r="M970">
        <v>4311000000</v>
      </c>
      <c r="N970">
        <v>9249000000</v>
      </c>
      <c r="O970">
        <v>1479000000</v>
      </c>
      <c r="P970">
        <v>201000000</v>
      </c>
      <c r="Q970">
        <v>10938000000</v>
      </c>
      <c r="R970">
        <v>8853000000</v>
      </c>
      <c r="S970">
        <v>23605000000</v>
      </c>
      <c r="T970">
        <v>0</v>
      </c>
      <c r="U970">
        <v>1164000000</v>
      </c>
      <c r="V970">
        <v>8504000000</v>
      </c>
      <c r="W970">
        <v>71073537290</v>
      </c>
      <c r="X970">
        <v>72237537290</v>
      </c>
      <c r="Y970">
        <v>2.015419810207987</v>
      </c>
      <c r="Z970">
        <v>-79.315478135802465</v>
      </c>
      <c r="AA970">
        <v>164.73214689743591</v>
      </c>
      <c r="AB970">
        <v>-60.494856205273067</v>
      </c>
      <c r="AC970">
        <v>-36.565473699487761</v>
      </c>
      <c r="AD970">
        <v>-6.9984245413943356</v>
      </c>
      <c r="AE970">
        <v>-89.182144802469139</v>
      </c>
      <c r="AF970">
        <v>-87.745107765432095</v>
      </c>
      <c r="AG970">
        <v>-41.114136192373373</v>
      </c>
      <c r="AH970">
        <v>-40.451643306772908</v>
      </c>
      <c r="AI970">
        <v>185.2244545897436</v>
      </c>
      <c r="AJ970">
        <v>-68.020279934086631</v>
      </c>
      <c r="AK970">
        <v>182.23983920512819</v>
      </c>
      <c r="AL970">
        <v>-66.92423473634652</v>
      </c>
      <c r="AM970">
        <v>2.2661334909182171</v>
      </c>
      <c r="AN970">
        <v>2.229618135018979</v>
      </c>
    </row>
    <row r="971" spans="1:40" x14ac:dyDescent="0.25">
      <c r="A971" s="1" t="s">
        <v>558</v>
      </c>
      <c r="B971">
        <v>65772800609</v>
      </c>
      <c r="C971" t="s">
        <v>75</v>
      </c>
      <c r="D971" t="s">
        <v>105</v>
      </c>
      <c r="E971">
        <v>31877000000</v>
      </c>
      <c r="F971">
        <v>-810000000</v>
      </c>
      <c r="G971">
        <v>390000000</v>
      </c>
      <c r="H971">
        <v>-1062000000</v>
      </c>
      <c r="I971">
        <v>-1757000000</v>
      </c>
      <c r="J971">
        <v>-9180000000</v>
      </c>
      <c r="K971">
        <v>4208000000</v>
      </c>
      <c r="L971">
        <v>103000000</v>
      </c>
      <c r="M971">
        <v>4311000000</v>
      </c>
      <c r="N971">
        <v>9249000000</v>
      </c>
      <c r="O971">
        <v>1479000000</v>
      </c>
      <c r="P971">
        <v>201000000</v>
      </c>
      <c r="Q971">
        <v>10938000000</v>
      </c>
      <c r="R971">
        <v>8853000000</v>
      </c>
      <c r="S971">
        <v>23605000000</v>
      </c>
      <c r="T971">
        <v>0</v>
      </c>
      <c r="U971">
        <v>1164000000</v>
      </c>
      <c r="V971">
        <v>8504000000</v>
      </c>
      <c r="W971">
        <v>72600800609</v>
      </c>
      <c r="X971">
        <v>73764800609</v>
      </c>
      <c r="Y971">
        <v>2.063330947360166</v>
      </c>
      <c r="Z971">
        <v>-81.20098840617284</v>
      </c>
      <c r="AA971">
        <v>168.6482066897436</v>
      </c>
      <c r="AB971">
        <v>-61.932957258945393</v>
      </c>
      <c r="AC971">
        <v>-37.434718616391578</v>
      </c>
      <c r="AD971">
        <v>-7.1647930946623104</v>
      </c>
      <c r="AE971">
        <v>-91.0676550728395</v>
      </c>
      <c r="AF971">
        <v>-89.63061803580247</v>
      </c>
      <c r="AG971">
        <v>-41.983381109277182</v>
      </c>
      <c r="AH971">
        <v>-41.320888223676732</v>
      </c>
      <c r="AI971">
        <v>189.14051438205129</v>
      </c>
      <c r="AJ971">
        <v>-69.458380987758943</v>
      </c>
      <c r="AK971">
        <v>186.15589899743591</v>
      </c>
      <c r="AL971">
        <v>-68.362335790018832</v>
      </c>
      <c r="AM971">
        <v>2.3140446280703961</v>
      </c>
      <c r="AN971">
        <v>2.277529272171158</v>
      </c>
    </row>
    <row r="972" spans="1:40" x14ac:dyDescent="0.25">
      <c r="A972" s="1" t="s">
        <v>557</v>
      </c>
      <c r="B972">
        <v>63863721460</v>
      </c>
      <c r="C972" t="s">
        <v>75</v>
      </c>
      <c r="D972" t="s">
        <v>105</v>
      </c>
      <c r="E972">
        <v>31877000000</v>
      </c>
      <c r="F972">
        <v>-810000000</v>
      </c>
      <c r="G972">
        <v>390000000</v>
      </c>
      <c r="H972">
        <v>-1062000000</v>
      </c>
      <c r="I972">
        <v>-1757000000</v>
      </c>
      <c r="J972">
        <v>-9180000000</v>
      </c>
      <c r="K972">
        <v>4208000000</v>
      </c>
      <c r="L972">
        <v>103000000</v>
      </c>
      <c r="M972">
        <v>4311000000</v>
      </c>
      <c r="N972">
        <v>9249000000</v>
      </c>
      <c r="O972">
        <v>1479000000</v>
      </c>
      <c r="P972">
        <v>201000000</v>
      </c>
      <c r="Q972">
        <v>10938000000</v>
      </c>
      <c r="R972">
        <v>8853000000</v>
      </c>
      <c r="S972">
        <v>23605000000</v>
      </c>
      <c r="T972">
        <v>0</v>
      </c>
      <c r="U972">
        <v>1164000000</v>
      </c>
      <c r="V972">
        <v>8504000000</v>
      </c>
      <c r="W972">
        <v>70691721460</v>
      </c>
      <c r="X972">
        <v>71855721460</v>
      </c>
      <c r="Y972">
        <v>2.0034420259121002</v>
      </c>
      <c r="Z972">
        <v>-78.844100567901236</v>
      </c>
      <c r="AA972">
        <v>163.75313194871791</v>
      </c>
      <c r="AB972">
        <v>-60.135330941619593</v>
      </c>
      <c r="AC972">
        <v>-36.348162470119519</v>
      </c>
      <c r="AD972">
        <v>-6.9568324030501092</v>
      </c>
      <c r="AE972">
        <v>-88.710767234567896</v>
      </c>
      <c r="AF972">
        <v>-87.273730197530867</v>
      </c>
      <c r="AG972">
        <v>-40.896824963005123</v>
      </c>
      <c r="AH972">
        <v>-40.234332077404673</v>
      </c>
      <c r="AI972">
        <v>184.24543964102571</v>
      </c>
      <c r="AJ972">
        <v>-67.66075467043315</v>
      </c>
      <c r="AK972">
        <v>181.26082425641019</v>
      </c>
      <c r="AL972">
        <v>-66.564709472693039</v>
      </c>
      <c r="AM972">
        <v>2.254155706622329</v>
      </c>
      <c r="AN972">
        <v>2.2176403507230922</v>
      </c>
    </row>
    <row r="973" spans="1:40" x14ac:dyDescent="0.25">
      <c r="A973" s="1" t="s">
        <v>556</v>
      </c>
      <c r="B973">
        <v>64165155010</v>
      </c>
      <c r="C973" t="s">
        <v>75</v>
      </c>
      <c r="D973" t="s">
        <v>105</v>
      </c>
      <c r="E973">
        <v>31877000000</v>
      </c>
      <c r="F973">
        <v>-810000000</v>
      </c>
      <c r="G973">
        <v>390000000</v>
      </c>
      <c r="H973">
        <v>-1062000000</v>
      </c>
      <c r="I973">
        <v>-1757000000</v>
      </c>
      <c r="J973">
        <v>-9180000000</v>
      </c>
      <c r="K973">
        <v>4208000000</v>
      </c>
      <c r="L973">
        <v>103000000</v>
      </c>
      <c r="M973">
        <v>4311000000</v>
      </c>
      <c r="N973">
        <v>9249000000</v>
      </c>
      <c r="O973">
        <v>1479000000</v>
      </c>
      <c r="P973">
        <v>201000000</v>
      </c>
      <c r="Q973">
        <v>10938000000</v>
      </c>
      <c r="R973">
        <v>8853000000</v>
      </c>
      <c r="S973">
        <v>23605000000</v>
      </c>
      <c r="T973">
        <v>0</v>
      </c>
      <c r="U973">
        <v>1164000000</v>
      </c>
      <c r="V973">
        <v>8504000000</v>
      </c>
      <c r="W973">
        <v>70993155010</v>
      </c>
      <c r="X973">
        <v>72157155010</v>
      </c>
      <c r="Y973">
        <v>2.0128981714088532</v>
      </c>
      <c r="Z973">
        <v>-79.216240753086424</v>
      </c>
      <c r="AA973">
        <v>164.52603848717951</v>
      </c>
      <c r="AB973">
        <v>-60.41916667608286</v>
      </c>
      <c r="AC973">
        <v>-36.519723966989183</v>
      </c>
      <c r="AD973">
        <v>-6.9896683017429204</v>
      </c>
      <c r="AE973">
        <v>-89.082907419753084</v>
      </c>
      <c r="AF973">
        <v>-87.645870382716055</v>
      </c>
      <c r="AG973">
        <v>-41.068386459874787</v>
      </c>
      <c r="AH973">
        <v>-40.40589357427433</v>
      </c>
      <c r="AI973">
        <v>185.0183461794872</v>
      </c>
      <c r="AJ973">
        <v>-67.944590404896417</v>
      </c>
      <c r="AK973">
        <v>182.03373079487179</v>
      </c>
      <c r="AL973">
        <v>-66.848545207156306</v>
      </c>
      <c r="AM973">
        <v>2.2636118521190829</v>
      </c>
      <c r="AN973">
        <v>2.2270964962198452</v>
      </c>
    </row>
    <row r="974" spans="1:40" x14ac:dyDescent="0.25">
      <c r="A974" s="1" t="s">
        <v>555</v>
      </c>
      <c r="B974">
        <v>66034043020</v>
      </c>
      <c r="C974" t="s">
        <v>75</v>
      </c>
      <c r="D974" t="s">
        <v>105</v>
      </c>
      <c r="E974">
        <v>31877000000</v>
      </c>
      <c r="F974">
        <v>-810000000</v>
      </c>
      <c r="G974">
        <v>390000000</v>
      </c>
      <c r="H974">
        <v>-1062000000</v>
      </c>
      <c r="I974">
        <v>-1757000000</v>
      </c>
      <c r="J974">
        <v>-9180000000</v>
      </c>
      <c r="K974">
        <v>4208000000</v>
      </c>
      <c r="L974">
        <v>103000000</v>
      </c>
      <c r="M974">
        <v>4311000000</v>
      </c>
      <c r="N974">
        <v>9249000000</v>
      </c>
      <c r="O974">
        <v>1479000000</v>
      </c>
      <c r="P974">
        <v>201000000</v>
      </c>
      <c r="Q974">
        <v>10938000000</v>
      </c>
      <c r="R974">
        <v>8853000000</v>
      </c>
      <c r="S974">
        <v>23605000000</v>
      </c>
      <c r="T974">
        <v>0</v>
      </c>
      <c r="U974">
        <v>1164000000</v>
      </c>
      <c r="V974">
        <v>8504000000</v>
      </c>
      <c r="W974">
        <v>72862043020</v>
      </c>
      <c r="X974">
        <v>74026043020</v>
      </c>
      <c r="Y974">
        <v>2.0715262734887219</v>
      </c>
      <c r="Z974">
        <v>-81.523509901234561</v>
      </c>
      <c r="AA974">
        <v>169.31805902564099</v>
      </c>
      <c r="AB974">
        <v>-62.178948229755179</v>
      </c>
      <c r="AC974">
        <v>-37.583405247581098</v>
      </c>
      <c r="AD974">
        <v>-7.1932508736383438</v>
      </c>
      <c r="AE974">
        <v>-91.390176567901236</v>
      </c>
      <c r="AF974">
        <v>-89.953139530864192</v>
      </c>
      <c r="AG974">
        <v>-42.132067740466702</v>
      </c>
      <c r="AH974">
        <v>-41.469574854866252</v>
      </c>
      <c r="AI974">
        <v>189.81036671794871</v>
      </c>
      <c r="AJ974">
        <v>-69.704371958568743</v>
      </c>
      <c r="AK974">
        <v>186.8257513333333</v>
      </c>
      <c r="AL974">
        <v>-68.608326760828632</v>
      </c>
      <c r="AM974">
        <v>2.322239954198952</v>
      </c>
      <c r="AN974">
        <v>2.2857245982997152</v>
      </c>
    </row>
    <row r="975" spans="1:40" x14ac:dyDescent="0.25">
      <c r="A975" s="1" t="s">
        <v>554</v>
      </c>
      <c r="B975">
        <v>63341236640</v>
      </c>
      <c r="C975" t="s">
        <v>75</v>
      </c>
      <c r="D975" t="s">
        <v>105</v>
      </c>
      <c r="E975">
        <v>31877000000</v>
      </c>
      <c r="F975">
        <v>-810000000</v>
      </c>
      <c r="G975">
        <v>390000000</v>
      </c>
      <c r="H975">
        <v>-1062000000</v>
      </c>
      <c r="I975">
        <v>-1757000000</v>
      </c>
      <c r="J975">
        <v>-9180000000</v>
      </c>
      <c r="K975">
        <v>4208000000</v>
      </c>
      <c r="L975">
        <v>103000000</v>
      </c>
      <c r="M975">
        <v>4311000000</v>
      </c>
      <c r="N975">
        <v>9249000000</v>
      </c>
      <c r="O975">
        <v>1479000000</v>
      </c>
      <c r="P975">
        <v>201000000</v>
      </c>
      <c r="Q975">
        <v>10938000000</v>
      </c>
      <c r="R975">
        <v>8853000000</v>
      </c>
      <c r="S975">
        <v>23605000000</v>
      </c>
      <c r="T975">
        <v>0</v>
      </c>
      <c r="U975">
        <v>1164000000</v>
      </c>
      <c r="V975">
        <v>8504000000</v>
      </c>
      <c r="W975">
        <v>70169236640</v>
      </c>
      <c r="X975">
        <v>71333236640</v>
      </c>
      <c r="Y975">
        <v>1.987051373717728</v>
      </c>
      <c r="Z975">
        <v>-78.199057580246915</v>
      </c>
      <c r="AA975">
        <v>162.41342728205129</v>
      </c>
      <c r="AB975">
        <v>-59.643349001883237</v>
      </c>
      <c r="AC975">
        <v>-36.050789208878768</v>
      </c>
      <c r="AD975">
        <v>-6.8999168453159054</v>
      </c>
      <c r="AE975">
        <v>-88.065724246913575</v>
      </c>
      <c r="AF975">
        <v>-86.628687209876546</v>
      </c>
      <c r="AG975">
        <v>-40.599451701764373</v>
      </c>
      <c r="AH975">
        <v>-39.936958816163923</v>
      </c>
      <c r="AI975">
        <v>182.90573497435901</v>
      </c>
      <c r="AJ975">
        <v>-67.168772730696801</v>
      </c>
      <c r="AK975">
        <v>179.9211195897436</v>
      </c>
      <c r="AL975">
        <v>-66.072727532956691</v>
      </c>
      <c r="AM975">
        <v>2.2377650544279568</v>
      </c>
      <c r="AN975">
        <v>2.20124969852872</v>
      </c>
    </row>
    <row r="976" spans="1:40" x14ac:dyDescent="0.25">
      <c r="A976" s="1" t="s">
        <v>553</v>
      </c>
      <c r="B976">
        <v>62657987260</v>
      </c>
      <c r="C976" t="s">
        <v>75</v>
      </c>
      <c r="D976" t="s">
        <v>105</v>
      </c>
      <c r="E976">
        <v>31877000000</v>
      </c>
      <c r="F976">
        <v>-810000000</v>
      </c>
      <c r="G976">
        <v>390000000</v>
      </c>
      <c r="H976">
        <v>-1062000000</v>
      </c>
      <c r="I976">
        <v>-1757000000</v>
      </c>
      <c r="J976">
        <v>-9180000000</v>
      </c>
      <c r="K976">
        <v>4208000000</v>
      </c>
      <c r="L976">
        <v>103000000</v>
      </c>
      <c r="M976">
        <v>4311000000</v>
      </c>
      <c r="N976">
        <v>9249000000</v>
      </c>
      <c r="O976">
        <v>1479000000</v>
      </c>
      <c r="P976">
        <v>201000000</v>
      </c>
      <c r="Q976">
        <v>10938000000</v>
      </c>
      <c r="R976">
        <v>8853000000</v>
      </c>
      <c r="S976">
        <v>23605000000</v>
      </c>
      <c r="T976">
        <v>0</v>
      </c>
      <c r="U976">
        <v>1164000000</v>
      </c>
      <c r="V976">
        <v>8504000000</v>
      </c>
      <c r="W976">
        <v>69485987260</v>
      </c>
      <c r="X976">
        <v>70649987260</v>
      </c>
      <c r="Y976">
        <v>1.9656174439250871</v>
      </c>
      <c r="Z976">
        <v>-77.355539827160499</v>
      </c>
      <c r="AA976">
        <v>160.6615057948718</v>
      </c>
      <c r="AB976">
        <v>-58.999988003766482</v>
      </c>
      <c r="AC976">
        <v>-35.661916482640862</v>
      </c>
      <c r="AD976">
        <v>-6.8254888082788669</v>
      </c>
      <c r="AE976">
        <v>-87.222206493827159</v>
      </c>
      <c r="AF976">
        <v>-85.785169456790129</v>
      </c>
      <c r="AG976">
        <v>-40.210578975526467</v>
      </c>
      <c r="AH976">
        <v>-39.548086089926009</v>
      </c>
      <c r="AI976">
        <v>181.15381348717949</v>
      </c>
      <c r="AJ976">
        <v>-66.525411732580039</v>
      </c>
      <c r="AK976">
        <v>178.16919810256411</v>
      </c>
      <c r="AL976">
        <v>-65.429366534839929</v>
      </c>
      <c r="AM976">
        <v>2.216331124635317</v>
      </c>
      <c r="AN976">
        <v>2.1798157687360789</v>
      </c>
    </row>
    <row r="977" spans="1:40" x14ac:dyDescent="0.25">
      <c r="A977" s="1" t="s">
        <v>552</v>
      </c>
      <c r="B977">
        <v>61793877750</v>
      </c>
      <c r="C977" t="s">
        <v>75</v>
      </c>
      <c r="D977" t="s">
        <v>105</v>
      </c>
      <c r="E977">
        <v>31877000000</v>
      </c>
      <c r="F977">
        <v>-810000000</v>
      </c>
      <c r="G977">
        <v>390000000</v>
      </c>
      <c r="H977">
        <v>-1062000000</v>
      </c>
      <c r="I977">
        <v>-1757000000</v>
      </c>
      <c r="J977">
        <v>-9180000000</v>
      </c>
      <c r="K977">
        <v>4208000000</v>
      </c>
      <c r="L977">
        <v>103000000</v>
      </c>
      <c r="M977">
        <v>4311000000</v>
      </c>
      <c r="N977">
        <v>9249000000</v>
      </c>
      <c r="O977">
        <v>1479000000</v>
      </c>
      <c r="P977">
        <v>201000000</v>
      </c>
      <c r="Q977">
        <v>10938000000</v>
      </c>
      <c r="R977">
        <v>8853000000</v>
      </c>
      <c r="S977">
        <v>23605000000</v>
      </c>
      <c r="T977">
        <v>0</v>
      </c>
      <c r="U977">
        <v>1164000000</v>
      </c>
      <c r="V977">
        <v>8504000000</v>
      </c>
      <c r="W977">
        <v>68621877750</v>
      </c>
      <c r="X977">
        <v>69785877750</v>
      </c>
      <c r="Y977">
        <v>1.938509826834395</v>
      </c>
      <c r="Z977">
        <v>-76.288737962962969</v>
      </c>
      <c r="AA977">
        <v>158.44584038461539</v>
      </c>
      <c r="AB977">
        <v>-58.186325564971753</v>
      </c>
      <c r="AC977">
        <v>-35.170106858281159</v>
      </c>
      <c r="AD977">
        <v>-6.7313592320261444</v>
      </c>
      <c r="AE977">
        <v>-86.155404629629629</v>
      </c>
      <c r="AF977">
        <v>-84.7183675925926</v>
      </c>
      <c r="AG977">
        <v>-39.718769351166763</v>
      </c>
      <c r="AH977">
        <v>-39.056276465566313</v>
      </c>
      <c r="AI977">
        <v>178.93814807692311</v>
      </c>
      <c r="AJ977">
        <v>-65.711749293785317</v>
      </c>
      <c r="AK977">
        <v>175.9535326923077</v>
      </c>
      <c r="AL977">
        <v>-64.615704096045192</v>
      </c>
      <c r="AM977">
        <v>2.1892235075446251</v>
      </c>
      <c r="AN977">
        <v>2.152708151645387</v>
      </c>
    </row>
    <row r="978" spans="1:40" x14ac:dyDescent="0.25">
      <c r="A978" s="1" t="s">
        <v>551</v>
      </c>
      <c r="B978">
        <v>61532635340</v>
      </c>
      <c r="C978" t="s">
        <v>75</v>
      </c>
      <c r="D978" t="s">
        <v>105</v>
      </c>
      <c r="E978">
        <v>31877000000</v>
      </c>
      <c r="F978">
        <v>-810000000</v>
      </c>
      <c r="G978">
        <v>390000000</v>
      </c>
      <c r="H978">
        <v>-1062000000</v>
      </c>
      <c r="I978">
        <v>-1757000000</v>
      </c>
      <c r="J978">
        <v>-9180000000</v>
      </c>
      <c r="K978">
        <v>4208000000</v>
      </c>
      <c r="L978">
        <v>103000000</v>
      </c>
      <c r="M978">
        <v>4311000000</v>
      </c>
      <c r="N978">
        <v>9249000000</v>
      </c>
      <c r="O978">
        <v>1479000000</v>
      </c>
      <c r="P978">
        <v>201000000</v>
      </c>
      <c r="Q978">
        <v>10938000000</v>
      </c>
      <c r="R978">
        <v>8853000000</v>
      </c>
      <c r="S978">
        <v>23605000000</v>
      </c>
      <c r="T978">
        <v>0</v>
      </c>
      <c r="U978">
        <v>1164000000</v>
      </c>
      <c r="V978">
        <v>8504000000</v>
      </c>
      <c r="W978">
        <v>68360635340</v>
      </c>
      <c r="X978">
        <v>69524635340</v>
      </c>
      <c r="Y978">
        <v>1.9303145007372089</v>
      </c>
      <c r="Z978">
        <v>-75.966216469135802</v>
      </c>
      <c r="AA978">
        <v>157.77598805128201</v>
      </c>
      <c r="AB978">
        <v>-57.940334595103579</v>
      </c>
      <c r="AC978">
        <v>-35.021420227660776</v>
      </c>
      <c r="AD978">
        <v>-6.7029014531590416</v>
      </c>
      <c r="AE978">
        <v>-85.832883135802476</v>
      </c>
      <c r="AF978">
        <v>-84.395846098765432</v>
      </c>
      <c r="AG978">
        <v>-39.570082720546388</v>
      </c>
      <c r="AH978">
        <v>-38.907589834945931</v>
      </c>
      <c r="AI978">
        <v>178.2682957435897</v>
      </c>
      <c r="AJ978">
        <v>-65.465758323917143</v>
      </c>
      <c r="AK978">
        <v>175.28368035897441</v>
      </c>
      <c r="AL978">
        <v>-64.369713126177018</v>
      </c>
      <c r="AM978">
        <v>2.1810281814474379</v>
      </c>
      <c r="AN978">
        <v>2.1445128255482011</v>
      </c>
    </row>
    <row r="979" spans="1:40" x14ac:dyDescent="0.25">
      <c r="A979" s="1" t="s">
        <v>550</v>
      </c>
      <c r="B979">
        <v>60427378990</v>
      </c>
      <c r="C979" t="s">
        <v>75</v>
      </c>
      <c r="D979" t="s">
        <v>105</v>
      </c>
      <c r="E979">
        <v>31877000000</v>
      </c>
      <c r="F979">
        <v>-810000000</v>
      </c>
      <c r="G979">
        <v>390000000</v>
      </c>
      <c r="H979">
        <v>-1062000000</v>
      </c>
      <c r="I979">
        <v>-1757000000</v>
      </c>
      <c r="J979">
        <v>-9180000000</v>
      </c>
      <c r="K979">
        <v>4208000000</v>
      </c>
      <c r="L979">
        <v>103000000</v>
      </c>
      <c r="M979">
        <v>4311000000</v>
      </c>
      <c r="N979">
        <v>9249000000</v>
      </c>
      <c r="O979">
        <v>1479000000</v>
      </c>
      <c r="P979">
        <v>201000000</v>
      </c>
      <c r="Q979">
        <v>10938000000</v>
      </c>
      <c r="R979">
        <v>8853000000</v>
      </c>
      <c r="S979">
        <v>23605000000</v>
      </c>
      <c r="T979">
        <v>0</v>
      </c>
      <c r="U979">
        <v>1164000000</v>
      </c>
      <c r="V979">
        <v>8504000000</v>
      </c>
      <c r="W979">
        <v>67255378990</v>
      </c>
      <c r="X979">
        <v>68419378990</v>
      </c>
      <c r="Y979">
        <v>1.895641967249114</v>
      </c>
      <c r="Z979">
        <v>-74.601702456790122</v>
      </c>
      <c r="AA979">
        <v>154.94199741025639</v>
      </c>
      <c r="AB979">
        <v>-56.899603568738229</v>
      </c>
      <c r="AC979">
        <v>-34.392361405805353</v>
      </c>
      <c r="AD979">
        <v>-6.5825031579520701</v>
      </c>
      <c r="AE979">
        <v>-84.468369123456796</v>
      </c>
      <c r="AF979">
        <v>-83.031332086419752</v>
      </c>
      <c r="AG979">
        <v>-38.94102389869095</v>
      </c>
      <c r="AH979">
        <v>-38.278531013090493</v>
      </c>
      <c r="AI979">
        <v>175.43430510256411</v>
      </c>
      <c r="AJ979">
        <v>-64.425027297551793</v>
      </c>
      <c r="AK979">
        <v>172.4496897179487</v>
      </c>
      <c r="AL979">
        <v>-63.328982099811682</v>
      </c>
      <c r="AM979">
        <v>2.1463556479593442</v>
      </c>
      <c r="AN979">
        <v>2.109840292060106</v>
      </c>
    </row>
    <row r="980" spans="1:40" x14ac:dyDescent="0.25">
      <c r="A980" s="1" t="s">
        <v>549</v>
      </c>
      <c r="B980">
        <v>62035024590</v>
      </c>
      <c r="C980" t="s">
        <v>75</v>
      </c>
      <c r="D980" t="s">
        <v>105</v>
      </c>
      <c r="E980">
        <v>31877000000</v>
      </c>
      <c r="F980">
        <v>-810000000</v>
      </c>
      <c r="G980">
        <v>390000000</v>
      </c>
      <c r="H980">
        <v>-1062000000</v>
      </c>
      <c r="I980">
        <v>-1757000000</v>
      </c>
      <c r="J980">
        <v>-9180000000</v>
      </c>
      <c r="K980">
        <v>4208000000</v>
      </c>
      <c r="L980">
        <v>103000000</v>
      </c>
      <c r="M980">
        <v>4311000000</v>
      </c>
      <c r="N980">
        <v>9249000000</v>
      </c>
      <c r="O980">
        <v>1479000000</v>
      </c>
      <c r="P980">
        <v>201000000</v>
      </c>
      <c r="Q980">
        <v>10938000000</v>
      </c>
      <c r="R980">
        <v>8853000000</v>
      </c>
      <c r="S980">
        <v>23605000000</v>
      </c>
      <c r="T980">
        <v>0</v>
      </c>
      <c r="U980">
        <v>1164000000</v>
      </c>
      <c r="V980">
        <v>8504000000</v>
      </c>
      <c r="W980">
        <v>68863024590</v>
      </c>
      <c r="X980">
        <v>70027024590</v>
      </c>
      <c r="Y980">
        <v>1.9460747432317971</v>
      </c>
      <c r="Z980">
        <v>-76.586450111111105</v>
      </c>
      <c r="AA980">
        <v>159.06416561538461</v>
      </c>
      <c r="AB980">
        <v>-58.413394152542367</v>
      </c>
      <c r="AC980">
        <v>-35.307356055776893</v>
      </c>
      <c r="AD980">
        <v>-6.7576279509803916</v>
      </c>
      <c r="AE980">
        <v>-86.45311677777778</v>
      </c>
      <c r="AF980">
        <v>-85.016079740740736</v>
      </c>
      <c r="AG980">
        <v>-39.85601854866249</v>
      </c>
      <c r="AH980">
        <v>-39.19352566306204</v>
      </c>
      <c r="AI980">
        <v>179.5564733076923</v>
      </c>
      <c r="AJ980">
        <v>-65.938817881355931</v>
      </c>
      <c r="AK980">
        <v>176.57185792307689</v>
      </c>
      <c r="AL980">
        <v>-64.84277268361582</v>
      </c>
      <c r="AM980">
        <v>2.196788423942027</v>
      </c>
      <c r="AN980">
        <v>2.1602730680427888</v>
      </c>
    </row>
    <row r="981" spans="1:40" x14ac:dyDescent="0.25">
      <c r="A981" s="1" t="s">
        <v>548</v>
      </c>
      <c r="B981">
        <v>62678082830</v>
      </c>
      <c r="C981" t="s">
        <v>75</v>
      </c>
      <c r="D981" t="s">
        <v>105</v>
      </c>
      <c r="E981">
        <v>31877000000</v>
      </c>
      <c r="F981">
        <v>-810000000</v>
      </c>
      <c r="G981">
        <v>390000000</v>
      </c>
      <c r="H981">
        <v>-1062000000</v>
      </c>
      <c r="I981">
        <v>-1757000000</v>
      </c>
      <c r="J981">
        <v>-9180000000</v>
      </c>
      <c r="K981">
        <v>4208000000</v>
      </c>
      <c r="L981">
        <v>103000000</v>
      </c>
      <c r="M981">
        <v>4311000000</v>
      </c>
      <c r="N981">
        <v>9249000000</v>
      </c>
      <c r="O981">
        <v>1479000000</v>
      </c>
      <c r="P981">
        <v>201000000</v>
      </c>
      <c r="Q981">
        <v>10938000000</v>
      </c>
      <c r="R981">
        <v>8853000000</v>
      </c>
      <c r="S981">
        <v>23605000000</v>
      </c>
      <c r="T981">
        <v>0</v>
      </c>
      <c r="U981">
        <v>1164000000</v>
      </c>
      <c r="V981">
        <v>8504000000</v>
      </c>
      <c r="W981">
        <v>69506082830</v>
      </c>
      <c r="X981">
        <v>70670082830</v>
      </c>
      <c r="Y981">
        <v>1.9662478536248711</v>
      </c>
      <c r="Z981">
        <v>-77.380349172839502</v>
      </c>
      <c r="AA981">
        <v>160.71303289743591</v>
      </c>
      <c r="AB981">
        <v>-59.018910386064029</v>
      </c>
      <c r="AC981">
        <v>-35.67335391576551</v>
      </c>
      <c r="AD981">
        <v>-6.8276778681917207</v>
      </c>
      <c r="AE981">
        <v>-87.247015839506176</v>
      </c>
      <c r="AF981">
        <v>-85.809978802469132</v>
      </c>
      <c r="AG981">
        <v>-40.222016408651108</v>
      </c>
      <c r="AH981">
        <v>-39.559523523050657</v>
      </c>
      <c r="AI981">
        <v>181.2053405897436</v>
      </c>
      <c r="AJ981">
        <v>-66.544334114877586</v>
      </c>
      <c r="AK981">
        <v>178.22072520512819</v>
      </c>
      <c r="AL981">
        <v>-65.448288917137475</v>
      </c>
      <c r="AM981">
        <v>2.216961534335101</v>
      </c>
      <c r="AN981">
        <v>2.1804461784358629</v>
      </c>
    </row>
    <row r="982" spans="1:40" x14ac:dyDescent="0.25">
      <c r="A982" s="1" t="s">
        <v>74</v>
      </c>
      <c r="B982">
        <v>64249972100</v>
      </c>
      <c r="C982" t="s">
        <v>75</v>
      </c>
      <c r="D982" t="s">
        <v>105</v>
      </c>
      <c r="E982">
        <v>31877000000</v>
      </c>
      <c r="F982">
        <v>-810000000</v>
      </c>
      <c r="G982">
        <v>390000000</v>
      </c>
      <c r="H982">
        <v>-1062000000</v>
      </c>
      <c r="I982">
        <v>-1757000000</v>
      </c>
      <c r="J982">
        <v>-9180000000</v>
      </c>
      <c r="K982">
        <v>4208000000</v>
      </c>
      <c r="L982">
        <v>103000000</v>
      </c>
      <c r="M982">
        <v>4311000000</v>
      </c>
      <c r="N982">
        <v>9249000000</v>
      </c>
      <c r="O982">
        <v>1479000000</v>
      </c>
      <c r="P982">
        <v>201000000</v>
      </c>
      <c r="Q982">
        <v>10938000000</v>
      </c>
      <c r="R982">
        <v>8853000000</v>
      </c>
      <c r="S982">
        <v>23605000000</v>
      </c>
      <c r="T982">
        <v>0</v>
      </c>
      <c r="U982">
        <v>1164000000</v>
      </c>
      <c r="V982">
        <v>8504000000</v>
      </c>
      <c r="W982">
        <v>71077972100</v>
      </c>
      <c r="X982">
        <v>72241972100</v>
      </c>
      <c r="Y982">
        <v>2.015558932772846</v>
      </c>
      <c r="Z982">
        <v>-79.320953209876549</v>
      </c>
      <c r="AA982">
        <v>164.7435182051282</v>
      </c>
      <c r="AB982">
        <v>-60.499032109227869</v>
      </c>
      <c r="AC982">
        <v>-36.567997780307337</v>
      </c>
      <c r="AD982">
        <v>-6.9989076361655771</v>
      </c>
      <c r="AE982">
        <v>-89.187619876543209</v>
      </c>
      <c r="AF982">
        <v>-87.75058283950618</v>
      </c>
      <c r="AG982">
        <v>-41.116660273192942</v>
      </c>
      <c r="AH982">
        <v>-40.454167387592477</v>
      </c>
      <c r="AI982">
        <v>185.23582589743589</v>
      </c>
      <c r="AJ982">
        <v>-68.024455838041433</v>
      </c>
      <c r="AK982">
        <v>182.25121051282051</v>
      </c>
      <c r="AL982">
        <v>-66.928410640301323</v>
      </c>
      <c r="AM982">
        <v>2.2662726134830762</v>
      </c>
      <c r="AN982">
        <v>2.229757257583838</v>
      </c>
    </row>
    <row r="983" spans="1:40" x14ac:dyDescent="0.25">
      <c r="A983" s="1" t="s">
        <v>547</v>
      </c>
      <c r="B983">
        <v>63763536980</v>
      </c>
      <c r="C983" t="s">
        <v>75</v>
      </c>
      <c r="D983" t="s">
        <v>105</v>
      </c>
      <c r="E983">
        <v>31877000000</v>
      </c>
      <c r="F983">
        <v>-810000000</v>
      </c>
      <c r="G983">
        <v>390000000</v>
      </c>
      <c r="H983">
        <v>-1062000000</v>
      </c>
      <c r="I983">
        <v>-1757000000</v>
      </c>
      <c r="J983">
        <v>-9180000000</v>
      </c>
      <c r="K983">
        <v>4208000000</v>
      </c>
      <c r="L983">
        <v>103000000</v>
      </c>
      <c r="M983">
        <v>4311000000</v>
      </c>
      <c r="N983">
        <v>9249000000</v>
      </c>
      <c r="O983">
        <v>1479000000</v>
      </c>
      <c r="P983">
        <v>201000000</v>
      </c>
      <c r="Q983">
        <v>10938000000</v>
      </c>
      <c r="R983">
        <v>8853000000</v>
      </c>
      <c r="S983">
        <v>23605000000</v>
      </c>
      <c r="T983">
        <v>0</v>
      </c>
      <c r="U983">
        <v>1164000000</v>
      </c>
      <c r="V983">
        <v>8504000000</v>
      </c>
      <c r="W983">
        <v>70591536980</v>
      </c>
      <c r="X983">
        <v>71755536980</v>
      </c>
      <c r="Y983">
        <v>2.0002991806004329</v>
      </c>
      <c r="Z983">
        <v>-78.72041602469136</v>
      </c>
      <c r="AA983">
        <v>163.4962486666667</v>
      </c>
      <c r="AB983">
        <v>-60.040995273069683</v>
      </c>
      <c r="AC983">
        <v>-36.291142276607857</v>
      </c>
      <c r="AD983">
        <v>-6.9459190610021784</v>
      </c>
      <c r="AE983">
        <v>-88.58708269135802</v>
      </c>
      <c r="AF983">
        <v>-87.150045654320991</v>
      </c>
      <c r="AG983">
        <v>-40.839804769493448</v>
      </c>
      <c r="AH983">
        <v>-40.177311883892997</v>
      </c>
      <c r="AI983">
        <v>183.98855635897439</v>
      </c>
      <c r="AJ983">
        <v>-67.566419001883233</v>
      </c>
      <c r="AK983">
        <v>181.00394097435901</v>
      </c>
      <c r="AL983">
        <v>-66.470373804143122</v>
      </c>
      <c r="AM983">
        <v>2.251012861310663</v>
      </c>
      <c r="AN983">
        <v>2.2144975054114249</v>
      </c>
    </row>
    <row r="984" spans="1:40" x14ac:dyDescent="0.25">
      <c r="A984" s="1" t="s">
        <v>546</v>
      </c>
      <c r="B984">
        <v>63621660070</v>
      </c>
      <c r="C984" t="s">
        <v>75</v>
      </c>
      <c r="D984" t="s">
        <v>105</v>
      </c>
      <c r="E984">
        <v>31877000000</v>
      </c>
      <c r="F984">
        <v>-810000000</v>
      </c>
      <c r="G984">
        <v>390000000</v>
      </c>
      <c r="H984">
        <v>-1062000000</v>
      </c>
      <c r="I984">
        <v>-1757000000</v>
      </c>
      <c r="J984">
        <v>-9180000000</v>
      </c>
      <c r="K984">
        <v>4208000000</v>
      </c>
      <c r="L984">
        <v>103000000</v>
      </c>
      <c r="M984">
        <v>4311000000</v>
      </c>
      <c r="N984">
        <v>9249000000</v>
      </c>
      <c r="O984">
        <v>1479000000</v>
      </c>
      <c r="P984">
        <v>201000000</v>
      </c>
      <c r="Q984">
        <v>10938000000</v>
      </c>
      <c r="R984">
        <v>8853000000</v>
      </c>
      <c r="S984">
        <v>23605000000</v>
      </c>
      <c r="T984">
        <v>0</v>
      </c>
      <c r="U984">
        <v>1164000000</v>
      </c>
      <c r="V984">
        <v>8504000000</v>
      </c>
      <c r="W984">
        <v>70449660070</v>
      </c>
      <c r="X984">
        <v>71613660070</v>
      </c>
      <c r="Y984">
        <v>1.995848419550146</v>
      </c>
      <c r="Z984">
        <v>-78.545259345679014</v>
      </c>
      <c r="AA984">
        <v>163.1324617179487</v>
      </c>
      <c r="AB984">
        <v>-59.90740119585687</v>
      </c>
      <c r="AC984">
        <v>-36.210392754695498</v>
      </c>
      <c r="AD984">
        <v>-6.930464059912854</v>
      </c>
      <c r="AE984">
        <v>-88.411926012345674</v>
      </c>
      <c r="AF984">
        <v>-86.974888975308644</v>
      </c>
      <c r="AG984">
        <v>-40.759055247581102</v>
      </c>
      <c r="AH984">
        <v>-40.096562361980652</v>
      </c>
      <c r="AI984">
        <v>183.62476941025639</v>
      </c>
      <c r="AJ984">
        <v>-67.432824924670427</v>
      </c>
      <c r="AK984">
        <v>180.64015402564101</v>
      </c>
      <c r="AL984">
        <v>-66.336779726930317</v>
      </c>
      <c r="AM984">
        <v>2.2465621002603759</v>
      </c>
      <c r="AN984">
        <v>2.2100467443611378</v>
      </c>
    </row>
    <row r="985" spans="1:40" x14ac:dyDescent="0.25">
      <c r="A985" s="1" t="s">
        <v>545</v>
      </c>
      <c r="B985">
        <v>63074420560</v>
      </c>
      <c r="C985" t="s">
        <v>75</v>
      </c>
      <c r="D985" t="s">
        <v>105</v>
      </c>
      <c r="E985">
        <v>31877000000</v>
      </c>
      <c r="F985">
        <v>-810000000</v>
      </c>
      <c r="G985">
        <v>390000000</v>
      </c>
      <c r="H985">
        <v>-1062000000</v>
      </c>
      <c r="I985">
        <v>-1757000000</v>
      </c>
      <c r="J985">
        <v>-9180000000</v>
      </c>
      <c r="K985">
        <v>4208000000</v>
      </c>
      <c r="L985">
        <v>103000000</v>
      </c>
      <c r="M985">
        <v>4311000000</v>
      </c>
      <c r="N985">
        <v>9249000000</v>
      </c>
      <c r="O985">
        <v>1479000000</v>
      </c>
      <c r="P985">
        <v>201000000</v>
      </c>
      <c r="Q985">
        <v>10938000000</v>
      </c>
      <c r="R985">
        <v>8853000000</v>
      </c>
      <c r="S985">
        <v>23605000000</v>
      </c>
      <c r="T985">
        <v>0</v>
      </c>
      <c r="U985">
        <v>1164000000</v>
      </c>
      <c r="V985">
        <v>8504000000</v>
      </c>
      <c r="W985">
        <v>69902420560</v>
      </c>
      <c r="X985">
        <v>71066420560</v>
      </c>
      <c r="Y985">
        <v>1.9786811983561821</v>
      </c>
      <c r="Z985">
        <v>-77.869655012345675</v>
      </c>
      <c r="AA985">
        <v>161.72928348717949</v>
      </c>
      <c r="AB985">
        <v>-59.392109755178907</v>
      </c>
      <c r="AC985">
        <v>-35.898930313033581</v>
      </c>
      <c r="AD985">
        <v>-6.8708519128540306</v>
      </c>
      <c r="AE985">
        <v>-87.736321679012349</v>
      </c>
      <c r="AF985">
        <v>-86.299284641975305</v>
      </c>
      <c r="AG985">
        <v>-40.447592805919179</v>
      </c>
      <c r="AH985">
        <v>-39.785099920318729</v>
      </c>
      <c r="AI985">
        <v>182.22159117948721</v>
      </c>
      <c r="AJ985">
        <v>-66.917533483992472</v>
      </c>
      <c r="AK985">
        <v>179.2369757948718</v>
      </c>
      <c r="AL985">
        <v>-65.821488286252361</v>
      </c>
      <c r="AM985">
        <v>2.2293948790664109</v>
      </c>
      <c r="AN985">
        <v>2.192879523167174</v>
      </c>
    </row>
    <row r="986" spans="1:40" x14ac:dyDescent="0.25">
      <c r="A986" s="1" t="s">
        <v>544</v>
      </c>
      <c r="B986">
        <v>63196029340</v>
      </c>
      <c r="C986" t="s">
        <v>75</v>
      </c>
      <c r="D986" t="s">
        <v>105</v>
      </c>
      <c r="E986">
        <v>31877000000</v>
      </c>
      <c r="F986">
        <v>-810000000</v>
      </c>
      <c r="G986">
        <v>390000000</v>
      </c>
      <c r="H986">
        <v>-1062000000</v>
      </c>
      <c r="I986">
        <v>-1757000000</v>
      </c>
      <c r="J986">
        <v>-9180000000</v>
      </c>
      <c r="K986">
        <v>4208000000</v>
      </c>
      <c r="L986">
        <v>103000000</v>
      </c>
      <c r="M986">
        <v>4311000000</v>
      </c>
      <c r="N986">
        <v>9249000000</v>
      </c>
      <c r="O986">
        <v>1479000000</v>
      </c>
      <c r="P986">
        <v>201000000</v>
      </c>
      <c r="Q986">
        <v>10938000000</v>
      </c>
      <c r="R986">
        <v>8853000000</v>
      </c>
      <c r="S986">
        <v>23605000000</v>
      </c>
      <c r="T986">
        <v>0</v>
      </c>
      <c r="U986">
        <v>1164000000</v>
      </c>
      <c r="V986">
        <v>8504000000</v>
      </c>
      <c r="W986">
        <v>70024029340</v>
      </c>
      <c r="X986">
        <v>71188029340</v>
      </c>
      <c r="Y986">
        <v>1.982496136399285</v>
      </c>
      <c r="Z986">
        <v>-78.019789308641975</v>
      </c>
      <c r="AA986">
        <v>162.0411008717949</v>
      </c>
      <c r="AB986">
        <v>-59.506618964218447</v>
      </c>
      <c r="AC986">
        <v>-35.968144188958448</v>
      </c>
      <c r="AD986">
        <v>-6.8840990566448799</v>
      </c>
      <c r="AE986">
        <v>-87.886455975308635</v>
      </c>
      <c r="AF986">
        <v>-86.449418938271606</v>
      </c>
      <c r="AG986">
        <v>-40.516806681844052</v>
      </c>
      <c r="AH986">
        <v>-39.854313796243588</v>
      </c>
      <c r="AI986">
        <v>182.53340856410259</v>
      </c>
      <c r="AJ986">
        <v>-67.032042693032011</v>
      </c>
      <c r="AK986">
        <v>179.54879317948721</v>
      </c>
      <c r="AL986">
        <v>-65.9359974952919</v>
      </c>
      <c r="AM986">
        <v>2.2332098171095152</v>
      </c>
      <c r="AN986">
        <v>2.196694461210277</v>
      </c>
    </row>
    <row r="987" spans="1:40" x14ac:dyDescent="0.25">
      <c r="A987" s="1" t="s">
        <v>543</v>
      </c>
      <c r="B987">
        <v>64331044620</v>
      </c>
      <c r="C987" t="s">
        <v>75</v>
      </c>
      <c r="D987" t="s">
        <v>105</v>
      </c>
      <c r="E987">
        <v>31877000000</v>
      </c>
      <c r="F987">
        <v>-810000000</v>
      </c>
      <c r="G987">
        <v>390000000</v>
      </c>
      <c r="H987">
        <v>-1062000000</v>
      </c>
      <c r="I987">
        <v>-1757000000</v>
      </c>
      <c r="J987">
        <v>-9180000000</v>
      </c>
      <c r="K987">
        <v>4208000000</v>
      </c>
      <c r="L987">
        <v>103000000</v>
      </c>
      <c r="M987">
        <v>4311000000</v>
      </c>
      <c r="N987">
        <v>9249000000</v>
      </c>
      <c r="O987">
        <v>1479000000</v>
      </c>
      <c r="P987">
        <v>201000000</v>
      </c>
      <c r="Q987">
        <v>10938000000</v>
      </c>
      <c r="R987">
        <v>8853000000</v>
      </c>
      <c r="S987">
        <v>23605000000</v>
      </c>
      <c r="T987">
        <v>0</v>
      </c>
      <c r="U987">
        <v>1164000000</v>
      </c>
      <c r="V987">
        <v>8504000000</v>
      </c>
      <c r="W987">
        <v>71159044620</v>
      </c>
      <c r="X987">
        <v>72323044620</v>
      </c>
      <c r="Y987">
        <v>2.0181022248015812</v>
      </c>
      <c r="Z987">
        <v>-79.421042740740745</v>
      </c>
      <c r="AA987">
        <v>164.95139646153851</v>
      </c>
      <c r="AB987">
        <v>-60.575371581920898</v>
      </c>
      <c r="AC987">
        <v>-36.61414036425726</v>
      </c>
      <c r="AD987">
        <v>-7.0077390653594769</v>
      </c>
      <c r="AE987">
        <v>-89.287709407407405</v>
      </c>
      <c r="AF987">
        <v>-87.850672370370376</v>
      </c>
      <c r="AG987">
        <v>-41.162802857142857</v>
      </c>
      <c r="AH987">
        <v>-40.5003099715424</v>
      </c>
      <c r="AI987">
        <v>185.44370415384611</v>
      </c>
      <c r="AJ987">
        <v>-68.100795310734469</v>
      </c>
      <c r="AK987">
        <v>182.45908876923079</v>
      </c>
      <c r="AL987">
        <v>-67.004750112994344</v>
      </c>
      <c r="AM987">
        <v>2.2688159055118109</v>
      </c>
      <c r="AN987">
        <v>2.2323005496125732</v>
      </c>
    </row>
    <row r="988" spans="1:40" x14ac:dyDescent="0.25">
      <c r="A988" s="1" t="s">
        <v>542</v>
      </c>
      <c r="B988">
        <v>63074420560</v>
      </c>
      <c r="C988" t="s">
        <v>75</v>
      </c>
      <c r="D988" t="s">
        <v>105</v>
      </c>
      <c r="E988">
        <v>31877000000</v>
      </c>
      <c r="F988">
        <v>-810000000</v>
      </c>
      <c r="G988">
        <v>390000000</v>
      </c>
      <c r="H988">
        <v>-1062000000</v>
      </c>
      <c r="I988">
        <v>-1757000000</v>
      </c>
      <c r="J988">
        <v>-9180000000</v>
      </c>
      <c r="K988">
        <v>4208000000</v>
      </c>
      <c r="L988">
        <v>103000000</v>
      </c>
      <c r="M988">
        <v>4311000000</v>
      </c>
      <c r="N988">
        <v>9249000000</v>
      </c>
      <c r="O988">
        <v>1479000000</v>
      </c>
      <c r="P988">
        <v>201000000</v>
      </c>
      <c r="Q988">
        <v>10938000000</v>
      </c>
      <c r="R988">
        <v>8853000000</v>
      </c>
      <c r="S988">
        <v>23605000000</v>
      </c>
      <c r="T988">
        <v>0</v>
      </c>
      <c r="U988">
        <v>1164000000</v>
      </c>
      <c r="V988">
        <v>8504000000</v>
      </c>
      <c r="W988">
        <v>69902420560</v>
      </c>
      <c r="X988">
        <v>71066420560</v>
      </c>
      <c r="Y988">
        <v>1.9786811983561821</v>
      </c>
      <c r="Z988">
        <v>-77.869655012345675</v>
      </c>
      <c r="AA988">
        <v>161.72928348717949</v>
      </c>
      <c r="AB988">
        <v>-59.392109755178907</v>
      </c>
      <c r="AC988">
        <v>-35.898930313033581</v>
      </c>
      <c r="AD988">
        <v>-6.8708519128540306</v>
      </c>
      <c r="AE988">
        <v>-87.736321679012349</v>
      </c>
      <c r="AF988">
        <v>-86.299284641975305</v>
      </c>
      <c r="AG988">
        <v>-40.447592805919179</v>
      </c>
      <c r="AH988">
        <v>-39.785099920318729</v>
      </c>
      <c r="AI988">
        <v>182.22159117948721</v>
      </c>
      <c r="AJ988">
        <v>-66.917533483992472</v>
      </c>
      <c r="AK988">
        <v>179.2369757948718</v>
      </c>
      <c r="AL988">
        <v>-65.821488286252361</v>
      </c>
      <c r="AM988">
        <v>2.2293948790664109</v>
      </c>
      <c r="AN988">
        <v>2.192879523167174</v>
      </c>
    </row>
    <row r="989" spans="1:40" x14ac:dyDescent="0.25">
      <c r="A989" s="1" t="s">
        <v>541</v>
      </c>
      <c r="B989">
        <v>62000209670</v>
      </c>
      <c r="C989" t="s">
        <v>75</v>
      </c>
      <c r="D989" t="s">
        <v>105</v>
      </c>
      <c r="E989">
        <v>31877000000</v>
      </c>
      <c r="F989">
        <v>-810000000</v>
      </c>
      <c r="G989">
        <v>390000000</v>
      </c>
      <c r="H989">
        <v>-1062000000</v>
      </c>
      <c r="I989">
        <v>-1757000000</v>
      </c>
      <c r="J989">
        <v>-9180000000</v>
      </c>
      <c r="K989">
        <v>4208000000</v>
      </c>
      <c r="L989">
        <v>103000000</v>
      </c>
      <c r="M989">
        <v>4311000000</v>
      </c>
      <c r="N989">
        <v>9249000000</v>
      </c>
      <c r="O989">
        <v>1479000000</v>
      </c>
      <c r="P989">
        <v>201000000</v>
      </c>
      <c r="Q989">
        <v>10938000000</v>
      </c>
      <c r="R989">
        <v>8853000000</v>
      </c>
      <c r="S989">
        <v>23605000000</v>
      </c>
      <c r="T989">
        <v>0</v>
      </c>
      <c r="U989">
        <v>1164000000</v>
      </c>
      <c r="V989">
        <v>8504000000</v>
      </c>
      <c r="W989">
        <v>68828209670</v>
      </c>
      <c r="X989">
        <v>69992209670</v>
      </c>
      <c r="Y989">
        <v>1.9449825789754369</v>
      </c>
      <c r="Z989">
        <v>-76.543468728395055</v>
      </c>
      <c r="AA989">
        <v>158.97489658974359</v>
      </c>
      <c r="AB989">
        <v>-58.380611741996233</v>
      </c>
      <c r="AC989">
        <v>-35.287541075697213</v>
      </c>
      <c r="AD989">
        <v>-6.7538354760348582</v>
      </c>
      <c r="AE989">
        <v>-86.410135395061729</v>
      </c>
      <c r="AF989">
        <v>-84.973098358024686</v>
      </c>
      <c r="AG989">
        <v>-39.83620356858281</v>
      </c>
      <c r="AH989">
        <v>-39.173710682982353</v>
      </c>
      <c r="AI989">
        <v>179.46720428205131</v>
      </c>
      <c r="AJ989">
        <v>-65.906035470809798</v>
      </c>
      <c r="AK989">
        <v>176.4825888974359</v>
      </c>
      <c r="AL989">
        <v>-64.809990273069687</v>
      </c>
      <c r="AM989">
        <v>2.1956962596856671</v>
      </c>
      <c r="AN989">
        <v>2.1591809037864289</v>
      </c>
    </row>
    <row r="990" spans="1:40" x14ac:dyDescent="0.25">
      <c r="A990" s="1" t="s">
        <v>540</v>
      </c>
      <c r="B990">
        <v>63723000720</v>
      </c>
      <c r="C990" t="s">
        <v>75</v>
      </c>
      <c r="D990" t="s">
        <v>105</v>
      </c>
      <c r="E990">
        <v>31877000000</v>
      </c>
      <c r="F990">
        <v>-810000000</v>
      </c>
      <c r="G990">
        <v>390000000</v>
      </c>
      <c r="H990">
        <v>-1062000000</v>
      </c>
      <c r="I990">
        <v>-1757000000</v>
      </c>
      <c r="J990">
        <v>-9180000000</v>
      </c>
      <c r="K990">
        <v>4208000000</v>
      </c>
      <c r="L990">
        <v>103000000</v>
      </c>
      <c r="M990">
        <v>4311000000</v>
      </c>
      <c r="N990">
        <v>9249000000</v>
      </c>
      <c r="O990">
        <v>1479000000</v>
      </c>
      <c r="P990">
        <v>201000000</v>
      </c>
      <c r="Q990">
        <v>10938000000</v>
      </c>
      <c r="R990">
        <v>8853000000</v>
      </c>
      <c r="S990">
        <v>23605000000</v>
      </c>
      <c r="T990">
        <v>0</v>
      </c>
      <c r="U990">
        <v>1164000000</v>
      </c>
      <c r="V990">
        <v>8504000000</v>
      </c>
      <c r="W990">
        <v>70551000720</v>
      </c>
      <c r="X990">
        <v>71715000720</v>
      </c>
      <c r="Y990">
        <v>1.9990275345860651</v>
      </c>
      <c r="Z990">
        <v>-78.670371259259255</v>
      </c>
      <c r="AA990">
        <v>163.39230953846149</v>
      </c>
      <c r="AB990">
        <v>-60.002825536723172</v>
      </c>
      <c r="AC990">
        <v>-36.268070984632899</v>
      </c>
      <c r="AD990">
        <v>-6.9415033464052289</v>
      </c>
      <c r="AE990">
        <v>-88.537037925925929</v>
      </c>
      <c r="AF990">
        <v>-87.100000888888886</v>
      </c>
      <c r="AG990">
        <v>-40.816733477518497</v>
      </c>
      <c r="AH990">
        <v>-40.15424059191804</v>
      </c>
      <c r="AI990">
        <v>183.88461723076921</v>
      </c>
      <c r="AJ990">
        <v>-67.528249265536729</v>
      </c>
      <c r="AK990">
        <v>180.90000184615391</v>
      </c>
      <c r="AL990">
        <v>-66.432204067796604</v>
      </c>
      <c r="AM990">
        <v>2.2497412152962948</v>
      </c>
      <c r="AN990">
        <v>2.213225859397058</v>
      </c>
    </row>
    <row r="991" spans="1:40" x14ac:dyDescent="0.25">
      <c r="A991" s="1" t="s">
        <v>539</v>
      </c>
      <c r="B991">
        <v>63804073240</v>
      </c>
      <c r="C991" t="s">
        <v>75</v>
      </c>
      <c r="D991" t="s">
        <v>105</v>
      </c>
      <c r="E991">
        <v>31877000000</v>
      </c>
      <c r="F991">
        <v>-810000000</v>
      </c>
      <c r="G991">
        <v>390000000</v>
      </c>
      <c r="H991">
        <v>-1062000000</v>
      </c>
      <c r="I991">
        <v>-1757000000</v>
      </c>
      <c r="J991">
        <v>-9180000000</v>
      </c>
      <c r="K991">
        <v>4208000000</v>
      </c>
      <c r="L991">
        <v>103000000</v>
      </c>
      <c r="M991">
        <v>4311000000</v>
      </c>
      <c r="N991">
        <v>9249000000</v>
      </c>
      <c r="O991">
        <v>1479000000</v>
      </c>
      <c r="P991">
        <v>201000000</v>
      </c>
      <c r="Q991">
        <v>10938000000</v>
      </c>
      <c r="R991">
        <v>8853000000</v>
      </c>
      <c r="S991">
        <v>23605000000</v>
      </c>
      <c r="T991">
        <v>0</v>
      </c>
      <c r="U991">
        <v>1164000000</v>
      </c>
      <c r="V991">
        <v>8504000000</v>
      </c>
      <c r="W991">
        <v>70632073240</v>
      </c>
      <c r="X991">
        <v>71796073240</v>
      </c>
      <c r="Y991">
        <v>2.0015708266148011</v>
      </c>
      <c r="Z991">
        <v>-78.770460790123451</v>
      </c>
      <c r="AA991">
        <v>163.6001877948718</v>
      </c>
      <c r="AB991">
        <v>-60.079165009416187</v>
      </c>
      <c r="AC991">
        <v>-36.314213568582822</v>
      </c>
      <c r="AD991">
        <v>-6.9503347755991287</v>
      </c>
      <c r="AE991">
        <v>-88.637127456790125</v>
      </c>
      <c r="AF991">
        <v>-87.200090419753082</v>
      </c>
      <c r="AG991">
        <v>-40.862876061468413</v>
      </c>
      <c r="AH991">
        <v>-40.200383175867962</v>
      </c>
      <c r="AI991">
        <v>184.09249548717949</v>
      </c>
      <c r="AJ991">
        <v>-67.604588738229751</v>
      </c>
      <c r="AK991">
        <v>181.10788010256411</v>
      </c>
      <c r="AL991">
        <v>-66.50854354048964</v>
      </c>
      <c r="AM991">
        <v>2.2522845073250299</v>
      </c>
      <c r="AN991">
        <v>2.2157691514257931</v>
      </c>
    </row>
    <row r="992" spans="1:40" x14ac:dyDescent="0.25">
      <c r="A992" s="1" t="s">
        <v>538</v>
      </c>
      <c r="B992">
        <v>65020161040</v>
      </c>
      <c r="C992" t="s">
        <v>75</v>
      </c>
      <c r="D992" t="s">
        <v>105</v>
      </c>
      <c r="E992">
        <v>31877000000</v>
      </c>
      <c r="F992">
        <v>-810000000</v>
      </c>
      <c r="G992">
        <v>390000000</v>
      </c>
      <c r="H992">
        <v>-1062000000</v>
      </c>
      <c r="I992">
        <v>-1757000000</v>
      </c>
      <c r="J992">
        <v>-9180000000</v>
      </c>
      <c r="K992">
        <v>4208000000</v>
      </c>
      <c r="L992">
        <v>103000000</v>
      </c>
      <c r="M992">
        <v>4311000000</v>
      </c>
      <c r="N992">
        <v>9249000000</v>
      </c>
      <c r="O992">
        <v>1479000000</v>
      </c>
      <c r="P992">
        <v>201000000</v>
      </c>
      <c r="Q992">
        <v>10938000000</v>
      </c>
      <c r="R992">
        <v>8853000000</v>
      </c>
      <c r="S992">
        <v>23605000000</v>
      </c>
      <c r="T992">
        <v>0</v>
      </c>
      <c r="U992">
        <v>1164000000</v>
      </c>
      <c r="V992">
        <v>8504000000</v>
      </c>
      <c r="W992">
        <v>71848161040</v>
      </c>
      <c r="X992">
        <v>73012161040</v>
      </c>
      <c r="Y992">
        <v>2.039720207045832</v>
      </c>
      <c r="Z992">
        <v>-80.271803753086417</v>
      </c>
      <c r="AA992">
        <v>166.71836164102561</v>
      </c>
      <c r="AB992">
        <v>-61.224257099811673</v>
      </c>
      <c r="AC992">
        <v>-37.006352327831529</v>
      </c>
      <c r="AD992">
        <v>-7.0828062135076264</v>
      </c>
      <c r="AE992">
        <v>-90.138470419753091</v>
      </c>
      <c r="AF992">
        <v>-88.701433382716047</v>
      </c>
      <c r="AG992">
        <v>-41.555014820717133</v>
      </c>
      <c r="AH992">
        <v>-40.892521935116683</v>
      </c>
      <c r="AI992">
        <v>187.2106693333333</v>
      </c>
      <c r="AJ992">
        <v>-68.74968082862523</v>
      </c>
      <c r="AK992">
        <v>184.22605394871789</v>
      </c>
      <c r="AL992">
        <v>-67.65363563088512</v>
      </c>
      <c r="AM992">
        <v>2.2904338877560622</v>
      </c>
      <c r="AN992">
        <v>2.2539185318568249</v>
      </c>
    </row>
    <row r="993" spans="1:40" x14ac:dyDescent="0.25">
      <c r="A993" s="1" t="s">
        <v>537</v>
      </c>
      <c r="B993">
        <v>64310776490</v>
      </c>
      <c r="C993" t="s">
        <v>75</v>
      </c>
      <c r="D993" t="s">
        <v>105</v>
      </c>
      <c r="E993">
        <v>31877000000</v>
      </c>
      <c r="F993">
        <v>-810000000</v>
      </c>
      <c r="G993">
        <v>390000000</v>
      </c>
      <c r="H993">
        <v>-1062000000</v>
      </c>
      <c r="I993">
        <v>-1757000000</v>
      </c>
      <c r="J993">
        <v>-9180000000</v>
      </c>
      <c r="K993">
        <v>4208000000</v>
      </c>
      <c r="L993">
        <v>103000000</v>
      </c>
      <c r="M993">
        <v>4311000000</v>
      </c>
      <c r="N993">
        <v>9249000000</v>
      </c>
      <c r="O993">
        <v>1479000000</v>
      </c>
      <c r="P993">
        <v>201000000</v>
      </c>
      <c r="Q993">
        <v>10938000000</v>
      </c>
      <c r="R993">
        <v>8853000000</v>
      </c>
      <c r="S993">
        <v>23605000000</v>
      </c>
      <c r="T993">
        <v>0</v>
      </c>
      <c r="U993">
        <v>1164000000</v>
      </c>
      <c r="V993">
        <v>8504000000</v>
      </c>
      <c r="W993">
        <v>71138776490</v>
      </c>
      <c r="X993">
        <v>72302776490</v>
      </c>
      <c r="Y993">
        <v>2.0174664017943971</v>
      </c>
      <c r="Z993">
        <v>-79.396020358024685</v>
      </c>
      <c r="AA993">
        <v>164.89942689743589</v>
      </c>
      <c r="AB993">
        <v>-60.556286713747653</v>
      </c>
      <c r="AC993">
        <v>-36.602604718269781</v>
      </c>
      <c r="AD993">
        <v>-7.0055312080610026</v>
      </c>
      <c r="AE993">
        <v>-89.26268702469136</v>
      </c>
      <c r="AF993">
        <v>-87.825649987654316</v>
      </c>
      <c r="AG993">
        <v>-41.151267211155378</v>
      </c>
      <c r="AH993">
        <v>-40.488774325554921</v>
      </c>
      <c r="AI993">
        <v>185.39173458974361</v>
      </c>
      <c r="AJ993">
        <v>-68.081710442561203</v>
      </c>
      <c r="AK993">
        <v>182.4071192051282</v>
      </c>
      <c r="AL993">
        <v>-66.985665244821092</v>
      </c>
      <c r="AM993">
        <v>2.2681800825046272</v>
      </c>
      <c r="AN993">
        <v>2.2316647266053899</v>
      </c>
    </row>
    <row r="994" spans="1:40" x14ac:dyDescent="0.25">
      <c r="A994" s="1" t="s">
        <v>536</v>
      </c>
      <c r="B994">
        <v>64939088520</v>
      </c>
      <c r="C994" t="s">
        <v>75</v>
      </c>
      <c r="D994" t="s">
        <v>105</v>
      </c>
      <c r="E994">
        <v>31877000000</v>
      </c>
      <c r="F994">
        <v>-810000000</v>
      </c>
      <c r="G994">
        <v>390000000</v>
      </c>
      <c r="H994">
        <v>-1062000000</v>
      </c>
      <c r="I994">
        <v>-1757000000</v>
      </c>
      <c r="J994">
        <v>-9180000000</v>
      </c>
      <c r="K994">
        <v>4208000000</v>
      </c>
      <c r="L994">
        <v>103000000</v>
      </c>
      <c r="M994">
        <v>4311000000</v>
      </c>
      <c r="N994">
        <v>9249000000</v>
      </c>
      <c r="O994">
        <v>1479000000</v>
      </c>
      <c r="P994">
        <v>201000000</v>
      </c>
      <c r="Q994">
        <v>10938000000</v>
      </c>
      <c r="R994">
        <v>8853000000</v>
      </c>
      <c r="S994">
        <v>23605000000</v>
      </c>
      <c r="T994">
        <v>0</v>
      </c>
      <c r="U994">
        <v>1164000000</v>
      </c>
      <c r="V994">
        <v>8504000000</v>
      </c>
      <c r="W994">
        <v>71767088520</v>
      </c>
      <c r="X994">
        <v>72931088520</v>
      </c>
      <c r="Y994">
        <v>2.0371769150170969</v>
      </c>
      <c r="Z994">
        <v>-80.171714222222221</v>
      </c>
      <c r="AA994">
        <v>166.51048338461541</v>
      </c>
      <c r="AB994">
        <v>-61.147917627118638</v>
      </c>
      <c r="AC994">
        <v>-36.960209743881613</v>
      </c>
      <c r="AD994">
        <v>-7.0739747843137257</v>
      </c>
      <c r="AE994">
        <v>-90.038380888888895</v>
      </c>
      <c r="AF994">
        <v>-88.601343851851851</v>
      </c>
      <c r="AG994">
        <v>-41.508872236767218</v>
      </c>
      <c r="AH994">
        <v>-40.84637935116676</v>
      </c>
      <c r="AI994">
        <v>187.0027910769231</v>
      </c>
      <c r="AJ994">
        <v>-68.673341355932209</v>
      </c>
      <c r="AK994">
        <v>184.01817569230769</v>
      </c>
      <c r="AL994">
        <v>-67.577296158192084</v>
      </c>
      <c r="AM994">
        <v>2.287890595727327</v>
      </c>
      <c r="AN994">
        <v>2.2513752398280888</v>
      </c>
    </row>
    <row r="995" spans="1:40" x14ac:dyDescent="0.25">
      <c r="A995" s="1" t="s">
        <v>535</v>
      </c>
      <c r="B995">
        <v>63844609500</v>
      </c>
      <c r="C995" t="s">
        <v>75</v>
      </c>
      <c r="D995" t="s">
        <v>105</v>
      </c>
      <c r="E995">
        <v>31877000000</v>
      </c>
      <c r="F995">
        <v>-810000000</v>
      </c>
      <c r="G995">
        <v>390000000</v>
      </c>
      <c r="H995">
        <v>-1062000000</v>
      </c>
      <c r="I995">
        <v>-1757000000</v>
      </c>
      <c r="J995">
        <v>-9180000000</v>
      </c>
      <c r="K995">
        <v>4208000000</v>
      </c>
      <c r="L995">
        <v>103000000</v>
      </c>
      <c r="M995">
        <v>4311000000</v>
      </c>
      <c r="N995">
        <v>9249000000</v>
      </c>
      <c r="O995">
        <v>1479000000</v>
      </c>
      <c r="P995">
        <v>201000000</v>
      </c>
      <c r="Q995">
        <v>10938000000</v>
      </c>
      <c r="R995">
        <v>8853000000</v>
      </c>
      <c r="S995">
        <v>23605000000</v>
      </c>
      <c r="T995">
        <v>0</v>
      </c>
      <c r="U995">
        <v>1164000000</v>
      </c>
      <c r="V995">
        <v>8504000000</v>
      </c>
      <c r="W995">
        <v>70672609500</v>
      </c>
      <c r="X995">
        <v>71836609500</v>
      </c>
      <c r="Y995">
        <v>2.002842472629168</v>
      </c>
      <c r="Z995">
        <v>-78.820505555555556</v>
      </c>
      <c r="AA995">
        <v>163.7041269230769</v>
      </c>
      <c r="AB995">
        <v>-60.117334745762712</v>
      </c>
      <c r="AC995">
        <v>-36.337284860557773</v>
      </c>
      <c r="AD995">
        <v>-6.9547504901960782</v>
      </c>
      <c r="AE995">
        <v>-88.687172222222216</v>
      </c>
      <c r="AF995">
        <v>-87.250135185185187</v>
      </c>
      <c r="AG995">
        <v>-40.88594735344337</v>
      </c>
      <c r="AH995">
        <v>-40.223454467842913</v>
      </c>
      <c r="AI995">
        <v>184.19643461538459</v>
      </c>
      <c r="AJ995">
        <v>-67.642758474576269</v>
      </c>
      <c r="AK995">
        <v>181.21181923076921</v>
      </c>
      <c r="AL995">
        <v>-66.546713276836158</v>
      </c>
      <c r="AM995">
        <v>2.2535561533393982</v>
      </c>
      <c r="AN995">
        <v>2.21704079744016</v>
      </c>
    </row>
    <row r="996" spans="1:40" x14ac:dyDescent="0.25">
      <c r="A996" s="1" t="s">
        <v>534</v>
      </c>
      <c r="B996">
        <v>62486644790</v>
      </c>
      <c r="C996" t="s">
        <v>75</v>
      </c>
      <c r="D996" t="s">
        <v>105</v>
      </c>
      <c r="E996">
        <v>31877000000</v>
      </c>
      <c r="F996">
        <v>-810000000</v>
      </c>
      <c r="G996">
        <v>390000000</v>
      </c>
      <c r="H996">
        <v>-1062000000</v>
      </c>
      <c r="I996">
        <v>-1757000000</v>
      </c>
      <c r="J996">
        <v>-9180000000</v>
      </c>
      <c r="K996">
        <v>4208000000</v>
      </c>
      <c r="L996">
        <v>103000000</v>
      </c>
      <c r="M996">
        <v>4311000000</v>
      </c>
      <c r="N996">
        <v>9249000000</v>
      </c>
      <c r="O996">
        <v>1479000000</v>
      </c>
      <c r="P996">
        <v>201000000</v>
      </c>
      <c r="Q996">
        <v>10938000000</v>
      </c>
      <c r="R996">
        <v>8853000000</v>
      </c>
      <c r="S996">
        <v>23605000000</v>
      </c>
      <c r="T996">
        <v>0</v>
      </c>
      <c r="U996">
        <v>1164000000</v>
      </c>
      <c r="V996">
        <v>8504000000</v>
      </c>
      <c r="W996">
        <v>69314644790</v>
      </c>
      <c r="X996">
        <v>70478644790</v>
      </c>
      <c r="Y996">
        <v>1.9602423311478501</v>
      </c>
      <c r="Z996">
        <v>-77.144005913580244</v>
      </c>
      <c r="AA996">
        <v>160.22216612820509</v>
      </c>
      <c r="AB996">
        <v>-58.838648578154427</v>
      </c>
      <c r="AC996">
        <v>-35.5643965793967</v>
      </c>
      <c r="AD996">
        <v>-6.806824051198257</v>
      </c>
      <c r="AE996">
        <v>-87.010672580246919</v>
      </c>
      <c r="AF996">
        <v>-85.573635543209875</v>
      </c>
      <c r="AG996">
        <v>-40.113059072282297</v>
      </c>
      <c r="AH996">
        <v>-39.450566186681847</v>
      </c>
      <c r="AI996">
        <v>180.71447382051281</v>
      </c>
      <c r="AJ996">
        <v>-66.364072306967984</v>
      </c>
      <c r="AK996">
        <v>177.7298584358974</v>
      </c>
      <c r="AL996">
        <v>-65.268027109227873</v>
      </c>
      <c r="AM996">
        <v>2.2109560118580789</v>
      </c>
      <c r="AN996">
        <v>2.1744406559588421</v>
      </c>
    </row>
    <row r="997" spans="1:40" x14ac:dyDescent="0.25">
      <c r="A997" s="1" t="s">
        <v>533</v>
      </c>
      <c r="B997">
        <v>62182622840</v>
      </c>
      <c r="C997" t="s">
        <v>75</v>
      </c>
      <c r="D997" t="s">
        <v>105</v>
      </c>
      <c r="E997">
        <v>31877000000</v>
      </c>
      <c r="F997">
        <v>-810000000</v>
      </c>
      <c r="G997">
        <v>390000000</v>
      </c>
      <c r="H997">
        <v>-1062000000</v>
      </c>
      <c r="I997">
        <v>-1757000000</v>
      </c>
      <c r="J997">
        <v>-9180000000</v>
      </c>
      <c r="K997">
        <v>4208000000</v>
      </c>
      <c r="L997">
        <v>103000000</v>
      </c>
      <c r="M997">
        <v>4311000000</v>
      </c>
      <c r="N997">
        <v>9249000000</v>
      </c>
      <c r="O997">
        <v>1479000000</v>
      </c>
      <c r="P997">
        <v>201000000</v>
      </c>
      <c r="Q997">
        <v>10938000000</v>
      </c>
      <c r="R997">
        <v>8853000000</v>
      </c>
      <c r="S997">
        <v>23605000000</v>
      </c>
      <c r="T997">
        <v>0</v>
      </c>
      <c r="U997">
        <v>1164000000</v>
      </c>
      <c r="V997">
        <v>8504000000</v>
      </c>
      <c r="W997">
        <v>69010622840</v>
      </c>
      <c r="X997">
        <v>70174622840</v>
      </c>
      <c r="Y997">
        <v>1.950704986040092</v>
      </c>
      <c r="Z997">
        <v>-76.768670172839506</v>
      </c>
      <c r="AA997">
        <v>159.44262266666669</v>
      </c>
      <c r="AB997">
        <v>-58.552375555555557</v>
      </c>
      <c r="AC997">
        <v>-35.391361889584523</v>
      </c>
      <c r="AD997">
        <v>-6.773706191721133</v>
      </c>
      <c r="AE997">
        <v>-86.635336839506166</v>
      </c>
      <c r="AF997">
        <v>-85.198299802469137</v>
      </c>
      <c r="AG997">
        <v>-39.940024382470121</v>
      </c>
      <c r="AH997">
        <v>-39.277531496869663</v>
      </c>
      <c r="AI997">
        <v>179.93493035897441</v>
      </c>
      <c r="AJ997">
        <v>-66.077799284369121</v>
      </c>
      <c r="AK997">
        <v>176.950314974359</v>
      </c>
      <c r="AL997">
        <v>-64.981754086628996</v>
      </c>
      <c r="AM997">
        <v>2.2014186667503211</v>
      </c>
      <c r="AN997">
        <v>2.1649033108510838</v>
      </c>
    </row>
    <row r="998" spans="1:40" x14ac:dyDescent="0.25">
      <c r="A998" s="1" t="s">
        <v>532</v>
      </c>
      <c r="B998">
        <v>59973396670</v>
      </c>
      <c r="C998" t="s">
        <v>75</v>
      </c>
      <c r="D998" t="s">
        <v>105</v>
      </c>
      <c r="E998">
        <v>31877000000</v>
      </c>
      <c r="F998">
        <v>-810000000</v>
      </c>
      <c r="G998">
        <v>390000000</v>
      </c>
      <c r="H998">
        <v>-1062000000</v>
      </c>
      <c r="I998">
        <v>-1757000000</v>
      </c>
      <c r="J998">
        <v>-9180000000</v>
      </c>
      <c r="K998">
        <v>4208000000</v>
      </c>
      <c r="L998">
        <v>103000000</v>
      </c>
      <c r="M998">
        <v>4311000000</v>
      </c>
      <c r="N998">
        <v>9249000000</v>
      </c>
      <c r="O998">
        <v>1479000000</v>
      </c>
      <c r="P998">
        <v>201000000</v>
      </c>
      <c r="Q998">
        <v>10938000000</v>
      </c>
      <c r="R998">
        <v>8853000000</v>
      </c>
      <c r="S998">
        <v>23605000000</v>
      </c>
      <c r="T998">
        <v>0</v>
      </c>
      <c r="U998">
        <v>1164000000</v>
      </c>
      <c r="V998">
        <v>8504000000</v>
      </c>
      <c r="W998">
        <v>66801396670</v>
      </c>
      <c r="X998">
        <v>67965396670</v>
      </c>
      <c r="Y998">
        <v>1.88140027825705</v>
      </c>
      <c r="Z998">
        <v>-74.041230456790117</v>
      </c>
      <c r="AA998">
        <v>153.77794017948719</v>
      </c>
      <c r="AB998">
        <v>-56.472124924670432</v>
      </c>
      <c r="AC998">
        <v>-34.133976476949343</v>
      </c>
      <c r="AD998">
        <v>-6.5330497461873636</v>
      </c>
      <c r="AE998">
        <v>-83.907897123456792</v>
      </c>
      <c r="AF998">
        <v>-82.470860086419748</v>
      </c>
      <c r="AG998">
        <v>-38.682638969834947</v>
      </c>
      <c r="AH998">
        <v>-38.02014608423449</v>
      </c>
      <c r="AI998">
        <v>174.27024787179491</v>
      </c>
      <c r="AJ998">
        <v>-63.997548653484003</v>
      </c>
      <c r="AK998">
        <v>171.2856324871795</v>
      </c>
      <c r="AL998">
        <v>-62.901503455743878</v>
      </c>
      <c r="AM998">
        <v>2.1321139589672811</v>
      </c>
      <c r="AN998">
        <v>2.0955986030680429</v>
      </c>
    </row>
    <row r="999" spans="1:40" x14ac:dyDescent="0.25">
      <c r="A999" s="1" t="s">
        <v>531</v>
      </c>
      <c r="B999">
        <v>60155809840</v>
      </c>
      <c r="C999" t="s">
        <v>75</v>
      </c>
      <c r="D999" t="s">
        <v>105</v>
      </c>
      <c r="E999">
        <v>31877000000</v>
      </c>
      <c r="F999">
        <v>-810000000</v>
      </c>
      <c r="G999">
        <v>390000000</v>
      </c>
      <c r="H999">
        <v>-1062000000</v>
      </c>
      <c r="I999">
        <v>-1757000000</v>
      </c>
      <c r="J999">
        <v>-9180000000</v>
      </c>
      <c r="K999">
        <v>4208000000</v>
      </c>
      <c r="L999">
        <v>103000000</v>
      </c>
      <c r="M999">
        <v>4311000000</v>
      </c>
      <c r="N999">
        <v>9249000000</v>
      </c>
      <c r="O999">
        <v>1479000000</v>
      </c>
      <c r="P999">
        <v>201000000</v>
      </c>
      <c r="Q999">
        <v>10938000000</v>
      </c>
      <c r="R999">
        <v>8853000000</v>
      </c>
      <c r="S999">
        <v>23605000000</v>
      </c>
      <c r="T999">
        <v>0</v>
      </c>
      <c r="U999">
        <v>1164000000</v>
      </c>
      <c r="V999">
        <v>8504000000</v>
      </c>
      <c r="W999">
        <v>66983809840</v>
      </c>
      <c r="X999">
        <v>68147809840</v>
      </c>
      <c r="Y999">
        <v>1.8871226853217049</v>
      </c>
      <c r="Z999">
        <v>-74.266431901234569</v>
      </c>
      <c r="AA999">
        <v>154.24566625641029</v>
      </c>
      <c r="AB999">
        <v>-56.643888738229762</v>
      </c>
      <c r="AC999">
        <v>-34.237797290836653</v>
      </c>
      <c r="AD999">
        <v>-6.5529204618736383</v>
      </c>
      <c r="AE999">
        <v>-84.133098567901229</v>
      </c>
      <c r="AF999">
        <v>-82.696061530864199</v>
      </c>
      <c r="AG999">
        <v>-38.78645978372225</v>
      </c>
      <c r="AH999">
        <v>-38.1239668981218</v>
      </c>
      <c r="AI999">
        <v>174.73797394871801</v>
      </c>
      <c r="AJ999">
        <v>-64.169312467043312</v>
      </c>
      <c r="AK999">
        <v>171.7533585641026</v>
      </c>
      <c r="AL999">
        <v>-63.073267269303201</v>
      </c>
      <c r="AM999">
        <v>2.1378363660319351</v>
      </c>
      <c r="AN999">
        <v>2.1013210101326969</v>
      </c>
    </row>
    <row r="1000" spans="1:40" x14ac:dyDescent="0.25">
      <c r="A1000" s="1" t="s">
        <v>530</v>
      </c>
      <c r="B1000">
        <v>60196346100</v>
      </c>
      <c r="C1000" t="s">
        <v>75</v>
      </c>
      <c r="D1000" t="s">
        <v>105</v>
      </c>
      <c r="E1000">
        <v>31877000000</v>
      </c>
      <c r="F1000">
        <v>-810000000</v>
      </c>
      <c r="G1000">
        <v>390000000</v>
      </c>
      <c r="H1000">
        <v>-1062000000</v>
      </c>
      <c r="I1000">
        <v>-1757000000</v>
      </c>
      <c r="J1000">
        <v>-9180000000</v>
      </c>
      <c r="K1000">
        <v>4208000000</v>
      </c>
      <c r="L1000">
        <v>103000000</v>
      </c>
      <c r="M1000">
        <v>4311000000</v>
      </c>
      <c r="N1000">
        <v>9249000000</v>
      </c>
      <c r="O1000">
        <v>1479000000</v>
      </c>
      <c r="P1000">
        <v>201000000</v>
      </c>
      <c r="Q1000">
        <v>10938000000</v>
      </c>
      <c r="R1000">
        <v>8853000000</v>
      </c>
      <c r="S1000">
        <v>23605000000</v>
      </c>
      <c r="T1000">
        <v>0</v>
      </c>
      <c r="U1000">
        <v>1164000000</v>
      </c>
      <c r="V1000">
        <v>8504000000</v>
      </c>
      <c r="W1000">
        <v>67024346100</v>
      </c>
      <c r="X1000">
        <v>68188346100</v>
      </c>
      <c r="Y1000">
        <v>1.8883943313360729</v>
      </c>
      <c r="Z1000">
        <v>-74.316476666666674</v>
      </c>
      <c r="AA1000">
        <v>154.34960538461539</v>
      </c>
      <c r="AB1000">
        <v>-56.682058474576273</v>
      </c>
      <c r="AC1000">
        <v>-34.260868582811611</v>
      </c>
      <c r="AD1000">
        <v>-6.5573361764705886</v>
      </c>
      <c r="AE1000">
        <v>-84.183143333333334</v>
      </c>
      <c r="AF1000">
        <v>-82.74610629629629</v>
      </c>
      <c r="AG1000">
        <v>-38.809531075697208</v>
      </c>
      <c r="AH1000">
        <v>-38.147038190096758</v>
      </c>
      <c r="AI1000">
        <v>174.84191307692311</v>
      </c>
      <c r="AJ1000">
        <v>-64.20748220338983</v>
      </c>
      <c r="AK1000">
        <v>171.8572976923077</v>
      </c>
      <c r="AL1000">
        <v>-63.111437005649719</v>
      </c>
      <c r="AM1000">
        <v>2.1391080120463029</v>
      </c>
      <c r="AN1000">
        <v>2.1025926561470651</v>
      </c>
    </row>
    <row r="1001" spans="1:40" x14ac:dyDescent="0.25">
      <c r="A1001" s="1" t="s">
        <v>529</v>
      </c>
      <c r="B1001">
        <v>62932543650</v>
      </c>
      <c r="C1001" t="s">
        <v>75</v>
      </c>
      <c r="D1001" t="s">
        <v>105</v>
      </c>
      <c r="E1001">
        <v>31877000000</v>
      </c>
      <c r="F1001">
        <v>-810000000</v>
      </c>
      <c r="G1001">
        <v>390000000</v>
      </c>
      <c r="H1001">
        <v>-1062000000</v>
      </c>
      <c r="I1001">
        <v>-1757000000</v>
      </c>
      <c r="J1001">
        <v>-9180000000</v>
      </c>
      <c r="K1001">
        <v>4208000000</v>
      </c>
      <c r="L1001">
        <v>103000000</v>
      </c>
      <c r="M1001">
        <v>4311000000</v>
      </c>
      <c r="N1001">
        <v>9249000000</v>
      </c>
      <c r="O1001">
        <v>1479000000</v>
      </c>
      <c r="P1001">
        <v>201000000</v>
      </c>
      <c r="Q1001">
        <v>10938000000</v>
      </c>
      <c r="R1001">
        <v>8853000000</v>
      </c>
      <c r="S1001">
        <v>23605000000</v>
      </c>
      <c r="T1001">
        <v>0</v>
      </c>
      <c r="U1001">
        <v>1164000000</v>
      </c>
      <c r="V1001">
        <v>8504000000</v>
      </c>
      <c r="W1001">
        <v>69760543650</v>
      </c>
      <c r="X1001">
        <v>70924543650</v>
      </c>
      <c r="Y1001">
        <v>1.974230437305895</v>
      </c>
      <c r="Z1001">
        <v>-77.694498333333328</v>
      </c>
      <c r="AA1001">
        <v>161.36549653846151</v>
      </c>
      <c r="AB1001">
        <v>-59.258515677966102</v>
      </c>
      <c r="AC1001">
        <v>-35.818180791121229</v>
      </c>
      <c r="AD1001">
        <v>-6.8553969117647062</v>
      </c>
      <c r="AE1001">
        <v>-87.561165000000003</v>
      </c>
      <c r="AF1001">
        <v>-86.124127962962959</v>
      </c>
      <c r="AG1001">
        <v>-40.366843284006833</v>
      </c>
      <c r="AH1001">
        <v>-39.704350398406383</v>
      </c>
      <c r="AI1001">
        <v>181.8578042307692</v>
      </c>
      <c r="AJ1001">
        <v>-66.783939406779666</v>
      </c>
      <c r="AK1001">
        <v>178.87318884615391</v>
      </c>
      <c r="AL1001">
        <v>-65.687894209039541</v>
      </c>
      <c r="AM1001">
        <v>2.2249441180161251</v>
      </c>
      <c r="AN1001">
        <v>2.188428762116887</v>
      </c>
    </row>
    <row r="1002" spans="1:40" x14ac:dyDescent="0.25">
      <c r="A1002" s="1" t="s">
        <v>528</v>
      </c>
      <c r="B1002">
        <v>66357857620</v>
      </c>
      <c r="C1002" t="s">
        <v>75</v>
      </c>
      <c r="D1002" t="s">
        <v>105</v>
      </c>
      <c r="E1002">
        <v>31877000000</v>
      </c>
      <c r="F1002">
        <v>-810000000</v>
      </c>
      <c r="G1002">
        <v>390000000</v>
      </c>
      <c r="H1002">
        <v>-1062000000</v>
      </c>
      <c r="I1002">
        <v>-1757000000</v>
      </c>
      <c r="J1002">
        <v>-9180000000</v>
      </c>
      <c r="K1002">
        <v>4208000000</v>
      </c>
      <c r="L1002">
        <v>103000000</v>
      </c>
      <c r="M1002">
        <v>4311000000</v>
      </c>
      <c r="N1002">
        <v>9249000000</v>
      </c>
      <c r="O1002">
        <v>1479000000</v>
      </c>
      <c r="P1002">
        <v>201000000</v>
      </c>
      <c r="Q1002">
        <v>10938000000</v>
      </c>
      <c r="R1002">
        <v>8853000000</v>
      </c>
      <c r="S1002">
        <v>23605000000</v>
      </c>
      <c r="T1002">
        <v>0</v>
      </c>
      <c r="U1002">
        <v>1164000000</v>
      </c>
      <c r="V1002">
        <v>8504000000</v>
      </c>
      <c r="W1002">
        <v>73185857620</v>
      </c>
      <c r="X1002">
        <v>74349857620</v>
      </c>
      <c r="Y1002">
        <v>2.0816845255199672</v>
      </c>
      <c r="Z1002">
        <v>-81.923281012345683</v>
      </c>
      <c r="AA1002">
        <v>170.14835287179491</v>
      </c>
      <c r="AB1002">
        <v>-62.483858399246706</v>
      </c>
      <c r="AC1002">
        <v>-37.767704963005123</v>
      </c>
      <c r="AD1002">
        <v>-7.2285247952069724</v>
      </c>
      <c r="AE1002">
        <v>-91.789947679012343</v>
      </c>
      <c r="AF1002">
        <v>-90.352910641975313</v>
      </c>
      <c r="AG1002">
        <v>-42.31636745589072</v>
      </c>
      <c r="AH1002">
        <v>-41.65387457029027</v>
      </c>
      <c r="AI1002">
        <v>190.6406605641026</v>
      </c>
      <c r="AJ1002">
        <v>-70.009282128060264</v>
      </c>
      <c r="AK1002">
        <v>187.65604517948719</v>
      </c>
      <c r="AL1002">
        <v>-68.913236930320153</v>
      </c>
      <c r="AM1002">
        <v>2.3323982062301969</v>
      </c>
      <c r="AN1002">
        <v>2.2958828503309601</v>
      </c>
    </row>
    <row r="1003" spans="1:40" x14ac:dyDescent="0.25">
      <c r="A1003" s="1" t="s">
        <v>122</v>
      </c>
      <c r="B1003">
        <v>74019210760</v>
      </c>
      <c r="C1003" t="s">
        <v>74</v>
      </c>
      <c r="D1003" t="s">
        <v>105</v>
      </c>
      <c r="E1003">
        <v>33846000000</v>
      </c>
      <c r="F1003">
        <v>-637000000</v>
      </c>
      <c r="G1003">
        <v>986000000</v>
      </c>
      <c r="H1003">
        <v>-884000000</v>
      </c>
      <c r="I1003">
        <v>-1537000000</v>
      </c>
      <c r="J1003">
        <v>-3401000000</v>
      </c>
      <c r="K1003">
        <v>4045000000</v>
      </c>
      <c r="L1003">
        <v>121000000</v>
      </c>
      <c r="M1003">
        <v>4166000000</v>
      </c>
      <c r="N1003">
        <v>9196000000</v>
      </c>
      <c r="O1003">
        <v>1562000000</v>
      </c>
      <c r="P1003">
        <v>193000000</v>
      </c>
      <c r="Q1003">
        <v>10886000000</v>
      </c>
      <c r="R1003">
        <v>8683000000</v>
      </c>
      <c r="S1003">
        <v>23779000000</v>
      </c>
      <c r="T1003">
        <v>0</v>
      </c>
      <c r="U1003">
        <v>1164000000</v>
      </c>
      <c r="V1003">
        <v>8672000000</v>
      </c>
      <c r="W1003">
        <v>80932210760</v>
      </c>
      <c r="X1003">
        <v>82096210760</v>
      </c>
      <c r="Y1003">
        <v>2.1869411676416708</v>
      </c>
      <c r="Z1003">
        <v>-116.1997029199372</v>
      </c>
      <c r="AA1003">
        <v>75.070193468559836</v>
      </c>
      <c r="AB1003">
        <v>-83.732138868778279</v>
      </c>
      <c r="AC1003">
        <v>-48.158237319453477</v>
      </c>
      <c r="AD1003">
        <v>-21.763954942663919</v>
      </c>
      <c r="AE1003">
        <v>-128.87945174254321</v>
      </c>
      <c r="AF1003">
        <v>-127.0521362009419</v>
      </c>
      <c r="AG1003">
        <v>-53.41327960962915</v>
      </c>
      <c r="AH1003">
        <v>-52.655960156148339</v>
      </c>
      <c r="AI1003">
        <v>83.261877038539552</v>
      </c>
      <c r="AJ1003">
        <v>-92.869016696832574</v>
      </c>
      <c r="AK1003">
        <v>82.081349655172417</v>
      </c>
      <c r="AL1003">
        <v>-91.552274615384619</v>
      </c>
      <c r="AM1003">
        <v>2.4255808887313131</v>
      </c>
      <c r="AN1003">
        <v>2.3911898233173789</v>
      </c>
    </row>
    <row r="1004" spans="1:40" x14ac:dyDescent="0.25">
      <c r="A1004" s="1" t="s">
        <v>527</v>
      </c>
      <c r="B1004">
        <v>76694603920</v>
      </c>
      <c r="C1004" t="s">
        <v>74</v>
      </c>
      <c r="D1004" t="s">
        <v>105</v>
      </c>
      <c r="E1004">
        <v>33846000000</v>
      </c>
      <c r="F1004">
        <v>-637000000</v>
      </c>
      <c r="G1004">
        <v>986000000</v>
      </c>
      <c r="H1004">
        <v>-884000000</v>
      </c>
      <c r="I1004">
        <v>-1537000000</v>
      </c>
      <c r="J1004">
        <v>-3401000000</v>
      </c>
      <c r="K1004">
        <v>4045000000</v>
      </c>
      <c r="L1004">
        <v>121000000</v>
      </c>
      <c r="M1004">
        <v>4166000000</v>
      </c>
      <c r="N1004">
        <v>9196000000</v>
      </c>
      <c r="O1004">
        <v>1562000000</v>
      </c>
      <c r="P1004">
        <v>193000000</v>
      </c>
      <c r="Q1004">
        <v>10886000000</v>
      </c>
      <c r="R1004">
        <v>8683000000</v>
      </c>
      <c r="S1004">
        <v>23779000000</v>
      </c>
      <c r="T1004">
        <v>0</v>
      </c>
      <c r="U1004">
        <v>1164000000</v>
      </c>
      <c r="V1004">
        <v>8672000000</v>
      </c>
      <c r="W1004">
        <v>83607603920</v>
      </c>
      <c r="X1004">
        <v>84771603920</v>
      </c>
      <c r="Y1004">
        <v>2.265987233941972</v>
      </c>
      <c r="Z1004">
        <v>-120.39969218210361</v>
      </c>
      <c r="AA1004">
        <v>77.78357395537526</v>
      </c>
      <c r="AB1004">
        <v>-86.758601719457019</v>
      </c>
      <c r="AC1004">
        <v>-49.898896499674692</v>
      </c>
      <c r="AD1004">
        <v>-22.550603916495149</v>
      </c>
      <c r="AE1004">
        <v>-133.07944100470959</v>
      </c>
      <c r="AF1004">
        <v>-131.25212546310831</v>
      </c>
      <c r="AG1004">
        <v>-55.153938789850358</v>
      </c>
      <c r="AH1004">
        <v>-54.396619336369547</v>
      </c>
      <c r="AI1004">
        <v>85.975257525354976</v>
      </c>
      <c r="AJ1004">
        <v>-95.895479547511314</v>
      </c>
      <c r="AK1004">
        <v>84.794730141987827</v>
      </c>
      <c r="AL1004">
        <v>-94.578737466063345</v>
      </c>
      <c r="AM1004">
        <v>2.5046269550316138</v>
      </c>
      <c r="AN1004">
        <v>2.4702358896176801</v>
      </c>
    </row>
    <row r="1005" spans="1:40" x14ac:dyDescent="0.25">
      <c r="A1005" s="1" t="s">
        <v>526</v>
      </c>
      <c r="B1005">
        <v>75985219370</v>
      </c>
      <c r="C1005" t="s">
        <v>74</v>
      </c>
      <c r="D1005" t="s">
        <v>105</v>
      </c>
      <c r="E1005">
        <v>33846000000</v>
      </c>
      <c r="F1005">
        <v>-637000000</v>
      </c>
      <c r="G1005">
        <v>986000000</v>
      </c>
      <c r="H1005">
        <v>-884000000</v>
      </c>
      <c r="I1005">
        <v>-1537000000</v>
      </c>
      <c r="J1005">
        <v>-3401000000</v>
      </c>
      <c r="K1005">
        <v>4045000000</v>
      </c>
      <c r="L1005">
        <v>121000000</v>
      </c>
      <c r="M1005">
        <v>4166000000</v>
      </c>
      <c r="N1005">
        <v>9196000000</v>
      </c>
      <c r="O1005">
        <v>1562000000</v>
      </c>
      <c r="P1005">
        <v>193000000</v>
      </c>
      <c r="Q1005">
        <v>10886000000</v>
      </c>
      <c r="R1005">
        <v>8683000000</v>
      </c>
      <c r="S1005">
        <v>23779000000</v>
      </c>
      <c r="T1005">
        <v>0</v>
      </c>
      <c r="U1005">
        <v>1164000000</v>
      </c>
      <c r="V1005">
        <v>8672000000</v>
      </c>
      <c r="W1005">
        <v>82898219370</v>
      </c>
      <c r="X1005">
        <v>84062219370</v>
      </c>
      <c r="Y1005">
        <v>2.24502804969568</v>
      </c>
      <c r="Z1005">
        <v>-119.2860586656201</v>
      </c>
      <c r="AA1005">
        <v>77.064117008113584</v>
      </c>
      <c r="AB1005">
        <v>-85.956130509049771</v>
      </c>
      <c r="AC1005">
        <v>-49.437358080676653</v>
      </c>
      <c r="AD1005">
        <v>-22.342022749191411</v>
      </c>
      <c r="AE1005">
        <v>-131.96580748822609</v>
      </c>
      <c r="AF1005">
        <v>-130.13849194662481</v>
      </c>
      <c r="AG1005">
        <v>-54.692400370852312</v>
      </c>
      <c r="AH1005">
        <v>-53.935080917371501</v>
      </c>
      <c r="AI1005">
        <v>85.2558005780933</v>
      </c>
      <c r="AJ1005">
        <v>-95.093008337104067</v>
      </c>
      <c r="AK1005">
        <v>84.075273194726165</v>
      </c>
      <c r="AL1005">
        <v>-93.776266255656111</v>
      </c>
      <c r="AM1005">
        <v>2.4836677707853219</v>
      </c>
      <c r="AN1005">
        <v>2.4492767053713882</v>
      </c>
    </row>
    <row r="1006" spans="1:40" x14ac:dyDescent="0.25">
      <c r="A1006" s="1" t="s">
        <v>525</v>
      </c>
      <c r="B1006">
        <v>76512190750</v>
      </c>
      <c r="C1006" t="s">
        <v>74</v>
      </c>
      <c r="D1006" t="s">
        <v>105</v>
      </c>
      <c r="E1006">
        <v>33846000000</v>
      </c>
      <c r="F1006">
        <v>-637000000</v>
      </c>
      <c r="G1006">
        <v>986000000</v>
      </c>
      <c r="H1006">
        <v>-884000000</v>
      </c>
      <c r="I1006">
        <v>-1537000000</v>
      </c>
      <c r="J1006">
        <v>-3401000000</v>
      </c>
      <c r="K1006">
        <v>4045000000</v>
      </c>
      <c r="L1006">
        <v>121000000</v>
      </c>
      <c r="M1006">
        <v>4166000000</v>
      </c>
      <c r="N1006">
        <v>9196000000</v>
      </c>
      <c r="O1006">
        <v>1562000000</v>
      </c>
      <c r="P1006">
        <v>193000000</v>
      </c>
      <c r="Q1006">
        <v>10886000000</v>
      </c>
      <c r="R1006">
        <v>8683000000</v>
      </c>
      <c r="S1006">
        <v>23779000000</v>
      </c>
      <c r="T1006">
        <v>0</v>
      </c>
      <c r="U1006">
        <v>1164000000</v>
      </c>
      <c r="V1006">
        <v>8672000000</v>
      </c>
      <c r="W1006">
        <v>83425190750</v>
      </c>
      <c r="X1006">
        <v>84589190750</v>
      </c>
      <c r="Y1006">
        <v>2.2605977294214972</v>
      </c>
      <c r="Z1006">
        <v>-120.11332927786501</v>
      </c>
      <c r="AA1006">
        <v>77.598570740365105</v>
      </c>
      <c r="AB1006">
        <v>-86.552251979638015</v>
      </c>
      <c r="AC1006">
        <v>-49.780215191932342</v>
      </c>
      <c r="AD1006">
        <v>-22.496968759188469</v>
      </c>
      <c r="AE1006">
        <v>-132.79307810047101</v>
      </c>
      <c r="AF1006">
        <v>-130.9657625588697</v>
      </c>
      <c r="AG1006">
        <v>-55.035257482108001</v>
      </c>
      <c r="AH1006">
        <v>-54.277938028627197</v>
      </c>
      <c r="AI1006">
        <v>85.790254310344821</v>
      </c>
      <c r="AJ1006">
        <v>-95.689129807692311</v>
      </c>
      <c r="AK1006">
        <v>84.609726926977686</v>
      </c>
      <c r="AL1006">
        <v>-94.372387726244341</v>
      </c>
      <c r="AM1006">
        <v>2.499237450511139</v>
      </c>
      <c r="AN1006">
        <v>2.4648463850972049</v>
      </c>
    </row>
    <row r="1007" spans="1:40" x14ac:dyDescent="0.25">
      <c r="A1007" s="1" t="s">
        <v>524</v>
      </c>
      <c r="B1007">
        <v>78701148790</v>
      </c>
      <c r="C1007" t="s">
        <v>74</v>
      </c>
      <c r="D1007" t="s">
        <v>105</v>
      </c>
      <c r="E1007">
        <v>33846000000</v>
      </c>
      <c r="F1007">
        <v>-637000000</v>
      </c>
      <c r="G1007">
        <v>986000000</v>
      </c>
      <c r="H1007">
        <v>-884000000</v>
      </c>
      <c r="I1007">
        <v>-1537000000</v>
      </c>
      <c r="J1007">
        <v>-3401000000</v>
      </c>
      <c r="K1007">
        <v>4045000000</v>
      </c>
      <c r="L1007">
        <v>121000000</v>
      </c>
      <c r="M1007">
        <v>4166000000</v>
      </c>
      <c r="N1007">
        <v>9196000000</v>
      </c>
      <c r="O1007">
        <v>1562000000</v>
      </c>
      <c r="P1007">
        <v>193000000</v>
      </c>
      <c r="Q1007">
        <v>10886000000</v>
      </c>
      <c r="R1007">
        <v>8683000000</v>
      </c>
      <c r="S1007">
        <v>23779000000</v>
      </c>
      <c r="T1007">
        <v>0</v>
      </c>
      <c r="U1007">
        <v>1164000000</v>
      </c>
      <c r="V1007">
        <v>8672000000</v>
      </c>
      <c r="W1007">
        <v>85614148790</v>
      </c>
      <c r="X1007">
        <v>86778148790</v>
      </c>
      <c r="Y1007">
        <v>2.325271783667199</v>
      </c>
      <c r="Z1007">
        <v>-123.5496841287284</v>
      </c>
      <c r="AA1007">
        <v>79.818609320486814</v>
      </c>
      <c r="AB1007">
        <v>-89.02844885746606</v>
      </c>
      <c r="AC1007">
        <v>-51.204390884840599</v>
      </c>
      <c r="AD1007">
        <v>-23.140590646868571</v>
      </c>
      <c r="AE1007">
        <v>-136.22943295133439</v>
      </c>
      <c r="AF1007">
        <v>-134.40211740973311</v>
      </c>
      <c r="AG1007">
        <v>-56.459433175016272</v>
      </c>
      <c r="AH1007">
        <v>-55.702113721535461</v>
      </c>
      <c r="AI1007">
        <v>88.01029289046653</v>
      </c>
      <c r="AJ1007">
        <v>-98.165326685520355</v>
      </c>
      <c r="AK1007">
        <v>86.829765507099395</v>
      </c>
      <c r="AL1007">
        <v>-96.8485846040724</v>
      </c>
      <c r="AM1007">
        <v>2.5639115047568399</v>
      </c>
      <c r="AN1007">
        <v>2.5295204393429058</v>
      </c>
    </row>
    <row r="1008" spans="1:40" x14ac:dyDescent="0.25">
      <c r="A1008" s="1" t="s">
        <v>523</v>
      </c>
      <c r="B1008">
        <v>77403988470</v>
      </c>
      <c r="C1008" t="s">
        <v>74</v>
      </c>
      <c r="D1008" t="s">
        <v>105</v>
      </c>
      <c r="E1008">
        <v>33846000000</v>
      </c>
      <c r="F1008">
        <v>-637000000</v>
      </c>
      <c r="G1008">
        <v>986000000</v>
      </c>
      <c r="H1008">
        <v>-884000000</v>
      </c>
      <c r="I1008">
        <v>-1537000000</v>
      </c>
      <c r="J1008">
        <v>-3401000000</v>
      </c>
      <c r="K1008">
        <v>4045000000</v>
      </c>
      <c r="L1008">
        <v>121000000</v>
      </c>
      <c r="M1008">
        <v>4166000000</v>
      </c>
      <c r="N1008">
        <v>9196000000</v>
      </c>
      <c r="O1008">
        <v>1562000000</v>
      </c>
      <c r="P1008">
        <v>193000000</v>
      </c>
      <c r="Q1008">
        <v>10886000000</v>
      </c>
      <c r="R1008">
        <v>8683000000</v>
      </c>
      <c r="S1008">
        <v>23779000000</v>
      </c>
      <c r="T1008">
        <v>0</v>
      </c>
      <c r="U1008">
        <v>1164000000</v>
      </c>
      <c r="V1008">
        <v>8672000000</v>
      </c>
      <c r="W1008">
        <v>84316988470</v>
      </c>
      <c r="X1008">
        <v>85480988470</v>
      </c>
      <c r="Y1008">
        <v>2.2869464181882639</v>
      </c>
      <c r="Z1008">
        <v>-121.5133256985871</v>
      </c>
      <c r="AA1008">
        <v>78.503030902636922</v>
      </c>
      <c r="AB1008">
        <v>-87.561072929864253</v>
      </c>
      <c r="AC1008">
        <v>-50.360434918672738</v>
      </c>
      <c r="AD1008">
        <v>-22.759185083798879</v>
      </c>
      <c r="AE1008">
        <v>-134.1930745211931</v>
      </c>
      <c r="AF1008">
        <v>-132.36575897959179</v>
      </c>
      <c r="AG1008">
        <v>-55.615477208848397</v>
      </c>
      <c r="AH1008">
        <v>-54.8581577553676</v>
      </c>
      <c r="AI1008">
        <v>86.694714472616639</v>
      </c>
      <c r="AJ1008">
        <v>-96.697950757918548</v>
      </c>
      <c r="AK1008">
        <v>85.514187089249489</v>
      </c>
      <c r="AL1008">
        <v>-95.381208676470592</v>
      </c>
      <c r="AM1008">
        <v>2.5255861392779062</v>
      </c>
      <c r="AN1008">
        <v>2.4911950738639721</v>
      </c>
    </row>
    <row r="1009" spans="1:40" x14ac:dyDescent="0.25">
      <c r="A1009" s="1" t="s">
        <v>522</v>
      </c>
      <c r="B1009">
        <v>78620076270</v>
      </c>
      <c r="C1009" t="s">
        <v>74</v>
      </c>
      <c r="D1009" t="s">
        <v>105</v>
      </c>
      <c r="E1009">
        <v>33846000000</v>
      </c>
      <c r="F1009">
        <v>-637000000</v>
      </c>
      <c r="G1009">
        <v>986000000</v>
      </c>
      <c r="H1009">
        <v>-884000000</v>
      </c>
      <c r="I1009">
        <v>-1537000000</v>
      </c>
      <c r="J1009">
        <v>-3401000000</v>
      </c>
      <c r="K1009">
        <v>4045000000</v>
      </c>
      <c r="L1009">
        <v>121000000</v>
      </c>
      <c r="M1009">
        <v>4166000000</v>
      </c>
      <c r="N1009">
        <v>9196000000</v>
      </c>
      <c r="O1009">
        <v>1562000000</v>
      </c>
      <c r="P1009">
        <v>193000000</v>
      </c>
      <c r="Q1009">
        <v>10886000000</v>
      </c>
      <c r="R1009">
        <v>8683000000</v>
      </c>
      <c r="S1009">
        <v>23779000000</v>
      </c>
      <c r="T1009">
        <v>0</v>
      </c>
      <c r="U1009">
        <v>1164000000</v>
      </c>
      <c r="V1009">
        <v>8672000000</v>
      </c>
      <c r="W1009">
        <v>85533076270</v>
      </c>
      <c r="X1009">
        <v>86697076270</v>
      </c>
      <c r="Y1009">
        <v>2.3228764483247648</v>
      </c>
      <c r="Z1009">
        <v>-123.4224117268446</v>
      </c>
      <c r="AA1009">
        <v>79.736385669371202</v>
      </c>
      <c r="AB1009">
        <v>-88.936737861990949</v>
      </c>
      <c r="AC1009">
        <v>-51.151643636955107</v>
      </c>
      <c r="AD1009">
        <v>-23.116752799176709</v>
      </c>
      <c r="AE1009">
        <v>-136.10216054945059</v>
      </c>
      <c r="AF1009">
        <v>-134.27484500784931</v>
      </c>
      <c r="AG1009">
        <v>-56.406685927130773</v>
      </c>
      <c r="AH1009">
        <v>-55.64936647364997</v>
      </c>
      <c r="AI1009">
        <v>87.928069239350918</v>
      </c>
      <c r="AJ1009">
        <v>-98.073615690045244</v>
      </c>
      <c r="AK1009">
        <v>86.747541855983769</v>
      </c>
      <c r="AL1009">
        <v>-96.756873608597289</v>
      </c>
      <c r="AM1009">
        <v>2.5615161694144071</v>
      </c>
      <c r="AN1009">
        <v>2.527125104000473</v>
      </c>
    </row>
    <row r="1010" spans="1:40" x14ac:dyDescent="0.25">
      <c r="A1010" s="1" t="s">
        <v>521</v>
      </c>
      <c r="B1010">
        <v>77870155460</v>
      </c>
      <c r="C1010" t="s">
        <v>74</v>
      </c>
      <c r="D1010" t="s">
        <v>105</v>
      </c>
      <c r="E1010">
        <v>33846000000</v>
      </c>
      <c r="F1010">
        <v>-637000000</v>
      </c>
      <c r="G1010">
        <v>986000000</v>
      </c>
      <c r="H1010">
        <v>-884000000</v>
      </c>
      <c r="I1010">
        <v>-1537000000</v>
      </c>
      <c r="J1010">
        <v>-3401000000</v>
      </c>
      <c r="K1010">
        <v>4045000000</v>
      </c>
      <c r="L1010">
        <v>121000000</v>
      </c>
      <c r="M1010">
        <v>4166000000</v>
      </c>
      <c r="N1010">
        <v>9196000000</v>
      </c>
      <c r="O1010">
        <v>1562000000</v>
      </c>
      <c r="P1010">
        <v>193000000</v>
      </c>
      <c r="Q1010">
        <v>10886000000</v>
      </c>
      <c r="R1010">
        <v>8683000000</v>
      </c>
      <c r="S1010">
        <v>23779000000</v>
      </c>
      <c r="T1010">
        <v>0</v>
      </c>
      <c r="U1010">
        <v>1164000000</v>
      </c>
      <c r="V1010">
        <v>8672000000</v>
      </c>
      <c r="W1010">
        <v>84783155460</v>
      </c>
      <c r="X1010">
        <v>85947155460</v>
      </c>
      <c r="Y1010">
        <v>2.300719596407256</v>
      </c>
      <c r="Z1010">
        <v>-122.2451420094192</v>
      </c>
      <c r="AA1010">
        <v>78.97581689655172</v>
      </c>
      <c r="AB1010">
        <v>-88.088411153846153</v>
      </c>
      <c r="AC1010">
        <v>-50.663731594014322</v>
      </c>
      <c r="AD1010">
        <v>-22.896252708027049</v>
      </c>
      <c r="AE1010">
        <v>-134.92489083202511</v>
      </c>
      <c r="AF1010">
        <v>-133.09757529042389</v>
      </c>
      <c r="AG1010">
        <v>-55.918773884189982</v>
      </c>
      <c r="AH1010">
        <v>-55.161454430709171</v>
      </c>
      <c r="AI1010">
        <v>87.167500466531436</v>
      </c>
      <c r="AJ1010">
        <v>-97.225288981900448</v>
      </c>
      <c r="AK1010">
        <v>85.986973083164301</v>
      </c>
      <c r="AL1010">
        <v>-95.908546900452492</v>
      </c>
      <c r="AM1010">
        <v>2.5393593174968978</v>
      </c>
      <c r="AN1010">
        <v>2.5049682520829641</v>
      </c>
    </row>
    <row r="1011" spans="1:40" x14ac:dyDescent="0.25">
      <c r="A1011" s="1" t="s">
        <v>520</v>
      </c>
      <c r="B1011">
        <v>77930959850</v>
      </c>
      <c r="C1011" t="s">
        <v>74</v>
      </c>
      <c r="D1011" t="s">
        <v>105</v>
      </c>
      <c r="E1011">
        <v>33846000000</v>
      </c>
      <c r="F1011">
        <v>-637000000</v>
      </c>
      <c r="G1011">
        <v>986000000</v>
      </c>
      <c r="H1011">
        <v>-884000000</v>
      </c>
      <c r="I1011">
        <v>-1537000000</v>
      </c>
      <c r="J1011">
        <v>-3401000000</v>
      </c>
      <c r="K1011">
        <v>4045000000</v>
      </c>
      <c r="L1011">
        <v>121000000</v>
      </c>
      <c r="M1011">
        <v>4166000000</v>
      </c>
      <c r="N1011">
        <v>9196000000</v>
      </c>
      <c r="O1011">
        <v>1562000000</v>
      </c>
      <c r="P1011">
        <v>193000000</v>
      </c>
      <c r="Q1011">
        <v>10886000000</v>
      </c>
      <c r="R1011">
        <v>8683000000</v>
      </c>
      <c r="S1011">
        <v>23779000000</v>
      </c>
      <c r="T1011">
        <v>0</v>
      </c>
      <c r="U1011">
        <v>1164000000</v>
      </c>
      <c r="V1011">
        <v>8672000000</v>
      </c>
      <c r="W1011">
        <v>84843959850</v>
      </c>
      <c r="X1011">
        <v>86007959850</v>
      </c>
      <c r="Y1011">
        <v>2.302516097914082</v>
      </c>
      <c r="Z1011">
        <v>-122.340596310832</v>
      </c>
      <c r="AA1011">
        <v>79.037484634888443</v>
      </c>
      <c r="AB1011">
        <v>-88.157194400452482</v>
      </c>
      <c r="AC1011">
        <v>-50.703292029928427</v>
      </c>
      <c r="AD1011">
        <v>-22.914131093795941</v>
      </c>
      <c r="AE1011">
        <v>-135.02034513343801</v>
      </c>
      <c r="AF1011">
        <v>-133.19302959183671</v>
      </c>
      <c r="AG1011">
        <v>-55.9583343201041</v>
      </c>
      <c r="AH1011">
        <v>-55.201014866623289</v>
      </c>
      <c r="AI1011">
        <v>87.229168204868159</v>
      </c>
      <c r="AJ1011">
        <v>-97.294072228506792</v>
      </c>
      <c r="AK1011">
        <v>86.04864082150101</v>
      </c>
      <c r="AL1011">
        <v>-95.977330147058822</v>
      </c>
      <c r="AM1011">
        <v>2.5411558190037229</v>
      </c>
      <c r="AN1011">
        <v>2.5067647535897888</v>
      </c>
    </row>
    <row r="1012" spans="1:40" x14ac:dyDescent="0.25">
      <c r="A1012" s="1" t="s">
        <v>519</v>
      </c>
      <c r="B1012">
        <v>77302647820</v>
      </c>
      <c r="C1012" t="s">
        <v>74</v>
      </c>
      <c r="D1012" t="s">
        <v>105</v>
      </c>
      <c r="E1012">
        <v>33846000000</v>
      </c>
      <c r="F1012">
        <v>-637000000</v>
      </c>
      <c r="G1012">
        <v>986000000</v>
      </c>
      <c r="H1012">
        <v>-884000000</v>
      </c>
      <c r="I1012">
        <v>-1537000000</v>
      </c>
      <c r="J1012">
        <v>-3401000000</v>
      </c>
      <c r="K1012">
        <v>4045000000</v>
      </c>
      <c r="L1012">
        <v>121000000</v>
      </c>
      <c r="M1012">
        <v>4166000000</v>
      </c>
      <c r="N1012">
        <v>9196000000</v>
      </c>
      <c r="O1012">
        <v>1562000000</v>
      </c>
      <c r="P1012">
        <v>193000000</v>
      </c>
      <c r="Q1012">
        <v>10886000000</v>
      </c>
      <c r="R1012">
        <v>8683000000</v>
      </c>
      <c r="S1012">
        <v>23779000000</v>
      </c>
      <c r="T1012">
        <v>0</v>
      </c>
      <c r="U1012">
        <v>1164000000</v>
      </c>
      <c r="V1012">
        <v>8672000000</v>
      </c>
      <c r="W1012">
        <v>84215647820</v>
      </c>
      <c r="X1012">
        <v>85379647820</v>
      </c>
      <c r="Y1012">
        <v>2.2839522490102229</v>
      </c>
      <c r="Z1012">
        <v>-121.3542351962323</v>
      </c>
      <c r="AA1012">
        <v>78.400251338742393</v>
      </c>
      <c r="AB1012">
        <v>-87.44643418552036</v>
      </c>
      <c r="AC1012">
        <v>-50.294500858815873</v>
      </c>
      <c r="AD1012">
        <v>-22.729387774184062</v>
      </c>
      <c r="AE1012">
        <v>-134.03398401883831</v>
      </c>
      <c r="AF1012">
        <v>-132.20666847723709</v>
      </c>
      <c r="AG1012">
        <v>-55.549543148991539</v>
      </c>
      <c r="AH1012">
        <v>-54.792223695510742</v>
      </c>
      <c r="AI1012">
        <v>86.591934908722109</v>
      </c>
      <c r="AJ1012">
        <v>-96.583312013574655</v>
      </c>
      <c r="AK1012">
        <v>85.411407525354974</v>
      </c>
      <c r="AL1012">
        <v>-95.2665699321267</v>
      </c>
      <c r="AM1012">
        <v>2.5225919700998638</v>
      </c>
      <c r="AN1012">
        <v>2.488200904685931</v>
      </c>
    </row>
    <row r="1013" spans="1:40" x14ac:dyDescent="0.25">
      <c r="A1013" s="1" t="s">
        <v>518</v>
      </c>
      <c r="B1013">
        <v>75883878720</v>
      </c>
      <c r="C1013" t="s">
        <v>74</v>
      </c>
      <c r="D1013" t="s">
        <v>105</v>
      </c>
      <c r="E1013">
        <v>33846000000</v>
      </c>
      <c r="F1013">
        <v>-637000000</v>
      </c>
      <c r="G1013">
        <v>986000000</v>
      </c>
      <c r="H1013">
        <v>-884000000</v>
      </c>
      <c r="I1013">
        <v>-1537000000</v>
      </c>
      <c r="J1013">
        <v>-3401000000</v>
      </c>
      <c r="K1013">
        <v>4045000000</v>
      </c>
      <c r="L1013">
        <v>121000000</v>
      </c>
      <c r="M1013">
        <v>4166000000</v>
      </c>
      <c r="N1013">
        <v>9196000000</v>
      </c>
      <c r="O1013">
        <v>1562000000</v>
      </c>
      <c r="P1013">
        <v>193000000</v>
      </c>
      <c r="Q1013">
        <v>10886000000</v>
      </c>
      <c r="R1013">
        <v>8683000000</v>
      </c>
      <c r="S1013">
        <v>23779000000</v>
      </c>
      <c r="T1013">
        <v>0</v>
      </c>
      <c r="U1013">
        <v>1164000000</v>
      </c>
      <c r="V1013">
        <v>8672000000</v>
      </c>
      <c r="W1013">
        <v>82796878720</v>
      </c>
      <c r="X1013">
        <v>83960878720</v>
      </c>
      <c r="Y1013">
        <v>2.242033880517639</v>
      </c>
      <c r="Z1013">
        <v>-119.1269681632653</v>
      </c>
      <c r="AA1013">
        <v>76.961337444219069</v>
      </c>
      <c r="AB1013">
        <v>-85.841491764705879</v>
      </c>
      <c r="AC1013">
        <v>-49.371424020819781</v>
      </c>
      <c r="AD1013">
        <v>-22.31222543957659</v>
      </c>
      <c r="AE1013">
        <v>-131.8067169858713</v>
      </c>
      <c r="AF1013">
        <v>-129.97940144427</v>
      </c>
      <c r="AG1013">
        <v>-54.626466310995447</v>
      </c>
      <c r="AH1013">
        <v>-53.869146857514643</v>
      </c>
      <c r="AI1013">
        <v>85.153021014198785</v>
      </c>
      <c r="AJ1013">
        <v>-94.978369592760174</v>
      </c>
      <c r="AK1013">
        <v>83.97249363083165</v>
      </c>
      <c r="AL1013">
        <v>-93.661627511312219</v>
      </c>
      <c r="AM1013">
        <v>2.4806736016072799</v>
      </c>
      <c r="AN1013">
        <v>2.4462825361933458</v>
      </c>
    </row>
    <row r="1014" spans="1:40" x14ac:dyDescent="0.25">
      <c r="A1014" s="1" t="s">
        <v>517</v>
      </c>
      <c r="B1014">
        <v>76694603920</v>
      </c>
      <c r="C1014" t="s">
        <v>74</v>
      </c>
      <c r="D1014" t="s">
        <v>105</v>
      </c>
      <c r="E1014">
        <v>33846000000</v>
      </c>
      <c r="F1014">
        <v>-637000000</v>
      </c>
      <c r="G1014">
        <v>986000000</v>
      </c>
      <c r="H1014">
        <v>-884000000</v>
      </c>
      <c r="I1014">
        <v>-1537000000</v>
      </c>
      <c r="J1014">
        <v>-3401000000</v>
      </c>
      <c r="K1014">
        <v>4045000000</v>
      </c>
      <c r="L1014">
        <v>121000000</v>
      </c>
      <c r="M1014">
        <v>4166000000</v>
      </c>
      <c r="N1014">
        <v>9196000000</v>
      </c>
      <c r="O1014">
        <v>1562000000</v>
      </c>
      <c r="P1014">
        <v>193000000</v>
      </c>
      <c r="Q1014">
        <v>10886000000</v>
      </c>
      <c r="R1014">
        <v>8683000000</v>
      </c>
      <c r="S1014">
        <v>23779000000</v>
      </c>
      <c r="T1014">
        <v>0</v>
      </c>
      <c r="U1014">
        <v>1164000000</v>
      </c>
      <c r="V1014">
        <v>8672000000</v>
      </c>
      <c r="W1014">
        <v>83607603920</v>
      </c>
      <c r="X1014">
        <v>84771603920</v>
      </c>
      <c r="Y1014">
        <v>2.265987233941972</v>
      </c>
      <c r="Z1014">
        <v>-120.39969218210361</v>
      </c>
      <c r="AA1014">
        <v>77.78357395537526</v>
      </c>
      <c r="AB1014">
        <v>-86.758601719457019</v>
      </c>
      <c r="AC1014">
        <v>-49.898896499674692</v>
      </c>
      <c r="AD1014">
        <v>-22.550603916495149</v>
      </c>
      <c r="AE1014">
        <v>-133.07944100470959</v>
      </c>
      <c r="AF1014">
        <v>-131.25212546310831</v>
      </c>
      <c r="AG1014">
        <v>-55.153938789850358</v>
      </c>
      <c r="AH1014">
        <v>-54.396619336369547</v>
      </c>
      <c r="AI1014">
        <v>85.975257525354976</v>
      </c>
      <c r="AJ1014">
        <v>-95.895479547511314</v>
      </c>
      <c r="AK1014">
        <v>84.794730141987827</v>
      </c>
      <c r="AL1014">
        <v>-94.578737466063345</v>
      </c>
      <c r="AM1014">
        <v>2.5046269550316138</v>
      </c>
      <c r="AN1014">
        <v>2.4702358896176801</v>
      </c>
    </row>
    <row r="1015" spans="1:40" x14ac:dyDescent="0.25">
      <c r="A1015" s="1" t="s">
        <v>516</v>
      </c>
      <c r="B1015">
        <v>79552410250</v>
      </c>
      <c r="C1015" t="s">
        <v>74</v>
      </c>
      <c r="D1015" t="s">
        <v>105</v>
      </c>
      <c r="E1015">
        <v>33846000000</v>
      </c>
      <c r="F1015">
        <v>-637000000</v>
      </c>
      <c r="G1015">
        <v>986000000</v>
      </c>
      <c r="H1015">
        <v>-884000000</v>
      </c>
      <c r="I1015">
        <v>-1537000000</v>
      </c>
      <c r="J1015">
        <v>-3401000000</v>
      </c>
      <c r="K1015">
        <v>4045000000</v>
      </c>
      <c r="L1015">
        <v>121000000</v>
      </c>
      <c r="M1015">
        <v>4166000000</v>
      </c>
      <c r="N1015">
        <v>9196000000</v>
      </c>
      <c r="O1015">
        <v>1562000000</v>
      </c>
      <c r="P1015">
        <v>193000000</v>
      </c>
      <c r="Q1015">
        <v>10886000000</v>
      </c>
      <c r="R1015">
        <v>8683000000</v>
      </c>
      <c r="S1015">
        <v>23779000000</v>
      </c>
      <c r="T1015">
        <v>0</v>
      </c>
      <c r="U1015">
        <v>1164000000</v>
      </c>
      <c r="V1015">
        <v>8672000000</v>
      </c>
      <c r="W1015">
        <v>86465410250</v>
      </c>
      <c r="X1015">
        <v>87629410250</v>
      </c>
      <c r="Y1015">
        <v>2.3504228047627489</v>
      </c>
      <c r="Z1015">
        <v>-124.88604434850861</v>
      </c>
      <c r="AA1015">
        <v>80.681957657200812</v>
      </c>
      <c r="AB1015">
        <v>-89.991414309954749</v>
      </c>
      <c r="AC1015">
        <v>-51.758236987638263</v>
      </c>
      <c r="AD1015">
        <v>-23.390888047633052</v>
      </c>
      <c r="AE1015">
        <v>-137.56579317111459</v>
      </c>
      <c r="AF1015">
        <v>-135.73847762951331</v>
      </c>
      <c r="AG1015">
        <v>-57.013279277813922</v>
      </c>
      <c r="AH1015">
        <v>-56.255959824333118</v>
      </c>
      <c r="AI1015">
        <v>88.873641227180528</v>
      </c>
      <c r="AJ1015">
        <v>-99.128292138009044</v>
      </c>
      <c r="AK1015">
        <v>87.693113843813393</v>
      </c>
      <c r="AL1015">
        <v>-97.811550056561089</v>
      </c>
      <c r="AM1015">
        <v>2.5890625258523898</v>
      </c>
      <c r="AN1015">
        <v>2.5546714604384571</v>
      </c>
    </row>
    <row r="1016" spans="1:40" x14ac:dyDescent="0.25">
      <c r="A1016" s="1" t="s">
        <v>515</v>
      </c>
      <c r="B1016">
        <v>79410533340</v>
      </c>
      <c r="C1016" t="s">
        <v>74</v>
      </c>
      <c r="D1016" t="s">
        <v>105</v>
      </c>
      <c r="E1016">
        <v>33846000000</v>
      </c>
      <c r="F1016">
        <v>-637000000</v>
      </c>
      <c r="G1016">
        <v>986000000</v>
      </c>
      <c r="H1016">
        <v>-884000000</v>
      </c>
      <c r="I1016">
        <v>-1537000000</v>
      </c>
      <c r="J1016">
        <v>-3401000000</v>
      </c>
      <c r="K1016">
        <v>4045000000</v>
      </c>
      <c r="L1016">
        <v>121000000</v>
      </c>
      <c r="M1016">
        <v>4166000000</v>
      </c>
      <c r="N1016">
        <v>9196000000</v>
      </c>
      <c r="O1016">
        <v>1562000000</v>
      </c>
      <c r="P1016">
        <v>193000000</v>
      </c>
      <c r="Q1016">
        <v>10886000000</v>
      </c>
      <c r="R1016">
        <v>8683000000</v>
      </c>
      <c r="S1016">
        <v>23779000000</v>
      </c>
      <c r="T1016">
        <v>0</v>
      </c>
      <c r="U1016">
        <v>1164000000</v>
      </c>
      <c r="V1016">
        <v>8672000000</v>
      </c>
      <c r="W1016">
        <v>86323533340</v>
      </c>
      <c r="X1016">
        <v>87487533340</v>
      </c>
      <c r="Y1016">
        <v>2.346230967913491</v>
      </c>
      <c r="Z1016">
        <v>-124.6633176452119</v>
      </c>
      <c r="AA1016">
        <v>80.538066267748476</v>
      </c>
      <c r="AB1016">
        <v>-89.830920067873308</v>
      </c>
      <c r="AC1016">
        <v>-51.665929303838652</v>
      </c>
      <c r="AD1016">
        <v>-23.349171814172301</v>
      </c>
      <c r="AE1016">
        <v>-137.34306646781789</v>
      </c>
      <c r="AF1016">
        <v>-135.51575092621661</v>
      </c>
      <c r="AG1016">
        <v>-56.920971594014311</v>
      </c>
      <c r="AH1016">
        <v>-56.163652140533507</v>
      </c>
      <c r="AI1016">
        <v>88.729749837728193</v>
      </c>
      <c r="AJ1016">
        <v>-98.967797895927603</v>
      </c>
      <c r="AK1016">
        <v>87.549222454361058</v>
      </c>
      <c r="AL1016">
        <v>-97.651055814479633</v>
      </c>
      <c r="AM1016">
        <v>2.5848706890031319</v>
      </c>
      <c r="AN1016">
        <v>2.5504796235891982</v>
      </c>
    </row>
    <row r="1017" spans="1:40" x14ac:dyDescent="0.25">
      <c r="A1017" s="1" t="s">
        <v>514</v>
      </c>
      <c r="B1017">
        <v>79390265210</v>
      </c>
      <c r="C1017" t="s">
        <v>74</v>
      </c>
      <c r="D1017" t="s">
        <v>105</v>
      </c>
      <c r="E1017">
        <v>33846000000</v>
      </c>
      <c r="F1017">
        <v>-637000000</v>
      </c>
      <c r="G1017">
        <v>986000000</v>
      </c>
      <c r="H1017">
        <v>-884000000</v>
      </c>
      <c r="I1017">
        <v>-1537000000</v>
      </c>
      <c r="J1017">
        <v>-3401000000</v>
      </c>
      <c r="K1017">
        <v>4045000000</v>
      </c>
      <c r="L1017">
        <v>121000000</v>
      </c>
      <c r="M1017">
        <v>4166000000</v>
      </c>
      <c r="N1017">
        <v>9196000000</v>
      </c>
      <c r="O1017">
        <v>1562000000</v>
      </c>
      <c r="P1017">
        <v>193000000</v>
      </c>
      <c r="Q1017">
        <v>10886000000</v>
      </c>
      <c r="R1017">
        <v>8683000000</v>
      </c>
      <c r="S1017">
        <v>23779000000</v>
      </c>
      <c r="T1017">
        <v>0</v>
      </c>
      <c r="U1017">
        <v>1164000000</v>
      </c>
      <c r="V1017">
        <v>8672000000</v>
      </c>
      <c r="W1017">
        <v>86303265210</v>
      </c>
      <c r="X1017">
        <v>87467265210</v>
      </c>
      <c r="Y1017">
        <v>2.3456321340778818</v>
      </c>
      <c r="Z1017">
        <v>-124.631499544741</v>
      </c>
      <c r="AA1017">
        <v>80.517510354969573</v>
      </c>
      <c r="AB1017">
        <v>-89.807992319004526</v>
      </c>
      <c r="AC1017">
        <v>-51.652742491867272</v>
      </c>
      <c r="AD1017">
        <v>-23.343212352249338</v>
      </c>
      <c r="AE1017">
        <v>-137.31124836734691</v>
      </c>
      <c r="AF1017">
        <v>-135.48393282574571</v>
      </c>
      <c r="AG1017">
        <v>-56.907784782042938</v>
      </c>
      <c r="AH1017">
        <v>-56.150465328562127</v>
      </c>
      <c r="AI1017">
        <v>88.70919392494929</v>
      </c>
      <c r="AJ1017">
        <v>-98.944870147058822</v>
      </c>
      <c r="AK1017">
        <v>87.528666541582155</v>
      </c>
      <c r="AL1017">
        <v>-97.628128065610866</v>
      </c>
      <c r="AM1017">
        <v>2.5842718551675241</v>
      </c>
      <c r="AN1017">
        <v>2.54988078975359</v>
      </c>
    </row>
    <row r="1018" spans="1:40" x14ac:dyDescent="0.25">
      <c r="A1018" s="1" t="s">
        <v>513</v>
      </c>
      <c r="B1018">
        <v>78356590580</v>
      </c>
      <c r="C1018" t="s">
        <v>74</v>
      </c>
      <c r="D1018" t="s">
        <v>105</v>
      </c>
      <c r="E1018">
        <v>33846000000</v>
      </c>
      <c r="F1018">
        <v>-637000000</v>
      </c>
      <c r="G1018">
        <v>986000000</v>
      </c>
      <c r="H1018">
        <v>-884000000</v>
      </c>
      <c r="I1018">
        <v>-1537000000</v>
      </c>
      <c r="J1018">
        <v>-3401000000</v>
      </c>
      <c r="K1018">
        <v>4045000000</v>
      </c>
      <c r="L1018">
        <v>121000000</v>
      </c>
      <c r="M1018">
        <v>4166000000</v>
      </c>
      <c r="N1018">
        <v>9196000000</v>
      </c>
      <c r="O1018">
        <v>1562000000</v>
      </c>
      <c r="P1018">
        <v>193000000</v>
      </c>
      <c r="Q1018">
        <v>10886000000</v>
      </c>
      <c r="R1018">
        <v>8683000000</v>
      </c>
      <c r="S1018">
        <v>23779000000</v>
      </c>
      <c r="T1018">
        <v>0</v>
      </c>
      <c r="U1018">
        <v>1164000000</v>
      </c>
      <c r="V1018">
        <v>8672000000</v>
      </c>
      <c r="W1018">
        <v>85269590580</v>
      </c>
      <c r="X1018">
        <v>86433590580</v>
      </c>
      <c r="Y1018">
        <v>2.3150916084618571</v>
      </c>
      <c r="Z1018">
        <v>-123.0087764207221</v>
      </c>
      <c r="AA1018">
        <v>79.469158803245435</v>
      </c>
      <c r="AB1018">
        <v>-88.638677126696834</v>
      </c>
      <c r="AC1018">
        <v>-50.980215081327259</v>
      </c>
      <c r="AD1018">
        <v>-23.039279794178182</v>
      </c>
      <c r="AE1018">
        <v>-135.68852524332809</v>
      </c>
      <c r="AF1018">
        <v>-133.86120970172681</v>
      </c>
      <c r="AG1018">
        <v>-56.235257371502932</v>
      </c>
      <c r="AH1018">
        <v>-55.477937918022121</v>
      </c>
      <c r="AI1018">
        <v>87.660842373225151</v>
      </c>
      <c r="AJ1018">
        <v>-97.775554954751129</v>
      </c>
      <c r="AK1018">
        <v>86.480314989858016</v>
      </c>
      <c r="AL1018">
        <v>-96.458812873303174</v>
      </c>
      <c r="AM1018">
        <v>2.5537313295514981</v>
      </c>
      <c r="AN1018">
        <v>2.519340264137564</v>
      </c>
    </row>
    <row r="1019" spans="1:40" x14ac:dyDescent="0.25">
      <c r="A1019" s="1" t="s">
        <v>512</v>
      </c>
      <c r="B1019">
        <v>76937821480</v>
      </c>
      <c r="C1019" t="s">
        <v>74</v>
      </c>
      <c r="D1019" t="s">
        <v>105</v>
      </c>
      <c r="E1019">
        <v>33846000000</v>
      </c>
      <c r="F1019">
        <v>-637000000</v>
      </c>
      <c r="G1019">
        <v>986000000</v>
      </c>
      <c r="H1019">
        <v>-884000000</v>
      </c>
      <c r="I1019">
        <v>-1537000000</v>
      </c>
      <c r="J1019">
        <v>-3401000000</v>
      </c>
      <c r="K1019">
        <v>4045000000</v>
      </c>
      <c r="L1019">
        <v>121000000</v>
      </c>
      <c r="M1019">
        <v>4166000000</v>
      </c>
      <c r="N1019">
        <v>9196000000</v>
      </c>
      <c r="O1019">
        <v>1562000000</v>
      </c>
      <c r="P1019">
        <v>193000000</v>
      </c>
      <c r="Q1019">
        <v>10886000000</v>
      </c>
      <c r="R1019">
        <v>8683000000</v>
      </c>
      <c r="S1019">
        <v>23779000000</v>
      </c>
      <c r="T1019">
        <v>0</v>
      </c>
      <c r="U1019">
        <v>1164000000</v>
      </c>
      <c r="V1019">
        <v>8672000000</v>
      </c>
      <c r="W1019">
        <v>83850821480</v>
      </c>
      <c r="X1019">
        <v>85014821480</v>
      </c>
      <c r="Y1019">
        <v>2.2731732399692728</v>
      </c>
      <c r="Z1019">
        <v>-120.78150938775509</v>
      </c>
      <c r="AA1019">
        <v>78.030244908722111</v>
      </c>
      <c r="AB1019">
        <v>-87.033734705882353</v>
      </c>
      <c r="AC1019">
        <v>-50.057138243331167</v>
      </c>
      <c r="AD1019">
        <v>-22.62211745957071</v>
      </c>
      <c r="AE1019">
        <v>-133.46125821036111</v>
      </c>
      <c r="AF1019">
        <v>-131.6339426687598</v>
      </c>
      <c r="AG1019">
        <v>-55.312180533506833</v>
      </c>
      <c r="AH1019">
        <v>-54.554861080026022</v>
      </c>
      <c r="AI1019">
        <v>86.221928478701827</v>
      </c>
      <c r="AJ1019">
        <v>-96.170612533936648</v>
      </c>
      <c r="AK1019">
        <v>85.041401095334692</v>
      </c>
      <c r="AL1019">
        <v>-94.853870452488692</v>
      </c>
      <c r="AM1019">
        <v>2.5118129610589142</v>
      </c>
      <c r="AN1019">
        <v>2.4774218956449801</v>
      </c>
    </row>
    <row r="1020" spans="1:40" x14ac:dyDescent="0.25">
      <c r="A1020" s="1" t="s">
        <v>511</v>
      </c>
      <c r="B1020">
        <v>76917553350</v>
      </c>
      <c r="C1020" t="s">
        <v>74</v>
      </c>
      <c r="D1020" t="s">
        <v>105</v>
      </c>
      <c r="E1020">
        <v>33846000000</v>
      </c>
      <c r="F1020">
        <v>-637000000</v>
      </c>
      <c r="G1020">
        <v>986000000</v>
      </c>
      <c r="H1020">
        <v>-884000000</v>
      </c>
      <c r="I1020">
        <v>-1537000000</v>
      </c>
      <c r="J1020">
        <v>-3401000000</v>
      </c>
      <c r="K1020">
        <v>4045000000</v>
      </c>
      <c r="L1020">
        <v>121000000</v>
      </c>
      <c r="M1020">
        <v>4166000000</v>
      </c>
      <c r="N1020">
        <v>9196000000</v>
      </c>
      <c r="O1020">
        <v>1562000000</v>
      </c>
      <c r="P1020">
        <v>193000000</v>
      </c>
      <c r="Q1020">
        <v>10886000000</v>
      </c>
      <c r="R1020">
        <v>8683000000</v>
      </c>
      <c r="S1020">
        <v>23779000000</v>
      </c>
      <c r="T1020">
        <v>0</v>
      </c>
      <c r="U1020">
        <v>1164000000</v>
      </c>
      <c r="V1020">
        <v>8672000000</v>
      </c>
      <c r="W1020">
        <v>83830553350</v>
      </c>
      <c r="X1020">
        <v>84994553350</v>
      </c>
      <c r="Y1020">
        <v>2.2725744061336641</v>
      </c>
      <c r="Z1020">
        <v>-120.74969128728419</v>
      </c>
      <c r="AA1020">
        <v>78.009688995943208</v>
      </c>
      <c r="AB1020">
        <v>-87.010806957013571</v>
      </c>
      <c r="AC1020">
        <v>-50.043951431359787</v>
      </c>
      <c r="AD1020">
        <v>-22.61615799764775</v>
      </c>
      <c r="AE1020">
        <v>-133.42944010989009</v>
      </c>
      <c r="AF1020">
        <v>-131.60212456828879</v>
      </c>
      <c r="AG1020">
        <v>-55.29899372153546</v>
      </c>
      <c r="AH1020">
        <v>-54.541674268054649</v>
      </c>
      <c r="AI1020">
        <v>86.201372565922924</v>
      </c>
      <c r="AJ1020">
        <v>-96.147684785067867</v>
      </c>
      <c r="AK1020">
        <v>85.020845182555774</v>
      </c>
      <c r="AL1020">
        <v>-94.830942703619911</v>
      </c>
      <c r="AM1020">
        <v>2.5112141272233059</v>
      </c>
      <c r="AN1020">
        <v>2.4768230618093718</v>
      </c>
    </row>
    <row r="1021" spans="1:40" x14ac:dyDescent="0.25">
      <c r="A1021" s="1" t="s">
        <v>510</v>
      </c>
      <c r="B1021">
        <v>77930959850</v>
      </c>
      <c r="C1021" t="s">
        <v>74</v>
      </c>
      <c r="D1021" t="s">
        <v>105</v>
      </c>
      <c r="E1021">
        <v>33846000000</v>
      </c>
      <c r="F1021">
        <v>-637000000</v>
      </c>
      <c r="G1021">
        <v>986000000</v>
      </c>
      <c r="H1021">
        <v>-884000000</v>
      </c>
      <c r="I1021">
        <v>-1537000000</v>
      </c>
      <c r="J1021">
        <v>-3401000000</v>
      </c>
      <c r="K1021">
        <v>4045000000</v>
      </c>
      <c r="L1021">
        <v>121000000</v>
      </c>
      <c r="M1021">
        <v>4166000000</v>
      </c>
      <c r="N1021">
        <v>9196000000</v>
      </c>
      <c r="O1021">
        <v>1562000000</v>
      </c>
      <c r="P1021">
        <v>193000000</v>
      </c>
      <c r="Q1021">
        <v>10886000000</v>
      </c>
      <c r="R1021">
        <v>8683000000</v>
      </c>
      <c r="S1021">
        <v>23779000000</v>
      </c>
      <c r="T1021">
        <v>0</v>
      </c>
      <c r="U1021">
        <v>1164000000</v>
      </c>
      <c r="V1021">
        <v>8672000000</v>
      </c>
      <c r="W1021">
        <v>84843959850</v>
      </c>
      <c r="X1021">
        <v>86007959850</v>
      </c>
      <c r="Y1021">
        <v>2.302516097914082</v>
      </c>
      <c r="Z1021">
        <v>-122.340596310832</v>
      </c>
      <c r="AA1021">
        <v>79.037484634888443</v>
      </c>
      <c r="AB1021">
        <v>-88.157194400452482</v>
      </c>
      <c r="AC1021">
        <v>-50.703292029928427</v>
      </c>
      <c r="AD1021">
        <v>-22.914131093795941</v>
      </c>
      <c r="AE1021">
        <v>-135.02034513343801</v>
      </c>
      <c r="AF1021">
        <v>-133.19302959183671</v>
      </c>
      <c r="AG1021">
        <v>-55.9583343201041</v>
      </c>
      <c r="AH1021">
        <v>-55.201014866623289</v>
      </c>
      <c r="AI1021">
        <v>87.229168204868159</v>
      </c>
      <c r="AJ1021">
        <v>-97.294072228506792</v>
      </c>
      <c r="AK1021">
        <v>86.04864082150101</v>
      </c>
      <c r="AL1021">
        <v>-95.977330147058822</v>
      </c>
      <c r="AM1021">
        <v>2.5411558190037229</v>
      </c>
      <c r="AN1021">
        <v>2.5067647535897888</v>
      </c>
    </row>
    <row r="1022" spans="1:40" x14ac:dyDescent="0.25">
      <c r="A1022" s="1" t="s">
        <v>509</v>
      </c>
      <c r="B1022">
        <v>76127096280</v>
      </c>
      <c r="C1022" t="s">
        <v>74</v>
      </c>
      <c r="D1022" t="s">
        <v>105</v>
      </c>
      <c r="E1022">
        <v>33846000000</v>
      </c>
      <c r="F1022">
        <v>-637000000</v>
      </c>
      <c r="G1022">
        <v>986000000</v>
      </c>
      <c r="H1022">
        <v>-884000000</v>
      </c>
      <c r="I1022">
        <v>-1537000000</v>
      </c>
      <c r="J1022">
        <v>-3401000000</v>
      </c>
      <c r="K1022">
        <v>4045000000</v>
      </c>
      <c r="L1022">
        <v>121000000</v>
      </c>
      <c r="M1022">
        <v>4166000000</v>
      </c>
      <c r="N1022">
        <v>9196000000</v>
      </c>
      <c r="O1022">
        <v>1562000000</v>
      </c>
      <c r="P1022">
        <v>193000000</v>
      </c>
      <c r="Q1022">
        <v>10886000000</v>
      </c>
      <c r="R1022">
        <v>8683000000</v>
      </c>
      <c r="S1022">
        <v>23779000000</v>
      </c>
      <c r="T1022">
        <v>0</v>
      </c>
      <c r="U1022">
        <v>1164000000</v>
      </c>
      <c r="V1022">
        <v>8672000000</v>
      </c>
      <c r="W1022">
        <v>83040096280</v>
      </c>
      <c r="X1022">
        <v>84204096280</v>
      </c>
      <c r="Y1022">
        <v>2.2492198865449389</v>
      </c>
      <c r="Z1022">
        <v>-119.5087853689168</v>
      </c>
      <c r="AA1022">
        <v>77.208008397565919</v>
      </c>
      <c r="AB1022">
        <v>-86.116624751131226</v>
      </c>
      <c r="AC1022">
        <v>-49.529665764476249</v>
      </c>
      <c r="AD1022">
        <v>-22.383738982652162</v>
      </c>
      <c r="AE1022">
        <v>-132.18853419152279</v>
      </c>
      <c r="AF1022">
        <v>-130.36121864992151</v>
      </c>
      <c r="AG1022">
        <v>-54.784708054651922</v>
      </c>
      <c r="AH1022">
        <v>-54.027388601171111</v>
      </c>
      <c r="AI1022">
        <v>85.399691967545635</v>
      </c>
      <c r="AJ1022">
        <v>-95.253502579185522</v>
      </c>
      <c r="AK1022">
        <v>84.2191645841785</v>
      </c>
      <c r="AL1022">
        <v>-93.936760497737552</v>
      </c>
      <c r="AM1022">
        <v>2.4878596076345798</v>
      </c>
      <c r="AN1022">
        <v>2.453468542220647</v>
      </c>
    </row>
    <row r="1023" spans="1:40" x14ac:dyDescent="0.25">
      <c r="A1023" s="1" t="s">
        <v>508</v>
      </c>
      <c r="B1023">
        <v>76877017090</v>
      </c>
      <c r="C1023" t="s">
        <v>74</v>
      </c>
      <c r="D1023" t="s">
        <v>105</v>
      </c>
      <c r="E1023">
        <v>33846000000</v>
      </c>
      <c r="F1023">
        <v>-637000000</v>
      </c>
      <c r="G1023">
        <v>986000000</v>
      </c>
      <c r="H1023">
        <v>-884000000</v>
      </c>
      <c r="I1023">
        <v>-1537000000</v>
      </c>
      <c r="J1023">
        <v>-3401000000</v>
      </c>
      <c r="K1023">
        <v>4045000000</v>
      </c>
      <c r="L1023">
        <v>121000000</v>
      </c>
      <c r="M1023">
        <v>4166000000</v>
      </c>
      <c r="N1023">
        <v>9196000000</v>
      </c>
      <c r="O1023">
        <v>1562000000</v>
      </c>
      <c r="P1023">
        <v>193000000</v>
      </c>
      <c r="Q1023">
        <v>10886000000</v>
      </c>
      <c r="R1023">
        <v>8683000000</v>
      </c>
      <c r="S1023">
        <v>23779000000</v>
      </c>
      <c r="T1023">
        <v>0</v>
      </c>
      <c r="U1023">
        <v>1164000000</v>
      </c>
      <c r="V1023">
        <v>8672000000</v>
      </c>
      <c r="W1023">
        <v>83790017090</v>
      </c>
      <c r="X1023">
        <v>84954017090</v>
      </c>
      <c r="Y1023">
        <v>2.2713767384624481</v>
      </c>
      <c r="Z1023">
        <v>-120.68605508634219</v>
      </c>
      <c r="AA1023">
        <v>77.968577170385402</v>
      </c>
      <c r="AB1023">
        <v>-86.964951459276023</v>
      </c>
      <c r="AC1023">
        <v>-50.017577807417048</v>
      </c>
      <c r="AD1023">
        <v>-22.604239073801821</v>
      </c>
      <c r="AE1023">
        <v>-133.36580390894821</v>
      </c>
      <c r="AF1023">
        <v>-131.5384883673469</v>
      </c>
      <c r="AG1023">
        <v>-55.272620097592707</v>
      </c>
      <c r="AH1023">
        <v>-54.515300644111903</v>
      </c>
      <c r="AI1023">
        <v>86.160260740365118</v>
      </c>
      <c r="AJ1023">
        <v>-96.101829287330318</v>
      </c>
      <c r="AK1023">
        <v>84.979733356997968</v>
      </c>
      <c r="AL1023">
        <v>-94.785087205882348</v>
      </c>
      <c r="AM1023">
        <v>2.5100164595520891</v>
      </c>
      <c r="AN1023">
        <v>2.475625394138155</v>
      </c>
    </row>
    <row r="1024" spans="1:40" x14ac:dyDescent="0.25">
      <c r="A1024" s="1" t="s">
        <v>507</v>
      </c>
      <c r="B1024">
        <v>77991764240</v>
      </c>
      <c r="C1024" t="s">
        <v>74</v>
      </c>
      <c r="D1024" t="s">
        <v>105</v>
      </c>
      <c r="E1024">
        <v>33846000000</v>
      </c>
      <c r="F1024">
        <v>-637000000</v>
      </c>
      <c r="G1024">
        <v>986000000</v>
      </c>
      <c r="H1024">
        <v>-884000000</v>
      </c>
      <c r="I1024">
        <v>-1537000000</v>
      </c>
      <c r="J1024">
        <v>-3401000000</v>
      </c>
      <c r="K1024">
        <v>4045000000</v>
      </c>
      <c r="L1024">
        <v>121000000</v>
      </c>
      <c r="M1024">
        <v>4166000000</v>
      </c>
      <c r="N1024">
        <v>9196000000</v>
      </c>
      <c r="O1024">
        <v>1562000000</v>
      </c>
      <c r="P1024">
        <v>193000000</v>
      </c>
      <c r="Q1024">
        <v>10886000000</v>
      </c>
      <c r="R1024">
        <v>8683000000</v>
      </c>
      <c r="S1024">
        <v>23779000000</v>
      </c>
      <c r="T1024">
        <v>0</v>
      </c>
      <c r="U1024">
        <v>1164000000</v>
      </c>
      <c r="V1024">
        <v>8672000000</v>
      </c>
      <c r="W1024">
        <v>84904764240</v>
      </c>
      <c r="X1024">
        <v>86068764240</v>
      </c>
      <c r="Y1024">
        <v>2.304312599420907</v>
      </c>
      <c r="Z1024">
        <v>-122.4360506122449</v>
      </c>
      <c r="AA1024">
        <v>79.099152373225152</v>
      </c>
      <c r="AB1024">
        <v>-88.225977647058826</v>
      </c>
      <c r="AC1024">
        <v>-50.742852465842553</v>
      </c>
      <c r="AD1024">
        <v>-22.932009479564829</v>
      </c>
      <c r="AE1024">
        <v>-135.11579943485091</v>
      </c>
      <c r="AF1024">
        <v>-133.28848389324961</v>
      </c>
      <c r="AG1024">
        <v>-55.997894756018219</v>
      </c>
      <c r="AH1024">
        <v>-55.240575302537408</v>
      </c>
      <c r="AI1024">
        <v>87.290835943204868</v>
      </c>
      <c r="AJ1024">
        <v>-97.362855475113122</v>
      </c>
      <c r="AK1024">
        <v>86.110308559837733</v>
      </c>
      <c r="AL1024">
        <v>-96.046113393665152</v>
      </c>
      <c r="AM1024">
        <v>2.542952320510548</v>
      </c>
      <c r="AN1024">
        <v>2.5085612550966139</v>
      </c>
    </row>
    <row r="1025" spans="1:40" x14ac:dyDescent="0.25">
      <c r="A1025" s="1" t="s">
        <v>506</v>
      </c>
      <c r="B1025">
        <v>80525280490</v>
      </c>
      <c r="C1025" t="s">
        <v>74</v>
      </c>
      <c r="D1025" t="s">
        <v>105</v>
      </c>
      <c r="E1025">
        <v>33846000000</v>
      </c>
      <c r="F1025">
        <v>-637000000</v>
      </c>
      <c r="G1025">
        <v>986000000</v>
      </c>
      <c r="H1025">
        <v>-884000000</v>
      </c>
      <c r="I1025">
        <v>-1537000000</v>
      </c>
      <c r="J1025">
        <v>-3401000000</v>
      </c>
      <c r="K1025">
        <v>4045000000</v>
      </c>
      <c r="L1025">
        <v>121000000</v>
      </c>
      <c r="M1025">
        <v>4166000000</v>
      </c>
      <c r="N1025">
        <v>9196000000</v>
      </c>
      <c r="O1025">
        <v>1562000000</v>
      </c>
      <c r="P1025">
        <v>193000000</v>
      </c>
      <c r="Q1025">
        <v>10886000000</v>
      </c>
      <c r="R1025">
        <v>8683000000</v>
      </c>
      <c r="S1025">
        <v>23779000000</v>
      </c>
      <c r="T1025">
        <v>0</v>
      </c>
      <c r="U1025">
        <v>1164000000</v>
      </c>
      <c r="V1025">
        <v>8672000000</v>
      </c>
      <c r="W1025">
        <v>87438280490</v>
      </c>
      <c r="X1025">
        <v>88602280490</v>
      </c>
      <c r="Y1025">
        <v>2.379166828871949</v>
      </c>
      <c r="Z1025">
        <v>-126.41331317111459</v>
      </c>
      <c r="AA1025">
        <v>81.668641470588241</v>
      </c>
      <c r="AB1025">
        <v>-91.091946255656111</v>
      </c>
      <c r="AC1025">
        <v>-52.39120396226415</v>
      </c>
      <c r="AD1025">
        <v>-23.676942219935309</v>
      </c>
      <c r="AE1025">
        <v>-139.0930619937206</v>
      </c>
      <c r="AF1025">
        <v>-137.26574645211929</v>
      </c>
      <c r="AG1025">
        <v>-57.646246252439823</v>
      </c>
      <c r="AH1025">
        <v>-56.888926798959012</v>
      </c>
      <c r="AI1025">
        <v>89.860325040567957</v>
      </c>
      <c r="AJ1025">
        <v>-100.22882408371041</v>
      </c>
      <c r="AK1025">
        <v>88.679797657200808</v>
      </c>
      <c r="AL1025">
        <v>-98.912082002262437</v>
      </c>
      <c r="AM1025">
        <v>2.6178065499615908</v>
      </c>
      <c r="AN1025">
        <v>2.5834154845476571</v>
      </c>
    </row>
    <row r="1026" spans="1:40" x14ac:dyDescent="0.25">
      <c r="A1026" s="1" t="s">
        <v>505</v>
      </c>
      <c r="B1026">
        <v>81923781460</v>
      </c>
      <c r="C1026" t="s">
        <v>74</v>
      </c>
      <c r="D1026" t="s">
        <v>105</v>
      </c>
      <c r="E1026">
        <v>33846000000</v>
      </c>
      <c r="F1026">
        <v>-637000000</v>
      </c>
      <c r="G1026">
        <v>986000000</v>
      </c>
      <c r="H1026">
        <v>-884000000</v>
      </c>
      <c r="I1026">
        <v>-1537000000</v>
      </c>
      <c r="J1026">
        <v>-3401000000</v>
      </c>
      <c r="K1026">
        <v>4045000000</v>
      </c>
      <c r="L1026">
        <v>121000000</v>
      </c>
      <c r="M1026">
        <v>4166000000</v>
      </c>
      <c r="N1026">
        <v>9196000000</v>
      </c>
      <c r="O1026">
        <v>1562000000</v>
      </c>
      <c r="P1026">
        <v>193000000</v>
      </c>
      <c r="Q1026">
        <v>10886000000</v>
      </c>
      <c r="R1026">
        <v>8683000000</v>
      </c>
      <c r="S1026">
        <v>23779000000</v>
      </c>
      <c r="T1026">
        <v>0</v>
      </c>
      <c r="U1026">
        <v>1164000000</v>
      </c>
      <c r="V1026">
        <v>8672000000</v>
      </c>
      <c r="W1026">
        <v>88836781460</v>
      </c>
      <c r="X1026">
        <v>90000781460</v>
      </c>
      <c r="Y1026">
        <v>2.4204863635289251</v>
      </c>
      <c r="Z1026">
        <v>-128.6087621036107</v>
      </c>
      <c r="AA1026">
        <v>83.086999452332662</v>
      </c>
      <c r="AB1026">
        <v>-92.673960927601811</v>
      </c>
      <c r="AC1026">
        <v>-53.301093988288883</v>
      </c>
      <c r="AD1026">
        <v>-24.088145092619818</v>
      </c>
      <c r="AE1026">
        <v>-141.28851092621659</v>
      </c>
      <c r="AF1026">
        <v>-139.46119538461539</v>
      </c>
      <c r="AG1026">
        <v>-58.556136278464542</v>
      </c>
      <c r="AH1026">
        <v>-57.798816824983732</v>
      </c>
      <c r="AI1026">
        <v>91.278683022312379</v>
      </c>
      <c r="AJ1026">
        <v>-101.81083875565611</v>
      </c>
      <c r="AK1026">
        <v>90.098155638945229</v>
      </c>
      <c r="AL1026">
        <v>-100.49409667420819</v>
      </c>
      <c r="AM1026">
        <v>2.659126084618566</v>
      </c>
      <c r="AN1026">
        <v>2.6247350192046328</v>
      </c>
    </row>
    <row r="1027" spans="1:40" x14ac:dyDescent="0.25">
      <c r="A1027" s="1" t="s">
        <v>504</v>
      </c>
      <c r="B1027">
        <v>81579223250</v>
      </c>
      <c r="C1027" t="s">
        <v>74</v>
      </c>
      <c r="D1027" t="s">
        <v>105</v>
      </c>
      <c r="E1027">
        <v>33846000000</v>
      </c>
      <c r="F1027">
        <v>-637000000</v>
      </c>
      <c r="G1027">
        <v>986000000</v>
      </c>
      <c r="H1027">
        <v>-884000000</v>
      </c>
      <c r="I1027">
        <v>-1537000000</v>
      </c>
      <c r="J1027">
        <v>-3401000000</v>
      </c>
      <c r="K1027">
        <v>4045000000</v>
      </c>
      <c r="L1027">
        <v>121000000</v>
      </c>
      <c r="M1027">
        <v>4166000000</v>
      </c>
      <c r="N1027">
        <v>9196000000</v>
      </c>
      <c r="O1027">
        <v>1562000000</v>
      </c>
      <c r="P1027">
        <v>193000000</v>
      </c>
      <c r="Q1027">
        <v>10886000000</v>
      </c>
      <c r="R1027">
        <v>8683000000</v>
      </c>
      <c r="S1027">
        <v>23779000000</v>
      </c>
      <c r="T1027">
        <v>0</v>
      </c>
      <c r="U1027">
        <v>1164000000</v>
      </c>
      <c r="V1027">
        <v>8672000000</v>
      </c>
      <c r="W1027">
        <v>88492223250</v>
      </c>
      <c r="X1027">
        <v>89656223250</v>
      </c>
      <c r="Y1027">
        <v>2.4103061883235828</v>
      </c>
      <c r="Z1027">
        <v>-128.0678543956044</v>
      </c>
      <c r="AA1027">
        <v>82.737548935091283</v>
      </c>
      <c r="AB1027">
        <v>-92.284189196832585</v>
      </c>
      <c r="AC1027">
        <v>-53.076918184775543</v>
      </c>
      <c r="AD1027">
        <v>-23.986834239929429</v>
      </c>
      <c r="AE1027">
        <v>-140.7476032182104</v>
      </c>
      <c r="AF1027">
        <v>-138.92028767660909</v>
      </c>
      <c r="AG1027">
        <v>-58.331960474951202</v>
      </c>
      <c r="AH1027">
        <v>-57.574641021470399</v>
      </c>
      <c r="AI1027">
        <v>90.929232505070999</v>
      </c>
      <c r="AJ1027">
        <v>-101.4210670248869</v>
      </c>
      <c r="AK1027">
        <v>89.74870512170385</v>
      </c>
      <c r="AL1027">
        <v>-100.1043249434389</v>
      </c>
      <c r="AM1027">
        <v>2.6489459094132251</v>
      </c>
      <c r="AN1027">
        <v>2.6145548439992909</v>
      </c>
    </row>
    <row r="1028" spans="1:40" x14ac:dyDescent="0.25">
      <c r="A1028" s="1" t="s">
        <v>503</v>
      </c>
      <c r="B1028">
        <v>79025438870</v>
      </c>
      <c r="C1028" t="s">
        <v>74</v>
      </c>
      <c r="D1028" t="s">
        <v>105</v>
      </c>
      <c r="E1028">
        <v>33846000000</v>
      </c>
      <c r="F1028">
        <v>-637000000</v>
      </c>
      <c r="G1028">
        <v>986000000</v>
      </c>
      <c r="H1028">
        <v>-884000000</v>
      </c>
      <c r="I1028">
        <v>-1537000000</v>
      </c>
      <c r="J1028">
        <v>-3401000000</v>
      </c>
      <c r="K1028">
        <v>4045000000</v>
      </c>
      <c r="L1028">
        <v>121000000</v>
      </c>
      <c r="M1028">
        <v>4166000000</v>
      </c>
      <c r="N1028">
        <v>9196000000</v>
      </c>
      <c r="O1028">
        <v>1562000000</v>
      </c>
      <c r="P1028">
        <v>193000000</v>
      </c>
      <c r="Q1028">
        <v>10886000000</v>
      </c>
      <c r="R1028">
        <v>8683000000</v>
      </c>
      <c r="S1028">
        <v>23779000000</v>
      </c>
      <c r="T1028">
        <v>0</v>
      </c>
      <c r="U1028">
        <v>1164000000</v>
      </c>
      <c r="V1028">
        <v>8672000000</v>
      </c>
      <c r="W1028">
        <v>85938438870</v>
      </c>
      <c r="X1028">
        <v>87102438870</v>
      </c>
      <c r="Y1028">
        <v>2.3348531250369322</v>
      </c>
      <c r="Z1028">
        <v>-124.0587737362637</v>
      </c>
      <c r="AA1028">
        <v>80.147503924949291</v>
      </c>
      <c r="AB1028">
        <v>-89.395292839366519</v>
      </c>
      <c r="AC1028">
        <v>-51.415379876382573</v>
      </c>
      <c r="AD1028">
        <v>-23.23594203763599</v>
      </c>
      <c r="AE1028">
        <v>-136.7385225588697</v>
      </c>
      <c r="AF1028">
        <v>-134.91120701726851</v>
      </c>
      <c r="AG1028">
        <v>-56.670422166558232</v>
      </c>
      <c r="AH1028">
        <v>-55.913102713077421</v>
      </c>
      <c r="AI1028">
        <v>88.339187494929007</v>
      </c>
      <c r="AJ1028">
        <v>-98.532170667420814</v>
      </c>
      <c r="AK1028">
        <v>87.158660111561872</v>
      </c>
      <c r="AL1028">
        <v>-97.215428585972845</v>
      </c>
      <c r="AM1028">
        <v>2.5734928461265731</v>
      </c>
      <c r="AN1028">
        <v>2.539101780712639</v>
      </c>
    </row>
    <row r="1029" spans="1:40" x14ac:dyDescent="0.25">
      <c r="A1029" s="1" t="s">
        <v>502</v>
      </c>
      <c r="B1029">
        <v>81599491380</v>
      </c>
      <c r="C1029" t="s">
        <v>74</v>
      </c>
      <c r="D1029" t="s">
        <v>105</v>
      </c>
      <c r="E1029">
        <v>33846000000</v>
      </c>
      <c r="F1029">
        <v>-637000000</v>
      </c>
      <c r="G1029">
        <v>986000000</v>
      </c>
      <c r="H1029">
        <v>-884000000</v>
      </c>
      <c r="I1029">
        <v>-1537000000</v>
      </c>
      <c r="J1029">
        <v>-3401000000</v>
      </c>
      <c r="K1029">
        <v>4045000000</v>
      </c>
      <c r="L1029">
        <v>121000000</v>
      </c>
      <c r="M1029">
        <v>4166000000</v>
      </c>
      <c r="N1029">
        <v>9196000000</v>
      </c>
      <c r="O1029">
        <v>1562000000</v>
      </c>
      <c r="P1029">
        <v>193000000</v>
      </c>
      <c r="Q1029">
        <v>10886000000</v>
      </c>
      <c r="R1029">
        <v>8683000000</v>
      </c>
      <c r="S1029">
        <v>23779000000</v>
      </c>
      <c r="T1029">
        <v>0</v>
      </c>
      <c r="U1029">
        <v>1164000000</v>
      </c>
      <c r="V1029">
        <v>8672000000</v>
      </c>
      <c r="W1029">
        <v>88512491380</v>
      </c>
      <c r="X1029">
        <v>89676491380</v>
      </c>
      <c r="Y1029">
        <v>2.410905022159191</v>
      </c>
      <c r="Z1029">
        <v>-128.09967249607541</v>
      </c>
      <c r="AA1029">
        <v>82.758104847870186</v>
      </c>
      <c r="AB1029">
        <v>-92.307116945701353</v>
      </c>
      <c r="AC1029">
        <v>-53.090104996746909</v>
      </c>
      <c r="AD1029">
        <v>-23.992793701852399</v>
      </c>
      <c r="AE1029">
        <v>-140.7794213186813</v>
      </c>
      <c r="AF1029">
        <v>-138.95210577707999</v>
      </c>
      <c r="AG1029">
        <v>-58.345147286922582</v>
      </c>
      <c r="AH1029">
        <v>-57.587827833441771</v>
      </c>
      <c r="AI1029">
        <v>90.949788417849902</v>
      </c>
      <c r="AJ1029">
        <v>-101.4439947737557</v>
      </c>
      <c r="AK1029">
        <v>89.769261034482753</v>
      </c>
      <c r="AL1029">
        <v>-100.12725269230771</v>
      </c>
      <c r="AM1029">
        <v>2.6495447432488328</v>
      </c>
      <c r="AN1029">
        <v>2.6151536778348992</v>
      </c>
    </row>
    <row r="1030" spans="1:40" x14ac:dyDescent="0.25">
      <c r="A1030" s="1" t="s">
        <v>501</v>
      </c>
      <c r="B1030">
        <v>83079064870</v>
      </c>
      <c r="C1030" t="s">
        <v>74</v>
      </c>
      <c r="D1030" t="s">
        <v>105</v>
      </c>
      <c r="E1030">
        <v>33846000000</v>
      </c>
      <c r="F1030">
        <v>-637000000</v>
      </c>
      <c r="G1030">
        <v>986000000</v>
      </c>
      <c r="H1030">
        <v>-884000000</v>
      </c>
      <c r="I1030">
        <v>-1537000000</v>
      </c>
      <c r="J1030">
        <v>-3401000000</v>
      </c>
      <c r="K1030">
        <v>4045000000</v>
      </c>
      <c r="L1030">
        <v>121000000</v>
      </c>
      <c r="M1030">
        <v>4166000000</v>
      </c>
      <c r="N1030">
        <v>9196000000</v>
      </c>
      <c r="O1030">
        <v>1562000000</v>
      </c>
      <c r="P1030">
        <v>193000000</v>
      </c>
      <c r="Q1030">
        <v>10886000000</v>
      </c>
      <c r="R1030">
        <v>8683000000</v>
      </c>
      <c r="S1030">
        <v>23779000000</v>
      </c>
      <c r="T1030">
        <v>0</v>
      </c>
      <c r="U1030">
        <v>1164000000</v>
      </c>
      <c r="V1030">
        <v>8672000000</v>
      </c>
      <c r="W1030">
        <v>89992064870</v>
      </c>
      <c r="X1030">
        <v>91156064870</v>
      </c>
      <c r="Y1030">
        <v>2.4546198921586009</v>
      </c>
      <c r="Z1030">
        <v>-130.42239383045529</v>
      </c>
      <c r="AA1030">
        <v>84.258686480730219</v>
      </c>
      <c r="AB1030">
        <v>-93.980842613122178</v>
      </c>
      <c r="AC1030">
        <v>-54.052742270657127</v>
      </c>
      <c r="AD1030">
        <v>-24.427834422228759</v>
      </c>
      <c r="AE1030">
        <v>-143.10214265306121</v>
      </c>
      <c r="AF1030">
        <v>-141.27482711146001</v>
      </c>
      <c r="AG1030">
        <v>-59.307784560832793</v>
      </c>
      <c r="AH1030">
        <v>-58.550465107351982</v>
      </c>
      <c r="AI1030">
        <v>92.450370050709935</v>
      </c>
      <c r="AJ1030">
        <v>-103.1177204411765</v>
      </c>
      <c r="AK1030">
        <v>91.2698426673428</v>
      </c>
      <c r="AL1030">
        <v>-101.8009783597285</v>
      </c>
      <c r="AM1030">
        <v>2.6932596132482418</v>
      </c>
      <c r="AN1030">
        <v>2.6588685478343081</v>
      </c>
    </row>
    <row r="1031" spans="1:40" x14ac:dyDescent="0.25">
      <c r="A1031" s="1" t="s">
        <v>500</v>
      </c>
      <c r="B1031">
        <v>84599174620</v>
      </c>
      <c r="C1031" t="s">
        <v>74</v>
      </c>
      <c r="D1031" t="s">
        <v>105</v>
      </c>
      <c r="E1031">
        <v>33846000000</v>
      </c>
      <c r="F1031">
        <v>-637000000</v>
      </c>
      <c r="G1031">
        <v>986000000</v>
      </c>
      <c r="H1031">
        <v>-884000000</v>
      </c>
      <c r="I1031">
        <v>-1537000000</v>
      </c>
      <c r="J1031">
        <v>-3401000000</v>
      </c>
      <c r="K1031">
        <v>4045000000</v>
      </c>
      <c r="L1031">
        <v>121000000</v>
      </c>
      <c r="M1031">
        <v>4166000000</v>
      </c>
      <c r="N1031">
        <v>9196000000</v>
      </c>
      <c r="O1031">
        <v>1562000000</v>
      </c>
      <c r="P1031">
        <v>193000000</v>
      </c>
      <c r="Q1031">
        <v>10886000000</v>
      </c>
      <c r="R1031">
        <v>8683000000</v>
      </c>
      <c r="S1031">
        <v>23779000000</v>
      </c>
      <c r="T1031">
        <v>0</v>
      </c>
      <c r="U1031">
        <v>1164000000</v>
      </c>
      <c r="V1031">
        <v>8672000000</v>
      </c>
      <c r="W1031">
        <v>91512174620</v>
      </c>
      <c r="X1031">
        <v>92676174620</v>
      </c>
      <c r="Y1031">
        <v>2.4995324298292259</v>
      </c>
      <c r="Z1031">
        <v>-132.80875136577711</v>
      </c>
      <c r="AA1031">
        <v>85.800379939148073</v>
      </c>
      <c r="AB1031">
        <v>-95.700423778280538</v>
      </c>
      <c r="AC1031">
        <v>-55.041753168510077</v>
      </c>
      <c r="AD1031">
        <v>-24.874794066451049</v>
      </c>
      <c r="AE1031">
        <v>-145.48850018838311</v>
      </c>
      <c r="AF1031">
        <v>-143.66118464678181</v>
      </c>
      <c r="AG1031">
        <v>-60.29679545868575</v>
      </c>
      <c r="AH1031">
        <v>-59.539476005204953</v>
      </c>
      <c r="AI1031">
        <v>93.992063509127789</v>
      </c>
      <c r="AJ1031">
        <v>-104.8373016063348</v>
      </c>
      <c r="AK1031">
        <v>92.811536125760654</v>
      </c>
      <c r="AL1031">
        <v>-103.52055952488691</v>
      </c>
      <c r="AM1031">
        <v>2.7381721509188681</v>
      </c>
      <c r="AN1031">
        <v>2.703781085504934</v>
      </c>
    </row>
    <row r="1032" spans="1:40" x14ac:dyDescent="0.25">
      <c r="A1032" s="1" t="s">
        <v>499</v>
      </c>
      <c r="B1032">
        <v>83930326330</v>
      </c>
      <c r="C1032" t="s">
        <v>74</v>
      </c>
      <c r="D1032" t="s">
        <v>105</v>
      </c>
      <c r="E1032">
        <v>33846000000</v>
      </c>
      <c r="F1032">
        <v>-637000000</v>
      </c>
      <c r="G1032">
        <v>986000000</v>
      </c>
      <c r="H1032">
        <v>-884000000</v>
      </c>
      <c r="I1032">
        <v>-1537000000</v>
      </c>
      <c r="J1032">
        <v>-3401000000</v>
      </c>
      <c r="K1032">
        <v>4045000000</v>
      </c>
      <c r="L1032">
        <v>121000000</v>
      </c>
      <c r="M1032">
        <v>4166000000</v>
      </c>
      <c r="N1032">
        <v>9196000000</v>
      </c>
      <c r="O1032">
        <v>1562000000</v>
      </c>
      <c r="P1032">
        <v>193000000</v>
      </c>
      <c r="Q1032">
        <v>10886000000</v>
      </c>
      <c r="R1032">
        <v>8683000000</v>
      </c>
      <c r="S1032">
        <v>23779000000</v>
      </c>
      <c r="T1032">
        <v>0</v>
      </c>
      <c r="U1032">
        <v>1164000000</v>
      </c>
      <c r="V1032">
        <v>8672000000</v>
      </c>
      <c r="W1032">
        <v>90843326330</v>
      </c>
      <c r="X1032">
        <v>92007326330</v>
      </c>
      <c r="Y1032">
        <v>2.4797709132541512</v>
      </c>
      <c r="Z1032">
        <v>-131.7587540502355</v>
      </c>
      <c r="AA1032">
        <v>85.122034817444217</v>
      </c>
      <c r="AB1032">
        <v>-94.943808065610867</v>
      </c>
      <c r="AC1032">
        <v>-54.606588373454777</v>
      </c>
      <c r="AD1032">
        <v>-24.67813182299324</v>
      </c>
      <c r="AE1032">
        <v>-144.43850287284141</v>
      </c>
      <c r="AF1032">
        <v>-142.61118733124019</v>
      </c>
      <c r="AG1032">
        <v>-59.86163066363045</v>
      </c>
      <c r="AH1032">
        <v>-59.104311210149639</v>
      </c>
      <c r="AI1032">
        <v>93.313718387423933</v>
      </c>
      <c r="AJ1032">
        <v>-104.0806858936652</v>
      </c>
      <c r="AK1032">
        <v>92.133191004056798</v>
      </c>
      <c r="AL1032">
        <v>-102.76394381221721</v>
      </c>
      <c r="AM1032">
        <v>2.718410634343793</v>
      </c>
      <c r="AN1032">
        <v>2.6840195689298589</v>
      </c>
    </row>
    <row r="1033" spans="1:40" x14ac:dyDescent="0.25">
      <c r="A1033" s="1" t="s">
        <v>498</v>
      </c>
      <c r="B1033">
        <v>83646572510</v>
      </c>
      <c r="C1033" t="s">
        <v>74</v>
      </c>
      <c r="D1033" t="s">
        <v>105</v>
      </c>
      <c r="E1033">
        <v>33846000000</v>
      </c>
      <c r="F1033">
        <v>-637000000</v>
      </c>
      <c r="G1033">
        <v>986000000</v>
      </c>
      <c r="H1033">
        <v>-884000000</v>
      </c>
      <c r="I1033">
        <v>-1537000000</v>
      </c>
      <c r="J1033">
        <v>-3401000000</v>
      </c>
      <c r="K1033">
        <v>4045000000</v>
      </c>
      <c r="L1033">
        <v>121000000</v>
      </c>
      <c r="M1033">
        <v>4166000000</v>
      </c>
      <c r="N1033">
        <v>9196000000</v>
      </c>
      <c r="O1033">
        <v>1562000000</v>
      </c>
      <c r="P1033">
        <v>193000000</v>
      </c>
      <c r="Q1033">
        <v>10886000000</v>
      </c>
      <c r="R1033">
        <v>8683000000</v>
      </c>
      <c r="S1033">
        <v>23779000000</v>
      </c>
      <c r="T1033">
        <v>0</v>
      </c>
      <c r="U1033">
        <v>1164000000</v>
      </c>
      <c r="V1033">
        <v>8672000000</v>
      </c>
      <c r="W1033">
        <v>90559572510</v>
      </c>
      <c r="X1033">
        <v>91723572510</v>
      </c>
      <c r="Y1033">
        <v>2.471387239555634</v>
      </c>
      <c r="Z1033">
        <v>-131.31330064364209</v>
      </c>
      <c r="AA1033">
        <v>84.83425203853956</v>
      </c>
      <c r="AB1033">
        <v>-94.62281958144797</v>
      </c>
      <c r="AC1033">
        <v>-54.421973005855563</v>
      </c>
      <c r="AD1033">
        <v>-24.59469935607174</v>
      </c>
      <c r="AE1033">
        <v>-143.99304946624801</v>
      </c>
      <c r="AF1033">
        <v>-142.16573392464679</v>
      </c>
      <c r="AG1033">
        <v>-59.677015296031229</v>
      </c>
      <c r="AH1033">
        <v>-58.919695842550418</v>
      </c>
      <c r="AI1033">
        <v>93.025935608519276</v>
      </c>
      <c r="AJ1033">
        <v>-103.75969740950229</v>
      </c>
      <c r="AK1033">
        <v>91.845408225152127</v>
      </c>
      <c r="AL1033">
        <v>-102.4429553280543</v>
      </c>
      <c r="AM1033">
        <v>2.7100269606452758</v>
      </c>
      <c r="AN1033">
        <v>2.6756358952313422</v>
      </c>
    </row>
    <row r="1034" spans="1:40" x14ac:dyDescent="0.25">
      <c r="A1034" s="1" t="s">
        <v>497</v>
      </c>
      <c r="B1034">
        <v>87882611680</v>
      </c>
      <c r="C1034" t="s">
        <v>74</v>
      </c>
      <c r="D1034" t="s">
        <v>105</v>
      </c>
      <c r="E1034">
        <v>33846000000</v>
      </c>
      <c r="F1034">
        <v>-637000000</v>
      </c>
      <c r="G1034">
        <v>986000000</v>
      </c>
      <c r="H1034">
        <v>-884000000</v>
      </c>
      <c r="I1034">
        <v>-1537000000</v>
      </c>
      <c r="J1034">
        <v>-3401000000</v>
      </c>
      <c r="K1034">
        <v>4045000000</v>
      </c>
      <c r="L1034">
        <v>121000000</v>
      </c>
      <c r="M1034">
        <v>4166000000</v>
      </c>
      <c r="N1034">
        <v>9196000000</v>
      </c>
      <c r="O1034">
        <v>1562000000</v>
      </c>
      <c r="P1034">
        <v>193000000</v>
      </c>
      <c r="Q1034">
        <v>10886000000</v>
      </c>
      <c r="R1034">
        <v>8683000000</v>
      </c>
      <c r="S1034">
        <v>23779000000</v>
      </c>
      <c r="T1034">
        <v>0</v>
      </c>
      <c r="U1034">
        <v>1164000000</v>
      </c>
      <c r="V1034">
        <v>8672000000</v>
      </c>
      <c r="W1034">
        <v>94795611680</v>
      </c>
      <c r="X1034">
        <v>95959611680</v>
      </c>
      <c r="Y1034">
        <v>2.5965435111977779</v>
      </c>
      <c r="Z1034">
        <v>-137.96328364207221</v>
      </c>
      <c r="AA1034">
        <v>89.13043780933063</v>
      </c>
      <c r="AB1034">
        <v>-99.414719095022619</v>
      </c>
      <c r="AC1034">
        <v>-57.17801670787248</v>
      </c>
      <c r="AD1034">
        <v>-25.840226897971181</v>
      </c>
      <c r="AE1034">
        <v>-150.64303246467821</v>
      </c>
      <c r="AF1034">
        <v>-148.81571692307691</v>
      </c>
      <c r="AG1034">
        <v>-62.433058998048153</v>
      </c>
      <c r="AH1034">
        <v>-61.675739544567342</v>
      </c>
      <c r="AI1034">
        <v>97.322121379310346</v>
      </c>
      <c r="AJ1034">
        <v>-108.5515969230769</v>
      </c>
      <c r="AK1034">
        <v>96.141593995943211</v>
      </c>
      <c r="AL1034">
        <v>-107.234854841629</v>
      </c>
      <c r="AM1034">
        <v>2.8351832322874189</v>
      </c>
      <c r="AN1034">
        <v>2.8007921668734861</v>
      </c>
    </row>
    <row r="1035" spans="1:40" x14ac:dyDescent="0.25">
      <c r="A1035" s="1" t="s">
        <v>496</v>
      </c>
      <c r="B1035">
        <v>88206901760</v>
      </c>
      <c r="C1035" t="s">
        <v>74</v>
      </c>
      <c r="D1035" t="s">
        <v>105</v>
      </c>
      <c r="E1035">
        <v>33846000000</v>
      </c>
      <c r="F1035">
        <v>-637000000</v>
      </c>
      <c r="G1035">
        <v>986000000</v>
      </c>
      <c r="H1035">
        <v>-884000000</v>
      </c>
      <c r="I1035">
        <v>-1537000000</v>
      </c>
      <c r="J1035">
        <v>-3401000000</v>
      </c>
      <c r="K1035">
        <v>4045000000</v>
      </c>
      <c r="L1035">
        <v>121000000</v>
      </c>
      <c r="M1035">
        <v>4166000000</v>
      </c>
      <c r="N1035">
        <v>9196000000</v>
      </c>
      <c r="O1035">
        <v>1562000000</v>
      </c>
      <c r="P1035">
        <v>193000000</v>
      </c>
      <c r="Q1035">
        <v>10886000000</v>
      </c>
      <c r="R1035">
        <v>8683000000</v>
      </c>
      <c r="S1035">
        <v>23779000000</v>
      </c>
      <c r="T1035">
        <v>0</v>
      </c>
      <c r="U1035">
        <v>1164000000</v>
      </c>
      <c r="V1035">
        <v>8672000000</v>
      </c>
      <c r="W1035">
        <v>95119901760</v>
      </c>
      <c r="X1035">
        <v>96283901760</v>
      </c>
      <c r="Y1035">
        <v>2.606124852567512</v>
      </c>
      <c r="Z1035">
        <v>-138.4723732496075</v>
      </c>
      <c r="AA1035">
        <v>89.459332413793106</v>
      </c>
      <c r="AB1035">
        <v>-99.781563076923078</v>
      </c>
      <c r="AC1035">
        <v>-57.38900569941444</v>
      </c>
      <c r="AD1035">
        <v>-25.935578288738611</v>
      </c>
      <c r="AE1035">
        <v>-151.1521220722135</v>
      </c>
      <c r="AF1035">
        <v>-149.32480653061219</v>
      </c>
      <c r="AG1035">
        <v>-62.644047989590113</v>
      </c>
      <c r="AH1035">
        <v>-61.886728536109302</v>
      </c>
      <c r="AI1035">
        <v>97.651015983772822</v>
      </c>
      <c r="AJ1035">
        <v>-108.9184409049774</v>
      </c>
      <c r="AK1035">
        <v>96.470488600405673</v>
      </c>
      <c r="AL1035">
        <v>-107.6016988235294</v>
      </c>
      <c r="AM1035">
        <v>2.844764573657153</v>
      </c>
      <c r="AN1035">
        <v>2.8103735082432189</v>
      </c>
    </row>
    <row r="1036" spans="1:40" x14ac:dyDescent="0.25">
      <c r="A1036" s="1" t="s">
        <v>495</v>
      </c>
      <c r="B1036">
        <v>85470704210</v>
      </c>
      <c r="C1036" t="s">
        <v>74</v>
      </c>
      <c r="D1036" t="s">
        <v>105</v>
      </c>
      <c r="E1036">
        <v>33846000000</v>
      </c>
      <c r="F1036">
        <v>-637000000</v>
      </c>
      <c r="G1036">
        <v>986000000</v>
      </c>
      <c r="H1036">
        <v>-884000000</v>
      </c>
      <c r="I1036">
        <v>-1537000000</v>
      </c>
      <c r="J1036">
        <v>-3401000000</v>
      </c>
      <c r="K1036">
        <v>4045000000</v>
      </c>
      <c r="L1036">
        <v>121000000</v>
      </c>
      <c r="M1036">
        <v>4166000000</v>
      </c>
      <c r="N1036">
        <v>9196000000</v>
      </c>
      <c r="O1036">
        <v>1562000000</v>
      </c>
      <c r="P1036">
        <v>193000000</v>
      </c>
      <c r="Q1036">
        <v>10886000000</v>
      </c>
      <c r="R1036">
        <v>8683000000</v>
      </c>
      <c r="S1036">
        <v>23779000000</v>
      </c>
      <c r="T1036">
        <v>0</v>
      </c>
      <c r="U1036">
        <v>1164000000</v>
      </c>
      <c r="V1036">
        <v>8672000000</v>
      </c>
      <c r="W1036">
        <v>92383704210</v>
      </c>
      <c r="X1036">
        <v>93547704210</v>
      </c>
      <c r="Y1036">
        <v>2.5252822847603849</v>
      </c>
      <c r="Z1036">
        <v>-134.17692968602819</v>
      </c>
      <c r="AA1036">
        <v>86.684284188640973</v>
      </c>
      <c r="AB1036">
        <v>-96.686316979638008</v>
      </c>
      <c r="AC1036">
        <v>-55.608786083279107</v>
      </c>
      <c r="AD1036">
        <v>-25.131050929138489</v>
      </c>
      <c r="AE1036">
        <v>-146.85667850863419</v>
      </c>
      <c r="AF1036">
        <v>-145.02936296703299</v>
      </c>
      <c r="AG1036">
        <v>-60.86382837345478</v>
      </c>
      <c r="AH1036">
        <v>-60.106508919973983</v>
      </c>
      <c r="AI1036">
        <v>94.875967758620689</v>
      </c>
      <c r="AJ1036">
        <v>-105.8231948076923</v>
      </c>
      <c r="AK1036">
        <v>93.695440375253554</v>
      </c>
      <c r="AL1036">
        <v>-104.50645272624431</v>
      </c>
      <c r="AM1036">
        <v>2.7639220058500271</v>
      </c>
      <c r="AN1036">
        <v>2.729530940436093</v>
      </c>
    </row>
    <row r="1037" spans="1:40" x14ac:dyDescent="0.25">
      <c r="A1037" s="1" t="s">
        <v>494</v>
      </c>
      <c r="B1037">
        <v>86463842580</v>
      </c>
      <c r="C1037" t="s">
        <v>74</v>
      </c>
      <c r="D1037" t="s">
        <v>105</v>
      </c>
      <c r="E1037">
        <v>33846000000</v>
      </c>
      <c r="F1037">
        <v>-637000000</v>
      </c>
      <c r="G1037">
        <v>986000000</v>
      </c>
      <c r="H1037">
        <v>-884000000</v>
      </c>
      <c r="I1037">
        <v>-1537000000</v>
      </c>
      <c r="J1037">
        <v>-3401000000</v>
      </c>
      <c r="K1037">
        <v>4045000000</v>
      </c>
      <c r="L1037">
        <v>121000000</v>
      </c>
      <c r="M1037">
        <v>4166000000</v>
      </c>
      <c r="N1037">
        <v>9196000000</v>
      </c>
      <c r="O1037">
        <v>1562000000</v>
      </c>
      <c r="P1037">
        <v>193000000</v>
      </c>
      <c r="Q1037">
        <v>10886000000</v>
      </c>
      <c r="R1037">
        <v>8683000000</v>
      </c>
      <c r="S1037">
        <v>23779000000</v>
      </c>
      <c r="T1037">
        <v>0</v>
      </c>
      <c r="U1037">
        <v>1164000000</v>
      </c>
      <c r="V1037">
        <v>8672000000</v>
      </c>
      <c r="W1037">
        <v>93376842580</v>
      </c>
      <c r="X1037">
        <v>94540842580</v>
      </c>
      <c r="Y1037">
        <v>2.554625142705194</v>
      </c>
      <c r="Z1037">
        <v>-135.73601660910521</v>
      </c>
      <c r="AA1037">
        <v>87.691523914807306</v>
      </c>
      <c r="AB1037">
        <v>-97.809776674208152</v>
      </c>
      <c r="AC1037">
        <v>-56.254939869876381</v>
      </c>
      <c r="AD1037">
        <v>-25.42306456336372</v>
      </c>
      <c r="AE1037">
        <v>-148.41576543171121</v>
      </c>
      <c r="AF1037">
        <v>-146.5884498901099</v>
      </c>
      <c r="AG1037">
        <v>-61.509982160052047</v>
      </c>
      <c r="AH1037">
        <v>-60.752662706571243</v>
      </c>
      <c r="AI1037">
        <v>95.883207484787022</v>
      </c>
      <c r="AJ1037">
        <v>-106.9466545022624</v>
      </c>
      <c r="AK1037">
        <v>94.702680101419872</v>
      </c>
      <c r="AL1037">
        <v>-105.62991242081451</v>
      </c>
      <c r="AM1037">
        <v>2.793264863794835</v>
      </c>
      <c r="AN1037">
        <v>2.7588737983809022</v>
      </c>
    </row>
    <row r="1038" spans="1:40" x14ac:dyDescent="0.25">
      <c r="A1038" s="1" t="s">
        <v>493</v>
      </c>
      <c r="B1038">
        <v>86767864530</v>
      </c>
      <c r="C1038" t="s">
        <v>74</v>
      </c>
      <c r="D1038" t="s">
        <v>105</v>
      </c>
      <c r="E1038">
        <v>33846000000</v>
      </c>
      <c r="F1038">
        <v>-637000000</v>
      </c>
      <c r="G1038">
        <v>986000000</v>
      </c>
      <c r="H1038">
        <v>-884000000</v>
      </c>
      <c r="I1038">
        <v>-1537000000</v>
      </c>
      <c r="J1038">
        <v>-3401000000</v>
      </c>
      <c r="K1038">
        <v>4045000000</v>
      </c>
      <c r="L1038">
        <v>121000000</v>
      </c>
      <c r="M1038">
        <v>4166000000</v>
      </c>
      <c r="N1038">
        <v>9196000000</v>
      </c>
      <c r="O1038">
        <v>1562000000</v>
      </c>
      <c r="P1038">
        <v>193000000</v>
      </c>
      <c r="Q1038">
        <v>10886000000</v>
      </c>
      <c r="R1038">
        <v>8683000000</v>
      </c>
      <c r="S1038">
        <v>23779000000</v>
      </c>
      <c r="T1038">
        <v>0</v>
      </c>
      <c r="U1038">
        <v>1164000000</v>
      </c>
      <c r="V1038">
        <v>8672000000</v>
      </c>
      <c r="W1038">
        <v>93680864530</v>
      </c>
      <c r="X1038">
        <v>94844864530</v>
      </c>
      <c r="Y1038">
        <v>2.563607650239319</v>
      </c>
      <c r="Z1038">
        <v>-136.21328811616951</v>
      </c>
      <c r="AA1038">
        <v>87.999862606490879</v>
      </c>
      <c r="AB1038">
        <v>-98.153692907239815</v>
      </c>
      <c r="AC1038">
        <v>-56.452742049446982</v>
      </c>
      <c r="AD1038">
        <v>-25.51245649220817</v>
      </c>
      <c r="AE1038">
        <v>-148.89303693877551</v>
      </c>
      <c r="AF1038">
        <v>-147.06572139717429</v>
      </c>
      <c r="AG1038">
        <v>-61.707784339622641</v>
      </c>
      <c r="AH1038">
        <v>-60.950464886141837</v>
      </c>
      <c r="AI1038">
        <v>96.191546176470595</v>
      </c>
      <c r="AJ1038">
        <v>-107.2905707352941</v>
      </c>
      <c r="AK1038">
        <v>95.011018793103446</v>
      </c>
      <c r="AL1038">
        <v>-105.9738286538462</v>
      </c>
      <c r="AM1038">
        <v>2.80224737132896</v>
      </c>
      <c r="AN1038">
        <v>2.7678563059150272</v>
      </c>
    </row>
    <row r="1039" spans="1:40" x14ac:dyDescent="0.25">
      <c r="A1039" s="1" t="s">
        <v>492</v>
      </c>
      <c r="B1039">
        <v>87842075420</v>
      </c>
      <c r="C1039" t="s">
        <v>74</v>
      </c>
      <c r="D1039" t="s">
        <v>105</v>
      </c>
      <c r="E1039">
        <v>33846000000</v>
      </c>
      <c r="F1039">
        <v>-637000000</v>
      </c>
      <c r="G1039">
        <v>986000000</v>
      </c>
      <c r="H1039">
        <v>-884000000</v>
      </c>
      <c r="I1039">
        <v>-1537000000</v>
      </c>
      <c r="J1039">
        <v>-3401000000</v>
      </c>
      <c r="K1039">
        <v>4045000000</v>
      </c>
      <c r="L1039">
        <v>121000000</v>
      </c>
      <c r="M1039">
        <v>4166000000</v>
      </c>
      <c r="N1039">
        <v>9196000000</v>
      </c>
      <c r="O1039">
        <v>1562000000</v>
      </c>
      <c r="P1039">
        <v>193000000</v>
      </c>
      <c r="Q1039">
        <v>10886000000</v>
      </c>
      <c r="R1039">
        <v>8683000000</v>
      </c>
      <c r="S1039">
        <v>23779000000</v>
      </c>
      <c r="T1039">
        <v>0</v>
      </c>
      <c r="U1039">
        <v>1164000000</v>
      </c>
      <c r="V1039">
        <v>8672000000</v>
      </c>
      <c r="W1039">
        <v>94755075420</v>
      </c>
      <c r="X1039">
        <v>95919075420</v>
      </c>
      <c r="Y1039">
        <v>2.5953458435265619</v>
      </c>
      <c r="Z1039">
        <v>-137.8996474411303</v>
      </c>
      <c r="AA1039">
        <v>89.089325983772824</v>
      </c>
      <c r="AB1039">
        <v>-99.36886359728507</v>
      </c>
      <c r="AC1039">
        <v>-57.151643083929727</v>
      </c>
      <c r="AD1039">
        <v>-25.828307974125259</v>
      </c>
      <c r="AE1039">
        <v>-150.5793962637363</v>
      </c>
      <c r="AF1039">
        <v>-148.75208072213499</v>
      </c>
      <c r="AG1039">
        <v>-62.4066853741054</v>
      </c>
      <c r="AH1039">
        <v>-61.649365920624597</v>
      </c>
      <c r="AI1039">
        <v>97.28100955375254</v>
      </c>
      <c r="AJ1039">
        <v>-108.50574142533939</v>
      </c>
      <c r="AK1039">
        <v>96.100482170385391</v>
      </c>
      <c r="AL1039">
        <v>-107.1889993438914</v>
      </c>
      <c r="AM1039">
        <v>2.8339855646162029</v>
      </c>
      <c r="AN1039">
        <v>2.7995944992022692</v>
      </c>
    </row>
    <row r="1040" spans="1:40" x14ac:dyDescent="0.25">
      <c r="A1040" s="1" t="s">
        <v>491</v>
      </c>
      <c r="B1040">
        <v>90031033460</v>
      </c>
      <c r="C1040" t="s">
        <v>74</v>
      </c>
      <c r="D1040" t="s">
        <v>105</v>
      </c>
      <c r="E1040">
        <v>33846000000</v>
      </c>
      <c r="F1040">
        <v>-637000000</v>
      </c>
      <c r="G1040">
        <v>986000000</v>
      </c>
      <c r="H1040">
        <v>-884000000</v>
      </c>
      <c r="I1040">
        <v>-1537000000</v>
      </c>
      <c r="J1040">
        <v>-3401000000</v>
      </c>
      <c r="K1040">
        <v>4045000000</v>
      </c>
      <c r="L1040">
        <v>121000000</v>
      </c>
      <c r="M1040">
        <v>4166000000</v>
      </c>
      <c r="N1040">
        <v>9196000000</v>
      </c>
      <c r="O1040">
        <v>1562000000</v>
      </c>
      <c r="P1040">
        <v>193000000</v>
      </c>
      <c r="Q1040">
        <v>10886000000</v>
      </c>
      <c r="R1040">
        <v>8683000000</v>
      </c>
      <c r="S1040">
        <v>23779000000</v>
      </c>
      <c r="T1040">
        <v>0</v>
      </c>
      <c r="U1040">
        <v>1164000000</v>
      </c>
      <c r="V1040">
        <v>8672000000</v>
      </c>
      <c r="W1040">
        <v>96944033460</v>
      </c>
      <c r="X1040">
        <v>98108033460</v>
      </c>
      <c r="Y1040">
        <v>2.660019897772262</v>
      </c>
      <c r="Z1040">
        <v>-141.33600229199371</v>
      </c>
      <c r="AA1040">
        <v>91.309364563894519</v>
      </c>
      <c r="AB1040">
        <v>-101.8450604751131</v>
      </c>
      <c r="AC1040">
        <v>-58.575818776837998</v>
      </c>
      <c r="AD1040">
        <v>-26.47192986180535</v>
      </c>
      <c r="AE1040">
        <v>-154.01575111459971</v>
      </c>
      <c r="AF1040">
        <v>-152.1884355729984</v>
      </c>
      <c r="AG1040">
        <v>-63.830861067013657</v>
      </c>
      <c r="AH1040">
        <v>-63.073541613532853</v>
      </c>
      <c r="AI1040">
        <v>99.501048133874235</v>
      </c>
      <c r="AJ1040">
        <v>-110.9819383031674</v>
      </c>
      <c r="AK1040">
        <v>98.3205207505071</v>
      </c>
      <c r="AL1040">
        <v>-109.6651962217195</v>
      </c>
      <c r="AM1040">
        <v>2.8986596188619038</v>
      </c>
      <c r="AN1040">
        <v>2.8642685534479702</v>
      </c>
    </row>
    <row r="1041" spans="1:40" x14ac:dyDescent="0.25">
      <c r="A1041" s="1" t="s">
        <v>490</v>
      </c>
      <c r="B1041">
        <v>88835213790</v>
      </c>
      <c r="C1041" t="s">
        <v>74</v>
      </c>
      <c r="D1041" t="s">
        <v>105</v>
      </c>
      <c r="E1041">
        <v>33846000000</v>
      </c>
      <c r="F1041">
        <v>-637000000</v>
      </c>
      <c r="G1041">
        <v>986000000</v>
      </c>
      <c r="H1041">
        <v>-884000000</v>
      </c>
      <c r="I1041">
        <v>-1537000000</v>
      </c>
      <c r="J1041">
        <v>-3401000000</v>
      </c>
      <c r="K1041">
        <v>4045000000</v>
      </c>
      <c r="L1041">
        <v>121000000</v>
      </c>
      <c r="M1041">
        <v>4166000000</v>
      </c>
      <c r="N1041">
        <v>9196000000</v>
      </c>
      <c r="O1041">
        <v>1562000000</v>
      </c>
      <c r="P1041">
        <v>193000000</v>
      </c>
      <c r="Q1041">
        <v>10886000000</v>
      </c>
      <c r="R1041">
        <v>8683000000</v>
      </c>
      <c r="S1041">
        <v>23779000000</v>
      </c>
      <c r="T1041">
        <v>0</v>
      </c>
      <c r="U1041">
        <v>1164000000</v>
      </c>
      <c r="V1041">
        <v>8672000000</v>
      </c>
      <c r="W1041">
        <v>95748213790</v>
      </c>
      <c r="X1041">
        <v>96912213790</v>
      </c>
      <c r="Y1041">
        <v>2.6246887014713698</v>
      </c>
      <c r="Z1041">
        <v>-139.4587343642072</v>
      </c>
      <c r="AA1041">
        <v>90.096565709939142</v>
      </c>
      <c r="AB1041">
        <v>-100.4923232918552</v>
      </c>
      <c r="AC1041">
        <v>-57.797796870527002</v>
      </c>
      <c r="AD1041">
        <v>-26.12032160835048</v>
      </c>
      <c r="AE1041">
        <v>-152.1384831868132</v>
      </c>
      <c r="AF1041">
        <v>-150.3111676452119</v>
      </c>
      <c r="AG1041">
        <v>-63.052839160702668</v>
      </c>
      <c r="AH1041">
        <v>-62.295519707221857</v>
      </c>
      <c r="AI1041">
        <v>98.288249279918858</v>
      </c>
      <c r="AJ1041">
        <v>-109.6292011199095</v>
      </c>
      <c r="AK1041">
        <v>97.107721896551723</v>
      </c>
      <c r="AL1041">
        <v>-108.3124590384615</v>
      </c>
      <c r="AM1041">
        <v>2.8633284225610121</v>
      </c>
      <c r="AN1041">
        <v>2.8289373571470779</v>
      </c>
    </row>
    <row r="1042" spans="1:40" x14ac:dyDescent="0.25">
      <c r="A1042" s="1" t="s">
        <v>489</v>
      </c>
      <c r="B1042">
        <v>89666207120</v>
      </c>
      <c r="C1042" t="s">
        <v>74</v>
      </c>
      <c r="D1042" t="s">
        <v>105</v>
      </c>
      <c r="E1042">
        <v>33846000000</v>
      </c>
      <c r="F1042">
        <v>-637000000</v>
      </c>
      <c r="G1042">
        <v>986000000</v>
      </c>
      <c r="H1042">
        <v>-884000000</v>
      </c>
      <c r="I1042">
        <v>-1537000000</v>
      </c>
      <c r="J1042">
        <v>-3401000000</v>
      </c>
      <c r="K1042">
        <v>4045000000</v>
      </c>
      <c r="L1042">
        <v>121000000</v>
      </c>
      <c r="M1042">
        <v>4166000000</v>
      </c>
      <c r="N1042">
        <v>9196000000</v>
      </c>
      <c r="O1042">
        <v>1562000000</v>
      </c>
      <c r="P1042">
        <v>193000000</v>
      </c>
      <c r="Q1042">
        <v>10886000000</v>
      </c>
      <c r="R1042">
        <v>8683000000</v>
      </c>
      <c r="S1042">
        <v>23779000000</v>
      </c>
      <c r="T1042">
        <v>0</v>
      </c>
      <c r="U1042">
        <v>1164000000</v>
      </c>
      <c r="V1042">
        <v>8672000000</v>
      </c>
      <c r="W1042">
        <v>96579207120</v>
      </c>
      <c r="X1042">
        <v>97743207120</v>
      </c>
      <c r="Y1042">
        <v>2.6492408887313119</v>
      </c>
      <c r="Z1042">
        <v>-140.76327648351651</v>
      </c>
      <c r="AA1042">
        <v>90.939358133874237</v>
      </c>
      <c r="AB1042">
        <v>-101.43236099547509</v>
      </c>
      <c r="AC1042">
        <v>-58.338456161353292</v>
      </c>
      <c r="AD1042">
        <v>-26.364659547192002</v>
      </c>
      <c r="AE1042">
        <v>-153.44302530612251</v>
      </c>
      <c r="AF1042">
        <v>-151.6157097645212</v>
      </c>
      <c r="AG1042">
        <v>-63.593498451528951</v>
      </c>
      <c r="AH1042">
        <v>-62.836178998048148</v>
      </c>
      <c r="AI1042">
        <v>99.131041703853953</v>
      </c>
      <c r="AJ1042">
        <v>-110.5692388235294</v>
      </c>
      <c r="AK1042">
        <v>97.950514320486818</v>
      </c>
      <c r="AL1042">
        <v>-109.25249674208141</v>
      </c>
      <c r="AM1042">
        <v>2.8878806098209542</v>
      </c>
      <c r="AN1042">
        <v>2.8534895444070201</v>
      </c>
    </row>
    <row r="1043" spans="1:40" x14ac:dyDescent="0.25">
      <c r="A1043" s="1" t="s">
        <v>488</v>
      </c>
      <c r="B1043">
        <v>86301697540</v>
      </c>
      <c r="C1043" t="s">
        <v>74</v>
      </c>
      <c r="D1043" t="s">
        <v>105</v>
      </c>
      <c r="E1043">
        <v>33846000000</v>
      </c>
      <c r="F1043">
        <v>-637000000</v>
      </c>
      <c r="G1043">
        <v>986000000</v>
      </c>
      <c r="H1043">
        <v>-884000000</v>
      </c>
      <c r="I1043">
        <v>-1537000000</v>
      </c>
      <c r="J1043">
        <v>-3401000000</v>
      </c>
      <c r="K1043">
        <v>4045000000</v>
      </c>
      <c r="L1043">
        <v>121000000</v>
      </c>
      <c r="M1043">
        <v>4166000000</v>
      </c>
      <c r="N1043">
        <v>9196000000</v>
      </c>
      <c r="O1043">
        <v>1562000000</v>
      </c>
      <c r="P1043">
        <v>193000000</v>
      </c>
      <c r="Q1043">
        <v>10886000000</v>
      </c>
      <c r="R1043">
        <v>8683000000</v>
      </c>
      <c r="S1043">
        <v>23779000000</v>
      </c>
      <c r="T1043">
        <v>0</v>
      </c>
      <c r="U1043">
        <v>1164000000</v>
      </c>
      <c r="V1043">
        <v>8672000000</v>
      </c>
      <c r="W1043">
        <v>93214697540</v>
      </c>
      <c r="X1043">
        <v>94378697540</v>
      </c>
      <c r="Y1043">
        <v>2.549834472020327</v>
      </c>
      <c r="Z1043">
        <v>-135.48147180533749</v>
      </c>
      <c r="AA1043">
        <v>87.527076612576067</v>
      </c>
      <c r="AB1043">
        <v>-97.626354683257915</v>
      </c>
      <c r="AC1043">
        <v>-56.149445374105397</v>
      </c>
      <c r="AD1043">
        <v>-25.375388867980011</v>
      </c>
      <c r="AE1043">
        <v>-148.16122062794349</v>
      </c>
      <c r="AF1043">
        <v>-146.33390508634221</v>
      </c>
      <c r="AG1043">
        <v>-61.404487664281064</v>
      </c>
      <c r="AH1043">
        <v>-60.64716821080026</v>
      </c>
      <c r="AI1043">
        <v>95.718760182555783</v>
      </c>
      <c r="AJ1043">
        <v>-106.7632325113122</v>
      </c>
      <c r="AK1043">
        <v>94.538232799188634</v>
      </c>
      <c r="AL1043">
        <v>-105.4464904298643</v>
      </c>
      <c r="AM1043">
        <v>2.7884741931099688</v>
      </c>
      <c r="AN1043">
        <v>2.7540831276960351</v>
      </c>
    </row>
    <row r="1044" spans="1:40" x14ac:dyDescent="0.25">
      <c r="A1044" s="1" t="s">
        <v>73</v>
      </c>
      <c r="B1044">
        <v>88269180960</v>
      </c>
      <c r="C1044" t="s">
        <v>74</v>
      </c>
      <c r="D1044" t="s">
        <v>105</v>
      </c>
      <c r="E1044">
        <v>33846000000</v>
      </c>
      <c r="F1044">
        <v>-637000000</v>
      </c>
      <c r="G1044">
        <v>986000000</v>
      </c>
      <c r="H1044">
        <v>-884000000</v>
      </c>
      <c r="I1044">
        <v>-1537000000</v>
      </c>
      <c r="J1044">
        <v>-3401000000</v>
      </c>
      <c r="K1044">
        <v>4045000000</v>
      </c>
      <c r="L1044">
        <v>121000000</v>
      </c>
      <c r="M1044">
        <v>4166000000</v>
      </c>
      <c r="N1044">
        <v>9196000000</v>
      </c>
      <c r="O1044">
        <v>1562000000</v>
      </c>
      <c r="P1044">
        <v>193000000</v>
      </c>
      <c r="Q1044">
        <v>10886000000</v>
      </c>
      <c r="R1044">
        <v>8683000000</v>
      </c>
      <c r="S1044">
        <v>23779000000</v>
      </c>
      <c r="T1044">
        <v>0</v>
      </c>
      <c r="U1044">
        <v>1164000000</v>
      </c>
      <c r="V1044">
        <v>8672000000</v>
      </c>
      <c r="W1044">
        <v>95182180960</v>
      </c>
      <c r="X1044">
        <v>96346180960</v>
      </c>
      <c r="Y1044">
        <v>2.6079649282042192</v>
      </c>
      <c r="Z1044">
        <v>-138.5701427943485</v>
      </c>
      <c r="AA1044">
        <v>89.522495902636919</v>
      </c>
      <c r="AB1044">
        <v>-99.852014660633486</v>
      </c>
      <c r="AC1044">
        <v>-57.429525673389719</v>
      </c>
      <c r="AD1044">
        <v>-25.95389031461335</v>
      </c>
      <c r="AE1044">
        <v>-151.2498916169545</v>
      </c>
      <c r="AF1044">
        <v>-149.42257607535319</v>
      </c>
      <c r="AG1044">
        <v>-62.684567963565392</v>
      </c>
      <c r="AH1044">
        <v>-61.927248510084581</v>
      </c>
      <c r="AI1044">
        <v>97.714179472616635</v>
      </c>
      <c r="AJ1044">
        <v>-108.9888924886878</v>
      </c>
      <c r="AK1044">
        <v>96.533652089249486</v>
      </c>
      <c r="AL1044">
        <v>-107.6721504072398</v>
      </c>
      <c r="AM1044">
        <v>2.846604649293861</v>
      </c>
      <c r="AN1044">
        <v>2.8122135838799269</v>
      </c>
    </row>
    <row r="1045" spans="1:40" x14ac:dyDescent="0.25">
      <c r="A1045" s="1" t="s">
        <v>487</v>
      </c>
      <c r="B1045">
        <v>88105605920</v>
      </c>
      <c r="C1045" t="s">
        <v>74</v>
      </c>
      <c r="D1045" t="s">
        <v>105</v>
      </c>
      <c r="E1045">
        <v>33846000000</v>
      </c>
      <c r="F1045">
        <v>-637000000</v>
      </c>
      <c r="G1045">
        <v>986000000</v>
      </c>
      <c r="H1045">
        <v>-884000000</v>
      </c>
      <c r="I1045">
        <v>-1537000000</v>
      </c>
      <c r="J1045">
        <v>-3401000000</v>
      </c>
      <c r="K1045">
        <v>4045000000</v>
      </c>
      <c r="L1045">
        <v>121000000</v>
      </c>
      <c r="M1045">
        <v>4166000000</v>
      </c>
      <c r="N1045">
        <v>9196000000</v>
      </c>
      <c r="O1045">
        <v>1562000000</v>
      </c>
      <c r="P1045">
        <v>193000000</v>
      </c>
      <c r="Q1045">
        <v>10886000000</v>
      </c>
      <c r="R1045">
        <v>8683000000</v>
      </c>
      <c r="S1045">
        <v>23779000000</v>
      </c>
      <c r="T1045">
        <v>0</v>
      </c>
      <c r="U1045">
        <v>1164000000</v>
      </c>
      <c r="V1045">
        <v>8672000000</v>
      </c>
      <c r="W1045">
        <v>95018605920</v>
      </c>
      <c r="X1045">
        <v>96182605920</v>
      </c>
      <c r="Y1045">
        <v>2.6031320073273059</v>
      </c>
      <c r="Z1045">
        <v>-138.3133530926217</v>
      </c>
      <c r="AA1045">
        <v>89.356598296146046</v>
      </c>
      <c r="AB1045">
        <v>-99.666975022624428</v>
      </c>
      <c r="AC1045">
        <v>-57.323100793754072</v>
      </c>
      <c r="AD1045">
        <v>-25.905794154660391</v>
      </c>
      <c r="AE1045">
        <v>-150.99310191522761</v>
      </c>
      <c r="AF1045">
        <v>-149.16578637362639</v>
      </c>
      <c r="AG1045">
        <v>-62.578143083929731</v>
      </c>
      <c r="AH1045">
        <v>-61.820823630448928</v>
      </c>
      <c r="AI1045">
        <v>97.548281866125762</v>
      </c>
      <c r="AJ1045">
        <v>-108.80385285067869</v>
      </c>
      <c r="AK1045">
        <v>96.367754482758627</v>
      </c>
      <c r="AL1045">
        <v>-107.4871107692308</v>
      </c>
      <c r="AM1045">
        <v>2.8417717284169468</v>
      </c>
      <c r="AN1045">
        <v>2.807380663003014</v>
      </c>
    </row>
    <row r="1046" spans="1:40" x14ac:dyDescent="0.25">
      <c r="A1046" s="1" t="s">
        <v>486</v>
      </c>
      <c r="B1046">
        <v>89271078080</v>
      </c>
      <c r="C1046" t="s">
        <v>74</v>
      </c>
      <c r="D1046" t="s">
        <v>105</v>
      </c>
      <c r="E1046">
        <v>33846000000</v>
      </c>
      <c r="F1046">
        <v>-637000000</v>
      </c>
      <c r="G1046">
        <v>986000000</v>
      </c>
      <c r="H1046">
        <v>-884000000</v>
      </c>
      <c r="I1046">
        <v>-1537000000</v>
      </c>
      <c r="J1046">
        <v>-3401000000</v>
      </c>
      <c r="K1046">
        <v>4045000000</v>
      </c>
      <c r="L1046">
        <v>121000000</v>
      </c>
      <c r="M1046">
        <v>4166000000</v>
      </c>
      <c r="N1046">
        <v>9196000000</v>
      </c>
      <c r="O1046">
        <v>1562000000</v>
      </c>
      <c r="P1046">
        <v>193000000</v>
      </c>
      <c r="Q1046">
        <v>10886000000</v>
      </c>
      <c r="R1046">
        <v>8683000000</v>
      </c>
      <c r="S1046">
        <v>23779000000</v>
      </c>
      <c r="T1046">
        <v>0</v>
      </c>
      <c r="U1046">
        <v>1164000000</v>
      </c>
      <c r="V1046">
        <v>8672000000</v>
      </c>
      <c r="W1046">
        <v>96184078080</v>
      </c>
      <c r="X1046">
        <v>97348078080</v>
      </c>
      <c r="Y1046">
        <v>2.6375665685753118</v>
      </c>
      <c r="Z1046">
        <v>-140.14297971742539</v>
      </c>
      <c r="AA1046">
        <v>90.53861874239351</v>
      </c>
      <c r="AB1046">
        <v>-100.98538244343889</v>
      </c>
      <c r="AC1046">
        <v>-58.081378061158098</v>
      </c>
      <c r="AD1046">
        <v>-26.2484792943252</v>
      </c>
      <c r="AE1046">
        <v>-152.82272854003139</v>
      </c>
      <c r="AF1046">
        <v>-150.99541299843011</v>
      </c>
      <c r="AG1046">
        <v>-63.336420351333757</v>
      </c>
      <c r="AH1046">
        <v>-62.57910089785296</v>
      </c>
      <c r="AI1046">
        <v>98.730302312373226</v>
      </c>
      <c r="AJ1046">
        <v>-110.1222602714932</v>
      </c>
      <c r="AK1046">
        <v>97.549774929006091</v>
      </c>
      <c r="AL1046">
        <v>-108.80551819004521</v>
      </c>
      <c r="AM1046">
        <v>2.8762062896649532</v>
      </c>
      <c r="AN1046">
        <v>2.84181522425102</v>
      </c>
    </row>
    <row r="1047" spans="1:40" x14ac:dyDescent="0.25">
      <c r="A1047" s="1" t="s">
        <v>485</v>
      </c>
      <c r="B1047">
        <v>86101811680</v>
      </c>
      <c r="C1047" t="s">
        <v>74</v>
      </c>
      <c r="D1047" t="s">
        <v>105</v>
      </c>
      <c r="E1047">
        <v>33846000000</v>
      </c>
      <c r="F1047">
        <v>-637000000</v>
      </c>
      <c r="G1047">
        <v>986000000</v>
      </c>
      <c r="H1047">
        <v>-884000000</v>
      </c>
      <c r="I1047">
        <v>-1537000000</v>
      </c>
      <c r="J1047">
        <v>-3401000000</v>
      </c>
      <c r="K1047">
        <v>4045000000</v>
      </c>
      <c r="L1047">
        <v>121000000</v>
      </c>
      <c r="M1047">
        <v>4166000000</v>
      </c>
      <c r="N1047">
        <v>9196000000</v>
      </c>
      <c r="O1047">
        <v>1562000000</v>
      </c>
      <c r="P1047">
        <v>193000000</v>
      </c>
      <c r="Q1047">
        <v>10886000000</v>
      </c>
      <c r="R1047">
        <v>8683000000</v>
      </c>
      <c r="S1047">
        <v>23779000000</v>
      </c>
      <c r="T1047">
        <v>0</v>
      </c>
      <c r="U1047">
        <v>1164000000</v>
      </c>
      <c r="V1047">
        <v>8672000000</v>
      </c>
      <c r="W1047">
        <v>93014811680</v>
      </c>
      <c r="X1047">
        <v>94178811680</v>
      </c>
      <c r="Y1047">
        <v>2.5439287265851211</v>
      </c>
      <c r="Z1047">
        <v>-135.1676792464678</v>
      </c>
      <c r="AA1047">
        <v>87.324352616632865</v>
      </c>
      <c r="AB1047">
        <v>-97.400239457013569</v>
      </c>
      <c r="AC1047">
        <v>-56.019396018217307</v>
      </c>
      <c r="AD1047">
        <v>-25.316616195236691</v>
      </c>
      <c r="AE1047">
        <v>-147.8474280690738</v>
      </c>
      <c r="AF1047">
        <v>-146.02011252747249</v>
      </c>
      <c r="AG1047">
        <v>-61.274438308392973</v>
      </c>
      <c r="AH1047">
        <v>-60.517118854912169</v>
      </c>
      <c r="AI1047">
        <v>95.516036186612581</v>
      </c>
      <c r="AJ1047">
        <v>-106.53711728506789</v>
      </c>
      <c r="AK1047">
        <v>94.335508803245432</v>
      </c>
      <c r="AL1047">
        <v>-105.22037520361989</v>
      </c>
      <c r="AM1047">
        <v>2.7825684476747621</v>
      </c>
      <c r="AN1047">
        <v>2.748177382260828</v>
      </c>
    </row>
    <row r="1048" spans="1:40" x14ac:dyDescent="0.25">
      <c r="A1048" s="1" t="s">
        <v>484</v>
      </c>
      <c r="B1048">
        <v>87737562080</v>
      </c>
      <c r="C1048" t="s">
        <v>74</v>
      </c>
      <c r="D1048" t="s">
        <v>105</v>
      </c>
      <c r="E1048">
        <v>33846000000</v>
      </c>
      <c r="F1048">
        <v>-637000000</v>
      </c>
      <c r="G1048">
        <v>986000000</v>
      </c>
      <c r="H1048">
        <v>-884000000</v>
      </c>
      <c r="I1048">
        <v>-1537000000</v>
      </c>
      <c r="J1048">
        <v>-3401000000</v>
      </c>
      <c r="K1048">
        <v>4045000000</v>
      </c>
      <c r="L1048">
        <v>121000000</v>
      </c>
      <c r="M1048">
        <v>4166000000</v>
      </c>
      <c r="N1048">
        <v>9196000000</v>
      </c>
      <c r="O1048">
        <v>1562000000</v>
      </c>
      <c r="P1048">
        <v>193000000</v>
      </c>
      <c r="Q1048">
        <v>10886000000</v>
      </c>
      <c r="R1048">
        <v>8683000000</v>
      </c>
      <c r="S1048">
        <v>23779000000</v>
      </c>
      <c r="T1048">
        <v>0</v>
      </c>
      <c r="U1048">
        <v>1164000000</v>
      </c>
      <c r="V1048">
        <v>8672000000</v>
      </c>
      <c r="W1048">
        <v>94650562080</v>
      </c>
      <c r="X1048">
        <v>95814562080</v>
      </c>
      <c r="Y1048">
        <v>2.592257935354251</v>
      </c>
      <c r="Z1048">
        <v>-137.73557626373631</v>
      </c>
      <c r="AA1048">
        <v>88.983328681541579</v>
      </c>
      <c r="AB1048">
        <v>-99.25063583710407</v>
      </c>
      <c r="AC1048">
        <v>-57.083644814573837</v>
      </c>
      <c r="AD1048">
        <v>-25.797577794766241</v>
      </c>
      <c r="AE1048">
        <v>-150.41532508634219</v>
      </c>
      <c r="AF1048">
        <v>-148.588009544741</v>
      </c>
      <c r="AG1048">
        <v>-62.338687104749511</v>
      </c>
      <c r="AH1048">
        <v>-61.581367651268707</v>
      </c>
      <c r="AI1048">
        <v>97.175012251521295</v>
      </c>
      <c r="AJ1048">
        <v>-108.38751366515839</v>
      </c>
      <c r="AK1048">
        <v>95.99448486815416</v>
      </c>
      <c r="AL1048">
        <v>-107.0707715837104</v>
      </c>
      <c r="AM1048">
        <v>2.8308976564438928</v>
      </c>
      <c r="AN1048">
        <v>2.7965065910299591</v>
      </c>
    </row>
    <row r="1049" spans="1:40" x14ac:dyDescent="0.25">
      <c r="A1049" s="1" t="s">
        <v>483</v>
      </c>
      <c r="B1049">
        <v>87471752640</v>
      </c>
      <c r="C1049" t="s">
        <v>74</v>
      </c>
      <c r="D1049" t="s">
        <v>105</v>
      </c>
      <c r="E1049">
        <v>33846000000</v>
      </c>
      <c r="F1049">
        <v>-637000000</v>
      </c>
      <c r="G1049">
        <v>986000000</v>
      </c>
      <c r="H1049">
        <v>-884000000</v>
      </c>
      <c r="I1049">
        <v>-1537000000</v>
      </c>
      <c r="J1049">
        <v>-3401000000</v>
      </c>
      <c r="K1049">
        <v>4045000000</v>
      </c>
      <c r="L1049">
        <v>121000000</v>
      </c>
      <c r="M1049">
        <v>4166000000</v>
      </c>
      <c r="N1049">
        <v>9196000000</v>
      </c>
      <c r="O1049">
        <v>1562000000</v>
      </c>
      <c r="P1049">
        <v>193000000</v>
      </c>
      <c r="Q1049">
        <v>10886000000</v>
      </c>
      <c r="R1049">
        <v>8683000000</v>
      </c>
      <c r="S1049">
        <v>23779000000</v>
      </c>
      <c r="T1049">
        <v>0</v>
      </c>
      <c r="U1049">
        <v>1164000000</v>
      </c>
      <c r="V1049">
        <v>8672000000</v>
      </c>
      <c r="W1049">
        <v>94384752640</v>
      </c>
      <c r="X1049">
        <v>95548752640</v>
      </c>
      <c r="Y1049">
        <v>2.5844044389292682</v>
      </c>
      <c r="Z1049">
        <v>-137.31829299843011</v>
      </c>
      <c r="AA1049">
        <v>88.713745070993909</v>
      </c>
      <c r="AB1049">
        <v>-98.949946425339363</v>
      </c>
      <c r="AC1049">
        <v>-56.910704385165907</v>
      </c>
      <c r="AD1049">
        <v>-25.719421534842692</v>
      </c>
      <c r="AE1049">
        <v>-149.99804182103611</v>
      </c>
      <c r="AF1049">
        <v>-148.17072627943489</v>
      </c>
      <c r="AG1049">
        <v>-62.165746675341573</v>
      </c>
      <c r="AH1049">
        <v>-61.408427221860769</v>
      </c>
      <c r="AI1049">
        <v>96.905428640973625</v>
      </c>
      <c r="AJ1049">
        <v>-108.0868242533937</v>
      </c>
      <c r="AK1049">
        <v>95.72490125760649</v>
      </c>
      <c r="AL1049">
        <v>-106.7700821719457</v>
      </c>
      <c r="AM1049">
        <v>2.8230441600189091</v>
      </c>
      <c r="AN1049">
        <v>2.788653094604975</v>
      </c>
    </row>
    <row r="1050" spans="1:40" x14ac:dyDescent="0.25">
      <c r="A1050" s="1" t="s">
        <v>482</v>
      </c>
      <c r="B1050">
        <v>90702359680</v>
      </c>
      <c r="C1050" t="s">
        <v>74</v>
      </c>
      <c r="D1050" t="s">
        <v>105</v>
      </c>
      <c r="E1050">
        <v>33846000000</v>
      </c>
      <c r="F1050">
        <v>-637000000</v>
      </c>
      <c r="G1050">
        <v>986000000</v>
      </c>
      <c r="H1050">
        <v>-884000000</v>
      </c>
      <c r="I1050">
        <v>-1537000000</v>
      </c>
      <c r="J1050">
        <v>-3401000000</v>
      </c>
      <c r="K1050">
        <v>4045000000</v>
      </c>
      <c r="L1050">
        <v>121000000</v>
      </c>
      <c r="M1050">
        <v>4166000000</v>
      </c>
      <c r="N1050">
        <v>9196000000</v>
      </c>
      <c r="O1050">
        <v>1562000000</v>
      </c>
      <c r="P1050">
        <v>193000000</v>
      </c>
      <c r="Q1050">
        <v>10886000000</v>
      </c>
      <c r="R1050">
        <v>8683000000</v>
      </c>
      <c r="S1050">
        <v>23779000000</v>
      </c>
      <c r="T1050">
        <v>0</v>
      </c>
      <c r="U1050">
        <v>1164000000</v>
      </c>
      <c r="V1050">
        <v>8672000000</v>
      </c>
      <c r="W1050">
        <v>97615359680</v>
      </c>
      <c r="X1050">
        <v>98779359680</v>
      </c>
      <c r="Y1050">
        <v>2.679854626248301</v>
      </c>
      <c r="Z1050">
        <v>-142.38988960753531</v>
      </c>
      <c r="AA1050">
        <v>91.990222799188643</v>
      </c>
      <c r="AB1050">
        <v>-102.6044792760181</v>
      </c>
      <c r="AC1050">
        <v>-59.012595757970068</v>
      </c>
      <c r="AD1050">
        <v>-26.669320693913551</v>
      </c>
      <c r="AE1050">
        <v>-155.06963843014131</v>
      </c>
      <c r="AF1050">
        <v>-153.24232288854</v>
      </c>
      <c r="AG1050">
        <v>-64.267638048145741</v>
      </c>
      <c r="AH1050">
        <v>-63.51031859466493</v>
      </c>
      <c r="AI1050">
        <v>100.1819063691684</v>
      </c>
      <c r="AJ1050">
        <v>-111.74135710407241</v>
      </c>
      <c r="AK1050">
        <v>99.00137898580121</v>
      </c>
      <c r="AL1050">
        <v>-110.42461502262439</v>
      </c>
      <c r="AM1050">
        <v>2.9184943473379419</v>
      </c>
      <c r="AN1050">
        <v>2.8841032819240091</v>
      </c>
    </row>
    <row r="1051" spans="1:40" x14ac:dyDescent="0.25">
      <c r="A1051" s="1" t="s">
        <v>481</v>
      </c>
      <c r="B1051">
        <v>91029509760</v>
      </c>
      <c r="C1051" t="s">
        <v>74</v>
      </c>
      <c r="D1051" t="s">
        <v>105</v>
      </c>
      <c r="E1051">
        <v>33846000000</v>
      </c>
      <c r="F1051">
        <v>-637000000</v>
      </c>
      <c r="G1051">
        <v>986000000</v>
      </c>
      <c r="H1051">
        <v>-884000000</v>
      </c>
      <c r="I1051">
        <v>-1537000000</v>
      </c>
      <c r="J1051">
        <v>-3401000000</v>
      </c>
      <c r="K1051">
        <v>4045000000</v>
      </c>
      <c r="L1051">
        <v>121000000</v>
      </c>
      <c r="M1051">
        <v>4166000000</v>
      </c>
      <c r="N1051">
        <v>9196000000</v>
      </c>
      <c r="O1051">
        <v>1562000000</v>
      </c>
      <c r="P1051">
        <v>193000000</v>
      </c>
      <c r="Q1051">
        <v>10886000000</v>
      </c>
      <c r="R1051">
        <v>8683000000</v>
      </c>
      <c r="S1051">
        <v>23779000000</v>
      </c>
      <c r="T1051">
        <v>0</v>
      </c>
      <c r="U1051">
        <v>1164000000</v>
      </c>
      <c r="V1051">
        <v>8672000000</v>
      </c>
      <c r="W1051">
        <v>97942509760</v>
      </c>
      <c r="X1051">
        <v>99106509760</v>
      </c>
      <c r="Y1051">
        <v>2.6895204680021272</v>
      </c>
      <c r="Z1051">
        <v>-142.903469010989</v>
      </c>
      <c r="AA1051">
        <v>92.322018012170389</v>
      </c>
      <c r="AB1051">
        <v>-102.9745585520362</v>
      </c>
      <c r="AC1051">
        <v>-59.225445517241383</v>
      </c>
      <c r="AD1051">
        <v>-26.765513013819469</v>
      </c>
      <c r="AE1051">
        <v>-155.583217833595</v>
      </c>
      <c r="AF1051">
        <v>-153.75590229199369</v>
      </c>
      <c r="AG1051">
        <v>-64.480487807417049</v>
      </c>
      <c r="AH1051">
        <v>-63.723168353936238</v>
      </c>
      <c r="AI1051">
        <v>100.51370158215011</v>
      </c>
      <c r="AJ1051">
        <v>-112.1114363800905</v>
      </c>
      <c r="AK1051">
        <v>99.333174198782956</v>
      </c>
      <c r="AL1051">
        <v>-110.7946942986425</v>
      </c>
      <c r="AM1051">
        <v>2.928160189091769</v>
      </c>
      <c r="AN1051">
        <v>2.8937691236778349</v>
      </c>
    </row>
    <row r="1052" spans="1:40" x14ac:dyDescent="0.25">
      <c r="A1052" s="1" t="s">
        <v>480</v>
      </c>
      <c r="B1052">
        <v>93319560320</v>
      </c>
      <c r="C1052" t="s">
        <v>74</v>
      </c>
      <c r="D1052" t="s">
        <v>105</v>
      </c>
      <c r="E1052">
        <v>33846000000</v>
      </c>
      <c r="F1052">
        <v>-637000000</v>
      </c>
      <c r="G1052">
        <v>986000000</v>
      </c>
      <c r="H1052">
        <v>-884000000</v>
      </c>
      <c r="I1052">
        <v>-1537000000</v>
      </c>
      <c r="J1052">
        <v>-3401000000</v>
      </c>
      <c r="K1052">
        <v>4045000000</v>
      </c>
      <c r="L1052">
        <v>121000000</v>
      </c>
      <c r="M1052">
        <v>4166000000</v>
      </c>
      <c r="N1052">
        <v>9196000000</v>
      </c>
      <c r="O1052">
        <v>1562000000</v>
      </c>
      <c r="P1052">
        <v>193000000</v>
      </c>
      <c r="Q1052">
        <v>10886000000</v>
      </c>
      <c r="R1052">
        <v>8683000000</v>
      </c>
      <c r="S1052">
        <v>23779000000</v>
      </c>
      <c r="T1052">
        <v>0</v>
      </c>
      <c r="U1052">
        <v>1164000000</v>
      </c>
      <c r="V1052">
        <v>8672000000</v>
      </c>
      <c r="W1052">
        <v>100232560320</v>
      </c>
      <c r="X1052">
        <v>101396560320</v>
      </c>
      <c r="Y1052">
        <v>2.7571813602789099</v>
      </c>
      <c r="Z1052">
        <v>-146.4985248351648</v>
      </c>
      <c r="AA1052">
        <v>94.644584503042594</v>
      </c>
      <c r="AB1052">
        <v>-105.56511348416289</v>
      </c>
      <c r="AC1052">
        <v>-60.715393832140528</v>
      </c>
      <c r="AD1052">
        <v>-27.438859253160839</v>
      </c>
      <c r="AE1052">
        <v>-159.1782736577708</v>
      </c>
      <c r="AF1052">
        <v>-157.35095811616961</v>
      </c>
      <c r="AG1052">
        <v>-65.970436122316201</v>
      </c>
      <c r="AH1052">
        <v>-65.213116668835397</v>
      </c>
      <c r="AI1052">
        <v>102.8362680730223</v>
      </c>
      <c r="AJ1052">
        <v>-114.7019913122172</v>
      </c>
      <c r="AK1052">
        <v>101.6557406896552</v>
      </c>
      <c r="AL1052">
        <v>-113.3852492307692</v>
      </c>
      <c r="AM1052">
        <v>2.9958210813685522</v>
      </c>
      <c r="AN1052">
        <v>2.9614300159546181</v>
      </c>
    </row>
    <row r="1053" spans="1:40" x14ac:dyDescent="0.25">
      <c r="A1053" s="1" t="s">
        <v>479</v>
      </c>
      <c r="B1053">
        <v>91499788000</v>
      </c>
      <c r="C1053" t="s">
        <v>74</v>
      </c>
      <c r="D1053" t="s">
        <v>105</v>
      </c>
      <c r="E1053">
        <v>33846000000</v>
      </c>
      <c r="F1053">
        <v>-637000000</v>
      </c>
      <c r="G1053">
        <v>986000000</v>
      </c>
      <c r="H1053">
        <v>-884000000</v>
      </c>
      <c r="I1053">
        <v>-1537000000</v>
      </c>
      <c r="J1053">
        <v>-3401000000</v>
      </c>
      <c r="K1053">
        <v>4045000000</v>
      </c>
      <c r="L1053">
        <v>121000000</v>
      </c>
      <c r="M1053">
        <v>4166000000</v>
      </c>
      <c r="N1053">
        <v>9196000000</v>
      </c>
      <c r="O1053">
        <v>1562000000</v>
      </c>
      <c r="P1053">
        <v>193000000</v>
      </c>
      <c r="Q1053">
        <v>10886000000</v>
      </c>
      <c r="R1053">
        <v>8683000000</v>
      </c>
      <c r="S1053">
        <v>23779000000</v>
      </c>
      <c r="T1053">
        <v>0</v>
      </c>
      <c r="U1053">
        <v>1164000000</v>
      </c>
      <c r="V1053">
        <v>8672000000</v>
      </c>
      <c r="W1053">
        <v>98412788000</v>
      </c>
      <c r="X1053">
        <v>99576788000</v>
      </c>
      <c r="Y1053">
        <v>2.703415115523252</v>
      </c>
      <c r="Z1053">
        <v>-143.6417394034537</v>
      </c>
      <c r="AA1053">
        <v>92.79897363083164</v>
      </c>
      <c r="AB1053">
        <v>-103.50654751131221</v>
      </c>
      <c r="AC1053">
        <v>-59.531417046193887</v>
      </c>
      <c r="AD1053">
        <v>-26.90378947368421</v>
      </c>
      <c r="AE1053">
        <v>-156.32148822605961</v>
      </c>
      <c r="AF1053">
        <v>-154.49417268445839</v>
      </c>
      <c r="AG1053">
        <v>-64.786459336369546</v>
      </c>
      <c r="AH1053">
        <v>-64.029139882888742</v>
      </c>
      <c r="AI1053">
        <v>100.9906572008114</v>
      </c>
      <c r="AJ1053">
        <v>-112.6434253393665</v>
      </c>
      <c r="AK1053">
        <v>99.810129817444221</v>
      </c>
      <c r="AL1053">
        <v>-111.3266832579185</v>
      </c>
      <c r="AM1053">
        <v>2.9420548366128938</v>
      </c>
      <c r="AN1053">
        <v>2.9076637711989601</v>
      </c>
    </row>
    <row r="1054" spans="1:40" x14ac:dyDescent="0.25">
      <c r="A1054" s="1" t="s">
        <v>478</v>
      </c>
      <c r="B1054">
        <v>93053750880</v>
      </c>
      <c r="C1054" t="s">
        <v>74</v>
      </c>
      <c r="D1054" t="s">
        <v>105</v>
      </c>
      <c r="E1054">
        <v>33846000000</v>
      </c>
      <c r="F1054">
        <v>-637000000</v>
      </c>
      <c r="G1054">
        <v>986000000</v>
      </c>
      <c r="H1054">
        <v>-884000000</v>
      </c>
      <c r="I1054">
        <v>-1537000000</v>
      </c>
      <c r="J1054">
        <v>-3401000000</v>
      </c>
      <c r="K1054">
        <v>4045000000</v>
      </c>
      <c r="L1054">
        <v>121000000</v>
      </c>
      <c r="M1054">
        <v>4166000000</v>
      </c>
      <c r="N1054">
        <v>9196000000</v>
      </c>
      <c r="O1054">
        <v>1562000000</v>
      </c>
      <c r="P1054">
        <v>193000000</v>
      </c>
      <c r="Q1054">
        <v>10886000000</v>
      </c>
      <c r="R1054">
        <v>8683000000</v>
      </c>
      <c r="S1054">
        <v>23779000000</v>
      </c>
      <c r="T1054">
        <v>0</v>
      </c>
      <c r="U1054">
        <v>1164000000</v>
      </c>
      <c r="V1054">
        <v>8672000000</v>
      </c>
      <c r="W1054">
        <v>99966750880</v>
      </c>
      <c r="X1054">
        <v>101130750880</v>
      </c>
      <c r="Y1054">
        <v>2.7493278638539271</v>
      </c>
      <c r="Z1054">
        <v>-146.08124156985869</v>
      </c>
      <c r="AA1054">
        <v>94.375000892494924</v>
      </c>
      <c r="AB1054">
        <v>-105.2644240723982</v>
      </c>
      <c r="AC1054">
        <v>-60.542453402732598</v>
      </c>
      <c r="AD1054">
        <v>-27.360702993237279</v>
      </c>
      <c r="AE1054">
        <v>-158.76099039246469</v>
      </c>
      <c r="AF1054">
        <v>-156.93367485086341</v>
      </c>
      <c r="AG1054">
        <v>-65.797495692908257</v>
      </c>
      <c r="AH1054">
        <v>-65.040176239427453</v>
      </c>
      <c r="AI1054">
        <v>102.5666844624746</v>
      </c>
      <c r="AJ1054">
        <v>-114.40130190045249</v>
      </c>
      <c r="AK1054">
        <v>101.38615707910751</v>
      </c>
      <c r="AL1054">
        <v>-113.0845598190045</v>
      </c>
      <c r="AM1054">
        <v>2.9879675849435681</v>
      </c>
      <c r="AN1054">
        <v>2.953576519529634</v>
      </c>
    </row>
    <row r="1055" spans="1:40" x14ac:dyDescent="0.25">
      <c r="A1055" s="1" t="s">
        <v>477</v>
      </c>
      <c r="B1055">
        <v>96938658080</v>
      </c>
      <c r="C1055" t="s">
        <v>74</v>
      </c>
      <c r="D1055" t="s">
        <v>105</v>
      </c>
      <c r="E1055">
        <v>33846000000</v>
      </c>
      <c r="F1055">
        <v>-637000000</v>
      </c>
      <c r="G1055">
        <v>986000000</v>
      </c>
      <c r="H1055">
        <v>-884000000</v>
      </c>
      <c r="I1055">
        <v>-1537000000</v>
      </c>
      <c r="J1055">
        <v>-3401000000</v>
      </c>
      <c r="K1055">
        <v>4045000000</v>
      </c>
      <c r="L1055">
        <v>121000000</v>
      </c>
      <c r="M1055">
        <v>4166000000</v>
      </c>
      <c r="N1055">
        <v>9196000000</v>
      </c>
      <c r="O1055">
        <v>1562000000</v>
      </c>
      <c r="P1055">
        <v>193000000</v>
      </c>
      <c r="Q1055">
        <v>10886000000</v>
      </c>
      <c r="R1055">
        <v>8683000000</v>
      </c>
      <c r="S1055">
        <v>23779000000</v>
      </c>
      <c r="T1055">
        <v>0</v>
      </c>
      <c r="U1055">
        <v>1164000000</v>
      </c>
      <c r="V1055">
        <v>8672000000</v>
      </c>
      <c r="W1055">
        <v>103851658080</v>
      </c>
      <c r="X1055">
        <v>105015658080</v>
      </c>
      <c r="Y1055">
        <v>2.8641097346806119</v>
      </c>
      <c r="Z1055">
        <v>-152.1799969858713</v>
      </c>
      <c r="AA1055">
        <v>98.31506904665315</v>
      </c>
      <c r="AB1055">
        <v>-109.6591154751131</v>
      </c>
      <c r="AC1055">
        <v>-63.070044294079374</v>
      </c>
      <c r="AD1055">
        <v>-28.50298679211997</v>
      </c>
      <c r="AE1055">
        <v>-164.85974580847719</v>
      </c>
      <c r="AF1055">
        <v>-163.03243026687599</v>
      </c>
      <c r="AG1055">
        <v>-68.325086584255047</v>
      </c>
      <c r="AH1055">
        <v>-67.567767130774229</v>
      </c>
      <c r="AI1055">
        <v>106.50675261663289</v>
      </c>
      <c r="AJ1055">
        <v>-118.79599330316741</v>
      </c>
      <c r="AK1055">
        <v>105.3262252332657</v>
      </c>
      <c r="AL1055">
        <v>-117.47925122171949</v>
      </c>
      <c r="AM1055">
        <v>3.1027494557702529</v>
      </c>
      <c r="AN1055">
        <v>3.0683583903563201</v>
      </c>
    </row>
    <row r="1056" spans="1:40" x14ac:dyDescent="0.25">
      <c r="A1056" s="1" t="s">
        <v>476</v>
      </c>
      <c r="B1056">
        <v>96345698560</v>
      </c>
      <c r="C1056" t="s">
        <v>74</v>
      </c>
      <c r="D1056" t="s">
        <v>105</v>
      </c>
      <c r="E1056">
        <v>33846000000</v>
      </c>
      <c r="F1056">
        <v>-637000000</v>
      </c>
      <c r="G1056">
        <v>986000000</v>
      </c>
      <c r="H1056">
        <v>-884000000</v>
      </c>
      <c r="I1056">
        <v>-1537000000</v>
      </c>
      <c r="J1056">
        <v>-3401000000</v>
      </c>
      <c r="K1056">
        <v>4045000000</v>
      </c>
      <c r="L1056">
        <v>121000000</v>
      </c>
      <c r="M1056">
        <v>4166000000</v>
      </c>
      <c r="N1056">
        <v>9196000000</v>
      </c>
      <c r="O1056">
        <v>1562000000</v>
      </c>
      <c r="P1056">
        <v>193000000</v>
      </c>
      <c r="Q1056">
        <v>10886000000</v>
      </c>
      <c r="R1056">
        <v>8683000000</v>
      </c>
      <c r="S1056">
        <v>23779000000</v>
      </c>
      <c r="T1056">
        <v>0</v>
      </c>
      <c r="U1056">
        <v>1164000000</v>
      </c>
      <c r="V1056">
        <v>8672000000</v>
      </c>
      <c r="W1056">
        <v>103258698560</v>
      </c>
      <c r="X1056">
        <v>104422698560</v>
      </c>
      <c r="Y1056">
        <v>2.846590396501802</v>
      </c>
      <c r="Z1056">
        <v>-151.2491343171115</v>
      </c>
      <c r="AA1056">
        <v>97.713690223123734</v>
      </c>
      <c r="AB1056">
        <v>-108.9883467873303</v>
      </c>
      <c r="AC1056">
        <v>-62.684254105400129</v>
      </c>
      <c r="AD1056">
        <v>-28.3286382122905</v>
      </c>
      <c r="AE1056">
        <v>-163.92888313971741</v>
      </c>
      <c r="AF1056">
        <v>-162.10156759811619</v>
      </c>
      <c r="AG1056">
        <v>-67.939296395575795</v>
      </c>
      <c r="AH1056">
        <v>-67.181976942094991</v>
      </c>
      <c r="AI1056">
        <v>105.90537379310349</v>
      </c>
      <c r="AJ1056">
        <v>-118.1252246153846</v>
      </c>
      <c r="AK1056">
        <v>104.7248464097363</v>
      </c>
      <c r="AL1056">
        <v>-116.8084825339367</v>
      </c>
      <c r="AM1056">
        <v>3.0852301175914429</v>
      </c>
      <c r="AN1056">
        <v>3.0508390521775102</v>
      </c>
    </row>
    <row r="1057" spans="1:40" x14ac:dyDescent="0.25">
      <c r="A1057" s="1" t="s">
        <v>475</v>
      </c>
      <c r="B1057">
        <v>95221120160</v>
      </c>
      <c r="C1057" t="s">
        <v>74</v>
      </c>
      <c r="D1057" t="s">
        <v>105</v>
      </c>
      <c r="E1057">
        <v>33846000000</v>
      </c>
      <c r="F1057">
        <v>-637000000</v>
      </c>
      <c r="G1057">
        <v>986000000</v>
      </c>
      <c r="H1057">
        <v>-884000000</v>
      </c>
      <c r="I1057">
        <v>-1537000000</v>
      </c>
      <c r="J1057">
        <v>-3401000000</v>
      </c>
      <c r="K1057">
        <v>4045000000</v>
      </c>
      <c r="L1057">
        <v>121000000</v>
      </c>
      <c r="M1057">
        <v>4166000000</v>
      </c>
      <c r="N1057">
        <v>9196000000</v>
      </c>
      <c r="O1057">
        <v>1562000000</v>
      </c>
      <c r="P1057">
        <v>193000000</v>
      </c>
      <c r="Q1057">
        <v>10886000000</v>
      </c>
      <c r="R1057">
        <v>8683000000</v>
      </c>
      <c r="S1057">
        <v>23779000000</v>
      </c>
      <c r="T1057">
        <v>0</v>
      </c>
      <c r="U1057">
        <v>1164000000</v>
      </c>
      <c r="V1057">
        <v>8672000000</v>
      </c>
      <c r="W1057">
        <v>102134120160</v>
      </c>
      <c r="X1057">
        <v>103298120160</v>
      </c>
      <c r="Y1057">
        <v>2.8133640654730252</v>
      </c>
      <c r="Z1057">
        <v>-149.48370511773939</v>
      </c>
      <c r="AA1057">
        <v>96.573144178498993</v>
      </c>
      <c r="AB1057">
        <v>-107.7161992760181</v>
      </c>
      <c r="AC1057">
        <v>-61.952583057905009</v>
      </c>
      <c r="AD1057">
        <v>-27.997977112613938</v>
      </c>
      <c r="AE1057">
        <v>-162.16345394034539</v>
      </c>
      <c r="AF1057">
        <v>-160.33613839874411</v>
      </c>
      <c r="AG1057">
        <v>-67.207625348080683</v>
      </c>
      <c r="AH1057">
        <v>-66.450305894599865</v>
      </c>
      <c r="AI1057">
        <v>104.76482774847869</v>
      </c>
      <c r="AJ1057">
        <v>-116.8530771040724</v>
      </c>
      <c r="AK1057">
        <v>103.5843003651116</v>
      </c>
      <c r="AL1057">
        <v>-115.5363350226244</v>
      </c>
      <c r="AM1057">
        <v>3.0520037865626661</v>
      </c>
      <c r="AN1057">
        <v>3.017612721148732</v>
      </c>
    </row>
    <row r="1058" spans="1:40" x14ac:dyDescent="0.25">
      <c r="A1058" s="1" t="s">
        <v>474</v>
      </c>
      <c r="B1058">
        <v>96570614240</v>
      </c>
      <c r="C1058" t="s">
        <v>74</v>
      </c>
      <c r="D1058" t="s">
        <v>105</v>
      </c>
      <c r="E1058">
        <v>33846000000</v>
      </c>
      <c r="F1058">
        <v>-637000000</v>
      </c>
      <c r="G1058">
        <v>986000000</v>
      </c>
      <c r="H1058">
        <v>-884000000</v>
      </c>
      <c r="I1058">
        <v>-1537000000</v>
      </c>
      <c r="J1058">
        <v>-3401000000</v>
      </c>
      <c r="K1058">
        <v>4045000000</v>
      </c>
      <c r="L1058">
        <v>121000000</v>
      </c>
      <c r="M1058">
        <v>4166000000</v>
      </c>
      <c r="N1058">
        <v>9196000000</v>
      </c>
      <c r="O1058">
        <v>1562000000</v>
      </c>
      <c r="P1058">
        <v>193000000</v>
      </c>
      <c r="Q1058">
        <v>10886000000</v>
      </c>
      <c r="R1058">
        <v>8683000000</v>
      </c>
      <c r="S1058">
        <v>23779000000</v>
      </c>
      <c r="T1058">
        <v>0</v>
      </c>
      <c r="U1058">
        <v>1164000000</v>
      </c>
      <c r="V1058">
        <v>8672000000</v>
      </c>
      <c r="W1058">
        <v>103483614240</v>
      </c>
      <c r="X1058">
        <v>104647614240</v>
      </c>
      <c r="Y1058">
        <v>2.8532356627075579</v>
      </c>
      <c r="Z1058">
        <v>-151.60222015698591</v>
      </c>
      <c r="AA1058">
        <v>97.941799432048683</v>
      </c>
      <c r="AB1058">
        <v>-109.2427762895928</v>
      </c>
      <c r="AC1058">
        <v>-62.830588314899153</v>
      </c>
      <c r="AD1058">
        <v>-28.394770432225819</v>
      </c>
      <c r="AE1058">
        <v>-164.2819689795918</v>
      </c>
      <c r="AF1058">
        <v>-162.4546534379906</v>
      </c>
      <c r="AG1058">
        <v>-68.085630605074826</v>
      </c>
      <c r="AH1058">
        <v>-67.328311151594008</v>
      </c>
      <c r="AI1058">
        <v>106.1334830020284</v>
      </c>
      <c r="AJ1058">
        <v>-118.37965411764711</v>
      </c>
      <c r="AK1058">
        <v>104.95295561866131</v>
      </c>
      <c r="AL1058">
        <v>-117.06291203619909</v>
      </c>
      <c r="AM1058">
        <v>3.0918753837971988</v>
      </c>
      <c r="AN1058">
        <v>3.0574843183832652</v>
      </c>
    </row>
    <row r="1059" spans="1:40" x14ac:dyDescent="0.25">
      <c r="A1059" s="1" t="s">
        <v>473</v>
      </c>
      <c r="B1059">
        <v>96754636160</v>
      </c>
      <c r="C1059" t="s">
        <v>74</v>
      </c>
      <c r="D1059" t="s">
        <v>105</v>
      </c>
      <c r="E1059">
        <v>33846000000</v>
      </c>
      <c r="F1059">
        <v>-637000000</v>
      </c>
      <c r="G1059">
        <v>986000000</v>
      </c>
      <c r="H1059">
        <v>-884000000</v>
      </c>
      <c r="I1059">
        <v>-1537000000</v>
      </c>
      <c r="J1059">
        <v>-3401000000</v>
      </c>
      <c r="K1059">
        <v>4045000000</v>
      </c>
      <c r="L1059">
        <v>121000000</v>
      </c>
      <c r="M1059">
        <v>4166000000</v>
      </c>
      <c r="N1059">
        <v>9196000000</v>
      </c>
      <c r="O1059">
        <v>1562000000</v>
      </c>
      <c r="P1059">
        <v>193000000</v>
      </c>
      <c r="Q1059">
        <v>10886000000</v>
      </c>
      <c r="R1059">
        <v>8683000000</v>
      </c>
      <c r="S1059">
        <v>23779000000</v>
      </c>
      <c r="T1059">
        <v>0</v>
      </c>
      <c r="U1059">
        <v>1164000000</v>
      </c>
      <c r="V1059">
        <v>8672000000</v>
      </c>
      <c r="W1059">
        <v>103667636160</v>
      </c>
      <c r="X1059">
        <v>104831636160</v>
      </c>
      <c r="Y1059">
        <v>2.8586726986940851</v>
      </c>
      <c r="Z1059">
        <v>-151.89110857142859</v>
      </c>
      <c r="AA1059">
        <v>98.128434239350909</v>
      </c>
      <c r="AB1059">
        <v>-109.4509458823529</v>
      </c>
      <c r="AC1059">
        <v>-62.950316304489263</v>
      </c>
      <c r="AD1059">
        <v>-28.448878612172891</v>
      </c>
      <c r="AE1059">
        <v>-164.5708573940345</v>
      </c>
      <c r="AF1059">
        <v>-162.74354185243331</v>
      </c>
      <c r="AG1059">
        <v>-68.205358594664929</v>
      </c>
      <c r="AH1059">
        <v>-67.448039141184125</v>
      </c>
      <c r="AI1059">
        <v>106.3201178093306</v>
      </c>
      <c r="AJ1059">
        <v>-118.58782371040721</v>
      </c>
      <c r="AK1059">
        <v>105.1395904259635</v>
      </c>
      <c r="AL1059">
        <v>-117.27108162895929</v>
      </c>
      <c r="AM1059">
        <v>3.097312419783727</v>
      </c>
      <c r="AN1059">
        <v>3.062921354369792</v>
      </c>
    </row>
    <row r="1060" spans="1:40" x14ac:dyDescent="0.25">
      <c r="A1060" s="1" t="s">
        <v>472</v>
      </c>
      <c r="B1060">
        <v>96447932960</v>
      </c>
      <c r="C1060" t="s">
        <v>74</v>
      </c>
      <c r="D1060" t="s">
        <v>105</v>
      </c>
      <c r="E1060">
        <v>33846000000</v>
      </c>
      <c r="F1060">
        <v>-637000000</v>
      </c>
      <c r="G1060">
        <v>986000000</v>
      </c>
      <c r="H1060">
        <v>-884000000</v>
      </c>
      <c r="I1060">
        <v>-1537000000</v>
      </c>
      <c r="J1060">
        <v>-3401000000</v>
      </c>
      <c r="K1060">
        <v>4045000000</v>
      </c>
      <c r="L1060">
        <v>121000000</v>
      </c>
      <c r="M1060">
        <v>4166000000</v>
      </c>
      <c r="N1060">
        <v>9196000000</v>
      </c>
      <c r="O1060">
        <v>1562000000</v>
      </c>
      <c r="P1060">
        <v>193000000</v>
      </c>
      <c r="Q1060">
        <v>10886000000</v>
      </c>
      <c r="R1060">
        <v>8683000000</v>
      </c>
      <c r="S1060">
        <v>23779000000</v>
      </c>
      <c r="T1060">
        <v>0</v>
      </c>
      <c r="U1060">
        <v>1164000000</v>
      </c>
      <c r="V1060">
        <v>8672000000</v>
      </c>
      <c r="W1060">
        <v>103360932960</v>
      </c>
      <c r="X1060">
        <v>104524932960</v>
      </c>
      <c r="Y1060">
        <v>2.8496109720498728</v>
      </c>
      <c r="Z1060">
        <v>-151.40962788069069</v>
      </c>
      <c r="AA1060">
        <v>97.817376227180532</v>
      </c>
      <c r="AB1060">
        <v>-109.10399656108601</v>
      </c>
      <c r="AC1060">
        <v>-62.750769655172412</v>
      </c>
      <c r="AD1060">
        <v>-28.358698312261101</v>
      </c>
      <c r="AE1060">
        <v>-164.08937670329669</v>
      </c>
      <c r="AF1060">
        <v>-162.26206116169541</v>
      </c>
      <c r="AG1060">
        <v>-68.005811945348086</v>
      </c>
      <c r="AH1060">
        <v>-67.248492491867268</v>
      </c>
      <c r="AI1060">
        <v>106.00905979716021</v>
      </c>
      <c r="AJ1060">
        <v>-118.2408743891403</v>
      </c>
      <c r="AK1060">
        <v>104.8285324137931</v>
      </c>
      <c r="AL1060">
        <v>-116.9241323076923</v>
      </c>
      <c r="AM1060">
        <v>3.0882506931395142</v>
      </c>
      <c r="AN1060">
        <v>3.0538596277255809</v>
      </c>
    </row>
    <row r="1061" spans="1:40" x14ac:dyDescent="0.25">
      <c r="A1061" s="1" t="s">
        <v>471</v>
      </c>
      <c r="B1061">
        <v>96734189280</v>
      </c>
      <c r="C1061" t="s">
        <v>74</v>
      </c>
      <c r="D1061" t="s">
        <v>105</v>
      </c>
      <c r="E1061">
        <v>33846000000</v>
      </c>
      <c r="F1061">
        <v>-637000000</v>
      </c>
      <c r="G1061">
        <v>986000000</v>
      </c>
      <c r="H1061">
        <v>-884000000</v>
      </c>
      <c r="I1061">
        <v>-1537000000</v>
      </c>
      <c r="J1061">
        <v>-3401000000</v>
      </c>
      <c r="K1061">
        <v>4045000000</v>
      </c>
      <c r="L1061">
        <v>121000000</v>
      </c>
      <c r="M1061">
        <v>4166000000</v>
      </c>
      <c r="N1061">
        <v>9196000000</v>
      </c>
      <c r="O1061">
        <v>1562000000</v>
      </c>
      <c r="P1061">
        <v>193000000</v>
      </c>
      <c r="Q1061">
        <v>10886000000</v>
      </c>
      <c r="R1061">
        <v>8683000000</v>
      </c>
      <c r="S1061">
        <v>23779000000</v>
      </c>
      <c r="T1061">
        <v>0</v>
      </c>
      <c r="U1061">
        <v>1164000000</v>
      </c>
      <c r="V1061">
        <v>8672000000</v>
      </c>
      <c r="W1061">
        <v>103647189280</v>
      </c>
      <c r="X1061">
        <v>104811189280</v>
      </c>
      <c r="Y1061">
        <v>2.8580685835844708</v>
      </c>
      <c r="Z1061">
        <v>-151.85900985871271</v>
      </c>
      <c r="AA1061">
        <v>98.107697038539555</v>
      </c>
      <c r="AB1061">
        <v>-109.4278159276018</v>
      </c>
      <c r="AC1061">
        <v>-62.937013194534813</v>
      </c>
      <c r="AD1061">
        <v>-28.44286659217877</v>
      </c>
      <c r="AE1061">
        <v>-164.53875868131871</v>
      </c>
      <c r="AF1061">
        <v>-162.7114431397174</v>
      </c>
      <c r="AG1061">
        <v>-68.19205548471048</v>
      </c>
      <c r="AH1061">
        <v>-67.434736031229662</v>
      </c>
      <c r="AI1061">
        <v>106.2993806085193</v>
      </c>
      <c r="AJ1061">
        <v>-118.56469375565609</v>
      </c>
      <c r="AK1061">
        <v>105.11885322515209</v>
      </c>
      <c r="AL1061">
        <v>-117.2479516742081</v>
      </c>
      <c r="AM1061">
        <v>3.0967083046741122</v>
      </c>
      <c r="AN1061">
        <v>3.062317239260179</v>
      </c>
    </row>
    <row r="1062" spans="1:40" x14ac:dyDescent="0.25">
      <c r="A1062" s="1" t="s">
        <v>470</v>
      </c>
      <c r="B1062">
        <v>95302907680</v>
      </c>
      <c r="C1062" t="s">
        <v>74</v>
      </c>
      <c r="D1062" t="s">
        <v>105</v>
      </c>
      <c r="E1062">
        <v>33846000000</v>
      </c>
      <c r="F1062">
        <v>-637000000</v>
      </c>
      <c r="G1062">
        <v>986000000</v>
      </c>
      <c r="H1062">
        <v>-884000000</v>
      </c>
      <c r="I1062">
        <v>-1537000000</v>
      </c>
      <c r="J1062">
        <v>-3401000000</v>
      </c>
      <c r="K1062">
        <v>4045000000</v>
      </c>
      <c r="L1062">
        <v>121000000</v>
      </c>
      <c r="M1062">
        <v>4166000000</v>
      </c>
      <c r="N1062">
        <v>9196000000</v>
      </c>
      <c r="O1062">
        <v>1562000000</v>
      </c>
      <c r="P1062">
        <v>193000000</v>
      </c>
      <c r="Q1062">
        <v>10886000000</v>
      </c>
      <c r="R1062">
        <v>8683000000</v>
      </c>
      <c r="S1062">
        <v>23779000000</v>
      </c>
      <c r="T1062">
        <v>0</v>
      </c>
      <c r="U1062">
        <v>1164000000</v>
      </c>
      <c r="V1062">
        <v>8672000000</v>
      </c>
      <c r="W1062">
        <v>102215907680</v>
      </c>
      <c r="X1062">
        <v>103379907680</v>
      </c>
      <c r="Y1062">
        <v>2.8157805259114812</v>
      </c>
      <c r="Z1062">
        <v>-149.61209996860279</v>
      </c>
      <c r="AA1062">
        <v>96.656092981744422</v>
      </c>
      <c r="AB1062">
        <v>-107.8087190950226</v>
      </c>
      <c r="AC1062">
        <v>-62.005795497722843</v>
      </c>
      <c r="AD1062">
        <v>-28.022025192590419</v>
      </c>
      <c r="AE1062">
        <v>-162.29184879120879</v>
      </c>
      <c r="AF1062">
        <v>-160.46453324960751</v>
      </c>
      <c r="AG1062">
        <v>-67.26083778789851</v>
      </c>
      <c r="AH1062">
        <v>-66.503518334417691</v>
      </c>
      <c r="AI1062">
        <v>104.8477765517241</v>
      </c>
      <c r="AJ1062">
        <v>-116.94559692307691</v>
      </c>
      <c r="AK1062">
        <v>103.667249168357</v>
      </c>
      <c r="AL1062">
        <v>-115.62885484162901</v>
      </c>
      <c r="AM1062">
        <v>3.054420247001123</v>
      </c>
      <c r="AN1062">
        <v>3.0200291815871889</v>
      </c>
    </row>
    <row r="1063" spans="1:40" x14ac:dyDescent="0.25">
      <c r="A1063" s="1" t="s">
        <v>469</v>
      </c>
      <c r="B1063">
        <v>98431280320</v>
      </c>
      <c r="C1063" t="s">
        <v>74</v>
      </c>
      <c r="D1063" t="s">
        <v>105</v>
      </c>
      <c r="E1063">
        <v>33846000000</v>
      </c>
      <c r="F1063">
        <v>-637000000</v>
      </c>
      <c r="G1063">
        <v>986000000</v>
      </c>
      <c r="H1063">
        <v>-884000000</v>
      </c>
      <c r="I1063">
        <v>-1537000000</v>
      </c>
      <c r="J1063">
        <v>-3401000000</v>
      </c>
      <c r="K1063">
        <v>4045000000</v>
      </c>
      <c r="L1063">
        <v>121000000</v>
      </c>
      <c r="M1063">
        <v>4166000000</v>
      </c>
      <c r="N1063">
        <v>9196000000</v>
      </c>
      <c r="O1063">
        <v>1562000000</v>
      </c>
      <c r="P1063">
        <v>193000000</v>
      </c>
      <c r="Q1063">
        <v>10886000000</v>
      </c>
      <c r="R1063">
        <v>8683000000</v>
      </c>
      <c r="S1063">
        <v>23779000000</v>
      </c>
      <c r="T1063">
        <v>0</v>
      </c>
      <c r="U1063">
        <v>1164000000</v>
      </c>
      <c r="V1063">
        <v>8672000000</v>
      </c>
      <c r="W1063">
        <v>105344280320</v>
      </c>
      <c r="X1063">
        <v>106508280320</v>
      </c>
      <c r="Y1063">
        <v>2.9082101376824441</v>
      </c>
      <c r="Z1063">
        <v>-154.52320301412871</v>
      </c>
      <c r="AA1063">
        <v>99.828884705882359</v>
      </c>
      <c r="AB1063">
        <v>-111.3476021719457</v>
      </c>
      <c r="AC1063">
        <v>-64.041171320754714</v>
      </c>
      <c r="AD1063">
        <v>-28.941864251690681</v>
      </c>
      <c r="AE1063">
        <v>-167.20295183673471</v>
      </c>
      <c r="AF1063">
        <v>-165.3756362951334</v>
      </c>
      <c r="AG1063">
        <v>-69.29621361093038</v>
      </c>
      <c r="AH1063">
        <v>-68.538894157449576</v>
      </c>
      <c r="AI1063">
        <v>108.0205682758621</v>
      </c>
      <c r="AJ1063">
        <v>-120.48448</v>
      </c>
      <c r="AK1063">
        <v>106.8400408924949</v>
      </c>
      <c r="AL1063">
        <v>-119.16773791855201</v>
      </c>
      <c r="AM1063">
        <v>3.146849858772085</v>
      </c>
      <c r="AN1063">
        <v>3.1124587933581518</v>
      </c>
    </row>
    <row r="1064" spans="1:40" x14ac:dyDescent="0.25">
      <c r="A1064" s="1" t="s">
        <v>468</v>
      </c>
      <c r="B1064">
        <v>101130268480</v>
      </c>
      <c r="C1064" t="s">
        <v>74</v>
      </c>
      <c r="D1064" t="s">
        <v>105</v>
      </c>
      <c r="E1064">
        <v>33846000000</v>
      </c>
      <c r="F1064">
        <v>-637000000</v>
      </c>
      <c r="G1064">
        <v>986000000</v>
      </c>
      <c r="H1064">
        <v>-884000000</v>
      </c>
      <c r="I1064">
        <v>-1537000000</v>
      </c>
      <c r="J1064">
        <v>-3401000000</v>
      </c>
      <c r="K1064">
        <v>4045000000</v>
      </c>
      <c r="L1064">
        <v>121000000</v>
      </c>
      <c r="M1064">
        <v>4166000000</v>
      </c>
      <c r="N1064">
        <v>9196000000</v>
      </c>
      <c r="O1064">
        <v>1562000000</v>
      </c>
      <c r="P1064">
        <v>193000000</v>
      </c>
      <c r="Q1064">
        <v>10886000000</v>
      </c>
      <c r="R1064">
        <v>8683000000</v>
      </c>
      <c r="S1064">
        <v>23779000000</v>
      </c>
      <c r="T1064">
        <v>0</v>
      </c>
      <c r="U1064">
        <v>1164000000</v>
      </c>
      <c r="V1064">
        <v>8672000000</v>
      </c>
      <c r="W1064">
        <v>108043268480</v>
      </c>
      <c r="X1064">
        <v>109207268480</v>
      </c>
      <c r="Y1064">
        <v>2.9879533321515099</v>
      </c>
      <c r="Z1064">
        <v>-158.76023309262169</v>
      </c>
      <c r="AA1064">
        <v>102.5661952129817</v>
      </c>
      <c r="AB1064">
        <v>-114.400756199095</v>
      </c>
      <c r="AC1064">
        <v>-65.797181834743</v>
      </c>
      <c r="AD1064">
        <v>-29.735450890914439</v>
      </c>
      <c r="AE1064">
        <v>-171.43998191522761</v>
      </c>
      <c r="AF1064">
        <v>-169.61266637362641</v>
      </c>
      <c r="AG1064">
        <v>-71.052224124918666</v>
      </c>
      <c r="AH1064">
        <v>-70.294904671437862</v>
      </c>
      <c r="AI1064">
        <v>110.7578787829615</v>
      </c>
      <c r="AJ1064">
        <v>-123.53763402714929</v>
      </c>
      <c r="AK1064">
        <v>109.57735139959431</v>
      </c>
      <c r="AL1064">
        <v>-122.2208919457014</v>
      </c>
      <c r="AM1064">
        <v>3.2265930532411509</v>
      </c>
      <c r="AN1064">
        <v>3.1922019878272172</v>
      </c>
    </row>
    <row r="1065" spans="1:40" x14ac:dyDescent="0.25">
      <c r="A1065" s="1" t="s">
        <v>121</v>
      </c>
      <c r="B1065">
        <v>95384695200</v>
      </c>
      <c r="C1065" t="s">
        <v>73</v>
      </c>
      <c r="D1065" t="s">
        <v>105</v>
      </c>
      <c r="E1065">
        <v>35003000000</v>
      </c>
      <c r="F1065">
        <v>367000000</v>
      </c>
      <c r="G1065">
        <v>1744000000</v>
      </c>
      <c r="H1065">
        <v>127000000</v>
      </c>
      <c r="I1065">
        <v>-498000000</v>
      </c>
      <c r="J1065">
        <v>-374000000</v>
      </c>
      <c r="K1065">
        <v>4995000000</v>
      </c>
      <c r="L1065">
        <v>538000000</v>
      </c>
      <c r="M1065">
        <v>5533000000</v>
      </c>
      <c r="N1065">
        <v>10664000000</v>
      </c>
      <c r="O1065">
        <v>1646000000</v>
      </c>
      <c r="P1065">
        <v>179000000</v>
      </c>
      <c r="Q1065">
        <v>10852000000</v>
      </c>
      <c r="R1065">
        <v>8635000000</v>
      </c>
      <c r="S1065">
        <v>24240000000</v>
      </c>
      <c r="T1065">
        <v>0</v>
      </c>
      <c r="U1065">
        <v>1164000000</v>
      </c>
      <c r="V1065">
        <v>9828000000</v>
      </c>
      <c r="W1065">
        <v>100882695200</v>
      </c>
      <c r="X1065">
        <v>102046695200</v>
      </c>
      <c r="Y1065">
        <v>2.7250434305630939</v>
      </c>
      <c r="Z1065">
        <v>259.90380163487742</v>
      </c>
      <c r="AA1065">
        <v>54.693059174311927</v>
      </c>
      <c r="AB1065">
        <v>751.06059212598427</v>
      </c>
      <c r="AC1065">
        <v>-191.53553253012049</v>
      </c>
      <c r="AD1065">
        <v>-255.03929197860961</v>
      </c>
      <c r="AE1065">
        <v>278.05639019073573</v>
      </c>
      <c r="AF1065">
        <v>274.88472806539511</v>
      </c>
      <c r="AG1065">
        <v>-204.91304257028111</v>
      </c>
      <c r="AH1065">
        <v>-202.57569317269079</v>
      </c>
      <c r="AI1065">
        <v>58.513013302752292</v>
      </c>
      <c r="AJ1065">
        <v>803.51728503937011</v>
      </c>
      <c r="AK1065">
        <v>57.84558211009174</v>
      </c>
      <c r="AL1065">
        <v>794.35193070866137</v>
      </c>
      <c r="AM1065">
        <v>2.9153699740022279</v>
      </c>
      <c r="AN1065">
        <v>2.8821156815130129</v>
      </c>
    </row>
    <row r="1066" spans="1:40" x14ac:dyDescent="0.25">
      <c r="A1066" s="1" t="s">
        <v>467</v>
      </c>
      <c r="B1066">
        <v>96018548480</v>
      </c>
      <c r="C1066" t="s">
        <v>73</v>
      </c>
      <c r="D1066" t="s">
        <v>105</v>
      </c>
      <c r="E1066">
        <v>35003000000</v>
      </c>
      <c r="F1066">
        <v>367000000</v>
      </c>
      <c r="G1066">
        <v>1744000000</v>
      </c>
      <c r="H1066">
        <v>127000000</v>
      </c>
      <c r="I1066">
        <v>-498000000</v>
      </c>
      <c r="J1066">
        <v>-374000000</v>
      </c>
      <c r="K1066">
        <v>4995000000</v>
      </c>
      <c r="L1066">
        <v>538000000</v>
      </c>
      <c r="M1066">
        <v>5533000000</v>
      </c>
      <c r="N1066">
        <v>10664000000</v>
      </c>
      <c r="O1066">
        <v>1646000000</v>
      </c>
      <c r="P1066">
        <v>179000000</v>
      </c>
      <c r="Q1066">
        <v>10852000000</v>
      </c>
      <c r="R1066">
        <v>8635000000</v>
      </c>
      <c r="S1066">
        <v>24240000000</v>
      </c>
      <c r="T1066">
        <v>0</v>
      </c>
      <c r="U1066">
        <v>1164000000</v>
      </c>
      <c r="V1066">
        <v>9828000000</v>
      </c>
      <c r="W1066">
        <v>101516548480</v>
      </c>
      <c r="X1066">
        <v>102680548480</v>
      </c>
      <c r="Y1066">
        <v>2.7431519721166762</v>
      </c>
      <c r="Z1066">
        <v>261.63092228882829</v>
      </c>
      <c r="AA1066">
        <v>55.056507155963303</v>
      </c>
      <c r="AB1066">
        <v>756.05156283464567</v>
      </c>
      <c r="AC1066">
        <v>-192.80833028112451</v>
      </c>
      <c r="AD1066">
        <v>-256.73408684491977</v>
      </c>
      <c r="AE1066">
        <v>279.78351084468659</v>
      </c>
      <c r="AF1066">
        <v>276.61184871934603</v>
      </c>
      <c r="AG1066">
        <v>-206.1858403212851</v>
      </c>
      <c r="AH1066">
        <v>-203.84849092369481</v>
      </c>
      <c r="AI1066">
        <v>58.876461284403668</v>
      </c>
      <c r="AJ1066">
        <v>808.5082557480315</v>
      </c>
      <c r="AK1066">
        <v>58.209030091743116</v>
      </c>
      <c r="AL1066">
        <v>799.34290141732288</v>
      </c>
      <c r="AM1066">
        <v>2.9334785155558101</v>
      </c>
      <c r="AN1066">
        <v>2.9002242230665942</v>
      </c>
    </row>
    <row r="1067" spans="1:40" x14ac:dyDescent="0.25">
      <c r="A1067" s="1" t="s">
        <v>466</v>
      </c>
      <c r="B1067">
        <v>93871626080</v>
      </c>
      <c r="C1067" t="s">
        <v>73</v>
      </c>
      <c r="D1067" t="s">
        <v>105</v>
      </c>
      <c r="E1067">
        <v>35003000000</v>
      </c>
      <c r="F1067">
        <v>367000000</v>
      </c>
      <c r="G1067">
        <v>1744000000</v>
      </c>
      <c r="H1067">
        <v>127000000</v>
      </c>
      <c r="I1067">
        <v>-498000000</v>
      </c>
      <c r="J1067">
        <v>-374000000</v>
      </c>
      <c r="K1067">
        <v>4995000000</v>
      </c>
      <c r="L1067">
        <v>538000000</v>
      </c>
      <c r="M1067">
        <v>5533000000</v>
      </c>
      <c r="N1067">
        <v>10664000000</v>
      </c>
      <c r="O1067">
        <v>1646000000</v>
      </c>
      <c r="P1067">
        <v>179000000</v>
      </c>
      <c r="Q1067">
        <v>10852000000</v>
      </c>
      <c r="R1067">
        <v>8635000000</v>
      </c>
      <c r="S1067">
        <v>24240000000</v>
      </c>
      <c r="T1067">
        <v>0</v>
      </c>
      <c r="U1067">
        <v>1164000000</v>
      </c>
      <c r="V1067">
        <v>9828000000</v>
      </c>
      <c r="W1067">
        <v>99369626080</v>
      </c>
      <c r="X1067">
        <v>100533626080</v>
      </c>
      <c r="Y1067">
        <v>2.6818165894351909</v>
      </c>
      <c r="Z1067">
        <v>255.78099749318801</v>
      </c>
      <c r="AA1067">
        <v>53.825473669724772</v>
      </c>
      <c r="AB1067">
        <v>739.14666204724415</v>
      </c>
      <c r="AC1067">
        <v>-188.497241124498</v>
      </c>
      <c r="AD1067">
        <v>-250.99365262032089</v>
      </c>
      <c r="AE1067">
        <v>273.93358604904631</v>
      </c>
      <c r="AF1067">
        <v>270.76192392370569</v>
      </c>
      <c r="AG1067">
        <v>-201.87475116465859</v>
      </c>
      <c r="AH1067">
        <v>-199.5374017670683</v>
      </c>
      <c r="AI1067">
        <v>57.645427798165137</v>
      </c>
      <c r="AJ1067">
        <v>791.60335496062987</v>
      </c>
      <c r="AK1067">
        <v>56.977996605504593</v>
      </c>
      <c r="AL1067">
        <v>782.43800062992125</v>
      </c>
      <c r="AM1067">
        <v>2.8721431328743252</v>
      </c>
      <c r="AN1067">
        <v>2.8388888403851098</v>
      </c>
    </row>
    <row r="1068" spans="1:40" x14ac:dyDescent="0.25">
      <c r="A1068" s="1" t="s">
        <v>465</v>
      </c>
      <c r="B1068">
        <v>92419897600</v>
      </c>
      <c r="C1068" t="s">
        <v>73</v>
      </c>
      <c r="D1068" t="s">
        <v>105</v>
      </c>
      <c r="E1068">
        <v>35003000000</v>
      </c>
      <c r="F1068">
        <v>367000000</v>
      </c>
      <c r="G1068">
        <v>1744000000</v>
      </c>
      <c r="H1068">
        <v>127000000</v>
      </c>
      <c r="I1068">
        <v>-498000000</v>
      </c>
      <c r="J1068">
        <v>-374000000</v>
      </c>
      <c r="K1068">
        <v>4995000000</v>
      </c>
      <c r="L1068">
        <v>538000000</v>
      </c>
      <c r="M1068">
        <v>5533000000</v>
      </c>
      <c r="N1068">
        <v>10664000000</v>
      </c>
      <c r="O1068">
        <v>1646000000</v>
      </c>
      <c r="P1068">
        <v>179000000</v>
      </c>
      <c r="Q1068">
        <v>10852000000</v>
      </c>
      <c r="R1068">
        <v>8635000000</v>
      </c>
      <c r="S1068">
        <v>24240000000</v>
      </c>
      <c r="T1068">
        <v>0</v>
      </c>
      <c r="U1068">
        <v>1164000000</v>
      </c>
      <c r="V1068">
        <v>9828000000</v>
      </c>
      <c r="W1068">
        <v>97917897600</v>
      </c>
      <c r="X1068">
        <v>99081897600</v>
      </c>
      <c r="Y1068">
        <v>2.6403421878124731</v>
      </c>
      <c r="Z1068">
        <v>251.8253340599455</v>
      </c>
      <c r="AA1068">
        <v>52.993060550458708</v>
      </c>
      <c r="AB1068">
        <v>727.7157291338583</v>
      </c>
      <c r="AC1068">
        <v>-185.58212369477911</v>
      </c>
      <c r="AD1068">
        <v>-247.11202566844921</v>
      </c>
      <c r="AE1068">
        <v>269.97792261580378</v>
      </c>
      <c r="AF1068">
        <v>266.80626049046322</v>
      </c>
      <c r="AG1068">
        <v>-198.95963373493981</v>
      </c>
      <c r="AH1068">
        <v>-196.62228433734941</v>
      </c>
      <c r="AI1068">
        <v>56.81301467889908</v>
      </c>
      <c r="AJ1068">
        <v>780.17242204724414</v>
      </c>
      <c r="AK1068">
        <v>56.145583486238529</v>
      </c>
      <c r="AL1068">
        <v>771.0070677165354</v>
      </c>
      <c r="AM1068">
        <v>2.830668731251607</v>
      </c>
      <c r="AN1068">
        <v>2.797414438762392</v>
      </c>
    </row>
    <row r="1069" spans="1:40" x14ac:dyDescent="0.25">
      <c r="A1069" s="1" t="s">
        <v>464</v>
      </c>
      <c r="B1069">
        <v>91908725600</v>
      </c>
      <c r="C1069" t="s">
        <v>73</v>
      </c>
      <c r="D1069" t="s">
        <v>105</v>
      </c>
      <c r="E1069">
        <v>35003000000</v>
      </c>
      <c r="F1069">
        <v>367000000</v>
      </c>
      <c r="G1069">
        <v>1744000000</v>
      </c>
      <c r="H1069">
        <v>127000000</v>
      </c>
      <c r="I1069">
        <v>-498000000</v>
      </c>
      <c r="J1069">
        <v>-374000000</v>
      </c>
      <c r="K1069">
        <v>4995000000</v>
      </c>
      <c r="L1069">
        <v>538000000</v>
      </c>
      <c r="M1069">
        <v>5533000000</v>
      </c>
      <c r="N1069">
        <v>10664000000</v>
      </c>
      <c r="O1069">
        <v>1646000000</v>
      </c>
      <c r="P1069">
        <v>179000000</v>
      </c>
      <c r="Q1069">
        <v>10852000000</v>
      </c>
      <c r="R1069">
        <v>8635000000</v>
      </c>
      <c r="S1069">
        <v>24240000000</v>
      </c>
      <c r="T1069">
        <v>0</v>
      </c>
      <c r="U1069">
        <v>1164000000</v>
      </c>
      <c r="V1069">
        <v>9828000000</v>
      </c>
      <c r="W1069">
        <v>97406725600</v>
      </c>
      <c r="X1069">
        <v>98570725600</v>
      </c>
      <c r="Y1069">
        <v>2.625738525269262</v>
      </c>
      <c r="Z1069">
        <v>250.43249482288829</v>
      </c>
      <c r="AA1069">
        <v>52.69995733944954</v>
      </c>
      <c r="AB1069">
        <v>723.69075275590546</v>
      </c>
      <c r="AC1069">
        <v>-184.55567389558229</v>
      </c>
      <c r="AD1069">
        <v>-245.7452556149733</v>
      </c>
      <c r="AE1069">
        <v>268.58508337874662</v>
      </c>
      <c r="AF1069">
        <v>265.413421253406</v>
      </c>
      <c r="AG1069">
        <v>-197.93318393574299</v>
      </c>
      <c r="AH1069">
        <v>-195.59583453815259</v>
      </c>
      <c r="AI1069">
        <v>56.519911467889912</v>
      </c>
      <c r="AJ1069">
        <v>776.1474456692913</v>
      </c>
      <c r="AK1069">
        <v>55.852480275229361</v>
      </c>
      <c r="AL1069">
        <v>766.98209133858268</v>
      </c>
      <c r="AM1069">
        <v>2.8160650687083959</v>
      </c>
      <c r="AN1069">
        <v>2.7828107762191809</v>
      </c>
    </row>
    <row r="1070" spans="1:40" x14ac:dyDescent="0.25">
      <c r="A1070" s="1" t="s">
        <v>463</v>
      </c>
      <c r="B1070">
        <v>92338110080</v>
      </c>
      <c r="C1070" t="s">
        <v>73</v>
      </c>
      <c r="D1070" t="s">
        <v>105</v>
      </c>
      <c r="E1070">
        <v>35003000000</v>
      </c>
      <c r="F1070">
        <v>367000000</v>
      </c>
      <c r="G1070">
        <v>1744000000</v>
      </c>
      <c r="H1070">
        <v>127000000</v>
      </c>
      <c r="I1070">
        <v>-498000000</v>
      </c>
      <c r="J1070">
        <v>-374000000</v>
      </c>
      <c r="K1070">
        <v>4995000000</v>
      </c>
      <c r="L1070">
        <v>538000000</v>
      </c>
      <c r="M1070">
        <v>5533000000</v>
      </c>
      <c r="N1070">
        <v>10664000000</v>
      </c>
      <c r="O1070">
        <v>1646000000</v>
      </c>
      <c r="P1070">
        <v>179000000</v>
      </c>
      <c r="Q1070">
        <v>10852000000</v>
      </c>
      <c r="R1070">
        <v>8635000000</v>
      </c>
      <c r="S1070">
        <v>24240000000</v>
      </c>
      <c r="T1070">
        <v>0</v>
      </c>
      <c r="U1070">
        <v>1164000000</v>
      </c>
      <c r="V1070">
        <v>9828000000</v>
      </c>
      <c r="W1070">
        <v>97836110080</v>
      </c>
      <c r="X1070">
        <v>99000110080</v>
      </c>
      <c r="Y1070">
        <v>2.6380056018055589</v>
      </c>
      <c r="Z1070">
        <v>251.60247978201639</v>
      </c>
      <c r="AA1070">
        <v>52.946164036697247</v>
      </c>
      <c r="AB1070">
        <v>727.07173291338586</v>
      </c>
      <c r="AC1070">
        <v>-185.41789172690761</v>
      </c>
      <c r="AD1070">
        <v>-246.89334245989301</v>
      </c>
      <c r="AE1070">
        <v>269.75506833787472</v>
      </c>
      <c r="AF1070">
        <v>266.58340621253399</v>
      </c>
      <c r="AG1070">
        <v>-198.79540176706831</v>
      </c>
      <c r="AH1070">
        <v>-196.45805236947791</v>
      </c>
      <c r="AI1070">
        <v>56.766118165137613</v>
      </c>
      <c r="AJ1070">
        <v>779.5284258267717</v>
      </c>
      <c r="AK1070">
        <v>56.098686972477061</v>
      </c>
      <c r="AL1070">
        <v>770.36307149606296</v>
      </c>
      <c r="AM1070">
        <v>2.8283321452446928</v>
      </c>
      <c r="AN1070">
        <v>2.7950778527554778</v>
      </c>
    </row>
    <row r="1071" spans="1:40" x14ac:dyDescent="0.25">
      <c r="A1071" s="1" t="s">
        <v>462</v>
      </c>
      <c r="B1071">
        <v>90191187680</v>
      </c>
      <c r="C1071" t="s">
        <v>73</v>
      </c>
      <c r="D1071" t="s">
        <v>105</v>
      </c>
      <c r="E1071">
        <v>35003000000</v>
      </c>
      <c r="F1071">
        <v>367000000</v>
      </c>
      <c r="G1071">
        <v>1744000000</v>
      </c>
      <c r="H1071">
        <v>127000000</v>
      </c>
      <c r="I1071">
        <v>-498000000</v>
      </c>
      <c r="J1071">
        <v>-374000000</v>
      </c>
      <c r="K1071">
        <v>4995000000</v>
      </c>
      <c r="L1071">
        <v>538000000</v>
      </c>
      <c r="M1071">
        <v>5533000000</v>
      </c>
      <c r="N1071">
        <v>10664000000</v>
      </c>
      <c r="O1071">
        <v>1646000000</v>
      </c>
      <c r="P1071">
        <v>179000000</v>
      </c>
      <c r="Q1071">
        <v>10852000000</v>
      </c>
      <c r="R1071">
        <v>8635000000</v>
      </c>
      <c r="S1071">
        <v>24240000000</v>
      </c>
      <c r="T1071">
        <v>0</v>
      </c>
      <c r="U1071">
        <v>1164000000</v>
      </c>
      <c r="V1071">
        <v>9828000000</v>
      </c>
      <c r="W1071">
        <v>95689187680</v>
      </c>
      <c r="X1071">
        <v>96853187680</v>
      </c>
      <c r="Y1071">
        <v>2.5766702191240749</v>
      </c>
      <c r="Z1071">
        <v>245.752554986376</v>
      </c>
      <c r="AA1071">
        <v>51.715130550458717</v>
      </c>
      <c r="AB1071">
        <v>710.16683212598423</v>
      </c>
      <c r="AC1071">
        <v>-181.1068025702811</v>
      </c>
      <c r="AD1071">
        <v>-241.15290823529409</v>
      </c>
      <c r="AE1071">
        <v>263.90514354223433</v>
      </c>
      <c r="AF1071">
        <v>260.73348141689371</v>
      </c>
      <c r="AG1071">
        <v>-194.4843126104418</v>
      </c>
      <c r="AH1071">
        <v>-192.1469632128514</v>
      </c>
      <c r="AI1071">
        <v>55.535084678899082</v>
      </c>
      <c r="AJ1071">
        <v>762.62352503937007</v>
      </c>
      <c r="AK1071">
        <v>54.867653486238531</v>
      </c>
      <c r="AL1071">
        <v>753.45817070866144</v>
      </c>
      <c r="AM1071">
        <v>2.7669967625632088</v>
      </c>
      <c r="AN1071">
        <v>2.7337424700739938</v>
      </c>
    </row>
    <row r="1072" spans="1:40" x14ac:dyDescent="0.25">
      <c r="A1072" s="1" t="s">
        <v>461</v>
      </c>
      <c r="B1072">
        <v>91193084800</v>
      </c>
      <c r="C1072" t="s">
        <v>73</v>
      </c>
      <c r="D1072" t="s">
        <v>105</v>
      </c>
      <c r="E1072">
        <v>35003000000</v>
      </c>
      <c r="F1072">
        <v>367000000</v>
      </c>
      <c r="G1072">
        <v>1744000000</v>
      </c>
      <c r="H1072">
        <v>127000000</v>
      </c>
      <c r="I1072">
        <v>-498000000</v>
      </c>
      <c r="J1072">
        <v>-374000000</v>
      </c>
      <c r="K1072">
        <v>4995000000</v>
      </c>
      <c r="L1072">
        <v>538000000</v>
      </c>
      <c r="M1072">
        <v>5533000000</v>
      </c>
      <c r="N1072">
        <v>10664000000</v>
      </c>
      <c r="O1072">
        <v>1646000000</v>
      </c>
      <c r="P1072">
        <v>179000000</v>
      </c>
      <c r="Q1072">
        <v>10852000000</v>
      </c>
      <c r="R1072">
        <v>8635000000</v>
      </c>
      <c r="S1072">
        <v>24240000000</v>
      </c>
      <c r="T1072">
        <v>0</v>
      </c>
      <c r="U1072">
        <v>1164000000</v>
      </c>
      <c r="V1072">
        <v>9828000000</v>
      </c>
      <c r="W1072">
        <v>96691084800</v>
      </c>
      <c r="X1072">
        <v>97855084800</v>
      </c>
      <c r="Y1072">
        <v>2.6052933977087682</v>
      </c>
      <c r="Z1072">
        <v>248.4825198910082</v>
      </c>
      <c r="AA1072">
        <v>52.289612844036697</v>
      </c>
      <c r="AB1072">
        <v>718.05578582677163</v>
      </c>
      <c r="AC1072">
        <v>-183.11864417670679</v>
      </c>
      <c r="AD1072">
        <v>-243.83177754010691</v>
      </c>
      <c r="AE1072">
        <v>266.63510844686652</v>
      </c>
      <c r="AF1072">
        <v>263.46344632152591</v>
      </c>
      <c r="AG1072">
        <v>-196.4961542168675</v>
      </c>
      <c r="AH1072">
        <v>-194.15880481927709</v>
      </c>
      <c r="AI1072">
        <v>56.109566972477062</v>
      </c>
      <c r="AJ1072">
        <v>770.51247874015746</v>
      </c>
      <c r="AK1072">
        <v>55.44213577981651</v>
      </c>
      <c r="AL1072">
        <v>761.34712440944884</v>
      </c>
      <c r="AM1072">
        <v>2.7956199411479021</v>
      </c>
      <c r="AN1072">
        <v>2.7623656486586858</v>
      </c>
    </row>
    <row r="1073" spans="1:40" x14ac:dyDescent="0.25">
      <c r="A1073" s="1" t="s">
        <v>460</v>
      </c>
      <c r="B1073">
        <v>89373312480</v>
      </c>
      <c r="C1073" t="s">
        <v>73</v>
      </c>
      <c r="D1073" t="s">
        <v>105</v>
      </c>
      <c r="E1073">
        <v>35003000000</v>
      </c>
      <c r="F1073">
        <v>367000000</v>
      </c>
      <c r="G1073">
        <v>1744000000</v>
      </c>
      <c r="H1073">
        <v>127000000</v>
      </c>
      <c r="I1073">
        <v>-498000000</v>
      </c>
      <c r="J1073">
        <v>-374000000</v>
      </c>
      <c r="K1073">
        <v>4995000000</v>
      </c>
      <c r="L1073">
        <v>538000000</v>
      </c>
      <c r="M1073">
        <v>5533000000</v>
      </c>
      <c r="N1073">
        <v>10664000000</v>
      </c>
      <c r="O1073">
        <v>1646000000</v>
      </c>
      <c r="P1073">
        <v>179000000</v>
      </c>
      <c r="Q1073">
        <v>10852000000</v>
      </c>
      <c r="R1073">
        <v>8635000000</v>
      </c>
      <c r="S1073">
        <v>24240000000</v>
      </c>
      <c r="T1073">
        <v>0</v>
      </c>
      <c r="U1073">
        <v>1164000000</v>
      </c>
      <c r="V1073">
        <v>9828000000</v>
      </c>
      <c r="W1073">
        <v>94871312480</v>
      </c>
      <c r="X1073">
        <v>96035312480</v>
      </c>
      <c r="Y1073">
        <v>2.553304359054938</v>
      </c>
      <c r="Z1073">
        <v>243.5240122070845</v>
      </c>
      <c r="AA1073">
        <v>51.246165412844043</v>
      </c>
      <c r="AB1073">
        <v>703.72686992125989</v>
      </c>
      <c r="AC1073">
        <v>-179.46448289156629</v>
      </c>
      <c r="AD1073">
        <v>-238.9660761497326</v>
      </c>
      <c r="AE1073">
        <v>261.67660076294283</v>
      </c>
      <c r="AF1073">
        <v>258.50493863760221</v>
      </c>
      <c r="AG1073">
        <v>-192.84199293172691</v>
      </c>
      <c r="AH1073">
        <v>-190.50464353413651</v>
      </c>
      <c r="AI1073">
        <v>55.066119541284401</v>
      </c>
      <c r="AJ1073">
        <v>756.18356283464561</v>
      </c>
      <c r="AK1073">
        <v>54.39868834862385</v>
      </c>
      <c r="AL1073">
        <v>747.01820850393699</v>
      </c>
      <c r="AM1073">
        <v>2.7436309024940719</v>
      </c>
      <c r="AN1073">
        <v>2.710376610004857</v>
      </c>
    </row>
    <row r="1074" spans="1:40" x14ac:dyDescent="0.25">
      <c r="A1074" s="1" t="s">
        <v>459</v>
      </c>
      <c r="B1074">
        <v>91704256800</v>
      </c>
      <c r="C1074" t="s">
        <v>73</v>
      </c>
      <c r="D1074" t="s">
        <v>105</v>
      </c>
      <c r="E1074">
        <v>35003000000</v>
      </c>
      <c r="F1074">
        <v>367000000</v>
      </c>
      <c r="G1074">
        <v>1744000000</v>
      </c>
      <c r="H1074">
        <v>127000000</v>
      </c>
      <c r="I1074">
        <v>-498000000</v>
      </c>
      <c r="J1074">
        <v>-374000000</v>
      </c>
      <c r="K1074">
        <v>4995000000</v>
      </c>
      <c r="L1074">
        <v>538000000</v>
      </c>
      <c r="M1074">
        <v>5533000000</v>
      </c>
      <c r="N1074">
        <v>10664000000</v>
      </c>
      <c r="O1074">
        <v>1646000000</v>
      </c>
      <c r="P1074">
        <v>179000000</v>
      </c>
      <c r="Q1074">
        <v>10852000000</v>
      </c>
      <c r="R1074">
        <v>8635000000</v>
      </c>
      <c r="S1074">
        <v>24240000000</v>
      </c>
      <c r="T1074">
        <v>0</v>
      </c>
      <c r="U1074">
        <v>1164000000</v>
      </c>
      <c r="V1074">
        <v>9828000000</v>
      </c>
      <c r="W1074">
        <v>97202256800</v>
      </c>
      <c r="X1074">
        <v>98366256800</v>
      </c>
      <c r="Y1074">
        <v>2.619897060251978</v>
      </c>
      <c r="Z1074">
        <v>249.87535912806541</v>
      </c>
      <c r="AA1074">
        <v>52.582716055045871</v>
      </c>
      <c r="AB1074">
        <v>722.08076220472446</v>
      </c>
      <c r="AC1074">
        <v>-184.14509397590359</v>
      </c>
      <c r="AD1074">
        <v>-245.1985475935829</v>
      </c>
      <c r="AE1074">
        <v>268.02794768392368</v>
      </c>
      <c r="AF1074">
        <v>264.85628555858312</v>
      </c>
      <c r="AG1074">
        <v>-197.52260401606429</v>
      </c>
      <c r="AH1074">
        <v>-195.18525461847389</v>
      </c>
      <c r="AI1074">
        <v>56.402670183486237</v>
      </c>
      <c r="AJ1074">
        <v>774.53745511811019</v>
      </c>
      <c r="AK1074">
        <v>55.735238990825692</v>
      </c>
      <c r="AL1074">
        <v>765.37210078740156</v>
      </c>
      <c r="AM1074">
        <v>2.8102236036911119</v>
      </c>
      <c r="AN1074">
        <v>2.7769693112018969</v>
      </c>
    </row>
    <row r="1075" spans="1:40" x14ac:dyDescent="0.25">
      <c r="A1075" s="1" t="s">
        <v>458</v>
      </c>
      <c r="B1075">
        <v>90129847040</v>
      </c>
      <c r="C1075" t="s">
        <v>73</v>
      </c>
      <c r="D1075" t="s">
        <v>105</v>
      </c>
      <c r="E1075">
        <v>35003000000</v>
      </c>
      <c r="F1075">
        <v>367000000</v>
      </c>
      <c r="G1075">
        <v>1744000000</v>
      </c>
      <c r="H1075">
        <v>127000000</v>
      </c>
      <c r="I1075">
        <v>-498000000</v>
      </c>
      <c r="J1075">
        <v>-374000000</v>
      </c>
      <c r="K1075">
        <v>4995000000</v>
      </c>
      <c r="L1075">
        <v>538000000</v>
      </c>
      <c r="M1075">
        <v>5533000000</v>
      </c>
      <c r="N1075">
        <v>10664000000</v>
      </c>
      <c r="O1075">
        <v>1646000000</v>
      </c>
      <c r="P1075">
        <v>179000000</v>
      </c>
      <c r="Q1075">
        <v>10852000000</v>
      </c>
      <c r="R1075">
        <v>8635000000</v>
      </c>
      <c r="S1075">
        <v>24240000000</v>
      </c>
      <c r="T1075">
        <v>0</v>
      </c>
      <c r="U1075">
        <v>1164000000</v>
      </c>
      <c r="V1075">
        <v>9828000000</v>
      </c>
      <c r="W1075">
        <v>95627847040</v>
      </c>
      <c r="X1075">
        <v>96791847040</v>
      </c>
      <c r="Y1075">
        <v>2.57491777961889</v>
      </c>
      <c r="Z1075">
        <v>245.58541427792909</v>
      </c>
      <c r="AA1075">
        <v>51.679958165137613</v>
      </c>
      <c r="AB1075">
        <v>709.68383496062995</v>
      </c>
      <c r="AC1075">
        <v>-180.98362859437751</v>
      </c>
      <c r="AD1075">
        <v>-240.98889582887699</v>
      </c>
      <c r="AE1075">
        <v>263.73800283378739</v>
      </c>
      <c r="AF1075">
        <v>260.56634070844689</v>
      </c>
      <c r="AG1075">
        <v>-194.36113863453821</v>
      </c>
      <c r="AH1075">
        <v>-192.02378923694781</v>
      </c>
      <c r="AI1075">
        <v>55.499912293577992</v>
      </c>
      <c r="AJ1075">
        <v>762.14052787401579</v>
      </c>
      <c r="AK1075">
        <v>54.832481100917427</v>
      </c>
      <c r="AL1075">
        <v>752.97517354330705</v>
      </c>
      <c r="AM1075">
        <v>2.765244323058023</v>
      </c>
      <c r="AN1075">
        <v>2.731990030568809</v>
      </c>
    </row>
    <row r="1076" spans="1:40" x14ac:dyDescent="0.25">
      <c r="A1076" s="1" t="s">
        <v>457</v>
      </c>
      <c r="B1076">
        <v>89250631200</v>
      </c>
      <c r="C1076" t="s">
        <v>73</v>
      </c>
      <c r="D1076" t="s">
        <v>105</v>
      </c>
      <c r="E1076">
        <v>35003000000</v>
      </c>
      <c r="F1076">
        <v>367000000</v>
      </c>
      <c r="G1076">
        <v>1744000000</v>
      </c>
      <c r="H1076">
        <v>127000000</v>
      </c>
      <c r="I1076">
        <v>-498000000</v>
      </c>
      <c r="J1076">
        <v>-374000000</v>
      </c>
      <c r="K1076">
        <v>4995000000</v>
      </c>
      <c r="L1076">
        <v>538000000</v>
      </c>
      <c r="M1076">
        <v>5533000000</v>
      </c>
      <c r="N1076">
        <v>10664000000</v>
      </c>
      <c r="O1076">
        <v>1646000000</v>
      </c>
      <c r="P1076">
        <v>179000000</v>
      </c>
      <c r="Q1076">
        <v>10852000000</v>
      </c>
      <c r="R1076">
        <v>8635000000</v>
      </c>
      <c r="S1076">
        <v>24240000000</v>
      </c>
      <c r="T1076">
        <v>0</v>
      </c>
      <c r="U1076">
        <v>1164000000</v>
      </c>
      <c r="V1076">
        <v>9828000000</v>
      </c>
      <c r="W1076">
        <v>94748631200</v>
      </c>
      <c r="X1076">
        <v>95912631200</v>
      </c>
      <c r="Y1076">
        <v>2.5497994800445678</v>
      </c>
      <c r="Z1076">
        <v>243.18973079019071</v>
      </c>
      <c r="AA1076">
        <v>51.175820642201828</v>
      </c>
      <c r="AB1076">
        <v>702.76087559055122</v>
      </c>
      <c r="AC1076">
        <v>-179.21813493975901</v>
      </c>
      <c r="AD1076">
        <v>-238.6380513368984</v>
      </c>
      <c r="AE1076">
        <v>261.34231934604912</v>
      </c>
      <c r="AF1076">
        <v>258.17065722070839</v>
      </c>
      <c r="AG1076">
        <v>-192.59564497991971</v>
      </c>
      <c r="AH1076">
        <v>-190.25829558232931</v>
      </c>
      <c r="AI1076">
        <v>54.9957747706422</v>
      </c>
      <c r="AJ1076">
        <v>755.21756850393706</v>
      </c>
      <c r="AK1076">
        <v>54.328343577981649</v>
      </c>
      <c r="AL1076">
        <v>746.05221417322832</v>
      </c>
      <c r="AM1076">
        <v>2.7401260234837008</v>
      </c>
      <c r="AN1076">
        <v>2.7068717309944859</v>
      </c>
    </row>
    <row r="1077" spans="1:40" x14ac:dyDescent="0.25">
      <c r="A1077" s="1" t="s">
        <v>456</v>
      </c>
      <c r="B1077">
        <v>89904931360</v>
      </c>
      <c r="C1077" t="s">
        <v>73</v>
      </c>
      <c r="D1077" t="s">
        <v>105</v>
      </c>
      <c r="E1077">
        <v>35003000000</v>
      </c>
      <c r="F1077">
        <v>367000000</v>
      </c>
      <c r="G1077">
        <v>1744000000</v>
      </c>
      <c r="H1077">
        <v>127000000</v>
      </c>
      <c r="I1077">
        <v>-498000000</v>
      </c>
      <c r="J1077">
        <v>-374000000</v>
      </c>
      <c r="K1077">
        <v>4995000000</v>
      </c>
      <c r="L1077">
        <v>538000000</v>
      </c>
      <c r="M1077">
        <v>5533000000</v>
      </c>
      <c r="N1077">
        <v>10664000000</v>
      </c>
      <c r="O1077">
        <v>1646000000</v>
      </c>
      <c r="P1077">
        <v>179000000</v>
      </c>
      <c r="Q1077">
        <v>10852000000</v>
      </c>
      <c r="R1077">
        <v>8635000000</v>
      </c>
      <c r="S1077">
        <v>24240000000</v>
      </c>
      <c r="T1077">
        <v>0</v>
      </c>
      <c r="U1077">
        <v>1164000000</v>
      </c>
      <c r="V1077">
        <v>9828000000</v>
      </c>
      <c r="W1077">
        <v>95402931360</v>
      </c>
      <c r="X1077">
        <v>96566931360</v>
      </c>
      <c r="Y1077">
        <v>2.5684921680998771</v>
      </c>
      <c r="Z1077">
        <v>244.97256501362401</v>
      </c>
      <c r="AA1077">
        <v>51.550992752293581</v>
      </c>
      <c r="AB1077">
        <v>707.91284535433067</v>
      </c>
      <c r="AC1077">
        <v>-180.53199068273091</v>
      </c>
      <c r="AD1077">
        <v>-240.3875170053476</v>
      </c>
      <c r="AE1077">
        <v>263.12515356948228</v>
      </c>
      <c r="AF1077">
        <v>259.95349144414172</v>
      </c>
      <c r="AG1077">
        <v>-193.90950072289161</v>
      </c>
      <c r="AH1077">
        <v>-191.57215132530121</v>
      </c>
      <c r="AI1077">
        <v>55.370946880733953</v>
      </c>
      <c r="AJ1077">
        <v>760.36953826771651</v>
      </c>
      <c r="AK1077">
        <v>54.703515688073402</v>
      </c>
      <c r="AL1077">
        <v>751.20418393700788</v>
      </c>
      <c r="AM1077">
        <v>2.758818711539011</v>
      </c>
      <c r="AN1077">
        <v>2.7255644190497961</v>
      </c>
    </row>
    <row r="1078" spans="1:40" x14ac:dyDescent="0.25">
      <c r="A1078" s="1" t="s">
        <v>455</v>
      </c>
      <c r="B1078">
        <v>91377106720</v>
      </c>
      <c r="C1078" t="s">
        <v>73</v>
      </c>
      <c r="D1078" t="s">
        <v>105</v>
      </c>
      <c r="E1078">
        <v>35003000000</v>
      </c>
      <c r="F1078">
        <v>367000000</v>
      </c>
      <c r="G1078">
        <v>1744000000</v>
      </c>
      <c r="H1078">
        <v>127000000</v>
      </c>
      <c r="I1078">
        <v>-498000000</v>
      </c>
      <c r="J1078">
        <v>-374000000</v>
      </c>
      <c r="K1078">
        <v>4995000000</v>
      </c>
      <c r="L1078">
        <v>538000000</v>
      </c>
      <c r="M1078">
        <v>5533000000</v>
      </c>
      <c r="N1078">
        <v>10664000000</v>
      </c>
      <c r="O1078">
        <v>1646000000</v>
      </c>
      <c r="P1078">
        <v>179000000</v>
      </c>
      <c r="Q1078">
        <v>10852000000</v>
      </c>
      <c r="R1078">
        <v>8635000000</v>
      </c>
      <c r="S1078">
        <v>24240000000</v>
      </c>
      <c r="T1078">
        <v>0</v>
      </c>
      <c r="U1078">
        <v>1164000000</v>
      </c>
      <c r="V1078">
        <v>9828000000</v>
      </c>
      <c r="W1078">
        <v>96875106720</v>
      </c>
      <c r="X1078">
        <v>98039106720</v>
      </c>
      <c r="Y1078">
        <v>2.6105507162243242</v>
      </c>
      <c r="Z1078">
        <v>248.98394201634881</v>
      </c>
      <c r="AA1078">
        <v>52.395130000000002</v>
      </c>
      <c r="AB1078">
        <v>719.50477732283468</v>
      </c>
      <c r="AC1078">
        <v>-183.4881661044177</v>
      </c>
      <c r="AD1078">
        <v>-244.3238147593583</v>
      </c>
      <c r="AE1078">
        <v>267.13653057220711</v>
      </c>
      <c r="AF1078">
        <v>263.96486844686649</v>
      </c>
      <c r="AG1078">
        <v>-196.86567614457829</v>
      </c>
      <c r="AH1078">
        <v>-194.52832674698789</v>
      </c>
      <c r="AI1078">
        <v>56.215084128440367</v>
      </c>
      <c r="AJ1078">
        <v>771.96147023622052</v>
      </c>
      <c r="AK1078">
        <v>55.547652935779823</v>
      </c>
      <c r="AL1078">
        <v>762.79611590551178</v>
      </c>
      <c r="AM1078">
        <v>2.8008772596634568</v>
      </c>
      <c r="AN1078">
        <v>2.7676229671742418</v>
      </c>
    </row>
    <row r="1079" spans="1:40" x14ac:dyDescent="0.25">
      <c r="A1079" s="1" t="s">
        <v>454</v>
      </c>
      <c r="B1079">
        <v>91254425440</v>
      </c>
      <c r="C1079" t="s">
        <v>73</v>
      </c>
      <c r="D1079" t="s">
        <v>105</v>
      </c>
      <c r="E1079">
        <v>35003000000</v>
      </c>
      <c r="F1079">
        <v>367000000</v>
      </c>
      <c r="G1079">
        <v>1744000000</v>
      </c>
      <c r="H1079">
        <v>127000000</v>
      </c>
      <c r="I1079">
        <v>-498000000</v>
      </c>
      <c r="J1079">
        <v>-374000000</v>
      </c>
      <c r="K1079">
        <v>4995000000</v>
      </c>
      <c r="L1079">
        <v>538000000</v>
      </c>
      <c r="M1079">
        <v>5533000000</v>
      </c>
      <c r="N1079">
        <v>10664000000</v>
      </c>
      <c r="O1079">
        <v>1646000000</v>
      </c>
      <c r="P1079">
        <v>179000000</v>
      </c>
      <c r="Q1079">
        <v>10852000000</v>
      </c>
      <c r="R1079">
        <v>8635000000</v>
      </c>
      <c r="S1079">
        <v>24240000000</v>
      </c>
      <c r="T1079">
        <v>0</v>
      </c>
      <c r="U1079">
        <v>1164000000</v>
      </c>
      <c r="V1079">
        <v>9828000000</v>
      </c>
      <c r="W1079">
        <v>96752425440</v>
      </c>
      <c r="X1079">
        <v>97916425440</v>
      </c>
      <c r="Y1079">
        <v>2.6070458372139531</v>
      </c>
      <c r="Z1079">
        <v>248.64966059945499</v>
      </c>
      <c r="AA1079">
        <v>52.324785229357801</v>
      </c>
      <c r="AB1079">
        <v>718.53878299212602</v>
      </c>
      <c r="AC1079">
        <v>-183.24181815261039</v>
      </c>
      <c r="AD1079">
        <v>-243.9957899465241</v>
      </c>
      <c r="AE1079">
        <v>266.80224915531329</v>
      </c>
      <c r="AF1079">
        <v>263.63058702997267</v>
      </c>
      <c r="AG1079">
        <v>-196.61932819277109</v>
      </c>
      <c r="AH1079">
        <v>-194.28197879518069</v>
      </c>
      <c r="AI1079">
        <v>56.144739357798173</v>
      </c>
      <c r="AJ1079">
        <v>770.99547590551185</v>
      </c>
      <c r="AK1079">
        <v>55.477308165137607</v>
      </c>
      <c r="AL1079">
        <v>761.83012157480312</v>
      </c>
      <c r="AM1079">
        <v>2.797372380653087</v>
      </c>
      <c r="AN1079">
        <v>2.7641180881638721</v>
      </c>
    </row>
    <row r="1080" spans="1:40" x14ac:dyDescent="0.25">
      <c r="A1080" s="1" t="s">
        <v>453</v>
      </c>
      <c r="B1080">
        <v>90681912800</v>
      </c>
      <c r="C1080" t="s">
        <v>73</v>
      </c>
      <c r="D1080" t="s">
        <v>105</v>
      </c>
      <c r="E1080">
        <v>35003000000</v>
      </c>
      <c r="F1080">
        <v>367000000</v>
      </c>
      <c r="G1080">
        <v>1744000000</v>
      </c>
      <c r="H1080">
        <v>127000000</v>
      </c>
      <c r="I1080">
        <v>-498000000</v>
      </c>
      <c r="J1080">
        <v>-374000000</v>
      </c>
      <c r="K1080">
        <v>4995000000</v>
      </c>
      <c r="L1080">
        <v>538000000</v>
      </c>
      <c r="M1080">
        <v>5533000000</v>
      </c>
      <c r="N1080">
        <v>10664000000</v>
      </c>
      <c r="O1080">
        <v>1646000000</v>
      </c>
      <c r="P1080">
        <v>179000000</v>
      </c>
      <c r="Q1080">
        <v>10852000000</v>
      </c>
      <c r="R1080">
        <v>8635000000</v>
      </c>
      <c r="S1080">
        <v>24240000000</v>
      </c>
      <c r="T1080">
        <v>0</v>
      </c>
      <c r="U1080">
        <v>1164000000</v>
      </c>
      <c r="V1080">
        <v>9828000000</v>
      </c>
      <c r="W1080">
        <v>96179912800</v>
      </c>
      <c r="X1080">
        <v>97343912800</v>
      </c>
      <c r="Y1080">
        <v>2.5906897351655571</v>
      </c>
      <c r="Z1080">
        <v>247.08968065395089</v>
      </c>
      <c r="AA1080">
        <v>51.996509633027522</v>
      </c>
      <c r="AB1080">
        <v>714.0308094488189</v>
      </c>
      <c r="AC1080">
        <v>-182.09219437751</v>
      </c>
      <c r="AD1080">
        <v>-242.46500748663101</v>
      </c>
      <c r="AE1080">
        <v>265.24226920980931</v>
      </c>
      <c r="AF1080">
        <v>262.07060708446869</v>
      </c>
      <c r="AG1080">
        <v>-195.4697044176707</v>
      </c>
      <c r="AH1080">
        <v>-193.1323550200803</v>
      </c>
      <c r="AI1080">
        <v>55.816463761467887</v>
      </c>
      <c r="AJ1080">
        <v>766.48750236220474</v>
      </c>
      <c r="AK1080">
        <v>55.149032568807343</v>
      </c>
      <c r="AL1080">
        <v>757.32214803149611</v>
      </c>
      <c r="AM1080">
        <v>2.781016278604691</v>
      </c>
      <c r="AN1080">
        <v>2.7477619861154761</v>
      </c>
    </row>
    <row r="1081" spans="1:40" x14ac:dyDescent="0.25">
      <c r="A1081" s="1" t="s">
        <v>452</v>
      </c>
      <c r="B1081">
        <v>92297216320</v>
      </c>
      <c r="C1081" t="s">
        <v>73</v>
      </c>
      <c r="D1081" t="s">
        <v>105</v>
      </c>
      <c r="E1081">
        <v>35003000000</v>
      </c>
      <c r="F1081">
        <v>367000000</v>
      </c>
      <c r="G1081">
        <v>1744000000</v>
      </c>
      <c r="H1081">
        <v>127000000</v>
      </c>
      <c r="I1081">
        <v>-498000000</v>
      </c>
      <c r="J1081">
        <v>-374000000</v>
      </c>
      <c r="K1081">
        <v>4995000000</v>
      </c>
      <c r="L1081">
        <v>538000000</v>
      </c>
      <c r="M1081">
        <v>5533000000</v>
      </c>
      <c r="N1081">
        <v>10664000000</v>
      </c>
      <c r="O1081">
        <v>1646000000</v>
      </c>
      <c r="P1081">
        <v>179000000</v>
      </c>
      <c r="Q1081">
        <v>10852000000</v>
      </c>
      <c r="R1081">
        <v>8635000000</v>
      </c>
      <c r="S1081">
        <v>24240000000</v>
      </c>
      <c r="T1081">
        <v>0</v>
      </c>
      <c r="U1081">
        <v>1164000000</v>
      </c>
      <c r="V1081">
        <v>9828000000</v>
      </c>
      <c r="W1081">
        <v>97795216320</v>
      </c>
      <c r="X1081">
        <v>98959216320</v>
      </c>
      <c r="Y1081">
        <v>2.6368373088021029</v>
      </c>
      <c r="Z1081">
        <v>251.4910526430518</v>
      </c>
      <c r="AA1081">
        <v>52.922715779816507</v>
      </c>
      <c r="AB1081">
        <v>726.74973480314964</v>
      </c>
      <c r="AC1081">
        <v>-185.33577574297189</v>
      </c>
      <c r="AD1081">
        <v>-246.78400085561501</v>
      </c>
      <c r="AE1081">
        <v>269.64364119891007</v>
      </c>
      <c r="AF1081">
        <v>266.47197907356951</v>
      </c>
      <c r="AG1081">
        <v>-198.71328578313251</v>
      </c>
      <c r="AH1081">
        <v>-196.37593638554219</v>
      </c>
      <c r="AI1081">
        <v>56.742669908256879</v>
      </c>
      <c r="AJ1081">
        <v>779.20642771653547</v>
      </c>
      <c r="AK1081">
        <v>56.075238715596328</v>
      </c>
      <c r="AL1081">
        <v>770.04107338582673</v>
      </c>
      <c r="AM1081">
        <v>2.8271638522412359</v>
      </c>
      <c r="AN1081">
        <v>2.7939095597520209</v>
      </c>
    </row>
    <row r="1082" spans="1:40" x14ac:dyDescent="0.25">
      <c r="A1082" s="1" t="s">
        <v>451</v>
      </c>
      <c r="B1082">
        <v>91356659840</v>
      </c>
      <c r="C1082" t="s">
        <v>73</v>
      </c>
      <c r="D1082" t="s">
        <v>105</v>
      </c>
      <c r="E1082">
        <v>35003000000</v>
      </c>
      <c r="F1082">
        <v>367000000</v>
      </c>
      <c r="G1082">
        <v>1744000000</v>
      </c>
      <c r="H1082">
        <v>127000000</v>
      </c>
      <c r="I1082">
        <v>-498000000</v>
      </c>
      <c r="J1082">
        <v>-374000000</v>
      </c>
      <c r="K1082">
        <v>4995000000</v>
      </c>
      <c r="L1082">
        <v>538000000</v>
      </c>
      <c r="M1082">
        <v>5533000000</v>
      </c>
      <c r="N1082">
        <v>10664000000</v>
      </c>
      <c r="O1082">
        <v>1646000000</v>
      </c>
      <c r="P1082">
        <v>179000000</v>
      </c>
      <c r="Q1082">
        <v>10852000000</v>
      </c>
      <c r="R1082">
        <v>8635000000</v>
      </c>
      <c r="S1082">
        <v>24240000000</v>
      </c>
      <c r="T1082">
        <v>0</v>
      </c>
      <c r="U1082">
        <v>1164000000</v>
      </c>
      <c r="V1082">
        <v>9828000000</v>
      </c>
      <c r="W1082">
        <v>96854659840</v>
      </c>
      <c r="X1082">
        <v>98018659840</v>
      </c>
      <c r="Y1082">
        <v>2.6099665697225949</v>
      </c>
      <c r="Z1082">
        <v>248.92822844686651</v>
      </c>
      <c r="AA1082">
        <v>52.383405871559631</v>
      </c>
      <c r="AB1082">
        <v>719.34377826771652</v>
      </c>
      <c r="AC1082">
        <v>-183.4471081124498</v>
      </c>
      <c r="AD1082">
        <v>-244.26914395721931</v>
      </c>
      <c r="AE1082">
        <v>267.08081700272481</v>
      </c>
      <c r="AF1082">
        <v>263.9091548773842</v>
      </c>
      <c r="AG1082">
        <v>-196.82461815261041</v>
      </c>
      <c r="AH1082">
        <v>-194.4872687550201</v>
      </c>
      <c r="AI1082">
        <v>56.203360000000004</v>
      </c>
      <c r="AJ1082">
        <v>771.80047118110235</v>
      </c>
      <c r="AK1082">
        <v>55.535928807339452</v>
      </c>
      <c r="AL1082">
        <v>762.63511685039373</v>
      </c>
      <c r="AM1082">
        <v>2.8002931131617288</v>
      </c>
      <c r="AN1082">
        <v>2.7670388206725138</v>
      </c>
    </row>
    <row r="1083" spans="1:40" x14ac:dyDescent="0.25">
      <c r="A1083" s="1" t="s">
        <v>450</v>
      </c>
      <c r="B1083">
        <v>89884484480</v>
      </c>
      <c r="C1083" t="s">
        <v>73</v>
      </c>
      <c r="D1083" t="s">
        <v>105</v>
      </c>
      <c r="E1083">
        <v>35003000000</v>
      </c>
      <c r="F1083">
        <v>367000000</v>
      </c>
      <c r="G1083">
        <v>1744000000</v>
      </c>
      <c r="H1083">
        <v>127000000</v>
      </c>
      <c r="I1083">
        <v>-498000000</v>
      </c>
      <c r="J1083">
        <v>-374000000</v>
      </c>
      <c r="K1083">
        <v>4995000000</v>
      </c>
      <c r="L1083">
        <v>538000000</v>
      </c>
      <c r="M1083">
        <v>5533000000</v>
      </c>
      <c r="N1083">
        <v>10664000000</v>
      </c>
      <c r="O1083">
        <v>1646000000</v>
      </c>
      <c r="P1083">
        <v>179000000</v>
      </c>
      <c r="Q1083">
        <v>10852000000</v>
      </c>
      <c r="R1083">
        <v>8635000000</v>
      </c>
      <c r="S1083">
        <v>24240000000</v>
      </c>
      <c r="T1083">
        <v>0</v>
      </c>
      <c r="U1083">
        <v>1164000000</v>
      </c>
      <c r="V1083">
        <v>9828000000</v>
      </c>
      <c r="W1083">
        <v>95382484480</v>
      </c>
      <c r="X1083">
        <v>96546484480</v>
      </c>
      <c r="Y1083">
        <v>2.5679080215981491</v>
      </c>
      <c r="Z1083">
        <v>244.91685144414171</v>
      </c>
      <c r="AA1083">
        <v>51.539268623853211</v>
      </c>
      <c r="AB1083">
        <v>707.75184629921262</v>
      </c>
      <c r="AC1083">
        <v>-180.49093269076309</v>
      </c>
      <c r="AD1083">
        <v>-240.33284620320859</v>
      </c>
      <c r="AE1083">
        <v>263.06943999999999</v>
      </c>
      <c r="AF1083">
        <v>259.89777787465943</v>
      </c>
      <c r="AG1083">
        <v>-193.8684427309237</v>
      </c>
      <c r="AH1083">
        <v>-191.5310933333333</v>
      </c>
      <c r="AI1083">
        <v>55.359222752293583</v>
      </c>
      <c r="AJ1083">
        <v>760.20853921259845</v>
      </c>
      <c r="AK1083">
        <v>54.691791559633018</v>
      </c>
      <c r="AL1083">
        <v>751.04318488188972</v>
      </c>
      <c r="AM1083">
        <v>2.758234565037283</v>
      </c>
      <c r="AN1083">
        <v>2.7249802725480672</v>
      </c>
    </row>
    <row r="1084" spans="1:40" x14ac:dyDescent="0.25">
      <c r="A1084" s="1" t="s">
        <v>449</v>
      </c>
      <c r="B1084">
        <v>90272975200</v>
      </c>
      <c r="C1084" t="s">
        <v>73</v>
      </c>
      <c r="D1084" t="s">
        <v>105</v>
      </c>
      <c r="E1084">
        <v>35003000000</v>
      </c>
      <c r="F1084">
        <v>367000000</v>
      </c>
      <c r="G1084">
        <v>1744000000</v>
      </c>
      <c r="H1084">
        <v>127000000</v>
      </c>
      <c r="I1084">
        <v>-498000000</v>
      </c>
      <c r="J1084">
        <v>-374000000</v>
      </c>
      <c r="K1084">
        <v>4995000000</v>
      </c>
      <c r="L1084">
        <v>538000000</v>
      </c>
      <c r="M1084">
        <v>5533000000</v>
      </c>
      <c r="N1084">
        <v>10664000000</v>
      </c>
      <c r="O1084">
        <v>1646000000</v>
      </c>
      <c r="P1084">
        <v>179000000</v>
      </c>
      <c r="Q1084">
        <v>10852000000</v>
      </c>
      <c r="R1084">
        <v>8635000000</v>
      </c>
      <c r="S1084">
        <v>24240000000</v>
      </c>
      <c r="T1084">
        <v>0</v>
      </c>
      <c r="U1084">
        <v>1164000000</v>
      </c>
      <c r="V1084">
        <v>9828000000</v>
      </c>
      <c r="W1084">
        <v>95770975200</v>
      </c>
      <c r="X1084">
        <v>96934975200</v>
      </c>
      <c r="Y1084">
        <v>2.5790068051309891</v>
      </c>
      <c r="Z1084">
        <v>245.9754092643052</v>
      </c>
      <c r="AA1084">
        <v>51.762027064220177</v>
      </c>
      <c r="AB1084">
        <v>710.81082834645667</v>
      </c>
      <c r="AC1084">
        <v>-181.27103453815261</v>
      </c>
      <c r="AD1084">
        <v>-241.37159144385029</v>
      </c>
      <c r="AE1084">
        <v>264.1279978201635</v>
      </c>
      <c r="AF1084">
        <v>260.95633569482288</v>
      </c>
      <c r="AG1084">
        <v>-194.64854457831319</v>
      </c>
      <c r="AH1084">
        <v>-192.3111951807229</v>
      </c>
      <c r="AI1084">
        <v>55.58198119266055</v>
      </c>
      <c r="AJ1084">
        <v>763.26752125984251</v>
      </c>
      <c r="AK1084">
        <v>54.914549999999998</v>
      </c>
      <c r="AL1084">
        <v>754.10216692913389</v>
      </c>
      <c r="AM1084">
        <v>2.769333348570123</v>
      </c>
      <c r="AN1084">
        <v>2.7360790560809072</v>
      </c>
    </row>
    <row r="1085" spans="1:40" x14ac:dyDescent="0.25">
      <c r="A1085" s="1" t="s">
        <v>448</v>
      </c>
      <c r="B1085">
        <v>92726600800</v>
      </c>
      <c r="C1085" t="s">
        <v>73</v>
      </c>
      <c r="D1085" t="s">
        <v>105</v>
      </c>
      <c r="E1085">
        <v>35003000000</v>
      </c>
      <c r="F1085">
        <v>367000000</v>
      </c>
      <c r="G1085">
        <v>1744000000</v>
      </c>
      <c r="H1085">
        <v>127000000</v>
      </c>
      <c r="I1085">
        <v>-498000000</v>
      </c>
      <c r="J1085">
        <v>-374000000</v>
      </c>
      <c r="K1085">
        <v>4995000000</v>
      </c>
      <c r="L1085">
        <v>538000000</v>
      </c>
      <c r="M1085">
        <v>5533000000</v>
      </c>
      <c r="N1085">
        <v>10664000000</v>
      </c>
      <c r="O1085">
        <v>1646000000</v>
      </c>
      <c r="P1085">
        <v>179000000</v>
      </c>
      <c r="Q1085">
        <v>10852000000</v>
      </c>
      <c r="R1085">
        <v>8635000000</v>
      </c>
      <c r="S1085">
        <v>24240000000</v>
      </c>
      <c r="T1085">
        <v>0</v>
      </c>
      <c r="U1085">
        <v>1164000000</v>
      </c>
      <c r="V1085">
        <v>9828000000</v>
      </c>
      <c r="W1085">
        <v>98224600800</v>
      </c>
      <c r="X1085">
        <v>99388600800</v>
      </c>
      <c r="Y1085">
        <v>2.6491043853384002</v>
      </c>
      <c r="Z1085">
        <v>252.66103760217979</v>
      </c>
      <c r="AA1085">
        <v>53.168922477064221</v>
      </c>
      <c r="AB1085">
        <v>730.13071496062992</v>
      </c>
      <c r="AC1085">
        <v>-186.19799357429719</v>
      </c>
      <c r="AD1085">
        <v>-247.93208770053479</v>
      </c>
      <c r="AE1085">
        <v>270.81362615803812</v>
      </c>
      <c r="AF1085">
        <v>267.64196403269762</v>
      </c>
      <c r="AG1085">
        <v>-199.5755036144578</v>
      </c>
      <c r="AH1085">
        <v>-197.23815421686751</v>
      </c>
      <c r="AI1085">
        <v>56.988876605504593</v>
      </c>
      <c r="AJ1085">
        <v>782.58740787401575</v>
      </c>
      <c r="AK1085">
        <v>56.321445412844042</v>
      </c>
      <c r="AL1085">
        <v>773.42205354330713</v>
      </c>
      <c r="AM1085">
        <v>2.8394309287775328</v>
      </c>
      <c r="AN1085">
        <v>2.8061766362883178</v>
      </c>
    </row>
    <row r="1086" spans="1:40" x14ac:dyDescent="0.25">
      <c r="A1086" s="1" t="s">
        <v>447</v>
      </c>
      <c r="B1086">
        <v>95098438880</v>
      </c>
      <c r="C1086" t="s">
        <v>73</v>
      </c>
      <c r="D1086" t="s">
        <v>105</v>
      </c>
      <c r="E1086">
        <v>35003000000</v>
      </c>
      <c r="F1086">
        <v>367000000</v>
      </c>
      <c r="G1086">
        <v>1744000000</v>
      </c>
      <c r="H1086">
        <v>127000000</v>
      </c>
      <c r="I1086">
        <v>-498000000</v>
      </c>
      <c r="J1086">
        <v>-374000000</v>
      </c>
      <c r="K1086">
        <v>4995000000</v>
      </c>
      <c r="L1086">
        <v>538000000</v>
      </c>
      <c r="M1086">
        <v>5533000000</v>
      </c>
      <c r="N1086">
        <v>10664000000</v>
      </c>
      <c r="O1086">
        <v>1646000000</v>
      </c>
      <c r="P1086">
        <v>179000000</v>
      </c>
      <c r="Q1086">
        <v>10852000000</v>
      </c>
      <c r="R1086">
        <v>8635000000</v>
      </c>
      <c r="S1086">
        <v>24240000000</v>
      </c>
      <c r="T1086">
        <v>0</v>
      </c>
      <c r="U1086">
        <v>1164000000</v>
      </c>
      <c r="V1086">
        <v>9828000000</v>
      </c>
      <c r="W1086">
        <v>100596438880</v>
      </c>
      <c r="X1086">
        <v>101760438880</v>
      </c>
      <c r="Y1086">
        <v>2.7168653795388971</v>
      </c>
      <c r="Z1086">
        <v>259.12381166212532</v>
      </c>
      <c r="AA1086">
        <v>54.528921376146791</v>
      </c>
      <c r="AB1086">
        <v>748.80660535433071</v>
      </c>
      <c r="AC1086">
        <v>-190.96072064257029</v>
      </c>
      <c r="AD1086">
        <v>-254.2739007486631</v>
      </c>
      <c r="AE1086">
        <v>277.27640021798368</v>
      </c>
      <c r="AF1086">
        <v>274.10473809264312</v>
      </c>
      <c r="AG1086">
        <v>-204.33823068273091</v>
      </c>
      <c r="AH1086">
        <v>-202.00088128514059</v>
      </c>
      <c r="AI1086">
        <v>58.348875504587163</v>
      </c>
      <c r="AJ1086">
        <v>801.26329826771655</v>
      </c>
      <c r="AK1086">
        <v>57.681444311926597</v>
      </c>
      <c r="AL1086">
        <v>792.09794393700793</v>
      </c>
      <c r="AM1086">
        <v>2.907191922978031</v>
      </c>
      <c r="AN1086">
        <v>2.8739376304888151</v>
      </c>
    </row>
    <row r="1087" spans="1:40" x14ac:dyDescent="0.25">
      <c r="A1087" s="1" t="s">
        <v>446</v>
      </c>
      <c r="B1087">
        <v>96570614240</v>
      </c>
      <c r="C1087" t="s">
        <v>73</v>
      </c>
      <c r="D1087" t="s">
        <v>105</v>
      </c>
      <c r="E1087">
        <v>35003000000</v>
      </c>
      <c r="F1087">
        <v>367000000</v>
      </c>
      <c r="G1087">
        <v>1744000000</v>
      </c>
      <c r="H1087">
        <v>127000000</v>
      </c>
      <c r="I1087">
        <v>-498000000</v>
      </c>
      <c r="J1087">
        <v>-374000000</v>
      </c>
      <c r="K1087">
        <v>4995000000</v>
      </c>
      <c r="L1087">
        <v>538000000</v>
      </c>
      <c r="M1087">
        <v>5533000000</v>
      </c>
      <c r="N1087">
        <v>10664000000</v>
      </c>
      <c r="O1087">
        <v>1646000000</v>
      </c>
      <c r="P1087">
        <v>179000000</v>
      </c>
      <c r="Q1087">
        <v>10852000000</v>
      </c>
      <c r="R1087">
        <v>8635000000</v>
      </c>
      <c r="S1087">
        <v>24240000000</v>
      </c>
      <c r="T1087">
        <v>0</v>
      </c>
      <c r="U1087">
        <v>1164000000</v>
      </c>
      <c r="V1087">
        <v>9828000000</v>
      </c>
      <c r="W1087">
        <v>102068614240</v>
      </c>
      <c r="X1087">
        <v>103232614240</v>
      </c>
      <c r="Y1087">
        <v>2.7589239276633428</v>
      </c>
      <c r="Z1087">
        <v>263.13518866485009</v>
      </c>
      <c r="AA1087">
        <v>55.373058623853211</v>
      </c>
      <c r="AB1087">
        <v>760.39853732283461</v>
      </c>
      <c r="AC1087">
        <v>-193.916896064257</v>
      </c>
      <c r="AD1087">
        <v>-258.21019850267379</v>
      </c>
      <c r="AE1087">
        <v>281.28777722070839</v>
      </c>
      <c r="AF1087">
        <v>278.11611509536777</v>
      </c>
      <c r="AG1087">
        <v>-207.2944061044177</v>
      </c>
      <c r="AH1087">
        <v>-204.9570567068273</v>
      </c>
      <c r="AI1087">
        <v>59.193012752293583</v>
      </c>
      <c r="AJ1087">
        <v>812.85523023622045</v>
      </c>
      <c r="AK1087">
        <v>58.525581559633032</v>
      </c>
      <c r="AL1087">
        <v>803.68987590551183</v>
      </c>
      <c r="AM1087">
        <v>2.9492504711024772</v>
      </c>
      <c r="AN1087">
        <v>2.9159961786132622</v>
      </c>
    </row>
    <row r="1088" spans="1:40" x14ac:dyDescent="0.25">
      <c r="A1088" s="1" t="s">
        <v>445</v>
      </c>
      <c r="B1088">
        <v>96182123520</v>
      </c>
      <c r="C1088" t="s">
        <v>73</v>
      </c>
      <c r="D1088" t="s">
        <v>105</v>
      </c>
      <c r="E1088">
        <v>35003000000</v>
      </c>
      <c r="F1088">
        <v>367000000</v>
      </c>
      <c r="G1088">
        <v>1744000000</v>
      </c>
      <c r="H1088">
        <v>127000000</v>
      </c>
      <c r="I1088">
        <v>-498000000</v>
      </c>
      <c r="J1088">
        <v>-374000000</v>
      </c>
      <c r="K1088">
        <v>4995000000</v>
      </c>
      <c r="L1088">
        <v>538000000</v>
      </c>
      <c r="M1088">
        <v>5533000000</v>
      </c>
      <c r="N1088">
        <v>10664000000</v>
      </c>
      <c r="O1088">
        <v>1646000000</v>
      </c>
      <c r="P1088">
        <v>179000000</v>
      </c>
      <c r="Q1088">
        <v>10852000000</v>
      </c>
      <c r="R1088">
        <v>8635000000</v>
      </c>
      <c r="S1088">
        <v>24240000000</v>
      </c>
      <c r="T1088">
        <v>0</v>
      </c>
      <c r="U1088">
        <v>1164000000</v>
      </c>
      <c r="V1088">
        <v>9828000000</v>
      </c>
      <c r="W1088">
        <v>101680123520</v>
      </c>
      <c r="X1088">
        <v>102844123520</v>
      </c>
      <c r="Y1088">
        <v>2.7478251441305028</v>
      </c>
      <c r="Z1088">
        <v>262.07663084468658</v>
      </c>
      <c r="AA1088">
        <v>55.150300183486237</v>
      </c>
      <c r="AB1088">
        <v>757.33955527559056</v>
      </c>
      <c r="AC1088">
        <v>-193.13679421686749</v>
      </c>
      <c r="AD1088">
        <v>-257.17145326203212</v>
      </c>
      <c r="AE1088">
        <v>280.22921940054488</v>
      </c>
      <c r="AF1088">
        <v>277.05755727520437</v>
      </c>
      <c r="AG1088">
        <v>-206.5143042570281</v>
      </c>
      <c r="AH1088">
        <v>-204.17695485943781</v>
      </c>
      <c r="AI1088">
        <v>58.970254311926602</v>
      </c>
      <c r="AJ1088">
        <v>809.79624818897639</v>
      </c>
      <c r="AK1088">
        <v>58.302823119266058</v>
      </c>
      <c r="AL1088">
        <v>800.63089385826777</v>
      </c>
      <c r="AM1088">
        <v>2.9381516875696372</v>
      </c>
      <c r="AN1088">
        <v>2.9048973950804222</v>
      </c>
    </row>
    <row r="1089" spans="1:40" x14ac:dyDescent="0.25">
      <c r="A1089" s="1" t="s">
        <v>444</v>
      </c>
      <c r="B1089">
        <v>95180226400</v>
      </c>
      <c r="C1089" t="s">
        <v>73</v>
      </c>
      <c r="D1089" t="s">
        <v>105</v>
      </c>
      <c r="E1089">
        <v>35003000000</v>
      </c>
      <c r="F1089">
        <v>367000000</v>
      </c>
      <c r="G1089">
        <v>1744000000</v>
      </c>
      <c r="H1089">
        <v>127000000</v>
      </c>
      <c r="I1089">
        <v>-498000000</v>
      </c>
      <c r="J1089">
        <v>-374000000</v>
      </c>
      <c r="K1089">
        <v>4995000000</v>
      </c>
      <c r="L1089">
        <v>538000000</v>
      </c>
      <c r="M1089">
        <v>5533000000</v>
      </c>
      <c r="N1089">
        <v>10664000000</v>
      </c>
      <c r="O1089">
        <v>1646000000</v>
      </c>
      <c r="P1089">
        <v>179000000</v>
      </c>
      <c r="Q1089">
        <v>10852000000</v>
      </c>
      <c r="R1089">
        <v>8635000000</v>
      </c>
      <c r="S1089">
        <v>24240000000</v>
      </c>
      <c r="T1089">
        <v>0</v>
      </c>
      <c r="U1089">
        <v>1164000000</v>
      </c>
      <c r="V1089">
        <v>9828000000</v>
      </c>
      <c r="W1089">
        <v>100678226400</v>
      </c>
      <c r="X1089">
        <v>101842226400</v>
      </c>
      <c r="Y1089">
        <v>2.71920196554581</v>
      </c>
      <c r="Z1089">
        <v>259.34666594005449</v>
      </c>
      <c r="AA1089">
        <v>54.575817889908258</v>
      </c>
      <c r="AB1089">
        <v>749.45060157480316</v>
      </c>
      <c r="AC1089">
        <v>-191.1249526104418</v>
      </c>
      <c r="AD1089">
        <v>-254.49258395721921</v>
      </c>
      <c r="AE1089">
        <v>277.49925449591279</v>
      </c>
      <c r="AF1089">
        <v>274.32759237057218</v>
      </c>
      <c r="AG1089">
        <v>-204.50246265060241</v>
      </c>
      <c r="AH1089">
        <v>-202.16511325301201</v>
      </c>
      <c r="AI1089">
        <v>58.395772018348623</v>
      </c>
      <c r="AJ1089">
        <v>801.907294488189</v>
      </c>
      <c r="AK1089">
        <v>57.728340825688072</v>
      </c>
      <c r="AL1089">
        <v>792.74194015748037</v>
      </c>
      <c r="AM1089">
        <v>2.9095285089849439</v>
      </c>
      <c r="AN1089">
        <v>2.8762742164957289</v>
      </c>
    </row>
    <row r="1090" spans="1:40" x14ac:dyDescent="0.25">
      <c r="A1090" s="1" t="s">
        <v>443</v>
      </c>
      <c r="B1090">
        <v>93851179200</v>
      </c>
      <c r="C1090" t="s">
        <v>73</v>
      </c>
      <c r="D1090" t="s">
        <v>105</v>
      </c>
      <c r="E1090">
        <v>35003000000</v>
      </c>
      <c r="F1090">
        <v>367000000</v>
      </c>
      <c r="G1090">
        <v>1744000000</v>
      </c>
      <c r="H1090">
        <v>127000000</v>
      </c>
      <c r="I1090">
        <v>-498000000</v>
      </c>
      <c r="J1090">
        <v>-374000000</v>
      </c>
      <c r="K1090">
        <v>4995000000</v>
      </c>
      <c r="L1090">
        <v>538000000</v>
      </c>
      <c r="M1090">
        <v>5533000000</v>
      </c>
      <c r="N1090">
        <v>10664000000</v>
      </c>
      <c r="O1090">
        <v>1646000000</v>
      </c>
      <c r="P1090">
        <v>179000000</v>
      </c>
      <c r="Q1090">
        <v>10852000000</v>
      </c>
      <c r="R1090">
        <v>8635000000</v>
      </c>
      <c r="S1090">
        <v>24240000000</v>
      </c>
      <c r="T1090">
        <v>0</v>
      </c>
      <c r="U1090">
        <v>1164000000</v>
      </c>
      <c r="V1090">
        <v>9828000000</v>
      </c>
      <c r="W1090">
        <v>99349179200</v>
      </c>
      <c r="X1090">
        <v>100513179200</v>
      </c>
      <c r="Y1090">
        <v>2.6812324429334629</v>
      </c>
      <c r="Z1090">
        <v>255.72528392370569</v>
      </c>
      <c r="AA1090">
        <v>53.813749541284402</v>
      </c>
      <c r="AB1090">
        <v>738.98566299212598</v>
      </c>
      <c r="AC1090">
        <v>-188.4561831325301</v>
      </c>
      <c r="AD1090">
        <v>-250.93898181818179</v>
      </c>
      <c r="AE1090">
        <v>273.87787247956402</v>
      </c>
      <c r="AF1090">
        <v>270.70621035422351</v>
      </c>
      <c r="AG1090">
        <v>-201.8336931726908</v>
      </c>
      <c r="AH1090">
        <v>-199.4963437751004</v>
      </c>
      <c r="AI1090">
        <v>57.633703669724767</v>
      </c>
      <c r="AJ1090">
        <v>791.44235590551182</v>
      </c>
      <c r="AK1090">
        <v>56.966272477064223</v>
      </c>
      <c r="AL1090">
        <v>782.27700157480319</v>
      </c>
      <c r="AM1090">
        <v>2.8715589863725972</v>
      </c>
      <c r="AN1090">
        <v>2.8383046938833809</v>
      </c>
    </row>
    <row r="1091" spans="1:40" x14ac:dyDescent="0.25">
      <c r="A1091" s="1" t="s">
        <v>442</v>
      </c>
      <c r="B1091">
        <v>94607713760</v>
      </c>
      <c r="C1091" t="s">
        <v>73</v>
      </c>
      <c r="D1091" t="s">
        <v>105</v>
      </c>
      <c r="E1091">
        <v>35003000000</v>
      </c>
      <c r="F1091">
        <v>367000000</v>
      </c>
      <c r="G1091">
        <v>1744000000</v>
      </c>
      <c r="H1091">
        <v>127000000</v>
      </c>
      <c r="I1091">
        <v>-498000000</v>
      </c>
      <c r="J1091">
        <v>-374000000</v>
      </c>
      <c r="K1091">
        <v>4995000000</v>
      </c>
      <c r="L1091">
        <v>538000000</v>
      </c>
      <c r="M1091">
        <v>5533000000</v>
      </c>
      <c r="N1091">
        <v>10664000000</v>
      </c>
      <c r="O1091">
        <v>1646000000</v>
      </c>
      <c r="P1091">
        <v>179000000</v>
      </c>
      <c r="Q1091">
        <v>10852000000</v>
      </c>
      <c r="R1091">
        <v>8635000000</v>
      </c>
      <c r="S1091">
        <v>24240000000</v>
      </c>
      <c r="T1091">
        <v>0</v>
      </c>
      <c r="U1091">
        <v>1164000000</v>
      </c>
      <c r="V1091">
        <v>9828000000</v>
      </c>
      <c r="W1091">
        <v>100105713760</v>
      </c>
      <c r="X1091">
        <v>101269713760</v>
      </c>
      <c r="Y1091">
        <v>2.702845863497414</v>
      </c>
      <c r="Z1091">
        <v>257.7866859945504</v>
      </c>
      <c r="AA1091">
        <v>54.247542293577979</v>
      </c>
      <c r="AB1091">
        <v>744.94262803149604</v>
      </c>
      <c r="AC1091">
        <v>-189.9753288353414</v>
      </c>
      <c r="AD1091">
        <v>-252.96180149732621</v>
      </c>
      <c r="AE1091">
        <v>275.9392745504087</v>
      </c>
      <c r="AF1091">
        <v>272.76761242506808</v>
      </c>
      <c r="AG1091">
        <v>-203.35283887550199</v>
      </c>
      <c r="AH1091">
        <v>-201.01548947791159</v>
      </c>
      <c r="AI1091">
        <v>58.067496422018351</v>
      </c>
      <c r="AJ1091">
        <v>797.39932094488188</v>
      </c>
      <c r="AK1091">
        <v>57.4000652293578</v>
      </c>
      <c r="AL1091">
        <v>788.23396661417326</v>
      </c>
      <c r="AM1091">
        <v>2.8931724069365479</v>
      </c>
      <c r="AN1091">
        <v>2.8599181144473329</v>
      </c>
    </row>
    <row r="1092" spans="1:40" x14ac:dyDescent="0.25">
      <c r="A1092" s="1" t="s">
        <v>441</v>
      </c>
      <c r="B1092">
        <v>96591061120</v>
      </c>
      <c r="C1092" t="s">
        <v>73</v>
      </c>
      <c r="D1092" t="s">
        <v>105</v>
      </c>
      <c r="E1092">
        <v>35003000000</v>
      </c>
      <c r="F1092">
        <v>367000000</v>
      </c>
      <c r="G1092">
        <v>1744000000</v>
      </c>
      <c r="H1092">
        <v>127000000</v>
      </c>
      <c r="I1092">
        <v>-498000000</v>
      </c>
      <c r="J1092">
        <v>-374000000</v>
      </c>
      <c r="K1092">
        <v>4995000000</v>
      </c>
      <c r="L1092">
        <v>538000000</v>
      </c>
      <c r="M1092">
        <v>5533000000</v>
      </c>
      <c r="N1092">
        <v>10664000000</v>
      </c>
      <c r="O1092">
        <v>1646000000</v>
      </c>
      <c r="P1092">
        <v>179000000</v>
      </c>
      <c r="Q1092">
        <v>10852000000</v>
      </c>
      <c r="R1092">
        <v>8635000000</v>
      </c>
      <c r="S1092">
        <v>24240000000</v>
      </c>
      <c r="T1092">
        <v>0</v>
      </c>
      <c r="U1092">
        <v>1164000000</v>
      </c>
      <c r="V1092">
        <v>9828000000</v>
      </c>
      <c r="W1092">
        <v>102089061120</v>
      </c>
      <c r="X1092">
        <v>103253061120</v>
      </c>
      <c r="Y1092">
        <v>2.7595080741650722</v>
      </c>
      <c r="Z1092">
        <v>263.19090223433238</v>
      </c>
      <c r="AA1092">
        <v>55.384782752293567</v>
      </c>
      <c r="AB1092">
        <v>760.55953637795278</v>
      </c>
      <c r="AC1092">
        <v>-193.95795405622491</v>
      </c>
      <c r="AD1092">
        <v>-258.26486930481292</v>
      </c>
      <c r="AE1092">
        <v>281.34349079019069</v>
      </c>
      <c r="AF1092">
        <v>278.17182866485012</v>
      </c>
      <c r="AG1092">
        <v>-207.33546409638561</v>
      </c>
      <c r="AH1092">
        <v>-204.99811469879521</v>
      </c>
      <c r="AI1092">
        <v>59.204736880733947</v>
      </c>
      <c r="AJ1092">
        <v>813.01622929133862</v>
      </c>
      <c r="AK1092">
        <v>58.537305688073403</v>
      </c>
      <c r="AL1092">
        <v>803.85087496062988</v>
      </c>
      <c r="AM1092">
        <v>2.9498346176042052</v>
      </c>
      <c r="AN1092">
        <v>2.9165803251149902</v>
      </c>
    </row>
    <row r="1093" spans="1:40" x14ac:dyDescent="0.25">
      <c r="A1093" s="1" t="s">
        <v>440</v>
      </c>
      <c r="B1093">
        <v>100067030720</v>
      </c>
      <c r="C1093" t="s">
        <v>73</v>
      </c>
      <c r="D1093" t="s">
        <v>105</v>
      </c>
      <c r="E1093">
        <v>35003000000</v>
      </c>
      <c r="F1093">
        <v>367000000</v>
      </c>
      <c r="G1093">
        <v>1744000000</v>
      </c>
      <c r="H1093">
        <v>127000000</v>
      </c>
      <c r="I1093">
        <v>-498000000</v>
      </c>
      <c r="J1093">
        <v>-374000000</v>
      </c>
      <c r="K1093">
        <v>4995000000</v>
      </c>
      <c r="L1093">
        <v>538000000</v>
      </c>
      <c r="M1093">
        <v>5533000000</v>
      </c>
      <c r="N1093">
        <v>10664000000</v>
      </c>
      <c r="O1093">
        <v>1646000000</v>
      </c>
      <c r="P1093">
        <v>179000000</v>
      </c>
      <c r="Q1093">
        <v>10852000000</v>
      </c>
      <c r="R1093">
        <v>8635000000</v>
      </c>
      <c r="S1093">
        <v>24240000000</v>
      </c>
      <c r="T1093">
        <v>0</v>
      </c>
      <c r="U1093">
        <v>1164000000</v>
      </c>
      <c r="V1093">
        <v>9828000000</v>
      </c>
      <c r="W1093">
        <v>105565030720</v>
      </c>
      <c r="X1093">
        <v>106729030720</v>
      </c>
      <c r="Y1093">
        <v>2.8588129794589041</v>
      </c>
      <c r="Z1093">
        <v>272.66220904632149</v>
      </c>
      <c r="AA1093">
        <v>57.377884587155961</v>
      </c>
      <c r="AB1093">
        <v>787.92937574803148</v>
      </c>
      <c r="AC1093">
        <v>-200.93781269076311</v>
      </c>
      <c r="AD1093">
        <v>-267.5589056684492</v>
      </c>
      <c r="AE1093">
        <v>290.81479760217991</v>
      </c>
      <c r="AF1093">
        <v>287.64313547683918</v>
      </c>
      <c r="AG1093">
        <v>-214.3153227309237</v>
      </c>
      <c r="AH1093">
        <v>-211.9779733333333</v>
      </c>
      <c r="AI1093">
        <v>61.197838715596333</v>
      </c>
      <c r="AJ1093">
        <v>840.38606866141731</v>
      </c>
      <c r="AK1093">
        <v>60.530407522935782</v>
      </c>
      <c r="AL1093">
        <v>831.22071433070869</v>
      </c>
      <c r="AM1093">
        <v>3.0491395228980371</v>
      </c>
      <c r="AN1093">
        <v>3.0158852304088222</v>
      </c>
    </row>
    <row r="1094" spans="1:40" x14ac:dyDescent="0.25">
      <c r="A1094" s="1" t="s">
        <v>439</v>
      </c>
      <c r="B1094">
        <v>97981448960</v>
      </c>
      <c r="C1094" t="s">
        <v>73</v>
      </c>
      <c r="D1094" t="s">
        <v>105</v>
      </c>
      <c r="E1094">
        <v>35003000000</v>
      </c>
      <c r="F1094">
        <v>367000000</v>
      </c>
      <c r="G1094">
        <v>1744000000</v>
      </c>
      <c r="H1094">
        <v>127000000</v>
      </c>
      <c r="I1094">
        <v>-498000000</v>
      </c>
      <c r="J1094">
        <v>-374000000</v>
      </c>
      <c r="K1094">
        <v>4995000000</v>
      </c>
      <c r="L1094">
        <v>538000000</v>
      </c>
      <c r="M1094">
        <v>5533000000</v>
      </c>
      <c r="N1094">
        <v>10664000000</v>
      </c>
      <c r="O1094">
        <v>1646000000</v>
      </c>
      <c r="P1094">
        <v>179000000</v>
      </c>
      <c r="Q1094">
        <v>10852000000</v>
      </c>
      <c r="R1094">
        <v>8635000000</v>
      </c>
      <c r="S1094">
        <v>24240000000</v>
      </c>
      <c r="T1094">
        <v>0</v>
      </c>
      <c r="U1094">
        <v>1164000000</v>
      </c>
      <c r="V1094">
        <v>9828000000</v>
      </c>
      <c r="W1094">
        <v>103479448960</v>
      </c>
      <c r="X1094">
        <v>104643448960</v>
      </c>
      <c r="Y1094">
        <v>2.7992300362826041</v>
      </c>
      <c r="Z1094">
        <v>266.97942495912798</v>
      </c>
      <c r="AA1094">
        <v>56.182023486238528</v>
      </c>
      <c r="AB1094">
        <v>771.50747212598424</v>
      </c>
      <c r="AC1094">
        <v>-196.7498975100402</v>
      </c>
      <c r="AD1094">
        <v>-261.98248385026739</v>
      </c>
      <c r="AE1094">
        <v>285.1320135149864</v>
      </c>
      <c r="AF1094">
        <v>281.96035138964578</v>
      </c>
      <c r="AG1094">
        <v>-210.12740755020079</v>
      </c>
      <c r="AH1094">
        <v>-207.79005815261041</v>
      </c>
      <c r="AI1094">
        <v>60.0019776146789</v>
      </c>
      <c r="AJ1094">
        <v>823.96416503937007</v>
      </c>
      <c r="AK1094">
        <v>59.334546422018349</v>
      </c>
      <c r="AL1094">
        <v>814.79881070866145</v>
      </c>
      <c r="AM1094">
        <v>2.989556579721738</v>
      </c>
      <c r="AN1094">
        <v>2.9563022872325231</v>
      </c>
    </row>
    <row r="1095" spans="1:40" x14ac:dyDescent="0.25">
      <c r="A1095" s="1" t="s">
        <v>438</v>
      </c>
      <c r="B1095">
        <v>98472174080</v>
      </c>
      <c r="C1095" t="s">
        <v>73</v>
      </c>
      <c r="D1095" t="s">
        <v>105</v>
      </c>
      <c r="E1095">
        <v>35003000000</v>
      </c>
      <c r="F1095">
        <v>367000000</v>
      </c>
      <c r="G1095">
        <v>1744000000</v>
      </c>
      <c r="H1095">
        <v>127000000</v>
      </c>
      <c r="I1095">
        <v>-498000000</v>
      </c>
      <c r="J1095">
        <v>-374000000</v>
      </c>
      <c r="K1095">
        <v>4995000000</v>
      </c>
      <c r="L1095">
        <v>538000000</v>
      </c>
      <c r="M1095">
        <v>5533000000</v>
      </c>
      <c r="N1095">
        <v>10664000000</v>
      </c>
      <c r="O1095">
        <v>1646000000</v>
      </c>
      <c r="P1095">
        <v>179000000</v>
      </c>
      <c r="Q1095">
        <v>10852000000</v>
      </c>
      <c r="R1095">
        <v>8635000000</v>
      </c>
      <c r="S1095">
        <v>24240000000</v>
      </c>
      <c r="T1095">
        <v>0</v>
      </c>
      <c r="U1095">
        <v>1164000000</v>
      </c>
      <c r="V1095">
        <v>9828000000</v>
      </c>
      <c r="W1095">
        <v>103970174080</v>
      </c>
      <c r="X1095">
        <v>105134174080</v>
      </c>
      <c r="Y1095">
        <v>2.8132495523240859</v>
      </c>
      <c r="Z1095">
        <v>268.31655062670302</v>
      </c>
      <c r="AA1095">
        <v>56.463402568807339</v>
      </c>
      <c r="AB1095">
        <v>775.37144944881891</v>
      </c>
      <c r="AC1095">
        <v>-197.73528931726909</v>
      </c>
      <c r="AD1095">
        <v>-263.2945831016043</v>
      </c>
      <c r="AE1095">
        <v>286.46913918256132</v>
      </c>
      <c r="AF1095">
        <v>283.2974770572207</v>
      </c>
      <c r="AG1095">
        <v>-211.11279935742971</v>
      </c>
      <c r="AH1095">
        <v>-208.77544995983939</v>
      </c>
      <c r="AI1095">
        <v>60.283356697247697</v>
      </c>
      <c r="AJ1095">
        <v>827.82814236220474</v>
      </c>
      <c r="AK1095">
        <v>59.615925504587153</v>
      </c>
      <c r="AL1095">
        <v>818.66278803149601</v>
      </c>
      <c r="AM1095">
        <v>3.0035760957632198</v>
      </c>
      <c r="AN1095">
        <v>2.9703218032740049</v>
      </c>
    </row>
    <row r="1096" spans="1:40" x14ac:dyDescent="0.25">
      <c r="A1096" s="1" t="s">
        <v>437</v>
      </c>
      <c r="B1096">
        <v>98799324160</v>
      </c>
      <c r="C1096" t="s">
        <v>73</v>
      </c>
      <c r="D1096" t="s">
        <v>105</v>
      </c>
      <c r="E1096">
        <v>35003000000</v>
      </c>
      <c r="F1096">
        <v>367000000</v>
      </c>
      <c r="G1096">
        <v>1744000000</v>
      </c>
      <c r="H1096">
        <v>127000000</v>
      </c>
      <c r="I1096">
        <v>-498000000</v>
      </c>
      <c r="J1096">
        <v>-374000000</v>
      </c>
      <c r="K1096">
        <v>4995000000</v>
      </c>
      <c r="L1096">
        <v>538000000</v>
      </c>
      <c r="M1096">
        <v>5533000000</v>
      </c>
      <c r="N1096">
        <v>10664000000</v>
      </c>
      <c r="O1096">
        <v>1646000000</v>
      </c>
      <c r="P1096">
        <v>179000000</v>
      </c>
      <c r="Q1096">
        <v>10852000000</v>
      </c>
      <c r="R1096">
        <v>8635000000</v>
      </c>
      <c r="S1096">
        <v>24240000000</v>
      </c>
      <c r="T1096">
        <v>0</v>
      </c>
      <c r="U1096">
        <v>1164000000</v>
      </c>
      <c r="V1096">
        <v>9828000000</v>
      </c>
      <c r="W1096">
        <v>104297324160</v>
      </c>
      <c r="X1096">
        <v>105461324160</v>
      </c>
      <c r="Y1096">
        <v>2.822595896351741</v>
      </c>
      <c r="Z1096">
        <v>269.2079677384196</v>
      </c>
      <c r="AA1096">
        <v>56.650988623853209</v>
      </c>
      <c r="AB1096">
        <v>777.94743433070869</v>
      </c>
      <c r="AC1096">
        <v>-198.39221718875501</v>
      </c>
      <c r="AD1096">
        <v>-264.16931593582888</v>
      </c>
      <c r="AE1096">
        <v>287.36055629427801</v>
      </c>
      <c r="AF1096">
        <v>284.18889416893728</v>
      </c>
      <c r="AG1096">
        <v>-211.76972722891571</v>
      </c>
      <c r="AH1096">
        <v>-209.43237783132531</v>
      </c>
      <c r="AI1096">
        <v>60.470942752293581</v>
      </c>
      <c r="AJ1096">
        <v>830.40412724409452</v>
      </c>
      <c r="AK1096">
        <v>59.80351155963303</v>
      </c>
      <c r="AL1096">
        <v>821.23877291338579</v>
      </c>
      <c r="AM1096">
        <v>3.0129224397908749</v>
      </c>
      <c r="AN1096">
        <v>2.97966814730166</v>
      </c>
    </row>
    <row r="1097" spans="1:40" x14ac:dyDescent="0.25">
      <c r="A1097" s="1" t="s">
        <v>436</v>
      </c>
      <c r="B1097">
        <v>97163573760</v>
      </c>
      <c r="C1097" t="s">
        <v>73</v>
      </c>
      <c r="D1097" t="s">
        <v>105</v>
      </c>
      <c r="E1097">
        <v>35003000000</v>
      </c>
      <c r="F1097">
        <v>367000000</v>
      </c>
      <c r="G1097">
        <v>1744000000</v>
      </c>
      <c r="H1097">
        <v>127000000</v>
      </c>
      <c r="I1097">
        <v>-498000000</v>
      </c>
      <c r="J1097">
        <v>-374000000</v>
      </c>
      <c r="K1097">
        <v>4995000000</v>
      </c>
      <c r="L1097">
        <v>538000000</v>
      </c>
      <c r="M1097">
        <v>5533000000</v>
      </c>
      <c r="N1097">
        <v>10664000000</v>
      </c>
      <c r="O1097">
        <v>1646000000</v>
      </c>
      <c r="P1097">
        <v>179000000</v>
      </c>
      <c r="Q1097">
        <v>10852000000</v>
      </c>
      <c r="R1097">
        <v>8635000000</v>
      </c>
      <c r="S1097">
        <v>24240000000</v>
      </c>
      <c r="T1097">
        <v>0</v>
      </c>
      <c r="U1097">
        <v>1164000000</v>
      </c>
      <c r="V1097">
        <v>9828000000</v>
      </c>
      <c r="W1097">
        <v>102661573760</v>
      </c>
      <c r="X1097">
        <v>103825573760</v>
      </c>
      <c r="Y1097">
        <v>2.7758641762134668</v>
      </c>
      <c r="Z1097">
        <v>264.75088217983648</v>
      </c>
      <c r="AA1097">
        <v>55.713058348623854</v>
      </c>
      <c r="AB1097">
        <v>765.0675099212599</v>
      </c>
      <c r="AC1097">
        <v>-195.1075778313253</v>
      </c>
      <c r="AD1097">
        <v>-259.79565176470589</v>
      </c>
      <c r="AE1097">
        <v>282.90347073569478</v>
      </c>
      <c r="AF1097">
        <v>279.73180861035422</v>
      </c>
      <c r="AG1097">
        <v>-208.48508787148589</v>
      </c>
      <c r="AH1097">
        <v>-206.1477384738956</v>
      </c>
      <c r="AI1097">
        <v>59.533012477064219</v>
      </c>
      <c r="AJ1097">
        <v>817.52420283464562</v>
      </c>
      <c r="AK1097">
        <v>58.865581284403667</v>
      </c>
      <c r="AL1097">
        <v>808.358848503937</v>
      </c>
      <c r="AM1097">
        <v>2.9661907196526012</v>
      </c>
      <c r="AN1097">
        <v>2.9329364271633862</v>
      </c>
    </row>
    <row r="1098" spans="1:40" x14ac:dyDescent="0.25">
      <c r="A1098" s="1" t="s">
        <v>435</v>
      </c>
      <c r="B1098">
        <v>95098438880</v>
      </c>
      <c r="C1098" t="s">
        <v>73</v>
      </c>
      <c r="D1098" t="s">
        <v>105</v>
      </c>
      <c r="E1098">
        <v>35003000000</v>
      </c>
      <c r="F1098">
        <v>367000000</v>
      </c>
      <c r="G1098">
        <v>1744000000</v>
      </c>
      <c r="H1098">
        <v>127000000</v>
      </c>
      <c r="I1098">
        <v>-498000000</v>
      </c>
      <c r="J1098">
        <v>-374000000</v>
      </c>
      <c r="K1098">
        <v>4995000000</v>
      </c>
      <c r="L1098">
        <v>538000000</v>
      </c>
      <c r="M1098">
        <v>5533000000</v>
      </c>
      <c r="N1098">
        <v>10664000000</v>
      </c>
      <c r="O1098">
        <v>1646000000</v>
      </c>
      <c r="P1098">
        <v>179000000</v>
      </c>
      <c r="Q1098">
        <v>10852000000</v>
      </c>
      <c r="R1098">
        <v>8635000000</v>
      </c>
      <c r="S1098">
        <v>24240000000</v>
      </c>
      <c r="T1098">
        <v>0</v>
      </c>
      <c r="U1098">
        <v>1164000000</v>
      </c>
      <c r="V1098">
        <v>9828000000</v>
      </c>
      <c r="W1098">
        <v>100596438880</v>
      </c>
      <c r="X1098">
        <v>101760438880</v>
      </c>
      <c r="Y1098">
        <v>2.7168653795388971</v>
      </c>
      <c r="Z1098">
        <v>259.12381166212532</v>
      </c>
      <c r="AA1098">
        <v>54.528921376146791</v>
      </c>
      <c r="AB1098">
        <v>748.80660535433071</v>
      </c>
      <c r="AC1098">
        <v>-190.96072064257029</v>
      </c>
      <c r="AD1098">
        <v>-254.2739007486631</v>
      </c>
      <c r="AE1098">
        <v>277.27640021798368</v>
      </c>
      <c r="AF1098">
        <v>274.10473809264312</v>
      </c>
      <c r="AG1098">
        <v>-204.33823068273091</v>
      </c>
      <c r="AH1098">
        <v>-202.00088128514059</v>
      </c>
      <c r="AI1098">
        <v>58.348875504587163</v>
      </c>
      <c r="AJ1098">
        <v>801.26329826771655</v>
      </c>
      <c r="AK1098">
        <v>57.681444311926597</v>
      </c>
      <c r="AL1098">
        <v>792.09794393700793</v>
      </c>
      <c r="AM1098">
        <v>2.907191922978031</v>
      </c>
      <c r="AN1098">
        <v>2.8739376304888151</v>
      </c>
    </row>
    <row r="1099" spans="1:40" x14ac:dyDescent="0.25">
      <c r="A1099" s="1" t="s">
        <v>434</v>
      </c>
      <c r="B1099">
        <v>97306701920</v>
      </c>
      <c r="C1099" t="s">
        <v>73</v>
      </c>
      <c r="D1099" t="s">
        <v>105</v>
      </c>
      <c r="E1099">
        <v>35003000000</v>
      </c>
      <c r="F1099">
        <v>367000000</v>
      </c>
      <c r="G1099">
        <v>1744000000</v>
      </c>
      <c r="H1099">
        <v>127000000</v>
      </c>
      <c r="I1099">
        <v>-498000000</v>
      </c>
      <c r="J1099">
        <v>-374000000</v>
      </c>
      <c r="K1099">
        <v>4995000000</v>
      </c>
      <c r="L1099">
        <v>538000000</v>
      </c>
      <c r="M1099">
        <v>5533000000</v>
      </c>
      <c r="N1099">
        <v>10664000000</v>
      </c>
      <c r="O1099">
        <v>1646000000</v>
      </c>
      <c r="P1099">
        <v>179000000</v>
      </c>
      <c r="Q1099">
        <v>10852000000</v>
      </c>
      <c r="R1099">
        <v>8635000000</v>
      </c>
      <c r="S1099">
        <v>24240000000</v>
      </c>
      <c r="T1099">
        <v>0</v>
      </c>
      <c r="U1099">
        <v>1164000000</v>
      </c>
      <c r="V1099">
        <v>9828000000</v>
      </c>
      <c r="W1099">
        <v>102804701920</v>
      </c>
      <c r="X1099">
        <v>103968701920</v>
      </c>
      <c r="Y1099">
        <v>2.7799532017255659</v>
      </c>
      <c r="Z1099">
        <v>265.14087716621248</v>
      </c>
      <c r="AA1099">
        <v>55.795127247706432</v>
      </c>
      <c r="AB1099">
        <v>766.19450330708662</v>
      </c>
      <c r="AC1099">
        <v>-195.3949837751004</v>
      </c>
      <c r="AD1099">
        <v>-260.17834737967922</v>
      </c>
      <c r="AE1099">
        <v>283.29346572207078</v>
      </c>
      <c r="AF1099">
        <v>280.12180359673022</v>
      </c>
      <c r="AG1099">
        <v>-208.77249381526099</v>
      </c>
      <c r="AH1099">
        <v>-206.4351444176707</v>
      </c>
      <c r="AI1099">
        <v>59.61508137614679</v>
      </c>
      <c r="AJ1099">
        <v>818.65119622047246</v>
      </c>
      <c r="AK1099">
        <v>58.947650183486239</v>
      </c>
      <c r="AL1099">
        <v>809.48584188976383</v>
      </c>
      <c r="AM1099">
        <v>2.9702797451646998</v>
      </c>
      <c r="AN1099">
        <v>2.9370254526754849</v>
      </c>
    </row>
    <row r="1100" spans="1:40" x14ac:dyDescent="0.25">
      <c r="A1100" s="1" t="s">
        <v>433</v>
      </c>
      <c r="B1100">
        <v>95180226400</v>
      </c>
      <c r="C1100" t="s">
        <v>73</v>
      </c>
      <c r="D1100" t="s">
        <v>105</v>
      </c>
      <c r="E1100">
        <v>35003000000</v>
      </c>
      <c r="F1100">
        <v>367000000</v>
      </c>
      <c r="G1100">
        <v>1744000000</v>
      </c>
      <c r="H1100">
        <v>127000000</v>
      </c>
      <c r="I1100">
        <v>-498000000</v>
      </c>
      <c r="J1100">
        <v>-374000000</v>
      </c>
      <c r="K1100">
        <v>4995000000</v>
      </c>
      <c r="L1100">
        <v>538000000</v>
      </c>
      <c r="M1100">
        <v>5533000000</v>
      </c>
      <c r="N1100">
        <v>10664000000</v>
      </c>
      <c r="O1100">
        <v>1646000000</v>
      </c>
      <c r="P1100">
        <v>179000000</v>
      </c>
      <c r="Q1100">
        <v>10852000000</v>
      </c>
      <c r="R1100">
        <v>8635000000</v>
      </c>
      <c r="S1100">
        <v>24240000000</v>
      </c>
      <c r="T1100">
        <v>0</v>
      </c>
      <c r="U1100">
        <v>1164000000</v>
      </c>
      <c r="V1100">
        <v>9828000000</v>
      </c>
      <c r="W1100">
        <v>100678226400</v>
      </c>
      <c r="X1100">
        <v>101842226400</v>
      </c>
      <c r="Y1100">
        <v>2.71920196554581</v>
      </c>
      <c r="Z1100">
        <v>259.34666594005449</v>
      </c>
      <c r="AA1100">
        <v>54.575817889908258</v>
      </c>
      <c r="AB1100">
        <v>749.45060157480316</v>
      </c>
      <c r="AC1100">
        <v>-191.1249526104418</v>
      </c>
      <c r="AD1100">
        <v>-254.49258395721921</v>
      </c>
      <c r="AE1100">
        <v>277.49925449591279</v>
      </c>
      <c r="AF1100">
        <v>274.32759237057218</v>
      </c>
      <c r="AG1100">
        <v>-204.50246265060241</v>
      </c>
      <c r="AH1100">
        <v>-202.16511325301201</v>
      </c>
      <c r="AI1100">
        <v>58.395772018348623</v>
      </c>
      <c r="AJ1100">
        <v>801.907294488189</v>
      </c>
      <c r="AK1100">
        <v>57.728340825688072</v>
      </c>
      <c r="AL1100">
        <v>792.74194015748037</v>
      </c>
      <c r="AM1100">
        <v>2.9095285089849439</v>
      </c>
      <c r="AN1100">
        <v>2.8762742164957289</v>
      </c>
    </row>
    <row r="1101" spans="1:40" x14ac:dyDescent="0.25">
      <c r="A1101" s="1" t="s">
        <v>432</v>
      </c>
      <c r="B1101">
        <v>91193084800</v>
      </c>
      <c r="C1101" t="s">
        <v>73</v>
      </c>
      <c r="D1101" t="s">
        <v>105</v>
      </c>
      <c r="E1101">
        <v>35003000000</v>
      </c>
      <c r="F1101">
        <v>367000000</v>
      </c>
      <c r="G1101">
        <v>1744000000</v>
      </c>
      <c r="H1101">
        <v>127000000</v>
      </c>
      <c r="I1101">
        <v>-498000000</v>
      </c>
      <c r="J1101">
        <v>-374000000</v>
      </c>
      <c r="K1101">
        <v>4995000000</v>
      </c>
      <c r="L1101">
        <v>538000000</v>
      </c>
      <c r="M1101">
        <v>5533000000</v>
      </c>
      <c r="N1101">
        <v>10664000000</v>
      </c>
      <c r="O1101">
        <v>1646000000</v>
      </c>
      <c r="P1101">
        <v>179000000</v>
      </c>
      <c r="Q1101">
        <v>10852000000</v>
      </c>
      <c r="R1101">
        <v>8635000000</v>
      </c>
      <c r="S1101">
        <v>24240000000</v>
      </c>
      <c r="T1101">
        <v>0</v>
      </c>
      <c r="U1101">
        <v>1164000000</v>
      </c>
      <c r="V1101">
        <v>9828000000</v>
      </c>
      <c r="W1101">
        <v>96691084800</v>
      </c>
      <c r="X1101">
        <v>97855084800</v>
      </c>
      <c r="Y1101">
        <v>2.6052933977087682</v>
      </c>
      <c r="Z1101">
        <v>248.4825198910082</v>
      </c>
      <c r="AA1101">
        <v>52.289612844036697</v>
      </c>
      <c r="AB1101">
        <v>718.05578582677163</v>
      </c>
      <c r="AC1101">
        <v>-183.11864417670679</v>
      </c>
      <c r="AD1101">
        <v>-243.83177754010691</v>
      </c>
      <c r="AE1101">
        <v>266.63510844686652</v>
      </c>
      <c r="AF1101">
        <v>263.46344632152591</v>
      </c>
      <c r="AG1101">
        <v>-196.4961542168675</v>
      </c>
      <c r="AH1101">
        <v>-194.15880481927709</v>
      </c>
      <c r="AI1101">
        <v>56.109566972477062</v>
      </c>
      <c r="AJ1101">
        <v>770.51247874015746</v>
      </c>
      <c r="AK1101">
        <v>55.44213577981651</v>
      </c>
      <c r="AL1101">
        <v>761.34712440944884</v>
      </c>
      <c r="AM1101">
        <v>2.7956199411479021</v>
      </c>
      <c r="AN1101">
        <v>2.7623656486586858</v>
      </c>
    </row>
    <row r="1102" spans="1:40" x14ac:dyDescent="0.25">
      <c r="A1102" s="1" t="s">
        <v>431</v>
      </c>
      <c r="B1102">
        <v>90804594080</v>
      </c>
      <c r="C1102" t="s">
        <v>73</v>
      </c>
      <c r="D1102" t="s">
        <v>105</v>
      </c>
      <c r="E1102">
        <v>35003000000</v>
      </c>
      <c r="F1102">
        <v>367000000</v>
      </c>
      <c r="G1102">
        <v>1744000000</v>
      </c>
      <c r="H1102">
        <v>127000000</v>
      </c>
      <c r="I1102">
        <v>-498000000</v>
      </c>
      <c r="J1102">
        <v>-374000000</v>
      </c>
      <c r="K1102">
        <v>4995000000</v>
      </c>
      <c r="L1102">
        <v>538000000</v>
      </c>
      <c r="M1102">
        <v>5533000000</v>
      </c>
      <c r="N1102">
        <v>10664000000</v>
      </c>
      <c r="O1102">
        <v>1646000000</v>
      </c>
      <c r="P1102">
        <v>179000000</v>
      </c>
      <c r="Q1102">
        <v>10852000000</v>
      </c>
      <c r="R1102">
        <v>8635000000</v>
      </c>
      <c r="S1102">
        <v>24240000000</v>
      </c>
      <c r="T1102">
        <v>0</v>
      </c>
      <c r="U1102">
        <v>1164000000</v>
      </c>
      <c r="V1102">
        <v>9828000000</v>
      </c>
      <c r="W1102">
        <v>96302594080</v>
      </c>
      <c r="X1102">
        <v>97466594080</v>
      </c>
      <c r="Y1102">
        <v>2.5941946141759278</v>
      </c>
      <c r="Z1102">
        <v>247.42396207084471</v>
      </c>
      <c r="AA1102">
        <v>52.066854403669723</v>
      </c>
      <c r="AB1102">
        <v>714.99680377952757</v>
      </c>
      <c r="AC1102">
        <v>-182.33854232931731</v>
      </c>
      <c r="AD1102">
        <v>-242.79303229946521</v>
      </c>
      <c r="AE1102">
        <v>265.57655062670301</v>
      </c>
      <c r="AF1102">
        <v>262.40488850136239</v>
      </c>
      <c r="AG1102">
        <v>-195.71605236947789</v>
      </c>
      <c r="AH1102">
        <v>-193.37870297188749</v>
      </c>
      <c r="AI1102">
        <v>55.886808532110088</v>
      </c>
      <c r="AJ1102">
        <v>767.4534966929134</v>
      </c>
      <c r="AK1102">
        <v>55.219377339449537</v>
      </c>
      <c r="AL1102">
        <v>758.28814236220478</v>
      </c>
      <c r="AM1102">
        <v>2.7845211576150621</v>
      </c>
      <c r="AN1102">
        <v>2.7512668651258458</v>
      </c>
    </row>
    <row r="1103" spans="1:40" x14ac:dyDescent="0.25">
      <c r="A1103" s="1" t="s">
        <v>430</v>
      </c>
      <c r="B1103">
        <v>91826938080</v>
      </c>
      <c r="C1103" t="s">
        <v>73</v>
      </c>
      <c r="D1103" t="s">
        <v>105</v>
      </c>
      <c r="E1103">
        <v>35003000000</v>
      </c>
      <c r="F1103">
        <v>367000000</v>
      </c>
      <c r="G1103">
        <v>1744000000</v>
      </c>
      <c r="H1103">
        <v>127000000</v>
      </c>
      <c r="I1103">
        <v>-498000000</v>
      </c>
      <c r="J1103">
        <v>-374000000</v>
      </c>
      <c r="K1103">
        <v>4995000000</v>
      </c>
      <c r="L1103">
        <v>538000000</v>
      </c>
      <c r="M1103">
        <v>5533000000</v>
      </c>
      <c r="N1103">
        <v>10664000000</v>
      </c>
      <c r="O1103">
        <v>1646000000</v>
      </c>
      <c r="P1103">
        <v>179000000</v>
      </c>
      <c r="Q1103">
        <v>10852000000</v>
      </c>
      <c r="R1103">
        <v>8635000000</v>
      </c>
      <c r="S1103">
        <v>24240000000</v>
      </c>
      <c r="T1103">
        <v>0</v>
      </c>
      <c r="U1103">
        <v>1164000000</v>
      </c>
      <c r="V1103">
        <v>9828000000</v>
      </c>
      <c r="W1103">
        <v>97324938080</v>
      </c>
      <c r="X1103">
        <v>98488938080</v>
      </c>
      <c r="Y1103">
        <v>2.6234019392623491</v>
      </c>
      <c r="Z1103">
        <v>250.20964054495909</v>
      </c>
      <c r="AA1103">
        <v>52.653060825688073</v>
      </c>
      <c r="AB1103">
        <v>723.04675653543302</v>
      </c>
      <c r="AC1103">
        <v>-184.39144192771079</v>
      </c>
      <c r="AD1103">
        <v>-245.5265724064171</v>
      </c>
      <c r="AE1103">
        <v>268.36222910081739</v>
      </c>
      <c r="AF1103">
        <v>265.19056697547683</v>
      </c>
      <c r="AG1103">
        <v>-197.76895196787149</v>
      </c>
      <c r="AH1103">
        <v>-195.43160257028109</v>
      </c>
      <c r="AI1103">
        <v>56.473014954128438</v>
      </c>
      <c r="AJ1103">
        <v>775.50344944881886</v>
      </c>
      <c r="AK1103">
        <v>55.805583761467886</v>
      </c>
      <c r="AL1103">
        <v>766.33809511811023</v>
      </c>
      <c r="AM1103">
        <v>2.813728482701483</v>
      </c>
      <c r="AN1103">
        <v>2.780474190212268</v>
      </c>
    </row>
    <row r="1104" spans="1:40" x14ac:dyDescent="0.25">
      <c r="A1104" s="1" t="s">
        <v>429</v>
      </c>
      <c r="B1104">
        <v>90518337760</v>
      </c>
      <c r="C1104" t="s">
        <v>73</v>
      </c>
      <c r="D1104" t="s">
        <v>105</v>
      </c>
      <c r="E1104">
        <v>35003000000</v>
      </c>
      <c r="F1104">
        <v>367000000</v>
      </c>
      <c r="G1104">
        <v>1744000000</v>
      </c>
      <c r="H1104">
        <v>127000000</v>
      </c>
      <c r="I1104">
        <v>-498000000</v>
      </c>
      <c r="J1104">
        <v>-374000000</v>
      </c>
      <c r="K1104">
        <v>4995000000</v>
      </c>
      <c r="L1104">
        <v>538000000</v>
      </c>
      <c r="M1104">
        <v>5533000000</v>
      </c>
      <c r="N1104">
        <v>10664000000</v>
      </c>
      <c r="O1104">
        <v>1646000000</v>
      </c>
      <c r="P1104">
        <v>179000000</v>
      </c>
      <c r="Q1104">
        <v>10852000000</v>
      </c>
      <c r="R1104">
        <v>8635000000</v>
      </c>
      <c r="S1104">
        <v>24240000000</v>
      </c>
      <c r="T1104">
        <v>0</v>
      </c>
      <c r="U1104">
        <v>1164000000</v>
      </c>
      <c r="V1104">
        <v>9828000000</v>
      </c>
      <c r="W1104">
        <v>96016337760</v>
      </c>
      <c r="X1104">
        <v>97180337760</v>
      </c>
      <c r="Y1104">
        <v>2.58601656315173</v>
      </c>
      <c r="Z1104">
        <v>246.6439720980926</v>
      </c>
      <c r="AA1104">
        <v>51.902716605504587</v>
      </c>
      <c r="AB1104">
        <v>712.74281700787401</v>
      </c>
      <c r="AC1104">
        <v>-181.76373044176711</v>
      </c>
      <c r="AD1104">
        <v>-242.02764106951869</v>
      </c>
      <c r="AE1104">
        <v>264.79656065395102</v>
      </c>
      <c r="AF1104">
        <v>261.62489852861029</v>
      </c>
      <c r="AG1104">
        <v>-195.1412404819277</v>
      </c>
      <c r="AH1104">
        <v>-192.80389108433741</v>
      </c>
      <c r="AI1104">
        <v>55.722670733944952</v>
      </c>
      <c r="AJ1104">
        <v>765.19950992125985</v>
      </c>
      <c r="AK1104">
        <v>55.055239541284401</v>
      </c>
      <c r="AL1104">
        <v>756.03415559055122</v>
      </c>
      <c r="AM1104">
        <v>2.776343106590863</v>
      </c>
      <c r="AN1104">
        <v>2.743088814101649</v>
      </c>
    </row>
    <row r="1105" spans="1:40" x14ac:dyDescent="0.25">
      <c r="A1105" s="1" t="s">
        <v>428</v>
      </c>
      <c r="B1105">
        <v>92297216320</v>
      </c>
      <c r="C1105" t="s">
        <v>73</v>
      </c>
      <c r="D1105" t="s">
        <v>105</v>
      </c>
      <c r="E1105">
        <v>35003000000</v>
      </c>
      <c r="F1105">
        <v>367000000</v>
      </c>
      <c r="G1105">
        <v>1744000000</v>
      </c>
      <c r="H1105">
        <v>127000000</v>
      </c>
      <c r="I1105">
        <v>-498000000</v>
      </c>
      <c r="J1105">
        <v>-374000000</v>
      </c>
      <c r="K1105">
        <v>4995000000</v>
      </c>
      <c r="L1105">
        <v>538000000</v>
      </c>
      <c r="M1105">
        <v>5533000000</v>
      </c>
      <c r="N1105">
        <v>10664000000</v>
      </c>
      <c r="O1105">
        <v>1646000000</v>
      </c>
      <c r="P1105">
        <v>179000000</v>
      </c>
      <c r="Q1105">
        <v>10852000000</v>
      </c>
      <c r="R1105">
        <v>8635000000</v>
      </c>
      <c r="S1105">
        <v>24240000000</v>
      </c>
      <c r="T1105">
        <v>0</v>
      </c>
      <c r="U1105">
        <v>1164000000</v>
      </c>
      <c r="V1105">
        <v>9828000000</v>
      </c>
      <c r="W1105">
        <v>97795216320</v>
      </c>
      <c r="X1105">
        <v>98959216320</v>
      </c>
      <c r="Y1105">
        <v>2.6368373088021029</v>
      </c>
      <c r="Z1105">
        <v>251.4910526430518</v>
      </c>
      <c r="AA1105">
        <v>52.922715779816507</v>
      </c>
      <c r="AB1105">
        <v>726.74973480314964</v>
      </c>
      <c r="AC1105">
        <v>-185.33577574297189</v>
      </c>
      <c r="AD1105">
        <v>-246.78400085561501</v>
      </c>
      <c r="AE1105">
        <v>269.64364119891007</v>
      </c>
      <c r="AF1105">
        <v>266.47197907356951</v>
      </c>
      <c r="AG1105">
        <v>-198.71328578313251</v>
      </c>
      <c r="AH1105">
        <v>-196.37593638554219</v>
      </c>
      <c r="AI1105">
        <v>56.742669908256879</v>
      </c>
      <c r="AJ1105">
        <v>779.20642771653547</v>
      </c>
      <c r="AK1105">
        <v>56.075238715596328</v>
      </c>
      <c r="AL1105">
        <v>770.04107338582673</v>
      </c>
      <c r="AM1105">
        <v>2.8271638522412359</v>
      </c>
      <c r="AN1105">
        <v>2.7939095597520209</v>
      </c>
    </row>
    <row r="1106" spans="1:40" x14ac:dyDescent="0.25">
      <c r="A1106" s="1" t="s">
        <v>427</v>
      </c>
      <c r="B1106">
        <v>94341904320</v>
      </c>
      <c r="C1106" t="s">
        <v>73</v>
      </c>
      <c r="D1106" t="s">
        <v>105</v>
      </c>
      <c r="E1106">
        <v>35003000000</v>
      </c>
      <c r="F1106">
        <v>367000000</v>
      </c>
      <c r="G1106">
        <v>1744000000</v>
      </c>
      <c r="H1106">
        <v>127000000</v>
      </c>
      <c r="I1106">
        <v>-498000000</v>
      </c>
      <c r="J1106">
        <v>-374000000</v>
      </c>
      <c r="K1106">
        <v>4995000000</v>
      </c>
      <c r="L1106">
        <v>538000000</v>
      </c>
      <c r="M1106">
        <v>5533000000</v>
      </c>
      <c r="N1106">
        <v>10664000000</v>
      </c>
      <c r="O1106">
        <v>1646000000</v>
      </c>
      <c r="P1106">
        <v>179000000</v>
      </c>
      <c r="Q1106">
        <v>10852000000</v>
      </c>
      <c r="R1106">
        <v>8635000000</v>
      </c>
      <c r="S1106">
        <v>24240000000</v>
      </c>
      <c r="T1106">
        <v>0</v>
      </c>
      <c r="U1106">
        <v>1164000000</v>
      </c>
      <c r="V1106">
        <v>9828000000</v>
      </c>
      <c r="W1106">
        <v>99839904320</v>
      </c>
      <c r="X1106">
        <v>101003904320</v>
      </c>
      <c r="Y1106">
        <v>2.6952519589749451</v>
      </c>
      <c r="Z1106">
        <v>257.06240959128058</v>
      </c>
      <c r="AA1106">
        <v>54.095128623853213</v>
      </c>
      <c r="AB1106">
        <v>742.84964031496065</v>
      </c>
      <c r="AC1106">
        <v>-189.44157493975911</v>
      </c>
      <c r="AD1106">
        <v>-252.2510810695187</v>
      </c>
      <c r="AE1106">
        <v>275.21499814713889</v>
      </c>
      <c r="AF1106">
        <v>272.04333602179838</v>
      </c>
      <c r="AG1106">
        <v>-202.81908497991969</v>
      </c>
      <c r="AH1106">
        <v>-200.48173558232929</v>
      </c>
      <c r="AI1106">
        <v>57.915082752293578</v>
      </c>
      <c r="AJ1106">
        <v>795.30633322834649</v>
      </c>
      <c r="AK1106">
        <v>57.247651559633027</v>
      </c>
      <c r="AL1106">
        <v>786.14097889763775</v>
      </c>
      <c r="AM1106">
        <v>2.885578502414079</v>
      </c>
      <c r="AN1106">
        <v>2.852324209924864</v>
      </c>
    </row>
    <row r="1107" spans="1:40" x14ac:dyDescent="0.25">
      <c r="A1107" s="1" t="s">
        <v>426</v>
      </c>
      <c r="B1107">
        <v>94035201120</v>
      </c>
      <c r="C1107" t="s">
        <v>73</v>
      </c>
      <c r="D1107" t="s">
        <v>105</v>
      </c>
      <c r="E1107">
        <v>35003000000</v>
      </c>
      <c r="F1107">
        <v>367000000</v>
      </c>
      <c r="G1107">
        <v>1744000000</v>
      </c>
      <c r="H1107">
        <v>127000000</v>
      </c>
      <c r="I1107">
        <v>-498000000</v>
      </c>
      <c r="J1107">
        <v>-374000000</v>
      </c>
      <c r="K1107">
        <v>4995000000</v>
      </c>
      <c r="L1107">
        <v>538000000</v>
      </c>
      <c r="M1107">
        <v>5533000000</v>
      </c>
      <c r="N1107">
        <v>10664000000</v>
      </c>
      <c r="O1107">
        <v>1646000000</v>
      </c>
      <c r="P1107">
        <v>179000000</v>
      </c>
      <c r="Q1107">
        <v>10852000000</v>
      </c>
      <c r="R1107">
        <v>8635000000</v>
      </c>
      <c r="S1107">
        <v>24240000000</v>
      </c>
      <c r="T1107">
        <v>0</v>
      </c>
      <c r="U1107">
        <v>1164000000</v>
      </c>
      <c r="V1107">
        <v>9828000000</v>
      </c>
      <c r="W1107">
        <v>99533201120</v>
      </c>
      <c r="X1107">
        <v>100697201120</v>
      </c>
      <c r="Y1107">
        <v>2.6864897614490189</v>
      </c>
      <c r="Z1107">
        <v>256.2267060490463</v>
      </c>
      <c r="AA1107">
        <v>53.919266697247707</v>
      </c>
      <c r="AB1107">
        <v>740.43465448818893</v>
      </c>
      <c r="AC1107">
        <v>-188.82570506024101</v>
      </c>
      <c r="AD1107">
        <v>-251.43101903743309</v>
      </c>
      <c r="AE1107">
        <v>274.37929460490471</v>
      </c>
      <c r="AF1107">
        <v>271.20763247956398</v>
      </c>
      <c r="AG1107">
        <v>-202.20321510040159</v>
      </c>
      <c r="AH1107">
        <v>-199.86586570281119</v>
      </c>
      <c r="AI1107">
        <v>57.739220825688072</v>
      </c>
      <c r="AJ1107">
        <v>792.89134740157476</v>
      </c>
      <c r="AK1107">
        <v>57.071789633027521</v>
      </c>
      <c r="AL1107">
        <v>783.72599307086614</v>
      </c>
      <c r="AM1107">
        <v>2.8768163048881519</v>
      </c>
      <c r="AN1107">
        <v>2.8435620123989369</v>
      </c>
    </row>
    <row r="1108" spans="1:40" x14ac:dyDescent="0.25">
      <c r="A1108" s="1" t="s">
        <v>425</v>
      </c>
      <c r="B1108">
        <v>94141226800</v>
      </c>
      <c r="C1108" t="s">
        <v>73</v>
      </c>
      <c r="D1108" t="s">
        <v>105</v>
      </c>
      <c r="E1108">
        <v>35003000000</v>
      </c>
      <c r="F1108">
        <v>367000000</v>
      </c>
      <c r="G1108">
        <v>1744000000</v>
      </c>
      <c r="H1108">
        <v>127000000</v>
      </c>
      <c r="I1108">
        <v>-498000000</v>
      </c>
      <c r="J1108">
        <v>-374000000</v>
      </c>
      <c r="K1108">
        <v>4995000000</v>
      </c>
      <c r="L1108">
        <v>538000000</v>
      </c>
      <c r="M1108">
        <v>5533000000</v>
      </c>
      <c r="N1108">
        <v>10664000000</v>
      </c>
      <c r="O1108">
        <v>1646000000</v>
      </c>
      <c r="P1108">
        <v>179000000</v>
      </c>
      <c r="Q1108">
        <v>10852000000</v>
      </c>
      <c r="R1108">
        <v>8635000000</v>
      </c>
      <c r="S1108">
        <v>24240000000</v>
      </c>
      <c r="T1108">
        <v>0</v>
      </c>
      <c r="U1108">
        <v>1164000000</v>
      </c>
      <c r="V1108">
        <v>9828000000</v>
      </c>
      <c r="W1108">
        <v>99639226800</v>
      </c>
      <c r="X1108">
        <v>100803226800</v>
      </c>
      <c r="Y1108">
        <v>2.6895188069594029</v>
      </c>
      <c r="Z1108">
        <v>256.51560435967298</v>
      </c>
      <c r="AA1108">
        <v>53.980061238532109</v>
      </c>
      <c r="AB1108">
        <v>741.26950236220478</v>
      </c>
      <c r="AC1108">
        <v>-189.03860803212851</v>
      </c>
      <c r="AD1108">
        <v>-251.71451016042781</v>
      </c>
      <c r="AE1108">
        <v>274.66819291553128</v>
      </c>
      <c r="AF1108">
        <v>271.49653079019072</v>
      </c>
      <c r="AG1108">
        <v>-202.41611807228921</v>
      </c>
      <c r="AH1108">
        <v>-200.07876867469881</v>
      </c>
      <c r="AI1108">
        <v>57.800015366972467</v>
      </c>
      <c r="AJ1108">
        <v>793.7261952755905</v>
      </c>
      <c r="AK1108">
        <v>57.13258417431193</v>
      </c>
      <c r="AL1108">
        <v>784.56084094488187</v>
      </c>
      <c r="AM1108">
        <v>2.8798453503985368</v>
      </c>
      <c r="AN1108">
        <v>2.8465910579093219</v>
      </c>
    </row>
    <row r="1109" spans="1:40" x14ac:dyDescent="0.25">
      <c r="A1109" s="1" t="s">
        <v>424</v>
      </c>
      <c r="B1109">
        <v>91729991350</v>
      </c>
      <c r="C1109" t="s">
        <v>73</v>
      </c>
      <c r="D1109" t="s">
        <v>105</v>
      </c>
      <c r="E1109">
        <v>35003000000</v>
      </c>
      <c r="F1109">
        <v>367000000</v>
      </c>
      <c r="G1109">
        <v>1744000000</v>
      </c>
      <c r="H1109">
        <v>127000000</v>
      </c>
      <c r="I1109">
        <v>-498000000</v>
      </c>
      <c r="J1109">
        <v>-374000000</v>
      </c>
      <c r="K1109">
        <v>4995000000</v>
      </c>
      <c r="L1109">
        <v>538000000</v>
      </c>
      <c r="M1109">
        <v>5533000000</v>
      </c>
      <c r="N1109">
        <v>10664000000</v>
      </c>
      <c r="O1109">
        <v>1646000000</v>
      </c>
      <c r="P1109">
        <v>179000000</v>
      </c>
      <c r="Q1109">
        <v>10852000000</v>
      </c>
      <c r="R1109">
        <v>8635000000</v>
      </c>
      <c r="S1109">
        <v>24240000000</v>
      </c>
      <c r="T1109">
        <v>0</v>
      </c>
      <c r="U1109">
        <v>1164000000</v>
      </c>
      <c r="V1109">
        <v>9828000000</v>
      </c>
      <c r="W1109">
        <v>97227991350</v>
      </c>
      <c r="X1109">
        <v>98391991350</v>
      </c>
      <c r="Y1109">
        <v>2.6206322700911349</v>
      </c>
      <c r="Z1109">
        <v>249.94548051771119</v>
      </c>
      <c r="AA1109">
        <v>52.597472104357799</v>
      </c>
      <c r="AB1109">
        <v>722.28339645669291</v>
      </c>
      <c r="AC1109">
        <v>-184.19676977911649</v>
      </c>
      <c r="AD1109">
        <v>-245.26735655080211</v>
      </c>
      <c r="AE1109">
        <v>268.09806907356949</v>
      </c>
      <c r="AF1109">
        <v>264.92640694822887</v>
      </c>
      <c r="AG1109">
        <v>-197.57427981927711</v>
      </c>
      <c r="AH1109">
        <v>-195.23693042168671</v>
      </c>
      <c r="AI1109">
        <v>56.417426232798157</v>
      </c>
      <c r="AJ1109">
        <v>774.74008937007875</v>
      </c>
      <c r="AK1109">
        <v>55.749995040137613</v>
      </c>
      <c r="AL1109">
        <v>765.57473503937013</v>
      </c>
      <c r="AM1109">
        <v>2.8109588135302692</v>
      </c>
      <c r="AN1109">
        <v>2.7777045210410538</v>
      </c>
    </row>
    <row r="1110" spans="1:40" x14ac:dyDescent="0.25">
      <c r="A1110" s="1" t="s">
        <v>423</v>
      </c>
      <c r="B1110">
        <v>92616171900</v>
      </c>
      <c r="C1110" t="s">
        <v>73</v>
      </c>
      <c r="D1110" t="s">
        <v>105</v>
      </c>
      <c r="E1110">
        <v>35003000000</v>
      </c>
      <c r="F1110">
        <v>367000000</v>
      </c>
      <c r="G1110">
        <v>1744000000</v>
      </c>
      <c r="H1110">
        <v>127000000</v>
      </c>
      <c r="I1110">
        <v>-498000000</v>
      </c>
      <c r="J1110">
        <v>-374000000</v>
      </c>
      <c r="K1110">
        <v>4995000000</v>
      </c>
      <c r="L1110">
        <v>538000000</v>
      </c>
      <c r="M1110">
        <v>5533000000</v>
      </c>
      <c r="N1110">
        <v>10664000000</v>
      </c>
      <c r="O1110">
        <v>1646000000</v>
      </c>
      <c r="P1110">
        <v>179000000</v>
      </c>
      <c r="Q1110">
        <v>10852000000</v>
      </c>
      <c r="R1110">
        <v>8635000000</v>
      </c>
      <c r="S1110">
        <v>24240000000</v>
      </c>
      <c r="T1110">
        <v>0</v>
      </c>
      <c r="U1110">
        <v>1164000000</v>
      </c>
      <c r="V1110">
        <v>9828000000</v>
      </c>
      <c r="W1110">
        <v>98114171900</v>
      </c>
      <c r="X1110">
        <v>99278171900</v>
      </c>
      <c r="Y1110">
        <v>2.6459495443247718</v>
      </c>
      <c r="Z1110">
        <v>252.3601414168937</v>
      </c>
      <c r="AA1110">
        <v>53.105603153669733</v>
      </c>
      <c r="AB1110">
        <v>729.2611960629921</v>
      </c>
      <c r="AC1110">
        <v>-185.97624879518071</v>
      </c>
      <c r="AD1110">
        <v>-247.6368232620321</v>
      </c>
      <c r="AE1110">
        <v>270.51272997275203</v>
      </c>
      <c r="AF1110">
        <v>267.34106784741152</v>
      </c>
      <c r="AG1110">
        <v>-199.35375883534141</v>
      </c>
      <c r="AH1110">
        <v>-197.01640943775101</v>
      </c>
      <c r="AI1110">
        <v>56.925557282110091</v>
      </c>
      <c r="AJ1110">
        <v>781.71788897637794</v>
      </c>
      <c r="AK1110">
        <v>56.25812608944954</v>
      </c>
      <c r="AL1110">
        <v>772.55253464566931</v>
      </c>
      <c r="AM1110">
        <v>2.8362760877639062</v>
      </c>
      <c r="AN1110">
        <v>2.8030217952746912</v>
      </c>
    </row>
    <row r="1111" spans="1:40" x14ac:dyDescent="0.25">
      <c r="A1111" s="1" t="s">
        <v>422</v>
      </c>
      <c r="B1111">
        <v>91936079850</v>
      </c>
      <c r="C1111" t="s">
        <v>73</v>
      </c>
      <c r="D1111" t="s">
        <v>105</v>
      </c>
      <c r="E1111">
        <v>35003000000</v>
      </c>
      <c r="F1111">
        <v>367000000</v>
      </c>
      <c r="G1111">
        <v>1744000000</v>
      </c>
      <c r="H1111">
        <v>127000000</v>
      </c>
      <c r="I1111">
        <v>-498000000</v>
      </c>
      <c r="J1111">
        <v>-374000000</v>
      </c>
      <c r="K1111">
        <v>4995000000</v>
      </c>
      <c r="L1111">
        <v>538000000</v>
      </c>
      <c r="M1111">
        <v>5533000000</v>
      </c>
      <c r="N1111">
        <v>10664000000</v>
      </c>
      <c r="O1111">
        <v>1646000000</v>
      </c>
      <c r="P1111">
        <v>179000000</v>
      </c>
      <c r="Q1111">
        <v>10852000000</v>
      </c>
      <c r="R1111">
        <v>8635000000</v>
      </c>
      <c r="S1111">
        <v>24240000000</v>
      </c>
      <c r="T1111">
        <v>0</v>
      </c>
      <c r="U1111">
        <v>1164000000</v>
      </c>
      <c r="V1111">
        <v>9828000000</v>
      </c>
      <c r="W1111">
        <v>97434079850</v>
      </c>
      <c r="X1111">
        <v>98598079850</v>
      </c>
      <c r="Y1111">
        <v>2.626520008285004</v>
      </c>
      <c r="Z1111">
        <v>250.50702956403271</v>
      </c>
      <c r="AA1111">
        <v>52.715642115825688</v>
      </c>
      <c r="AB1111">
        <v>723.90614055118112</v>
      </c>
      <c r="AC1111">
        <v>-184.61060210843371</v>
      </c>
      <c r="AD1111">
        <v>-245.81839532085559</v>
      </c>
      <c r="AE1111">
        <v>268.65961811989098</v>
      </c>
      <c r="AF1111">
        <v>265.48795599455042</v>
      </c>
      <c r="AG1111">
        <v>-197.98811214859441</v>
      </c>
      <c r="AH1111">
        <v>-195.65076275100401</v>
      </c>
      <c r="AI1111">
        <v>56.535596244266053</v>
      </c>
      <c r="AJ1111">
        <v>776.36283346456696</v>
      </c>
      <c r="AK1111">
        <v>55.868165051605502</v>
      </c>
      <c r="AL1111">
        <v>767.19747913385822</v>
      </c>
      <c r="AM1111">
        <v>2.8168465517241379</v>
      </c>
      <c r="AN1111">
        <v>2.7835922592349229</v>
      </c>
    </row>
    <row r="1112" spans="1:40" x14ac:dyDescent="0.25">
      <c r="A1112" s="1" t="s">
        <v>421</v>
      </c>
      <c r="B1112">
        <v>94347315300</v>
      </c>
      <c r="C1112" t="s">
        <v>73</v>
      </c>
      <c r="D1112" t="s">
        <v>105</v>
      </c>
      <c r="E1112">
        <v>35003000000</v>
      </c>
      <c r="F1112">
        <v>367000000</v>
      </c>
      <c r="G1112">
        <v>1744000000</v>
      </c>
      <c r="H1112">
        <v>127000000</v>
      </c>
      <c r="I1112">
        <v>-498000000</v>
      </c>
      <c r="J1112">
        <v>-374000000</v>
      </c>
      <c r="K1112">
        <v>4995000000</v>
      </c>
      <c r="L1112">
        <v>538000000</v>
      </c>
      <c r="M1112">
        <v>5533000000</v>
      </c>
      <c r="N1112">
        <v>10664000000</v>
      </c>
      <c r="O1112">
        <v>1646000000</v>
      </c>
      <c r="P1112">
        <v>179000000</v>
      </c>
      <c r="Q1112">
        <v>10852000000</v>
      </c>
      <c r="R1112">
        <v>8635000000</v>
      </c>
      <c r="S1112">
        <v>24240000000</v>
      </c>
      <c r="T1112">
        <v>0</v>
      </c>
      <c r="U1112">
        <v>1164000000</v>
      </c>
      <c r="V1112">
        <v>9828000000</v>
      </c>
      <c r="W1112">
        <v>99845315300</v>
      </c>
      <c r="X1112">
        <v>101009315300</v>
      </c>
      <c r="Y1112">
        <v>2.695406545153272</v>
      </c>
      <c r="Z1112">
        <v>257.07715340599452</v>
      </c>
      <c r="AA1112">
        <v>54.098231249999998</v>
      </c>
      <c r="AB1112">
        <v>742.89224645669287</v>
      </c>
      <c r="AC1112">
        <v>-189.45244036144581</v>
      </c>
      <c r="AD1112">
        <v>-252.26554893048129</v>
      </c>
      <c r="AE1112">
        <v>275.22974196185288</v>
      </c>
      <c r="AF1112">
        <v>272.05807983651232</v>
      </c>
      <c r="AG1112">
        <v>-202.8299504016064</v>
      </c>
      <c r="AH1112">
        <v>-200.49260100401611</v>
      </c>
      <c r="AI1112">
        <v>57.91818537844037</v>
      </c>
      <c r="AJ1112">
        <v>795.34893937007871</v>
      </c>
      <c r="AK1112">
        <v>57.250754185779819</v>
      </c>
      <c r="AL1112">
        <v>786.18358503937009</v>
      </c>
      <c r="AM1112">
        <v>2.885733088592406</v>
      </c>
      <c r="AN1112">
        <v>2.852478796103191</v>
      </c>
    </row>
    <row r="1113" spans="1:40" x14ac:dyDescent="0.25">
      <c r="A1113" s="1" t="s">
        <v>420</v>
      </c>
      <c r="B1113">
        <v>93667223250</v>
      </c>
      <c r="C1113" t="s">
        <v>73</v>
      </c>
      <c r="D1113" t="s">
        <v>105</v>
      </c>
      <c r="E1113">
        <v>35003000000</v>
      </c>
      <c r="F1113">
        <v>367000000</v>
      </c>
      <c r="G1113">
        <v>1744000000</v>
      </c>
      <c r="H1113">
        <v>127000000</v>
      </c>
      <c r="I1113">
        <v>-498000000</v>
      </c>
      <c r="J1113">
        <v>-374000000</v>
      </c>
      <c r="K1113">
        <v>4995000000</v>
      </c>
      <c r="L1113">
        <v>538000000</v>
      </c>
      <c r="M1113">
        <v>5533000000</v>
      </c>
      <c r="N1113">
        <v>10664000000</v>
      </c>
      <c r="O1113">
        <v>1646000000</v>
      </c>
      <c r="P1113">
        <v>179000000</v>
      </c>
      <c r="Q1113">
        <v>10852000000</v>
      </c>
      <c r="R1113">
        <v>8635000000</v>
      </c>
      <c r="S1113">
        <v>24240000000</v>
      </c>
      <c r="T1113">
        <v>0</v>
      </c>
      <c r="U1113">
        <v>1164000000</v>
      </c>
      <c r="V1113">
        <v>9828000000</v>
      </c>
      <c r="W1113">
        <v>99165223250</v>
      </c>
      <c r="X1113">
        <v>100329223250</v>
      </c>
      <c r="Y1113">
        <v>2.6759770091135051</v>
      </c>
      <c r="Z1113">
        <v>255.2240415531335</v>
      </c>
      <c r="AA1113">
        <v>53.708270212155973</v>
      </c>
      <c r="AB1113">
        <v>737.5371909448819</v>
      </c>
      <c r="AC1113">
        <v>-188.08679367469881</v>
      </c>
      <c r="AD1113">
        <v>-250.44712098930481</v>
      </c>
      <c r="AE1113">
        <v>273.37663010899178</v>
      </c>
      <c r="AF1113">
        <v>270.20496798365122</v>
      </c>
      <c r="AG1113">
        <v>-201.4643037148594</v>
      </c>
      <c r="AH1113">
        <v>-199.12695431726911</v>
      </c>
      <c r="AI1113">
        <v>57.528224340596331</v>
      </c>
      <c r="AJ1113">
        <v>789.99388385826774</v>
      </c>
      <c r="AK1113">
        <v>56.86079314793578</v>
      </c>
      <c r="AL1113">
        <v>780.828529527559</v>
      </c>
      <c r="AM1113">
        <v>2.8663035525526381</v>
      </c>
      <c r="AN1113">
        <v>2.8330492600634232</v>
      </c>
    </row>
    <row r="1114" spans="1:40" x14ac:dyDescent="0.25">
      <c r="A1114" s="1" t="s">
        <v>419</v>
      </c>
      <c r="B1114">
        <v>96099067550</v>
      </c>
      <c r="C1114" t="s">
        <v>73</v>
      </c>
      <c r="D1114" t="s">
        <v>105</v>
      </c>
      <c r="E1114">
        <v>35003000000</v>
      </c>
      <c r="F1114">
        <v>367000000</v>
      </c>
      <c r="G1114">
        <v>1744000000</v>
      </c>
      <c r="H1114">
        <v>127000000</v>
      </c>
      <c r="I1114">
        <v>-498000000</v>
      </c>
      <c r="J1114">
        <v>-374000000</v>
      </c>
      <c r="K1114">
        <v>4995000000</v>
      </c>
      <c r="L1114">
        <v>538000000</v>
      </c>
      <c r="M1114">
        <v>5533000000</v>
      </c>
      <c r="N1114">
        <v>10664000000</v>
      </c>
      <c r="O1114">
        <v>1646000000</v>
      </c>
      <c r="P1114">
        <v>179000000</v>
      </c>
      <c r="Q1114">
        <v>10852000000</v>
      </c>
      <c r="R1114">
        <v>8635000000</v>
      </c>
      <c r="S1114">
        <v>24240000000</v>
      </c>
      <c r="T1114">
        <v>0</v>
      </c>
      <c r="U1114">
        <v>1164000000</v>
      </c>
      <c r="V1114">
        <v>9828000000</v>
      </c>
      <c r="W1114">
        <v>101597067550</v>
      </c>
      <c r="X1114">
        <v>102761067550</v>
      </c>
      <c r="Y1114">
        <v>2.74545231980116</v>
      </c>
      <c r="Z1114">
        <v>261.85032029972751</v>
      </c>
      <c r="AA1114">
        <v>55.102676347477058</v>
      </c>
      <c r="AB1114">
        <v>756.6855712598425</v>
      </c>
      <c r="AC1114">
        <v>-192.97001516064259</v>
      </c>
      <c r="AD1114">
        <v>-256.94937847593582</v>
      </c>
      <c r="AE1114">
        <v>280.00290885558582</v>
      </c>
      <c r="AF1114">
        <v>276.83124673024531</v>
      </c>
      <c r="AG1114">
        <v>-206.3475252008032</v>
      </c>
      <c r="AH1114">
        <v>-204.01017580321289</v>
      </c>
      <c r="AI1114">
        <v>58.92263047591743</v>
      </c>
      <c r="AJ1114">
        <v>809.14226417322834</v>
      </c>
      <c r="AK1114">
        <v>58.255199283256879</v>
      </c>
      <c r="AL1114">
        <v>799.97690984251972</v>
      </c>
      <c r="AM1114">
        <v>2.935778863240293</v>
      </c>
      <c r="AN1114">
        <v>2.9025245707510789</v>
      </c>
    </row>
    <row r="1115" spans="1:40" x14ac:dyDescent="0.25">
      <c r="A1115" s="1" t="s">
        <v>418</v>
      </c>
      <c r="B1115">
        <v>96119676400</v>
      </c>
      <c r="C1115" t="s">
        <v>73</v>
      </c>
      <c r="D1115" t="s">
        <v>105</v>
      </c>
      <c r="E1115">
        <v>35003000000</v>
      </c>
      <c r="F1115">
        <v>367000000</v>
      </c>
      <c r="G1115">
        <v>1744000000</v>
      </c>
      <c r="H1115">
        <v>127000000</v>
      </c>
      <c r="I1115">
        <v>-498000000</v>
      </c>
      <c r="J1115">
        <v>-374000000</v>
      </c>
      <c r="K1115">
        <v>4995000000</v>
      </c>
      <c r="L1115">
        <v>538000000</v>
      </c>
      <c r="M1115">
        <v>5533000000</v>
      </c>
      <c r="N1115">
        <v>10664000000</v>
      </c>
      <c r="O1115">
        <v>1646000000</v>
      </c>
      <c r="P1115">
        <v>179000000</v>
      </c>
      <c r="Q1115">
        <v>10852000000</v>
      </c>
      <c r="R1115">
        <v>8635000000</v>
      </c>
      <c r="S1115">
        <v>24240000000</v>
      </c>
      <c r="T1115">
        <v>0</v>
      </c>
      <c r="U1115">
        <v>1164000000</v>
      </c>
      <c r="V1115">
        <v>9828000000</v>
      </c>
      <c r="W1115">
        <v>101617676400</v>
      </c>
      <c r="X1115">
        <v>102781676400</v>
      </c>
      <c r="Y1115">
        <v>2.7460410936205468</v>
      </c>
      <c r="Z1115">
        <v>261.90647520435971</v>
      </c>
      <c r="AA1115">
        <v>55.114493348623853</v>
      </c>
      <c r="AB1115">
        <v>756.84784566929136</v>
      </c>
      <c r="AC1115">
        <v>-193.0113983935743</v>
      </c>
      <c r="AD1115">
        <v>-257.00448235294118</v>
      </c>
      <c r="AE1115">
        <v>280.05906376021801</v>
      </c>
      <c r="AF1115">
        <v>276.88740163487739</v>
      </c>
      <c r="AG1115">
        <v>-206.38890843373491</v>
      </c>
      <c r="AH1115">
        <v>-204.0515590361446</v>
      </c>
      <c r="AI1115">
        <v>58.934447477064218</v>
      </c>
      <c r="AJ1115">
        <v>809.3045385826772</v>
      </c>
      <c r="AK1115">
        <v>58.267016284403667</v>
      </c>
      <c r="AL1115">
        <v>800.13918425196846</v>
      </c>
      <c r="AM1115">
        <v>2.9363676370596812</v>
      </c>
      <c r="AN1115">
        <v>2.9031133445704649</v>
      </c>
    </row>
    <row r="1116" spans="1:40" x14ac:dyDescent="0.25">
      <c r="A1116" s="1" t="s">
        <v>417</v>
      </c>
      <c r="B1116">
        <v>94697665750</v>
      </c>
      <c r="C1116" t="s">
        <v>73</v>
      </c>
      <c r="D1116" t="s">
        <v>105</v>
      </c>
      <c r="E1116">
        <v>35003000000</v>
      </c>
      <c r="F1116">
        <v>367000000</v>
      </c>
      <c r="G1116">
        <v>1744000000</v>
      </c>
      <c r="H1116">
        <v>127000000</v>
      </c>
      <c r="I1116">
        <v>-498000000</v>
      </c>
      <c r="J1116">
        <v>-374000000</v>
      </c>
      <c r="K1116">
        <v>4995000000</v>
      </c>
      <c r="L1116">
        <v>538000000</v>
      </c>
      <c r="M1116">
        <v>5533000000</v>
      </c>
      <c r="N1116">
        <v>10664000000</v>
      </c>
      <c r="O1116">
        <v>1646000000</v>
      </c>
      <c r="P1116">
        <v>179000000</v>
      </c>
      <c r="Q1116">
        <v>10852000000</v>
      </c>
      <c r="R1116">
        <v>8635000000</v>
      </c>
      <c r="S1116">
        <v>24240000000</v>
      </c>
      <c r="T1116">
        <v>0</v>
      </c>
      <c r="U1116">
        <v>1164000000</v>
      </c>
      <c r="V1116">
        <v>9828000000</v>
      </c>
      <c r="W1116">
        <v>100195665750</v>
      </c>
      <c r="X1116">
        <v>101359665750</v>
      </c>
      <c r="Y1116">
        <v>2.7054157000828498</v>
      </c>
      <c r="Z1116">
        <v>258.03178678474109</v>
      </c>
      <c r="AA1116">
        <v>54.299120269495411</v>
      </c>
      <c r="AB1116">
        <v>745.65091141732285</v>
      </c>
      <c r="AC1116">
        <v>-190.15595532128509</v>
      </c>
      <c r="AD1116">
        <v>-253.20231483957221</v>
      </c>
      <c r="AE1116">
        <v>276.18437534059939</v>
      </c>
      <c r="AF1116">
        <v>273.01271321525883</v>
      </c>
      <c r="AG1116">
        <v>-203.53346536144579</v>
      </c>
      <c r="AH1116">
        <v>-201.19611596385539</v>
      </c>
      <c r="AI1116">
        <v>58.119074397935783</v>
      </c>
      <c r="AJ1116">
        <v>798.10760433070868</v>
      </c>
      <c r="AK1116">
        <v>57.451643205275232</v>
      </c>
      <c r="AL1116">
        <v>788.94224999999994</v>
      </c>
      <c r="AM1116">
        <v>2.8957422435219842</v>
      </c>
      <c r="AN1116">
        <v>2.8624879510327692</v>
      </c>
    </row>
    <row r="1117" spans="1:40" x14ac:dyDescent="0.25">
      <c r="A1117" s="1" t="s">
        <v>416</v>
      </c>
      <c r="B1117">
        <v>89607279800</v>
      </c>
      <c r="C1117" t="s">
        <v>73</v>
      </c>
      <c r="D1117" t="s">
        <v>105</v>
      </c>
      <c r="E1117">
        <v>35003000000</v>
      </c>
      <c r="F1117">
        <v>367000000</v>
      </c>
      <c r="G1117">
        <v>1744000000</v>
      </c>
      <c r="H1117">
        <v>127000000</v>
      </c>
      <c r="I1117">
        <v>-498000000</v>
      </c>
      <c r="J1117">
        <v>-374000000</v>
      </c>
      <c r="K1117">
        <v>4995000000</v>
      </c>
      <c r="L1117">
        <v>538000000</v>
      </c>
      <c r="M1117">
        <v>5533000000</v>
      </c>
      <c r="N1117">
        <v>10664000000</v>
      </c>
      <c r="O1117">
        <v>1646000000</v>
      </c>
      <c r="P1117">
        <v>179000000</v>
      </c>
      <c r="Q1117">
        <v>10852000000</v>
      </c>
      <c r="R1117">
        <v>8635000000</v>
      </c>
      <c r="S1117">
        <v>24240000000</v>
      </c>
      <c r="T1117">
        <v>0</v>
      </c>
      <c r="U1117">
        <v>1164000000</v>
      </c>
      <c r="V1117">
        <v>9828000000</v>
      </c>
      <c r="W1117">
        <v>95105279800</v>
      </c>
      <c r="X1117">
        <v>96269279800</v>
      </c>
      <c r="Y1117">
        <v>2.5599885666942832</v>
      </c>
      <c r="Z1117">
        <v>244.1615253405995</v>
      </c>
      <c r="AA1117">
        <v>51.38032098623853</v>
      </c>
      <c r="AB1117">
        <v>705.56913228346457</v>
      </c>
      <c r="AC1117">
        <v>-179.93429678714861</v>
      </c>
      <c r="AD1117">
        <v>-239.59165721925129</v>
      </c>
      <c r="AE1117">
        <v>262.31411389645768</v>
      </c>
      <c r="AF1117">
        <v>259.14245177111718</v>
      </c>
      <c r="AG1117">
        <v>-193.3118068273092</v>
      </c>
      <c r="AH1117">
        <v>-190.97445742971891</v>
      </c>
      <c r="AI1117">
        <v>55.200275114678902</v>
      </c>
      <c r="AJ1117">
        <v>758.02582519685041</v>
      </c>
      <c r="AK1117">
        <v>54.532843922018351</v>
      </c>
      <c r="AL1117">
        <v>748.86047086614178</v>
      </c>
      <c r="AM1117">
        <v>2.7503151101334171</v>
      </c>
      <c r="AN1117">
        <v>2.7170608176442022</v>
      </c>
    </row>
    <row r="1118" spans="1:40" x14ac:dyDescent="0.25">
      <c r="A1118" s="1" t="s">
        <v>415</v>
      </c>
      <c r="B1118">
        <v>92142168350</v>
      </c>
      <c r="C1118" t="s">
        <v>73</v>
      </c>
      <c r="D1118" t="s">
        <v>105</v>
      </c>
      <c r="E1118">
        <v>35003000000</v>
      </c>
      <c r="F1118">
        <v>367000000</v>
      </c>
      <c r="G1118">
        <v>1744000000</v>
      </c>
      <c r="H1118">
        <v>127000000</v>
      </c>
      <c r="I1118">
        <v>-498000000</v>
      </c>
      <c r="J1118">
        <v>-374000000</v>
      </c>
      <c r="K1118">
        <v>4995000000</v>
      </c>
      <c r="L1118">
        <v>538000000</v>
      </c>
      <c r="M1118">
        <v>5533000000</v>
      </c>
      <c r="N1118">
        <v>10664000000</v>
      </c>
      <c r="O1118">
        <v>1646000000</v>
      </c>
      <c r="P1118">
        <v>179000000</v>
      </c>
      <c r="Q1118">
        <v>10852000000</v>
      </c>
      <c r="R1118">
        <v>8635000000</v>
      </c>
      <c r="S1118">
        <v>24240000000</v>
      </c>
      <c r="T1118">
        <v>0</v>
      </c>
      <c r="U1118">
        <v>1164000000</v>
      </c>
      <c r="V1118">
        <v>9828000000</v>
      </c>
      <c r="W1118">
        <v>97640168350</v>
      </c>
      <c r="X1118">
        <v>98804168350</v>
      </c>
      <c r="Y1118">
        <v>2.6324077464788731</v>
      </c>
      <c r="Z1118">
        <v>251.06857861035419</v>
      </c>
      <c r="AA1118">
        <v>52.833812127293577</v>
      </c>
      <c r="AB1118">
        <v>725.52888464566934</v>
      </c>
      <c r="AC1118">
        <v>-185.02443443775101</v>
      </c>
      <c r="AD1118">
        <v>-246.3694340909091</v>
      </c>
      <c r="AE1118">
        <v>269.22116716621252</v>
      </c>
      <c r="AF1118">
        <v>266.04950504087191</v>
      </c>
      <c r="AG1118">
        <v>-198.40194447791171</v>
      </c>
      <c r="AH1118">
        <v>-196.06459508032131</v>
      </c>
      <c r="AI1118">
        <v>56.653766255733942</v>
      </c>
      <c r="AJ1118">
        <v>777.98557755905517</v>
      </c>
      <c r="AK1118">
        <v>55.986335063073398</v>
      </c>
      <c r="AL1118">
        <v>768.82022322834644</v>
      </c>
      <c r="AM1118">
        <v>2.822734289918007</v>
      </c>
      <c r="AN1118">
        <v>2.789479997428792</v>
      </c>
    </row>
    <row r="1119" spans="1:40" x14ac:dyDescent="0.25">
      <c r="A1119" s="1" t="s">
        <v>414</v>
      </c>
      <c r="B1119">
        <v>91462076300</v>
      </c>
      <c r="C1119" t="s">
        <v>73</v>
      </c>
      <c r="D1119" t="s">
        <v>105</v>
      </c>
      <c r="E1119">
        <v>35003000000</v>
      </c>
      <c r="F1119">
        <v>367000000</v>
      </c>
      <c r="G1119">
        <v>1744000000</v>
      </c>
      <c r="H1119">
        <v>127000000</v>
      </c>
      <c r="I1119">
        <v>-498000000</v>
      </c>
      <c r="J1119">
        <v>-374000000</v>
      </c>
      <c r="K1119">
        <v>4995000000</v>
      </c>
      <c r="L1119">
        <v>538000000</v>
      </c>
      <c r="M1119">
        <v>5533000000</v>
      </c>
      <c r="N1119">
        <v>10664000000</v>
      </c>
      <c r="O1119">
        <v>1646000000</v>
      </c>
      <c r="P1119">
        <v>179000000</v>
      </c>
      <c r="Q1119">
        <v>10852000000</v>
      </c>
      <c r="R1119">
        <v>8635000000</v>
      </c>
      <c r="S1119">
        <v>24240000000</v>
      </c>
      <c r="T1119">
        <v>0</v>
      </c>
      <c r="U1119">
        <v>1164000000</v>
      </c>
      <c r="V1119">
        <v>9828000000</v>
      </c>
      <c r="W1119">
        <v>96960076300</v>
      </c>
      <c r="X1119">
        <v>98124076300</v>
      </c>
      <c r="Y1119">
        <v>2.6129782104391048</v>
      </c>
      <c r="Z1119">
        <v>249.2154667574932</v>
      </c>
      <c r="AA1119">
        <v>52.443851089449538</v>
      </c>
      <c r="AB1119">
        <v>720.17382913385825</v>
      </c>
      <c r="AC1119">
        <v>-183.65878775100401</v>
      </c>
      <c r="AD1119">
        <v>-244.55100614973259</v>
      </c>
      <c r="AE1119">
        <v>267.36805531335148</v>
      </c>
      <c r="AF1119">
        <v>264.19639318801092</v>
      </c>
      <c r="AG1119">
        <v>-197.03629779116471</v>
      </c>
      <c r="AH1119">
        <v>-194.69894839357431</v>
      </c>
      <c r="AI1119">
        <v>56.26380521788991</v>
      </c>
      <c r="AJ1119">
        <v>772.63052204724409</v>
      </c>
      <c r="AK1119">
        <v>55.596374025229359</v>
      </c>
      <c r="AL1119">
        <v>763.46516771653546</v>
      </c>
      <c r="AM1119">
        <v>2.8033047538782392</v>
      </c>
      <c r="AN1119">
        <v>2.7700504613890242</v>
      </c>
    </row>
    <row r="1120" spans="1:40" x14ac:dyDescent="0.25">
      <c r="A1120" s="1" t="s">
        <v>413</v>
      </c>
      <c r="B1120">
        <v>88618055000</v>
      </c>
      <c r="C1120" t="s">
        <v>73</v>
      </c>
      <c r="D1120" t="s">
        <v>105</v>
      </c>
      <c r="E1120">
        <v>35003000000</v>
      </c>
      <c r="F1120">
        <v>367000000</v>
      </c>
      <c r="G1120">
        <v>1744000000</v>
      </c>
      <c r="H1120">
        <v>127000000</v>
      </c>
      <c r="I1120">
        <v>-498000000</v>
      </c>
      <c r="J1120">
        <v>-374000000</v>
      </c>
      <c r="K1120">
        <v>4995000000</v>
      </c>
      <c r="L1120">
        <v>538000000</v>
      </c>
      <c r="M1120">
        <v>5533000000</v>
      </c>
      <c r="N1120">
        <v>10664000000</v>
      </c>
      <c r="O1120">
        <v>1646000000</v>
      </c>
      <c r="P1120">
        <v>179000000</v>
      </c>
      <c r="Q1120">
        <v>10852000000</v>
      </c>
      <c r="R1120">
        <v>8635000000</v>
      </c>
      <c r="S1120">
        <v>24240000000</v>
      </c>
      <c r="T1120">
        <v>0</v>
      </c>
      <c r="U1120">
        <v>1164000000</v>
      </c>
      <c r="V1120">
        <v>9828000000</v>
      </c>
      <c r="W1120">
        <v>94116055000</v>
      </c>
      <c r="X1120">
        <v>95280055000</v>
      </c>
      <c r="Y1120">
        <v>2.5317274233637121</v>
      </c>
      <c r="Z1120">
        <v>241.4660899182561</v>
      </c>
      <c r="AA1120">
        <v>50.813104931192662</v>
      </c>
      <c r="AB1120">
        <v>697.77996062992122</v>
      </c>
      <c r="AC1120">
        <v>-177.94790160642569</v>
      </c>
      <c r="AD1120">
        <v>-236.94667112299459</v>
      </c>
      <c r="AE1120">
        <v>259.61867847411452</v>
      </c>
      <c r="AF1120">
        <v>256.44701634877379</v>
      </c>
      <c r="AG1120">
        <v>-191.3254116465863</v>
      </c>
      <c r="AH1120">
        <v>-188.98806224899599</v>
      </c>
      <c r="AI1120">
        <v>54.633059059633027</v>
      </c>
      <c r="AJ1120">
        <v>750.23665354330706</v>
      </c>
      <c r="AK1120">
        <v>53.965627866972483</v>
      </c>
      <c r="AL1120">
        <v>741.07129921259843</v>
      </c>
      <c r="AM1120">
        <v>2.7220539668028461</v>
      </c>
      <c r="AN1120">
        <v>2.6887996743136302</v>
      </c>
    </row>
    <row r="1121" spans="1:40" x14ac:dyDescent="0.25">
      <c r="A1121" s="1" t="s">
        <v>412</v>
      </c>
      <c r="B1121">
        <v>88041007200</v>
      </c>
      <c r="C1121" t="s">
        <v>73</v>
      </c>
      <c r="D1121" t="s">
        <v>105</v>
      </c>
      <c r="E1121">
        <v>35003000000</v>
      </c>
      <c r="F1121">
        <v>367000000</v>
      </c>
      <c r="G1121">
        <v>1744000000</v>
      </c>
      <c r="H1121">
        <v>127000000</v>
      </c>
      <c r="I1121">
        <v>-498000000</v>
      </c>
      <c r="J1121">
        <v>-374000000</v>
      </c>
      <c r="K1121">
        <v>4995000000</v>
      </c>
      <c r="L1121">
        <v>538000000</v>
      </c>
      <c r="M1121">
        <v>5533000000</v>
      </c>
      <c r="N1121">
        <v>10664000000</v>
      </c>
      <c r="O1121">
        <v>1646000000</v>
      </c>
      <c r="P1121">
        <v>179000000</v>
      </c>
      <c r="Q1121">
        <v>10852000000</v>
      </c>
      <c r="R1121">
        <v>8635000000</v>
      </c>
      <c r="S1121">
        <v>24240000000</v>
      </c>
      <c r="T1121">
        <v>0</v>
      </c>
      <c r="U1121">
        <v>1164000000</v>
      </c>
      <c r="V1121">
        <v>9828000000</v>
      </c>
      <c r="W1121">
        <v>93539007200</v>
      </c>
      <c r="X1121">
        <v>94703007200</v>
      </c>
      <c r="Y1121">
        <v>2.515241756420878</v>
      </c>
      <c r="Z1121">
        <v>239.89375258855591</v>
      </c>
      <c r="AA1121">
        <v>50.482228899082571</v>
      </c>
      <c r="AB1121">
        <v>693.23627716535429</v>
      </c>
      <c r="AC1121">
        <v>-176.78917108433731</v>
      </c>
      <c r="AD1121">
        <v>-235.4037625668449</v>
      </c>
      <c r="AE1121">
        <v>258.04634114441421</v>
      </c>
      <c r="AF1121">
        <v>254.8746790190736</v>
      </c>
      <c r="AG1121">
        <v>-190.16668112449801</v>
      </c>
      <c r="AH1121">
        <v>-187.82933172690761</v>
      </c>
      <c r="AI1121">
        <v>54.302183027522943</v>
      </c>
      <c r="AJ1121">
        <v>745.69297007874013</v>
      </c>
      <c r="AK1121">
        <v>53.634751834862392</v>
      </c>
      <c r="AL1121">
        <v>736.52761574803151</v>
      </c>
      <c r="AM1121">
        <v>2.7055682998600119</v>
      </c>
      <c r="AN1121">
        <v>2.6723140073707969</v>
      </c>
    </row>
    <row r="1122" spans="1:40" x14ac:dyDescent="0.25">
      <c r="A1122" s="1" t="s">
        <v>411</v>
      </c>
      <c r="B1122">
        <v>88535619600</v>
      </c>
      <c r="C1122" t="s">
        <v>73</v>
      </c>
      <c r="D1122" t="s">
        <v>105</v>
      </c>
      <c r="E1122">
        <v>35003000000</v>
      </c>
      <c r="F1122">
        <v>367000000</v>
      </c>
      <c r="G1122">
        <v>1744000000</v>
      </c>
      <c r="H1122">
        <v>127000000</v>
      </c>
      <c r="I1122">
        <v>-498000000</v>
      </c>
      <c r="J1122">
        <v>-374000000</v>
      </c>
      <c r="K1122">
        <v>4995000000</v>
      </c>
      <c r="L1122">
        <v>538000000</v>
      </c>
      <c r="M1122">
        <v>5533000000</v>
      </c>
      <c r="N1122">
        <v>10664000000</v>
      </c>
      <c r="O1122">
        <v>1646000000</v>
      </c>
      <c r="P1122">
        <v>179000000</v>
      </c>
      <c r="Q1122">
        <v>10852000000</v>
      </c>
      <c r="R1122">
        <v>8635000000</v>
      </c>
      <c r="S1122">
        <v>24240000000</v>
      </c>
      <c r="T1122">
        <v>0</v>
      </c>
      <c r="U1122">
        <v>1164000000</v>
      </c>
      <c r="V1122">
        <v>9828000000</v>
      </c>
      <c r="W1122">
        <v>94033619600</v>
      </c>
      <c r="X1122">
        <v>95197619600</v>
      </c>
      <c r="Y1122">
        <v>2.529372328086164</v>
      </c>
      <c r="Z1122">
        <v>241.2414702997275</v>
      </c>
      <c r="AA1122">
        <v>50.765836926605502</v>
      </c>
      <c r="AB1122">
        <v>697.13086299212603</v>
      </c>
      <c r="AC1122">
        <v>-177.7823686746988</v>
      </c>
      <c r="AD1122">
        <v>-236.7262556149733</v>
      </c>
      <c r="AE1122">
        <v>259.39405885558591</v>
      </c>
      <c r="AF1122">
        <v>256.22239673024518</v>
      </c>
      <c r="AG1122">
        <v>-191.15987871485939</v>
      </c>
      <c r="AH1122">
        <v>-188.8225293172691</v>
      </c>
      <c r="AI1122">
        <v>54.585791055045867</v>
      </c>
      <c r="AJ1122">
        <v>749.58755590551186</v>
      </c>
      <c r="AK1122">
        <v>53.918359862385323</v>
      </c>
      <c r="AL1122">
        <v>740.42220157480313</v>
      </c>
      <c r="AM1122">
        <v>2.7196988715252979</v>
      </c>
      <c r="AN1122">
        <v>2.686444579036082</v>
      </c>
    </row>
    <row r="1123" spans="1:40" x14ac:dyDescent="0.25">
      <c r="A1123" s="1" t="s">
        <v>410</v>
      </c>
      <c r="B1123">
        <v>88700490400</v>
      </c>
      <c r="C1123" t="s">
        <v>73</v>
      </c>
      <c r="D1123" t="s">
        <v>105</v>
      </c>
      <c r="E1123">
        <v>35003000000</v>
      </c>
      <c r="F1123">
        <v>367000000</v>
      </c>
      <c r="G1123">
        <v>1744000000</v>
      </c>
      <c r="H1123">
        <v>127000000</v>
      </c>
      <c r="I1123">
        <v>-498000000</v>
      </c>
      <c r="J1123">
        <v>-374000000</v>
      </c>
      <c r="K1123">
        <v>4995000000</v>
      </c>
      <c r="L1123">
        <v>538000000</v>
      </c>
      <c r="M1123">
        <v>5533000000</v>
      </c>
      <c r="N1123">
        <v>10664000000</v>
      </c>
      <c r="O1123">
        <v>1646000000</v>
      </c>
      <c r="P1123">
        <v>179000000</v>
      </c>
      <c r="Q1123">
        <v>10852000000</v>
      </c>
      <c r="R1123">
        <v>8635000000</v>
      </c>
      <c r="S1123">
        <v>24240000000</v>
      </c>
      <c r="T1123">
        <v>0</v>
      </c>
      <c r="U1123">
        <v>1164000000</v>
      </c>
      <c r="V1123">
        <v>9828000000</v>
      </c>
      <c r="W1123">
        <v>94198490400</v>
      </c>
      <c r="X1123">
        <v>95362490400</v>
      </c>
      <c r="Y1123">
        <v>2.534082518641259</v>
      </c>
      <c r="Z1123">
        <v>241.69070953678471</v>
      </c>
      <c r="AA1123">
        <v>50.860372935779807</v>
      </c>
      <c r="AB1123">
        <v>698.42905826771653</v>
      </c>
      <c r="AC1123">
        <v>-178.1134345381526</v>
      </c>
      <c r="AD1123">
        <v>-237.16708663101599</v>
      </c>
      <c r="AE1123">
        <v>259.84329809264312</v>
      </c>
      <c r="AF1123">
        <v>256.67163596730239</v>
      </c>
      <c r="AG1123">
        <v>-191.49094457831319</v>
      </c>
      <c r="AH1123">
        <v>-189.1535951807229</v>
      </c>
      <c r="AI1123">
        <v>54.680327064220187</v>
      </c>
      <c r="AJ1123">
        <v>750.88575118110236</v>
      </c>
      <c r="AK1123">
        <v>54.012895871559643</v>
      </c>
      <c r="AL1123">
        <v>741.72039685039374</v>
      </c>
      <c r="AM1123">
        <v>2.7244090620803929</v>
      </c>
      <c r="AN1123">
        <v>2.6911547695911779</v>
      </c>
    </row>
    <row r="1124" spans="1:40" x14ac:dyDescent="0.25">
      <c r="A1124" s="1" t="s">
        <v>409</v>
      </c>
      <c r="B1124">
        <v>91070508150</v>
      </c>
      <c r="C1124" t="s">
        <v>73</v>
      </c>
      <c r="D1124" t="s">
        <v>105</v>
      </c>
      <c r="E1124">
        <v>35003000000</v>
      </c>
      <c r="F1124">
        <v>367000000</v>
      </c>
      <c r="G1124">
        <v>1744000000</v>
      </c>
      <c r="H1124">
        <v>127000000</v>
      </c>
      <c r="I1124">
        <v>-498000000</v>
      </c>
      <c r="J1124">
        <v>-374000000</v>
      </c>
      <c r="K1124">
        <v>4995000000</v>
      </c>
      <c r="L1124">
        <v>538000000</v>
      </c>
      <c r="M1124">
        <v>5533000000</v>
      </c>
      <c r="N1124">
        <v>10664000000</v>
      </c>
      <c r="O1124">
        <v>1646000000</v>
      </c>
      <c r="P1124">
        <v>179000000</v>
      </c>
      <c r="Q1124">
        <v>10852000000</v>
      </c>
      <c r="R1124">
        <v>8635000000</v>
      </c>
      <c r="S1124">
        <v>24240000000</v>
      </c>
      <c r="T1124">
        <v>0</v>
      </c>
      <c r="U1124">
        <v>1164000000</v>
      </c>
      <c r="V1124">
        <v>9828000000</v>
      </c>
      <c r="W1124">
        <v>96568508150</v>
      </c>
      <c r="X1124">
        <v>97732508150</v>
      </c>
      <c r="Y1124">
        <v>2.6017915078707539</v>
      </c>
      <c r="Z1124">
        <v>248.14852356948231</v>
      </c>
      <c r="AA1124">
        <v>52.219328067660548</v>
      </c>
      <c r="AB1124">
        <v>717.09061535433068</v>
      </c>
      <c r="AC1124">
        <v>-182.8725063253012</v>
      </c>
      <c r="AD1124">
        <v>-243.50403248663099</v>
      </c>
      <c r="AE1124">
        <v>266.30111212534058</v>
      </c>
      <c r="AF1124">
        <v>263.12945000000002</v>
      </c>
      <c r="AG1124">
        <v>-196.25001636546179</v>
      </c>
      <c r="AH1124">
        <v>-193.9126669678715</v>
      </c>
      <c r="AI1124">
        <v>56.03928219610092</v>
      </c>
      <c r="AJ1124">
        <v>769.54730826771652</v>
      </c>
      <c r="AK1124">
        <v>55.371851003440369</v>
      </c>
      <c r="AL1124">
        <v>760.38195393700789</v>
      </c>
      <c r="AM1124">
        <v>2.7921180513098882</v>
      </c>
      <c r="AN1124">
        <v>2.7588637588206719</v>
      </c>
    </row>
    <row r="1125" spans="1:40" x14ac:dyDescent="0.25">
      <c r="A1125" s="1" t="s">
        <v>408</v>
      </c>
      <c r="B1125">
        <v>87278479750</v>
      </c>
      <c r="C1125" t="s">
        <v>73</v>
      </c>
      <c r="D1125" t="s">
        <v>105</v>
      </c>
      <c r="E1125">
        <v>35003000000</v>
      </c>
      <c r="F1125">
        <v>367000000</v>
      </c>
      <c r="G1125">
        <v>1744000000</v>
      </c>
      <c r="H1125">
        <v>127000000</v>
      </c>
      <c r="I1125">
        <v>-498000000</v>
      </c>
      <c r="J1125">
        <v>-374000000</v>
      </c>
      <c r="K1125">
        <v>4995000000</v>
      </c>
      <c r="L1125">
        <v>538000000</v>
      </c>
      <c r="M1125">
        <v>5533000000</v>
      </c>
      <c r="N1125">
        <v>10664000000</v>
      </c>
      <c r="O1125">
        <v>1646000000</v>
      </c>
      <c r="P1125">
        <v>179000000</v>
      </c>
      <c r="Q1125">
        <v>10852000000</v>
      </c>
      <c r="R1125">
        <v>8635000000</v>
      </c>
      <c r="S1125">
        <v>24240000000</v>
      </c>
      <c r="T1125">
        <v>0</v>
      </c>
      <c r="U1125">
        <v>1164000000</v>
      </c>
      <c r="V1125">
        <v>9828000000</v>
      </c>
      <c r="W1125">
        <v>92776479750</v>
      </c>
      <c r="X1125">
        <v>93940479750</v>
      </c>
      <c r="Y1125">
        <v>2.493457125103562</v>
      </c>
      <c r="Z1125">
        <v>237.8160211171662</v>
      </c>
      <c r="AA1125">
        <v>50.044999856651373</v>
      </c>
      <c r="AB1125">
        <v>687.23212401574801</v>
      </c>
      <c r="AC1125">
        <v>-175.25799146586351</v>
      </c>
      <c r="AD1125">
        <v>-233.36491911764699</v>
      </c>
      <c r="AE1125">
        <v>255.9686096730245</v>
      </c>
      <c r="AF1125">
        <v>252.79694754768391</v>
      </c>
      <c r="AG1125">
        <v>-188.6355015060241</v>
      </c>
      <c r="AH1125">
        <v>-186.2981521084337</v>
      </c>
      <c r="AI1125">
        <v>53.864953985091738</v>
      </c>
      <c r="AJ1125">
        <v>739.68881692913385</v>
      </c>
      <c r="AK1125">
        <v>53.197522792431187</v>
      </c>
      <c r="AL1125">
        <v>730.52346259842523</v>
      </c>
      <c r="AM1125">
        <v>2.6837836685426959</v>
      </c>
      <c r="AN1125">
        <v>2.6505293760534809</v>
      </c>
    </row>
    <row r="1126" spans="1:40" x14ac:dyDescent="0.25">
      <c r="A1126" s="1" t="s">
        <v>407</v>
      </c>
      <c r="B1126">
        <v>83713148700</v>
      </c>
      <c r="C1126" t="s">
        <v>73</v>
      </c>
      <c r="D1126" t="s">
        <v>105</v>
      </c>
      <c r="E1126">
        <v>35003000000</v>
      </c>
      <c r="F1126">
        <v>367000000</v>
      </c>
      <c r="G1126">
        <v>1744000000</v>
      </c>
      <c r="H1126">
        <v>127000000</v>
      </c>
      <c r="I1126">
        <v>-498000000</v>
      </c>
      <c r="J1126">
        <v>-374000000</v>
      </c>
      <c r="K1126">
        <v>4995000000</v>
      </c>
      <c r="L1126">
        <v>538000000</v>
      </c>
      <c r="M1126">
        <v>5533000000</v>
      </c>
      <c r="N1126">
        <v>10664000000</v>
      </c>
      <c r="O1126">
        <v>1646000000</v>
      </c>
      <c r="P1126">
        <v>179000000</v>
      </c>
      <c r="Q1126">
        <v>10852000000</v>
      </c>
      <c r="R1126">
        <v>8635000000</v>
      </c>
      <c r="S1126">
        <v>24240000000</v>
      </c>
      <c r="T1126">
        <v>0</v>
      </c>
      <c r="U1126">
        <v>1164000000</v>
      </c>
      <c r="V1126">
        <v>9828000000</v>
      </c>
      <c r="W1126">
        <v>89211148700</v>
      </c>
      <c r="X1126">
        <v>90375148700</v>
      </c>
      <c r="Y1126">
        <v>2.3915992543496269</v>
      </c>
      <c r="Z1126">
        <v>228.10122261580381</v>
      </c>
      <c r="AA1126">
        <v>48.000658658256881</v>
      </c>
      <c r="AB1126">
        <v>659.15865118110241</v>
      </c>
      <c r="AC1126">
        <v>-168.09869216867469</v>
      </c>
      <c r="AD1126">
        <v>-223.83194839572189</v>
      </c>
      <c r="AE1126">
        <v>246.25381117166211</v>
      </c>
      <c r="AF1126">
        <v>243.08214904632149</v>
      </c>
      <c r="AG1126">
        <v>-181.4762022088353</v>
      </c>
      <c r="AH1126">
        <v>-179.13885281124499</v>
      </c>
      <c r="AI1126">
        <v>51.820612786697247</v>
      </c>
      <c r="AJ1126">
        <v>711.61534409448814</v>
      </c>
      <c r="AK1126">
        <v>51.153181594036703</v>
      </c>
      <c r="AL1126">
        <v>702.44998976377951</v>
      </c>
      <c r="AM1126">
        <v>2.5819257977887609</v>
      </c>
      <c r="AN1126">
        <v>2.5486715052995459</v>
      </c>
    </row>
    <row r="1127" spans="1:40" x14ac:dyDescent="0.25">
      <c r="A1127" s="1" t="s">
        <v>406</v>
      </c>
      <c r="B1127">
        <v>84970288550</v>
      </c>
      <c r="C1127" t="s">
        <v>73</v>
      </c>
      <c r="D1127" t="s">
        <v>105</v>
      </c>
      <c r="E1127">
        <v>35003000000</v>
      </c>
      <c r="F1127">
        <v>367000000</v>
      </c>
      <c r="G1127">
        <v>1744000000</v>
      </c>
      <c r="H1127">
        <v>127000000</v>
      </c>
      <c r="I1127">
        <v>-498000000</v>
      </c>
      <c r="J1127">
        <v>-374000000</v>
      </c>
      <c r="K1127">
        <v>4995000000</v>
      </c>
      <c r="L1127">
        <v>538000000</v>
      </c>
      <c r="M1127">
        <v>5533000000</v>
      </c>
      <c r="N1127">
        <v>10664000000</v>
      </c>
      <c r="O1127">
        <v>1646000000</v>
      </c>
      <c r="P1127">
        <v>179000000</v>
      </c>
      <c r="Q1127">
        <v>10852000000</v>
      </c>
      <c r="R1127">
        <v>8635000000</v>
      </c>
      <c r="S1127">
        <v>24240000000</v>
      </c>
      <c r="T1127">
        <v>0</v>
      </c>
      <c r="U1127">
        <v>1164000000</v>
      </c>
      <c r="V1127">
        <v>9828000000</v>
      </c>
      <c r="W1127">
        <v>90468288550</v>
      </c>
      <c r="X1127">
        <v>91632288550</v>
      </c>
      <c r="Y1127">
        <v>2.427514457332228</v>
      </c>
      <c r="Z1127">
        <v>231.5266717983651</v>
      </c>
      <c r="AA1127">
        <v>48.721495728211011</v>
      </c>
      <c r="AB1127">
        <v>669.05739015748031</v>
      </c>
      <c r="AC1127">
        <v>-170.62306937751001</v>
      </c>
      <c r="AD1127">
        <v>-227.19328489304809</v>
      </c>
      <c r="AE1127">
        <v>249.6792603542234</v>
      </c>
      <c r="AF1127">
        <v>246.50759822888281</v>
      </c>
      <c r="AG1127">
        <v>-184.00057941767071</v>
      </c>
      <c r="AH1127">
        <v>-181.66323002008031</v>
      </c>
      <c r="AI1127">
        <v>52.541449856651383</v>
      </c>
      <c r="AJ1127">
        <v>721.51408307086615</v>
      </c>
      <c r="AK1127">
        <v>51.874018663990817</v>
      </c>
      <c r="AL1127">
        <v>712.34872874015753</v>
      </c>
      <c r="AM1127">
        <v>2.6178410007713619</v>
      </c>
      <c r="AN1127">
        <v>2.584586708282147</v>
      </c>
    </row>
    <row r="1128" spans="1:40" x14ac:dyDescent="0.25">
      <c r="A1128" s="1" t="s">
        <v>405</v>
      </c>
      <c r="B1128">
        <v>88061616050</v>
      </c>
      <c r="C1128" t="s">
        <v>73</v>
      </c>
      <c r="D1128" t="s">
        <v>105</v>
      </c>
      <c r="E1128">
        <v>35003000000</v>
      </c>
      <c r="F1128">
        <v>367000000</v>
      </c>
      <c r="G1128">
        <v>1744000000</v>
      </c>
      <c r="H1128">
        <v>127000000</v>
      </c>
      <c r="I1128">
        <v>-498000000</v>
      </c>
      <c r="J1128">
        <v>-374000000</v>
      </c>
      <c r="K1128">
        <v>4995000000</v>
      </c>
      <c r="L1128">
        <v>538000000</v>
      </c>
      <c r="M1128">
        <v>5533000000</v>
      </c>
      <c r="N1128">
        <v>10664000000</v>
      </c>
      <c r="O1128">
        <v>1646000000</v>
      </c>
      <c r="P1128">
        <v>179000000</v>
      </c>
      <c r="Q1128">
        <v>10852000000</v>
      </c>
      <c r="R1128">
        <v>8635000000</v>
      </c>
      <c r="S1128">
        <v>24240000000</v>
      </c>
      <c r="T1128">
        <v>0</v>
      </c>
      <c r="U1128">
        <v>1164000000</v>
      </c>
      <c r="V1128">
        <v>9828000000</v>
      </c>
      <c r="W1128">
        <v>93559616050</v>
      </c>
      <c r="X1128">
        <v>94723616050</v>
      </c>
      <c r="Y1128">
        <v>2.5158305302402648</v>
      </c>
      <c r="Z1128">
        <v>239.94990749318799</v>
      </c>
      <c r="AA1128">
        <v>50.494045900229359</v>
      </c>
      <c r="AB1128">
        <v>693.39855157480315</v>
      </c>
      <c r="AC1128">
        <v>-176.8305543172691</v>
      </c>
      <c r="AD1128">
        <v>-235.4588664438503</v>
      </c>
      <c r="AE1128">
        <v>258.10249604904629</v>
      </c>
      <c r="AF1128">
        <v>254.93083392370571</v>
      </c>
      <c r="AG1128">
        <v>-190.20806435742969</v>
      </c>
      <c r="AH1128">
        <v>-187.87071495983929</v>
      </c>
      <c r="AI1128">
        <v>54.314000028669717</v>
      </c>
      <c r="AJ1128">
        <v>745.85524448818899</v>
      </c>
      <c r="AK1128">
        <v>53.646568836009173</v>
      </c>
      <c r="AL1128">
        <v>736.68989015748036</v>
      </c>
      <c r="AM1128">
        <v>2.7061570736793992</v>
      </c>
      <c r="AN1128">
        <v>2.6729027811901842</v>
      </c>
    </row>
    <row r="1129" spans="1:40" x14ac:dyDescent="0.25">
      <c r="A1129" s="1" t="s">
        <v>404</v>
      </c>
      <c r="B1129">
        <v>89195102800</v>
      </c>
      <c r="C1129" t="s">
        <v>73</v>
      </c>
      <c r="D1129" t="s">
        <v>105</v>
      </c>
      <c r="E1129">
        <v>35003000000</v>
      </c>
      <c r="F1129">
        <v>367000000</v>
      </c>
      <c r="G1129">
        <v>1744000000</v>
      </c>
      <c r="H1129">
        <v>127000000</v>
      </c>
      <c r="I1129">
        <v>-498000000</v>
      </c>
      <c r="J1129">
        <v>-374000000</v>
      </c>
      <c r="K1129">
        <v>4995000000</v>
      </c>
      <c r="L1129">
        <v>538000000</v>
      </c>
      <c r="M1129">
        <v>5533000000</v>
      </c>
      <c r="N1129">
        <v>10664000000</v>
      </c>
      <c r="O1129">
        <v>1646000000</v>
      </c>
      <c r="P1129">
        <v>179000000</v>
      </c>
      <c r="Q1129">
        <v>10852000000</v>
      </c>
      <c r="R1129">
        <v>8635000000</v>
      </c>
      <c r="S1129">
        <v>24240000000</v>
      </c>
      <c r="T1129">
        <v>0</v>
      </c>
      <c r="U1129">
        <v>1164000000</v>
      </c>
      <c r="V1129">
        <v>9828000000</v>
      </c>
      <c r="W1129">
        <v>94693102800</v>
      </c>
      <c r="X1129">
        <v>95857102800</v>
      </c>
      <c r="Y1129">
        <v>2.548213090306545</v>
      </c>
      <c r="Z1129">
        <v>243.03842724795641</v>
      </c>
      <c r="AA1129">
        <v>51.143980963302752</v>
      </c>
      <c r="AB1129">
        <v>702.32364409448815</v>
      </c>
      <c r="AC1129">
        <v>-179.10663212851409</v>
      </c>
      <c r="AD1129">
        <v>-238.48957967914441</v>
      </c>
      <c r="AE1129">
        <v>261.19101580381471</v>
      </c>
      <c r="AF1129">
        <v>258.01935367847409</v>
      </c>
      <c r="AG1129">
        <v>-192.48414216867471</v>
      </c>
      <c r="AH1129">
        <v>-190.14679277108431</v>
      </c>
      <c r="AI1129">
        <v>54.963935091743117</v>
      </c>
      <c r="AJ1129">
        <v>754.78033700787398</v>
      </c>
      <c r="AK1129">
        <v>54.296503899082573</v>
      </c>
      <c r="AL1129">
        <v>745.61498267716536</v>
      </c>
      <c r="AM1129">
        <v>2.7385396337456789</v>
      </c>
      <c r="AN1129">
        <v>2.7052853412564639</v>
      </c>
    </row>
    <row r="1130" spans="1:40" x14ac:dyDescent="0.25">
      <c r="A1130" s="1" t="s">
        <v>403</v>
      </c>
      <c r="B1130">
        <v>90328589550</v>
      </c>
      <c r="C1130" t="s">
        <v>73</v>
      </c>
      <c r="D1130" t="s">
        <v>105</v>
      </c>
      <c r="E1130">
        <v>35003000000</v>
      </c>
      <c r="F1130">
        <v>367000000</v>
      </c>
      <c r="G1130">
        <v>1744000000</v>
      </c>
      <c r="H1130">
        <v>127000000</v>
      </c>
      <c r="I1130">
        <v>-498000000</v>
      </c>
      <c r="J1130">
        <v>-374000000</v>
      </c>
      <c r="K1130">
        <v>4995000000</v>
      </c>
      <c r="L1130">
        <v>538000000</v>
      </c>
      <c r="M1130">
        <v>5533000000</v>
      </c>
      <c r="N1130">
        <v>10664000000</v>
      </c>
      <c r="O1130">
        <v>1646000000</v>
      </c>
      <c r="P1130">
        <v>179000000</v>
      </c>
      <c r="Q1130">
        <v>10852000000</v>
      </c>
      <c r="R1130">
        <v>8635000000</v>
      </c>
      <c r="S1130">
        <v>24240000000</v>
      </c>
      <c r="T1130">
        <v>0</v>
      </c>
      <c r="U1130">
        <v>1164000000</v>
      </c>
      <c r="V1130">
        <v>9828000000</v>
      </c>
      <c r="W1130">
        <v>95826589550</v>
      </c>
      <c r="X1130">
        <v>96990589550</v>
      </c>
      <c r="Y1130">
        <v>2.5805956503728251</v>
      </c>
      <c r="Z1130">
        <v>246.12694700272479</v>
      </c>
      <c r="AA1130">
        <v>51.793916026376152</v>
      </c>
      <c r="AB1130">
        <v>711.24873661417325</v>
      </c>
      <c r="AC1130">
        <v>-181.382709939759</v>
      </c>
      <c r="AD1130">
        <v>-241.5202929144385</v>
      </c>
      <c r="AE1130">
        <v>264.27953555858312</v>
      </c>
      <c r="AF1130">
        <v>261.1078734332425</v>
      </c>
      <c r="AG1130">
        <v>-194.7602199799197</v>
      </c>
      <c r="AH1130">
        <v>-192.4228705823293</v>
      </c>
      <c r="AI1130">
        <v>55.613870154816517</v>
      </c>
      <c r="AJ1130">
        <v>763.70542952755909</v>
      </c>
      <c r="AK1130">
        <v>54.946438962155973</v>
      </c>
      <c r="AL1130">
        <v>754.54007519685035</v>
      </c>
      <c r="AM1130">
        <v>2.770922193811959</v>
      </c>
      <c r="AN1130">
        <v>2.7376679013227441</v>
      </c>
    </row>
    <row r="1131" spans="1:40" x14ac:dyDescent="0.25">
      <c r="A1131" s="1" t="s">
        <v>402</v>
      </c>
      <c r="B1131">
        <v>95789934800</v>
      </c>
      <c r="C1131" t="s">
        <v>73</v>
      </c>
      <c r="D1131" t="s">
        <v>105</v>
      </c>
      <c r="E1131">
        <v>35003000000</v>
      </c>
      <c r="F1131">
        <v>367000000</v>
      </c>
      <c r="G1131">
        <v>1744000000</v>
      </c>
      <c r="H1131">
        <v>127000000</v>
      </c>
      <c r="I1131">
        <v>-498000000</v>
      </c>
      <c r="J1131">
        <v>-374000000</v>
      </c>
      <c r="K1131">
        <v>4995000000</v>
      </c>
      <c r="L1131">
        <v>538000000</v>
      </c>
      <c r="M1131">
        <v>5533000000</v>
      </c>
      <c r="N1131">
        <v>10664000000</v>
      </c>
      <c r="O1131">
        <v>1646000000</v>
      </c>
      <c r="P1131">
        <v>179000000</v>
      </c>
      <c r="Q1131">
        <v>10852000000</v>
      </c>
      <c r="R1131">
        <v>8635000000</v>
      </c>
      <c r="S1131">
        <v>24240000000</v>
      </c>
      <c r="T1131">
        <v>0</v>
      </c>
      <c r="U1131">
        <v>1164000000</v>
      </c>
      <c r="V1131">
        <v>9828000000</v>
      </c>
      <c r="W1131">
        <v>101287934800</v>
      </c>
      <c r="X1131">
        <v>102451934800</v>
      </c>
      <c r="Y1131">
        <v>2.7366207125103559</v>
      </c>
      <c r="Z1131">
        <v>261.00799673024522</v>
      </c>
      <c r="AA1131">
        <v>54.925421330275228</v>
      </c>
      <c r="AB1131">
        <v>754.25145511811024</v>
      </c>
      <c r="AC1131">
        <v>-192.34926666666669</v>
      </c>
      <c r="AD1131">
        <v>-256.12282032085562</v>
      </c>
      <c r="AE1131">
        <v>279.16058528610353</v>
      </c>
      <c r="AF1131">
        <v>275.98892316076302</v>
      </c>
      <c r="AG1131">
        <v>-205.72677670682731</v>
      </c>
      <c r="AH1131">
        <v>-203.38942730923691</v>
      </c>
      <c r="AI1131">
        <v>58.7453754587156</v>
      </c>
      <c r="AJ1131">
        <v>806.70814803149608</v>
      </c>
      <c r="AK1131">
        <v>58.077944266055049</v>
      </c>
      <c r="AL1131">
        <v>797.54279370078746</v>
      </c>
      <c r="AM1131">
        <v>2.9269472559494898</v>
      </c>
      <c r="AN1131">
        <v>2.8936929634602748</v>
      </c>
    </row>
    <row r="1132" spans="1:40" x14ac:dyDescent="0.25">
      <c r="A1132" s="1" t="s">
        <v>401</v>
      </c>
      <c r="B1132">
        <v>98407258750</v>
      </c>
      <c r="C1132" t="s">
        <v>73</v>
      </c>
      <c r="D1132" t="s">
        <v>105</v>
      </c>
      <c r="E1132">
        <v>35003000000</v>
      </c>
      <c r="F1132">
        <v>367000000</v>
      </c>
      <c r="G1132">
        <v>1744000000</v>
      </c>
      <c r="H1132">
        <v>127000000</v>
      </c>
      <c r="I1132">
        <v>-498000000</v>
      </c>
      <c r="J1132">
        <v>-374000000</v>
      </c>
      <c r="K1132">
        <v>4995000000</v>
      </c>
      <c r="L1132">
        <v>538000000</v>
      </c>
      <c r="M1132">
        <v>5533000000</v>
      </c>
      <c r="N1132">
        <v>10664000000</v>
      </c>
      <c r="O1132">
        <v>1646000000</v>
      </c>
      <c r="P1132">
        <v>179000000</v>
      </c>
      <c r="Q1132">
        <v>10852000000</v>
      </c>
      <c r="R1132">
        <v>8635000000</v>
      </c>
      <c r="S1132">
        <v>24240000000</v>
      </c>
      <c r="T1132">
        <v>0</v>
      </c>
      <c r="U1132">
        <v>1164000000</v>
      </c>
      <c r="V1132">
        <v>9828000000</v>
      </c>
      <c r="W1132">
        <v>103905258750</v>
      </c>
      <c r="X1132">
        <v>105069258750</v>
      </c>
      <c r="Y1132">
        <v>2.811394987572494</v>
      </c>
      <c r="Z1132">
        <v>268.13966961852861</v>
      </c>
      <c r="AA1132">
        <v>56.426180475917427</v>
      </c>
      <c r="AB1132">
        <v>774.8603051181102</v>
      </c>
      <c r="AC1132">
        <v>-197.60493724899601</v>
      </c>
      <c r="AD1132">
        <v>-263.12101270053478</v>
      </c>
      <c r="AE1132">
        <v>286.29225817438692</v>
      </c>
      <c r="AF1132">
        <v>283.1205960490463</v>
      </c>
      <c r="AG1132">
        <v>-210.9824472891566</v>
      </c>
      <c r="AH1132">
        <v>-208.64509789156631</v>
      </c>
      <c r="AI1132">
        <v>60.246134604357799</v>
      </c>
      <c r="AJ1132">
        <v>827.31699803149604</v>
      </c>
      <c r="AK1132">
        <v>59.578703411697248</v>
      </c>
      <c r="AL1132">
        <v>818.15164370078742</v>
      </c>
      <c r="AM1132">
        <v>3.001721531011627</v>
      </c>
      <c r="AN1132">
        <v>2.968467238522412</v>
      </c>
    </row>
    <row r="1133" spans="1:40" x14ac:dyDescent="0.25">
      <c r="A1133" s="1" t="s">
        <v>400</v>
      </c>
      <c r="B1133">
        <v>99211003900</v>
      </c>
      <c r="C1133" t="s">
        <v>73</v>
      </c>
      <c r="D1133" t="s">
        <v>105</v>
      </c>
      <c r="E1133">
        <v>35003000000</v>
      </c>
      <c r="F1133">
        <v>367000000</v>
      </c>
      <c r="G1133">
        <v>1744000000</v>
      </c>
      <c r="H1133">
        <v>127000000</v>
      </c>
      <c r="I1133">
        <v>-498000000</v>
      </c>
      <c r="J1133">
        <v>-374000000</v>
      </c>
      <c r="K1133">
        <v>4995000000</v>
      </c>
      <c r="L1133">
        <v>538000000</v>
      </c>
      <c r="M1133">
        <v>5533000000</v>
      </c>
      <c r="N1133">
        <v>10664000000</v>
      </c>
      <c r="O1133">
        <v>1646000000</v>
      </c>
      <c r="P1133">
        <v>179000000</v>
      </c>
      <c r="Q1133">
        <v>10852000000</v>
      </c>
      <c r="R1133">
        <v>8635000000</v>
      </c>
      <c r="S1133">
        <v>24240000000</v>
      </c>
      <c r="T1133">
        <v>0</v>
      </c>
      <c r="U1133">
        <v>1164000000</v>
      </c>
      <c r="V1133">
        <v>9828000000</v>
      </c>
      <c r="W1133">
        <v>104709003900</v>
      </c>
      <c r="X1133">
        <v>105873003900</v>
      </c>
      <c r="Y1133">
        <v>2.8343571665285832</v>
      </c>
      <c r="Z1133">
        <v>270.32971089918249</v>
      </c>
      <c r="AA1133">
        <v>56.887043520642202</v>
      </c>
      <c r="AB1133">
        <v>781.1890070866142</v>
      </c>
      <c r="AC1133">
        <v>-199.21888333333331</v>
      </c>
      <c r="AD1133">
        <v>-265.27006390374328</v>
      </c>
      <c r="AE1133">
        <v>288.48229945504079</v>
      </c>
      <c r="AF1133">
        <v>285.31063732970028</v>
      </c>
      <c r="AG1133">
        <v>-212.59639337349401</v>
      </c>
      <c r="AH1133">
        <v>-210.25904397590361</v>
      </c>
      <c r="AI1133">
        <v>60.706997649082567</v>
      </c>
      <c r="AJ1133">
        <v>833.64570000000003</v>
      </c>
      <c r="AK1133">
        <v>60.039566456422023</v>
      </c>
      <c r="AL1133">
        <v>824.4803456692913</v>
      </c>
      <c r="AM1133">
        <v>3.0246837099677171</v>
      </c>
      <c r="AN1133">
        <v>2.9914294174785021</v>
      </c>
    </row>
    <row r="1134" spans="1:40" x14ac:dyDescent="0.25">
      <c r="A1134" s="1" t="s">
        <v>119</v>
      </c>
      <c r="B1134">
        <v>102879379200</v>
      </c>
      <c r="C1134" t="s">
        <v>72</v>
      </c>
      <c r="D1134" t="s">
        <v>105</v>
      </c>
      <c r="E1134">
        <v>35952000000</v>
      </c>
      <c r="F1134">
        <v>1234000000</v>
      </c>
      <c r="G1134">
        <v>2291000000</v>
      </c>
      <c r="H1134">
        <v>1007000000</v>
      </c>
      <c r="I1134">
        <v>391000000</v>
      </c>
      <c r="J1134">
        <v>1053000000</v>
      </c>
      <c r="K1134">
        <v>4448000000</v>
      </c>
      <c r="L1134">
        <v>725000000</v>
      </c>
      <c r="M1134">
        <v>5173000000</v>
      </c>
      <c r="N1134">
        <v>10679000000</v>
      </c>
      <c r="O1134">
        <v>1673000000</v>
      </c>
      <c r="P1134">
        <v>174000000</v>
      </c>
      <c r="Q1134">
        <v>10817000000</v>
      </c>
      <c r="R1134">
        <v>9405000000</v>
      </c>
      <c r="S1134">
        <v>25430000000</v>
      </c>
      <c r="T1134">
        <v>0</v>
      </c>
      <c r="U1134">
        <v>1161000000</v>
      </c>
      <c r="V1134">
        <v>10519000000</v>
      </c>
      <c r="W1134">
        <v>108697379200</v>
      </c>
      <c r="X1134">
        <v>109858379200</v>
      </c>
      <c r="Y1134">
        <v>2.8615759679572759</v>
      </c>
      <c r="Z1134">
        <v>83.370647649918965</v>
      </c>
      <c r="AA1134">
        <v>44.905883544303798</v>
      </c>
      <c r="AB1134">
        <v>102.16422959285001</v>
      </c>
      <c r="AC1134">
        <v>263.11861687979541</v>
      </c>
      <c r="AD1134">
        <v>97.701214814814819</v>
      </c>
      <c r="AE1134">
        <v>89.026239222042136</v>
      </c>
      <c r="AF1134">
        <v>88.085396434359808</v>
      </c>
      <c r="AG1134">
        <v>280.96772173913041</v>
      </c>
      <c r="AH1134">
        <v>277.99841227621482</v>
      </c>
      <c r="AI1134">
        <v>47.952151549541682</v>
      </c>
      <c r="AJ1134">
        <v>109.09471618669311</v>
      </c>
      <c r="AK1134">
        <v>47.44538594500218</v>
      </c>
      <c r="AL1134">
        <v>107.941786693148</v>
      </c>
      <c r="AM1134">
        <v>3.055695905651981</v>
      </c>
      <c r="AN1134">
        <v>3.0234028482421</v>
      </c>
    </row>
    <row r="1135" spans="1:40" x14ac:dyDescent="0.25">
      <c r="A1135" s="1" t="s">
        <v>399</v>
      </c>
      <c r="B1135">
        <v>102013807500</v>
      </c>
      <c r="C1135" t="s">
        <v>72</v>
      </c>
      <c r="D1135" t="s">
        <v>105</v>
      </c>
      <c r="E1135">
        <v>35952000000</v>
      </c>
      <c r="F1135">
        <v>1234000000</v>
      </c>
      <c r="G1135">
        <v>2291000000</v>
      </c>
      <c r="H1135">
        <v>1007000000</v>
      </c>
      <c r="I1135">
        <v>391000000</v>
      </c>
      <c r="J1135">
        <v>1053000000</v>
      </c>
      <c r="K1135">
        <v>4448000000</v>
      </c>
      <c r="L1135">
        <v>725000000</v>
      </c>
      <c r="M1135">
        <v>5173000000</v>
      </c>
      <c r="N1135">
        <v>10679000000</v>
      </c>
      <c r="O1135">
        <v>1673000000</v>
      </c>
      <c r="P1135">
        <v>174000000</v>
      </c>
      <c r="Q1135">
        <v>10817000000</v>
      </c>
      <c r="R1135">
        <v>9405000000</v>
      </c>
      <c r="S1135">
        <v>25430000000</v>
      </c>
      <c r="T1135">
        <v>0</v>
      </c>
      <c r="U1135">
        <v>1161000000</v>
      </c>
      <c r="V1135">
        <v>10519000000</v>
      </c>
      <c r="W1135">
        <v>107831807500</v>
      </c>
      <c r="X1135">
        <v>108992807500</v>
      </c>
      <c r="Y1135">
        <v>2.8375002086114822</v>
      </c>
      <c r="Z1135">
        <v>82.669211912479739</v>
      </c>
      <c r="AA1135">
        <v>44.528069620253163</v>
      </c>
      <c r="AB1135">
        <v>101.3046747765641</v>
      </c>
      <c r="AC1135">
        <v>260.90487851662402</v>
      </c>
      <c r="AD1135">
        <v>96.879209401709403</v>
      </c>
      <c r="AE1135">
        <v>88.324803484602924</v>
      </c>
      <c r="AF1135">
        <v>87.383960696920582</v>
      </c>
      <c r="AG1135">
        <v>278.75398337595908</v>
      </c>
      <c r="AH1135">
        <v>275.78467391304349</v>
      </c>
      <c r="AI1135">
        <v>47.574337625491047</v>
      </c>
      <c r="AJ1135">
        <v>108.2351613704072</v>
      </c>
      <c r="AK1135">
        <v>47.067572020951552</v>
      </c>
      <c r="AL1135">
        <v>107.082231876862</v>
      </c>
      <c r="AM1135">
        <v>3.031620146306186</v>
      </c>
      <c r="AN1135">
        <v>2.9993270888963059</v>
      </c>
    </row>
    <row r="1136" spans="1:40" x14ac:dyDescent="0.25">
      <c r="A1136" s="1" t="s">
        <v>398</v>
      </c>
      <c r="B1136">
        <v>103147294250</v>
      </c>
      <c r="C1136" t="s">
        <v>72</v>
      </c>
      <c r="D1136" t="s">
        <v>105</v>
      </c>
      <c r="E1136">
        <v>35952000000</v>
      </c>
      <c r="F1136">
        <v>1234000000</v>
      </c>
      <c r="G1136">
        <v>2291000000</v>
      </c>
      <c r="H1136">
        <v>1007000000</v>
      </c>
      <c r="I1136">
        <v>391000000</v>
      </c>
      <c r="J1136">
        <v>1053000000</v>
      </c>
      <c r="K1136">
        <v>4448000000</v>
      </c>
      <c r="L1136">
        <v>725000000</v>
      </c>
      <c r="M1136">
        <v>5173000000</v>
      </c>
      <c r="N1136">
        <v>10679000000</v>
      </c>
      <c r="O1136">
        <v>1673000000</v>
      </c>
      <c r="P1136">
        <v>174000000</v>
      </c>
      <c r="Q1136">
        <v>10817000000</v>
      </c>
      <c r="R1136">
        <v>9405000000</v>
      </c>
      <c r="S1136">
        <v>25430000000</v>
      </c>
      <c r="T1136">
        <v>0</v>
      </c>
      <c r="U1136">
        <v>1161000000</v>
      </c>
      <c r="V1136">
        <v>10519000000</v>
      </c>
      <c r="W1136">
        <v>108965294250</v>
      </c>
      <c r="X1136">
        <v>110126294250</v>
      </c>
      <c r="Y1136">
        <v>2.869027988707165</v>
      </c>
      <c r="Z1136">
        <v>83.587758711507291</v>
      </c>
      <c r="AA1136">
        <v>45.022825949367089</v>
      </c>
      <c r="AB1136">
        <v>102.43028227408141</v>
      </c>
      <c r="AC1136">
        <v>263.80382161125323</v>
      </c>
      <c r="AD1136">
        <v>97.95564506172839</v>
      </c>
      <c r="AE1136">
        <v>89.243350283630477</v>
      </c>
      <c r="AF1136">
        <v>88.302507495948134</v>
      </c>
      <c r="AG1136">
        <v>281.65292647058823</v>
      </c>
      <c r="AH1136">
        <v>278.68361700767258</v>
      </c>
      <c r="AI1136">
        <v>48.069093954604973</v>
      </c>
      <c r="AJ1136">
        <v>109.36076886792451</v>
      </c>
      <c r="AK1136">
        <v>47.562328350065471</v>
      </c>
      <c r="AL1136">
        <v>108.2078393743793</v>
      </c>
      <c r="AM1136">
        <v>3.0631479264018688</v>
      </c>
      <c r="AN1136">
        <v>3.0308548689919892</v>
      </c>
    </row>
    <row r="1137" spans="1:40" x14ac:dyDescent="0.25">
      <c r="A1137" s="1" t="s">
        <v>397</v>
      </c>
      <c r="B1137">
        <v>106300448300</v>
      </c>
      <c r="C1137" t="s">
        <v>72</v>
      </c>
      <c r="D1137" t="s">
        <v>105</v>
      </c>
      <c r="E1137">
        <v>35952000000</v>
      </c>
      <c r="F1137">
        <v>1234000000</v>
      </c>
      <c r="G1137">
        <v>2291000000</v>
      </c>
      <c r="H1137">
        <v>1007000000</v>
      </c>
      <c r="I1137">
        <v>391000000</v>
      </c>
      <c r="J1137">
        <v>1053000000</v>
      </c>
      <c r="K1137">
        <v>4448000000</v>
      </c>
      <c r="L1137">
        <v>725000000</v>
      </c>
      <c r="M1137">
        <v>5173000000</v>
      </c>
      <c r="N1137">
        <v>10679000000</v>
      </c>
      <c r="O1137">
        <v>1673000000</v>
      </c>
      <c r="P1137">
        <v>174000000</v>
      </c>
      <c r="Q1137">
        <v>10817000000</v>
      </c>
      <c r="R1137">
        <v>9405000000</v>
      </c>
      <c r="S1137">
        <v>25430000000</v>
      </c>
      <c r="T1137">
        <v>0</v>
      </c>
      <c r="U1137">
        <v>1161000000</v>
      </c>
      <c r="V1137">
        <v>10519000000</v>
      </c>
      <c r="W1137">
        <v>112118448300</v>
      </c>
      <c r="X1137">
        <v>113279448300</v>
      </c>
      <c r="Y1137">
        <v>2.956732540609702</v>
      </c>
      <c r="Z1137">
        <v>86.142988897893034</v>
      </c>
      <c r="AA1137">
        <v>46.399148101265823</v>
      </c>
      <c r="AB1137">
        <v>105.56151767626611</v>
      </c>
      <c r="AC1137">
        <v>271.86815421994879</v>
      </c>
      <c r="AD1137">
        <v>100.9500933523267</v>
      </c>
      <c r="AE1137">
        <v>91.798580470016205</v>
      </c>
      <c r="AF1137">
        <v>90.857737682333877</v>
      </c>
      <c r="AG1137">
        <v>289.71725907928391</v>
      </c>
      <c r="AH1137">
        <v>286.74794961636832</v>
      </c>
      <c r="AI1137">
        <v>49.445416106503707</v>
      </c>
      <c r="AJ1137">
        <v>112.49200427010921</v>
      </c>
      <c r="AK1137">
        <v>48.938650501964197</v>
      </c>
      <c r="AL1137">
        <v>111.339074776564</v>
      </c>
      <c r="AM1137">
        <v>3.1508524783044058</v>
      </c>
      <c r="AN1137">
        <v>3.1185594208945262</v>
      </c>
    </row>
    <row r="1138" spans="1:40" x14ac:dyDescent="0.25">
      <c r="A1138" s="1" t="s">
        <v>396</v>
      </c>
      <c r="B1138">
        <v>107660632400</v>
      </c>
      <c r="C1138" t="s">
        <v>72</v>
      </c>
      <c r="D1138" t="s">
        <v>105</v>
      </c>
      <c r="E1138">
        <v>35952000000</v>
      </c>
      <c r="F1138">
        <v>1234000000</v>
      </c>
      <c r="G1138">
        <v>2291000000</v>
      </c>
      <c r="H1138">
        <v>1007000000</v>
      </c>
      <c r="I1138">
        <v>391000000</v>
      </c>
      <c r="J1138">
        <v>1053000000</v>
      </c>
      <c r="K1138">
        <v>4448000000</v>
      </c>
      <c r="L1138">
        <v>725000000</v>
      </c>
      <c r="M1138">
        <v>5173000000</v>
      </c>
      <c r="N1138">
        <v>10679000000</v>
      </c>
      <c r="O1138">
        <v>1673000000</v>
      </c>
      <c r="P1138">
        <v>174000000</v>
      </c>
      <c r="Q1138">
        <v>10817000000</v>
      </c>
      <c r="R1138">
        <v>9405000000</v>
      </c>
      <c r="S1138">
        <v>25430000000</v>
      </c>
      <c r="T1138">
        <v>0</v>
      </c>
      <c r="U1138">
        <v>1161000000</v>
      </c>
      <c r="V1138">
        <v>10519000000</v>
      </c>
      <c r="W1138">
        <v>113478632400</v>
      </c>
      <c r="X1138">
        <v>114639632400</v>
      </c>
      <c r="Y1138">
        <v>2.994565876724522</v>
      </c>
      <c r="Z1138">
        <v>87.245245056726091</v>
      </c>
      <c r="AA1138">
        <v>46.992855696202533</v>
      </c>
      <c r="AB1138">
        <v>106.912246673287</v>
      </c>
      <c r="AC1138">
        <v>275.34688593350381</v>
      </c>
      <c r="AD1138">
        <v>102.2418161443495</v>
      </c>
      <c r="AE1138">
        <v>92.900836628849277</v>
      </c>
      <c r="AF1138">
        <v>91.959993841166934</v>
      </c>
      <c r="AG1138">
        <v>293.19599079283893</v>
      </c>
      <c r="AH1138">
        <v>290.22668132992328</v>
      </c>
      <c r="AI1138">
        <v>50.039123701440417</v>
      </c>
      <c r="AJ1138">
        <v>113.8427332671301</v>
      </c>
      <c r="AK1138">
        <v>49.532358096900907</v>
      </c>
      <c r="AL1138">
        <v>112.6898037735849</v>
      </c>
      <c r="AM1138">
        <v>3.1886858144192258</v>
      </c>
      <c r="AN1138">
        <v>3.1563927570093462</v>
      </c>
    </row>
    <row r="1139" spans="1:40" x14ac:dyDescent="0.25">
      <c r="A1139" s="1" t="s">
        <v>395</v>
      </c>
      <c r="B1139">
        <v>111040483800</v>
      </c>
      <c r="C1139" t="s">
        <v>72</v>
      </c>
      <c r="D1139" t="s">
        <v>105</v>
      </c>
      <c r="E1139">
        <v>35952000000</v>
      </c>
      <c r="F1139">
        <v>1234000000</v>
      </c>
      <c r="G1139">
        <v>2291000000</v>
      </c>
      <c r="H1139">
        <v>1007000000</v>
      </c>
      <c r="I1139">
        <v>391000000</v>
      </c>
      <c r="J1139">
        <v>1053000000</v>
      </c>
      <c r="K1139">
        <v>4448000000</v>
      </c>
      <c r="L1139">
        <v>725000000</v>
      </c>
      <c r="M1139">
        <v>5173000000</v>
      </c>
      <c r="N1139">
        <v>10679000000</v>
      </c>
      <c r="O1139">
        <v>1673000000</v>
      </c>
      <c r="P1139">
        <v>174000000</v>
      </c>
      <c r="Q1139">
        <v>10817000000</v>
      </c>
      <c r="R1139">
        <v>9405000000</v>
      </c>
      <c r="S1139">
        <v>25430000000</v>
      </c>
      <c r="T1139">
        <v>0</v>
      </c>
      <c r="U1139">
        <v>1161000000</v>
      </c>
      <c r="V1139">
        <v>10519000000</v>
      </c>
      <c r="W1139">
        <v>116858483800</v>
      </c>
      <c r="X1139">
        <v>118019483800</v>
      </c>
      <c r="Y1139">
        <v>3.0885759846461949</v>
      </c>
      <c r="Z1139">
        <v>89.984184602917338</v>
      </c>
      <c r="AA1139">
        <v>48.46812911392405</v>
      </c>
      <c r="AB1139">
        <v>110.2686035749752</v>
      </c>
      <c r="AC1139">
        <v>283.99100716112531</v>
      </c>
      <c r="AD1139">
        <v>105.45155156695159</v>
      </c>
      <c r="AE1139">
        <v>95.639776175040524</v>
      </c>
      <c r="AF1139">
        <v>94.698933387358181</v>
      </c>
      <c r="AG1139">
        <v>301.84011202046042</v>
      </c>
      <c r="AH1139">
        <v>298.87080255754478</v>
      </c>
      <c r="AI1139">
        <v>51.514397119161941</v>
      </c>
      <c r="AJ1139">
        <v>117.1990901688183</v>
      </c>
      <c r="AK1139">
        <v>51.007631514622439</v>
      </c>
      <c r="AL1139">
        <v>116.0461606752731</v>
      </c>
      <c r="AM1139">
        <v>3.2826959223408991</v>
      </c>
      <c r="AN1139">
        <v>3.250402864931019</v>
      </c>
    </row>
    <row r="1140" spans="1:40" x14ac:dyDescent="0.25">
      <c r="A1140" s="1" t="s">
        <v>394</v>
      </c>
      <c r="B1140">
        <v>110793177600</v>
      </c>
      <c r="C1140" t="s">
        <v>72</v>
      </c>
      <c r="D1140" t="s">
        <v>105</v>
      </c>
      <c r="E1140">
        <v>35952000000</v>
      </c>
      <c r="F1140">
        <v>1234000000</v>
      </c>
      <c r="G1140">
        <v>2291000000</v>
      </c>
      <c r="H1140">
        <v>1007000000</v>
      </c>
      <c r="I1140">
        <v>391000000</v>
      </c>
      <c r="J1140">
        <v>1053000000</v>
      </c>
      <c r="K1140">
        <v>4448000000</v>
      </c>
      <c r="L1140">
        <v>725000000</v>
      </c>
      <c r="M1140">
        <v>5173000000</v>
      </c>
      <c r="N1140">
        <v>10679000000</v>
      </c>
      <c r="O1140">
        <v>1673000000</v>
      </c>
      <c r="P1140">
        <v>174000000</v>
      </c>
      <c r="Q1140">
        <v>10817000000</v>
      </c>
      <c r="R1140">
        <v>9405000000</v>
      </c>
      <c r="S1140">
        <v>25430000000</v>
      </c>
      <c r="T1140">
        <v>0</v>
      </c>
      <c r="U1140">
        <v>1161000000</v>
      </c>
      <c r="V1140">
        <v>10519000000</v>
      </c>
      <c r="W1140">
        <v>116611177600</v>
      </c>
      <c r="X1140">
        <v>117772177600</v>
      </c>
      <c r="Y1140">
        <v>3.0816971962616821</v>
      </c>
      <c r="Z1140">
        <v>89.783774392220423</v>
      </c>
      <c r="AA1140">
        <v>48.360182278481012</v>
      </c>
      <c r="AB1140">
        <v>110.02301648460779</v>
      </c>
      <c r="AC1140">
        <v>283.35851048593349</v>
      </c>
      <c r="AD1140">
        <v>105.2166928774929</v>
      </c>
      <c r="AE1140">
        <v>95.439365964343594</v>
      </c>
      <c r="AF1140">
        <v>94.498523176661266</v>
      </c>
      <c r="AG1140">
        <v>301.20761534526861</v>
      </c>
      <c r="AH1140">
        <v>298.23830588235302</v>
      </c>
      <c r="AI1140">
        <v>51.406450283718897</v>
      </c>
      <c r="AJ1140">
        <v>116.95350307845089</v>
      </c>
      <c r="AK1140">
        <v>50.899684679179387</v>
      </c>
      <c r="AL1140">
        <v>115.80057358490571</v>
      </c>
      <c r="AM1140">
        <v>3.275817133956386</v>
      </c>
      <c r="AN1140">
        <v>3.2435240765465059</v>
      </c>
    </row>
    <row r="1141" spans="1:40" x14ac:dyDescent="0.25">
      <c r="A1141" s="1" t="s">
        <v>393</v>
      </c>
      <c r="B1141">
        <v>112153361700</v>
      </c>
      <c r="C1141" t="s">
        <v>72</v>
      </c>
      <c r="D1141" t="s">
        <v>105</v>
      </c>
      <c r="E1141">
        <v>35952000000</v>
      </c>
      <c r="F1141">
        <v>1234000000</v>
      </c>
      <c r="G1141">
        <v>2291000000</v>
      </c>
      <c r="H1141">
        <v>1007000000</v>
      </c>
      <c r="I1141">
        <v>391000000</v>
      </c>
      <c r="J1141">
        <v>1053000000</v>
      </c>
      <c r="K1141">
        <v>4448000000</v>
      </c>
      <c r="L1141">
        <v>725000000</v>
      </c>
      <c r="M1141">
        <v>5173000000</v>
      </c>
      <c r="N1141">
        <v>10679000000</v>
      </c>
      <c r="O1141">
        <v>1673000000</v>
      </c>
      <c r="P1141">
        <v>174000000</v>
      </c>
      <c r="Q1141">
        <v>10817000000</v>
      </c>
      <c r="R1141">
        <v>9405000000</v>
      </c>
      <c r="S1141">
        <v>25430000000</v>
      </c>
      <c r="T1141">
        <v>0</v>
      </c>
      <c r="U1141">
        <v>1161000000</v>
      </c>
      <c r="V1141">
        <v>10519000000</v>
      </c>
      <c r="W1141">
        <v>117971361700</v>
      </c>
      <c r="X1141">
        <v>119132361700</v>
      </c>
      <c r="Y1141">
        <v>3.1195305323765021</v>
      </c>
      <c r="Z1141">
        <v>90.88603055105348</v>
      </c>
      <c r="AA1141">
        <v>48.953889873417722</v>
      </c>
      <c r="AB1141">
        <v>111.3737454816286</v>
      </c>
      <c r="AC1141">
        <v>286.83724219948851</v>
      </c>
      <c r="AD1141">
        <v>106.5084156695157</v>
      </c>
      <c r="AE1141">
        <v>96.541622123176666</v>
      </c>
      <c r="AF1141">
        <v>95.600779335494323</v>
      </c>
      <c r="AG1141">
        <v>304.68634705882351</v>
      </c>
      <c r="AH1141">
        <v>301.71703759590793</v>
      </c>
      <c r="AI1141">
        <v>52.000157878655607</v>
      </c>
      <c r="AJ1141">
        <v>118.3042320754717</v>
      </c>
      <c r="AK1141">
        <v>51.493392274116097</v>
      </c>
      <c r="AL1141">
        <v>117.1513025819265</v>
      </c>
      <c r="AM1141">
        <v>3.3136504700712059</v>
      </c>
      <c r="AN1141">
        <v>3.2813574126613259</v>
      </c>
    </row>
    <row r="1142" spans="1:40" x14ac:dyDescent="0.25">
      <c r="A1142" s="1" t="s">
        <v>392</v>
      </c>
      <c r="B1142">
        <v>112194579400</v>
      </c>
      <c r="C1142" t="s">
        <v>72</v>
      </c>
      <c r="D1142" t="s">
        <v>105</v>
      </c>
      <c r="E1142">
        <v>35952000000</v>
      </c>
      <c r="F1142">
        <v>1234000000</v>
      </c>
      <c r="G1142">
        <v>2291000000</v>
      </c>
      <c r="H1142">
        <v>1007000000</v>
      </c>
      <c r="I1142">
        <v>391000000</v>
      </c>
      <c r="J1142">
        <v>1053000000</v>
      </c>
      <c r="K1142">
        <v>4448000000</v>
      </c>
      <c r="L1142">
        <v>725000000</v>
      </c>
      <c r="M1142">
        <v>5173000000</v>
      </c>
      <c r="N1142">
        <v>10679000000</v>
      </c>
      <c r="O1142">
        <v>1673000000</v>
      </c>
      <c r="P1142">
        <v>174000000</v>
      </c>
      <c r="Q1142">
        <v>10817000000</v>
      </c>
      <c r="R1142">
        <v>9405000000</v>
      </c>
      <c r="S1142">
        <v>25430000000</v>
      </c>
      <c r="T1142">
        <v>0</v>
      </c>
      <c r="U1142">
        <v>1161000000</v>
      </c>
      <c r="V1142">
        <v>10519000000</v>
      </c>
      <c r="W1142">
        <v>118012579400</v>
      </c>
      <c r="X1142">
        <v>119173579400</v>
      </c>
      <c r="Y1142">
        <v>3.1206769971072541</v>
      </c>
      <c r="Z1142">
        <v>90.919432252836302</v>
      </c>
      <c r="AA1142">
        <v>48.97188101265823</v>
      </c>
      <c r="AB1142">
        <v>111.4146766633565</v>
      </c>
      <c r="AC1142">
        <v>286.94265831202051</v>
      </c>
      <c r="AD1142">
        <v>106.54755878442541</v>
      </c>
      <c r="AE1142">
        <v>96.575023824959487</v>
      </c>
      <c r="AF1142">
        <v>95.634181037277145</v>
      </c>
      <c r="AG1142">
        <v>304.79176317135551</v>
      </c>
      <c r="AH1142">
        <v>301.82245370843992</v>
      </c>
      <c r="AI1142">
        <v>52.018149017896107</v>
      </c>
      <c r="AJ1142">
        <v>118.3451632571996</v>
      </c>
      <c r="AK1142">
        <v>51.511383413356612</v>
      </c>
      <c r="AL1142">
        <v>117.1922337636544</v>
      </c>
      <c r="AM1142">
        <v>3.3147969348019579</v>
      </c>
      <c r="AN1142">
        <v>3.2825038773920778</v>
      </c>
    </row>
    <row r="1143" spans="1:40" x14ac:dyDescent="0.25">
      <c r="A1143" s="1" t="s">
        <v>391</v>
      </c>
      <c r="B1143">
        <v>112833453750</v>
      </c>
      <c r="C1143" t="s">
        <v>72</v>
      </c>
      <c r="D1143" t="s">
        <v>105</v>
      </c>
      <c r="E1143">
        <v>35952000000</v>
      </c>
      <c r="F1143">
        <v>1234000000</v>
      </c>
      <c r="G1143">
        <v>2291000000</v>
      </c>
      <c r="H1143">
        <v>1007000000</v>
      </c>
      <c r="I1143">
        <v>391000000</v>
      </c>
      <c r="J1143">
        <v>1053000000</v>
      </c>
      <c r="K1143">
        <v>4448000000</v>
      </c>
      <c r="L1143">
        <v>725000000</v>
      </c>
      <c r="M1143">
        <v>5173000000</v>
      </c>
      <c r="N1143">
        <v>10679000000</v>
      </c>
      <c r="O1143">
        <v>1673000000</v>
      </c>
      <c r="P1143">
        <v>174000000</v>
      </c>
      <c r="Q1143">
        <v>10817000000</v>
      </c>
      <c r="R1143">
        <v>9405000000</v>
      </c>
      <c r="S1143">
        <v>25430000000</v>
      </c>
      <c r="T1143">
        <v>0</v>
      </c>
      <c r="U1143">
        <v>1161000000</v>
      </c>
      <c r="V1143">
        <v>10519000000</v>
      </c>
      <c r="W1143">
        <v>118651453750</v>
      </c>
      <c r="X1143">
        <v>119812453750</v>
      </c>
      <c r="Y1143">
        <v>3.1384472004339119</v>
      </c>
      <c r="Z1143">
        <v>91.437158630470023</v>
      </c>
      <c r="AA1143">
        <v>49.250743670886067</v>
      </c>
      <c r="AB1143">
        <v>112.04910998013899</v>
      </c>
      <c r="AC1143">
        <v>288.57660805626602</v>
      </c>
      <c r="AD1143">
        <v>107.1542770655271</v>
      </c>
      <c r="AE1143">
        <v>97.092750202593194</v>
      </c>
      <c r="AF1143">
        <v>96.151907414910852</v>
      </c>
      <c r="AG1143">
        <v>306.42571291560103</v>
      </c>
      <c r="AH1143">
        <v>303.45640345268538</v>
      </c>
      <c r="AI1143">
        <v>52.297011676123972</v>
      </c>
      <c r="AJ1143">
        <v>118.97959657398211</v>
      </c>
      <c r="AK1143">
        <v>51.790246071584463</v>
      </c>
      <c r="AL1143">
        <v>117.82666708043691</v>
      </c>
      <c r="AM1143">
        <v>3.3325671381286162</v>
      </c>
      <c r="AN1143">
        <v>3.3002740807187361</v>
      </c>
    </row>
    <row r="1144" spans="1:40" x14ac:dyDescent="0.25">
      <c r="A1144" s="1" t="s">
        <v>390</v>
      </c>
      <c r="B1144">
        <v>113039542250</v>
      </c>
      <c r="C1144" t="s">
        <v>72</v>
      </c>
      <c r="D1144" t="s">
        <v>105</v>
      </c>
      <c r="E1144">
        <v>35952000000</v>
      </c>
      <c r="F1144">
        <v>1234000000</v>
      </c>
      <c r="G1144">
        <v>2291000000</v>
      </c>
      <c r="H1144">
        <v>1007000000</v>
      </c>
      <c r="I1144">
        <v>391000000</v>
      </c>
      <c r="J1144">
        <v>1053000000</v>
      </c>
      <c r="K1144">
        <v>4448000000</v>
      </c>
      <c r="L1144">
        <v>725000000</v>
      </c>
      <c r="M1144">
        <v>5173000000</v>
      </c>
      <c r="N1144">
        <v>10679000000</v>
      </c>
      <c r="O1144">
        <v>1673000000</v>
      </c>
      <c r="P1144">
        <v>174000000</v>
      </c>
      <c r="Q1144">
        <v>10817000000</v>
      </c>
      <c r="R1144">
        <v>9405000000</v>
      </c>
      <c r="S1144">
        <v>25430000000</v>
      </c>
      <c r="T1144">
        <v>0</v>
      </c>
      <c r="U1144">
        <v>1161000000</v>
      </c>
      <c r="V1144">
        <v>10519000000</v>
      </c>
      <c r="W1144">
        <v>118857542250</v>
      </c>
      <c r="X1144">
        <v>120018542250</v>
      </c>
      <c r="Y1144">
        <v>3.1441795240876731</v>
      </c>
      <c r="Z1144">
        <v>91.604167139384117</v>
      </c>
      <c r="AA1144">
        <v>49.340699367088611</v>
      </c>
      <c r="AB1144">
        <v>112.2537658887785</v>
      </c>
      <c r="AC1144">
        <v>289.10368861892579</v>
      </c>
      <c r="AD1144">
        <v>107.349992640076</v>
      </c>
      <c r="AE1144">
        <v>97.259758711507288</v>
      </c>
      <c r="AF1144">
        <v>96.31891592382496</v>
      </c>
      <c r="AG1144">
        <v>306.95279347826079</v>
      </c>
      <c r="AH1144">
        <v>303.98348401534531</v>
      </c>
      <c r="AI1144">
        <v>52.386967372326502</v>
      </c>
      <c r="AJ1144">
        <v>119.1842524826216</v>
      </c>
      <c r="AK1144">
        <v>51.880201767786993</v>
      </c>
      <c r="AL1144">
        <v>118.0313229890765</v>
      </c>
      <c r="AM1144">
        <v>3.338299461782376</v>
      </c>
      <c r="AN1144">
        <v>3.3060064043724968</v>
      </c>
    </row>
    <row r="1145" spans="1:40" x14ac:dyDescent="0.25">
      <c r="A1145" s="1" t="s">
        <v>389</v>
      </c>
      <c r="B1145">
        <v>114111202450</v>
      </c>
      <c r="C1145" t="s">
        <v>72</v>
      </c>
      <c r="D1145" t="s">
        <v>105</v>
      </c>
      <c r="E1145">
        <v>35952000000</v>
      </c>
      <c r="F1145">
        <v>1234000000</v>
      </c>
      <c r="G1145">
        <v>2291000000</v>
      </c>
      <c r="H1145">
        <v>1007000000</v>
      </c>
      <c r="I1145">
        <v>391000000</v>
      </c>
      <c r="J1145">
        <v>1053000000</v>
      </c>
      <c r="K1145">
        <v>4448000000</v>
      </c>
      <c r="L1145">
        <v>725000000</v>
      </c>
      <c r="M1145">
        <v>5173000000</v>
      </c>
      <c r="N1145">
        <v>10679000000</v>
      </c>
      <c r="O1145">
        <v>1673000000</v>
      </c>
      <c r="P1145">
        <v>174000000</v>
      </c>
      <c r="Q1145">
        <v>10817000000</v>
      </c>
      <c r="R1145">
        <v>9405000000</v>
      </c>
      <c r="S1145">
        <v>25430000000</v>
      </c>
      <c r="T1145">
        <v>0</v>
      </c>
      <c r="U1145">
        <v>1161000000</v>
      </c>
      <c r="V1145">
        <v>10519000000</v>
      </c>
      <c r="W1145">
        <v>119929202450</v>
      </c>
      <c r="X1145">
        <v>121090202450</v>
      </c>
      <c r="Y1145">
        <v>3.173987607087227</v>
      </c>
      <c r="Z1145">
        <v>92.472611385737437</v>
      </c>
      <c r="AA1145">
        <v>49.808468987341769</v>
      </c>
      <c r="AB1145">
        <v>113.3179766137041</v>
      </c>
      <c r="AC1145">
        <v>291.84450754475711</v>
      </c>
      <c r="AD1145">
        <v>108.3677136277303</v>
      </c>
      <c r="AE1145">
        <v>98.128202957860623</v>
      </c>
      <c r="AF1145">
        <v>97.18736017017828</v>
      </c>
      <c r="AG1145">
        <v>309.69361240409211</v>
      </c>
      <c r="AH1145">
        <v>306.72430294117652</v>
      </c>
      <c r="AI1145">
        <v>52.85473699257966</v>
      </c>
      <c r="AJ1145">
        <v>120.2484632075472</v>
      </c>
      <c r="AK1145">
        <v>52.347971388040158</v>
      </c>
      <c r="AL1145">
        <v>119.095533714002</v>
      </c>
      <c r="AM1145">
        <v>3.3681075447819309</v>
      </c>
      <c r="AN1145">
        <v>3.3358144873720521</v>
      </c>
    </row>
    <row r="1146" spans="1:40" x14ac:dyDescent="0.25">
      <c r="A1146" s="1" t="s">
        <v>388</v>
      </c>
      <c r="B1146">
        <v>114008158200</v>
      </c>
      <c r="C1146" t="s">
        <v>72</v>
      </c>
      <c r="D1146" t="s">
        <v>105</v>
      </c>
      <c r="E1146">
        <v>35952000000</v>
      </c>
      <c r="F1146">
        <v>1234000000</v>
      </c>
      <c r="G1146">
        <v>2291000000</v>
      </c>
      <c r="H1146">
        <v>1007000000</v>
      </c>
      <c r="I1146">
        <v>391000000</v>
      </c>
      <c r="J1146">
        <v>1053000000</v>
      </c>
      <c r="K1146">
        <v>4448000000</v>
      </c>
      <c r="L1146">
        <v>725000000</v>
      </c>
      <c r="M1146">
        <v>5173000000</v>
      </c>
      <c r="N1146">
        <v>10679000000</v>
      </c>
      <c r="O1146">
        <v>1673000000</v>
      </c>
      <c r="P1146">
        <v>174000000</v>
      </c>
      <c r="Q1146">
        <v>10817000000</v>
      </c>
      <c r="R1146">
        <v>9405000000</v>
      </c>
      <c r="S1146">
        <v>25430000000</v>
      </c>
      <c r="T1146">
        <v>0</v>
      </c>
      <c r="U1146">
        <v>1161000000</v>
      </c>
      <c r="V1146">
        <v>10519000000</v>
      </c>
      <c r="W1146">
        <v>119826158200</v>
      </c>
      <c r="X1146">
        <v>120987158200</v>
      </c>
      <c r="Y1146">
        <v>3.1711214452603471</v>
      </c>
      <c r="Z1146">
        <v>92.389107131280383</v>
      </c>
      <c r="AA1146">
        <v>49.763491139240507</v>
      </c>
      <c r="AB1146">
        <v>113.2156486593843</v>
      </c>
      <c r="AC1146">
        <v>291.58096726342711</v>
      </c>
      <c r="AD1146">
        <v>108.2698558404558</v>
      </c>
      <c r="AE1146">
        <v>98.044698703403569</v>
      </c>
      <c r="AF1146">
        <v>97.103855915721226</v>
      </c>
      <c r="AG1146">
        <v>309.43007212276223</v>
      </c>
      <c r="AH1146">
        <v>306.46076265984652</v>
      </c>
      <c r="AI1146">
        <v>52.809759144478392</v>
      </c>
      <c r="AJ1146">
        <v>120.1461352532274</v>
      </c>
      <c r="AK1146">
        <v>52.302993539938889</v>
      </c>
      <c r="AL1146">
        <v>118.9932057596822</v>
      </c>
      <c r="AM1146">
        <v>3.3652413829550509</v>
      </c>
      <c r="AN1146">
        <v>3.3329483255451708</v>
      </c>
    </row>
    <row r="1147" spans="1:40" x14ac:dyDescent="0.25">
      <c r="A1147" s="1" t="s">
        <v>387</v>
      </c>
      <c r="B1147">
        <v>115533213100</v>
      </c>
      <c r="C1147" t="s">
        <v>72</v>
      </c>
      <c r="D1147" t="s">
        <v>105</v>
      </c>
      <c r="E1147">
        <v>35952000000</v>
      </c>
      <c r="F1147">
        <v>1234000000</v>
      </c>
      <c r="G1147">
        <v>2291000000</v>
      </c>
      <c r="H1147">
        <v>1007000000</v>
      </c>
      <c r="I1147">
        <v>391000000</v>
      </c>
      <c r="J1147">
        <v>1053000000</v>
      </c>
      <c r="K1147">
        <v>4448000000</v>
      </c>
      <c r="L1147">
        <v>725000000</v>
      </c>
      <c r="M1147">
        <v>5173000000</v>
      </c>
      <c r="N1147">
        <v>10679000000</v>
      </c>
      <c r="O1147">
        <v>1673000000</v>
      </c>
      <c r="P1147">
        <v>174000000</v>
      </c>
      <c r="Q1147">
        <v>10817000000</v>
      </c>
      <c r="R1147">
        <v>9405000000</v>
      </c>
      <c r="S1147">
        <v>25430000000</v>
      </c>
      <c r="T1147">
        <v>0</v>
      </c>
      <c r="U1147">
        <v>1161000000</v>
      </c>
      <c r="V1147">
        <v>10519000000</v>
      </c>
      <c r="W1147">
        <v>121351213100</v>
      </c>
      <c r="X1147">
        <v>122512213100</v>
      </c>
      <c r="Y1147">
        <v>3.213540640298175</v>
      </c>
      <c r="Z1147">
        <v>93.624970097244727</v>
      </c>
      <c r="AA1147">
        <v>50.42916329113924</v>
      </c>
      <c r="AB1147">
        <v>114.7301023833168</v>
      </c>
      <c r="AC1147">
        <v>295.48136342711001</v>
      </c>
      <c r="AD1147">
        <v>109.71815109211779</v>
      </c>
      <c r="AE1147">
        <v>99.280561669367913</v>
      </c>
      <c r="AF1147">
        <v>98.33971888168557</v>
      </c>
      <c r="AG1147">
        <v>313.33046828644501</v>
      </c>
      <c r="AH1147">
        <v>310.36115882352942</v>
      </c>
      <c r="AI1147">
        <v>53.475431296377131</v>
      </c>
      <c r="AJ1147">
        <v>121.6605889771599</v>
      </c>
      <c r="AK1147">
        <v>52.968665691837629</v>
      </c>
      <c r="AL1147">
        <v>120.5076594836147</v>
      </c>
      <c r="AM1147">
        <v>3.4076605779928788</v>
      </c>
      <c r="AN1147">
        <v>3.375367520583</v>
      </c>
    </row>
    <row r="1148" spans="1:40" x14ac:dyDescent="0.25">
      <c r="A1148" s="1" t="s">
        <v>386</v>
      </c>
      <c r="B1148">
        <v>115842345850</v>
      </c>
      <c r="C1148" t="s">
        <v>72</v>
      </c>
      <c r="D1148" t="s">
        <v>105</v>
      </c>
      <c r="E1148">
        <v>35952000000</v>
      </c>
      <c r="F1148">
        <v>1234000000</v>
      </c>
      <c r="G1148">
        <v>2291000000</v>
      </c>
      <c r="H1148">
        <v>1007000000</v>
      </c>
      <c r="I1148">
        <v>391000000</v>
      </c>
      <c r="J1148">
        <v>1053000000</v>
      </c>
      <c r="K1148">
        <v>4448000000</v>
      </c>
      <c r="L1148">
        <v>725000000</v>
      </c>
      <c r="M1148">
        <v>5173000000</v>
      </c>
      <c r="N1148">
        <v>10679000000</v>
      </c>
      <c r="O1148">
        <v>1673000000</v>
      </c>
      <c r="P1148">
        <v>174000000</v>
      </c>
      <c r="Q1148">
        <v>10817000000</v>
      </c>
      <c r="R1148">
        <v>9405000000</v>
      </c>
      <c r="S1148">
        <v>25430000000</v>
      </c>
      <c r="T1148">
        <v>0</v>
      </c>
      <c r="U1148">
        <v>1161000000</v>
      </c>
      <c r="V1148">
        <v>10519000000</v>
      </c>
      <c r="W1148">
        <v>121660345850</v>
      </c>
      <c r="X1148">
        <v>122821345850</v>
      </c>
      <c r="Y1148">
        <v>3.2221391257788161</v>
      </c>
      <c r="Z1148">
        <v>93.87548286061589</v>
      </c>
      <c r="AA1148">
        <v>50.564096835443038</v>
      </c>
      <c r="AB1148">
        <v>115.0370862462761</v>
      </c>
      <c r="AC1148">
        <v>296.27198427109983</v>
      </c>
      <c r="AD1148">
        <v>110.0117244539411</v>
      </c>
      <c r="AE1148">
        <v>99.531074432739061</v>
      </c>
      <c r="AF1148">
        <v>98.590231645056733</v>
      </c>
      <c r="AG1148">
        <v>314.12108913043483</v>
      </c>
      <c r="AH1148">
        <v>311.15177966751918</v>
      </c>
      <c r="AI1148">
        <v>53.610364840680923</v>
      </c>
      <c r="AJ1148">
        <v>121.9675728401192</v>
      </c>
      <c r="AK1148">
        <v>53.10359923614142</v>
      </c>
      <c r="AL1148">
        <v>120.814643346574</v>
      </c>
      <c r="AM1148">
        <v>3.4162590634735199</v>
      </c>
      <c r="AN1148">
        <v>3.3839660060636398</v>
      </c>
    </row>
    <row r="1149" spans="1:40" x14ac:dyDescent="0.25">
      <c r="A1149" s="1" t="s">
        <v>385</v>
      </c>
      <c r="B1149">
        <v>116233914000</v>
      </c>
      <c r="C1149" t="s">
        <v>72</v>
      </c>
      <c r="D1149" t="s">
        <v>105</v>
      </c>
      <c r="E1149">
        <v>35952000000</v>
      </c>
      <c r="F1149">
        <v>1234000000</v>
      </c>
      <c r="G1149">
        <v>2291000000</v>
      </c>
      <c r="H1149">
        <v>1007000000</v>
      </c>
      <c r="I1149">
        <v>391000000</v>
      </c>
      <c r="J1149">
        <v>1053000000</v>
      </c>
      <c r="K1149">
        <v>4448000000</v>
      </c>
      <c r="L1149">
        <v>725000000</v>
      </c>
      <c r="M1149">
        <v>5173000000</v>
      </c>
      <c r="N1149">
        <v>10679000000</v>
      </c>
      <c r="O1149">
        <v>1673000000</v>
      </c>
      <c r="P1149">
        <v>174000000</v>
      </c>
      <c r="Q1149">
        <v>10817000000</v>
      </c>
      <c r="R1149">
        <v>9405000000</v>
      </c>
      <c r="S1149">
        <v>25430000000</v>
      </c>
      <c r="T1149">
        <v>0</v>
      </c>
      <c r="U1149">
        <v>1161000000</v>
      </c>
      <c r="V1149">
        <v>10519000000</v>
      </c>
      <c r="W1149">
        <v>122051914000</v>
      </c>
      <c r="X1149">
        <v>123212914000</v>
      </c>
      <c r="Y1149">
        <v>3.2330305407209612</v>
      </c>
      <c r="Z1149">
        <v>94.192799027552681</v>
      </c>
      <c r="AA1149">
        <v>50.735012658227838</v>
      </c>
      <c r="AB1149">
        <v>115.4259324726912</v>
      </c>
      <c r="AC1149">
        <v>297.27343734015352</v>
      </c>
      <c r="AD1149">
        <v>110.383584045584</v>
      </c>
      <c r="AE1149">
        <v>99.848390599675852</v>
      </c>
      <c r="AF1149">
        <v>98.907547811993524</v>
      </c>
      <c r="AG1149">
        <v>315.12254219948852</v>
      </c>
      <c r="AH1149">
        <v>312.15323273657287</v>
      </c>
      <c r="AI1149">
        <v>53.781280663465743</v>
      </c>
      <c r="AJ1149">
        <v>122.3564190665343</v>
      </c>
      <c r="AK1149">
        <v>53.274515058926227</v>
      </c>
      <c r="AL1149">
        <v>121.2034895729891</v>
      </c>
      <c r="AM1149">
        <v>3.427150478415665</v>
      </c>
      <c r="AN1149">
        <v>3.3948574210057849</v>
      </c>
    </row>
    <row r="1150" spans="1:40" x14ac:dyDescent="0.25">
      <c r="A1150" s="1" t="s">
        <v>384</v>
      </c>
      <c r="B1150">
        <v>116192696300</v>
      </c>
      <c r="C1150" t="s">
        <v>72</v>
      </c>
      <c r="D1150" t="s">
        <v>105</v>
      </c>
      <c r="E1150">
        <v>35952000000</v>
      </c>
      <c r="F1150">
        <v>1234000000</v>
      </c>
      <c r="G1150">
        <v>2291000000</v>
      </c>
      <c r="H1150">
        <v>1007000000</v>
      </c>
      <c r="I1150">
        <v>391000000</v>
      </c>
      <c r="J1150">
        <v>1053000000</v>
      </c>
      <c r="K1150">
        <v>4448000000</v>
      </c>
      <c r="L1150">
        <v>725000000</v>
      </c>
      <c r="M1150">
        <v>5173000000</v>
      </c>
      <c r="N1150">
        <v>10679000000</v>
      </c>
      <c r="O1150">
        <v>1673000000</v>
      </c>
      <c r="P1150">
        <v>174000000</v>
      </c>
      <c r="Q1150">
        <v>10817000000</v>
      </c>
      <c r="R1150">
        <v>9405000000</v>
      </c>
      <c r="S1150">
        <v>25430000000</v>
      </c>
      <c r="T1150">
        <v>0</v>
      </c>
      <c r="U1150">
        <v>1161000000</v>
      </c>
      <c r="V1150">
        <v>10519000000</v>
      </c>
      <c r="W1150">
        <v>122010696300</v>
      </c>
      <c r="X1150">
        <v>123171696300</v>
      </c>
      <c r="Y1150">
        <v>3.2318840759902092</v>
      </c>
      <c r="Z1150">
        <v>94.159397325769859</v>
      </c>
      <c r="AA1150">
        <v>50.717021518987337</v>
      </c>
      <c r="AB1150">
        <v>115.3850012909633</v>
      </c>
      <c r="AC1150">
        <v>297.16802122762152</v>
      </c>
      <c r="AD1150">
        <v>110.3444409306743</v>
      </c>
      <c r="AE1150">
        <v>99.814988897893031</v>
      </c>
      <c r="AF1150">
        <v>98.874146110210702</v>
      </c>
      <c r="AG1150">
        <v>315.01712608695652</v>
      </c>
      <c r="AH1150">
        <v>312.04781662404088</v>
      </c>
      <c r="AI1150">
        <v>53.763289524225229</v>
      </c>
      <c r="AJ1150">
        <v>122.3154878848064</v>
      </c>
      <c r="AK1150">
        <v>53.256523919685733</v>
      </c>
      <c r="AL1150">
        <v>121.1625583912612</v>
      </c>
      <c r="AM1150">
        <v>3.426004013684913</v>
      </c>
      <c r="AN1150">
        <v>3.3937109562750329</v>
      </c>
    </row>
    <row r="1151" spans="1:40" x14ac:dyDescent="0.25">
      <c r="A1151" s="1" t="s">
        <v>383</v>
      </c>
      <c r="B1151">
        <v>118191754750</v>
      </c>
      <c r="C1151" t="s">
        <v>72</v>
      </c>
      <c r="D1151" t="s">
        <v>105</v>
      </c>
      <c r="E1151">
        <v>35952000000</v>
      </c>
      <c r="F1151">
        <v>1234000000</v>
      </c>
      <c r="G1151">
        <v>2291000000</v>
      </c>
      <c r="H1151">
        <v>1007000000</v>
      </c>
      <c r="I1151">
        <v>391000000</v>
      </c>
      <c r="J1151">
        <v>1053000000</v>
      </c>
      <c r="K1151">
        <v>4448000000</v>
      </c>
      <c r="L1151">
        <v>725000000</v>
      </c>
      <c r="M1151">
        <v>5173000000</v>
      </c>
      <c r="N1151">
        <v>10679000000</v>
      </c>
      <c r="O1151">
        <v>1673000000</v>
      </c>
      <c r="P1151">
        <v>174000000</v>
      </c>
      <c r="Q1151">
        <v>10817000000</v>
      </c>
      <c r="R1151">
        <v>9405000000</v>
      </c>
      <c r="S1151">
        <v>25430000000</v>
      </c>
      <c r="T1151">
        <v>0</v>
      </c>
      <c r="U1151">
        <v>1161000000</v>
      </c>
      <c r="V1151">
        <v>10519000000</v>
      </c>
      <c r="W1151">
        <v>124009754750</v>
      </c>
      <c r="X1151">
        <v>125170754750</v>
      </c>
      <c r="Y1151">
        <v>3.287487615431687</v>
      </c>
      <c r="Z1151">
        <v>95.779379862236624</v>
      </c>
      <c r="AA1151">
        <v>51.589591772151898</v>
      </c>
      <c r="AB1151">
        <v>117.3701636047666</v>
      </c>
      <c r="AC1151">
        <v>302.280702685422</v>
      </c>
      <c r="AD1151">
        <v>112.2428820037987</v>
      </c>
      <c r="AE1151">
        <v>101.4349714343598</v>
      </c>
      <c r="AF1151">
        <v>100.4941286466775</v>
      </c>
      <c r="AG1151">
        <v>320.12980754475711</v>
      </c>
      <c r="AH1151">
        <v>317.16049808184141</v>
      </c>
      <c r="AI1151">
        <v>54.635859777389783</v>
      </c>
      <c r="AJ1151">
        <v>124.3006501986097</v>
      </c>
      <c r="AK1151">
        <v>54.129094172850287</v>
      </c>
      <c r="AL1151">
        <v>123.1477207050645</v>
      </c>
      <c r="AM1151">
        <v>3.4816075531263908</v>
      </c>
      <c r="AN1151">
        <v>3.4493144957165112</v>
      </c>
    </row>
    <row r="1152" spans="1:40" x14ac:dyDescent="0.25">
      <c r="A1152" s="1" t="s">
        <v>382</v>
      </c>
      <c r="B1152">
        <v>120829687550</v>
      </c>
      <c r="C1152" t="s">
        <v>72</v>
      </c>
      <c r="D1152" t="s">
        <v>105</v>
      </c>
      <c r="E1152">
        <v>35952000000</v>
      </c>
      <c r="F1152">
        <v>1234000000</v>
      </c>
      <c r="G1152">
        <v>2291000000</v>
      </c>
      <c r="H1152">
        <v>1007000000</v>
      </c>
      <c r="I1152">
        <v>391000000</v>
      </c>
      <c r="J1152">
        <v>1053000000</v>
      </c>
      <c r="K1152">
        <v>4448000000</v>
      </c>
      <c r="L1152">
        <v>725000000</v>
      </c>
      <c r="M1152">
        <v>5173000000</v>
      </c>
      <c r="N1152">
        <v>10679000000</v>
      </c>
      <c r="O1152">
        <v>1673000000</v>
      </c>
      <c r="P1152">
        <v>174000000</v>
      </c>
      <c r="Q1152">
        <v>10817000000</v>
      </c>
      <c r="R1152">
        <v>9405000000</v>
      </c>
      <c r="S1152">
        <v>25430000000</v>
      </c>
      <c r="T1152">
        <v>0</v>
      </c>
      <c r="U1152">
        <v>1161000000</v>
      </c>
      <c r="V1152">
        <v>10519000000</v>
      </c>
      <c r="W1152">
        <v>126647687550</v>
      </c>
      <c r="X1152">
        <v>127808687550</v>
      </c>
      <c r="Y1152">
        <v>3.3608613581998221</v>
      </c>
      <c r="Z1152">
        <v>97.91708877633711</v>
      </c>
      <c r="AA1152">
        <v>52.741024683544303</v>
      </c>
      <c r="AB1152">
        <v>119.98975923535249</v>
      </c>
      <c r="AC1152">
        <v>309.02733388746799</v>
      </c>
      <c r="AD1152">
        <v>114.74804135802469</v>
      </c>
      <c r="AE1152">
        <v>103.5726803484603</v>
      </c>
      <c r="AF1152">
        <v>102.631837560778</v>
      </c>
      <c r="AG1152">
        <v>326.87643874680299</v>
      </c>
      <c r="AH1152">
        <v>323.90712928388751</v>
      </c>
      <c r="AI1152">
        <v>55.787292688782188</v>
      </c>
      <c r="AJ1152">
        <v>126.92024582919559</v>
      </c>
      <c r="AK1152">
        <v>55.280527084242692</v>
      </c>
      <c r="AL1152">
        <v>125.76731633565041</v>
      </c>
      <c r="AM1152">
        <v>3.5549812958945259</v>
      </c>
      <c r="AN1152">
        <v>3.5226882384846459</v>
      </c>
    </row>
    <row r="1153" spans="1:40" x14ac:dyDescent="0.25">
      <c r="A1153" s="1" t="s">
        <v>381</v>
      </c>
      <c r="B1153">
        <v>119469503450</v>
      </c>
      <c r="C1153" t="s">
        <v>72</v>
      </c>
      <c r="D1153" t="s">
        <v>105</v>
      </c>
      <c r="E1153">
        <v>35952000000</v>
      </c>
      <c r="F1153">
        <v>1234000000</v>
      </c>
      <c r="G1153">
        <v>2291000000</v>
      </c>
      <c r="H1153">
        <v>1007000000</v>
      </c>
      <c r="I1153">
        <v>391000000</v>
      </c>
      <c r="J1153">
        <v>1053000000</v>
      </c>
      <c r="K1153">
        <v>4448000000</v>
      </c>
      <c r="L1153">
        <v>725000000</v>
      </c>
      <c r="M1153">
        <v>5173000000</v>
      </c>
      <c r="N1153">
        <v>10679000000</v>
      </c>
      <c r="O1153">
        <v>1673000000</v>
      </c>
      <c r="P1153">
        <v>174000000</v>
      </c>
      <c r="Q1153">
        <v>10817000000</v>
      </c>
      <c r="R1153">
        <v>9405000000</v>
      </c>
      <c r="S1153">
        <v>25430000000</v>
      </c>
      <c r="T1153">
        <v>0</v>
      </c>
      <c r="U1153">
        <v>1161000000</v>
      </c>
      <c r="V1153">
        <v>10519000000</v>
      </c>
      <c r="W1153">
        <v>125287503450</v>
      </c>
      <c r="X1153">
        <v>126448503450</v>
      </c>
      <c r="Y1153">
        <v>3.3230280220850021</v>
      </c>
      <c r="Z1153">
        <v>96.814832617504052</v>
      </c>
      <c r="AA1153">
        <v>52.147317088607593</v>
      </c>
      <c r="AB1153">
        <v>118.6390302383317</v>
      </c>
      <c r="AC1153">
        <v>305.54860217391303</v>
      </c>
      <c r="AD1153">
        <v>113.4563185660019</v>
      </c>
      <c r="AE1153">
        <v>102.4704241896272</v>
      </c>
      <c r="AF1153">
        <v>101.5295814019449</v>
      </c>
      <c r="AG1153">
        <v>323.39770703324808</v>
      </c>
      <c r="AH1153">
        <v>320.42839757033249</v>
      </c>
      <c r="AI1153">
        <v>55.193585093845478</v>
      </c>
      <c r="AJ1153">
        <v>125.5695168321748</v>
      </c>
      <c r="AK1153">
        <v>54.686819489305982</v>
      </c>
      <c r="AL1153">
        <v>124.4165873386296</v>
      </c>
      <c r="AM1153">
        <v>3.517147959779706</v>
      </c>
      <c r="AN1153">
        <v>3.4848549023698259</v>
      </c>
    </row>
    <row r="1154" spans="1:40" x14ac:dyDescent="0.25">
      <c r="A1154" s="1" t="s">
        <v>380</v>
      </c>
      <c r="B1154">
        <v>123137878750</v>
      </c>
      <c r="C1154" t="s">
        <v>72</v>
      </c>
      <c r="D1154" t="s">
        <v>105</v>
      </c>
      <c r="E1154">
        <v>35952000000</v>
      </c>
      <c r="F1154">
        <v>1234000000</v>
      </c>
      <c r="G1154">
        <v>2291000000</v>
      </c>
      <c r="H1154">
        <v>1007000000</v>
      </c>
      <c r="I1154">
        <v>391000000</v>
      </c>
      <c r="J1154">
        <v>1053000000</v>
      </c>
      <c r="K1154">
        <v>4448000000</v>
      </c>
      <c r="L1154">
        <v>725000000</v>
      </c>
      <c r="M1154">
        <v>5173000000</v>
      </c>
      <c r="N1154">
        <v>10679000000</v>
      </c>
      <c r="O1154">
        <v>1673000000</v>
      </c>
      <c r="P1154">
        <v>174000000</v>
      </c>
      <c r="Q1154">
        <v>10817000000</v>
      </c>
      <c r="R1154">
        <v>9405000000</v>
      </c>
      <c r="S1154">
        <v>25430000000</v>
      </c>
      <c r="T1154">
        <v>0</v>
      </c>
      <c r="U1154">
        <v>1161000000</v>
      </c>
      <c r="V1154">
        <v>10519000000</v>
      </c>
      <c r="W1154">
        <v>128955878750</v>
      </c>
      <c r="X1154">
        <v>130116878750</v>
      </c>
      <c r="Y1154">
        <v>3.425063383121941</v>
      </c>
      <c r="Z1154">
        <v>99.787584076175037</v>
      </c>
      <c r="AA1154">
        <v>53.748528481012663</v>
      </c>
      <c r="AB1154">
        <v>122.28190541211519</v>
      </c>
      <c r="AC1154">
        <v>314.93063618925828</v>
      </c>
      <c r="AD1154">
        <v>116.9400557929725</v>
      </c>
      <c r="AE1154">
        <v>105.44317564829819</v>
      </c>
      <c r="AF1154">
        <v>104.50233286061589</v>
      </c>
      <c r="AG1154">
        <v>332.77974104859328</v>
      </c>
      <c r="AH1154">
        <v>329.81043158567769</v>
      </c>
      <c r="AI1154">
        <v>56.794796486250547</v>
      </c>
      <c r="AJ1154">
        <v>129.21239200595829</v>
      </c>
      <c r="AK1154">
        <v>56.288030881711038</v>
      </c>
      <c r="AL1154">
        <v>128.05946251241309</v>
      </c>
      <c r="AM1154">
        <v>3.619183320816644</v>
      </c>
      <c r="AN1154">
        <v>3.5868902634067652</v>
      </c>
    </row>
    <row r="1155" spans="1:40" x14ac:dyDescent="0.25">
      <c r="A1155" s="1" t="s">
        <v>379</v>
      </c>
      <c r="B1155">
        <v>125672767300</v>
      </c>
      <c r="C1155" t="s">
        <v>72</v>
      </c>
      <c r="D1155" t="s">
        <v>105</v>
      </c>
      <c r="E1155">
        <v>35952000000</v>
      </c>
      <c r="F1155">
        <v>1234000000</v>
      </c>
      <c r="G1155">
        <v>2291000000</v>
      </c>
      <c r="H1155">
        <v>1007000000</v>
      </c>
      <c r="I1155">
        <v>391000000</v>
      </c>
      <c r="J1155">
        <v>1053000000</v>
      </c>
      <c r="K1155">
        <v>4448000000</v>
      </c>
      <c r="L1155">
        <v>725000000</v>
      </c>
      <c r="M1155">
        <v>5173000000</v>
      </c>
      <c r="N1155">
        <v>10679000000</v>
      </c>
      <c r="O1155">
        <v>1673000000</v>
      </c>
      <c r="P1155">
        <v>174000000</v>
      </c>
      <c r="Q1155">
        <v>10817000000</v>
      </c>
      <c r="R1155">
        <v>9405000000</v>
      </c>
      <c r="S1155">
        <v>25430000000</v>
      </c>
      <c r="T1155">
        <v>0</v>
      </c>
      <c r="U1155">
        <v>1161000000</v>
      </c>
      <c r="V1155">
        <v>10519000000</v>
      </c>
      <c r="W1155">
        <v>131490767300</v>
      </c>
      <c r="X1155">
        <v>132651767300</v>
      </c>
      <c r="Y1155">
        <v>3.4955709640631949</v>
      </c>
      <c r="Z1155">
        <v>101.8417887358185</v>
      </c>
      <c r="AA1155">
        <v>54.854983544303799</v>
      </c>
      <c r="AB1155">
        <v>124.79917308838129</v>
      </c>
      <c r="AC1155">
        <v>321.41372710997439</v>
      </c>
      <c r="AD1155">
        <v>119.347357359924</v>
      </c>
      <c r="AE1155">
        <v>107.4973803079417</v>
      </c>
      <c r="AF1155">
        <v>106.5565375202593</v>
      </c>
      <c r="AG1155">
        <v>339.26283196930939</v>
      </c>
      <c r="AH1155">
        <v>336.29352250639391</v>
      </c>
      <c r="AI1155">
        <v>57.901251549541684</v>
      </c>
      <c r="AJ1155">
        <v>131.72965968222439</v>
      </c>
      <c r="AK1155">
        <v>57.394485945002181</v>
      </c>
      <c r="AL1155">
        <v>130.57673018867919</v>
      </c>
      <c r="AM1155">
        <v>3.6896909017579</v>
      </c>
      <c r="AN1155">
        <v>3.65739784434802</v>
      </c>
    </row>
    <row r="1156" spans="1:40" x14ac:dyDescent="0.25">
      <c r="A1156" s="1" t="s">
        <v>378</v>
      </c>
      <c r="B1156">
        <v>127156604500</v>
      </c>
      <c r="C1156" t="s">
        <v>72</v>
      </c>
      <c r="D1156" t="s">
        <v>105</v>
      </c>
      <c r="E1156">
        <v>35952000000</v>
      </c>
      <c r="F1156">
        <v>1234000000</v>
      </c>
      <c r="G1156">
        <v>2291000000</v>
      </c>
      <c r="H1156">
        <v>1007000000</v>
      </c>
      <c r="I1156">
        <v>391000000</v>
      </c>
      <c r="J1156">
        <v>1053000000</v>
      </c>
      <c r="K1156">
        <v>4448000000</v>
      </c>
      <c r="L1156">
        <v>725000000</v>
      </c>
      <c r="M1156">
        <v>5173000000</v>
      </c>
      <c r="N1156">
        <v>10679000000</v>
      </c>
      <c r="O1156">
        <v>1673000000</v>
      </c>
      <c r="P1156">
        <v>174000000</v>
      </c>
      <c r="Q1156">
        <v>10817000000</v>
      </c>
      <c r="R1156">
        <v>9405000000</v>
      </c>
      <c r="S1156">
        <v>25430000000</v>
      </c>
      <c r="T1156">
        <v>0</v>
      </c>
      <c r="U1156">
        <v>1161000000</v>
      </c>
      <c r="V1156">
        <v>10519000000</v>
      </c>
      <c r="W1156">
        <v>132974604500</v>
      </c>
      <c r="X1156">
        <v>134135604500</v>
      </c>
      <c r="Y1156">
        <v>3.5368436943702721</v>
      </c>
      <c r="Z1156">
        <v>103.04425000000001</v>
      </c>
      <c r="AA1156">
        <v>55.502664556962017</v>
      </c>
      <c r="AB1156">
        <v>126.2726956305859</v>
      </c>
      <c r="AC1156">
        <v>325.20870716112529</v>
      </c>
      <c r="AD1156">
        <v>120.7565094966762</v>
      </c>
      <c r="AE1156">
        <v>108.6998415721232</v>
      </c>
      <c r="AF1156">
        <v>107.75899878444081</v>
      </c>
      <c r="AG1156">
        <v>343.05781202046029</v>
      </c>
      <c r="AH1156">
        <v>340.08850255754481</v>
      </c>
      <c r="AI1156">
        <v>58.548932562199923</v>
      </c>
      <c r="AJ1156">
        <v>133.20318222442901</v>
      </c>
      <c r="AK1156">
        <v>58.042166957660413</v>
      </c>
      <c r="AL1156">
        <v>132.05025273088381</v>
      </c>
      <c r="AM1156">
        <v>3.7309636320649751</v>
      </c>
      <c r="AN1156">
        <v>3.6986705746550959</v>
      </c>
    </row>
    <row r="1157" spans="1:40" x14ac:dyDescent="0.25">
      <c r="A1157" s="1" t="s">
        <v>377</v>
      </c>
      <c r="B1157">
        <v>128722877100</v>
      </c>
      <c r="C1157" t="s">
        <v>72</v>
      </c>
      <c r="D1157" t="s">
        <v>105</v>
      </c>
      <c r="E1157">
        <v>35952000000</v>
      </c>
      <c r="F1157">
        <v>1234000000</v>
      </c>
      <c r="G1157">
        <v>2291000000</v>
      </c>
      <c r="H1157">
        <v>1007000000</v>
      </c>
      <c r="I1157">
        <v>391000000</v>
      </c>
      <c r="J1157">
        <v>1053000000</v>
      </c>
      <c r="K1157">
        <v>4448000000</v>
      </c>
      <c r="L1157">
        <v>725000000</v>
      </c>
      <c r="M1157">
        <v>5173000000</v>
      </c>
      <c r="N1157">
        <v>10679000000</v>
      </c>
      <c r="O1157">
        <v>1673000000</v>
      </c>
      <c r="P1157">
        <v>174000000</v>
      </c>
      <c r="Q1157">
        <v>10817000000</v>
      </c>
      <c r="R1157">
        <v>9405000000</v>
      </c>
      <c r="S1157">
        <v>25430000000</v>
      </c>
      <c r="T1157">
        <v>0</v>
      </c>
      <c r="U1157">
        <v>1161000000</v>
      </c>
      <c r="V1157">
        <v>10519000000</v>
      </c>
      <c r="W1157">
        <v>134540877100</v>
      </c>
      <c r="X1157">
        <v>135701877100</v>
      </c>
      <c r="Y1157">
        <v>3.580409354138852</v>
      </c>
      <c r="Z1157">
        <v>104.3135146677472</v>
      </c>
      <c r="AA1157">
        <v>56.186327848101257</v>
      </c>
      <c r="AB1157">
        <v>127.8280805362463</v>
      </c>
      <c r="AC1157">
        <v>329.21451943734007</v>
      </c>
      <c r="AD1157">
        <v>122.2439478632479</v>
      </c>
      <c r="AE1157">
        <v>109.9691062398703</v>
      </c>
      <c r="AF1157">
        <v>109.028263452188</v>
      </c>
      <c r="AG1157">
        <v>347.06362429667519</v>
      </c>
      <c r="AH1157">
        <v>344.0943148337596</v>
      </c>
      <c r="AI1157">
        <v>59.232595853339163</v>
      </c>
      <c r="AJ1157">
        <v>134.7585671300894</v>
      </c>
      <c r="AK1157">
        <v>58.725830248799653</v>
      </c>
      <c r="AL1157">
        <v>133.6056376365442</v>
      </c>
      <c r="AM1157">
        <v>3.7745292918335558</v>
      </c>
      <c r="AN1157">
        <v>3.7422362344236761</v>
      </c>
    </row>
    <row r="1158" spans="1:40" x14ac:dyDescent="0.25">
      <c r="A1158" s="1" t="s">
        <v>376</v>
      </c>
      <c r="B1158">
        <v>129258707200</v>
      </c>
      <c r="C1158" t="s">
        <v>72</v>
      </c>
      <c r="D1158" t="s">
        <v>105</v>
      </c>
      <c r="E1158">
        <v>35952000000</v>
      </c>
      <c r="F1158">
        <v>1234000000</v>
      </c>
      <c r="G1158">
        <v>2291000000</v>
      </c>
      <c r="H1158">
        <v>1007000000</v>
      </c>
      <c r="I1158">
        <v>391000000</v>
      </c>
      <c r="J1158">
        <v>1053000000</v>
      </c>
      <c r="K1158">
        <v>4448000000</v>
      </c>
      <c r="L1158">
        <v>725000000</v>
      </c>
      <c r="M1158">
        <v>5173000000</v>
      </c>
      <c r="N1158">
        <v>10679000000</v>
      </c>
      <c r="O1158">
        <v>1673000000</v>
      </c>
      <c r="P1158">
        <v>174000000</v>
      </c>
      <c r="Q1158">
        <v>10817000000</v>
      </c>
      <c r="R1158">
        <v>9405000000</v>
      </c>
      <c r="S1158">
        <v>25430000000</v>
      </c>
      <c r="T1158">
        <v>0</v>
      </c>
      <c r="U1158">
        <v>1161000000</v>
      </c>
      <c r="V1158">
        <v>10519000000</v>
      </c>
      <c r="W1158">
        <v>135076707200</v>
      </c>
      <c r="X1158">
        <v>136237707200</v>
      </c>
      <c r="Y1158">
        <v>3.595313395638629</v>
      </c>
      <c r="Z1158">
        <v>104.7477367909238</v>
      </c>
      <c r="AA1158">
        <v>56.420212658227847</v>
      </c>
      <c r="AB1158">
        <v>128.36018589870901</v>
      </c>
      <c r="AC1158">
        <v>330.58492890025582</v>
      </c>
      <c r="AD1158">
        <v>122.752808357075</v>
      </c>
      <c r="AE1158">
        <v>110.403328363047</v>
      </c>
      <c r="AF1158">
        <v>109.4624855753647</v>
      </c>
      <c r="AG1158">
        <v>348.43403375959082</v>
      </c>
      <c r="AH1158">
        <v>345.46472429667517</v>
      </c>
      <c r="AI1158">
        <v>59.466480663465738</v>
      </c>
      <c r="AJ1158">
        <v>135.29067249255209</v>
      </c>
      <c r="AK1158">
        <v>58.959715058926243</v>
      </c>
      <c r="AL1158">
        <v>134.13774299900689</v>
      </c>
      <c r="AM1158">
        <v>3.7894333333333332</v>
      </c>
      <c r="AN1158">
        <v>3.757140275923454</v>
      </c>
    </row>
    <row r="1159" spans="1:40" x14ac:dyDescent="0.25">
      <c r="A1159" s="1" t="s">
        <v>375</v>
      </c>
      <c r="B1159">
        <v>127713043450</v>
      </c>
      <c r="C1159" t="s">
        <v>72</v>
      </c>
      <c r="D1159" t="s">
        <v>105</v>
      </c>
      <c r="E1159">
        <v>35952000000</v>
      </c>
      <c r="F1159">
        <v>1234000000</v>
      </c>
      <c r="G1159">
        <v>2291000000</v>
      </c>
      <c r="H1159">
        <v>1007000000</v>
      </c>
      <c r="I1159">
        <v>391000000</v>
      </c>
      <c r="J1159">
        <v>1053000000</v>
      </c>
      <c r="K1159">
        <v>4448000000</v>
      </c>
      <c r="L1159">
        <v>725000000</v>
      </c>
      <c r="M1159">
        <v>5173000000</v>
      </c>
      <c r="N1159">
        <v>10679000000</v>
      </c>
      <c r="O1159">
        <v>1673000000</v>
      </c>
      <c r="P1159">
        <v>174000000</v>
      </c>
      <c r="Q1159">
        <v>10817000000</v>
      </c>
      <c r="R1159">
        <v>9405000000</v>
      </c>
      <c r="S1159">
        <v>25430000000</v>
      </c>
      <c r="T1159">
        <v>0</v>
      </c>
      <c r="U1159">
        <v>1161000000</v>
      </c>
      <c r="V1159">
        <v>10519000000</v>
      </c>
      <c r="W1159">
        <v>133531043450</v>
      </c>
      <c r="X1159">
        <v>134692043450</v>
      </c>
      <c r="Y1159">
        <v>3.5523209682354251</v>
      </c>
      <c r="Z1159">
        <v>103.4951729740681</v>
      </c>
      <c r="AA1159">
        <v>55.74554493670886</v>
      </c>
      <c r="AB1159">
        <v>126.82526658391259</v>
      </c>
      <c r="AC1159">
        <v>326.63182468030692</v>
      </c>
      <c r="AD1159">
        <v>121.2849415479582</v>
      </c>
      <c r="AE1159">
        <v>109.1507645461913</v>
      </c>
      <c r="AF1159">
        <v>108.2099217585089</v>
      </c>
      <c r="AG1159">
        <v>344.48092953964192</v>
      </c>
      <c r="AH1159">
        <v>341.51162007672627</v>
      </c>
      <c r="AI1159">
        <v>58.791812941946738</v>
      </c>
      <c r="AJ1159">
        <v>133.75575317775571</v>
      </c>
      <c r="AK1159">
        <v>58.285047337407242</v>
      </c>
      <c r="AL1159">
        <v>132.60282368421051</v>
      </c>
      <c r="AM1159">
        <v>3.7464409059301289</v>
      </c>
      <c r="AN1159">
        <v>3.7141478485202488</v>
      </c>
    </row>
    <row r="1160" spans="1:40" x14ac:dyDescent="0.25">
      <c r="A1160" s="1" t="s">
        <v>374</v>
      </c>
      <c r="B1160">
        <v>128805312500</v>
      </c>
      <c r="C1160" t="s">
        <v>72</v>
      </c>
      <c r="D1160" t="s">
        <v>105</v>
      </c>
      <c r="E1160">
        <v>35952000000</v>
      </c>
      <c r="F1160">
        <v>1234000000</v>
      </c>
      <c r="G1160">
        <v>2291000000</v>
      </c>
      <c r="H1160">
        <v>1007000000</v>
      </c>
      <c r="I1160">
        <v>391000000</v>
      </c>
      <c r="J1160">
        <v>1053000000</v>
      </c>
      <c r="K1160">
        <v>4448000000</v>
      </c>
      <c r="L1160">
        <v>725000000</v>
      </c>
      <c r="M1160">
        <v>5173000000</v>
      </c>
      <c r="N1160">
        <v>10679000000</v>
      </c>
      <c r="O1160">
        <v>1673000000</v>
      </c>
      <c r="P1160">
        <v>174000000</v>
      </c>
      <c r="Q1160">
        <v>10817000000</v>
      </c>
      <c r="R1160">
        <v>9405000000</v>
      </c>
      <c r="S1160">
        <v>25430000000</v>
      </c>
      <c r="T1160">
        <v>0</v>
      </c>
      <c r="U1160">
        <v>1161000000</v>
      </c>
      <c r="V1160">
        <v>10519000000</v>
      </c>
      <c r="W1160">
        <v>134623312500</v>
      </c>
      <c r="X1160">
        <v>135784312500</v>
      </c>
      <c r="Y1160">
        <v>3.5827022836003559</v>
      </c>
      <c r="Z1160">
        <v>104.3803180713128</v>
      </c>
      <c r="AA1160">
        <v>56.222310126582279</v>
      </c>
      <c r="AB1160">
        <v>127.9099428997021</v>
      </c>
      <c r="AC1160">
        <v>329.42535166240413</v>
      </c>
      <c r="AD1160">
        <v>122.32223409306739</v>
      </c>
      <c r="AE1160">
        <v>110.035909643436</v>
      </c>
      <c r="AF1160">
        <v>109.0950668557536</v>
      </c>
      <c r="AG1160">
        <v>347.27445652173913</v>
      </c>
      <c r="AH1160">
        <v>344.30514705882348</v>
      </c>
      <c r="AI1160">
        <v>59.268578131820163</v>
      </c>
      <c r="AJ1160">
        <v>134.8404294935452</v>
      </c>
      <c r="AK1160">
        <v>58.761812527280661</v>
      </c>
      <c r="AL1160">
        <v>133.6875</v>
      </c>
      <c r="AM1160">
        <v>3.7768222212950602</v>
      </c>
      <c r="AN1160">
        <v>3.7445291638851801</v>
      </c>
    </row>
    <row r="1161" spans="1:40" x14ac:dyDescent="0.25">
      <c r="A1161" s="1" t="s">
        <v>373</v>
      </c>
      <c r="B1161">
        <v>127486346100</v>
      </c>
      <c r="C1161" t="s">
        <v>72</v>
      </c>
      <c r="D1161" t="s">
        <v>105</v>
      </c>
      <c r="E1161">
        <v>35952000000</v>
      </c>
      <c r="F1161">
        <v>1234000000</v>
      </c>
      <c r="G1161">
        <v>2291000000</v>
      </c>
      <c r="H1161">
        <v>1007000000</v>
      </c>
      <c r="I1161">
        <v>391000000</v>
      </c>
      <c r="J1161">
        <v>1053000000</v>
      </c>
      <c r="K1161">
        <v>4448000000</v>
      </c>
      <c r="L1161">
        <v>725000000</v>
      </c>
      <c r="M1161">
        <v>5173000000</v>
      </c>
      <c r="N1161">
        <v>10679000000</v>
      </c>
      <c r="O1161">
        <v>1673000000</v>
      </c>
      <c r="P1161">
        <v>174000000</v>
      </c>
      <c r="Q1161">
        <v>10817000000</v>
      </c>
      <c r="R1161">
        <v>9405000000</v>
      </c>
      <c r="S1161">
        <v>25430000000</v>
      </c>
      <c r="T1161">
        <v>0</v>
      </c>
      <c r="U1161">
        <v>1161000000</v>
      </c>
      <c r="V1161">
        <v>10519000000</v>
      </c>
      <c r="W1161">
        <v>133304346100</v>
      </c>
      <c r="X1161">
        <v>134465346100</v>
      </c>
      <c r="Y1161">
        <v>3.5460154122162879</v>
      </c>
      <c r="Z1161">
        <v>103.31146361426261</v>
      </c>
      <c r="AA1161">
        <v>55.646593670886077</v>
      </c>
      <c r="AB1161">
        <v>126.60014508440911</v>
      </c>
      <c r="AC1161">
        <v>326.0520360613811</v>
      </c>
      <c r="AD1161">
        <v>121.0696544159544</v>
      </c>
      <c r="AE1161">
        <v>108.96705518638571</v>
      </c>
      <c r="AF1161">
        <v>108.02621239870339</v>
      </c>
      <c r="AG1161">
        <v>343.9011409207161</v>
      </c>
      <c r="AH1161">
        <v>340.93183145780051</v>
      </c>
      <c r="AI1161">
        <v>58.692861676123961</v>
      </c>
      <c r="AJ1161">
        <v>133.53063167825221</v>
      </c>
      <c r="AK1161">
        <v>58.186096071584458</v>
      </c>
      <c r="AL1161">
        <v>132.37770218470709</v>
      </c>
      <c r="AM1161">
        <v>3.7401353499109931</v>
      </c>
      <c r="AN1161">
        <v>3.707842292501113</v>
      </c>
    </row>
    <row r="1162" spans="1:40" x14ac:dyDescent="0.25">
      <c r="A1162" s="1" t="s">
        <v>372</v>
      </c>
      <c r="B1162">
        <v>127218431050</v>
      </c>
      <c r="C1162" t="s">
        <v>72</v>
      </c>
      <c r="D1162" t="s">
        <v>105</v>
      </c>
      <c r="E1162">
        <v>35952000000</v>
      </c>
      <c r="F1162">
        <v>1234000000</v>
      </c>
      <c r="G1162">
        <v>2291000000</v>
      </c>
      <c r="H1162">
        <v>1007000000</v>
      </c>
      <c r="I1162">
        <v>391000000</v>
      </c>
      <c r="J1162">
        <v>1053000000</v>
      </c>
      <c r="K1162">
        <v>4448000000</v>
      </c>
      <c r="L1162">
        <v>725000000</v>
      </c>
      <c r="M1162">
        <v>5173000000</v>
      </c>
      <c r="N1162">
        <v>10679000000</v>
      </c>
      <c r="O1162">
        <v>1673000000</v>
      </c>
      <c r="P1162">
        <v>174000000</v>
      </c>
      <c r="Q1162">
        <v>10817000000</v>
      </c>
      <c r="R1162">
        <v>9405000000</v>
      </c>
      <c r="S1162">
        <v>25430000000</v>
      </c>
      <c r="T1162">
        <v>0</v>
      </c>
      <c r="U1162">
        <v>1161000000</v>
      </c>
      <c r="V1162">
        <v>10519000000</v>
      </c>
      <c r="W1162">
        <v>133036431050</v>
      </c>
      <c r="X1162">
        <v>134197431050</v>
      </c>
      <c r="Y1162">
        <v>3.5385633914664001</v>
      </c>
      <c r="Z1162">
        <v>103.0943525526742</v>
      </c>
      <c r="AA1162">
        <v>55.529651265822793</v>
      </c>
      <c r="AB1162">
        <v>126.33409240317771</v>
      </c>
      <c r="AC1162">
        <v>325.36683132992329</v>
      </c>
      <c r="AD1162">
        <v>120.8152241690408</v>
      </c>
      <c r="AE1162">
        <v>108.74994412479739</v>
      </c>
      <c r="AF1162">
        <v>107.8091013371151</v>
      </c>
      <c r="AG1162">
        <v>343.21593618925829</v>
      </c>
      <c r="AH1162">
        <v>340.2466267263427</v>
      </c>
      <c r="AI1162">
        <v>58.57591927106067</v>
      </c>
      <c r="AJ1162">
        <v>133.26457899702089</v>
      </c>
      <c r="AK1162">
        <v>58.069153666521167</v>
      </c>
      <c r="AL1162">
        <v>132.11164950347569</v>
      </c>
      <c r="AM1162">
        <v>3.7326833291611039</v>
      </c>
      <c r="AN1162">
        <v>3.7003902717512238</v>
      </c>
    </row>
    <row r="1163" spans="1:40" x14ac:dyDescent="0.25">
      <c r="A1163" s="1" t="s">
        <v>371</v>
      </c>
      <c r="B1163">
        <v>128022176200</v>
      </c>
      <c r="C1163" t="s">
        <v>72</v>
      </c>
      <c r="D1163" t="s">
        <v>105</v>
      </c>
      <c r="E1163">
        <v>35952000000</v>
      </c>
      <c r="F1163">
        <v>1234000000</v>
      </c>
      <c r="G1163">
        <v>2291000000</v>
      </c>
      <c r="H1163">
        <v>1007000000</v>
      </c>
      <c r="I1163">
        <v>391000000</v>
      </c>
      <c r="J1163">
        <v>1053000000</v>
      </c>
      <c r="K1163">
        <v>4448000000</v>
      </c>
      <c r="L1163">
        <v>725000000</v>
      </c>
      <c r="M1163">
        <v>5173000000</v>
      </c>
      <c r="N1163">
        <v>10679000000</v>
      </c>
      <c r="O1163">
        <v>1673000000</v>
      </c>
      <c r="P1163">
        <v>174000000</v>
      </c>
      <c r="Q1163">
        <v>10817000000</v>
      </c>
      <c r="R1163">
        <v>9405000000</v>
      </c>
      <c r="S1163">
        <v>25430000000</v>
      </c>
      <c r="T1163">
        <v>0</v>
      </c>
      <c r="U1163">
        <v>1161000000</v>
      </c>
      <c r="V1163">
        <v>10519000000</v>
      </c>
      <c r="W1163">
        <v>133840176200</v>
      </c>
      <c r="X1163">
        <v>135001176200</v>
      </c>
      <c r="Y1163">
        <v>3.5609194537160662</v>
      </c>
      <c r="Z1163">
        <v>103.7456857374392</v>
      </c>
      <c r="AA1163">
        <v>55.880478481012659</v>
      </c>
      <c r="AB1163">
        <v>127.13225044687189</v>
      </c>
      <c r="AC1163">
        <v>327.42244552429668</v>
      </c>
      <c r="AD1163">
        <v>121.5785149097816</v>
      </c>
      <c r="AE1163">
        <v>109.4012773095624</v>
      </c>
      <c r="AF1163">
        <v>108.4604345218801</v>
      </c>
      <c r="AG1163">
        <v>345.27155038363168</v>
      </c>
      <c r="AH1163">
        <v>342.30224092071609</v>
      </c>
      <c r="AI1163">
        <v>58.926746486250543</v>
      </c>
      <c r="AJ1163">
        <v>134.06273704071501</v>
      </c>
      <c r="AK1163">
        <v>58.419980881711041</v>
      </c>
      <c r="AL1163">
        <v>132.90980754716981</v>
      </c>
      <c r="AM1163">
        <v>3.75503939141077</v>
      </c>
      <c r="AN1163">
        <v>3.7227463340008899</v>
      </c>
    </row>
    <row r="1164" spans="1:40" x14ac:dyDescent="0.25">
      <c r="A1164" s="1" t="s">
        <v>370</v>
      </c>
      <c r="B1164">
        <v>125054501800</v>
      </c>
      <c r="C1164" t="s">
        <v>72</v>
      </c>
      <c r="D1164" t="s">
        <v>105</v>
      </c>
      <c r="E1164">
        <v>35952000000</v>
      </c>
      <c r="F1164">
        <v>1234000000</v>
      </c>
      <c r="G1164">
        <v>2291000000</v>
      </c>
      <c r="H1164">
        <v>1007000000</v>
      </c>
      <c r="I1164">
        <v>391000000</v>
      </c>
      <c r="J1164">
        <v>1053000000</v>
      </c>
      <c r="K1164">
        <v>4448000000</v>
      </c>
      <c r="L1164">
        <v>725000000</v>
      </c>
      <c r="M1164">
        <v>5173000000</v>
      </c>
      <c r="N1164">
        <v>10679000000</v>
      </c>
      <c r="O1164">
        <v>1673000000</v>
      </c>
      <c r="P1164">
        <v>174000000</v>
      </c>
      <c r="Q1164">
        <v>10817000000</v>
      </c>
      <c r="R1164">
        <v>9405000000</v>
      </c>
      <c r="S1164">
        <v>25430000000</v>
      </c>
      <c r="T1164">
        <v>0</v>
      </c>
      <c r="U1164">
        <v>1161000000</v>
      </c>
      <c r="V1164">
        <v>10519000000</v>
      </c>
      <c r="W1164">
        <v>130872501800</v>
      </c>
      <c r="X1164">
        <v>132033501800</v>
      </c>
      <c r="Y1164">
        <v>3.478373993101914</v>
      </c>
      <c r="Z1164">
        <v>101.3407632090762</v>
      </c>
      <c r="AA1164">
        <v>54.585116455696202</v>
      </c>
      <c r="AB1164">
        <v>124.1852053624628</v>
      </c>
      <c r="AC1164">
        <v>319.83248542199487</v>
      </c>
      <c r="AD1164">
        <v>118.76021063627729</v>
      </c>
      <c r="AE1164">
        <v>106.9963547811994</v>
      </c>
      <c r="AF1164">
        <v>106.055511993517</v>
      </c>
      <c r="AG1164">
        <v>337.68159028132987</v>
      </c>
      <c r="AH1164">
        <v>334.71228081841429</v>
      </c>
      <c r="AI1164">
        <v>57.631384460934093</v>
      </c>
      <c r="AJ1164">
        <v>131.11569195630591</v>
      </c>
      <c r="AK1164">
        <v>57.124618856394591</v>
      </c>
      <c r="AL1164">
        <v>129.96276246276071</v>
      </c>
      <c r="AM1164">
        <v>3.6724939307966178</v>
      </c>
      <c r="AN1164">
        <v>3.6402008733867381</v>
      </c>
    </row>
    <row r="1165" spans="1:40" x14ac:dyDescent="0.25">
      <c r="A1165" s="1" t="s">
        <v>369</v>
      </c>
      <c r="B1165">
        <v>126661992100</v>
      </c>
      <c r="C1165" t="s">
        <v>72</v>
      </c>
      <c r="D1165" t="s">
        <v>105</v>
      </c>
      <c r="E1165">
        <v>35952000000</v>
      </c>
      <c r="F1165">
        <v>1234000000</v>
      </c>
      <c r="G1165">
        <v>2291000000</v>
      </c>
      <c r="H1165">
        <v>1007000000</v>
      </c>
      <c r="I1165">
        <v>391000000</v>
      </c>
      <c r="J1165">
        <v>1053000000</v>
      </c>
      <c r="K1165">
        <v>4448000000</v>
      </c>
      <c r="L1165">
        <v>725000000</v>
      </c>
      <c r="M1165">
        <v>5173000000</v>
      </c>
      <c r="N1165">
        <v>10679000000</v>
      </c>
      <c r="O1165">
        <v>1673000000</v>
      </c>
      <c r="P1165">
        <v>174000000</v>
      </c>
      <c r="Q1165">
        <v>10817000000</v>
      </c>
      <c r="R1165">
        <v>9405000000</v>
      </c>
      <c r="S1165">
        <v>25430000000</v>
      </c>
      <c r="T1165">
        <v>0</v>
      </c>
      <c r="U1165">
        <v>1161000000</v>
      </c>
      <c r="V1165">
        <v>10519000000</v>
      </c>
      <c r="W1165">
        <v>132479992100</v>
      </c>
      <c r="X1165">
        <v>133640992100</v>
      </c>
      <c r="Y1165">
        <v>3.5230861176012458</v>
      </c>
      <c r="Z1165">
        <v>102.6434295786062</v>
      </c>
      <c r="AA1165">
        <v>55.286770886075949</v>
      </c>
      <c r="AB1165">
        <v>125.781521449851</v>
      </c>
      <c r="AC1165">
        <v>323.94371381074171</v>
      </c>
      <c r="AD1165">
        <v>120.28679211775879</v>
      </c>
      <c r="AE1165">
        <v>108.2990211507293</v>
      </c>
      <c r="AF1165">
        <v>107.358178363047</v>
      </c>
      <c r="AG1165">
        <v>341.79281867007671</v>
      </c>
      <c r="AH1165">
        <v>338.82350920716112</v>
      </c>
      <c r="AI1165">
        <v>58.333038891313826</v>
      </c>
      <c r="AJ1165">
        <v>132.71200804369411</v>
      </c>
      <c r="AK1165">
        <v>57.826273286774331</v>
      </c>
      <c r="AL1165">
        <v>131.559078550149</v>
      </c>
      <c r="AM1165">
        <v>3.7172060552959501</v>
      </c>
      <c r="AN1165">
        <v>3.68491299788607</v>
      </c>
    </row>
    <row r="1166" spans="1:40" x14ac:dyDescent="0.25">
      <c r="A1166" s="1" t="s">
        <v>368</v>
      </c>
      <c r="B1166">
        <v>127177213350</v>
      </c>
      <c r="C1166" t="s">
        <v>72</v>
      </c>
      <c r="D1166" t="s">
        <v>105</v>
      </c>
      <c r="E1166">
        <v>35952000000</v>
      </c>
      <c r="F1166">
        <v>1234000000</v>
      </c>
      <c r="G1166">
        <v>2291000000</v>
      </c>
      <c r="H1166">
        <v>1007000000</v>
      </c>
      <c r="I1166">
        <v>391000000</v>
      </c>
      <c r="J1166">
        <v>1053000000</v>
      </c>
      <c r="K1166">
        <v>4448000000</v>
      </c>
      <c r="L1166">
        <v>725000000</v>
      </c>
      <c r="M1166">
        <v>5173000000</v>
      </c>
      <c r="N1166">
        <v>10679000000</v>
      </c>
      <c r="O1166">
        <v>1673000000</v>
      </c>
      <c r="P1166">
        <v>174000000</v>
      </c>
      <c r="Q1166">
        <v>10817000000</v>
      </c>
      <c r="R1166">
        <v>9405000000</v>
      </c>
      <c r="S1166">
        <v>25430000000</v>
      </c>
      <c r="T1166">
        <v>0</v>
      </c>
      <c r="U1166">
        <v>1161000000</v>
      </c>
      <c r="V1166">
        <v>10519000000</v>
      </c>
      <c r="W1166">
        <v>132995213350</v>
      </c>
      <c r="X1166">
        <v>134156213350</v>
      </c>
      <c r="Y1166">
        <v>3.5374169267356481</v>
      </c>
      <c r="Z1166">
        <v>103.0609508508914</v>
      </c>
      <c r="AA1166">
        <v>55.511660126582278</v>
      </c>
      <c r="AB1166">
        <v>126.29316122144991</v>
      </c>
      <c r="AC1166">
        <v>325.26141521739129</v>
      </c>
      <c r="AD1166">
        <v>120.7760810541311</v>
      </c>
      <c r="AE1166">
        <v>108.7165424230146</v>
      </c>
      <c r="AF1166">
        <v>107.7756996353323</v>
      </c>
      <c r="AG1166">
        <v>343.11052007672629</v>
      </c>
      <c r="AH1166">
        <v>340.14121061381081</v>
      </c>
      <c r="AI1166">
        <v>58.557928131820162</v>
      </c>
      <c r="AJ1166">
        <v>133.22364781529299</v>
      </c>
      <c r="AK1166">
        <v>58.051162527280667</v>
      </c>
      <c r="AL1166">
        <v>132.07071832174779</v>
      </c>
      <c r="AM1166">
        <v>3.731536864430351</v>
      </c>
      <c r="AN1166">
        <v>3.6992438070204718</v>
      </c>
    </row>
    <row r="1167" spans="1:40" x14ac:dyDescent="0.25">
      <c r="A1167" s="1" t="s">
        <v>367</v>
      </c>
      <c r="B1167">
        <v>127733652300</v>
      </c>
      <c r="C1167" t="s">
        <v>72</v>
      </c>
      <c r="D1167" t="s">
        <v>105</v>
      </c>
      <c r="E1167">
        <v>35952000000</v>
      </c>
      <c r="F1167">
        <v>1234000000</v>
      </c>
      <c r="G1167">
        <v>2291000000</v>
      </c>
      <c r="H1167">
        <v>1007000000</v>
      </c>
      <c r="I1167">
        <v>391000000</v>
      </c>
      <c r="J1167">
        <v>1053000000</v>
      </c>
      <c r="K1167">
        <v>4448000000</v>
      </c>
      <c r="L1167">
        <v>725000000</v>
      </c>
      <c r="M1167">
        <v>5173000000</v>
      </c>
      <c r="N1167">
        <v>10679000000</v>
      </c>
      <c r="O1167">
        <v>1673000000</v>
      </c>
      <c r="P1167">
        <v>174000000</v>
      </c>
      <c r="Q1167">
        <v>10817000000</v>
      </c>
      <c r="R1167">
        <v>9405000000</v>
      </c>
      <c r="S1167">
        <v>25430000000</v>
      </c>
      <c r="T1167">
        <v>0</v>
      </c>
      <c r="U1167">
        <v>1161000000</v>
      </c>
      <c r="V1167">
        <v>10519000000</v>
      </c>
      <c r="W1167">
        <v>133551652300</v>
      </c>
      <c r="X1167">
        <v>134712652300</v>
      </c>
      <c r="Y1167">
        <v>3.5528942006008011</v>
      </c>
      <c r="Z1167">
        <v>103.51187382495949</v>
      </c>
      <c r="AA1167">
        <v>55.754540506329107</v>
      </c>
      <c r="AB1167">
        <v>126.8457321747766</v>
      </c>
      <c r="AC1167">
        <v>326.68453273657292</v>
      </c>
      <c r="AD1167">
        <v>121.30451310541309</v>
      </c>
      <c r="AE1167">
        <v>109.16746539708269</v>
      </c>
      <c r="AF1167">
        <v>108.22662260940029</v>
      </c>
      <c r="AG1167">
        <v>344.53363759590792</v>
      </c>
      <c r="AH1167">
        <v>341.56432813299227</v>
      </c>
      <c r="AI1167">
        <v>58.800808511566999</v>
      </c>
      <c r="AJ1167">
        <v>133.77621876861971</v>
      </c>
      <c r="AK1167">
        <v>58.294042907027503</v>
      </c>
      <c r="AL1167">
        <v>132.62328927507451</v>
      </c>
      <c r="AM1167">
        <v>3.7470141382955049</v>
      </c>
      <c r="AN1167">
        <v>3.7147210808856248</v>
      </c>
    </row>
    <row r="1168" spans="1:40" x14ac:dyDescent="0.25">
      <c r="A1168" s="1" t="s">
        <v>366</v>
      </c>
      <c r="B1168">
        <v>130412802800</v>
      </c>
      <c r="C1168" t="s">
        <v>72</v>
      </c>
      <c r="D1168" t="s">
        <v>105</v>
      </c>
      <c r="E1168">
        <v>35952000000</v>
      </c>
      <c r="F1168">
        <v>1234000000</v>
      </c>
      <c r="G1168">
        <v>2291000000</v>
      </c>
      <c r="H1168">
        <v>1007000000</v>
      </c>
      <c r="I1168">
        <v>391000000</v>
      </c>
      <c r="J1168">
        <v>1053000000</v>
      </c>
      <c r="K1168">
        <v>4448000000</v>
      </c>
      <c r="L1168">
        <v>725000000</v>
      </c>
      <c r="M1168">
        <v>5173000000</v>
      </c>
      <c r="N1168">
        <v>10679000000</v>
      </c>
      <c r="O1168">
        <v>1673000000</v>
      </c>
      <c r="P1168">
        <v>174000000</v>
      </c>
      <c r="Q1168">
        <v>10817000000</v>
      </c>
      <c r="R1168">
        <v>9405000000</v>
      </c>
      <c r="S1168">
        <v>25430000000</v>
      </c>
      <c r="T1168">
        <v>0</v>
      </c>
      <c r="U1168">
        <v>1161000000</v>
      </c>
      <c r="V1168">
        <v>10519000000</v>
      </c>
      <c r="W1168">
        <v>136230802800</v>
      </c>
      <c r="X1168">
        <v>137391802800</v>
      </c>
      <c r="Y1168">
        <v>3.6274144080996891</v>
      </c>
      <c r="Z1168">
        <v>105.6829844408428</v>
      </c>
      <c r="AA1168">
        <v>56.923964556962027</v>
      </c>
      <c r="AB1168">
        <v>129.5062589870904</v>
      </c>
      <c r="AC1168">
        <v>333.53658005115091</v>
      </c>
      <c r="AD1168">
        <v>123.84881557454889</v>
      </c>
      <c r="AE1168">
        <v>111.338576012966</v>
      </c>
      <c r="AF1168">
        <v>110.3977332252836</v>
      </c>
      <c r="AG1168">
        <v>351.38568491048591</v>
      </c>
      <c r="AH1168">
        <v>348.41637544757032</v>
      </c>
      <c r="AI1168">
        <v>59.970232562199911</v>
      </c>
      <c r="AJ1168">
        <v>136.43674558093349</v>
      </c>
      <c r="AK1168">
        <v>59.463466957660408</v>
      </c>
      <c r="AL1168">
        <v>135.28381608738829</v>
      </c>
      <c r="AM1168">
        <v>3.821534345794392</v>
      </c>
      <c r="AN1168">
        <v>3.7892412883845128</v>
      </c>
    </row>
    <row r="1169" spans="1:40" x14ac:dyDescent="0.25">
      <c r="A1169" s="1" t="s">
        <v>365</v>
      </c>
      <c r="B1169">
        <v>130124278900</v>
      </c>
      <c r="C1169" t="s">
        <v>72</v>
      </c>
      <c r="D1169" t="s">
        <v>105</v>
      </c>
      <c r="E1169">
        <v>35952000000</v>
      </c>
      <c r="F1169">
        <v>1234000000</v>
      </c>
      <c r="G1169">
        <v>2291000000</v>
      </c>
      <c r="H1169">
        <v>1007000000</v>
      </c>
      <c r="I1169">
        <v>391000000</v>
      </c>
      <c r="J1169">
        <v>1053000000</v>
      </c>
      <c r="K1169">
        <v>4448000000</v>
      </c>
      <c r="L1169">
        <v>725000000</v>
      </c>
      <c r="M1169">
        <v>5173000000</v>
      </c>
      <c r="N1169">
        <v>10679000000</v>
      </c>
      <c r="O1169">
        <v>1673000000</v>
      </c>
      <c r="P1169">
        <v>174000000</v>
      </c>
      <c r="Q1169">
        <v>10817000000</v>
      </c>
      <c r="R1169">
        <v>9405000000</v>
      </c>
      <c r="S1169">
        <v>25430000000</v>
      </c>
      <c r="T1169">
        <v>0</v>
      </c>
      <c r="U1169">
        <v>1161000000</v>
      </c>
      <c r="V1169">
        <v>10519000000</v>
      </c>
      <c r="W1169">
        <v>135942278900</v>
      </c>
      <c r="X1169">
        <v>137103278900</v>
      </c>
      <c r="Y1169">
        <v>3.619389154984423</v>
      </c>
      <c r="Z1169">
        <v>105.44917252836311</v>
      </c>
      <c r="AA1169">
        <v>56.798026582278482</v>
      </c>
      <c r="AB1169">
        <v>129.219740714995</v>
      </c>
      <c r="AC1169">
        <v>332.79866726342709</v>
      </c>
      <c r="AD1169">
        <v>123.5748137701804</v>
      </c>
      <c r="AE1169">
        <v>111.10476410048619</v>
      </c>
      <c r="AF1169">
        <v>110.16392131280389</v>
      </c>
      <c r="AG1169">
        <v>350.64777212276209</v>
      </c>
      <c r="AH1169">
        <v>347.67846265984662</v>
      </c>
      <c r="AI1169">
        <v>59.844294587516373</v>
      </c>
      <c r="AJ1169">
        <v>136.15022730883811</v>
      </c>
      <c r="AK1169">
        <v>59.337528982976863</v>
      </c>
      <c r="AL1169">
        <v>134.99729781529291</v>
      </c>
      <c r="AM1169">
        <v>3.8135090926791282</v>
      </c>
      <c r="AN1169">
        <v>3.7812160352692481</v>
      </c>
    </row>
    <row r="1170" spans="1:40" x14ac:dyDescent="0.25">
      <c r="A1170" s="1" t="s">
        <v>364</v>
      </c>
      <c r="B1170">
        <v>126888689450</v>
      </c>
      <c r="C1170" t="s">
        <v>72</v>
      </c>
      <c r="D1170" t="s">
        <v>105</v>
      </c>
      <c r="E1170">
        <v>35952000000</v>
      </c>
      <c r="F1170">
        <v>1234000000</v>
      </c>
      <c r="G1170">
        <v>2291000000</v>
      </c>
      <c r="H1170">
        <v>1007000000</v>
      </c>
      <c r="I1170">
        <v>391000000</v>
      </c>
      <c r="J1170">
        <v>1053000000</v>
      </c>
      <c r="K1170">
        <v>4448000000</v>
      </c>
      <c r="L1170">
        <v>725000000</v>
      </c>
      <c r="M1170">
        <v>5173000000</v>
      </c>
      <c r="N1170">
        <v>10679000000</v>
      </c>
      <c r="O1170">
        <v>1673000000</v>
      </c>
      <c r="P1170">
        <v>174000000</v>
      </c>
      <c r="Q1170">
        <v>10817000000</v>
      </c>
      <c r="R1170">
        <v>9405000000</v>
      </c>
      <c r="S1170">
        <v>25430000000</v>
      </c>
      <c r="T1170">
        <v>0</v>
      </c>
      <c r="U1170">
        <v>1161000000</v>
      </c>
      <c r="V1170">
        <v>10519000000</v>
      </c>
      <c r="W1170">
        <v>132706689450</v>
      </c>
      <c r="X1170">
        <v>133867689450</v>
      </c>
      <c r="Y1170">
        <v>3.529391673620383</v>
      </c>
      <c r="Z1170">
        <v>102.82713893841169</v>
      </c>
      <c r="AA1170">
        <v>55.385722151898733</v>
      </c>
      <c r="AB1170">
        <v>126.0066429493545</v>
      </c>
      <c r="AC1170">
        <v>324.52350242966747</v>
      </c>
      <c r="AD1170">
        <v>120.5020792497626</v>
      </c>
      <c r="AE1170">
        <v>108.48273051053491</v>
      </c>
      <c r="AF1170">
        <v>107.54188772285249</v>
      </c>
      <c r="AG1170">
        <v>342.37260728900247</v>
      </c>
      <c r="AH1170">
        <v>339.40329782608688</v>
      </c>
      <c r="AI1170">
        <v>58.431990157136617</v>
      </c>
      <c r="AJ1170">
        <v>132.93712954319761</v>
      </c>
      <c r="AK1170">
        <v>57.925224552597122</v>
      </c>
      <c r="AL1170">
        <v>131.78420004965241</v>
      </c>
      <c r="AM1170">
        <v>3.7235116113150868</v>
      </c>
      <c r="AN1170">
        <v>3.6912185539052071</v>
      </c>
    </row>
    <row r="1171" spans="1:40" x14ac:dyDescent="0.25">
      <c r="A1171" s="1" t="s">
        <v>363</v>
      </c>
      <c r="B1171">
        <v>121340903460</v>
      </c>
      <c r="C1171" t="s">
        <v>72</v>
      </c>
      <c r="D1171" t="s">
        <v>105</v>
      </c>
      <c r="E1171">
        <v>35952000000</v>
      </c>
      <c r="F1171">
        <v>1234000000</v>
      </c>
      <c r="G1171">
        <v>2291000000</v>
      </c>
      <c r="H1171">
        <v>1007000000</v>
      </c>
      <c r="I1171">
        <v>391000000</v>
      </c>
      <c r="J1171">
        <v>1053000000</v>
      </c>
      <c r="K1171">
        <v>4448000000</v>
      </c>
      <c r="L1171">
        <v>725000000</v>
      </c>
      <c r="M1171">
        <v>5173000000</v>
      </c>
      <c r="N1171">
        <v>10679000000</v>
      </c>
      <c r="O1171">
        <v>1673000000</v>
      </c>
      <c r="P1171">
        <v>174000000</v>
      </c>
      <c r="Q1171">
        <v>10817000000</v>
      </c>
      <c r="R1171">
        <v>9405000000</v>
      </c>
      <c r="S1171">
        <v>25430000000</v>
      </c>
      <c r="T1171">
        <v>0</v>
      </c>
      <c r="U1171">
        <v>1161000000</v>
      </c>
      <c r="V1171">
        <v>10519000000</v>
      </c>
      <c r="W1171">
        <v>127158903460</v>
      </c>
      <c r="X1171">
        <v>128319903460</v>
      </c>
      <c r="Y1171">
        <v>3.3750807593457939</v>
      </c>
      <c r="Z1171">
        <v>98.331364230145866</v>
      </c>
      <c r="AA1171">
        <v>52.964165630728942</v>
      </c>
      <c r="AB1171">
        <v>120.49742150943401</v>
      </c>
      <c r="AC1171">
        <v>310.33479145780052</v>
      </c>
      <c r="AD1171">
        <v>115.23352655270661</v>
      </c>
      <c r="AE1171">
        <v>103.98695580226899</v>
      </c>
      <c r="AF1171">
        <v>103.04611301458669</v>
      </c>
      <c r="AG1171">
        <v>328.18389631713558</v>
      </c>
      <c r="AH1171">
        <v>325.21458685421987</v>
      </c>
      <c r="AI1171">
        <v>56.010433635966827</v>
      </c>
      <c r="AJ1171">
        <v>127.4279081032771</v>
      </c>
      <c r="AK1171">
        <v>55.503668031427317</v>
      </c>
      <c r="AL1171">
        <v>126.2749786097319</v>
      </c>
      <c r="AM1171">
        <v>3.569200697040499</v>
      </c>
      <c r="AN1171">
        <v>3.536907639630618</v>
      </c>
    </row>
    <row r="1172" spans="1:40" x14ac:dyDescent="0.25">
      <c r="A1172" s="1" t="s">
        <v>362</v>
      </c>
      <c r="B1172">
        <v>121070702750</v>
      </c>
      <c r="C1172" t="s">
        <v>72</v>
      </c>
      <c r="D1172" t="s">
        <v>105</v>
      </c>
      <c r="E1172">
        <v>35952000000</v>
      </c>
      <c r="F1172">
        <v>1234000000</v>
      </c>
      <c r="G1172">
        <v>2291000000</v>
      </c>
      <c r="H1172">
        <v>1007000000</v>
      </c>
      <c r="I1172">
        <v>391000000</v>
      </c>
      <c r="J1172">
        <v>1053000000</v>
      </c>
      <c r="K1172">
        <v>4448000000</v>
      </c>
      <c r="L1172">
        <v>725000000</v>
      </c>
      <c r="M1172">
        <v>5173000000</v>
      </c>
      <c r="N1172">
        <v>10679000000</v>
      </c>
      <c r="O1172">
        <v>1673000000</v>
      </c>
      <c r="P1172">
        <v>174000000</v>
      </c>
      <c r="Q1172">
        <v>10817000000</v>
      </c>
      <c r="R1172">
        <v>9405000000</v>
      </c>
      <c r="S1172">
        <v>25430000000</v>
      </c>
      <c r="T1172">
        <v>0</v>
      </c>
      <c r="U1172">
        <v>1161000000</v>
      </c>
      <c r="V1172">
        <v>10519000000</v>
      </c>
      <c r="W1172">
        <v>126888702750</v>
      </c>
      <c r="X1172">
        <v>128049702750</v>
      </c>
      <c r="Y1172">
        <v>3.3675651632732531</v>
      </c>
      <c r="Z1172">
        <v>98.11240093192869</v>
      </c>
      <c r="AA1172">
        <v>52.846225556525532</v>
      </c>
      <c r="AB1172">
        <v>120.2290990566038</v>
      </c>
      <c r="AC1172">
        <v>309.64374104859343</v>
      </c>
      <c r="AD1172">
        <v>114.976925688509</v>
      </c>
      <c r="AE1172">
        <v>103.7679925040519</v>
      </c>
      <c r="AF1172">
        <v>102.8271497163695</v>
      </c>
      <c r="AG1172">
        <v>327.49284590792843</v>
      </c>
      <c r="AH1172">
        <v>324.52353644501278</v>
      </c>
      <c r="AI1172">
        <v>55.892493561763423</v>
      </c>
      <c r="AJ1172">
        <v>127.1595856504469</v>
      </c>
      <c r="AK1172">
        <v>55.385727957223921</v>
      </c>
      <c r="AL1172">
        <v>126.0066561569017</v>
      </c>
      <c r="AM1172">
        <v>3.5616851009679569</v>
      </c>
      <c r="AN1172">
        <v>3.5293920435580768</v>
      </c>
    </row>
    <row r="1173" spans="1:40" x14ac:dyDescent="0.25">
      <c r="A1173" s="1" t="s">
        <v>361</v>
      </c>
      <c r="B1173">
        <v>120135392600</v>
      </c>
      <c r="C1173" t="s">
        <v>72</v>
      </c>
      <c r="D1173" t="s">
        <v>105</v>
      </c>
      <c r="E1173">
        <v>35952000000</v>
      </c>
      <c r="F1173">
        <v>1234000000</v>
      </c>
      <c r="G1173">
        <v>2291000000</v>
      </c>
      <c r="H1173">
        <v>1007000000</v>
      </c>
      <c r="I1173">
        <v>391000000</v>
      </c>
      <c r="J1173">
        <v>1053000000</v>
      </c>
      <c r="K1173">
        <v>4448000000</v>
      </c>
      <c r="L1173">
        <v>725000000</v>
      </c>
      <c r="M1173">
        <v>5173000000</v>
      </c>
      <c r="N1173">
        <v>10679000000</v>
      </c>
      <c r="O1173">
        <v>1673000000</v>
      </c>
      <c r="P1173">
        <v>174000000</v>
      </c>
      <c r="Q1173">
        <v>10817000000</v>
      </c>
      <c r="R1173">
        <v>9405000000</v>
      </c>
      <c r="S1173">
        <v>25430000000</v>
      </c>
      <c r="T1173">
        <v>0</v>
      </c>
      <c r="U1173">
        <v>1161000000</v>
      </c>
      <c r="V1173">
        <v>10519000000</v>
      </c>
      <c r="W1173">
        <v>125953392600</v>
      </c>
      <c r="X1173">
        <v>127114392600</v>
      </c>
      <c r="Y1173">
        <v>3.341549638406764</v>
      </c>
      <c r="Z1173">
        <v>97.35445105348461</v>
      </c>
      <c r="AA1173">
        <v>52.437971453513747</v>
      </c>
      <c r="AB1173">
        <v>119.3002905660377</v>
      </c>
      <c r="AC1173">
        <v>307.25164347826092</v>
      </c>
      <c r="AD1173">
        <v>114.08869192782529</v>
      </c>
      <c r="AE1173">
        <v>103.0100426256078</v>
      </c>
      <c r="AF1173">
        <v>102.0691998379254</v>
      </c>
      <c r="AG1173">
        <v>325.10074833759592</v>
      </c>
      <c r="AH1173">
        <v>322.13143887468033</v>
      </c>
      <c r="AI1173">
        <v>55.484239458751638</v>
      </c>
      <c r="AJ1173">
        <v>126.2307771598808</v>
      </c>
      <c r="AK1173">
        <v>54.977473854212143</v>
      </c>
      <c r="AL1173">
        <v>125.0778476663357</v>
      </c>
      <c r="AM1173">
        <v>3.5356695761014691</v>
      </c>
      <c r="AN1173">
        <v>3.5033765186915891</v>
      </c>
    </row>
    <row r="1174" spans="1:40" x14ac:dyDescent="0.25">
      <c r="A1174" s="1" t="s">
        <v>360</v>
      </c>
      <c r="B1174">
        <v>119678129860</v>
      </c>
      <c r="C1174" t="s">
        <v>72</v>
      </c>
      <c r="D1174" t="s">
        <v>105</v>
      </c>
      <c r="E1174">
        <v>35952000000</v>
      </c>
      <c r="F1174">
        <v>1234000000</v>
      </c>
      <c r="G1174">
        <v>2291000000</v>
      </c>
      <c r="H1174">
        <v>1007000000</v>
      </c>
      <c r="I1174">
        <v>391000000</v>
      </c>
      <c r="J1174">
        <v>1053000000</v>
      </c>
      <c r="K1174">
        <v>4448000000</v>
      </c>
      <c r="L1174">
        <v>725000000</v>
      </c>
      <c r="M1174">
        <v>5173000000</v>
      </c>
      <c r="N1174">
        <v>10679000000</v>
      </c>
      <c r="O1174">
        <v>1673000000</v>
      </c>
      <c r="P1174">
        <v>174000000</v>
      </c>
      <c r="Q1174">
        <v>10817000000</v>
      </c>
      <c r="R1174">
        <v>9405000000</v>
      </c>
      <c r="S1174">
        <v>25430000000</v>
      </c>
      <c r="T1174">
        <v>0</v>
      </c>
      <c r="U1174">
        <v>1161000000</v>
      </c>
      <c r="V1174">
        <v>10519000000</v>
      </c>
      <c r="W1174">
        <v>125496129860</v>
      </c>
      <c r="X1174">
        <v>126657129860</v>
      </c>
      <c r="Y1174">
        <v>3.3288309373609262</v>
      </c>
      <c r="Z1174">
        <v>96.983897779578612</v>
      </c>
      <c r="AA1174">
        <v>52.238380558707988</v>
      </c>
      <c r="AB1174">
        <v>118.8462064150943</v>
      </c>
      <c r="AC1174">
        <v>306.08217355498721</v>
      </c>
      <c r="AD1174">
        <v>113.65444431149101</v>
      </c>
      <c r="AE1174">
        <v>102.6394893517018</v>
      </c>
      <c r="AF1174">
        <v>101.6986465640195</v>
      </c>
      <c r="AG1174">
        <v>323.93127841432232</v>
      </c>
      <c r="AH1174">
        <v>320.96196895140667</v>
      </c>
      <c r="AI1174">
        <v>55.284648563945872</v>
      </c>
      <c r="AJ1174">
        <v>125.7766930089374</v>
      </c>
      <c r="AK1174">
        <v>54.777882959406369</v>
      </c>
      <c r="AL1174">
        <v>124.6237635153923</v>
      </c>
      <c r="AM1174">
        <v>3.52295087505563</v>
      </c>
      <c r="AN1174">
        <v>3.4906578176457499</v>
      </c>
    </row>
    <row r="1175" spans="1:40" x14ac:dyDescent="0.25">
      <c r="A1175" s="1" t="s">
        <v>359</v>
      </c>
      <c r="B1175">
        <v>122650337670</v>
      </c>
      <c r="C1175" t="s">
        <v>72</v>
      </c>
      <c r="D1175" t="s">
        <v>105</v>
      </c>
      <c r="E1175">
        <v>35952000000</v>
      </c>
      <c r="F1175">
        <v>1234000000</v>
      </c>
      <c r="G1175">
        <v>2291000000</v>
      </c>
      <c r="H1175">
        <v>1007000000</v>
      </c>
      <c r="I1175">
        <v>391000000</v>
      </c>
      <c r="J1175">
        <v>1053000000</v>
      </c>
      <c r="K1175">
        <v>4448000000</v>
      </c>
      <c r="L1175">
        <v>725000000</v>
      </c>
      <c r="M1175">
        <v>5173000000</v>
      </c>
      <c r="N1175">
        <v>10679000000</v>
      </c>
      <c r="O1175">
        <v>1673000000</v>
      </c>
      <c r="P1175">
        <v>174000000</v>
      </c>
      <c r="Q1175">
        <v>10817000000</v>
      </c>
      <c r="R1175">
        <v>9405000000</v>
      </c>
      <c r="S1175">
        <v>25430000000</v>
      </c>
      <c r="T1175">
        <v>0</v>
      </c>
      <c r="U1175">
        <v>1161000000</v>
      </c>
      <c r="V1175">
        <v>10519000000</v>
      </c>
      <c r="W1175">
        <v>128468337670</v>
      </c>
      <c r="X1175">
        <v>129629337670</v>
      </c>
      <c r="Y1175">
        <v>3.4115024941588779</v>
      </c>
      <c r="Z1175">
        <v>99.392494059967589</v>
      </c>
      <c r="AA1175">
        <v>53.535721374945439</v>
      </c>
      <c r="AB1175">
        <v>121.7977533962264</v>
      </c>
      <c r="AC1175">
        <v>313.68372805626598</v>
      </c>
      <c r="AD1175">
        <v>116.4770538176638</v>
      </c>
      <c r="AE1175">
        <v>105.0480856320908</v>
      </c>
      <c r="AF1175">
        <v>104.1072428444084</v>
      </c>
      <c r="AG1175">
        <v>331.53283291560098</v>
      </c>
      <c r="AH1175">
        <v>328.56352345268539</v>
      </c>
      <c r="AI1175">
        <v>56.581989380183323</v>
      </c>
      <c r="AJ1175">
        <v>128.72823999006951</v>
      </c>
      <c r="AK1175">
        <v>56.075223775643821</v>
      </c>
      <c r="AL1175">
        <v>127.5753104965243</v>
      </c>
      <c r="AM1175">
        <v>3.605622431853583</v>
      </c>
      <c r="AN1175">
        <v>3.5733293744437029</v>
      </c>
    </row>
    <row r="1176" spans="1:40" x14ac:dyDescent="0.25">
      <c r="A1176" s="1" t="s">
        <v>358</v>
      </c>
      <c r="B1176">
        <v>125331560100</v>
      </c>
      <c r="C1176" t="s">
        <v>72</v>
      </c>
      <c r="D1176" t="s">
        <v>105</v>
      </c>
      <c r="E1176">
        <v>35952000000</v>
      </c>
      <c r="F1176">
        <v>1234000000</v>
      </c>
      <c r="G1176">
        <v>2291000000</v>
      </c>
      <c r="H1176">
        <v>1007000000</v>
      </c>
      <c r="I1176">
        <v>391000000</v>
      </c>
      <c r="J1176">
        <v>1053000000</v>
      </c>
      <c r="K1176">
        <v>4448000000</v>
      </c>
      <c r="L1176">
        <v>725000000</v>
      </c>
      <c r="M1176">
        <v>5173000000</v>
      </c>
      <c r="N1176">
        <v>10679000000</v>
      </c>
      <c r="O1176">
        <v>1673000000</v>
      </c>
      <c r="P1176">
        <v>174000000</v>
      </c>
      <c r="Q1176">
        <v>10817000000</v>
      </c>
      <c r="R1176">
        <v>9405000000</v>
      </c>
      <c r="S1176">
        <v>25430000000</v>
      </c>
      <c r="T1176">
        <v>0</v>
      </c>
      <c r="U1176">
        <v>1161000000</v>
      </c>
      <c r="V1176">
        <v>10519000000</v>
      </c>
      <c r="W1176">
        <v>131149560100</v>
      </c>
      <c r="X1176">
        <v>132310560100</v>
      </c>
      <c r="Y1176">
        <v>3.4860803321094789</v>
      </c>
      <c r="Z1176">
        <v>101.56528371150731</v>
      </c>
      <c r="AA1176">
        <v>54.706049803579234</v>
      </c>
      <c r="AB1176">
        <v>124.46033773584909</v>
      </c>
      <c r="AC1176">
        <v>320.54107442455239</v>
      </c>
      <c r="AD1176">
        <v>119.02332393162391</v>
      </c>
      <c r="AE1176">
        <v>107.22087528363051</v>
      </c>
      <c r="AF1176">
        <v>106.28003249594811</v>
      </c>
      <c r="AG1176">
        <v>338.39017928388739</v>
      </c>
      <c r="AH1176">
        <v>335.42086982097192</v>
      </c>
      <c r="AI1176">
        <v>57.752317808817111</v>
      </c>
      <c r="AJ1176">
        <v>131.39082432969221</v>
      </c>
      <c r="AK1176">
        <v>57.245552204277608</v>
      </c>
      <c r="AL1176">
        <v>130.23789483614701</v>
      </c>
      <c r="AM1176">
        <v>3.680200269804184</v>
      </c>
      <c r="AN1176">
        <v>3.647907212394303</v>
      </c>
    </row>
    <row r="1177" spans="1:40" x14ac:dyDescent="0.25">
      <c r="A1177" s="1" t="s">
        <v>357</v>
      </c>
      <c r="B1177">
        <v>129717125470</v>
      </c>
      <c r="C1177" t="s">
        <v>72</v>
      </c>
      <c r="D1177" t="s">
        <v>105</v>
      </c>
      <c r="E1177">
        <v>35952000000</v>
      </c>
      <c r="F1177">
        <v>1234000000</v>
      </c>
      <c r="G1177">
        <v>2291000000</v>
      </c>
      <c r="H1177">
        <v>1007000000</v>
      </c>
      <c r="I1177">
        <v>391000000</v>
      </c>
      <c r="J1177">
        <v>1053000000</v>
      </c>
      <c r="K1177">
        <v>4448000000</v>
      </c>
      <c r="L1177">
        <v>725000000</v>
      </c>
      <c r="M1177">
        <v>5173000000</v>
      </c>
      <c r="N1177">
        <v>10679000000</v>
      </c>
      <c r="O1177">
        <v>1673000000</v>
      </c>
      <c r="P1177">
        <v>174000000</v>
      </c>
      <c r="Q1177">
        <v>10817000000</v>
      </c>
      <c r="R1177">
        <v>9405000000</v>
      </c>
      <c r="S1177">
        <v>25430000000</v>
      </c>
      <c r="T1177">
        <v>0</v>
      </c>
      <c r="U1177">
        <v>1161000000</v>
      </c>
      <c r="V1177">
        <v>10519000000</v>
      </c>
      <c r="W1177">
        <v>135535125470</v>
      </c>
      <c r="X1177">
        <v>136696125470</v>
      </c>
      <c r="Y1177">
        <v>3.60806423759457</v>
      </c>
      <c r="Z1177">
        <v>105.1192264748784</v>
      </c>
      <c r="AA1177">
        <v>56.620307931034482</v>
      </c>
      <c r="AB1177">
        <v>128.8154175471698</v>
      </c>
      <c r="AC1177">
        <v>331.75735414322253</v>
      </c>
      <c r="AD1177">
        <v>123.18815334283001</v>
      </c>
      <c r="AE1177">
        <v>110.7748180470016</v>
      </c>
      <c r="AF1177">
        <v>109.8339752593193</v>
      </c>
      <c r="AG1177">
        <v>349.60645900255747</v>
      </c>
      <c r="AH1177">
        <v>346.63714953964188</v>
      </c>
      <c r="AI1177">
        <v>59.666575936272373</v>
      </c>
      <c r="AJ1177">
        <v>135.74590414101289</v>
      </c>
      <c r="AK1177">
        <v>59.159810331732871</v>
      </c>
      <c r="AL1177">
        <v>134.59297464746771</v>
      </c>
      <c r="AM1177">
        <v>3.8021841752892751</v>
      </c>
      <c r="AN1177">
        <v>3.769891117879395</v>
      </c>
    </row>
    <row r="1178" spans="1:40" x14ac:dyDescent="0.25">
      <c r="A1178" s="1" t="s">
        <v>356</v>
      </c>
      <c r="B1178">
        <v>131920300490</v>
      </c>
      <c r="C1178" t="s">
        <v>72</v>
      </c>
      <c r="D1178" t="s">
        <v>105</v>
      </c>
      <c r="E1178">
        <v>35952000000</v>
      </c>
      <c r="F1178">
        <v>1234000000</v>
      </c>
      <c r="G1178">
        <v>2291000000</v>
      </c>
      <c r="H1178">
        <v>1007000000</v>
      </c>
      <c r="I1178">
        <v>391000000</v>
      </c>
      <c r="J1178">
        <v>1053000000</v>
      </c>
      <c r="K1178">
        <v>4448000000</v>
      </c>
      <c r="L1178">
        <v>725000000</v>
      </c>
      <c r="M1178">
        <v>5173000000</v>
      </c>
      <c r="N1178">
        <v>10679000000</v>
      </c>
      <c r="O1178">
        <v>1673000000</v>
      </c>
      <c r="P1178">
        <v>174000000</v>
      </c>
      <c r="Q1178">
        <v>10817000000</v>
      </c>
      <c r="R1178">
        <v>9405000000</v>
      </c>
      <c r="S1178">
        <v>25430000000</v>
      </c>
      <c r="T1178">
        <v>0</v>
      </c>
      <c r="U1178">
        <v>1161000000</v>
      </c>
      <c r="V1178">
        <v>10519000000</v>
      </c>
      <c r="W1178">
        <v>137738300490</v>
      </c>
      <c r="X1178">
        <v>138899300490</v>
      </c>
      <c r="Y1178">
        <v>3.669345251724522</v>
      </c>
      <c r="Z1178">
        <v>106.90461952188009</v>
      </c>
      <c r="AA1178">
        <v>57.581973151462243</v>
      </c>
      <c r="AB1178">
        <v>131.0032775471698</v>
      </c>
      <c r="AC1178">
        <v>337.39207286445009</v>
      </c>
      <c r="AD1178">
        <v>125.2804373124406</v>
      </c>
      <c r="AE1178">
        <v>112.56021109400319</v>
      </c>
      <c r="AF1178">
        <v>111.61936830632089</v>
      </c>
      <c r="AG1178">
        <v>355.24117772378509</v>
      </c>
      <c r="AH1178">
        <v>352.27186826086961</v>
      </c>
      <c r="AI1178">
        <v>60.628241156700128</v>
      </c>
      <c r="AJ1178">
        <v>137.93376414101289</v>
      </c>
      <c r="AK1178">
        <v>60.121475552160618</v>
      </c>
      <c r="AL1178">
        <v>136.78083464746771</v>
      </c>
      <c r="AM1178">
        <v>3.8634651894192258</v>
      </c>
      <c r="AN1178">
        <v>3.8311721320093461</v>
      </c>
    </row>
    <row r="1179" spans="1:40" x14ac:dyDescent="0.25">
      <c r="A1179" s="1" t="s">
        <v>355</v>
      </c>
      <c r="B1179">
        <v>131359114400</v>
      </c>
      <c r="C1179" t="s">
        <v>72</v>
      </c>
      <c r="D1179" t="s">
        <v>105</v>
      </c>
      <c r="E1179">
        <v>35952000000</v>
      </c>
      <c r="F1179">
        <v>1234000000</v>
      </c>
      <c r="G1179">
        <v>2291000000</v>
      </c>
      <c r="H1179">
        <v>1007000000</v>
      </c>
      <c r="I1179">
        <v>391000000</v>
      </c>
      <c r="J1179">
        <v>1053000000</v>
      </c>
      <c r="K1179">
        <v>4448000000</v>
      </c>
      <c r="L1179">
        <v>725000000</v>
      </c>
      <c r="M1179">
        <v>5173000000</v>
      </c>
      <c r="N1179">
        <v>10679000000</v>
      </c>
      <c r="O1179">
        <v>1673000000</v>
      </c>
      <c r="P1179">
        <v>174000000</v>
      </c>
      <c r="Q1179">
        <v>10817000000</v>
      </c>
      <c r="R1179">
        <v>9405000000</v>
      </c>
      <c r="S1179">
        <v>25430000000</v>
      </c>
      <c r="T1179">
        <v>0</v>
      </c>
      <c r="U1179">
        <v>1161000000</v>
      </c>
      <c r="V1179">
        <v>10519000000</v>
      </c>
      <c r="W1179">
        <v>137177114400</v>
      </c>
      <c r="X1179">
        <v>138338114400</v>
      </c>
      <c r="Y1179">
        <v>3.6537359368046278</v>
      </c>
      <c r="Z1179">
        <v>106.4498495948136</v>
      </c>
      <c r="AA1179">
        <v>57.337020689655169</v>
      </c>
      <c r="AB1179">
        <v>130.44599245283021</v>
      </c>
      <c r="AC1179">
        <v>335.95681432225058</v>
      </c>
      <c r="AD1179">
        <v>124.7474970560304</v>
      </c>
      <c r="AE1179">
        <v>112.1054411669368</v>
      </c>
      <c r="AF1179">
        <v>111.1645983792545</v>
      </c>
      <c r="AG1179">
        <v>353.80591918158569</v>
      </c>
      <c r="AH1179">
        <v>350.8366097186701</v>
      </c>
      <c r="AI1179">
        <v>60.383288694893061</v>
      </c>
      <c r="AJ1179">
        <v>137.3764790466733</v>
      </c>
      <c r="AK1179">
        <v>59.876523090353558</v>
      </c>
      <c r="AL1179">
        <v>136.22354955312809</v>
      </c>
      <c r="AM1179">
        <v>3.847855874499333</v>
      </c>
      <c r="AN1179">
        <v>3.815562817089452</v>
      </c>
    </row>
    <row r="1180" spans="1:40" x14ac:dyDescent="0.25">
      <c r="A1180" s="1" t="s">
        <v>354</v>
      </c>
      <c r="B1180">
        <v>132294424550</v>
      </c>
      <c r="C1180" t="s">
        <v>72</v>
      </c>
      <c r="D1180" t="s">
        <v>105</v>
      </c>
      <c r="E1180">
        <v>35952000000</v>
      </c>
      <c r="F1180">
        <v>1234000000</v>
      </c>
      <c r="G1180">
        <v>2291000000</v>
      </c>
      <c r="H1180">
        <v>1007000000</v>
      </c>
      <c r="I1180">
        <v>391000000</v>
      </c>
      <c r="J1180">
        <v>1053000000</v>
      </c>
      <c r="K1180">
        <v>4448000000</v>
      </c>
      <c r="L1180">
        <v>725000000</v>
      </c>
      <c r="M1180">
        <v>5173000000</v>
      </c>
      <c r="N1180">
        <v>10679000000</v>
      </c>
      <c r="O1180">
        <v>1673000000</v>
      </c>
      <c r="P1180">
        <v>174000000</v>
      </c>
      <c r="Q1180">
        <v>10817000000</v>
      </c>
      <c r="R1180">
        <v>9405000000</v>
      </c>
      <c r="S1180">
        <v>25430000000</v>
      </c>
      <c r="T1180">
        <v>0</v>
      </c>
      <c r="U1180">
        <v>1161000000</v>
      </c>
      <c r="V1180">
        <v>10519000000</v>
      </c>
      <c r="W1180">
        <v>138112424550</v>
      </c>
      <c r="X1180">
        <v>139273424550</v>
      </c>
      <c r="Y1180">
        <v>3.6797514616711169</v>
      </c>
      <c r="Z1180">
        <v>107.20779947325769</v>
      </c>
      <c r="AA1180">
        <v>57.745274792666947</v>
      </c>
      <c r="AB1180">
        <v>131.3748009433962</v>
      </c>
      <c r="AC1180">
        <v>338.34891189258309</v>
      </c>
      <c r="AD1180">
        <v>125.6357308167141</v>
      </c>
      <c r="AE1180">
        <v>112.86339104538089</v>
      </c>
      <c r="AF1180">
        <v>111.92254825769849</v>
      </c>
      <c r="AG1180">
        <v>356.19801675191809</v>
      </c>
      <c r="AH1180">
        <v>353.22870728900261</v>
      </c>
      <c r="AI1180">
        <v>60.791542797904853</v>
      </c>
      <c r="AJ1180">
        <v>138.30528753723931</v>
      </c>
      <c r="AK1180">
        <v>60.284777193365343</v>
      </c>
      <c r="AL1180">
        <v>137.15235804369411</v>
      </c>
      <c r="AM1180">
        <v>3.8738713993658211</v>
      </c>
      <c r="AN1180">
        <v>3.8415783419559411</v>
      </c>
    </row>
    <row r="1181" spans="1:40" x14ac:dyDescent="0.25">
      <c r="A1181" s="1" t="s">
        <v>353</v>
      </c>
      <c r="B1181">
        <v>131192837040</v>
      </c>
      <c r="C1181" t="s">
        <v>72</v>
      </c>
      <c r="D1181" t="s">
        <v>105</v>
      </c>
      <c r="E1181">
        <v>35952000000</v>
      </c>
      <c r="F1181">
        <v>1234000000</v>
      </c>
      <c r="G1181">
        <v>2291000000</v>
      </c>
      <c r="H1181">
        <v>1007000000</v>
      </c>
      <c r="I1181">
        <v>391000000</v>
      </c>
      <c r="J1181">
        <v>1053000000</v>
      </c>
      <c r="K1181">
        <v>4448000000</v>
      </c>
      <c r="L1181">
        <v>725000000</v>
      </c>
      <c r="M1181">
        <v>5173000000</v>
      </c>
      <c r="N1181">
        <v>10679000000</v>
      </c>
      <c r="O1181">
        <v>1673000000</v>
      </c>
      <c r="P1181">
        <v>174000000</v>
      </c>
      <c r="Q1181">
        <v>10817000000</v>
      </c>
      <c r="R1181">
        <v>9405000000</v>
      </c>
      <c r="S1181">
        <v>25430000000</v>
      </c>
      <c r="T1181">
        <v>0</v>
      </c>
      <c r="U1181">
        <v>1161000000</v>
      </c>
      <c r="V1181">
        <v>10519000000</v>
      </c>
      <c r="W1181">
        <v>137010837040</v>
      </c>
      <c r="X1181">
        <v>138171837040</v>
      </c>
      <c r="Y1181">
        <v>3.649110954606142</v>
      </c>
      <c r="Z1181">
        <v>106.31510294975691</v>
      </c>
      <c r="AA1181">
        <v>57.264442182453067</v>
      </c>
      <c r="AB1181">
        <v>130.2808709433962</v>
      </c>
      <c r="AC1181">
        <v>335.53155253196928</v>
      </c>
      <c r="AD1181">
        <v>124.5895888319088</v>
      </c>
      <c r="AE1181">
        <v>111.97069452188011</v>
      </c>
      <c r="AF1181">
        <v>111.02985173419771</v>
      </c>
      <c r="AG1181">
        <v>353.38065739130428</v>
      </c>
      <c r="AH1181">
        <v>350.41134792838881</v>
      </c>
      <c r="AI1181">
        <v>60.310710187690972</v>
      </c>
      <c r="AJ1181">
        <v>137.21135753723931</v>
      </c>
      <c r="AK1181">
        <v>59.803944583151463</v>
      </c>
      <c r="AL1181">
        <v>136.05842804369411</v>
      </c>
      <c r="AM1181">
        <v>3.8432308923008449</v>
      </c>
      <c r="AN1181">
        <v>3.8109378348909662</v>
      </c>
    </row>
    <row r="1182" spans="1:40" x14ac:dyDescent="0.25">
      <c r="A1182" s="1" t="s">
        <v>352</v>
      </c>
      <c r="B1182">
        <v>134850938959</v>
      </c>
      <c r="C1182" t="s">
        <v>72</v>
      </c>
      <c r="D1182" t="s">
        <v>105</v>
      </c>
      <c r="E1182">
        <v>35952000000</v>
      </c>
      <c r="F1182">
        <v>1234000000</v>
      </c>
      <c r="G1182">
        <v>2291000000</v>
      </c>
      <c r="H1182">
        <v>1007000000</v>
      </c>
      <c r="I1182">
        <v>391000000</v>
      </c>
      <c r="J1182">
        <v>1053000000</v>
      </c>
      <c r="K1182">
        <v>4448000000</v>
      </c>
      <c r="L1182">
        <v>725000000</v>
      </c>
      <c r="M1182">
        <v>5173000000</v>
      </c>
      <c r="N1182">
        <v>10679000000</v>
      </c>
      <c r="O1182">
        <v>1673000000</v>
      </c>
      <c r="P1182">
        <v>174000000</v>
      </c>
      <c r="Q1182">
        <v>10817000000</v>
      </c>
      <c r="R1182">
        <v>9405000000</v>
      </c>
      <c r="S1182">
        <v>25430000000</v>
      </c>
      <c r="T1182">
        <v>0</v>
      </c>
      <c r="U1182">
        <v>1161000000</v>
      </c>
      <c r="V1182">
        <v>10519000000</v>
      </c>
      <c r="W1182">
        <v>140668938959</v>
      </c>
      <c r="X1182">
        <v>141829938959</v>
      </c>
      <c r="Y1182">
        <v>3.750860562945038</v>
      </c>
      <c r="Z1182">
        <v>109.2795291401945</v>
      </c>
      <c r="AA1182">
        <v>58.861169340462681</v>
      </c>
      <c r="AB1182">
        <v>133.91354414995041</v>
      </c>
      <c r="AC1182">
        <v>344.887311915601</v>
      </c>
      <c r="AD1182">
        <v>128.0635697616334</v>
      </c>
      <c r="AE1182">
        <v>114.9351207123177</v>
      </c>
      <c r="AF1182">
        <v>113.9942779246353</v>
      </c>
      <c r="AG1182">
        <v>362.73641677493612</v>
      </c>
      <c r="AH1182">
        <v>359.76710731202053</v>
      </c>
      <c r="AI1182">
        <v>61.907437345700558</v>
      </c>
      <c r="AJ1182">
        <v>140.84403074379341</v>
      </c>
      <c r="AK1182">
        <v>61.400671741161062</v>
      </c>
      <c r="AL1182">
        <v>139.69110125024829</v>
      </c>
      <c r="AM1182">
        <v>3.9449805006397418</v>
      </c>
      <c r="AN1182">
        <v>3.9126874432298622</v>
      </c>
    </row>
    <row r="1183" spans="1:40" x14ac:dyDescent="0.25">
      <c r="A1183" s="1" t="s">
        <v>351</v>
      </c>
      <c r="B1183">
        <v>135328986370</v>
      </c>
      <c r="C1183" t="s">
        <v>72</v>
      </c>
      <c r="D1183" t="s">
        <v>105</v>
      </c>
      <c r="E1183">
        <v>35952000000</v>
      </c>
      <c r="F1183">
        <v>1234000000</v>
      </c>
      <c r="G1183">
        <v>2291000000</v>
      </c>
      <c r="H1183">
        <v>1007000000</v>
      </c>
      <c r="I1183">
        <v>391000000</v>
      </c>
      <c r="J1183">
        <v>1053000000</v>
      </c>
      <c r="K1183">
        <v>4448000000</v>
      </c>
      <c r="L1183">
        <v>725000000</v>
      </c>
      <c r="M1183">
        <v>5173000000</v>
      </c>
      <c r="N1183">
        <v>10679000000</v>
      </c>
      <c r="O1183">
        <v>1673000000</v>
      </c>
      <c r="P1183">
        <v>174000000</v>
      </c>
      <c r="Q1183">
        <v>10817000000</v>
      </c>
      <c r="R1183">
        <v>9405000000</v>
      </c>
      <c r="S1183">
        <v>25430000000</v>
      </c>
      <c r="T1183">
        <v>0</v>
      </c>
      <c r="U1183">
        <v>1161000000</v>
      </c>
      <c r="V1183">
        <v>10519000000</v>
      </c>
      <c r="W1183">
        <v>141146986370</v>
      </c>
      <c r="X1183">
        <v>142307986370</v>
      </c>
      <c r="Y1183">
        <v>3.764157386793503</v>
      </c>
      <c r="Z1183">
        <v>109.666925745543</v>
      </c>
      <c r="AA1183">
        <v>59.069832549105193</v>
      </c>
      <c r="AB1183">
        <v>134.38826849056599</v>
      </c>
      <c r="AC1183">
        <v>346.10993956521742</v>
      </c>
      <c r="AD1183">
        <v>128.51755590693261</v>
      </c>
      <c r="AE1183">
        <v>115.3225173176661</v>
      </c>
      <c r="AF1183">
        <v>114.3816745299838</v>
      </c>
      <c r="AG1183">
        <v>363.95904442455242</v>
      </c>
      <c r="AH1183">
        <v>360.98973496163683</v>
      </c>
      <c r="AI1183">
        <v>62.116100554343078</v>
      </c>
      <c r="AJ1183">
        <v>141.3187550844091</v>
      </c>
      <c r="AK1183">
        <v>61.609334949803582</v>
      </c>
      <c r="AL1183">
        <v>140.16582559086399</v>
      </c>
      <c r="AM1183">
        <v>3.9582773244882059</v>
      </c>
      <c r="AN1183">
        <v>3.9259842670783272</v>
      </c>
    </row>
    <row r="1184" spans="1:40" x14ac:dyDescent="0.25">
      <c r="A1184" s="1" t="s">
        <v>350</v>
      </c>
      <c r="B1184">
        <v>134165044850</v>
      </c>
      <c r="C1184" t="s">
        <v>72</v>
      </c>
      <c r="D1184" t="s">
        <v>105</v>
      </c>
      <c r="E1184">
        <v>35952000000</v>
      </c>
      <c r="F1184">
        <v>1234000000</v>
      </c>
      <c r="G1184">
        <v>2291000000</v>
      </c>
      <c r="H1184">
        <v>1007000000</v>
      </c>
      <c r="I1184">
        <v>391000000</v>
      </c>
      <c r="J1184">
        <v>1053000000</v>
      </c>
      <c r="K1184">
        <v>4448000000</v>
      </c>
      <c r="L1184">
        <v>725000000</v>
      </c>
      <c r="M1184">
        <v>5173000000</v>
      </c>
      <c r="N1184">
        <v>10679000000</v>
      </c>
      <c r="O1184">
        <v>1673000000</v>
      </c>
      <c r="P1184">
        <v>174000000</v>
      </c>
      <c r="Q1184">
        <v>10817000000</v>
      </c>
      <c r="R1184">
        <v>9405000000</v>
      </c>
      <c r="S1184">
        <v>25430000000</v>
      </c>
      <c r="T1184">
        <v>0</v>
      </c>
      <c r="U1184">
        <v>1161000000</v>
      </c>
      <c r="V1184">
        <v>10519000000</v>
      </c>
      <c r="W1184">
        <v>139983044850</v>
      </c>
      <c r="X1184">
        <v>141144044850</v>
      </c>
      <c r="Y1184">
        <v>3.731782511404095</v>
      </c>
      <c r="Z1184">
        <v>108.7236992301459</v>
      </c>
      <c r="AA1184">
        <v>58.561782998690518</v>
      </c>
      <c r="AB1184">
        <v>133.23241792452831</v>
      </c>
      <c r="AC1184">
        <v>343.13310703324811</v>
      </c>
      <c r="AD1184">
        <v>127.41219833808169</v>
      </c>
      <c r="AE1184">
        <v>114.379290802269</v>
      </c>
      <c r="AF1184">
        <v>113.4384480145867</v>
      </c>
      <c r="AG1184">
        <v>360.98221189258311</v>
      </c>
      <c r="AH1184">
        <v>358.01290242966752</v>
      </c>
      <c r="AI1184">
        <v>61.608051003928423</v>
      </c>
      <c r="AJ1184">
        <v>140.16290451837139</v>
      </c>
      <c r="AK1184">
        <v>61.101285399388907</v>
      </c>
      <c r="AL1184">
        <v>139.00997502482619</v>
      </c>
      <c r="AM1184">
        <v>3.9259024490987979</v>
      </c>
      <c r="AN1184">
        <v>3.8936093916889192</v>
      </c>
    </row>
    <row r="1185" spans="1:40" x14ac:dyDescent="0.25">
      <c r="A1185" s="1" t="s">
        <v>349</v>
      </c>
      <c r="B1185">
        <v>133686997439</v>
      </c>
      <c r="C1185" t="s">
        <v>72</v>
      </c>
      <c r="D1185" t="s">
        <v>105</v>
      </c>
      <c r="E1185">
        <v>35952000000</v>
      </c>
      <c r="F1185">
        <v>1234000000</v>
      </c>
      <c r="G1185">
        <v>2291000000</v>
      </c>
      <c r="H1185">
        <v>1007000000</v>
      </c>
      <c r="I1185">
        <v>391000000</v>
      </c>
      <c r="J1185">
        <v>1053000000</v>
      </c>
      <c r="K1185">
        <v>4448000000</v>
      </c>
      <c r="L1185">
        <v>725000000</v>
      </c>
      <c r="M1185">
        <v>5173000000</v>
      </c>
      <c r="N1185">
        <v>10679000000</v>
      </c>
      <c r="O1185">
        <v>1673000000</v>
      </c>
      <c r="P1185">
        <v>174000000</v>
      </c>
      <c r="Q1185">
        <v>10817000000</v>
      </c>
      <c r="R1185">
        <v>9405000000</v>
      </c>
      <c r="S1185">
        <v>25430000000</v>
      </c>
      <c r="T1185">
        <v>0</v>
      </c>
      <c r="U1185">
        <v>1161000000</v>
      </c>
      <c r="V1185">
        <v>10519000000</v>
      </c>
      <c r="W1185">
        <v>139504997439</v>
      </c>
      <c r="X1185">
        <v>140665997439</v>
      </c>
      <c r="Y1185">
        <v>3.71848568755563</v>
      </c>
      <c r="Z1185">
        <v>108.3363026247974</v>
      </c>
      <c r="AA1185">
        <v>58.353119790048012</v>
      </c>
      <c r="AB1185">
        <v>132.75769358391261</v>
      </c>
      <c r="AC1185">
        <v>341.9104793836317</v>
      </c>
      <c r="AD1185">
        <v>126.9582121927825</v>
      </c>
      <c r="AE1185">
        <v>113.9918941969206</v>
      </c>
      <c r="AF1185">
        <v>113.0510514092383</v>
      </c>
      <c r="AG1185">
        <v>359.75958424296681</v>
      </c>
      <c r="AH1185">
        <v>356.79027478005122</v>
      </c>
      <c r="AI1185">
        <v>61.399387795285897</v>
      </c>
      <c r="AJ1185">
        <v>139.6881801777557</v>
      </c>
      <c r="AK1185">
        <v>60.892622190746401</v>
      </c>
      <c r="AL1185">
        <v>138.5352506842105</v>
      </c>
      <c r="AM1185">
        <v>3.9126056252503338</v>
      </c>
      <c r="AN1185">
        <v>3.8803125678404542</v>
      </c>
    </row>
    <row r="1186" spans="1:40" x14ac:dyDescent="0.25">
      <c r="A1186" s="1" t="s">
        <v>348</v>
      </c>
      <c r="B1186">
        <v>132523055920</v>
      </c>
      <c r="C1186" t="s">
        <v>72</v>
      </c>
      <c r="D1186" t="s">
        <v>105</v>
      </c>
      <c r="E1186">
        <v>35952000000</v>
      </c>
      <c r="F1186">
        <v>1234000000</v>
      </c>
      <c r="G1186">
        <v>2291000000</v>
      </c>
      <c r="H1186">
        <v>1007000000</v>
      </c>
      <c r="I1186">
        <v>391000000</v>
      </c>
      <c r="J1186">
        <v>1053000000</v>
      </c>
      <c r="K1186">
        <v>4448000000</v>
      </c>
      <c r="L1186">
        <v>725000000</v>
      </c>
      <c r="M1186">
        <v>5173000000</v>
      </c>
      <c r="N1186">
        <v>10679000000</v>
      </c>
      <c r="O1186">
        <v>1673000000</v>
      </c>
      <c r="P1186">
        <v>174000000</v>
      </c>
      <c r="Q1186">
        <v>10817000000</v>
      </c>
      <c r="R1186">
        <v>9405000000</v>
      </c>
      <c r="S1186">
        <v>25430000000</v>
      </c>
      <c r="T1186">
        <v>0</v>
      </c>
      <c r="U1186">
        <v>1161000000</v>
      </c>
      <c r="V1186">
        <v>10519000000</v>
      </c>
      <c r="W1186">
        <v>138341055920</v>
      </c>
      <c r="X1186">
        <v>139502055920</v>
      </c>
      <c r="Y1186">
        <v>3.6861108121940371</v>
      </c>
      <c r="Z1186">
        <v>107.3930761102107</v>
      </c>
      <c r="AA1186">
        <v>57.845070240069838</v>
      </c>
      <c r="AB1186">
        <v>131.6018430188679</v>
      </c>
      <c r="AC1186">
        <v>338.93364685421989</v>
      </c>
      <c r="AD1186">
        <v>125.8528546248813</v>
      </c>
      <c r="AE1186">
        <v>113.0486676823339</v>
      </c>
      <c r="AF1186">
        <v>112.1078248946515</v>
      </c>
      <c r="AG1186">
        <v>356.782751713555</v>
      </c>
      <c r="AH1186">
        <v>353.81344225063941</v>
      </c>
      <c r="AI1186">
        <v>60.891338245307729</v>
      </c>
      <c r="AJ1186">
        <v>138.53232961271101</v>
      </c>
      <c r="AK1186">
        <v>60.384572640768233</v>
      </c>
      <c r="AL1186">
        <v>137.37940011916581</v>
      </c>
      <c r="AM1186">
        <v>3.8802307498887409</v>
      </c>
      <c r="AN1186">
        <v>3.8479376924788609</v>
      </c>
    </row>
    <row r="1187" spans="1:40" x14ac:dyDescent="0.25">
      <c r="A1187" s="1" t="s">
        <v>347</v>
      </c>
      <c r="B1187">
        <v>137178822000</v>
      </c>
      <c r="C1187" t="s">
        <v>72</v>
      </c>
      <c r="D1187" t="s">
        <v>105</v>
      </c>
      <c r="E1187">
        <v>35952000000</v>
      </c>
      <c r="F1187">
        <v>1234000000</v>
      </c>
      <c r="G1187">
        <v>2291000000</v>
      </c>
      <c r="H1187">
        <v>1007000000</v>
      </c>
      <c r="I1187">
        <v>391000000</v>
      </c>
      <c r="J1187">
        <v>1053000000</v>
      </c>
      <c r="K1187">
        <v>4448000000</v>
      </c>
      <c r="L1187">
        <v>725000000</v>
      </c>
      <c r="M1187">
        <v>5173000000</v>
      </c>
      <c r="N1187">
        <v>10679000000</v>
      </c>
      <c r="O1187">
        <v>1673000000</v>
      </c>
      <c r="P1187">
        <v>174000000</v>
      </c>
      <c r="Q1187">
        <v>10817000000</v>
      </c>
      <c r="R1187">
        <v>9405000000</v>
      </c>
      <c r="S1187">
        <v>25430000000</v>
      </c>
      <c r="T1187">
        <v>0</v>
      </c>
      <c r="U1187">
        <v>1161000000</v>
      </c>
      <c r="V1187">
        <v>10519000000</v>
      </c>
      <c r="W1187">
        <v>142996822000</v>
      </c>
      <c r="X1187">
        <v>144157822000</v>
      </c>
      <c r="Y1187">
        <v>3.815610313751669</v>
      </c>
      <c r="Z1187">
        <v>111.165982171799</v>
      </c>
      <c r="AA1187">
        <v>59.877268441728503</v>
      </c>
      <c r="AB1187">
        <v>136.22524528301889</v>
      </c>
      <c r="AC1187">
        <v>350.84097698209717</v>
      </c>
      <c r="AD1187">
        <v>130.2742849002849</v>
      </c>
      <c r="AE1187">
        <v>116.8215737439222</v>
      </c>
      <c r="AF1187">
        <v>115.8807309562399</v>
      </c>
      <c r="AG1187">
        <v>368.69008184143217</v>
      </c>
      <c r="AH1187">
        <v>365.72077237851659</v>
      </c>
      <c r="AI1187">
        <v>62.923536446966388</v>
      </c>
      <c r="AJ1187">
        <v>143.15573187686201</v>
      </c>
      <c r="AK1187">
        <v>62.416770842426892</v>
      </c>
      <c r="AL1187">
        <v>142.0028023833168</v>
      </c>
      <c r="AM1187">
        <v>4.0097302514463733</v>
      </c>
      <c r="AN1187">
        <v>3.9774371940364932</v>
      </c>
    </row>
    <row r="1188" spans="1:40" x14ac:dyDescent="0.25">
      <c r="A1188" s="1" t="s">
        <v>346</v>
      </c>
      <c r="B1188">
        <v>136181157839</v>
      </c>
      <c r="C1188" t="s">
        <v>72</v>
      </c>
      <c r="D1188" t="s">
        <v>105</v>
      </c>
      <c r="E1188">
        <v>35952000000</v>
      </c>
      <c r="F1188">
        <v>1234000000</v>
      </c>
      <c r="G1188">
        <v>2291000000</v>
      </c>
      <c r="H1188">
        <v>1007000000</v>
      </c>
      <c r="I1188">
        <v>391000000</v>
      </c>
      <c r="J1188">
        <v>1053000000</v>
      </c>
      <c r="K1188">
        <v>4448000000</v>
      </c>
      <c r="L1188">
        <v>725000000</v>
      </c>
      <c r="M1188">
        <v>5173000000</v>
      </c>
      <c r="N1188">
        <v>10679000000</v>
      </c>
      <c r="O1188">
        <v>1673000000</v>
      </c>
      <c r="P1188">
        <v>174000000</v>
      </c>
      <c r="Q1188">
        <v>10817000000</v>
      </c>
      <c r="R1188">
        <v>9405000000</v>
      </c>
      <c r="S1188">
        <v>25430000000</v>
      </c>
      <c r="T1188">
        <v>0</v>
      </c>
      <c r="U1188">
        <v>1161000000</v>
      </c>
      <c r="V1188">
        <v>10519000000</v>
      </c>
      <c r="W1188">
        <v>141999157839</v>
      </c>
      <c r="X1188">
        <v>143160157839</v>
      </c>
      <c r="Y1188">
        <v>3.7878604205329331</v>
      </c>
      <c r="Z1188">
        <v>110.35750230064831</v>
      </c>
      <c r="AA1188">
        <v>59.441797398079437</v>
      </c>
      <c r="AB1188">
        <v>135.23451622542211</v>
      </c>
      <c r="AC1188">
        <v>348.28940623785172</v>
      </c>
      <c r="AD1188">
        <v>129.32683555460591</v>
      </c>
      <c r="AE1188">
        <v>116.01309387277151</v>
      </c>
      <c r="AF1188">
        <v>115.07225108508911</v>
      </c>
      <c r="AG1188">
        <v>366.13851109718672</v>
      </c>
      <c r="AH1188">
        <v>363.16920163427108</v>
      </c>
      <c r="AI1188">
        <v>62.488065403317329</v>
      </c>
      <c r="AJ1188">
        <v>142.16500281926511</v>
      </c>
      <c r="AK1188">
        <v>61.981299798777833</v>
      </c>
      <c r="AL1188">
        <v>141.01207332572</v>
      </c>
      <c r="AM1188">
        <v>3.981980358227637</v>
      </c>
      <c r="AN1188">
        <v>3.9496873008177569</v>
      </c>
    </row>
    <row r="1189" spans="1:40" x14ac:dyDescent="0.25">
      <c r="A1189" s="1" t="s">
        <v>345</v>
      </c>
      <c r="B1189">
        <v>139215719660</v>
      </c>
      <c r="C1189" t="s">
        <v>72</v>
      </c>
      <c r="D1189" t="s">
        <v>105</v>
      </c>
      <c r="E1189">
        <v>35952000000</v>
      </c>
      <c r="F1189">
        <v>1234000000</v>
      </c>
      <c r="G1189">
        <v>2291000000</v>
      </c>
      <c r="H1189">
        <v>1007000000</v>
      </c>
      <c r="I1189">
        <v>391000000</v>
      </c>
      <c r="J1189">
        <v>1053000000</v>
      </c>
      <c r="K1189">
        <v>4448000000</v>
      </c>
      <c r="L1189">
        <v>725000000</v>
      </c>
      <c r="M1189">
        <v>5173000000</v>
      </c>
      <c r="N1189">
        <v>10679000000</v>
      </c>
      <c r="O1189">
        <v>1673000000</v>
      </c>
      <c r="P1189">
        <v>174000000</v>
      </c>
      <c r="Q1189">
        <v>10817000000</v>
      </c>
      <c r="R1189">
        <v>9405000000</v>
      </c>
      <c r="S1189">
        <v>25430000000</v>
      </c>
      <c r="T1189">
        <v>0</v>
      </c>
      <c r="U1189">
        <v>1161000000</v>
      </c>
      <c r="V1189">
        <v>10519000000</v>
      </c>
      <c r="W1189">
        <v>145033719660</v>
      </c>
      <c r="X1189">
        <v>146194719660</v>
      </c>
      <c r="Y1189">
        <v>3.872266345683133</v>
      </c>
      <c r="Z1189">
        <v>112.8166285737439</v>
      </c>
      <c r="AA1189">
        <v>60.766355154954169</v>
      </c>
      <c r="AB1189">
        <v>138.24798377358491</v>
      </c>
      <c r="AC1189">
        <v>356.05043391304349</v>
      </c>
      <c r="AD1189">
        <v>132.20866064577399</v>
      </c>
      <c r="AE1189">
        <v>118.4722201458671</v>
      </c>
      <c r="AF1189">
        <v>117.5313773581848</v>
      </c>
      <c r="AG1189">
        <v>373.89953877237849</v>
      </c>
      <c r="AH1189">
        <v>370.9302293094629</v>
      </c>
      <c r="AI1189">
        <v>63.812623160192047</v>
      </c>
      <c r="AJ1189">
        <v>145.17847036742799</v>
      </c>
      <c r="AK1189">
        <v>63.305857555652551</v>
      </c>
      <c r="AL1189">
        <v>144.02554087388279</v>
      </c>
      <c r="AM1189">
        <v>4.0663862833778373</v>
      </c>
      <c r="AN1189">
        <v>4.0340932259679576</v>
      </c>
    </row>
    <row r="1190" spans="1:40" x14ac:dyDescent="0.25">
      <c r="A1190" s="1" t="s">
        <v>344</v>
      </c>
      <c r="B1190">
        <v>138924734280</v>
      </c>
      <c r="C1190" t="s">
        <v>72</v>
      </c>
      <c r="D1190" t="s">
        <v>105</v>
      </c>
      <c r="E1190">
        <v>35952000000</v>
      </c>
      <c r="F1190">
        <v>1234000000</v>
      </c>
      <c r="G1190">
        <v>2291000000</v>
      </c>
      <c r="H1190">
        <v>1007000000</v>
      </c>
      <c r="I1190">
        <v>391000000</v>
      </c>
      <c r="J1190">
        <v>1053000000</v>
      </c>
      <c r="K1190">
        <v>4448000000</v>
      </c>
      <c r="L1190">
        <v>725000000</v>
      </c>
      <c r="M1190">
        <v>5173000000</v>
      </c>
      <c r="N1190">
        <v>10679000000</v>
      </c>
      <c r="O1190">
        <v>1673000000</v>
      </c>
      <c r="P1190">
        <v>174000000</v>
      </c>
      <c r="Q1190">
        <v>10817000000</v>
      </c>
      <c r="R1190">
        <v>9405000000</v>
      </c>
      <c r="S1190">
        <v>25430000000</v>
      </c>
      <c r="T1190">
        <v>0</v>
      </c>
      <c r="U1190">
        <v>1161000000</v>
      </c>
      <c r="V1190">
        <v>10519000000</v>
      </c>
      <c r="W1190">
        <v>144742734280</v>
      </c>
      <c r="X1190">
        <v>145903734280</v>
      </c>
      <c r="Y1190">
        <v>3.864172626835781</v>
      </c>
      <c r="Z1190">
        <v>112.58082194489469</v>
      </c>
      <c r="AA1190">
        <v>60.639342767350499</v>
      </c>
      <c r="AB1190">
        <v>137.95902113207549</v>
      </c>
      <c r="AC1190">
        <v>355.30622578005108</v>
      </c>
      <c r="AD1190">
        <v>131.93232125356121</v>
      </c>
      <c r="AE1190">
        <v>118.23641351701779</v>
      </c>
      <c r="AF1190">
        <v>117.29557072933549</v>
      </c>
      <c r="AG1190">
        <v>373.15533063938619</v>
      </c>
      <c r="AH1190">
        <v>370.1860211764706</v>
      </c>
      <c r="AI1190">
        <v>63.68561077258839</v>
      </c>
      <c r="AJ1190">
        <v>144.88950772591861</v>
      </c>
      <c r="AK1190">
        <v>63.178845168048888</v>
      </c>
      <c r="AL1190">
        <v>143.7365782323734</v>
      </c>
      <c r="AM1190">
        <v>4.0582925645304853</v>
      </c>
      <c r="AN1190">
        <v>4.0259995071206056</v>
      </c>
    </row>
    <row r="1191" spans="1:40" x14ac:dyDescent="0.25">
      <c r="A1191" s="1" t="s">
        <v>343</v>
      </c>
      <c r="B1191">
        <v>135661541089</v>
      </c>
      <c r="C1191" t="s">
        <v>72</v>
      </c>
      <c r="D1191" t="s">
        <v>105</v>
      </c>
      <c r="E1191">
        <v>35952000000</v>
      </c>
      <c r="F1191">
        <v>1234000000</v>
      </c>
      <c r="G1191">
        <v>2291000000</v>
      </c>
      <c r="H1191">
        <v>1007000000</v>
      </c>
      <c r="I1191">
        <v>391000000</v>
      </c>
      <c r="J1191">
        <v>1053000000</v>
      </c>
      <c r="K1191">
        <v>4448000000</v>
      </c>
      <c r="L1191">
        <v>725000000</v>
      </c>
      <c r="M1191">
        <v>5173000000</v>
      </c>
      <c r="N1191">
        <v>10679000000</v>
      </c>
      <c r="O1191">
        <v>1673000000</v>
      </c>
      <c r="P1191">
        <v>174000000</v>
      </c>
      <c r="Q1191">
        <v>10817000000</v>
      </c>
      <c r="R1191">
        <v>9405000000</v>
      </c>
      <c r="S1191">
        <v>25430000000</v>
      </c>
      <c r="T1191">
        <v>0</v>
      </c>
      <c r="U1191">
        <v>1161000000</v>
      </c>
      <c r="V1191">
        <v>10519000000</v>
      </c>
      <c r="W1191">
        <v>141479541089</v>
      </c>
      <c r="X1191">
        <v>142640541089</v>
      </c>
      <c r="Y1191">
        <v>3.7734073511626609</v>
      </c>
      <c r="Z1191">
        <v>109.936419034846</v>
      </c>
      <c r="AA1191">
        <v>59.214989563072891</v>
      </c>
      <c r="AB1191">
        <v>134.71851150844091</v>
      </c>
      <c r="AC1191">
        <v>346.96046314322251</v>
      </c>
      <c r="AD1191">
        <v>128.83337235422599</v>
      </c>
      <c r="AE1191">
        <v>115.5920106069692</v>
      </c>
      <c r="AF1191">
        <v>114.6511678192869</v>
      </c>
      <c r="AG1191">
        <v>364.80956800255763</v>
      </c>
      <c r="AH1191">
        <v>361.84025853964192</v>
      </c>
      <c r="AI1191">
        <v>62.261257568310782</v>
      </c>
      <c r="AJ1191">
        <v>141.648998102284</v>
      </c>
      <c r="AK1191">
        <v>61.754491963771279</v>
      </c>
      <c r="AL1191">
        <v>140.4960686087388</v>
      </c>
      <c r="AM1191">
        <v>3.9675272888573652</v>
      </c>
      <c r="AN1191">
        <v>3.935234231447486</v>
      </c>
    </row>
    <row r="1192" spans="1:40" x14ac:dyDescent="0.25">
      <c r="A1192" s="1" t="s">
        <v>342</v>
      </c>
      <c r="B1192">
        <v>138696102910</v>
      </c>
      <c r="C1192" t="s">
        <v>72</v>
      </c>
      <c r="D1192" t="s">
        <v>105</v>
      </c>
      <c r="E1192">
        <v>35952000000</v>
      </c>
      <c r="F1192">
        <v>1234000000</v>
      </c>
      <c r="G1192">
        <v>2291000000</v>
      </c>
      <c r="H1192">
        <v>1007000000</v>
      </c>
      <c r="I1192">
        <v>391000000</v>
      </c>
      <c r="J1192">
        <v>1053000000</v>
      </c>
      <c r="K1192">
        <v>4448000000</v>
      </c>
      <c r="L1192">
        <v>725000000</v>
      </c>
      <c r="M1192">
        <v>5173000000</v>
      </c>
      <c r="N1192">
        <v>10679000000</v>
      </c>
      <c r="O1192">
        <v>1673000000</v>
      </c>
      <c r="P1192">
        <v>174000000</v>
      </c>
      <c r="Q1192">
        <v>10817000000</v>
      </c>
      <c r="R1192">
        <v>9405000000</v>
      </c>
      <c r="S1192">
        <v>25430000000</v>
      </c>
      <c r="T1192">
        <v>0</v>
      </c>
      <c r="U1192">
        <v>1161000000</v>
      </c>
      <c r="V1192">
        <v>10519000000</v>
      </c>
      <c r="W1192">
        <v>144514102910</v>
      </c>
      <c r="X1192">
        <v>145675102910</v>
      </c>
      <c r="Y1192">
        <v>3.8578132763128621</v>
      </c>
      <c r="Z1192">
        <v>112.3955453079417</v>
      </c>
      <c r="AA1192">
        <v>60.539547319947623</v>
      </c>
      <c r="AB1192">
        <v>137.73197905660379</v>
      </c>
      <c r="AC1192">
        <v>354.72149081841428</v>
      </c>
      <c r="AD1192">
        <v>131.7151974453941</v>
      </c>
      <c r="AE1192">
        <v>118.0511368800648</v>
      </c>
      <c r="AF1192">
        <v>117.1102940923825</v>
      </c>
      <c r="AG1192">
        <v>372.57059567774928</v>
      </c>
      <c r="AH1192">
        <v>369.60128621483369</v>
      </c>
      <c r="AI1192">
        <v>63.585815325185507</v>
      </c>
      <c r="AJ1192">
        <v>144.6624656504469</v>
      </c>
      <c r="AK1192">
        <v>63.079049720645997</v>
      </c>
      <c r="AL1192">
        <v>143.5095361569017</v>
      </c>
      <c r="AM1192">
        <v>4.0519332140075646</v>
      </c>
      <c r="AN1192">
        <v>4.0196401565976858</v>
      </c>
    </row>
    <row r="1193" spans="1:40" x14ac:dyDescent="0.25">
      <c r="A1193" s="1" t="s">
        <v>341</v>
      </c>
      <c r="B1193">
        <v>141481248690</v>
      </c>
      <c r="C1193" t="s">
        <v>72</v>
      </c>
      <c r="D1193" t="s">
        <v>105</v>
      </c>
      <c r="E1193">
        <v>35952000000</v>
      </c>
      <c r="F1193">
        <v>1234000000</v>
      </c>
      <c r="G1193">
        <v>2291000000</v>
      </c>
      <c r="H1193">
        <v>1007000000</v>
      </c>
      <c r="I1193">
        <v>391000000</v>
      </c>
      <c r="J1193">
        <v>1053000000</v>
      </c>
      <c r="K1193">
        <v>4448000000</v>
      </c>
      <c r="L1193">
        <v>725000000</v>
      </c>
      <c r="M1193">
        <v>5173000000</v>
      </c>
      <c r="N1193">
        <v>10679000000</v>
      </c>
      <c r="O1193">
        <v>1673000000</v>
      </c>
      <c r="P1193">
        <v>174000000</v>
      </c>
      <c r="Q1193">
        <v>10817000000</v>
      </c>
      <c r="R1193">
        <v>9405000000</v>
      </c>
      <c r="S1193">
        <v>25430000000</v>
      </c>
      <c r="T1193">
        <v>0</v>
      </c>
      <c r="U1193">
        <v>1161000000</v>
      </c>
      <c r="V1193">
        <v>10519000000</v>
      </c>
      <c r="W1193">
        <v>147299248690</v>
      </c>
      <c r="X1193">
        <v>148460248690</v>
      </c>
      <c r="Y1193">
        <v>3.9352817281375172</v>
      </c>
      <c r="Z1193">
        <v>114.6525516126418</v>
      </c>
      <c r="AA1193">
        <v>61.755237315582718</v>
      </c>
      <c r="AB1193">
        <v>140.49776433962259</v>
      </c>
      <c r="AC1193">
        <v>361.84462580562661</v>
      </c>
      <c r="AD1193">
        <v>134.3601601994302</v>
      </c>
      <c r="AE1193">
        <v>120.308143184765</v>
      </c>
      <c r="AF1193">
        <v>119.3673003970827</v>
      </c>
      <c r="AG1193">
        <v>379.69373066496172</v>
      </c>
      <c r="AH1193">
        <v>376.72442120204602</v>
      </c>
      <c r="AI1193">
        <v>64.801505320820596</v>
      </c>
      <c r="AJ1193">
        <v>147.4282509334657</v>
      </c>
      <c r="AK1193">
        <v>64.2947397162811</v>
      </c>
      <c r="AL1193">
        <v>146.27532143992059</v>
      </c>
      <c r="AM1193">
        <v>4.129401665832221</v>
      </c>
      <c r="AN1193">
        <v>4.0971086084223396</v>
      </c>
    </row>
    <row r="1194" spans="1:40" x14ac:dyDescent="0.25">
      <c r="A1194" s="1" t="s">
        <v>340</v>
      </c>
      <c r="B1194">
        <v>143393438330</v>
      </c>
      <c r="C1194" t="s">
        <v>72</v>
      </c>
      <c r="D1194" t="s">
        <v>105</v>
      </c>
      <c r="E1194">
        <v>35952000000</v>
      </c>
      <c r="F1194">
        <v>1234000000</v>
      </c>
      <c r="G1194">
        <v>2291000000</v>
      </c>
      <c r="H1194">
        <v>1007000000</v>
      </c>
      <c r="I1194">
        <v>391000000</v>
      </c>
      <c r="J1194">
        <v>1053000000</v>
      </c>
      <c r="K1194">
        <v>4448000000</v>
      </c>
      <c r="L1194">
        <v>725000000</v>
      </c>
      <c r="M1194">
        <v>5173000000</v>
      </c>
      <c r="N1194">
        <v>10679000000</v>
      </c>
      <c r="O1194">
        <v>1673000000</v>
      </c>
      <c r="P1194">
        <v>174000000</v>
      </c>
      <c r="Q1194">
        <v>10817000000</v>
      </c>
      <c r="R1194">
        <v>9405000000</v>
      </c>
      <c r="S1194">
        <v>25430000000</v>
      </c>
      <c r="T1194">
        <v>0</v>
      </c>
      <c r="U1194">
        <v>1161000000</v>
      </c>
      <c r="V1194">
        <v>10519000000</v>
      </c>
      <c r="W1194">
        <v>149211438330</v>
      </c>
      <c r="X1194">
        <v>150372438330</v>
      </c>
      <c r="Y1194">
        <v>3.9884690234201159</v>
      </c>
      <c r="Z1194">
        <v>116.2021380307942</v>
      </c>
      <c r="AA1194">
        <v>62.589890148406809</v>
      </c>
      <c r="AB1194">
        <v>142.39666169811321</v>
      </c>
      <c r="AC1194">
        <v>366.73513639386192</v>
      </c>
      <c r="AD1194">
        <v>136.17610477682811</v>
      </c>
      <c r="AE1194">
        <v>121.8577296029173</v>
      </c>
      <c r="AF1194">
        <v>120.916886815235</v>
      </c>
      <c r="AG1194">
        <v>384.58424125319692</v>
      </c>
      <c r="AH1194">
        <v>381.61493179028128</v>
      </c>
      <c r="AI1194">
        <v>65.636158153644701</v>
      </c>
      <c r="AJ1194">
        <v>149.32714829195629</v>
      </c>
      <c r="AK1194">
        <v>65.129392549105191</v>
      </c>
      <c r="AL1194">
        <v>148.17421879841109</v>
      </c>
      <c r="AM1194">
        <v>4.1825889611148197</v>
      </c>
      <c r="AN1194">
        <v>4.1502959037049401</v>
      </c>
    </row>
    <row r="1195" spans="1:40" x14ac:dyDescent="0.25">
      <c r="A1195" s="1" t="s">
        <v>339</v>
      </c>
      <c r="B1195">
        <v>146469569490</v>
      </c>
      <c r="C1195" t="s">
        <v>72</v>
      </c>
      <c r="D1195" t="s">
        <v>105</v>
      </c>
      <c r="E1195">
        <v>35952000000</v>
      </c>
      <c r="F1195">
        <v>1234000000</v>
      </c>
      <c r="G1195">
        <v>2291000000</v>
      </c>
      <c r="H1195">
        <v>1007000000</v>
      </c>
      <c r="I1195">
        <v>391000000</v>
      </c>
      <c r="J1195">
        <v>1053000000</v>
      </c>
      <c r="K1195">
        <v>4448000000</v>
      </c>
      <c r="L1195">
        <v>725000000</v>
      </c>
      <c r="M1195">
        <v>5173000000</v>
      </c>
      <c r="N1195">
        <v>10679000000</v>
      </c>
      <c r="O1195">
        <v>1673000000</v>
      </c>
      <c r="P1195">
        <v>174000000</v>
      </c>
      <c r="Q1195">
        <v>10817000000</v>
      </c>
      <c r="R1195">
        <v>9405000000</v>
      </c>
      <c r="S1195">
        <v>25430000000</v>
      </c>
      <c r="T1195">
        <v>0</v>
      </c>
      <c r="U1195">
        <v>1161000000</v>
      </c>
      <c r="V1195">
        <v>10519000000</v>
      </c>
      <c r="W1195">
        <v>152287569490</v>
      </c>
      <c r="X1195">
        <v>153448569490</v>
      </c>
      <c r="Y1195">
        <v>4.0740311940921234</v>
      </c>
      <c r="Z1195">
        <v>118.6949509643436</v>
      </c>
      <c r="AA1195">
        <v>63.932592531645568</v>
      </c>
      <c r="AB1195">
        <v>145.45140962264151</v>
      </c>
      <c r="AC1195">
        <v>374.60247951406649</v>
      </c>
      <c r="AD1195">
        <v>139.0974069230769</v>
      </c>
      <c r="AE1195">
        <v>124.3505425364668</v>
      </c>
      <c r="AF1195">
        <v>123.4096997487844</v>
      </c>
      <c r="AG1195">
        <v>392.45158437340149</v>
      </c>
      <c r="AH1195">
        <v>389.48227491048601</v>
      </c>
      <c r="AI1195">
        <v>66.97886053688346</v>
      </c>
      <c r="AJ1195">
        <v>152.38189621648459</v>
      </c>
      <c r="AK1195">
        <v>66.47209493234395</v>
      </c>
      <c r="AL1195">
        <v>151.22896672293939</v>
      </c>
      <c r="AM1195">
        <v>4.2681511317868273</v>
      </c>
      <c r="AN1195">
        <v>4.2358580743769467</v>
      </c>
    </row>
    <row r="1196" spans="1:40" x14ac:dyDescent="0.25">
      <c r="A1196" s="1" t="s">
        <v>117</v>
      </c>
      <c r="B1196">
        <v>146843693550</v>
      </c>
      <c r="C1196" t="s">
        <v>71</v>
      </c>
      <c r="D1196" t="s">
        <v>105</v>
      </c>
      <c r="E1196">
        <v>37281000000</v>
      </c>
      <c r="F1196">
        <v>1933000000</v>
      </c>
      <c r="G1196">
        <v>3362000000</v>
      </c>
      <c r="H1196">
        <v>1710000000</v>
      </c>
      <c r="I1196">
        <v>1110000000</v>
      </c>
      <c r="J1196">
        <v>1887000000</v>
      </c>
      <c r="K1196">
        <v>5485000000</v>
      </c>
      <c r="L1196">
        <v>727000000</v>
      </c>
      <c r="M1196">
        <v>6212000000</v>
      </c>
      <c r="N1196">
        <v>11297000000</v>
      </c>
      <c r="O1196">
        <v>964000000</v>
      </c>
      <c r="P1196">
        <v>499000000</v>
      </c>
      <c r="Q1196">
        <v>9459000000</v>
      </c>
      <c r="R1196">
        <v>9454000000</v>
      </c>
      <c r="S1196">
        <v>26017000000</v>
      </c>
      <c r="T1196">
        <v>0</v>
      </c>
      <c r="U1196">
        <v>1433000000</v>
      </c>
      <c r="V1196">
        <v>12682000000</v>
      </c>
      <c r="W1196">
        <v>150589693550</v>
      </c>
      <c r="X1196">
        <v>152022693550</v>
      </c>
      <c r="Y1196">
        <v>3.9388346221936108</v>
      </c>
      <c r="Z1196">
        <v>75.966732307294365</v>
      </c>
      <c r="AA1196">
        <v>43.677481722189171</v>
      </c>
      <c r="AB1196">
        <v>85.873504999999994</v>
      </c>
      <c r="AC1196">
        <v>132.29161581081081</v>
      </c>
      <c r="AD1196">
        <v>77.818597535771062</v>
      </c>
      <c r="AE1196">
        <v>78.645987351267465</v>
      </c>
      <c r="AF1196">
        <v>77.904652638385926</v>
      </c>
      <c r="AG1196">
        <v>136.95738157657661</v>
      </c>
      <c r="AH1196">
        <v>135.66639058558559</v>
      </c>
      <c r="AI1196">
        <v>45.217933834027363</v>
      </c>
      <c r="AJ1196">
        <v>88.902159970760238</v>
      </c>
      <c r="AK1196">
        <v>44.791699449732299</v>
      </c>
      <c r="AL1196">
        <v>88.064148274853807</v>
      </c>
      <c r="AM1196">
        <v>4.0777525696735601</v>
      </c>
      <c r="AN1196">
        <v>4.0393147595289829</v>
      </c>
    </row>
    <row r="1197" spans="1:40" x14ac:dyDescent="0.25">
      <c r="A1197" s="1" t="s">
        <v>338</v>
      </c>
      <c r="B1197">
        <v>148839021870</v>
      </c>
      <c r="C1197" t="s">
        <v>71</v>
      </c>
      <c r="D1197" t="s">
        <v>105</v>
      </c>
      <c r="E1197">
        <v>37281000000</v>
      </c>
      <c r="F1197">
        <v>1933000000</v>
      </c>
      <c r="G1197">
        <v>3362000000</v>
      </c>
      <c r="H1197">
        <v>1710000000</v>
      </c>
      <c r="I1197">
        <v>1110000000</v>
      </c>
      <c r="J1197">
        <v>1887000000</v>
      </c>
      <c r="K1197">
        <v>5485000000</v>
      </c>
      <c r="L1197">
        <v>727000000</v>
      </c>
      <c r="M1197">
        <v>6212000000</v>
      </c>
      <c r="N1197">
        <v>11297000000</v>
      </c>
      <c r="O1197">
        <v>964000000</v>
      </c>
      <c r="P1197">
        <v>499000000</v>
      </c>
      <c r="Q1197">
        <v>9459000000</v>
      </c>
      <c r="R1197">
        <v>9454000000</v>
      </c>
      <c r="S1197">
        <v>26017000000</v>
      </c>
      <c r="T1197">
        <v>0</v>
      </c>
      <c r="U1197">
        <v>1433000000</v>
      </c>
      <c r="V1197">
        <v>12682000000</v>
      </c>
      <c r="W1197">
        <v>152585021870</v>
      </c>
      <c r="X1197">
        <v>154018021870</v>
      </c>
      <c r="Y1197">
        <v>3.9923559419007</v>
      </c>
      <c r="Z1197">
        <v>76.998976652871178</v>
      </c>
      <c r="AA1197">
        <v>44.270976165972627</v>
      </c>
      <c r="AB1197">
        <v>87.040363666666664</v>
      </c>
      <c r="AC1197">
        <v>134.0892088918919</v>
      </c>
      <c r="AD1197">
        <v>78.87600523052464</v>
      </c>
      <c r="AE1197">
        <v>79.678231696844279</v>
      </c>
      <c r="AF1197">
        <v>78.936896983962754</v>
      </c>
      <c r="AG1197">
        <v>138.7549746576577</v>
      </c>
      <c r="AH1197">
        <v>137.46398366666671</v>
      </c>
      <c r="AI1197">
        <v>45.811428277810833</v>
      </c>
      <c r="AJ1197">
        <v>90.069018637426908</v>
      </c>
      <c r="AK1197">
        <v>45.385193893515762</v>
      </c>
      <c r="AL1197">
        <v>89.231006941520462</v>
      </c>
      <c r="AM1197">
        <v>4.1312738893806493</v>
      </c>
      <c r="AN1197">
        <v>4.0928360792360721</v>
      </c>
    </row>
    <row r="1198" spans="1:40" x14ac:dyDescent="0.25">
      <c r="A1198" s="1" t="s">
        <v>337</v>
      </c>
      <c r="B1198">
        <v>147384094970</v>
      </c>
      <c r="C1198" t="s">
        <v>71</v>
      </c>
      <c r="D1198" t="s">
        <v>105</v>
      </c>
      <c r="E1198">
        <v>37281000000</v>
      </c>
      <c r="F1198">
        <v>1933000000</v>
      </c>
      <c r="G1198">
        <v>3362000000</v>
      </c>
      <c r="H1198">
        <v>1710000000</v>
      </c>
      <c r="I1198">
        <v>1110000000</v>
      </c>
      <c r="J1198">
        <v>1887000000</v>
      </c>
      <c r="K1198">
        <v>5485000000</v>
      </c>
      <c r="L1198">
        <v>727000000</v>
      </c>
      <c r="M1198">
        <v>6212000000</v>
      </c>
      <c r="N1198">
        <v>11297000000</v>
      </c>
      <c r="O1198">
        <v>964000000</v>
      </c>
      <c r="P1198">
        <v>499000000</v>
      </c>
      <c r="Q1198">
        <v>9459000000</v>
      </c>
      <c r="R1198">
        <v>9454000000</v>
      </c>
      <c r="S1198">
        <v>26017000000</v>
      </c>
      <c r="T1198">
        <v>0</v>
      </c>
      <c r="U1198">
        <v>1433000000</v>
      </c>
      <c r="V1198">
        <v>12682000000</v>
      </c>
      <c r="W1198">
        <v>151130094970</v>
      </c>
      <c r="X1198">
        <v>152563094970</v>
      </c>
      <c r="Y1198">
        <v>3.9533299796142809</v>
      </c>
      <c r="Z1198">
        <v>76.246298484221413</v>
      </c>
      <c r="AA1198">
        <v>43.838219800713858</v>
      </c>
      <c r="AB1198">
        <v>86.18952922222222</v>
      </c>
      <c r="AC1198">
        <v>132.7784639369369</v>
      </c>
      <c r="AD1198">
        <v>78.104978786433492</v>
      </c>
      <c r="AE1198">
        <v>78.925553528194513</v>
      </c>
      <c r="AF1198">
        <v>78.184218815312988</v>
      </c>
      <c r="AG1198">
        <v>137.4442297027027</v>
      </c>
      <c r="AH1198">
        <v>136.15323871171171</v>
      </c>
      <c r="AI1198">
        <v>45.378671912552051</v>
      </c>
      <c r="AJ1198">
        <v>89.218184192982463</v>
      </c>
      <c r="AK1198">
        <v>44.952437528256993</v>
      </c>
      <c r="AL1198">
        <v>88.380172497076018</v>
      </c>
      <c r="AM1198">
        <v>4.0922479270942302</v>
      </c>
      <c r="AN1198">
        <v>4.053810116949653</v>
      </c>
    </row>
    <row r="1199" spans="1:40" x14ac:dyDescent="0.25">
      <c r="A1199" s="1" t="s">
        <v>336</v>
      </c>
      <c r="B1199">
        <v>143663639040</v>
      </c>
      <c r="C1199" t="s">
        <v>71</v>
      </c>
      <c r="D1199" t="s">
        <v>105</v>
      </c>
      <c r="E1199">
        <v>37281000000</v>
      </c>
      <c r="F1199">
        <v>1933000000</v>
      </c>
      <c r="G1199">
        <v>3362000000</v>
      </c>
      <c r="H1199">
        <v>1710000000</v>
      </c>
      <c r="I1199">
        <v>1110000000</v>
      </c>
      <c r="J1199">
        <v>1887000000</v>
      </c>
      <c r="K1199">
        <v>5485000000</v>
      </c>
      <c r="L1199">
        <v>727000000</v>
      </c>
      <c r="M1199">
        <v>6212000000</v>
      </c>
      <c r="N1199">
        <v>11297000000</v>
      </c>
      <c r="O1199">
        <v>964000000</v>
      </c>
      <c r="P1199">
        <v>499000000</v>
      </c>
      <c r="Q1199">
        <v>9459000000</v>
      </c>
      <c r="R1199">
        <v>9454000000</v>
      </c>
      <c r="S1199">
        <v>26017000000</v>
      </c>
      <c r="T1199">
        <v>0</v>
      </c>
      <c r="U1199">
        <v>1433000000</v>
      </c>
      <c r="V1199">
        <v>12682000000</v>
      </c>
      <c r="W1199">
        <v>147409639040</v>
      </c>
      <c r="X1199">
        <v>148842639040</v>
      </c>
      <c r="Y1199">
        <v>3.8535350189104371</v>
      </c>
      <c r="Z1199">
        <v>74.321592881531302</v>
      </c>
      <c r="AA1199">
        <v>42.731599952409283</v>
      </c>
      <c r="AB1199">
        <v>84.013824</v>
      </c>
      <c r="AC1199">
        <v>129.42670183783781</v>
      </c>
      <c r="AD1199">
        <v>76.133354022257549</v>
      </c>
      <c r="AE1199">
        <v>77.000847925504402</v>
      </c>
      <c r="AF1199">
        <v>76.259513212622863</v>
      </c>
      <c r="AG1199">
        <v>134.09246760360361</v>
      </c>
      <c r="AH1199">
        <v>132.80147661261259</v>
      </c>
      <c r="AI1199">
        <v>44.272052064247468</v>
      </c>
      <c r="AJ1199">
        <v>87.042478970760229</v>
      </c>
      <c r="AK1199">
        <v>43.845817679952411</v>
      </c>
      <c r="AL1199">
        <v>86.204467274853798</v>
      </c>
      <c r="AM1199">
        <v>3.992452966390386</v>
      </c>
      <c r="AN1199">
        <v>3.9540151562458088</v>
      </c>
    </row>
    <row r="1200" spans="1:40" x14ac:dyDescent="0.25">
      <c r="A1200" s="1" t="s">
        <v>335</v>
      </c>
      <c r="B1200">
        <v>143393438330</v>
      </c>
      <c r="C1200" t="s">
        <v>71</v>
      </c>
      <c r="D1200" t="s">
        <v>105</v>
      </c>
      <c r="E1200">
        <v>37281000000</v>
      </c>
      <c r="F1200">
        <v>1933000000</v>
      </c>
      <c r="G1200">
        <v>3362000000</v>
      </c>
      <c r="H1200">
        <v>1710000000</v>
      </c>
      <c r="I1200">
        <v>1110000000</v>
      </c>
      <c r="J1200">
        <v>1887000000</v>
      </c>
      <c r="K1200">
        <v>5485000000</v>
      </c>
      <c r="L1200">
        <v>727000000</v>
      </c>
      <c r="M1200">
        <v>6212000000</v>
      </c>
      <c r="N1200">
        <v>11297000000</v>
      </c>
      <c r="O1200">
        <v>964000000</v>
      </c>
      <c r="P1200">
        <v>499000000</v>
      </c>
      <c r="Q1200">
        <v>9459000000</v>
      </c>
      <c r="R1200">
        <v>9454000000</v>
      </c>
      <c r="S1200">
        <v>26017000000</v>
      </c>
      <c r="T1200">
        <v>0</v>
      </c>
      <c r="U1200">
        <v>1433000000</v>
      </c>
      <c r="V1200">
        <v>12682000000</v>
      </c>
      <c r="W1200">
        <v>147139438330</v>
      </c>
      <c r="X1200">
        <v>148572438330</v>
      </c>
      <c r="Y1200">
        <v>3.8462873402001021</v>
      </c>
      <c r="Z1200">
        <v>74.181809793067771</v>
      </c>
      <c r="AA1200">
        <v>42.651230913146939</v>
      </c>
      <c r="AB1200">
        <v>83.855811888888894</v>
      </c>
      <c r="AC1200">
        <v>129.18327777477481</v>
      </c>
      <c r="AD1200">
        <v>75.990163396926334</v>
      </c>
      <c r="AE1200">
        <v>76.861064837040871</v>
      </c>
      <c r="AF1200">
        <v>76.119730124159332</v>
      </c>
      <c r="AG1200">
        <v>133.84904354054049</v>
      </c>
      <c r="AH1200">
        <v>132.55805254954959</v>
      </c>
      <c r="AI1200">
        <v>44.191683024985117</v>
      </c>
      <c r="AJ1200">
        <v>86.884466859649123</v>
      </c>
      <c r="AK1200">
        <v>43.765448640690067</v>
      </c>
      <c r="AL1200">
        <v>86.046455163742692</v>
      </c>
      <c r="AM1200">
        <v>3.985205287680051</v>
      </c>
      <c r="AN1200">
        <v>3.9467674775354742</v>
      </c>
    </row>
    <row r="1201" spans="1:40" x14ac:dyDescent="0.25">
      <c r="A1201" s="1" t="s">
        <v>334</v>
      </c>
      <c r="B1201">
        <v>164510663050</v>
      </c>
      <c r="C1201" t="s">
        <v>71</v>
      </c>
      <c r="D1201" t="s">
        <v>105</v>
      </c>
      <c r="E1201">
        <v>37281000000</v>
      </c>
      <c r="F1201">
        <v>1933000000</v>
      </c>
      <c r="G1201">
        <v>3362000000</v>
      </c>
      <c r="H1201">
        <v>1710000000</v>
      </c>
      <c r="I1201">
        <v>1110000000</v>
      </c>
      <c r="J1201">
        <v>1887000000</v>
      </c>
      <c r="K1201">
        <v>5485000000</v>
      </c>
      <c r="L1201">
        <v>727000000</v>
      </c>
      <c r="M1201">
        <v>6212000000</v>
      </c>
      <c r="N1201">
        <v>11297000000</v>
      </c>
      <c r="O1201">
        <v>964000000</v>
      </c>
      <c r="P1201">
        <v>499000000</v>
      </c>
      <c r="Q1201">
        <v>9459000000</v>
      </c>
      <c r="R1201">
        <v>9454000000</v>
      </c>
      <c r="S1201">
        <v>26017000000</v>
      </c>
      <c r="T1201">
        <v>0</v>
      </c>
      <c r="U1201">
        <v>1433000000</v>
      </c>
      <c r="V1201">
        <v>12682000000</v>
      </c>
      <c r="W1201">
        <v>168256663050</v>
      </c>
      <c r="X1201">
        <v>169689663050</v>
      </c>
      <c r="Y1201">
        <v>4.4127213071001314</v>
      </c>
      <c r="Z1201">
        <v>85.106395783755815</v>
      </c>
      <c r="AA1201">
        <v>48.932380443188578</v>
      </c>
      <c r="AB1201">
        <v>96.205066111111108</v>
      </c>
      <c r="AC1201">
        <v>148.20780454954951</v>
      </c>
      <c r="AD1201">
        <v>87.181061499735023</v>
      </c>
      <c r="AE1201">
        <v>87.785650827728915</v>
      </c>
      <c r="AF1201">
        <v>87.044316114847391</v>
      </c>
      <c r="AG1201">
        <v>152.87357031531531</v>
      </c>
      <c r="AH1201">
        <v>151.58257932432431</v>
      </c>
      <c r="AI1201">
        <v>50.47283255502677</v>
      </c>
      <c r="AJ1201">
        <v>99.233721081871352</v>
      </c>
      <c r="AK1201">
        <v>50.046598170731713</v>
      </c>
      <c r="AL1201">
        <v>98.395709385964906</v>
      </c>
      <c r="AM1201">
        <v>4.5516392545800812</v>
      </c>
      <c r="AN1201">
        <v>4.5132014444355031</v>
      </c>
    </row>
    <row r="1202" spans="1:40" x14ac:dyDescent="0.25">
      <c r="A1202" s="1" t="s">
        <v>147</v>
      </c>
      <c r="B1202">
        <v>169166429130</v>
      </c>
      <c r="C1202" t="s">
        <v>71</v>
      </c>
      <c r="D1202" t="s">
        <v>105</v>
      </c>
      <c r="E1202">
        <v>37281000000</v>
      </c>
      <c r="F1202">
        <v>1933000000</v>
      </c>
      <c r="G1202">
        <v>3362000000</v>
      </c>
      <c r="H1202">
        <v>1710000000</v>
      </c>
      <c r="I1202">
        <v>1110000000</v>
      </c>
      <c r="J1202">
        <v>1887000000</v>
      </c>
      <c r="K1202">
        <v>5485000000</v>
      </c>
      <c r="L1202">
        <v>727000000</v>
      </c>
      <c r="M1202">
        <v>6212000000</v>
      </c>
      <c r="N1202">
        <v>11297000000</v>
      </c>
      <c r="O1202">
        <v>964000000</v>
      </c>
      <c r="P1202">
        <v>499000000</v>
      </c>
      <c r="Q1202">
        <v>9459000000</v>
      </c>
      <c r="R1202">
        <v>9454000000</v>
      </c>
      <c r="S1202">
        <v>26017000000</v>
      </c>
      <c r="T1202">
        <v>0</v>
      </c>
      <c r="U1202">
        <v>1433000000</v>
      </c>
      <c r="V1202">
        <v>12682000000</v>
      </c>
      <c r="W1202">
        <v>172912429130</v>
      </c>
      <c r="X1202">
        <v>174345429130</v>
      </c>
      <c r="Y1202">
        <v>4.5376043864166737</v>
      </c>
      <c r="Z1202">
        <v>87.514965923435071</v>
      </c>
      <c r="AA1202">
        <v>50.317200812016658</v>
      </c>
      <c r="AB1202">
        <v>98.927736333333328</v>
      </c>
      <c r="AC1202">
        <v>152.40218840540541</v>
      </c>
      <c r="AD1202">
        <v>89.648346120826716</v>
      </c>
      <c r="AE1202">
        <v>90.194220967408171</v>
      </c>
      <c r="AF1202">
        <v>89.452886254526646</v>
      </c>
      <c r="AG1202">
        <v>157.06795417117121</v>
      </c>
      <c r="AH1202">
        <v>155.77696318018019</v>
      </c>
      <c r="AI1202">
        <v>51.85765292385485</v>
      </c>
      <c r="AJ1202">
        <v>101.9563913040936</v>
      </c>
      <c r="AK1202">
        <v>51.431418539559793</v>
      </c>
      <c r="AL1202">
        <v>101.1183796081871</v>
      </c>
      <c r="AM1202">
        <v>4.6765223338966226</v>
      </c>
      <c r="AN1202">
        <v>4.6380845237520454</v>
      </c>
    </row>
    <row r="1203" spans="1:40" x14ac:dyDescent="0.25">
      <c r="A1203" s="1" t="s">
        <v>333</v>
      </c>
      <c r="B1203">
        <v>162972597470</v>
      </c>
      <c r="C1203" t="s">
        <v>71</v>
      </c>
      <c r="D1203" t="s">
        <v>105</v>
      </c>
      <c r="E1203">
        <v>37281000000</v>
      </c>
      <c r="F1203">
        <v>1933000000</v>
      </c>
      <c r="G1203">
        <v>3362000000</v>
      </c>
      <c r="H1203">
        <v>1710000000</v>
      </c>
      <c r="I1203">
        <v>1110000000</v>
      </c>
      <c r="J1203">
        <v>1887000000</v>
      </c>
      <c r="K1203">
        <v>5485000000</v>
      </c>
      <c r="L1203">
        <v>727000000</v>
      </c>
      <c r="M1203">
        <v>6212000000</v>
      </c>
      <c r="N1203">
        <v>11297000000</v>
      </c>
      <c r="O1203">
        <v>964000000</v>
      </c>
      <c r="P1203">
        <v>499000000</v>
      </c>
      <c r="Q1203">
        <v>9459000000</v>
      </c>
      <c r="R1203">
        <v>9454000000</v>
      </c>
      <c r="S1203">
        <v>26017000000</v>
      </c>
      <c r="T1203">
        <v>0</v>
      </c>
      <c r="U1203">
        <v>1433000000</v>
      </c>
      <c r="V1203">
        <v>12682000000</v>
      </c>
      <c r="W1203">
        <v>166718597470</v>
      </c>
      <c r="X1203">
        <v>168151597470</v>
      </c>
      <c r="Y1203">
        <v>4.3714652898259168</v>
      </c>
      <c r="Z1203">
        <v>84.310707434040353</v>
      </c>
      <c r="AA1203">
        <v>48.474895142772162</v>
      </c>
      <c r="AB1203">
        <v>95.305612555555555</v>
      </c>
      <c r="AC1203">
        <v>146.82215988288289</v>
      </c>
      <c r="AD1203">
        <v>86.365976401695818</v>
      </c>
      <c r="AE1203">
        <v>86.989962478013453</v>
      </c>
      <c r="AF1203">
        <v>86.248627765131914</v>
      </c>
      <c r="AG1203">
        <v>151.48792564864871</v>
      </c>
      <c r="AH1203">
        <v>150.19693465765769</v>
      </c>
      <c r="AI1203">
        <v>50.015347254610347</v>
      </c>
      <c r="AJ1203">
        <v>98.334267526315784</v>
      </c>
      <c r="AK1203">
        <v>49.58911287031529</v>
      </c>
      <c r="AL1203">
        <v>97.496255830409353</v>
      </c>
      <c r="AM1203">
        <v>4.5103832373058674</v>
      </c>
      <c r="AN1203">
        <v>4.4719454271612884</v>
      </c>
    </row>
    <row r="1204" spans="1:40" x14ac:dyDescent="0.25">
      <c r="A1204" s="1" t="s">
        <v>332</v>
      </c>
      <c r="B1204">
        <v>159210572200</v>
      </c>
      <c r="C1204" t="s">
        <v>71</v>
      </c>
      <c r="D1204" t="s">
        <v>105</v>
      </c>
      <c r="E1204">
        <v>37281000000</v>
      </c>
      <c r="F1204">
        <v>1933000000</v>
      </c>
      <c r="G1204">
        <v>3362000000</v>
      </c>
      <c r="H1204">
        <v>1710000000</v>
      </c>
      <c r="I1204">
        <v>1110000000</v>
      </c>
      <c r="J1204">
        <v>1887000000</v>
      </c>
      <c r="K1204">
        <v>5485000000</v>
      </c>
      <c r="L1204">
        <v>727000000</v>
      </c>
      <c r="M1204">
        <v>6212000000</v>
      </c>
      <c r="N1204">
        <v>11297000000</v>
      </c>
      <c r="O1204">
        <v>964000000</v>
      </c>
      <c r="P1204">
        <v>499000000</v>
      </c>
      <c r="Q1204">
        <v>9459000000</v>
      </c>
      <c r="R1204">
        <v>9454000000</v>
      </c>
      <c r="S1204">
        <v>26017000000</v>
      </c>
      <c r="T1204">
        <v>0</v>
      </c>
      <c r="U1204">
        <v>1433000000</v>
      </c>
      <c r="V1204">
        <v>12682000000</v>
      </c>
      <c r="W1204">
        <v>162956572200</v>
      </c>
      <c r="X1204">
        <v>164389572200</v>
      </c>
      <c r="Y1204">
        <v>4.2705553016281756</v>
      </c>
      <c r="Z1204">
        <v>82.364496740817387</v>
      </c>
      <c r="AA1204">
        <v>47.35591082688876</v>
      </c>
      <c r="AB1204">
        <v>93.105597777777774</v>
      </c>
      <c r="AC1204">
        <v>143.4329479279279</v>
      </c>
      <c r="AD1204">
        <v>84.37232231054584</v>
      </c>
      <c r="AE1204">
        <v>85.043751784790487</v>
      </c>
      <c r="AF1204">
        <v>84.302417071908948</v>
      </c>
      <c r="AG1204">
        <v>148.0987136936937</v>
      </c>
      <c r="AH1204">
        <v>146.8077227027027</v>
      </c>
      <c r="AI1204">
        <v>48.896362938726938</v>
      </c>
      <c r="AJ1204">
        <v>96.134252748538017</v>
      </c>
      <c r="AK1204">
        <v>48.470128554431888</v>
      </c>
      <c r="AL1204">
        <v>95.296241052631572</v>
      </c>
      <c r="AM1204">
        <v>4.4094732491081254</v>
      </c>
      <c r="AN1204">
        <v>4.3710354389635473</v>
      </c>
    </row>
    <row r="1205" spans="1:40" x14ac:dyDescent="0.25">
      <c r="A1205" s="1" t="s">
        <v>331</v>
      </c>
      <c r="B1205">
        <v>158878017480</v>
      </c>
      <c r="C1205" t="s">
        <v>71</v>
      </c>
      <c r="D1205" t="s">
        <v>105</v>
      </c>
      <c r="E1205">
        <v>37281000000</v>
      </c>
      <c r="F1205">
        <v>1933000000</v>
      </c>
      <c r="G1205">
        <v>3362000000</v>
      </c>
      <c r="H1205">
        <v>1710000000</v>
      </c>
      <c r="I1205">
        <v>1110000000</v>
      </c>
      <c r="J1205">
        <v>1887000000</v>
      </c>
      <c r="K1205">
        <v>5485000000</v>
      </c>
      <c r="L1205">
        <v>727000000</v>
      </c>
      <c r="M1205">
        <v>6212000000</v>
      </c>
      <c r="N1205">
        <v>11297000000</v>
      </c>
      <c r="O1205">
        <v>964000000</v>
      </c>
      <c r="P1205">
        <v>499000000</v>
      </c>
      <c r="Q1205">
        <v>9459000000</v>
      </c>
      <c r="R1205">
        <v>9454000000</v>
      </c>
      <c r="S1205">
        <v>26017000000</v>
      </c>
      <c r="T1205">
        <v>0</v>
      </c>
      <c r="U1205">
        <v>1433000000</v>
      </c>
      <c r="V1205">
        <v>12682000000</v>
      </c>
      <c r="W1205">
        <v>162624017480</v>
      </c>
      <c r="X1205">
        <v>164057017480</v>
      </c>
      <c r="Y1205">
        <v>4.2616350816769932</v>
      </c>
      <c r="Z1205">
        <v>82.192456016554573</v>
      </c>
      <c r="AA1205">
        <v>47.256995086258179</v>
      </c>
      <c r="AB1205">
        <v>92.911121333333327</v>
      </c>
      <c r="AC1205">
        <v>143.13334908108109</v>
      </c>
      <c r="AD1205">
        <v>84.196087694753572</v>
      </c>
      <c r="AE1205">
        <v>84.871711060527673</v>
      </c>
      <c r="AF1205">
        <v>84.130376347646148</v>
      </c>
      <c r="AG1205">
        <v>147.79911484684681</v>
      </c>
      <c r="AH1205">
        <v>146.50812385585581</v>
      </c>
      <c r="AI1205">
        <v>48.797447198096371</v>
      </c>
      <c r="AJ1205">
        <v>95.93977630409357</v>
      </c>
      <c r="AK1205">
        <v>48.371212813801307</v>
      </c>
      <c r="AL1205">
        <v>95.101764608187139</v>
      </c>
      <c r="AM1205">
        <v>4.400553029156943</v>
      </c>
      <c r="AN1205">
        <v>4.3621152190123658</v>
      </c>
    </row>
    <row r="1206" spans="1:40" x14ac:dyDescent="0.25">
      <c r="A1206" s="1" t="s">
        <v>330</v>
      </c>
      <c r="B1206">
        <v>162182780010</v>
      </c>
      <c r="C1206" t="s">
        <v>71</v>
      </c>
      <c r="D1206" t="s">
        <v>105</v>
      </c>
      <c r="E1206">
        <v>37281000000</v>
      </c>
      <c r="F1206">
        <v>1933000000</v>
      </c>
      <c r="G1206">
        <v>3362000000</v>
      </c>
      <c r="H1206">
        <v>1710000000</v>
      </c>
      <c r="I1206">
        <v>1110000000</v>
      </c>
      <c r="J1206">
        <v>1887000000</v>
      </c>
      <c r="K1206">
        <v>5485000000</v>
      </c>
      <c r="L1206">
        <v>727000000</v>
      </c>
      <c r="M1206">
        <v>6212000000</v>
      </c>
      <c r="N1206">
        <v>11297000000</v>
      </c>
      <c r="O1206">
        <v>964000000</v>
      </c>
      <c r="P1206">
        <v>499000000</v>
      </c>
      <c r="Q1206">
        <v>9459000000</v>
      </c>
      <c r="R1206">
        <v>9454000000</v>
      </c>
      <c r="S1206">
        <v>26017000000</v>
      </c>
      <c r="T1206">
        <v>0</v>
      </c>
      <c r="U1206">
        <v>1433000000</v>
      </c>
      <c r="V1206">
        <v>12682000000</v>
      </c>
      <c r="W1206">
        <v>165928780010</v>
      </c>
      <c r="X1206">
        <v>167361780010</v>
      </c>
      <c r="Y1206">
        <v>4.3502797674418607</v>
      </c>
      <c r="Z1206">
        <v>83.902110713916187</v>
      </c>
      <c r="AA1206">
        <v>48.239970258774541</v>
      </c>
      <c r="AB1206">
        <v>94.843731000000005</v>
      </c>
      <c r="AC1206">
        <v>146.11061262162161</v>
      </c>
      <c r="AD1206">
        <v>85.947419189189191</v>
      </c>
      <c r="AE1206">
        <v>86.581365757889287</v>
      </c>
      <c r="AF1206">
        <v>85.840031045007763</v>
      </c>
      <c r="AG1206">
        <v>150.77637838738741</v>
      </c>
      <c r="AH1206">
        <v>149.48538739639639</v>
      </c>
      <c r="AI1206">
        <v>49.780422370612733</v>
      </c>
      <c r="AJ1206">
        <v>97.872385970760234</v>
      </c>
      <c r="AK1206">
        <v>49.354187986317669</v>
      </c>
      <c r="AL1206">
        <v>97.034374274853803</v>
      </c>
      <c r="AM1206">
        <v>4.4891977149218096</v>
      </c>
      <c r="AN1206">
        <v>4.4507599047772324</v>
      </c>
    </row>
    <row r="1207" spans="1:40" x14ac:dyDescent="0.25">
      <c r="A1207" s="1" t="s">
        <v>329</v>
      </c>
      <c r="B1207">
        <v>162536119400</v>
      </c>
      <c r="C1207" t="s">
        <v>71</v>
      </c>
      <c r="D1207" t="s">
        <v>105</v>
      </c>
      <c r="E1207">
        <v>37281000000</v>
      </c>
      <c r="F1207">
        <v>1933000000</v>
      </c>
      <c r="G1207">
        <v>3362000000</v>
      </c>
      <c r="H1207">
        <v>1710000000</v>
      </c>
      <c r="I1207">
        <v>1110000000</v>
      </c>
      <c r="J1207">
        <v>1887000000</v>
      </c>
      <c r="K1207">
        <v>5485000000</v>
      </c>
      <c r="L1207">
        <v>727000000</v>
      </c>
      <c r="M1207">
        <v>6212000000</v>
      </c>
      <c r="N1207">
        <v>11297000000</v>
      </c>
      <c r="O1207">
        <v>964000000</v>
      </c>
      <c r="P1207">
        <v>499000000</v>
      </c>
      <c r="Q1207">
        <v>9459000000</v>
      </c>
      <c r="R1207">
        <v>9454000000</v>
      </c>
      <c r="S1207">
        <v>26017000000</v>
      </c>
      <c r="T1207">
        <v>0</v>
      </c>
      <c r="U1207">
        <v>1433000000</v>
      </c>
      <c r="V1207">
        <v>12682000000</v>
      </c>
      <c r="W1207">
        <v>166282119400</v>
      </c>
      <c r="X1207">
        <v>167715119400</v>
      </c>
      <c r="Y1207">
        <v>4.3597575011399909</v>
      </c>
      <c r="Z1207">
        <v>84.084903983445415</v>
      </c>
      <c r="AA1207">
        <v>48.345068233194517</v>
      </c>
      <c r="AB1207">
        <v>95.050362222222219</v>
      </c>
      <c r="AC1207">
        <v>146.42893639639641</v>
      </c>
      <c r="AD1207">
        <v>86.134668468468462</v>
      </c>
      <c r="AE1207">
        <v>86.764159027418515</v>
      </c>
      <c r="AF1207">
        <v>86.02282431453699</v>
      </c>
      <c r="AG1207">
        <v>151.09470216216221</v>
      </c>
      <c r="AH1207">
        <v>149.80371117117119</v>
      </c>
      <c r="AI1207">
        <v>49.885520345032717</v>
      </c>
      <c r="AJ1207">
        <v>98.079017192982462</v>
      </c>
      <c r="AK1207">
        <v>49.45928596073766</v>
      </c>
      <c r="AL1207">
        <v>97.241005497076017</v>
      </c>
      <c r="AM1207">
        <v>4.4986754486199407</v>
      </c>
      <c r="AN1207">
        <v>4.4602376384753626</v>
      </c>
    </row>
    <row r="1208" spans="1:40" x14ac:dyDescent="0.25">
      <c r="A1208" s="1" t="s">
        <v>328</v>
      </c>
      <c r="B1208">
        <v>162868674120</v>
      </c>
      <c r="C1208" t="s">
        <v>71</v>
      </c>
      <c r="D1208" t="s">
        <v>105</v>
      </c>
      <c r="E1208">
        <v>37281000000</v>
      </c>
      <c r="F1208">
        <v>1933000000</v>
      </c>
      <c r="G1208">
        <v>3362000000</v>
      </c>
      <c r="H1208">
        <v>1710000000</v>
      </c>
      <c r="I1208">
        <v>1110000000</v>
      </c>
      <c r="J1208">
        <v>1887000000</v>
      </c>
      <c r="K1208">
        <v>5485000000</v>
      </c>
      <c r="L1208">
        <v>727000000</v>
      </c>
      <c r="M1208">
        <v>6212000000</v>
      </c>
      <c r="N1208">
        <v>11297000000</v>
      </c>
      <c r="O1208">
        <v>964000000</v>
      </c>
      <c r="P1208">
        <v>499000000</v>
      </c>
      <c r="Q1208">
        <v>9459000000</v>
      </c>
      <c r="R1208">
        <v>9454000000</v>
      </c>
      <c r="S1208">
        <v>26017000000</v>
      </c>
      <c r="T1208">
        <v>0</v>
      </c>
      <c r="U1208">
        <v>1433000000</v>
      </c>
      <c r="V1208">
        <v>12682000000</v>
      </c>
      <c r="W1208">
        <v>166614674120</v>
      </c>
      <c r="X1208">
        <v>168047674120</v>
      </c>
      <c r="Y1208">
        <v>4.3686777210911716</v>
      </c>
      <c r="Z1208">
        <v>84.256944707708229</v>
      </c>
      <c r="AA1208">
        <v>48.443983973825112</v>
      </c>
      <c r="AB1208">
        <v>95.244838666666666</v>
      </c>
      <c r="AC1208">
        <v>146.72853524324319</v>
      </c>
      <c r="AD1208">
        <v>86.31090308426073</v>
      </c>
      <c r="AE1208">
        <v>86.936199751681329</v>
      </c>
      <c r="AF1208">
        <v>86.19486503879979</v>
      </c>
      <c r="AG1208">
        <v>151.39430100900901</v>
      </c>
      <c r="AH1208">
        <v>150.10331001801799</v>
      </c>
      <c r="AI1208">
        <v>49.984436085663297</v>
      </c>
      <c r="AJ1208">
        <v>98.273493637426895</v>
      </c>
      <c r="AK1208">
        <v>49.558201701368233</v>
      </c>
      <c r="AL1208">
        <v>97.435481941520464</v>
      </c>
      <c r="AM1208">
        <v>4.5075956685711223</v>
      </c>
      <c r="AN1208">
        <v>4.4691578584265441</v>
      </c>
    </row>
    <row r="1209" spans="1:40" x14ac:dyDescent="0.25">
      <c r="A1209" s="1" t="s">
        <v>327</v>
      </c>
      <c r="B1209">
        <v>163679276250</v>
      </c>
      <c r="C1209" t="s">
        <v>71</v>
      </c>
      <c r="D1209" t="s">
        <v>105</v>
      </c>
      <c r="E1209">
        <v>37281000000</v>
      </c>
      <c r="F1209">
        <v>1933000000</v>
      </c>
      <c r="G1209">
        <v>3362000000</v>
      </c>
      <c r="H1209">
        <v>1710000000</v>
      </c>
      <c r="I1209">
        <v>1110000000</v>
      </c>
      <c r="J1209">
        <v>1887000000</v>
      </c>
      <c r="K1209">
        <v>5485000000</v>
      </c>
      <c r="L1209">
        <v>727000000</v>
      </c>
      <c r="M1209">
        <v>6212000000</v>
      </c>
      <c r="N1209">
        <v>11297000000</v>
      </c>
      <c r="O1209">
        <v>964000000</v>
      </c>
      <c r="P1209">
        <v>499000000</v>
      </c>
      <c r="Q1209">
        <v>9459000000</v>
      </c>
      <c r="R1209">
        <v>9454000000</v>
      </c>
      <c r="S1209">
        <v>26017000000</v>
      </c>
      <c r="T1209">
        <v>0</v>
      </c>
      <c r="U1209">
        <v>1433000000</v>
      </c>
      <c r="V1209">
        <v>12682000000</v>
      </c>
      <c r="W1209">
        <v>167425276250</v>
      </c>
      <c r="X1209">
        <v>168858276250</v>
      </c>
      <c r="Y1209">
        <v>4.3904207572221772</v>
      </c>
      <c r="Z1209">
        <v>84.676293973098808</v>
      </c>
      <c r="AA1209">
        <v>48.685091091612144</v>
      </c>
      <c r="AB1209">
        <v>95.718874999999997</v>
      </c>
      <c r="AC1209">
        <v>147.45880743243239</v>
      </c>
      <c r="AD1209">
        <v>86.740474960254375</v>
      </c>
      <c r="AE1209">
        <v>87.355549017071908</v>
      </c>
      <c r="AF1209">
        <v>86.614214304190384</v>
      </c>
      <c r="AG1209">
        <v>152.12457319819819</v>
      </c>
      <c r="AH1209">
        <v>150.8335822072072</v>
      </c>
      <c r="AI1209">
        <v>50.225543203450329</v>
      </c>
      <c r="AJ1209">
        <v>98.74752997076024</v>
      </c>
      <c r="AK1209">
        <v>49.799308819155257</v>
      </c>
      <c r="AL1209">
        <v>97.909518274853795</v>
      </c>
      <c r="AM1209">
        <v>4.529338704702127</v>
      </c>
      <c r="AN1209">
        <v>4.4909008945575497</v>
      </c>
    </row>
    <row r="1210" spans="1:40" x14ac:dyDescent="0.25">
      <c r="A1210" s="1" t="s">
        <v>326</v>
      </c>
      <c r="B1210">
        <v>161559239910</v>
      </c>
      <c r="C1210" t="s">
        <v>71</v>
      </c>
      <c r="D1210" t="s">
        <v>105</v>
      </c>
      <c r="E1210">
        <v>37281000000</v>
      </c>
      <c r="F1210">
        <v>1933000000</v>
      </c>
      <c r="G1210">
        <v>3362000000</v>
      </c>
      <c r="H1210">
        <v>1710000000</v>
      </c>
      <c r="I1210">
        <v>1110000000</v>
      </c>
      <c r="J1210">
        <v>1887000000</v>
      </c>
      <c r="K1210">
        <v>5485000000</v>
      </c>
      <c r="L1210">
        <v>727000000</v>
      </c>
      <c r="M1210">
        <v>6212000000</v>
      </c>
      <c r="N1210">
        <v>11297000000</v>
      </c>
      <c r="O1210">
        <v>964000000</v>
      </c>
      <c r="P1210">
        <v>499000000</v>
      </c>
      <c r="Q1210">
        <v>9459000000</v>
      </c>
      <c r="R1210">
        <v>9454000000</v>
      </c>
      <c r="S1210">
        <v>26017000000</v>
      </c>
      <c r="T1210">
        <v>0</v>
      </c>
      <c r="U1210">
        <v>1433000000</v>
      </c>
      <c r="V1210">
        <v>12682000000</v>
      </c>
      <c r="W1210">
        <v>165305239910</v>
      </c>
      <c r="X1210">
        <v>166738239910</v>
      </c>
      <c r="Y1210">
        <v>4.333554355033395</v>
      </c>
      <c r="Z1210">
        <v>83.579534355923428</v>
      </c>
      <c r="AA1210">
        <v>48.054503245092206</v>
      </c>
      <c r="AB1210">
        <v>94.479087666666672</v>
      </c>
      <c r="AC1210">
        <v>145.54886478378381</v>
      </c>
      <c r="AD1210">
        <v>85.61697928457869</v>
      </c>
      <c r="AE1210">
        <v>86.258789399896528</v>
      </c>
      <c r="AF1210">
        <v>85.517454687015004</v>
      </c>
      <c r="AG1210">
        <v>150.21463054954961</v>
      </c>
      <c r="AH1210">
        <v>148.92363955855859</v>
      </c>
      <c r="AI1210">
        <v>49.594955356930399</v>
      </c>
      <c r="AJ1210">
        <v>97.507742637426901</v>
      </c>
      <c r="AK1210">
        <v>49.168720972635327</v>
      </c>
      <c r="AL1210">
        <v>96.66973094152047</v>
      </c>
      <c r="AM1210">
        <v>4.4724723025133448</v>
      </c>
      <c r="AN1210">
        <v>4.4340344923687667</v>
      </c>
    </row>
    <row r="1211" spans="1:40" x14ac:dyDescent="0.25">
      <c r="A1211" s="1" t="s">
        <v>325</v>
      </c>
      <c r="B1211">
        <v>165238126500</v>
      </c>
      <c r="C1211" t="s">
        <v>71</v>
      </c>
      <c r="D1211" t="s">
        <v>105</v>
      </c>
      <c r="E1211">
        <v>37281000000</v>
      </c>
      <c r="F1211">
        <v>1933000000</v>
      </c>
      <c r="G1211">
        <v>3362000000</v>
      </c>
      <c r="H1211">
        <v>1710000000</v>
      </c>
      <c r="I1211">
        <v>1110000000</v>
      </c>
      <c r="J1211">
        <v>1887000000</v>
      </c>
      <c r="K1211">
        <v>5485000000</v>
      </c>
      <c r="L1211">
        <v>727000000</v>
      </c>
      <c r="M1211">
        <v>6212000000</v>
      </c>
      <c r="N1211">
        <v>11297000000</v>
      </c>
      <c r="O1211">
        <v>964000000</v>
      </c>
      <c r="P1211">
        <v>499000000</v>
      </c>
      <c r="Q1211">
        <v>9459000000</v>
      </c>
      <c r="R1211">
        <v>9454000000</v>
      </c>
      <c r="S1211">
        <v>26017000000</v>
      </c>
      <c r="T1211">
        <v>0</v>
      </c>
      <c r="U1211">
        <v>1433000000</v>
      </c>
      <c r="V1211">
        <v>12682000000</v>
      </c>
      <c r="W1211">
        <v>168984126500</v>
      </c>
      <c r="X1211">
        <v>170417126500</v>
      </c>
      <c r="Y1211">
        <v>4.4322342882433414</v>
      </c>
      <c r="Z1211">
        <v>85.482734868080698</v>
      </c>
      <c r="AA1211">
        <v>49.148758625817969</v>
      </c>
      <c r="AB1211">
        <v>96.630483333333331</v>
      </c>
      <c r="AC1211">
        <v>148.86317702702701</v>
      </c>
      <c r="AD1211">
        <v>87.566574721780597</v>
      </c>
      <c r="AE1211">
        <v>88.161989912053798</v>
      </c>
      <c r="AF1211">
        <v>87.420655199172273</v>
      </c>
      <c r="AG1211">
        <v>153.5289427927928</v>
      </c>
      <c r="AH1211">
        <v>152.23795180180181</v>
      </c>
      <c r="AI1211">
        <v>50.689210737656147</v>
      </c>
      <c r="AJ1211">
        <v>99.659138304093574</v>
      </c>
      <c r="AK1211">
        <v>50.262976353361097</v>
      </c>
      <c r="AL1211">
        <v>98.821126608187129</v>
      </c>
      <c r="AM1211">
        <v>4.5711522357232903</v>
      </c>
      <c r="AN1211">
        <v>4.5327144255787131</v>
      </c>
    </row>
    <row r="1212" spans="1:40" x14ac:dyDescent="0.25">
      <c r="A1212" s="1" t="s">
        <v>324</v>
      </c>
      <c r="B1212">
        <v>168418181010</v>
      </c>
      <c r="C1212" t="s">
        <v>71</v>
      </c>
      <c r="D1212" t="s">
        <v>105</v>
      </c>
      <c r="E1212">
        <v>37281000000</v>
      </c>
      <c r="F1212">
        <v>1933000000</v>
      </c>
      <c r="G1212">
        <v>3362000000</v>
      </c>
      <c r="H1212">
        <v>1710000000</v>
      </c>
      <c r="I1212">
        <v>1110000000</v>
      </c>
      <c r="J1212">
        <v>1887000000</v>
      </c>
      <c r="K1212">
        <v>5485000000</v>
      </c>
      <c r="L1212">
        <v>727000000</v>
      </c>
      <c r="M1212">
        <v>6212000000</v>
      </c>
      <c r="N1212">
        <v>11297000000</v>
      </c>
      <c r="O1212">
        <v>964000000</v>
      </c>
      <c r="P1212">
        <v>499000000</v>
      </c>
      <c r="Q1212">
        <v>9459000000</v>
      </c>
      <c r="R1212">
        <v>9454000000</v>
      </c>
      <c r="S1212">
        <v>26017000000</v>
      </c>
      <c r="T1212">
        <v>0</v>
      </c>
      <c r="U1212">
        <v>1433000000</v>
      </c>
      <c r="V1212">
        <v>12682000000</v>
      </c>
      <c r="W1212">
        <v>172164181010</v>
      </c>
      <c r="X1212">
        <v>173597181010</v>
      </c>
      <c r="Y1212">
        <v>4.5175338915265151</v>
      </c>
      <c r="Z1212">
        <v>87.12787429384376</v>
      </c>
      <c r="AA1212">
        <v>50.094640395597857</v>
      </c>
      <c r="AB1212">
        <v>98.49016433333334</v>
      </c>
      <c r="AC1212">
        <v>151.72809100000001</v>
      </c>
      <c r="AD1212">
        <v>89.251818235294124</v>
      </c>
      <c r="AE1212">
        <v>89.80712933781686</v>
      </c>
      <c r="AF1212">
        <v>89.065794624935336</v>
      </c>
      <c r="AG1212">
        <v>156.3938567657658</v>
      </c>
      <c r="AH1212">
        <v>155.10286577477481</v>
      </c>
      <c r="AI1212">
        <v>51.635092507436049</v>
      </c>
      <c r="AJ1212">
        <v>101.5188193040936</v>
      </c>
      <c r="AK1212">
        <v>51.208858123140978</v>
      </c>
      <c r="AL1212">
        <v>100.6808076081871</v>
      </c>
      <c r="AM1212">
        <v>4.656451839006464</v>
      </c>
      <c r="AN1212">
        <v>4.6180140288618867</v>
      </c>
    </row>
    <row r="1213" spans="1:40" x14ac:dyDescent="0.25">
      <c r="A1213" s="1" t="s">
        <v>323</v>
      </c>
      <c r="B1213">
        <v>168979367100</v>
      </c>
      <c r="C1213" t="s">
        <v>71</v>
      </c>
      <c r="D1213" t="s">
        <v>105</v>
      </c>
      <c r="E1213">
        <v>37281000000</v>
      </c>
      <c r="F1213">
        <v>1933000000</v>
      </c>
      <c r="G1213">
        <v>3362000000</v>
      </c>
      <c r="H1213">
        <v>1710000000</v>
      </c>
      <c r="I1213">
        <v>1110000000</v>
      </c>
      <c r="J1213">
        <v>1887000000</v>
      </c>
      <c r="K1213">
        <v>5485000000</v>
      </c>
      <c r="L1213">
        <v>727000000</v>
      </c>
      <c r="M1213">
        <v>6212000000</v>
      </c>
      <c r="N1213">
        <v>11297000000</v>
      </c>
      <c r="O1213">
        <v>964000000</v>
      </c>
      <c r="P1213">
        <v>499000000</v>
      </c>
      <c r="Q1213">
        <v>9459000000</v>
      </c>
      <c r="R1213">
        <v>9454000000</v>
      </c>
      <c r="S1213">
        <v>26017000000</v>
      </c>
      <c r="T1213">
        <v>0</v>
      </c>
      <c r="U1213">
        <v>1433000000</v>
      </c>
      <c r="V1213">
        <v>12682000000</v>
      </c>
      <c r="W1213">
        <v>172725367100</v>
      </c>
      <c r="X1213">
        <v>174158367100</v>
      </c>
      <c r="Y1213">
        <v>4.5325867626941339</v>
      </c>
      <c r="Z1213">
        <v>87.41819301603725</v>
      </c>
      <c r="AA1213">
        <v>50.261560707911947</v>
      </c>
      <c r="AB1213">
        <v>98.818343333333331</v>
      </c>
      <c r="AC1213">
        <v>152.23366405405409</v>
      </c>
      <c r="AD1213">
        <v>89.549214149443557</v>
      </c>
      <c r="AE1213">
        <v>90.09744806001035</v>
      </c>
      <c r="AF1213">
        <v>89.356113347128812</v>
      </c>
      <c r="AG1213">
        <v>156.8994298198198</v>
      </c>
      <c r="AH1213">
        <v>155.60843882882881</v>
      </c>
      <c r="AI1213">
        <v>51.802012819750153</v>
      </c>
      <c r="AJ1213">
        <v>101.8469983040936</v>
      </c>
      <c r="AK1213">
        <v>51.375778435455089</v>
      </c>
      <c r="AL1213">
        <v>101.0089866081871</v>
      </c>
      <c r="AM1213">
        <v>4.6715047101740836</v>
      </c>
      <c r="AN1213">
        <v>4.6330669000295046</v>
      </c>
    </row>
    <row r="1214" spans="1:40" x14ac:dyDescent="0.25">
      <c r="A1214" s="1" t="s">
        <v>322</v>
      </c>
      <c r="B1214">
        <v>164385955030</v>
      </c>
      <c r="C1214" t="s">
        <v>71</v>
      </c>
      <c r="D1214" t="s">
        <v>105</v>
      </c>
      <c r="E1214">
        <v>37281000000</v>
      </c>
      <c r="F1214">
        <v>1933000000</v>
      </c>
      <c r="G1214">
        <v>3362000000</v>
      </c>
      <c r="H1214">
        <v>1710000000</v>
      </c>
      <c r="I1214">
        <v>1110000000</v>
      </c>
      <c r="J1214">
        <v>1887000000</v>
      </c>
      <c r="K1214">
        <v>5485000000</v>
      </c>
      <c r="L1214">
        <v>727000000</v>
      </c>
      <c r="M1214">
        <v>6212000000</v>
      </c>
      <c r="N1214">
        <v>11297000000</v>
      </c>
      <c r="O1214">
        <v>964000000</v>
      </c>
      <c r="P1214">
        <v>499000000</v>
      </c>
      <c r="Q1214">
        <v>9459000000</v>
      </c>
      <c r="R1214">
        <v>9454000000</v>
      </c>
      <c r="S1214">
        <v>26017000000</v>
      </c>
      <c r="T1214">
        <v>0</v>
      </c>
      <c r="U1214">
        <v>1433000000</v>
      </c>
      <c r="V1214">
        <v>12682000000</v>
      </c>
      <c r="W1214">
        <v>168131955030</v>
      </c>
      <c r="X1214">
        <v>169564955030</v>
      </c>
      <c r="Y1214">
        <v>4.4093762246184376</v>
      </c>
      <c r="Z1214">
        <v>85.041880512157263</v>
      </c>
      <c r="AA1214">
        <v>48.895287040452111</v>
      </c>
      <c r="AB1214">
        <v>96.132137444444439</v>
      </c>
      <c r="AC1214">
        <v>148.09545498198199</v>
      </c>
      <c r="AD1214">
        <v>87.114973518812931</v>
      </c>
      <c r="AE1214">
        <v>87.721135556130363</v>
      </c>
      <c r="AF1214">
        <v>86.979800843248839</v>
      </c>
      <c r="AG1214">
        <v>152.76122074774781</v>
      </c>
      <c r="AH1214">
        <v>151.47022975675679</v>
      </c>
      <c r="AI1214">
        <v>50.435739152290303</v>
      </c>
      <c r="AJ1214">
        <v>99.160792415204682</v>
      </c>
      <c r="AK1214">
        <v>50.009504767995239</v>
      </c>
      <c r="AL1214">
        <v>98.322780719298251</v>
      </c>
      <c r="AM1214">
        <v>4.5482941720983883</v>
      </c>
      <c r="AN1214">
        <v>4.5098563619538101</v>
      </c>
    </row>
    <row r="1215" spans="1:40" x14ac:dyDescent="0.25">
      <c r="A1215" s="1" t="s">
        <v>321</v>
      </c>
      <c r="B1215">
        <v>163450644880</v>
      </c>
      <c r="C1215" t="s">
        <v>71</v>
      </c>
      <c r="D1215" t="s">
        <v>105</v>
      </c>
      <c r="E1215">
        <v>37281000000</v>
      </c>
      <c r="F1215">
        <v>1933000000</v>
      </c>
      <c r="G1215">
        <v>3362000000</v>
      </c>
      <c r="H1215">
        <v>1710000000</v>
      </c>
      <c r="I1215">
        <v>1110000000</v>
      </c>
      <c r="J1215">
        <v>1887000000</v>
      </c>
      <c r="K1215">
        <v>5485000000</v>
      </c>
      <c r="L1215">
        <v>727000000</v>
      </c>
      <c r="M1215">
        <v>6212000000</v>
      </c>
      <c r="N1215">
        <v>11297000000</v>
      </c>
      <c r="O1215">
        <v>964000000</v>
      </c>
      <c r="P1215">
        <v>499000000</v>
      </c>
      <c r="Q1215">
        <v>9459000000</v>
      </c>
      <c r="R1215">
        <v>9454000000</v>
      </c>
      <c r="S1215">
        <v>26017000000</v>
      </c>
      <c r="T1215">
        <v>0</v>
      </c>
      <c r="U1215">
        <v>1433000000</v>
      </c>
      <c r="V1215">
        <v>12682000000</v>
      </c>
      <c r="W1215">
        <v>167196644880</v>
      </c>
      <c r="X1215">
        <v>168629644880</v>
      </c>
      <c r="Y1215">
        <v>4.3842881060057399</v>
      </c>
      <c r="Z1215">
        <v>84.558015975168132</v>
      </c>
      <c r="AA1215">
        <v>48.617086519928613</v>
      </c>
      <c r="AB1215">
        <v>95.585172444444439</v>
      </c>
      <c r="AC1215">
        <v>147.2528332252252</v>
      </c>
      <c r="AD1215">
        <v>86.619313661897195</v>
      </c>
      <c r="AE1215">
        <v>87.237271019141232</v>
      </c>
      <c r="AF1215">
        <v>86.495936306259694</v>
      </c>
      <c r="AG1215">
        <v>151.918598990991</v>
      </c>
      <c r="AH1215">
        <v>150.62760800000001</v>
      </c>
      <c r="AI1215">
        <v>50.157538631766798</v>
      </c>
      <c r="AJ1215">
        <v>98.613827415204682</v>
      </c>
      <c r="AK1215">
        <v>49.731304247471741</v>
      </c>
      <c r="AL1215">
        <v>97.775815719298251</v>
      </c>
      <c r="AM1215">
        <v>4.5232060534856897</v>
      </c>
      <c r="AN1215">
        <v>4.4847682433411116</v>
      </c>
    </row>
    <row r="1216" spans="1:40" x14ac:dyDescent="0.25">
      <c r="A1216" s="1" t="s">
        <v>320</v>
      </c>
      <c r="B1216">
        <v>165051064470</v>
      </c>
      <c r="C1216" t="s">
        <v>71</v>
      </c>
      <c r="D1216" t="s">
        <v>105</v>
      </c>
      <c r="E1216">
        <v>37281000000</v>
      </c>
      <c r="F1216">
        <v>1933000000</v>
      </c>
      <c r="G1216">
        <v>3362000000</v>
      </c>
      <c r="H1216">
        <v>1710000000</v>
      </c>
      <c r="I1216">
        <v>1110000000</v>
      </c>
      <c r="J1216">
        <v>1887000000</v>
      </c>
      <c r="K1216">
        <v>5485000000</v>
      </c>
      <c r="L1216">
        <v>727000000</v>
      </c>
      <c r="M1216">
        <v>6212000000</v>
      </c>
      <c r="N1216">
        <v>11297000000</v>
      </c>
      <c r="O1216">
        <v>964000000</v>
      </c>
      <c r="P1216">
        <v>499000000</v>
      </c>
      <c r="Q1216">
        <v>9459000000</v>
      </c>
      <c r="R1216">
        <v>9454000000</v>
      </c>
      <c r="S1216">
        <v>26017000000</v>
      </c>
      <c r="T1216">
        <v>0</v>
      </c>
      <c r="U1216">
        <v>1433000000</v>
      </c>
      <c r="V1216">
        <v>12682000000</v>
      </c>
      <c r="W1216">
        <v>168797064470</v>
      </c>
      <c r="X1216">
        <v>170230064470</v>
      </c>
      <c r="Y1216">
        <v>4.4272166645208024</v>
      </c>
      <c r="Z1216">
        <v>85.385961960682877</v>
      </c>
      <c r="AA1216">
        <v>49.093118521713272</v>
      </c>
      <c r="AB1216">
        <v>96.521090333333333</v>
      </c>
      <c r="AC1216">
        <v>148.69465267567571</v>
      </c>
      <c r="AD1216">
        <v>87.467442750397453</v>
      </c>
      <c r="AE1216">
        <v>88.065217004655977</v>
      </c>
      <c r="AF1216">
        <v>87.323882291774439</v>
      </c>
      <c r="AG1216">
        <v>153.36041844144151</v>
      </c>
      <c r="AH1216">
        <v>152.06942745045049</v>
      </c>
      <c r="AI1216">
        <v>50.633570633551457</v>
      </c>
      <c r="AJ1216">
        <v>99.549745304093562</v>
      </c>
      <c r="AK1216">
        <v>50.207336249256393</v>
      </c>
      <c r="AL1216">
        <v>98.711733608187131</v>
      </c>
      <c r="AM1216">
        <v>4.5661346120007513</v>
      </c>
      <c r="AN1216">
        <v>4.5276968018561732</v>
      </c>
    </row>
    <row r="1217" spans="1:40" x14ac:dyDescent="0.25">
      <c r="A1217" s="1" t="s">
        <v>319</v>
      </c>
      <c r="B1217">
        <v>163575352900</v>
      </c>
      <c r="C1217" t="s">
        <v>71</v>
      </c>
      <c r="D1217" t="s">
        <v>105</v>
      </c>
      <c r="E1217">
        <v>37281000000</v>
      </c>
      <c r="F1217">
        <v>1933000000</v>
      </c>
      <c r="G1217">
        <v>3362000000</v>
      </c>
      <c r="H1217">
        <v>1710000000</v>
      </c>
      <c r="I1217">
        <v>1110000000</v>
      </c>
      <c r="J1217">
        <v>1887000000</v>
      </c>
      <c r="K1217">
        <v>5485000000</v>
      </c>
      <c r="L1217">
        <v>727000000</v>
      </c>
      <c r="M1217">
        <v>6212000000</v>
      </c>
      <c r="N1217">
        <v>11297000000</v>
      </c>
      <c r="O1217">
        <v>964000000</v>
      </c>
      <c r="P1217">
        <v>499000000</v>
      </c>
      <c r="Q1217">
        <v>9459000000</v>
      </c>
      <c r="R1217">
        <v>9454000000</v>
      </c>
      <c r="S1217">
        <v>26017000000</v>
      </c>
      <c r="T1217">
        <v>0</v>
      </c>
      <c r="U1217">
        <v>1433000000</v>
      </c>
      <c r="V1217">
        <v>12682000000</v>
      </c>
      <c r="W1217">
        <v>167321352900</v>
      </c>
      <c r="X1217">
        <v>168754352900</v>
      </c>
      <c r="Y1217">
        <v>4.3876331884874329</v>
      </c>
      <c r="Z1217">
        <v>84.622531246766684</v>
      </c>
      <c r="AA1217">
        <v>48.65417992266508</v>
      </c>
      <c r="AB1217">
        <v>95.658101111111108</v>
      </c>
      <c r="AC1217">
        <v>147.36518279279281</v>
      </c>
      <c r="AD1217">
        <v>86.685401642819286</v>
      </c>
      <c r="AE1217">
        <v>87.301786290739784</v>
      </c>
      <c r="AF1217">
        <v>86.560451577858245</v>
      </c>
      <c r="AG1217">
        <v>152.03094855855849</v>
      </c>
      <c r="AH1217">
        <v>150.73995756756759</v>
      </c>
      <c r="AI1217">
        <v>50.194632034503272</v>
      </c>
      <c r="AJ1217">
        <v>98.686756081871351</v>
      </c>
      <c r="AK1217">
        <v>49.768397650208207</v>
      </c>
      <c r="AL1217">
        <v>97.848744385964906</v>
      </c>
      <c r="AM1217">
        <v>4.5265511359673827</v>
      </c>
      <c r="AN1217">
        <v>4.4881133258228054</v>
      </c>
    </row>
    <row r="1218" spans="1:40" x14ac:dyDescent="0.25">
      <c r="A1218" s="1" t="s">
        <v>318</v>
      </c>
      <c r="B1218">
        <v>161018838490</v>
      </c>
      <c r="C1218" t="s">
        <v>71</v>
      </c>
      <c r="D1218" t="s">
        <v>105</v>
      </c>
      <c r="E1218">
        <v>37281000000</v>
      </c>
      <c r="F1218">
        <v>1933000000</v>
      </c>
      <c r="G1218">
        <v>3362000000</v>
      </c>
      <c r="H1218">
        <v>1710000000</v>
      </c>
      <c r="I1218">
        <v>1110000000</v>
      </c>
      <c r="J1218">
        <v>1887000000</v>
      </c>
      <c r="K1218">
        <v>5485000000</v>
      </c>
      <c r="L1218">
        <v>727000000</v>
      </c>
      <c r="M1218">
        <v>6212000000</v>
      </c>
      <c r="N1218">
        <v>11297000000</v>
      </c>
      <c r="O1218">
        <v>964000000</v>
      </c>
      <c r="P1218">
        <v>499000000</v>
      </c>
      <c r="Q1218">
        <v>9459000000</v>
      </c>
      <c r="R1218">
        <v>9454000000</v>
      </c>
      <c r="S1218">
        <v>26017000000</v>
      </c>
      <c r="T1218">
        <v>0</v>
      </c>
      <c r="U1218">
        <v>1433000000</v>
      </c>
      <c r="V1218">
        <v>12682000000</v>
      </c>
      <c r="W1218">
        <v>164764838490</v>
      </c>
      <c r="X1218">
        <v>166197838490</v>
      </c>
      <c r="Y1218">
        <v>4.3190589976127249</v>
      </c>
      <c r="Z1218">
        <v>83.29996817899638</v>
      </c>
      <c r="AA1218">
        <v>47.893765166567519</v>
      </c>
      <c r="AB1218">
        <v>94.163063444444447</v>
      </c>
      <c r="AC1218">
        <v>145.06201665765769</v>
      </c>
      <c r="AD1218">
        <v>85.330598033916274</v>
      </c>
      <c r="AE1218">
        <v>85.97922322296948</v>
      </c>
      <c r="AF1218">
        <v>85.237888510087942</v>
      </c>
      <c r="AG1218">
        <v>149.72778242342341</v>
      </c>
      <c r="AH1218">
        <v>148.43679143243239</v>
      </c>
      <c r="AI1218">
        <v>49.434217278405711</v>
      </c>
      <c r="AJ1218">
        <v>97.191718415204676</v>
      </c>
      <c r="AK1218">
        <v>49.007982894110647</v>
      </c>
      <c r="AL1218">
        <v>96.353706719298245</v>
      </c>
      <c r="AM1218">
        <v>4.4579769450926747</v>
      </c>
      <c r="AN1218">
        <v>4.4195391349480966</v>
      </c>
    </row>
    <row r="1219" spans="1:40" x14ac:dyDescent="0.25">
      <c r="A1219" s="1" t="s">
        <v>317</v>
      </c>
      <c r="B1219">
        <v>162785535440</v>
      </c>
      <c r="C1219" t="s">
        <v>71</v>
      </c>
      <c r="D1219" t="s">
        <v>105</v>
      </c>
      <c r="E1219">
        <v>37281000000</v>
      </c>
      <c r="F1219">
        <v>1933000000</v>
      </c>
      <c r="G1219">
        <v>3362000000</v>
      </c>
      <c r="H1219">
        <v>1710000000</v>
      </c>
      <c r="I1219">
        <v>1110000000</v>
      </c>
      <c r="J1219">
        <v>1887000000</v>
      </c>
      <c r="K1219">
        <v>5485000000</v>
      </c>
      <c r="L1219">
        <v>727000000</v>
      </c>
      <c r="M1219">
        <v>6212000000</v>
      </c>
      <c r="N1219">
        <v>11297000000</v>
      </c>
      <c r="O1219">
        <v>964000000</v>
      </c>
      <c r="P1219">
        <v>499000000</v>
      </c>
      <c r="Q1219">
        <v>9459000000</v>
      </c>
      <c r="R1219">
        <v>9454000000</v>
      </c>
      <c r="S1219">
        <v>26017000000</v>
      </c>
      <c r="T1219">
        <v>0</v>
      </c>
      <c r="U1219">
        <v>1433000000</v>
      </c>
      <c r="V1219">
        <v>12682000000</v>
      </c>
      <c r="W1219">
        <v>166531535440</v>
      </c>
      <c r="X1219">
        <v>167964535440</v>
      </c>
      <c r="Y1219">
        <v>4.3664476661033769</v>
      </c>
      <c r="Z1219">
        <v>84.213934526642518</v>
      </c>
      <c r="AA1219">
        <v>48.419255038667458</v>
      </c>
      <c r="AB1219">
        <v>95.196219555555558</v>
      </c>
      <c r="AC1219">
        <v>146.65363553153151</v>
      </c>
      <c r="AD1219">
        <v>86.266844430312659</v>
      </c>
      <c r="AE1219">
        <v>86.893189570615618</v>
      </c>
      <c r="AF1219">
        <v>86.151854857734094</v>
      </c>
      <c r="AG1219">
        <v>151.3194012972973</v>
      </c>
      <c r="AH1219">
        <v>150.02841030630631</v>
      </c>
      <c r="AI1219">
        <v>49.95970715050565</v>
      </c>
      <c r="AJ1219">
        <v>98.224874526315787</v>
      </c>
      <c r="AK1219">
        <v>49.533472766210593</v>
      </c>
      <c r="AL1219">
        <v>97.386862830409356</v>
      </c>
      <c r="AM1219">
        <v>4.5053656135833267</v>
      </c>
      <c r="AN1219">
        <v>4.4669278034387494</v>
      </c>
    </row>
    <row r="1220" spans="1:40" x14ac:dyDescent="0.25">
      <c r="A1220" s="1" t="s">
        <v>316</v>
      </c>
      <c r="B1220">
        <v>162640042750</v>
      </c>
      <c r="C1220" t="s">
        <v>71</v>
      </c>
      <c r="D1220" t="s">
        <v>105</v>
      </c>
      <c r="E1220">
        <v>37281000000</v>
      </c>
      <c r="F1220">
        <v>1933000000</v>
      </c>
      <c r="G1220">
        <v>3362000000</v>
      </c>
      <c r="H1220">
        <v>1710000000</v>
      </c>
      <c r="I1220">
        <v>1110000000</v>
      </c>
      <c r="J1220">
        <v>1887000000</v>
      </c>
      <c r="K1220">
        <v>5485000000</v>
      </c>
      <c r="L1220">
        <v>727000000</v>
      </c>
      <c r="M1220">
        <v>6212000000</v>
      </c>
      <c r="N1220">
        <v>11297000000</v>
      </c>
      <c r="O1220">
        <v>964000000</v>
      </c>
      <c r="P1220">
        <v>499000000</v>
      </c>
      <c r="Q1220">
        <v>9459000000</v>
      </c>
      <c r="R1220">
        <v>9454000000</v>
      </c>
      <c r="S1220">
        <v>26017000000</v>
      </c>
      <c r="T1220">
        <v>0</v>
      </c>
      <c r="U1220">
        <v>1433000000</v>
      </c>
      <c r="V1220">
        <v>12682000000</v>
      </c>
      <c r="W1220">
        <v>166386042750</v>
      </c>
      <c r="X1220">
        <v>167819042750</v>
      </c>
      <c r="Y1220">
        <v>4.3625450698747352</v>
      </c>
      <c r="Z1220">
        <v>84.138666709777553</v>
      </c>
      <c r="AA1220">
        <v>48.375979402141581</v>
      </c>
      <c r="AB1220">
        <v>95.111136111111108</v>
      </c>
      <c r="AC1220">
        <v>146.522561036036</v>
      </c>
      <c r="AD1220">
        <v>86.18974178590355</v>
      </c>
      <c r="AE1220">
        <v>86.817921753750653</v>
      </c>
      <c r="AF1220">
        <v>86.076587040869114</v>
      </c>
      <c r="AG1220">
        <v>151.18832680180179</v>
      </c>
      <c r="AH1220">
        <v>149.8973358108108</v>
      </c>
      <c r="AI1220">
        <v>49.916431513979767</v>
      </c>
      <c r="AJ1220">
        <v>98.139791081871351</v>
      </c>
      <c r="AK1220">
        <v>49.490197129684709</v>
      </c>
      <c r="AL1220">
        <v>97.301779385964906</v>
      </c>
      <c r="AM1220">
        <v>4.501463017354685</v>
      </c>
      <c r="AN1220">
        <v>4.4630252072101069</v>
      </c>
    </row>
    <row r="1221" spans="1:40" x14ac:dyDescent="0.25">
      <c r="A1221" s="1" t="s">
        <v>315</v>
      </c>
      <c r="B1221">
        <v>161392962550</v>
      </c>
      <c r="C1221" t="s">
        <v>71</v>
      </c>
      <c r="D1221" t="s">
        <v>105</v>
      </c>
      <c r="E1221">
        <v>37281000000</v>
      </c>
      <c r="F1221">
        <v>1933000000</v>
      </c>
      <c r="G1221">
        <v>3362000000</v>
      </c>
      <c r="H1221">
        <v>1710000000</v>
      </c>
      <c r="I1221">
        <v>1110000000</v>
      </c>
      <c r="J1221">
        <v>1887000000</v>
      </c>
      <c r="K1221">
        <v>5485000000</v>
      </c>
      <c r="L1221">
        <v>727000000</v>
      </c>
      <c r="M1221">
        <v>6212000000</v>
      </c>
      <c r="N1221">
        <v>11297000000</v>
      </c>
      <c r="O1221">
        <v>964000000</v>
      </c>
      <c r="P1221">
        <v>499000000</v>
      </c>
      <c r="Q1221">
        <v>9459000000</v>
      </c>
      <c r="R1221">
        <v>9454000000</v>
      </c>
      <c r="S1221">
        <v>26017000000</v>
      </c>
      <c r="T1221">
        <v>0</v>
      </c>
      <c r="U1221">
        <v>1433000000</v>
      </c>
      <c r="V1221">
        <v>12682000000</v>
      </c>
      <c r="W1221">
        <v>165138962550</v>
      </c>
      <c r="X1221">
        <v>166571962550</v>
      </c>
      <c r="Y1221">
        <v>4.3290942450578038</v>
      </c>
      <c r="Z1221">
        <v>83.493513993792035</v>
      </c>
      <c r="AA1221">
        <v>48.00504537477692</v>
      </c>
      <c r="AB1221">
        <v>94.381849444444441</v>
      </c>
      <c r="AC1221">
        <v>145.3990653603604</v>
      </c>
      <c r="AD1221">
        <v>85.528861976682563</v>
      </c>
      <c r="AE1221">
        <v>86.172769037765136</v>
      </c>
      <c r="AF1221">
        <v>85.431434324883597</v>
      </c>
      <c r="AG1221">
        <v>150.06483112612611</v>
      </c>
      <c r="AH1221">
        <v>148.77384013513509</v>
      </c>
      <c r="AI1221">
        <v>49.545497486615112</v>
      </c>
      <c r="AJ1221">
        <v>97.410504415204684</v>
      </c>
      <c r="AK1221">
        <v>49.119263102320048</v>
      </c>
      <c r="AL1221">
        <v>96.572492719298239</v>
      </c>
      <c r="AM1221">
        <v>4.4680121925377536</v>
      </c>
      <c r="AN1221">
        <v>4.4295743823931764</v>
      </c>
    </row>
    <row r="1222" spans="1:40" x14ac:dyDescent="0.25">
      <c r="A1222" s="1" t="s">
        <v>314</v>
      </c>
      <c r="B1222">
        <v>158108984690</v>
      </c>
      <c r="C1222" t="s">
        <v>71</v>
      </c>
      <c r="D1222" t="s">
        <v>105</v>
      </c>
      <c r="E1222">
        <v>37281000000</v>
      </c>
      <c r="F1222">
        <v>1933000000</v>
      </c>
      <c r="G1222">
        <v>3362000000</v>
      </c>
      <c r="H1222">
        <v>1710000000</v>
      </c>
      <c r="I1222">
        <v>1110000000</v>
      </c>
      <c r="J1222">
        <v>1887000000</v>
      </c>
      <c r="K1222">
        <v>5485000000</v>
      </c>
      <c r="L1222">
        <v>727000000</v>
      </c>
      <c r="M1222">
        <v>6212000000</v>
      </c>
      <c r="N1222">
        <v>11297000000</v>
      </c>
      <c r="O1222">
        <v>964000000</v>
      </c>
      <c r="P1222">
        <v>499000000</v>
      </c>
      <c r="Q1222">
        <v>9459000000</v>
      </c>
      <c r="R1222">
        <v>9454000000</v>
      </c>
      <c r="S1222">
        <v>26017000000</v>
      </c>
      <c r="T1222">
        <v>0</v>
      </c>
      <c r="U1222">
        <v>1433000000</v>
      </c>
      <c r="V1222">
        <v>12682000000</v>
      </c>
      <c r="W1222">
        <v>161854984690</v>
      </c>
      <c r="X1222">
        <v>163287984690</v>
      </c>
      <c r="Y1222">
        <v>4.2410070730398859</v>
      </c>
      <c r="Z1222">
        <v>81.794611841696849</v>
      </c>
      <c r="AA1222">
        <v>47.028252436049968</v>
      </c>
      <c r="AB1222">
        <v>92.461394555555557</v>
      </c>
      <c r="AC1222">
        <v>142.44052674774781</v>
      </c>
      <c r="AD1222">
        <v>83.788545145733963</v>
      </c>
      <c r="AE1222">
        <v>84.473866885669949</v>
      </c>
      <c r="AF1222">
        <v>83.73253217278841</v>
      </c>
      <c r="AG1222">
        <v>147.10629251351349</v>
      </c>
      <c r="AH1222">
        <v>145.8153015225225</v>
      </c>
      <c r="AI1222">
        <v>48.56870454788816</v>
      </c>
      <c r="AJ1222">
        <v>95.490049526315786</v>
      </c>
      <c r="AK1222">
        <v>48.142470163593103</v>
      </c>
      <c r="AL1222">
        <v>94.652037830409355</v>
      </c>
      <c r="AM1222">
        <v>4.3799250205198357</v>
      </c>
      <c r="AN1222">
        <v>4.3414872103752584</v>
      </c>
    </row>
    <row r="1223" spans="1:40" x14ac:dyDescent="0.25">
      <c r="A1223" s="1" t="s">
        <v>313</v>
      </c>
      <c r="B1223">
        <v>157339951900</v>
      </c>
      <c r="C1223" t="s">
        <v>71</v>
      </c>
      <c r="D1223" t="s">
        <v>105</v>
      </c>
      <c r="E1223">
        <v>37281000000</v>
      </c>
      <c r="F1223">
        <v>1933000000</v>
      </c>
      <c r="G1223">
        <v>3362000000</v>
      </c>
      <c r="H1223">
        <v>1710000000</v>
      </c>
      <c r="I1223">
        <v>1110000000</v>
      </c>
      <c r="J1223">
        <v>1887000000</v>
      </c>
      <c r="K1223">
        <v>5485000000</v>
      </c>
      <c r="L1223">
        <v>727000000</v>
      </c>
      <c r="M1223">
        <v>6212000000</v>
      </c>
      <c r="N1223">
        <v>11297000000</v>
      </c>
      <c r="O1223">
        <v>964000000</v>
      </c>
      <c r="P1223">
        <v>499000000</v>
      </c>
      <c r="Q1223">
        <v>9459000000</v>
      </c>
      <c r="R1223">
        <v>9454000000</v>
      </c>
      <c r="S1223">
        <v>26017000000</v>
      </c>
      <c r="T1223">
        <v>0</v>
      </c>
      <c r="U1223">
        <v>1433000000</v>
      </c>
      <c r="V1223">
        <v>12682000000</v>
      </c>
      <c r="W1223">
        <v>161085951900</v>
      </c>
      <c r="X1223">
        <v>162518951900</v>
      </c>
      <c r="Y1223">
        <v>4.2203790644027794</v>
      </c>
      <c r="Z1223">
        <v>81.396767666839111</v>
      </c>
      <c r="AA1223">
        <v>46.799509785841757</v>
      </c>
      <c r="AB1223">
        <v>92.011667777777774</v>
      </c>
      <c r="AC1223">
        <v>141.74770441441439</v>
      </c>
      <c r="AD1223">
        <v>83.381002596714367</v>
      </c>
      <c r="AE1223">
        <v>84.076022710812211</v>
      </c>
      <c r="AF1223">
        <v>83.334687997930672</v>
      </c>
      <c r="AG1223">
        <v>146.41347018018021</v>
      </c>
      <c r="AH1223">
        <v>145.12247918918919</v>
      </c>
      <c r="AI1223">
        <v>48.339961897679963</v>
      </c>
      <c r="AJ1223">
        <v>95.040322748538017</v>
      </c>
      <c r="AK1223">
        <v>47.913727513384892</v>
      </c>
      <c r="AL1223">
        <v>94.202311052631572</v>
      </c>
      <c r="AM1223">
        <v>4.3592970118827283</v>
      </c>
      <c r="AN1223">
        <v>4.3208592017381511</v>
      </c>
    </row>
    <row r="1224" spans="1:40" x14ac:dyDescent="0.25">
      <c r="A1224" s="1" t="s">
        <v>312</v>
      </c>
      <c r="B1224">
        <v>160208236360</v>
      </c>
      <c r="C1224" t="s">
        <v>71</v>
      </c>
      <c r="D1224" t="s">
        <v>105</v>
      </c>
      <c r="E1224">
        <v>37281000000</v>
      </c>
      <c r="F1224">
        <v>1933000000</v>
      </c>
      <c r="G1224">
        <v>3362000000</v>
      </c>
      <c r="H1224">
        <v>1710000000</v>
      </c>
      <c r="I1224">
        <v>1110000000</v>
      </c>
      <c r="J1224">
        <v>1887000000</v>
      </c>
      <c r="K1224">
        <v>5485000000</v>
      </c>
      <c r="L1224">
        <v>727000000</v>
      </c>
      <c r="M1224">
        <v>6212000000</v>
      </c>
      <c r="N1224">
        <v>11297000000</v>
      </c>
      <c r="O1224">
        <v>964000000</v>
      </c>
      <c r="P1224">
        <v>499000000</v>
      </c>
      <c r="Q1224">
        <v>9459000000</v>
      </c>
      <c r="R1224">
        <v>9454000000</v>
      </c>
      <c r="S1224">
        <v>26017000000</v>
      </c>
      <c r="T1224">
        <v>0</v>
      </c>
      <c r="U1224">
        <v>1433000000</v>
      </c>
      <c r="V1224">
        <v>12682000000</v>
      </c>
      <c r="W1224">
        <v>163954236360</v>
      </c>
      <c r="X1224">
        <v>165387236360</v>
      </c>
      <c r="Y1224">
        <v>4.2973159614817202</v>
      </c>
      <c r="Z1224">
        <v>82.880618913605801</v>
      </c>
      <c r="AA1224">
        <v>47.652658048780488</v>
      </c>
      <c r="AB1224">
        <v>93.689027111111116</v>
      </c>
      <c r="AC1224">
        <v>144.33174446846849</v>
      </c>
      <c r="AD1224">
        <v>84.90102615792263</v>
      </c>
      <c r="AE1224">
        <v>85.559873957578887</v>
      </c>
      <c r="AF1224">
        <v>84.818539244697362</v>
      </c>
      <c r="AG1224">
        <v>148.9975102342342</v>
      </c>
      <c r="AH1224">
        <v>147.70651924324321</v>
      </c>
      <c r="AI1224">
        <v>49.19311016061868</v>
      </c>
      <c r="AJ1224">
        <v>96.717682081871345</v>
      </c>
      <c r="AK1224">
        <v>48.766875776323623</v>
      </c>
      <c r="AL1224">
        <v>95.879670385964914</v>
      </c>
      <c r="AM1224">
        <v>4.4362339089616691</v>
      </c>
      <c r="AN1224">
        <v>4.3977960988170919</v>
      </c>
    </row>
    <row r="1225" spans="1:40" x14ac:dyDescent="0.25">
      <c r="A1225" s="1" t="s">
        <v>311</v>
      </c>
      <c r="B1225">
        <v>163450644880</v>
      </c>
      <c r="C1225" t="s">
        <v>71</v>
      </c>
      <c r="D1225" t="s">
        <v>105</v>
      </c>
      <c r="E1225">
        <v>37281000000</v>
      </c>
      <c r="F1225">
        <v>1933000000</v>
      </c>
      <c r="G1225">
        <v>3362000000</v>
      </c>
      <c r="H1225">
        <v>1710000000</v>
      </c>
      <c r="I1225">
        <v>1110000000</v>
      </c>
      <c r="J1225">
        <v>1887000000</v>
      </c>
      <c r="K1225">
        <v>5485000000</v>
      </c>
      <c r="L1225">
        <v>727000000</v>
      </c>
      <c r="M1225">
        <v>6212000000</v>
      </c>
      <c r="N1225">
        <v>11297000000</v>
      </c>
      <c r="O1225">
        <v>964000000</v>
      </c>
      <c r="P1225">
        <v>499000000</v>
      </c>
      <c r="Q1225">
        <v>9459000000</v>
      </c>
      <c r="R1225">
        <v>9454000000</v>
      </c>
      <c r="S1225">
        <v>26017000000</v>
      </c>
      <c r="T1225">
        <v>0</v>
      </c>
      <c r="U1225">
        <v>1433000000</v>
      </c>
      <c r="V1225">
        <v>12682000000</v>
      </c>
      <c r="W1225">
        <v>167196644880</v>
      </c>
      <c r="X1225">
        <v>168629644880</v>
      </c>
      <c r="Y1225">
        <v>4.3842881060057399</v>
      </c>
      <c r="Z1225">
        <v>84.558015975168132</v>
      </c>
      <c r="AA1225">
        <v>48.617086519928613</v>
      </c>
      <c r="AB1225">
        <v>95.585172444444439</v>
      </c>
      <c r="AC1225">
        <v>147.2528332252252</v>
      </c>
      <c r="AD1225">
        <v>86.619313661897195</v>
      </c>
      <c r="AE1225">
        <v>87.237271019141232</v>
      </c>
      <c r="AF1225">
        <v>86.495936306259694</v>
      </c>
      <c r="AG1225">
        <v>151.918598990991</v>
      </c>
      <c r="AH1225">
        <v>150.62760800000001</v>
      </c>
      <c r="AI1225">
        <v>50.157538631766798</v>
      </c>
      <c r="AJ1225">
        <v>98.613827415204682</v>
      </c>
      <c r="AK1225">
        <v>49.731304247471741</v>
      </c>
      <c r="AL1225">
        <v>97.775815719298251</v>
      </c>
      <c r="AM1225">
        <v>4.5232060534856897</v>
      </c>
      <c r="AN1225">
        <v>4.4847682433411116</v>
      </c>
    </row>
    <row r="1226" spans="1:40" x14ac:dyDescent="0.25">
      <c r="A1226" s="1" t="s">
        <v>310</v>
      </c>
      <c r="B1226">
        <v>166796976750</v>
      </c>
      <c r="C1226" t="s">
        <v>71</v>
      </c>
      <c r="D1226" t="s">
        <v>105</v>
      </c>
      <c r="E1226">
        <v>37281000000</v>
      </c>
      <c r="F1226">
        <v>1933000000</v>
      </c>
      <c r="G1226">
        <v>3362000000</v>
      </c>
      <c r="H1226">
        <v>1710000000</v>
      </c>
      <c r="I1226">
        <v>1110000000</v>
      </c>
      <c r="J1226">
        <v>1887000000</v>
      </c>
      <c r="K1226">
        <v>5485000000</v>
      </c>
      <c r="L1226">
        <v>727000000</v>
      </c>
      <c r="M1226">
        <v>6212000000</v>
      </c>
      <c r="N1226">
        <v>11297000000</v>
      </c>
      <c r="O1226">
        <v>964000000</v>
      </c>
      <c r="P1226">
        <v>499000000</v>
      </c>
      <c r="Q1226">
        <v>9459000000</v>
      </c>
      <c r="R1226">
        <v>9454000000</v>
      </c>
      <c r="S1226">
        <v>26017000000</v>
      </c>
      <c r="T1226">
        <v>0</v>
      </c>
      <c r="U1226">
        <v>1433000000</v>
      </c>
      <c r="V1226">
        <v>12682000000</v>
      </c>
      <c r="W1226">
        <v>170542976750</v>
      </c>
      <c r="X1226">
        <v>171975976750</v>
      </c>
      <c r="Y1226">
        <v>4.4740478192645048</v>
      </c>
      <c r="Z1226">
        <v>86.289175763062602</v>
      </c>
      <c r="AA1226">
        <v>49.612426160023787</v>
      </c>
      <c r="AB1226">
        <v>97.542091666666664</v>
      </c>
      <c r="AC1226">
        <v>150.26754662162159</v>
      </c>
      <c r="AD1226">
        <v>88.392674483306834</v>
      </c>
      <c r="AE1226">
        <v>88.968430807035702</v>
      </c>
      <c r="AF1226">
        <v>88.227096094154163</v>
      </c>
      <c r="AG1226">
        <v>154.93331238738739</v>
      </c>
      <c r="AH1226">
        <v>153.6423213963964</v>
      </c>
      <c r="AI1226">
        <v>51.152878271861987</v>
      </c>
      <c r="AJ1226">
        <v>100.57074663742689</v>
      </c>
      <c r="AK1226">
        <v>50.726643887566922</v>
      </c>
      <c r="AL1226">
        <v>99.732734941520462</v>
      </c>
      <c r="AM1226">
        <v>4.6129657667444546</v>
      </c>
      <c r="AN1226">
        <v>4.5745279565998764</v>
      </c>
    </row>
    <row r="1227" spans="1:40" x14ac:dyDescent="0.25">
      <c r="A1227" s="1" t="s">
        <v>309</v>
      </c>
      <c r="B1227">
        <v>166755407410</v>
      </c>
      <c r="C1227" t="s">
        <v>71</v>
      </c>
      <c r="D1227" t="s">
        <v>105</v>
      </c>
      <c r="E1227">
        <v>37281000000</v>
      </c>
      <c r="F1227">
        <v>1933000000</v>
      </c>
      <c r="G1227">
        <v>3362000000</v>
      </c>
      <c r="H1227">
        <v>1710000000</v>
      </c>
      <c r="I1227">
        <v>1110000000</v>
      </c>
      <c r="J1227">
        <v>1887000000</v>
      </c>
      <c r="K1227">
        <v>5485000000</v>
      </c>
      <c r="L1227">
        <v>727000000</v>
      </c>
      <c r="M1227">
        <v>6212000000</v>
      </c>
      <c r="N1227">
        <v>11297000000</v>
      </c>
      <c r="O1227">
        <v>964000000</v>
      </c>
      <c r="P1227">
        <v>499000000</v>
      </c>
      <c r="Q1227">
        <v>9459000000</v>
      </c>
      <c r="R1227">
        <v>9454000000</v>
      </c>
      <c r="S1227">
        <v>26017000000</v>
      </c>
      <c r="T1227">
        <v>0</v>
      </c>
      <c r="U1227">
        <v>1433000000</v>
      </c>
      <c r="V1227">
        <v>12682000000</v>
      </c>
      <c r="W1227">
        <v>170501407410</v>
      </c>
      <c r="X1227">
        <v>171934407410</v>
      </c>
      <c r="Y1227">
        <v>4.4729327917706074</v>
      </c>
      <c r="Z1227">
        <v>86.267670672529746</v>
      </c>
      <c r="AA1227">
        <v>49.600061692444967</v>
      </c>
      <c r="AB1227">
        <v>97.517782111111117</v>
      </c>
      <c r="AC1227">
        <v>150.23009676576581</v>
      </c>
      <c r="AD1227">
        <v>88.370645156332799</v>
      </c>
      <c r="AE1227">
        <v>88.946925716502847</v>
      </c>
      <c r="AF1227">
        <v>88.205591003621308</v>
      </c>
      <c r="AG1227">
        <v>154.89586253153149</v>
      </c>
      <c r="AH1227">
        <v>153.6048715405405</v>
      </c>
      <c r="AI1227">
        <v>51.140513804283167</v>
      </c>
      <c r="AJ1227">
        <v>100.5464370818713</v>
      </c>
      <c r="AK1227">
        <v>50.714279419988102</v>
      </c>
      <c r="AL1227">
        <v>99.708425385964915</v>
      </c>
      <c r="AM1227">
        <v>4.6118507392505563</v>
      </c>
      <c r="AN1227">
        <v>4.5734129291059791</v>
      </c>
    </row>
    <row r="1228" spans="1:40" x14ac:dyDescent="0.25">
      <c r="A1228" s="1" t="s">
        <v>308</v>
      </c>
      <c r="B1228">
        <v>165051064470</v>
      </c>
      <c r="C1228" t="s">
        <v>71</v>
      </c>
      <c r="D1228" t="s">
        <v>105</v>
      </c>
      <c r="E1228">
        <v>37281000000</v>
      </c>
      <c r="F1228">
        <v>1933000000</v>
      </c>
      <c r="G1228">
        <v>3362000000</v>
      </c>
      <c r="H1228">
        <v>1710000000</v>
      </c>
      <c r="I1228">
        <v>1110000000</v>
      </c>
      <c r="J1228">
        <v>1887000000</v>
      </c>
      <c r="K1228">
        <v>5485000000</v>
      </c>
      <c r="L1228">
        <v>727000000</v>
      </c>
      <c r="M1228">
        <v>6212000000</v>
      </c>
      <c r="N1228">
        <v>11297000000</v>
      </c>
      <c r="O1228">
        <v>964000000</v>
      </c>
      <c r="P1228">
        <v>499000000</v>
      </c>
      <c r="Q1228">
        <v>9459000000</v>
      </c>
      <c r="R1228">
        <v>9454000000</v>
      </c>
      <c r="S1228">
        <v>26017000000</v>
      </c>
      <c r="T1228">
        <v>0</v>
      </c>
      <c r="U1228">
        <v>1433000000</v>
      </c>
      <c r="V1228">
        <v>12682000000</v>
      </c>
      <c r="W1228">
        <v>168797064470</v>
      </c>
      <c r="X1228">
        <v>170230064470</v>
      </c>
      <c r="Y1228">
        <v>4.4272166645208024</v>
      </c>
      <c r="Z1228">
        <v>85.385961960682877</v>
      </c>
      <c r="AA1228">
        <v>49.093118521713272</v>
      </c>
      <c r="AB1228">
        <v>96.521090333333333</v>
      </c>
      <c r="AC1228">
        <v>148.69465267567571</v>
      </c>
      <c r="AD1228">
        <v>87.467442750397453</v>
      </c>
      <c r="AE1228">
        <v>88.065217004655977</v>
      </c>
      <c r="AF1228">
        <v>87.323882291774439</v>
      </c>
      <c r="AG1228">
        <v>153.36041844144151</v>
      </c>
      <c r="AH1228">
        <v>152.06942745045049</v>
      </c>
      <c r="AI1228">
        <v>50.633570633551457</v>
      </c>
      <c r="AJ1228">
        <v>99.549745304093562</v>
      </c>
      <c r="AK1228">
        <v>50.207336249256393</v>
      </c>
      <c r="AL1228">
        <v>98.711733608187131</v>
      </c>
      <c r="AM1228">
        <v>4.5661346120007513</v>
      </c>
      <c r="AN1228">
        <v>4.5276968018561732</v>
      </c>
    </row>
    <row r="1229" spans="1:40" x14ac:dyDescent="0.25">
      <c r="A1229" s="1" t="s">
        <v>307</v>
      </c>
      <c r="B1229">
        <v>161933363970</v>
      </c>
      <c r="C1229" t="s">
        <v>71</v>
      </c>
      <c r="D1229" t="s">
        <v>105</v>
      </c>
      <c r="E1229">
        <v>37281000000</v>
      </c>
      <c r="F1229">
        <v>1933000000</v>
      </c>
      <c r="G1229">
        <v>3362000000</v>
      </c>
      <c r="H1229">
        <v>1710000000</v>
      </c>
      <c r="I1229">
        <v>1110000000</v>
      </c>
      <c r="J1229">
        <v>1887000000</v>
      </c>
      <c r="K1229">
        <v>5485000000</v>
      </c>
      <c r="L1229">
        <v>727000000</v>
      </c>
      <c r="M1229">
        <v>6212000000</v>
      </c>
      <c r="N1229">
        <v>11297000000</v>
      </c>
      <c r="O1229">
        <v>964000000</v>
      </c>
      <c r="P1229">
        <v>499000000</v>
      </c>
      <c r="Q1229">
        <v>9459000000</v>
      </c>
      <c r="R1229">
        <v>9454000000</v>
      </c>
      <c r="S1229">
        <v>26017000000</v>
      </c>
      <c r="T1229">
        <v>0</v>
      </c>
      <c r="U1229">
        <v>1433000000</v>
      </c>
      <c r="V1229">
        <v>12682000000</v>
      </c>
      <c r="W1229">
        <v>165679363970</v>
      </c>
      <c r="X1229">
        <v>167112363970</v>
      </c>
      <c r="Y1229">
        <v>4.3435896024784739</v>
      </c>
      <c r="Z1229">
        <v>83.773080170719084</v>
      </c>
      <c r="AA1229">
        <v>48.165783453301607</v>
      </c>
      <c r="AB1229">
        <v>94.697873666666666</v>
      </c>
      <c r="AC1229">
        <v>145.88591348648649</v>
      </c>
      <c r="AD1229">
        <v>85.815243227344993</v>
      </c>
      <c r="AE1229">
        <v>86.452335214692184</v>
      </c>
      <c r="AF1229">
        <v>85.711000501810659</v>
      </c>
      <c r="AG1229">
        <v>150.55167925225231</v>
      </c>
      <c r="AH1229">
        <v>149.26068826126129</v>
      </c>
      <c r="AI1229">
        <v>49.706235565139799</v>
      </c>
      <c r="AJ1229">
        <v>97.726528637426895</v>
      </c>
      <c r="AK1229">
        <v>49.280001180844742</v>
      </c>
      <c r="AL1229">
        <v>96.888516941520464</v>
      </c>
      <c r="AM1229">
        <v>4.4825075499584237</v>
      </c>
      <c r="AN1229">
        <v>4.4440697398138456</v>
      </c>
    </row>
    <row r="1230" spans="1:40" x14ac:dyDescent="0.25">
      <c r="A1230" s="1" t="s">
        <v>306</v>
      </c>
      <c r="B1230">
        <v>162349057370</v>
      </c>
      <c r="C1230" t="s">
        <v>71</v>
      </c>
      <c r="D1230" t="s">
        <v>105</v>
      </c>
      <c r="E1230">
        <v>37281000000</v>
      </c>
      <c r="F1230">
        <v>1933000000</v>
      </c>
      <c r="G1230">
        <v>3362000000</v>
      </c>
      <c r="H1230">
        <v>1710000000</v>
      </c>
      <c r="I1230">
        <v>1110000000</v>
      </c>
      <c r="J1230">
        <v>1887000000</v>
      </c>
      <c r="K1230">
        <v>5485000000</v>
      </c>
      <c r="L1230">
        <v>727000000</v>
      </c>
      <c r="M1230">
        <v>6212000000</v>
      </c>
      <c r="N1230">
        <v>11297000000</v>
      </c>
      <c r="O1230">
        <v>964000000</v>
      </c>
      <c r="P1230">
        <v>499000000</v>
      </c>
      <c r="Q1230">
        <v>9459000000</v>
      </c>
      <c r="R1230">
        <v>9454000000</v>
      </c>
      <c r="S1230">
        <v>26017000000</v>
      </c>
      <c r="T1230">
        <v>0</v>
      </c>
      <c r="U1230">
        <v>1433000000</v>
      </c>
      <c r="V1230">
        <v>12682000000</v>
      </c>
      <c r="W1230">
        <v>166095057370</v>
      </c>
      <c r="X1230">
        <v>167528057370</v>
      </c>
      <c r="Y1230">
        <v>4.3547398774174511</v>
      </c>
      <c r="Z1230">
        <v>83.988131076047594</v>
      </c>
      <c r="AA1230">
        <v>48.289428129089828</v>
      </c>
      <c r="AB1230">
        <v>94.940969222222222</v>
      </c>
      <c r="AC1230">
        <v>146.26041204504509</v>
      </c>
      <c r="AD1230">
        <v>86.035536497085317</v>
      </c>
      <c r="AE1230">
        <v>86.667386120020694</v>
      </c>
      <c r="AF1230">
        <v>85.926051407139155</v>
      </c>
      <c r="AG1230">
        <v>150.9261778108108</v>
      </c>
      <c r="AH1230">
        <v>149.63518681981981</v>
      </c>
      <c r="AI1230">
        <v>49.82988024092802</v>
      </c>
      <c r="AJ1230">
        <v>97.969624192982451</v>
      </c>
      <c r="AK1230">
        <v>49.403645856632963</v>
      </c>
      <c r="AL1230">
        <v>97.13161249707602</v>
      </c>
      <c r="AM1230">
        <v>4.4936578248974008</v>
      </c>
      <c r="AN1230">
        <v>4.4552200147528236</v>
      </c>
    </row>
    <row r="1231" spans="1:40" x14ac:dyDescent="0.25">
      <c r="A1231" s="1" t="s">
        <v>305</v>
      </c>
      <c r="B1231">
        <v>160021174330</v>
      </c>
      <c r="C1231" t="s">
        <v>71</v>
      </c>
      <c r="D1231" t="s">
        <v>105</v>
      </c>
      <c r="E1231">
        <v>37281000000</v>
      </c>
      <c r="F1231">
        <v>1933000000</v>
      </c>
      <c r="G1231">
        <v>3362000000</v>
      </c>
      <c r="H1231">
        <v>1710000000</v>
      </c>
      <c r="I1231">
        <v>1110000000</v>
      </c>
      <c r="J1231">
        <v>1887000000</v>
      </c>
      <c r="K1231">
        <v>5485000000</v>
      </c>
      <c r="L1231">
        <v>727000000</v>
      </c>
      <c r="M1231">
        <v>6212000000</v>
      </c>
      <c r="N1231">
        <v>11297000000</v>
      </c>
      <c r="O1231">
        <v>964000000</v>
      </c>
      <c r="P1231">
        <v>499000000</v>
      </c>
      <c r="Q1231">
        <v>9459000000</v>
      </c>
      <c r="R1231">
        <v>9454000000</v>
      </c>
      <c r="S1231">
        <v>26017000000</v>
      </c>
      <c r="T1231">
        <v>0</v>
      </c>
      <c r="U1231">
        <v>1433000000</v>
      </c>
      <c r="V1231">
        <v>12682000000</v>
      </c>
      <c r="W1231">
        <v>163767174330</v>
      </c>
      <c r="X1231">
        <v>165200174330</v>
      </c>
      <c r="Y1231">
        <v>4.2922983377591803</v>
      </c>
      <c r="Z1231">
        <v>82.783846006207966</v>
      </c>
      <c r="AA1231">
        <v>47.597017944675791</v>
      </c>
      <c r="AB1231">
        <v>93.579634111111105</v>
      </c>
      <c r="AC1231">
        <v>144.16322011711711</v>
      </c>
      <c r="AD1231">
        <v>84.801894186539485</v>
      </c>
      <c r="AE1231">
        <v>85.463101050181066</v>
      </c>
      <c r="AF1231">
        <v>84.721766337299528</v>
      </c>
      <c r="AG1231">
        <v>148.8289858828829</v>
      </c>
      <c r="AH1231">
        <v>147.53799489189191</v>
      </c>
      <c r="AI1231">
        <v>49.137470056513983</v>
      </c>
      <c r="AJ1231">
        <v>96.608289081871348</v>
      </c>
      <c r="AK1231">
        <v>48.711235672218919</v>
      </c>
      <c r="AL1231">
        <v>95.770277385964917</v>
      </c>
      <c r="AM1231">
        <v>4.4312162852391301</v>
      </c>
      <c r="AN1231">
        <v>4.392778475094552</v>
      </c>
    </row>
    <row r="1232" spans="1:40" x14ac:dyDescent="0.25">
      <c r="A1232" s="1" t="s">
        <v>304</v>
      </c>
      <c r="B1232">
        <v>158794878800</v>
      </c>
      <c r="C1232" t="s">
        <v>71</v>
      </c>
      <c r="D1232" t="s">
        <v>105</v>
      </c>
      <c r="E1232">
        <v>37281000000</v>
      </c>
      <c r="F1232">
        <v>1933000000</v>
      </c>
      <c r="G1232">
        <v>3362000000</v>
      </c>
      <c r="H1232">
        <v>1710000000</v>
      </c>
      <c r="I1232">
        <v>1110000000</v>
      </c>
      <c r="J1232">
        <v>1887000000</v>
      </c>
      <c r="K1232">
        <v>5485000000</v>
      </c>
      <c r="L1232">
        <v>727000000</v>
      </c>
      <c r="M1232">
        <v>6212000000</v>
      </c>
      <c r="N1232">
        <v>11297000000</v>
      </c>
      <c r="O1232">
        <v>964000000</v>
      </c>
      <c r="P1232">
        <v>499000000</v>
      </c>
      <c r="Q1232">
        <v>9459000000</v>
      </c>
      <c r="R1232">
        <v>9454000000</v>
      </c>
      <c r="S1232">
        <v>26017000000</v>
      </c>
      <c r="T1232">
        <v>0</v>
      </c>
      <c r="U1232">
        <v>1433000000</v>
      </c>
      <c r="V1232">
        <v>12682000000</v>
      </c>
      <c r="W1232">
        <v>162540878800</v>
      </c>
      <c r="X1232">
        <v>163973878800</v>
      </c>
      <c r="Y1232">
        <v>4.2594050266891994</v>
      </c>
      <c r="Z1232">
        <v>82.149445835488876</v>
      </c>
      <c r="AA1232">
        <v>47.232266151100532</v>
      </c>
      <c r="AB1232">
        <v>92.862502222222219</v>
      </c>
      <c r="AC1232">
        <v>143.05844936936941</v>
      </c>
      <c r="AD1232">
        <v>84.152029040805516</v>
      </c>
      <c r="AE1232">
        <v>84.828700879461977</v>
      </c>
      <c r="AF1232">
        <v>84.087366166580452</v>
      </c>
      <c r="AG1232">
        <v>147.7242151351351</v>
      </c>
      <c r="AH1232">
        <v>146.43322414414411</v>
      </c>
      <c r="AI1232">
        <v>48.772718262938717</v>
      </c>
      <c r="AJ1232">
        <v>95.891157192982462</v>
      </c>
      <c r="AK1232">
        <v>48.346483878643667</v>
      </c>
      <c r="AL1232">
        <v>95.053145497076017</v>
      </c>
      <c r="AM1232">
        <v>4.3983229741691474</v>
      </c>
      <c r="AN1232">
        <v>4.3598851640245702</v>
      </c>
    </row>
    <row r="1233" spans="1:40" x14ac:dyDescent="0.25">
      <c r="A1233" s="1" t="s">
        <v>303</v>
      </c>
      <c r="B1233">
        <v>160000389660</v>
      </c>
      <c r="C1233" t="s">
        <v>71</v>
      </c>
      <c r="D1233" t="s">
        <v>105</v>
      </c>
      <c r="E1233">
        <v>37281000000</v>
      </c>
      <c r="F1233">
        <v>1933000000</v>
      </c>
      <c r="G1233">
        <v>3362000000</v>
      </c>
      <c r="H1233">
        <v>1710000000</v>
      </c>
      <c r="I1233">
        <v>1110000000</v>
      </c>
      <c r="J1233">
        <v>1887000000</v>
      </c>
      <c r="K1233">
        <v>5485000000</v>
      </c>
      <c r="L1233">
        <v>727000000</v>
      </c>
      <c r="M1233">
        <v>6212000000</v>
      </c>
      <c r="N1233">
        <v>11297000000</v>
      </c>
      <c r="O1233">
        <v>964000000</v>
      </c>
      <c r="P1233">
        <v>499000000</v>
      </c>
      <c r="Q1233">
        <v>9459000000</v>
      </c>
      <c r="R1233">
        <v>9454000000</v>
      </c>
      <c r="S1233">
        <v>26017000000</v>
      </c>
      <c r="T1233">
        <v>0</v>
      </c>
      <c r="U1233">
        <v>1433000000</v>
      </c>
      <c r="V1233">
        <v>12682000000</v>
      </c>
      <c r="W1233">
        <v>163746389660</v>
      </c>
      <c r="X1233">
        <v>165179389660</v>
      </c>
      <c r="Y1233">
        <v>4.2917408240122317</v>
      </c>
      <c r="Z1233">
        <v>82.773093460941539</v>
      </c>
      <c r="AA1233">
        <v>47.590835710886367</v>
      </c>
      <c r="AB1233">
        <v>93.567479333333338</v>
      </c>
      <c r="AC1233">
        <v>144.1444951891892</v>
      </c>
      <c r="AD1233">
        <v>84.790879523052467</v>
      </c>
      <c r="AE1233">
        <v>85.452348504914639</v>
      </c>
      <c r="AF1233">
        <v>84.711013792033114</v>
      </c>
      <c r="AG1233">
        <v>148.81026095495491</v>
      </c>
      <c r="AH1233">
        <v>147.51926996396389</v>
      </c>
      <c r="AI1233">
        <v>49.131287822724573</v>
      </c>
      <c r="AJ1233">
        <v>96.596134304093567</v>
      </c>
      <c r="AK1233">
        <v>48.705053438429509</v>
      </c>
      <c r="AL1233">
        <v>95.758122608187136</v>
      </c>
      <c r="AM1233">
        <v>4.4306587714921806</v>
      </c>
      <c r="AN1233">
        <v>4.3922209613476033</v>
      </c>
    </row>
    <row r="1234" spans="1:40" x14ac:dyDescent="0.25">
      <c r="A1234" s="1" t="s">
        <v>302</v>
      </c>
      <c r="B1234">
        <v>159647050270</v>
      </c>
      <c r="C1234" t="s">
        <v>71</v>
      </c>
      <c r="D1234" t="s">
        <v>105</v>
      </c>
      <c r="E1234">
        <v>37281000000</v>
      </c>
      <c r="F1234">
        <v>1933000000</v>
      </c>
      <c r="G1234">
        <v>3362000000</v>
      </c>
      <c r="H1234">
        <v>1710000000</v>
      </c>
      <c r="I1234">
        <v>1110000000</v>
      </c>
      <c r="J1234">
        <v>1887000000</v>
      </c>
      <c r="K1234">
        <v>5485000000</v>
      </c>
      <c r="L1234">
        <v>727000000</v>
      </c>
      <c r="M1234">
        <v>6212000000</v>
      </c>
      <c r="N1234">
        <v>11297000000</v>
      </c>
      <c r="O1234">
        <v>964000000</v>
      </c>
      <c r="P1234">
        <v>499000000</v>
      </c>
      <c r="Q1234">
        <v>9459000000</v>
      </c>
      <c r="R1234">
        <v>9454000000</v>
      </c>
      <c r="S1234">
        <v>26017000000</v>
      </c>
      <c r="T1234">
        <v>0</v>
      </c>
      <c r="U1234">
        <v>1433000000</v>
      </c>
      <c r="V1234">
        <v>12682000000</v>
      </c>
      <c r="W1234">
        <v>163393050270</v>
      </c>
      <c r="X1234">
        <v>164826050270</v>
      </c>
      <c r="Y1234">
        <v>4.2822630903141006</v>
      </c>
      <c r="Z1234">
        <v>82.590300191412311</v>
      </c>
      <c r="AA1234">
        <v>47.48573773646639</v>
      </c>
      <c r="AB1234">
        <v>93.36084811111111</v>
      </c>
      <c r="AC1234">
        <v>143.8261714144144</v>
      </c>
      <c r="AD1234">
        <v>84.603630243773182</v>
      </c>
      <c r="AE1234">
        <v>85.269555235385411</v>
      </c>
      <c r="AF1234">
        <v>84.528220522503887</v>
      </c>
      <c r="AG1234">
        <v>148.4919371801802</v>
      </c>
      <c r="AH1234">
        <v>147.20094618918921</v>
      </c>
      <c r="AI1234">
        <v>49.026189848304583</v>
      </c>
      <c r="AJ1234">
        <v>96.389503081871339</v>
      </c>
      <c r="AK1234">
        <v>48.599955464009518</v>
      </c>
      <c r="AL1234">
        <v>95.551491385964908</v>
      </c>
      <c r="AM1234">
        <v>4.4211810377940504</v>
      </c>
      <c r="AN1234">
        <v>4.3827432276494731</v>
      </c>
    </row>
    <row r="1235" spans="1:40" x14ac:dyDescent="0.25">
      <c r="A1235" s="1" t="s">
        <v>301</v>
      </c>
      <c r="B1235">
        <v>155718747640</v>
      </c>
      <c r="C1235" t="s">
        <v>71</v>
      </c>
      <c r="D1235" t="s">
        <v>105</v>
      </c>
      <c r="E1235">
        <v>37281000000</v>
      </c>
      <c r="F1235">
        <v>1933000000</v>
      </c>
      <c r="G1235">
        <v>3362000000</v>
      </c>
      <c r="H1235">
        <v>1710000000</v>
      </c>
      <c r="I1235">
        <v>1110000000</v>
      </c>
      <c r="J1235">
        <v>1887000000</v>
      </c>
      <c r="K1235">
        <v>5485000000</v>
      </c>
      <c r="L1235">
        <v>727000000</v>
      </c>
      <c r="M1235">
        <v>6212000000</v>
      </c>
      <c r="N1235">
        <v>11297000000</v>
      </c>
      <c r="O1235">
        <v>964000000</v>
      </c>
      <c r="P1235">
        <v>499000000</v>
      </c>
      <c r="Q1235">
        <v>9459000000</v>
      </c>
      <c r="R1235">
        <v>9454000000</v>
      </c>
      <c r="S1235">
        <v>26017000000</v>
      </c>
      <c r="T1235">
        <v>0</v>
      </c>
      <c r="U1235">
        <v>1433000000</v>
      </c>
      <c r="V1235">
        <v>12682000000</v>
      </c>
      <c r="W1235">
        <v>159464747640</v>
      </c>
      <c r="X1235">
        <v>160897747640</v>
      </c>
      <c r="Y1235">
        <v>4.1768929921407691</v>
      </c>
      <c r="Z1235">
        <v>80.558069136057938</v>
      </c>
      <c r="AA1235">
        <v>46.317295550267701</v>
      </c>
      <c r="AB1235">
        <v>91.063595111111113</v>
      </c>
      <c r="AC1235">
        <v>140.287160036036</v>
      </c>
      <c r="AD1235">
        <v>82.521858844727078</v>
      </c>
      <c r="AE1235">
        <v>83.237324180031038</v>
      </c>
      <c r="AF1235">
        <v>82.495989467149514</v>
      </c>
      <c r="AG1235">
        <v>144.9529258018018</v>
      </c>
      <c r="AH1235">
        <v>143.66193481081081</v>
      </c>
      <c r="AI1235">
        <v>47.857747662105893</v>
      </c>
      <c r="AJ1235">
        <v>94.092250081871342</v>
      </c>
      <c r="AK1235">
        <v>47.431513277810829</v>
      </c>
      <c r="AL1235">
        <v>93.254238385964911</v>
      </c>
      <c r="AM1235">
        <v>4.315810939620718</v>
      </c>
      <c r="AN1235">
        <v>4.2773731294761408</v>
      </c>
    </row>
    <row r="1236" spans="1:40" x14ac:dyDescent="0.25">
      <c r="A1236" s="1" t="s">
        <v>300</v>
      </c>
      <c r="B1236">
        <v>160374513720</v>
      </c>
      <c r="C1236" t="s">
        <v>71</v>
      </c>
      <c r="D1236" t="s">
        <v>105</v>
      </c>
      <c r="E1236">
        <v>37281000000</v>
      </c>
      <c r="F1236">
        <v>1933000000</v>
      </c>
      <c r="G1236">
        <v>3362000000</v>
      </c>
      <c r="H1236">
        <v>1710000000</v>
      </c>
      <c r="I1236">
        <v>1110000000</v>
      </c>
      <c r="J1236">
        <v>1887000000</v>
      </c>
      <c r="K1236">
        <v>5485000000</v>
      </c>
      <c r="L1236">
        <v>727000000</v>
      </c>
      <c r="M1236">
        <v>6212000000</v>
      </c>
      <c r="N1236">
        <v>11297000000</v>
      </c>
      <c r="O1236">
        <v>964000000</v>
      </c>
      <c r="P1236">
        <v>499000000</v>
      </c>
      <c r="Q1236">
        <v>9459000000</v>
      </c>
      <c r="R1236">
        <v>9454000000</v>
      </c>
      <c r="S1236">
        <v>26017000000</v>
      </c>
      <c r="T1236">
        <v>0</v>
      </c>
      <c r="U1236">
        <v>1433000000</v>
      </c>
      <c r="V1236">
        <v>12682000000</v>
      </c>
      <c r="W1236">
        <v>164120513720</v>
      </c>
      <c r="X1236">
        <v>165553513720</v>
      </c>
      <c r="Y1236">
        <v>4.3017760714573106</v>
      </c>
      <c r="Z1236">
        <v>82.966639275737194</v>
      </c>
      <c r="AA1236">
        <v>47.702115919095768</v>
      </c>
      <c r="AB1236">
        <v>93.786265333333333</v>
      </c>
      <c r="AC1236">
        <v>144.4815438918919</v>
      </c>
      <c r="AD1236">
        <v>84.989143465818756</v>
      </c>
      <c r="AE1236">
        <v>85.645894319710294</v>
      </c>
      <c r="AF1236">
        <v>84.904559606828769</v>
      </c>
      <c r="AG1236">
        <v>149.14730965765759</v>
      </c>
      <c r="AH1236">
        <v>147.85631866666671</v>
      </c>
      <c r="AI1236">
        <v>49.242568030933967</v>
      </c>
      <c r="AJ1236">
        <v>96.814920304093562</v>
      </c>
      <c r="AK1236">
        <v>48.816333646638903</v>
      </c>
      <c r="AL1236">
        <v>95.976908608187131</v>
      </c>
      <c r="AM1236">
        <v>4.4406940189372603</v>
      </c>
      <c r="AN1236">
        <v>4.4022562087926822</v>
      </c>
    </row>
    <row r="1237" spans="1:40" x14ac:dyDescent="0.25">
      <c r="A1237" s="1" t="s">
        <v>299</v>
      </c>
      <c r="B1237">
        <v>155947379010</v>
      </c>
      <c r="C1237" t="s">
        <v>71</v>
      </c>
      <c r="D1237" t="s">
        <v>105</v>
      </c>
      <c r="E1237">
        <v>37281000000</v>
      </c>
      <c r="F1237">
        <v>1933000000</v>
      </c>
      <c r="G1237">
        <v>3362000000</v>
      </c>
      <c r="H1237">
        <v>1710000000</v>
      </c>
      <c r="I1237">
        <v>1110000000</v>
      </c>
      <c r="J1237">
        <v>1887000000</v>
      </c>
      <c r="K1237">
        <v>5485000000</v>
      </c>
      <c r="L1237">
        <v>727000000</v>
      </c>
      <c r="M1237">
        <v>6212000000</v>
      </c>
      <c r="N1237">
        <v>11297000000</v>
      </c>
      <c r="O1237">
        <v>964000000</v>
      </c>
      <c r="P1237">
        <v>499000000</v>
      </c>
      <c r="Q1237">
        <v>9459000000</v>
      </c>
      <c r="R1237">
        <v>9454000000</v>
      </c>
      <c r="S1237">
        <v>26017000000</v>
      </c>
      <c r="T1237">
        <v>0</v>
      </c>
      <c r="U1237">
        <v>1433000000</v>
      </c>
      <c r="V1237">
        <v>12682000000</v>
      </c>
      <c r="W1237">
        <v>159693379010</v>
      </c>
      <c r="X1237">
        <v>161126379010</v>
      </c>
      <c r="Y1237">
        <v>4.1830256433572064</v>
      </c>
      <c r="Z1237">
        <v>80.676347133988614</v>
      </c>
      <c r="AA1237">
        <v>46.385300121951218</v>
      </c>
      <c r="AB1237">
        <v>91.197297666666671</v>
      </c>
      <c r="AC1237">
        <v>140.49313424324319</v>
      </c>
      <c r="AD1237">
        <v>82.643020143084257</v>
      </c>
      <c r="AE1237">
        <v>83.355602177961714</v>
      </c>
      <c r="AF1237">
        <v>82.614267465080189</v>
      </c>
      <c r="AG1237">
        <v>145.15890000900899</v>
      </c>
      <c r="AH1237">
        <v>143.867909018018</v>
      </c>
      <c r="AI1237">
        <v>47.92575223378941</v>
      </c>
      <c r="AJ1237">
        <v>94.2259526374269</v>
      </c>
      <c r="AK1237">
        <v>47.499517849494353</v>
      </c>
      <c r="AL1237">
        <v>93.387940941520469</v>
      </c>
      <c r="AM1237">
        <v>4.3219435908371553</v>
      </c>
      <c r="AN1237">
        <v>4.283505780692578</v>
      </c>
    </row>
    <row r="1238" spans="1:40" x14ac:dyDescent="0.25">
      <c r="A1238" s="1" t="s">
        <v>298</v>
      </c>
      <c r="B1238">
        <v>156176010380</v>
      </c>
      <c r="C1238" t="s">
        <v>71</v>
      </c>
      <c r="D1238" t="s">
        <v>105</v>
      </c>
      <c r="E1238">
        <v>37281000000</v>
      </c>
      <c r="F1238">
        <v>1933000000</v>
      </c>
      <c r="G1238">
        <v>3362000000</v>
      </c>
      <c r="H1238">
        <v>1710000000</v>
      </c>
      <c r="I1238">
        <v>1110000000</v>
      </c>
      <c r="J1238">
        <v>1887000000</v>
      </c>
      <c r="K1238">
        <v>5485000000</v>
      </c>
      <c r="L1238">
        <v>727000000</v>
      </c>
      <c r="M1238">
        <v>6212000000</v>
      </c>
      <c r="N1238">
        <v>11297000000</v>
      </c>
      <c r="O1238">
        <v>964000000</v>
      </c>
      <c r="P1238">
        <v>499000000</v>
      </c>
      <c r="Q1238">
        <v>9459000000</v>
      </c>
      <c r="R1238">
        <v>9454000000</v>
      </c>
      <c r="S1238">
        <v>26017000000</v>
      </c>
      <c r="T1238">
        <v>0</v>
      </c>
      <c r="U1238">
        <v>1433000000</v>
      </c>
      <c r="V1238">
        <v>12682000000</v>
      </c>
      <c r="W1238">
        <v>159922010380</v>
      </c>
      <c r="X1238">
        <v>161355010380</v>
      </c>
      <c r="Y1238">
        <v>4.1891582945736436</v>
      </c>
      <c r="Z1238">
        <v>80.79462513191929</v>
      </c>
      <c r="AA1238">
        <v>46.453304693634742</v>
      </c>
      <c r="AB1238">
        <v>91.331000222222215</v>
      </c>
      <c r="AC1238">
        <v>140.69910845045041</v>
      </c>
      <c r="AD1238">
        <v>82.764181441441437</v>
      </c>
      <c r="AE1238">
        <v>83.47388017589239</v>
      </c>
      <c r="AF1238">
        <v>82.732545463010865</v>
      </c>
      <c r="AG1238">
        <v>145.36487421621621</v>
      </c>
      <c r="AH1238">
        <v>144.07388322522519</v>
      </c>
      <c r="AI1238">
        <v>47.993756805472927</v>
      </c>
      <c r="AJ1238">
        <v>94.359655192982459</v>
      </c>
      <c r="AK1238">
        <v>47.56752242117787</v>
      </c>
      <c r="AL1238">
        <v>93.521643497076028</v>
      </c>
      <c r="AM1238">
        <v>4.3280762420535934</v>
      </c>
      <c r="AN1238">
        <v>4.2896384319090153</v>
      </c>
    </row>
    <row r="1239" spans="1:40" x14ac:dyDescent="0.25">
      <c r="A1239" s="1" t="s">
        <v>297</v>
      </c>
      <c r="B1239">
        <v>154534021450</v>
      </c>
      <c r="C1239" t="s">
        <v>71</v>
      </c>
      <c r="D1239" t="s">
        <v>105</v>
      </c>
      <c r="E1239">
        <v>37281000000</v>
      </c>
      <c r="F1239">
        <v>1933000000</v>
      </c>
      <c r="G1239">
        <v>3362000000</v>
      </c>
      <c r="H1239">
        <v>1710000000</v>
      </c>
      <c r="I1239">
        <v>1110000000</v>
      </c>
      <c r="J1239">
        <v>1887000000</v>
      </c>
      <c r="K1239">
        <v>5485000000</v>
      </c>
      <c r="L1239">
        <v>727000000</v>
      </c>
      <c r="M1239">
        <v>6212000000</v>
      </c>
      <c r="N1239">
        <v>11297000000</v>
      </c>
      <c r="O1239">
        <v>964000000</v>
      </c>
      <c r="P1239">
        <v>499000000</v>
      </c>
      <c r="Q1239">
        <v>9459000000</v>
      </c>
      <c r="R1239">
        <v>9454000000</v>
      </c>
      <c r="S1239">
        <v>26017000000</v>
      </c>
      <c r="T1239">
        <v>0</v>
      </c>
      <c r="U1239">
        <v>1433000000</v>
      </c>
      <c r="V1239">
        <v>12682000000</v>
      </c>
      <c r="W1239">
        <v>158280021450</v>
      </c>
      <c r="X1239">
        <v>159713021450</v>
      </c>
      <c r="Y1239">
        <v>4.1451147085646847</v>
      </c>
      <c r="Z1239">
        <v>79.945174055871703</v>
      </c>
      <c r="AA1239">
        <v>45.964908224271269</v>
      </c>
      <c r="AB1239">
        <v>90.370772777777773</v>
      </c>
      <c r="AC1239">
        <v>139.21983914414409</v>
      </c>
      <c r="AD1239">
        <v>81.894023025967144</v>
      </c>
      <c r="AE1239">
        <v>82.624429099844804</v>
      </c>
      <c r="AF1239">
        <v>81.883094386963265</v>
      </c>
      <c r="AG1239">
        <v>143.88560490990989</v>
      </c>
      <c r="AH1239">
        <v>142.5946139189189</v>
      </c>
      <c r="AI1239">
        <v>47.505360336109462</v>
      </c>
      <c r="AJ1239">
        <v>93.399427748538017</v>
      </c>
      <c r="AK1239">
        <v>47.079125951814397</v>
      </c>
      <c r="AL1239">
        <v>92.561416052631586</v>
      </c>
      <c r="AM1239">
        <v>4.2840326560446336</v>
      </c>
      <c r="AN1239">
        <v>4.2455948459000563</v>
      </c>
    </row>
    <row r="1240" spans="1:40" x14ac:dyDescent="0.25">
      <c r="A1240" s="1" t="s">
        <v>296</v>
      </c>
      <c r="B1240">
        <v>158337616060</v>
      </c>
      <c r="C1240" t="s">
        <v>71</v>
      </c>
      <c r="D1240" t="s">
        <v>105</v>
      </c>
      <c r="E1240">
        <v>37281000000</v>
      </c>
      <c r="F1240">
        <v>1933000000</v>
      </c>
      <c r="G1240">
        <v>3362000000</v>
      </c>
      <c r="H1240">
        <v>1710000000</v>
      </c>
      <c r="I1240">
        <v>1110000000</v>
      </c>
      <c r="J1240">
        <v>1887000000</v>
      </c>
      <c r="K1240">
        <v>5485000000</v>
      </c>
      <c r="L1240">
        <v>727000000</v>
      </c>
      <c r="M1240">
        <v>6212000000</v>
      </c>
      <c r="N1240">
        <v>11297000000</v>
      </c>
      <c r="O1240">
        <v>964000000</v>
      </c>
      <c r="P1240">
        <v>499000000</v>
      </c>
      <c r="Q1240">
        <v>9459000000</v>
      </c>
      <c r="R1240">
        <v>9454000000</v>
      </c>
      <c r="S1240">
        <v>26017000000</v>
      </c>
      <c r="T1240">
        <v>0</v>
      </c>
      <c r="U1240">
        <v>1433000000</v>
      </c>
      <c r="V1240">
        <v>12682000000</v>
      </c>
      <c r="W1240">
        <v>162083616060</v>
      </c>
      <c r="X1240">
        <v>163516616060</v>
      </c>
      <c r="Y1240">
        <v>4.247139724256324</v>
      </c>
      <c r="Z1240">
        <v>81.912889839627525</v>
      </c>
      <c r="AA1240">
        <v>47.096257007733492</v>
      </c>
      <c r="AB1240">
        <v>92.595097111111116</v>
      </c>
      <c r="AC1240">
        <v>142.64650095495489</v>
      </c>
      <c r="AD1240">
        <v>83.909706444091157</v>
      </c>
      <c r="AE1240">
        <v>84.592144883600625</v>
      </c>
      <c r="AF1240">
        <v>83.850810170719086</v>
      </c>
      <c r="AG1240">
        <v>147.31226672072069</v>
      </c>
      <c r="AH1240">
        <v>146.02127572972969</v>
      </c>
      <c r="AI1240">
        <v>48.636709119571677</v>
      </c>
      <c r="AJ1240">
        <v>95.623752081871345</v>
      </c>
      <c r="AK1240">
        <v>48.21047473527662</v>
      </c>
      <c r="AL1240">
        <v>94.785740385964914</v>
      </c>
      <c r="AM1240">
        <v>4.3860576717362729</v>
      </c>
      <c r="AN1240">
        <v>4.3476198615916957</v>
      </c>
    </row>
    <row r="1241" spans="1:40" x14ac:dyDescent="0.25">
      <c r="A1241" s="1" t="s">
        <v>295</v>
      </c>
      <c r="B1241">
        <v>156466995760</v>
      </c>
      <c r="C1241" t="s">
        <v>71</v>
      </c>
      <c r="D1241" t="s">
        <v>105</v>
      </c>
      <c r="E1241">
        <v>37281000000</v>
      </c>
      <c r="F1241">
        <v>1933000000</v>
      </c>
      <c r="G1241">
        <v>3362000000</v>
      </c>
      <c r="H1241">
        <v>1710000000</v>
      </c>
      <c r="I1241">
        <v>1110000000</v>
      </c>
      <c r="J1241">
        <v>1887000000</v>
      </c>
      <c r="K1241">
        <v>5485000000</v>
      </c>
      <c r="L1241">
        <v>727000000</v>
      </c>
      <c r="M1241">
        <v>6212000000</v>
      </c>
      <c r="N1241">
        <v>11297000000</v>
      </c>
      <c r="O1241">
        <v>964000000</v>
      </c>
      <c r="P1241">
        <v>499000000</v>
      </c>
      <c r="Q1241">
        <v>9459000000</v>
      </c>
      <c r="R1241">
        <v>9454000000</v>
      </c>
      <c r="S1241">
        <v>26017000000</v>
      </c>
      <c r="T1241">
        <v>0</v>
      </c>
      <c r="U1241">
        <v>1433000000</v>
      </c>
      <c r="V1241">
        <v>12682000000</v>
      </c>
      <c r="W1241">
        <v>160212995760</v>
      </c>
      <c r="X1241">
        <v>161645995760</v>
      </c>
      <c r="Y1241">
        <v>4.1969634870309269</v>
      </c>
      <c r="Z1241">
        <v>80.945160765649248</v>
      </c>
      <c r="AA1241">
        <v>46.539855966686503</v>
      </c>
      <c r="AB1241">
        <v>91.501167111111116</v>
      </c>
      <c r="AC1241">
        <v>140.9612574414414</v>
      </c>
      <c r="AD1241">
        <v>82.91838673025967</v>
      </c>
      <c r="AE1241">
        <v>83.624415809622349</v>
      </c>
      <c r="AF1241">
        <v>82.883081096740824</v>
      </c>
      <c r="AG1241">
        <v>145.6270232072072</v>
      </c>
      <c r="AH1241">
        <v>144.33603221621621</v>
      </c>
      <c r="AI1241">
        <v>48.080308078524688</v>
      </c>
      <c r="AJ1241">
        <v>94.529822081871345</v>
      </c>
      <c r="AK1241">
        <v>47.654073694229623</v>
      </c>
      <c r="AL1241">
        <v>93.691810385964914</v>
      </c>
      <c r="AM1241">
        <v>4.3358814345108767</v>
      </c>
      <c r="AN1241">
        <v>4.2974436243662986</v>
      </c>
    </row>
    <row r="1242" spans="1:40" x14ac:dyDescent="0.25">
      <c r="A1242" s="1" t="s">
        <v>294</v>
      </c>
      <c r="B1242">
        <v>152559477800</v>
      </c>
      <c r="C1242" t="s">
        <v>71</v>
      </c>
      <c r="D1242" t="s">
        <v>105</v>
      </c>
      <c r="E1242">
        <v>37281000000</v>
      </c>
      <c r="F1242">
        <v>1933000000</v>
      </c>
      <c r="G1242">
        <v>3362000000</v>
      </c>
      <c r="H1242">
        <v>1710000000</v>
      </c>
      <c r="I1242">
        <v>1110000000</v>
      </c>
      <c r="J1242">
        <v>1887000000</v>
      </c>
      <c r="K1242">
        <v>5485000000</v>
      </c>
      <c r="L1242">
        <v>727000000</v>
      </c>
      <c r="M1242">
        <v>6212000000</v>
      </c>
      <c r="N1242">
        <v>11297000000</v>
      </c>
      <c r="O1242">
        <v>964000000</v>
      </c>
      <c r="P1242">
        <v>499000000</v>
      </c>
      <c r="Q1242">
        <v>9459000000</v>
      </c>
      <c r="R1242">
        <v>9454000000</v>
      </c>
      <c r="S1242">
        <v>26017000000</v>
      </c>
      <c r="T1242">
        <v>0</v>
      </c>
      <c r="U1242">
        <v>1433000000</v>
      </c>
      <c r="V1242">
        <v>12682000000</v>
      </c>
      <c r="W1242">
        <v>156305477800</v>
      </c>
      <c r="X1242">
        <v>157738477800</v>
      </c>
      <c r="Y1242">
        <v>4.0921509026045442</v>
      </c>
      <c r="Z1242">
        <v>78.923682255561303</v>
      </c>
      <c r="AA1242">
        <v>45.377596014277223</v>
      </c>
      <c r="AB1242">
        <v>89.216068888888884</v>
      </c>
      <c r="AC1242">
        <v>137.44097099099099</v>
      </c>
      <c r="AD1242">
        <v>80.847629994700583</v>
      </c>
      <c r="AE1242">
        <v>81.602937299534403</v>
      </c>
      <c r="AF1242">
        <v>80.861602586652864</v>
      </c>
      <c r="AG1242">
        <v>142.10673675675679</v>
      </c>
      <c r="AH1242">
        <v>140.8157457657658</v>
      </c>
      <c r="AI1242">
        <v>46.918048126115409</v>
      </c>
      <c r="AJ1242">
        <v>92.244723859649127</v>
      </c>
      <c r="AK1242">
        <v>46.491813741820337</v>
      </c>
      <c r="AL1242">
        <v>91.406712163742696</v>
      </c>
      <c r="AM1242">
        <v>4.2310688500844931</v>
      </c>
      <c r="AN1242">
        <v>4.1926310399399158</v>
      </c>
    </row>
    <row r="1243" spans="1:40" x14ac:dyDescent="0.25">
      <c r="A1243" s="1" t="s">
        <v>293</v>
      </c>
      <c r="B1243">
        <v>154076758710</v>
      </c>
      <c r="C1243" t="s">
        <v>71</v>
      </c>
      <c r="D1243" t="s">
        <v>105</v>
      </c>
      <c r="E1243">
        <v>37281000000</v>
      </c>
      <c r="F1243">
        <v>1933000000</v>
      </c>
      <c r="G1243">
        <v>3362000000</v>
      </c>
      <c r="H1243">
        <v>1710000000</v>
      </c>
      <c r="I1243">
        <v>1110000000</v>
      </c>
      <c r="J1243">
        <v>1887000000</v>
      </c>
      <c r="K1243">
        <v>5485000000</v>
      </c>
      <c r="L1243">
        <v>727000000</v>
      </c>
      <c r="M1243">
        <v>6212000000</v>
      </c>
      <c r="N1243">
        <v>11297000000</v>
      </c>
      <c r="O1243">
        <v>964000000</v>
      </c>
      <c r="P1243">
        <v>499000000</v>
      </c>
      <c r="Q1243">
        <v>9459000000</v>
      </c>
      <c r="R1243">
        <v>9454000000</v>
      </c>
      <c r="S1243">
        <v>26017000000</v>
      </c>
      <c r="T1243">
        <v>0</v>
      </c>
      <c r="U1243">
        <v>1433000000</v>
      </c>
      <c r="V1243">
        <v>12682000000</v>
      </c>
      <c r="W1243">
        <v>157822758710</v>
      </c>
      <c r="X1243">
        <v>159255758710</v>
      </c>
      <c r="Y1243">
        <v>4.1328494061318102</v>
      </c>
      <c r="Z1243">
        <v>79.708618060010352</v>
      </c>
      <c r="AA1243">
        <v>45.828899080904222</v>
      </c>
      <c r="AB1243">
        <v>90.103367666666671</v>
      </c>
      <c r="AC1243">
        <v>138.80789072972971</v>
      </c>
      <c r="AD1243">
        <v>81.651700429252784</v>
      </c>
      <c r="AE1243">
        <v>82.387873103983452</v>
      </c>
      <c r="AF1243">
        <v>81.646538391101913</v>
      </c>
      <c r="AG1243">
        <v>143.4736564954955</v>
      </c>
      <c r="AH1243">
        <v>142.18266550450451</v>
      </c>
      <c r="AI1243">
        <v>47.369351192742407</v>
      </c>
      <c r="AJ1243">
        <v>93.1320226374269</v>
      </c>
      <c r="AK1243">
        <v>46.94311680844735</v>
      </c>
      <c r="AL1243">
        <v>92.294010941520469</v>
      </c>
      <c r="AM1243">
        <v>4.2717673536117591</v>
      </c>
      <c r="AN1243">
        <v>4.2333295434671818</v>
      </c>
    </row>
    <row r="1244" spans="1:40" x14ac:dyDescent="0.25">
      <c r="A1244" s="1" t="s">
        <v>292</v>
      </c>
      <c r="B1244">
        <v>149524915980</v>
      </c>
      <c r="C1244" t="s">
        <v>71</v>
      </c>
      <c r="D1244" t="s">
        <v>105</v>
      </c>
      <c r="E1244">
        <v>37281000000</v>
      </c>
      <c r="F1244">
        <v>1933000000</v>
      </c>
      <c r="G1244">
        <v>3362000000</v>
      </c>
      <c r="H1244">
        <v>1710000000</v>
      </c>
      <c r="I1244">
        <v>1110000000</v>
      </c>
      <c r="J1244">
        <v>1887000000</v>
      </c>
      <c r="K1244">
        <v>5485000000</v>
      </c>
      <c r="L1244">
        <v>727000000</v>
      </c>
      <c r="M1244">
        <v>6212000000</v>
      </c>
      <c r="N1244">
        <v>11297000000</v>
      </c>
      <c r="O1244">
        <v>964000000</v>
      </c>
      <c r="P1244">
        <v>499000000</v>
      </c>
      <c r="Q1244">
        <v>9459000000</v>
      </c>
      <c r="R1244">
        <v>9454000000</v>
      </c>
      <c r="S1244">
        <v>26017000000</v>
      </c>
      <c r="T1244">
        <v>0</v>
      </c>
      <c r="U1244">
        <v>1433000000</v>
      </c>
      <c r="V1244">
        <v>12682000000</v>
      </c>
      <c r="W1244">
        <v>153270915980</v>
      </c>
      <c r="X1244">
        <v>154703915980</v>
      </c>
      <c r="Y1244">
        <v>4.0107538955500122</v>
      </c>
      <c r="Z1244">
        <v>77.35381064666322</v>
      </c>
      <c r="AA1244">
        <v>44.474989881023198</v>
      </c>
      <c r="AB1244">
        <v>87.44147133333334</v>
      </c>
      <c r="AC1244">
        <v>134.7071315135135</v>
      </c>
      <c r="AD1244">
        <v>79.23948912559618</v>
      </c>
      <c r="AE1244">
        <v>80.03306569063632</v>
      </c>
      <c r="AF1244">
        <v>79.291730977754781</v>
      </c>
      <c r="AG1244">
        <v>139.3728972792793</v>
      </c>
      <c r="AH1244">
        <v>138.08190628828831</v>
      </c>
      <c r="AI1244">
        <v>46.01544199286139</v>
      </c>
      <c r="AJ1244">
        <v>90.470126304093569</v>
      </c>
      <c r="AK1244">
        <v>45.589207608566333</v>
      </c>
      <c r="AL1244">
        <v>89.632114608187138</v>
      </c>
      <c r="AM1244">
        <v>4.1496718430299619</v>
      </c>
      <c r="AN1244">
        <v>4.1112340328853838</v>
      </c>
    </row>
    <row r="1245" spans="1:40" x14ac:dyDescent="0.25">
      <c r="A1245" s="1" t="s">
        <v>291</v>
      </c>
      <c r="B1245">
        <v>148194697100</v>
      </c>
      <c r="C1245" t="s">
        <v>71</v>
      </c>
      <c r="D1245" t="s">
        <v>105</v>
      </c>
      <c r="E1245">
        <v>37281000000</v>
      </c>
      <c r="F1245">
        <v>1933000000</v>
      </c>
      <c r="G1245">
        <v>3362000000</v>
      </c>
      <c r="H1245">
        <v>1710000000</v>
      </c>
      <c r="I1245">
        <v>1110000000</v>
      </c>
      <c r="J1245">
        <v>1887000000</v>
      </c>
      <c r="K1245">
        <v>5485000000</v>
      </c>
      <c r="L1245">
        <v>727000000</v>
      </c>
      <c r="M1245">
        <v>6212000000</v>
      </c>
      <c r="N1245">
        <v>11297000000</v>
      </c>
      <c r="O1245">
        <v>964000000</v>
      </c>
      <c r="P1245">
        <v>499000000</v>
      </c>
      <c r="Q1245">
        <v>9459000000</v>
      </c>
      <c r="R1245">
        <v>9454000000</v>
      </c>
      <c r="S1245">
        <v>26017000000</v>
      </c>
      <c r="T1245">
        <v>0</v>
      </c>
      <c r="U1245">
        <v>1433000000</v>
      </c>
      <c r="V1245">
        <v>12682000000</v>
      </c>
      <c r="W1245">
        <v>151940697100</v>
      </c>
      <c r="X1245">
        <v>153373697100</v>
      </c>
      <c r="Y1245">
        <v>3.975073015745286</v>
      </c>
      <c r="Z1245">
        <v>76.665647749612006</v>
      </c>
      <c r="AA1245">
        <v>44.07932691850089</v>
      </c>
      <c r="AB1245">
        <v>86.66356555555555</v>
      </c>
      <c r="AC1245">
        <v>133.50873612612611</v>
      </c>
      <c r="AD1245">
        <v>78.534550662427137</v>
      </c>
      <c r="AE1245">
        <v>79.344902793585106</v>
      </c>
      <c r="AF1245">
        <v>78.603568080703567</v>
      </c>
      <c r="AG1245">
        <v>138.17450189189191</v>
      </c>
      <c r="AH1245">
        <v>136.88351090090089</v>
      </c>
      <c r="AI1245">
        <v>45.619779030339082</v>
      </c>
      <c r="AJ1245">
        <v>89.692220526315793</v>
      </c>
      <c r="AK1245">
        <v>45.193544646044018</v>
      </c>
      <c r="AL1245">
        <v>88.854208830409362</v>
      </c>
      <c r="AM1245">
        <v>4.1139909632252349</v>
      </c>
      <c r="AN1245">
        <v>4.0755531530806577</v>
      </c>
    </row>
    <row r="1246" spans="1:40" x14ac:dyDescent="0.25">
      <c r="A1246" s="1" t="s">
        <v>290</v>
      </c>
      <c r="B1246">
        <v>143829916400</v>
      </c>
      <c r="C1246" t="s">
        <v>71</v>
      </c>
      <c r="D1246" t="s">
        <v>105</v>
      </c>
      <c r="E1246">
        <v>37281000000</v>
      </c>
      <c r="F1246">
        <v>1933000000</v>
      </c>
      <c r="G1246">
        <v>3362000000</v>
      </c>
      <c r="H1246">
        <v>1710000000</v>
      </c>
      <c r="I1246">
        <v>1110000000</v>
      </c>
      <c r="J1246">
        <v>1887000000</v>
      </c>
      <c r="K1246">
        <v>5485000000</v>
      </c>
      <c r="L1246">
        <v>727000000</v>
      </c>
      <c r="M1246">
        <v>6212000000</v>
      </c>
      <c r="N1246">
        <v>11297000000</v>
      </c>
      <c r="O1246">
        <v>964000000</v>
      </c>
      <c r="P1246">
        <v>499000000</v>
      </c>
      <c r="Q1246">
        <v>9459000000</v>
      </c>
      <c r="R1246">
        <v>9454000000</v>
      </c>
      <c r="S1246">
        <v>26017000000</v>
      </c>
      <c r="T1246">
        <v>0</v>
      </c>
      <c r="U1246">
        <v>1433000000</v>
      </c>
      <c r="V1246">
        <v>12682000000</v>
      </c>
      <c r="W1246">
        <v>147575916400</v>
      </c>
      <c r="X1246">
        <v>149008916400</v>
      </c>
      <c r="Y1246">
        <v>3.8579951288860279</v>
      </c>
      <c r="Z1246">
        <v>74.407613243662695</v>
      </c>
      <c r="AA1246">
        <v>42.78105782272457</v>
      </c>
      <c r="AB1246">
        <v>84.111062222222216</v>
      </c>
      <c r="AC1246">
        <v>129.57650126126131</v>
      </c>
      <c r="AD1246">
        <v>76.221471330153676</v>
      </c>
      <c r="AE1246">
        <v>77.086868287635795</v>
      </c>
      <c r="AF1246">
        <v>76.34553357475427</v>
      </c>
      <c r="AG1246">
        <v>134.242267027027</v>
      </c>
      <c r="AH1246">
        <v>132.95127603603601</v>
      </c>
      <c r="AI1246">
        <v>44.321509934562762</v>
      </c>
      <c r="AJ1246">
        <v>87.139717192982459</v>
      </c>
      <c r="AK1246">
        <v>43.895275550267698</v>
      </c>
      <c r="AL1246">
        <v>86.301705497076028</v>
      </c>
      <c r="AM1246">
        <v>3.9969130763659768</v>
      </c>
      <c r="AN1246">
        <v>3.9584752662214</v>
      </c>
    </row>
    <row r="1247" spans="1:40" x14ac:dyDescent="0.25">
      <c r="A1247" s="1" t="s">
        <v>289</v>
      </c>
      <c r="B1247">
        <v>143372653660</v>
      </c>
      <c r="C1247" t="s">
        <v>71</v>
      </c>
      <c r="D1247" t="s">
        <v>105</v>
      </c>
      <c r="E1247">
        <v>37281000000</v>
      </c>
      <c r="F1247">
        <v>1933000000</v>
      </c>
      <c r="G1247">
        <v>3362000000</v>
      </c>
      <c r="H1247">
        <v>1710000000</v>
      </c>
      <c r="I1247">
        <v>1110000000</v>
      </c>
      <c r="J1247">
        <v>1887000000</v>
      </c>
      <c r="K1247">
        <v>5485000000</v>
      </c>
      <c r="L1247">
        <v>727000000</v>
      </c>
      <c r="M1247">
        <v>6212000000</v>
      </c>
      <c r="N1247">
        <v>11297000000</v>
      </c>
      <c r="O1247">
        <v>964000000</v>
      </c>
      <c r="P1247">
        <v>499000000</v>
      </c>
      <c r="Q1247">
        <v>9459000000</v>
      </c>
      <c r="R1247">
        <v>9454000000</v>
      </c>
      <c r="S1247">
        <v>26017000000</v>
      </c>
      <c r="T1247">
        <v>0</v>
      </c>
      <c r="U1247">
        <v>1433000000</v>
      </c>
      <c r="V1247">
        <v>12682000000</v>
      </c>
      <c r="W1247">
        <v>147118653660</v>
      </c>
      <c r="X1247">
        <v>148551653660</v>
      </c>
      <c r="Y1247">
        <v>3.845729826453153</v>
      </c>
      <c r="Z1247">
        <v>74.171057247801343</v>
      </c>
      <c r="AA1247">
        <v>42.645048679357522</v>
      </c>
      <c r="AB1247">
        <v>83.843657111111114</v>
      </c>
      <c r="AC1247">
        <v>129.16455284684679</v>
      </c>
      <c r="AD1247">
        <v>75.979148733439317</v>
      </c>
      <c r="AE1247">
        <v>76.850312291774443</v>
      </c>
      <c r="AF1247">
        <v>76.108977578892919</v>
      </c>
      <c r="AG1247">
        <v>133.83031861261259</v>
      </c>
      <c r="AH1247">
        <v>132.5393276216216</v>
      </c>
      <c r="AI1247">
        <v>44.185500791195707</v>
      </c>
      <c r="AJ1247">
        <v>86.872312081871343</v>
      </c>
      <c r="AK1247">
        <v>43.759266406900657</v>
      </c>
      <c r="AL1247">
        <v>86.034300385964912</v>
      </c>
      <c r="AM1247">
        <v>3.9846477739331032</v>
      </c>
      <c r="AN1247">
        <v>3.9462099637885251</v>
      </c>
    </row>
    <row r="1248" spans="1:40" x14ac:dyDescent="0.25">
      <c r="A1248" s="1" t="s">
        <v>288</v>
      </c>
      <c r="B1248">
        <v>147155463600</v>
      </c>
      <c r="C1248" t="s">
        <v>71</v>
      </c>
      <c r="D1248" t="s">
        <v>105</v>
      </c>
      <c r="E1248">
        <v>37281000000</v>
      </c>
      <c r="F1248">
        <v>1933000000</v>
      </c>
      <c r="G1248">
        <v>3362000000</v>
      </c>
      <c r="H1248">
        <v>1710000000</v>
      </c>
      <c r="I1248">
        <v>1110000000</v>
      </c>
      <c r="J1248">
        <v>1887000000</v>
      </c>
      <c r="K1248">
        <v>5485000000</v>
      </c>
      <c r="L1248">
        <v>727000000</v>
      </c>
      <c r="M1248">
        <v>6212000000</v>
      </c>
      <c r="N1248">
        <v>11297000000</v>
      </c>
      <c r="O1248">
        <v>964000000</v>
      </c>
      <c r="P1248">
        <v>499000000</v>
      </c>
      <c r="Q1248">
        <v>9459000000</v>
      </c>
      <c r="R1248">
        <v>9454000000</v>
      </c>
      <c r="S1248">
        <v>26017000000</v>
      </c>
      <c r="T1248">
        <v>0</v>
      </c>
      <c r="U1248">
        <v>1433000000</v>
      </c>
      <c r="V1248">
        <v>12682000000</v>
      </c>
      <c r="W1248">
        <v>150901463600</v>
      </c>
      <c r="X1248">
        <v>152334463600</v>
      </c>
      <c r="Y1248">
        <v>3.9471973283978432</v>
      </c>
      <c r="Z1248">
        <v>76.128020486290737</v>
      </c>
      <c r="AA1248">
        <v>43.770215229030342</v>
      </c>
      <c r="AB1248">
        <v>86.055826666666661</v>
      </c>
      <c r="AC1248">
        <v>132.57248972972971</v>
      </c>
      <c r="AD1248">
        <v>77.983817488076312</v>
      </c>
      <c r="AE1248">
        <v>78.807275530263837</v>
      </c>
      <c r="AF1248">
        <v>78.065940817382312</v>
      </c>
      <c r="AG1248">
        <v>137.23825549549551</v>
      </c>
      <c r="AH1248">
        <v>135.94726450450449</v>
      </c>
      <c r="AI1248">
        <v>45.310667340868527</v>
      </c>
      <c r="AJ1248">
        <v>89.084481637426904</v>
      </c>
      <c r="AK1248">
        <v>44.88443295657347</v>
      </c>
      <c r="AL1248">
        <v>88.246469941520473</v>
      </c>
      <c r="AM1248">
        <v>4.086115275877793</v>
      </c>
      <c r="AN1248">
        <v>4.0476774657332157</v>
      </c>
    </row>
    <row r="1249" spans="1:40" x14ac:dyDescent="0.25">
      <c r="A1249" s="1" t="s">
        <v>287</v>
      </c>
      <c r="B1249">
        <v>144162471120</v>
      </c>
      <c r="C1249" t="s">
        <v>71</v>
      </c>
      <c r="D1249" t="s">
        <v>105</v>
      </c>
      <c r="E1249">
        <v>37281000000</v>
      </c>
      <c r="F1249">
        <v>1933000000</v>
      </c>
      <c r="G1249">
        <v>3362000000</v>
      </c>
      <c r="H1249">
        <v>1710000000</v>
      </c>
      <c r="I1249">
        <v>1110000000</v>
      </c>
      <c r="J1249">
        <v>1887000000</v>
      </c>
      <c r="K1249">
        <v>5485000000</v>
      </c>
      <c r="L1249">
        <v>727000000</v>
      </c>
      <c r="M1249">
        <v>6212000000</v>
      </c>
      <c r="N1249">
        <v>11297000000</v>
      </c>
      <c r="O1249">
        <v>964000000</v>
      </c>
      <c r="P1249">
        <v>499000000</v>
      </c>
      <c r="Q1249">
        <v>9459000000</v>
      </c>
      <c r="R1249">
        <v>9454000000</v>
      </c>
      <c r="S1249">
        <v>26017000000</v>
      </c>
      <c r="T1249">
        <v>0</v>
      </c>
      <c r="U1249">
        <v>1433000000</v>
      </c>
      <c r="V1249">
        <v>12682000000</v>
      </c>
      <c r="W1249">
        <v>147908471120</v>
      </c>
      <c r="X1249">
        <v>149341471120</v>
      </c>
      <c r="Y1249">
        <v>3.866915348837209</v>
      </c>
      <c r="Z1249">
        <v>74.579653967925509</v>
      </c>
      <c r="AA1249">
        <v>42.879973563355144</v>
      </c>
      <c r="AB1249">
        <v>84.305538666666664</v>
      </c>
      <c r="AC1249">
        <v>129.87610010810809</v>
      </c>
      <c r="AD1249">
        <v>76.397705945945944</v>
      </c>
      <c r="AE1249">
        <v>77.258909011898609</v>
      </c>
      <c r="AF1249">
        <v>76.51757429901707</v>
      </c>
      <c r="AG1249">
        <v>134.54186587387389</v>
      </c>
      <c r="AH1249">
        <v>133.2508748828829</v>
      </c>
      <c r="AI1249">
        <v>44.420425675193343</v>
      </c>
      <c r="AJ1249">
        <v>87.334193637426907</v>
      </c>
      <c r="AK1249">
        <v>43.994191290898272</v>
      </c>
      <c r="AL1249">
        <v>86.496181941520462</v>
      </c>
      <c r="AM1249">
        <v>4.0058332963171592</v>
      </c>
      <c r="AN1249">
        <v>3.9673954861725811</v>
      </c>
    </row>
    <row r="1250" spans="1:40" x14ac:dyDescent="0.25">
      <c r="A1250" s="1" t="s">
        <v>286</v>
      </c>
      <c r="B1250">
        <v>144058547770</v>
      </c>
      <c r="C1250" t="s">
        <v>71</v>
      </c>
      <c r="D1250" t="s">
        <v>105</v>
      </c>
      <c r="E1250">
        <v>37281000000</v>
      </c>
      <c r="F1250">
        <v>1933000000</v>
      </c>
      <c r="G1250">
        <v>3362000000</v>
      </c>
      <c r="H1250">
        <v>1710000000</v>
      </c>
      <c r="I1250">
        <v>1110000000</v>
      </c>
      <c r="J1250">
        <v>1887000000</v>
      </c>
      <c r="K1250">
        <v>5485000000</v>
      </c>
      <c r="L1250">
        <v>727000000</v>
      </c>
      <c r="M1250">
        <v>6212000000</v>
      </c>
      <c r="N1250">
        <v>11297000000</v>
      </c>
      <c r="O1250">
        <v>964000000</v>
      </c>
      <c r="P1250">
        <v>499000000</v>
      </c>
      <c r="Q1250">
        <v>9459000000</v>
      </c>
      <c r="R1250">
        <v>9454000000</v>
      </c>
      <c r="S1250">
        <v>26017000000</v>
      </c>
      <c r="T1250">
        <v>0</v>
      </c>
      <c r="U1250">
        <v>1433000000</v>
      </c>
      <c r="V1250">
        <v>12682000000</v>
      </c>
      <c r="W1250">
        <v>147804547770</v>
      </c>
      <c r="X1250">
        <v>149237547770</v>
      </c>
      <c r="Y1250">
        <v>3.8641277801024652</v>
      </c>
      <c r="Z1250">
        <v>74.525891241593385</v>
      </c>
      <c r="AA1250">
        <v>42.849062394408087</v>
      </c>
      <c r="AB1250">
        <v>84.244764777777775</v>
      </c>
      <c r="AC1250">
        <v>129.7824754684685</v>
      </c>
      <c r="AD1250">
        <v>76.34263262851087</v>
      </c>
      <c r="AE1250">
        <v>77.205146285566471</v>
      </c>
      <c r="AF1250">
        <v>76.463811572684946</v>
      </c>
      <c r="AG1250">
        <v>134.44824123423419</v>
      </c>
      <c r="AH1250">
        <v>133.15725024324331</v>
      </c>
      <c r="AI1250">
        <v>44.389514506246279</v>
      </c>
      <c r="AJ1250">
        <v>87.273419748538018</v>
      </c>
      <c r="AK1250">
        <v>43.963280121951222</v>
      </c>
      <c r="AL1250">
        <v>86.435408052631573</v>
      </c>
      <c r="AM1250">
        <v>4.0030457275824149</v>
      </c>
      <c r="AN1250">
        <v>3.9646079174378368</v>
      </c>
    </row>
    <row r="1251" spans="1:40" x14ac:dyDescent="0.25">
      <c r="A1251" s="1" t="s">
        <v>285</v>
      </c>
      <c r="B1251">
        <v>143518146350</v>
      </c>
      <c r="C1251" t="s">
        <v>71</v>
      </c>
      <c r="D1251" t="s">
        <v>105</v>
      </c>
      <c r="E1251">
        <v>37281000000</v>
      </c>
      <c r="F1251">
        <v>1933000000</v>
      </c>
      <c r="G1251">
        <v>3362000000</v>
      </c>
      <c r="H1251">
        <v>1710000000</v>
      </c>
      <c r="I1251">
        <v>1110000000</v>
      </c>
      <c r="J1251">
        <v>1887000000</v>
      </c>
      <c r="K1251">
        <v>5485000000</v>
      </c>
      <c r="L1251">
        <v>727000000</v>
      </c>
      <c r="M1251">
        <v>6212000000</v>
      </c>
      <c r="N1251">
        <v>11297000000</v>
      </c>
      <c r="O1251">
        <v>964000000</v>
      </c>
      <c r="P1251">
        <v>499000000</v>
      </c>
      <c r="Q1251">
        <v>9459000000</v>
      </c>
      <c r="R1251">
        <v>9454000000</v>
      </c>
      <c r="S1251">
        <v>26017000000</v>
      </c>
      <c r="T1251">
        <v>0</v>
      </c>
      <c r="U1251">
        <v>1433000000</v>
      </c>
      <c r="V1251">
        <v>12682000000</v>
      </c>
      <c r="W1251">
        <v>147264146350</v>
      </c>
      <c r="X1251">
        <v>148697146350</v>
      </c>
      <c r="Y1251">
        <v>3.8496324226817951</v>
      </c>
      <c r="Z1251">
        <v>74.246325064666323</v>
      </c>
      <c r="AA1251">
        <v>42.688324315883413</v>
      </c>
      <c r="AB1251">
        <v>83.928740555555549</v>
      </c>
      <c r="AC1251">
        <v>129.2956273423423</v>
      </c>
      <c r="AD1251">
        <v>76.05625137784844</v>
      </c>
      <c r="AE1251">
        <v>76.925580108639423</v>
      </c>
      <c r="AF1251">
        <v>76.184245395757884</v>
      </c>
      <c r="AG1251">
        <v>133.9613931081081</v>
      </c>
      <c r="AH1251">
        <v>132.67040211711711</v>
      </c>
      <c r="AI1251">
        <v>44.228776427721591</v>
      </c>
      <c r="AJ1251">
        <v>86.957395526315793</v>
      </c>
      <c r="AK1251">
        <v>43.802542043426527</v>
      </c>
      <c r="AL1251">
        <v>86.119383830409362</v>
      </c>
      <c r="AM1251">
        <v>3.988550370161744</v>
      </c>
      <c r="AN1251">
        <v>3.9501125600171672</v>
      </c>
    </row>
    <row r="1252" spans="1:40" x14ac:dyDescent="0.25">
      <c r="A1252" s="1" t="s">
        <v>284</v>
      </c>
      <c r="B1252">
        <v>140088675800</v>
      </c>
      <c r="C1252" t="s">
        <v>71</v>
      </c>
      <c r="D1252" t="s">
        <v>105</v>
      </c>
      <c r="E1252">
        <v>37281000000</v>
      </c>
      <c r="F1252">
        <v>1933000000</v>
      </c>
      <c r="G1252">
        <v>3362000000</v>
      </c>
      <c r="H1252">
        <v>1710000000</v>
      </c>
      <c r="I1252">
        <v>1110000000</v>
      </c>
      <c r="J1252">
        <v>1887000000</v>
      </c>
      <c r="K1252">
        <v>5485000000</v>
      </c>
      <c r="L1252">
        <v>727000000</v>
      </c>
      <c r="M1252">
        <v>6212000000</v>
      </c>
      <c r="N1252">
        <v>11297000000</v>
      </c>
      <c r="O1252">
        <v>964000000</v>
      </c>
      <c r="P1252">
        <v>499000000</v>
      </c>
      <c r="Q1252">
        <v>9459000000</v>
      </c>
      <c r="R1252">
        <v>9454000000</v>
      </c>
      <c r="S1252">
        <v>26017000000</v>
      </c>
      <c r="T1252">
        <v>0</v>
      </c>
      <c r="U1252">
        <v>1433000000</v>
      </c>
      <c r="V1252">
        <v>12682000000</v>
      </c>
      <c r="W1252">
        <v>143834675800</v>
      </c>
      <c r="X1252">
        <v>145267675800</v>
      </c>
      <c r="Y1252">
        <v>3.757642654435235</v>
      </c>
      <c r="Z1252">
        <v>72.472155095706157</v>
      </c>
      <c r="AA1252">
        <v>41.668255740630578</v>
      </c>
      <c r="AB1252">
        <v>81.923202222222216</v>
      </c>
      <c r="AC1252">
        <v>126.2060142342342</v>
      </c>
      <c r="AD1252">
        <v>74.23883190249073</v>
      </c>
      <c r="AE1252">
        <v>75.151410139679257</v>
      </c>
      <c r="AF1252">
        <v>74.410075426797718</v>
      </c>
      <c r="AG1252">
        <v>130.87178</v>
      </c>
      <c r="AH1252">
        <v>129.58078900900901</v>
      </c>
      <c r="AI1252">
        <v>43.20870785246877</v>
      </c>
      <c r="AJ1252">
        <v>84.951857192982459</v>
      </c>
      <c r="AK1252">
        <v>42.782473468173713</v>
      </c>
      <c r="AL1252">
        <v>84.113845497076028</v>
      </c>
      <c r="AM1252">
        <v>3.8965606019151848</v>
      </c>
      <c r="AN1252">
        <v>3.8581227917706071</v>
      </c>
    </row>
    <row r="1253" spans="1:40" x14ac:dyDescent="0.25">
      <c r="A1253" s="1" t="s">
        <v>283</v>
      </c>
      <c r="B1253">
        <v>137740008090</v>
      </c>
      <c r="C1253" t="s">
        <v>71</v>
      </c>
      <c r="D1253" t="s">
        <v>105</v>
      </c>
      <c r="E1253">
        <v>37281000000</v>
      </c>
      <c r="F1253">
        <v>1933000000</v>
      </c>
      <c r="G1253">
        <v>3362000000</v>
      </c>
      <c r="H1253">
        <v>1710000000</v>
      </c>
      <c r="I1253">
        <v>1110000000</v>
      </c>
      <c r="J1253">
        <v>1887000000</v>
      </c>
      <c r="K1253">
        <v>5485000000</v>
      </c>
      <c r="L1253">
        <v>727000000</v>
      </c>
      <c r="M1253">
        <v>6212000000</v>
      </c>
      <c r="N1253">
        <v>11297000000</v>
      </c>
      <c r="O1253">
        <v>964000000</v>
      </c>
      <c r="P1253">
        <v>499000000</v>
      </c>
      <c r="Q1253">
        <v>9459000000</v>
      </c>
      <c r="R1253">
        <v>9454000000</v>
      </c>
      <c r="S1253">
        <v>26017000000</v>
      </c>
      <c r="T1253">
        <v>0</v>
      </c>
      <c r="U1253">
        <v>1433000000</v>
      </c>
      <c r="V1253">
        <v>12682000000</v>
      </c>
      <c r="W1253">
        <v>141486008090</v>
      </c>
      <c r="X1253">
        <v>142919008090</v>
      </c>
      <c r="Y1253">
        <v>3.6946436010300152</v>
      </c>
      <c r="Z1253">
        <v>71.257117480600101</v>
      </c>
      <c r="AA1253">
        <v>40.969663322427117</v>
      </c>
      <c r="AB1253">
        <v>80.549712333333332</v>
      </c>
      <c r="AC1253">
        <v>124.0900973783784</v>
      </c>
      <c r="AD1253">
        <v>72.994174928457866</v>
      </c>
      <c r="AE1253">
        <v>73.936372524573201</v>
      </c>
      <c r="AF1253">
        <v>73.195037811691677</v>
      </c>
      <c r="AG1253">
        <v>128.75586314414409</v>
      </c>
      <c r="AH1253">
        <v>127.46487215315319</v>
      </c>
      <c r="AI1253">
        <v>42.510115434265323</v>
      </c>
      <c r="AJ1253">
        <v>83.578367304093561</v>
      </c>
      <c r="AK1253">
        <v>42.083881049970259</v>
      </c>
      <c r="AL1253">
        <v>82.74035560818713</v>
      </c>
      <c r="AM1253">
        <v>3.833561548509965</v>
      </c>
      <c r="AN1253">
        <v>3.7951237383653869</v>
      </c>
    </row>
    <row r="1254" spans="1:40" x14ac:dyDescent="0.25">
      <c r="A1254" s="1" t="s">
        <v>120</v>
      </c>
      <c r="B1254">
        <v>140899277930</v>
      </c>
      <c r="C1254" t="s">
        <v>71</v>
      </c>
      <c r="D1254" t="s">
        <v>105</v>
      </c>
      <c r="E1254">
        <v>37281000000</v>
      </c>
      <c r="F1254">
        <v>1933000000</v>
      </c>
      <c r="G1254">
        <v>3362000000</v>
      </c>
      <c r="H1254">
        <v>1710000000</v>
      </c>
      <c r="I1254">
        <v>1110000000</v>
      </c>
      <c r="J1254">
        <v>1887000000</v>
      </c>
      <c r="K1254">
        <v>5485000000</v>
      </c>
      <c r="L1254">
        <v>727000000</v>
      </c>
      <c r="M1254">
        <v>6212000000</v>
      </c>
      <c r="N1254">
        <v>11297000000</v>
      </c>
      <c r="O1254">
        <v>964000000</v>
      </c>
      <c r="P1254">
        <v>499000000</v>
      </c>
      <c r="Q1254">
        <v>9459000000</v>
      </c>
      <c r="R1254">
        <v>9454000000</v>
      </c>
      <c r="S1254">
        <v>26017000000</v>
      </c>
      <c r="T1254">
        <v>0</v>
      </c>
      <c r="U1254">
        <v>1433000000</v>
      </c>
      <c r="V1254">
        <v>12682000000</v>
      </c>
      <c r="W1254">
        <v>144645277930</v>
      </c>
      <c r="X1254">
        <v>146078277930</v>
      </c>
      <c r="Y1254">
        <v>3.7793856905662402</v>
      </c>
      <c r="Z1254">
        <v>72.891504361096736</v>
      </c>
      <c r="AA1254">
        <v>41.909362858417609</v>
      </c>
      <c r="AB1254">
        <v>82.39723855555556</v>
      </c>
      <c r="AC1254">
        <v>126.9362864234234</v>
      </c>
      <c r="AD1254">
        <v>74.668403778484361</v>
      </c>
      <c r="AE1254">
        <v>75.570759405069836</v>
      </c>
      <c r="AF1254">
        <v>74.829424692188311</v>
      </c>
      <c r="AG1254">
        <v>131.60205218918921</v>
      </c>
      <c r="AH1254">
        <v>130.31106119819819</v>
      </c>
      <c r="AI1254">
        <v>43.449814970255801</v>
      </c>
      <c r="AJ1254">
        <v>85.425893526315789</v>
      </c>
      <c r="AK1254">
        <v>43.023580585960737</v>
      </c>
      <c r="AL1254">
        <v>84.587881830409358</v>
      </c>
      <c r="AM1254">
        <v>3.91830363804619</v>
      </c>
      <c r="AN1254">
        <v>3.8798658279016118</v>
      </c>
    </row>
    <row r="1255" spans="1:40" x14ac:dyDescent="0.25">
      <c r="A1255" s="1" t="s">
        <v>282</v>
      </c>
      <c r="B1255">
        <v>142520482190</v>
      </c>
      <c r="C1255" t="s">
        <v>71</v>
      </c>
      <c r="D1255" t="s">
        <v>105</v>
      </c>
      <c r="E1255">
        <v>37281000000</v>
      </c>
      <c r="F1255">
        <v>1933000000</v>
      </c>
      <c r="G1255">
        <v>3362000000</v>
      </c>
      <c r="H1255">
        <v>1710000000</v>
      </c>
      <c r="I1255">
        <v>1110000000</v>
      </c>
      <c r="J1255">
        <v>1887000000</v>
      </c>
      <c r="K1255">
        <v>5485000000</v>
      </c>
      <c r="L1255">
        <v>727000000</v>
      </c>
      <c r="M1255">
        <v>6212000000</v>
      </c>
      <c r="N1255">
        <v>11297000000</v>
      </c>
      <c r="O1255">
        <v>964000000</v>
      </c>
      <c r="P1255">
        <v>499000000</v>
      </c>
      <c r="Q1255">
        <v>9459000000</v>
      </c>
      <c r="R1255">
        <v>9454000000</v>
      </c>
      <c r="S1255">
        <v>26017000000</v>
      </c>
      <c r="T1255">
        <v>0</v>
      </c>
      <c r="U1255">
        <v>1433000000</v>
      </c>
      <c r="V1255">
        <v>12682000000</v>
      </c>
      <c r="W1255">
        <v>146266482190</v>
      </c>
      <c r="X1255">
        <v>147699482190</v>
      </c>
      <c r="Y1255">
        <v>3.82287176282825</v>
      </c>
      <c r="Z1255">
        <v>73.730202891877909</v>
      </c>
      <c r="AA1255">
        <v>42.391577093991671</v>
      </c>
      <c r="AB1255">
        <v>83.345311222222222</v>
      </c>
      <c r="AC1255">
        <v>128.3968308018018</v>
      </c>
      <c r="AD1255">
        <v>75.527547530471651</v>
      </c>
      <c r="AE1255">
        <v>76.409457935851009</v>
      </c>
      <c r="AF1255">
        <v>75.668123222969484</v>
      </c>
      <c r="AG1255">
        <v>133.0625965675676</v>
      </c>
      <c r="AH1255">
        <v>131.7716055765766</v>
      </c>
      <c r="AI1255">
        <v>43.932029205829863</v>
      </c>
      <c r="AJ1255">
        <v>86.373966192982451</v>
      </c>
      <c r="AK1255">
        <v>43.505794821534799</v>
      </c>
      <c r="AL1255">
        <v>85.53595449707602</v>
      </c>
      <c r="AM1255">
        <v>3.9617897103081998</v>
      </c>
      <c r="AN1255">
        <v>3.9233519001636221</v>
      </c>
    </row>
    <row r="1256" spans="1:40" x14ac:dyDescent="0.25">
      <c r="A1256" s="1" t="s">
        <v>281</v>
      </c>
      <c r="B1256">
        <v>143892270410</v>
      </c>
      <c r="C1256" t="s">
        <v>71</v>
      </c>
      <c r="D1256" t="s">
        <v>105</v>
      </c>
      <c r="E1256">
        <v>37281000000</v>
      </c>
      <c r="F1256">
        <v>1933000000</v>
      </c>
      <c r="G1256">
        <v>3362000000</v>
      </c>
      <c r="H1256">
        <v>1710000000</v>
      </c>
      <c r="I1256">
        <v>1110000000</v>
      </c>
      <c r="J1256">
        <v>1887000000</v>
      </c>
      <c r="K1256">
        <v>5485000000</v>
      </c>
      <c r="L1256">
        <v>727000000</v>
      </c>
      <c r="M1256">
        <v>6212000000</v>
      </c>
      <c r="N1256">
        <v>11297000000</v>
      </c>
      <c r="O1256">
        <v>964000000</v>
      </c>
      <c r="P1256">
        <v>499000000</v>
      </c>
      <c r="Q1256">
        <v>9459000000</v>
      </c>
      <c r="R1256">
        <v>9454000000</v>
      </c>
      <c r="S1256">
        <v>26017000000</v>
      </c>
      <c r="T1256">
        <v>0</v>
      </c>
      <c r="U1256">
        <v>1433000000</v>
      </c>
      <c r="V1256">
        <v>12682000000</v>
      </c>
      <c r="W1256">
        <v>147638270410</v>
      </c>
      <c r="X1256">
        <v>149071270410</v>
      </c>
      <c r="Y1256">
        <v>3.859667670126874</v>
      </c>
      <c r="Z1256">
        <v>74.439870879461978</v>
      </c>
      <c r="AA1256">
        <v>42.7996045240928</v>
      </c>
      <c r="AB1256">
        <v>84.147526555555558</v>
      </c>
      <c r="AC1256">
        <v>129.63267604504509</v>
      </c>
      <c r="AD1256">
        <v>76.254515320614729</v>
      </c>
      <c r="AE1256">
        <v>77.119125923435078</v>
      </c>
      <c r="AF1256">
        <v>76.377791210553539</v>
      </c>
      <c r="AG1256">
        <v>134.2984418108108</v>
      </c>
      <c r="AH1256">
        <v>133.00745081981981</v>
      </c>
      <c r="AI1256">
        <v>44.340056635930992</v>
      </c>
      <c r="AJ1256">
        <v>87.176181526315787</v>
      </c>
      <c r="AK1256">
        <v>43.913822251635928</v>
      </c>
      <c r="AL1256">
        <v>86.338169830409356</v>
      </c>
      <c r="AM1256">
        <v>3.9985856176068242</v>
      </c>
      <c r="AN1256">
        <v>3.960147807462246</v>
      </c>
    </row>
    <row r="1257" spans="1:40" x14ac:dyDescent="0.25">
      <c r="A1257" s="1" t="s">
        <v>280</v>
      </c>
      <c r="B1257">
        <v>148631175170</v>
      </c>
      <c r="C1257" t="s">
        <v>71</v>
      </c>
      <c r="D1257" t="s">
        <v>105</v>
      </c>
      <c r="E1257">
        <v>37281000000</v>
      </c>
      <c r="F1257">
        <v>1933000000</v>
      </c>
      <c r="G1257">
        <v>3362000000</v>
      </c>
      <c r="H1257">
        <v>1710000000</v>
      </c>
      <c r="I1257">
        <v>1110000000</v>
      </c>
      <c r="J1257">
        <v>1887000000</v>
      </c>
      <c r="K1257">
        <v>5485000000</v>
      </c>
      <c r="L1257">
        <v>727000000</v>
      </c>
      <c r="M1257">
        <v>6212000000</v>
      </c>
      <c r="N1257">
        <v>11297000000</v>
      </c>
      <c r="O1257">
        <v>964000000</v>
      </c>
      <c r="P1257">
        <v>499000000</v>
      </c>
      <c r="Q1257">
        <v>9459000000</v>
      </c>
      <c r="R1257">
        <v>9454000000</v>
      </c>
      <c r="S1257">
        <v>26017000000</v>
      </c>
      <c r="T1257">
        <v>0</v>
      </c>
      <c r="U1257">
        <v>1433000000</v>
      </c>
      <c r="V1257">
        <v>12682000000</v>
      </c>
      <c r="W1257">
        <v>152377175170</v>
      </c>
      <c r="X1257">
        <v>153810175170</v>
      </c>
      <c r="Y1257">
        <v>3.986780804431211</v>
      </c>
      <c r="Z1257">
        <v>76.89145120020693</v>
      </c>
      <c r="AA1257">
        <v>44.209153828078527</v>
      </c>
      <c r="AB1257">
        <v>86.918815888888886</v>
      </c>
      <c r="AC1257">
        <v>133.90195961261259</v>
      </c>
      <c r="AD1257">
        <v>78.765858595654478</v>
      </c>
      <c r="AE1257">
        <v>79.57070624418003</v>
      </c>
      <c r="AF1257">
        <v>78.829371531298506</v>
      </c>
      <c r="AG1257">
        <v>138.56772537837841</v>
      </c>
      <c r="AH1257">
        <v>137.27673438738739</v>
      </c>
      <c r="AI1257">
        <v>45.749605939916719</v>
      </c>
      <c r="AJ1257">
        <v>89.94747085964913</v>
      </c>
      <c r="AK1257">
        <v>45.323371555621662</v>
      </c>
      <c r="AL1257">
        <v>89.109459163742684</v>
      </c>
      <c r="AM1257">
        <v>4.1256987519111608</v>
      </c>
      <c r="AN1257">
        <v>4.0872609417665826</v>
      </c>
    </row>
    <row r="1258" spans="1:40" x14ac:dyDescent="0.25">
      <c r="A1258" s="1" t="s">
        <v>118</v>
      </c>
      <c r="B1258">
        <v>146386430810</v>
      </c>
      <c r="C1258" t="s">
        <v>71</v>
      </c>
      <c r="D1258" t="s">
        <v>105</v>
      </c>
      <c r="E1258">
        <v>37281000000</v>
      </c>
      <c r="F1258">
        <v>1933000000</v>
      </c>
      <c r="G1258">
        <v>3362000000</v>
      </c>
      <c r="H1258">
        <v>1710000000</v>
      </c>
      <c r="I1258">
        <v>1110000000</v>
      </c>
      <c r="J1258">
        <v>1887000000</v>
      </c>
      <c r="K1258">
        <v>5485000000</v>
      </c>
      <c r="L1258">
        <v>727000000</v>
      </c>
      <c r="M1258">
        <v>6212000000</v>
      </c>
      <c r="N1258">
        <v>11297000000</v>
      </c>
      <c r="O1258">
        <v>964000000</v>
      </c>
      <c r="P1258">
        <v>499000000</v>
      </c>
      <c r="Q1258">
        <v>9459000000</v>
      </c>
      <c r="R1258">
        <v>9454000000</v>
      </c>
      <c r="S1258">
        <v>26017000000</v>
      </c>
      <c r="T1258">
        <v>0</v>
      </c>
      <c r="U1258">
        <v>1433000000</v>
      </c>
      <c r="V1258">
        <v>12682000000</v>
      </c>
      <c r="W1258">
        <v>150132430810</v>
      </c>
      <c r="X1258">
        <v>151565430810</v>
      </c>
      <c r="Y1258">
        <v>3.9265693197607359</v>
      </c>
      <c r="Z1258">
        <v>75.730176311432999</v>
      </c>
      <c r="AA1258">
        <v>43.54147257882213</v>
      </c>
      <c r="AB1258">
        <v>85.606099888888892</v>
      </c>
      <c r="AC1258">
        <v>131.8796673963964</v>
      </c>
      <c r="AD1258">
        <v>77.576274939056702</v>
      </c>
      <c r="AE1258">
        <v>78.409431355406099</v>
      </c>
      <c r="AF1258">
        <v>77.668096642524574</v>
      </c>
      <c r="AG1258">
        <v>136.5454331621622</v>
      </c>
      <c r="AH1258">
        <v>135.25444217117121</v>
      </c>
      <c r="AI1258">
        <v>45.081924690660323</v>
      </c>
      <c r="AJ1258">
        <v>88.634754859649121</v>
      </c>
      <c r="AK1258">
        <v>44.655690306365258</v>
      </c>
      <c r="AL1258">
        <v>87.79674316374269</v>
      </c>
      <c r="AM1258">
        <v>4.0654872672406857</v>
      </c>
      <c r="AN1258">
        <v>4.0270494570961084</v>
      </c>
    </row>
    <row r="1259" spans="1:40" x14ac:dyDescent="0.25">
      <c r="A1259" s="1" t="s">
        <v>115</v>
      </c>
      <c r="B1259">
        <v>138010208800</v>
      </c>
      <c r="C1259" t="s">
        <v>70</v>
      </c>
      <c r="D1259" t="s">
        <v>105</v>
      </c>
      <c r="E1259">
        <v>38589000000</v>
      </c>
      <c r="F1259">
        <v>2350000000</v>
      </c>
      <c r="G1259">
        <v>4228000000</v>
      </c>
      <c r="H1259">
        <v>2127000000</v>
      </c>
      <c r="I1259">
        <v>1544000000</v>
      </c>
      <c r="J1259">
        <v>1390000000</v>
      </c>
      <c r="K1259">
        <v>5827000000</v>
      </c>
      <c r="L1259">
        <v>744000000</v>
      </c>
      <c r="M1259">
        <v>6571000000</v>
      </c>
      <c r="N1259">
        <v>12074000000</v>
      </c>
      <c r="O1259">
        <v>1795000000</v>
      </c>
      <c r="P1259">
        <v>184000000</v>
      </c>
      <c r="Q1259">
        <v>9457000000</v>
      </c>
      <c r="R1259">
        <v>9993000000</v>
      </c>
      <c r="S1259">
        <v>27100000000</v>
      </c>
      <c r="T1259">
        <v>0</v>
      </c>
      <c r="U1259">
        <v>1441000000</v>
      </c>
      <c r="V1259">
        <v>12499000000</v>
      </c>
      <c r="W1259">
        <v>141080208800</v>
      </c>
      <c r="X1259">
        <v>142521208800</v>
      </c>
      <c r="Y1259">
        <v>3.5764131954702121</v>
      </c>
      <c r="Z1259">
        <v>58.727748425531907</v>
      </c>
      <c r="AA1259">
        <v>32.64196045411542</v>
      </c>
      <c r="AB1259">
        <v>64.884912458862246</v>
      </c>
      <c r="AC1259">
        <v>89.384850259067363</v>
      </c>
      <c r="AD1259">
        <v>99.28792</v>
      </c>
      <c r="AE1259">
        <v>60.647322893617023</v>
      </c>
      <c r="AF1259">
        <v>60.034131404255319</v>
      </c>
      <c r="AG1259">
        <v>92.306482383419691</v>
      </c>
      <c r="AH1259">
        <v>91.373192227979274</v>
      </c>
      <c r="AI1259">
        <v>33.708895175023649</v>
      </c>
      <c r="AJ1259">
        <v>67.005739915373766</v>
      </c>
      <c r="AK1259">
        <v>33.368072090823077</v>
      </c>
      <c r="AL1259">
        <v>66.328259896567943</v>
      </c>
      <c r="AM1259">
        <v>3.6933117935162869</v>
      </c>
      <c r="AN1259">
        <v>3.655969545725466</v>
      </c>
    </row>
    <row r="1260" spans="1:40" x14ac:dyDescent="0.25">
      <c r="A1260" s="1" t="s">
        <v>279</v>
      </c>
      <c r="B1260">
        <v>141190263310</v>
      </c>
      <c r="C1260" t="s">
        <v>70</v>
      </c>
      <c r="D1260" t="s">
        <v>105</v>
      </c>
      <c r="E1260">
        <v>38589000000</v>
      </c>
      <c r="F1260">
        <v>2350000000</v>
      </c>
      <c r="G1260">
        <v>4228000000</v>
      </c>
      <c r="H1260">
        <v>2127000000</v>
      </c>
      <c r="I1260">
        <v>1544000000</v>
      </c>
      <c r="J1260">
        <v>1390000000</v>
      </c>
      <c r="K1260">
        <v>5827000000</v>
      </c>
      <c r="L1260">
        <v>744000000</v>
      </c>
      <c r="M1260">
        <v>6571000000</v>
      </c>
      <c r="N1260">
        <v>12074000000</v>
      </c>
      <c r="O1260">
        <v>1795000000</v>
      </c>
      <c r="P1260">
        <v>184000000</v>
      </c>
      <c r="Q1260">
        <v>9457000000</v>
      </c>
      <c r="R1260">
        <v>9993000000</v>
      </c>
      <c r="S1260">
        <v>27100000000</v>
      </c>
      <c r="T1260">
        <v>0</v>
      </c>
      <c r="U1260">
        <v>1441000000</v>
      </c>
      <c r="V1260">
        <v>12499000000</v>
      </c>
      <c r="W1260">
        <v>144260263310</v>
      </c>
      <c r="X1260">
        <v>145701263310</v>
      </c>
      <c r="Y1260">
        <v>3.6588215115706548</v>
      </c>
      <c r="Z1260">
        <v>60.080963110638301</v>
      </c>
      <c r="AA1260">
        <v>33.394102012772002</v>
      </c>
      <c r="AB1260">
        <v>66.380001556182421</v>
      </c>
      <c r="AC1260">
        <v>91.444471055699481</v>
      </c>
      <c r="AD1260">
        <v>101.575729</v>
      </c>
      <c r="AE1260">
        <v>62.000537578723403</v>
      </c>
      <c r="AF1260">
        <v>61.387346089361699</v>
      </c>
      <c r="AG1260">
        <v>94.366103180051809</v>
      </c>
      <c r="AH1260">
        <v>93.432813024611406</v>
      </c>
      <c r="AI1260">
        <v>34.461036733680217</v>
      </c>
      <c r="AJ1260">
        <v>68.500829012693941</v>
      </c>
      <c r="AK1260">
        <v>34.120213649479659</v>
      </c>
      <c r="AL1260">
        <v>67.823348993888104</v>
      </c>
      <c r="AM1260">
        <v>3.7757201096167301</v>
      </c>
      <c r="AN1260">
        <v>3.7383778618259091</v>
      </c>
    </row>
    <row r="1261" spans="1:40" x14ac:dyDescent="0.25">
      <c r="A1261" s="1" t="s">
        <v>278</v>
      </c>
      <c r="B1261">
        <v>139236504330</v>
      </c>
      <c r="C1261" t="s">
        <v>70</v>
      </c>
      <c r="D1261" t="s">
        <v>105</v>
      </c>
      <c r="E1261">
        <v>38589000000</v>
      </c>
      <c r="F1261">
        <v>2350000000</v>
      </c>
      <c r="G1261">
        <v>4228000000</v>
      </c>
      <c r="H1261">
        <v>2127000000</v>
      </c>
      <c r="I1261">
        <v>1544000000</v>
      </c>
      <c r="J1261">
        <v>1390000000</v>
      </c>
      <c r="K1261">
        <v>5827000000</v>
      </c>
      <c r="L1261">
        <v>744000000</v>
      </c>
      <c r="M1261">
        <v>6571000000</v>
      </c>
      <c r="N1261">
        <v>12074000000</v>
      </c>
      <c r="O1261">
        <v>1795000000</v>
      </c>
      <c r="P1261">
        <v>184000000</v>
      </c>
      <c r="Q1261">
        <v>9457000000</v>
      </c>
      <c r="R1261">
        <v>9993000000</v>
      </c>
      <c r="S1261">
        <v>27100000000</v>
      </c>
      <c r="T1261">
        <v>0</v>
      </c>
      <c r="U1261">
        <v>1441000000</v>
      </c>
      <c r="V1261">
        <v>12499000000</v>
      </c>
      <c r="W1261">
        <v>142306504330</v>
      </c>
      <c r="X1261">
        <v>143747504330</v>
      </c>
      <c r="Y1261">
        <v>3.6081915657311669</v>
      </c>
      <c r="Z1261">
        <v>59.249576310638297</v>
      </c>
      <c r="AA1261">
        <v>32.932001970198677</v>
      </c>
      <c r="AB1261">
        <v>65.461450084626236</v>
      </c>
      <c r="AC1261">
        <v>90.179083115284968</v>
      </c>
      <c r="AD1261">
        <v>100.170147</v>
      </c>
      <c r="AE1261">
        <v>61.169150778723413</v>
      </c>
      <c r="AF1261">
        <v>60.555959289361702</v>
      </c>
      <c r="AG1261">
        <v>93.10071523963731</v>
      </c>
      <c r="AH1261">
        <v>92.167425084196893</v>
      </c>
      <c r="AI1261">
        <v>33.998936691106913</v>
      </c>
      <c r="AJ1261">
        <v>67.582277541137756</v>
      </c>
      <c r="AK1261">
        <v>33.65811360690634</v>
      </c>
      <c r="AL1261">
        <v>66.904797522331918</v>
      </c>
      <c r="AM1261">
        <v>3.7250901637772418</v>
      </c>
      <c r="AN1261">
        <v>3.6877479159864208</v>
      </c>
    </row>
    <row r="1262" spans="1:40" x14ac:dyDescent="0.25">
      <c r="A1262" s="1" t="s">
        <v>277</v>
      </c>
      <c r="B1262">
        <v>137220391339</v>
      </c>
      <c r="C1262" t="s">
        <v>70</v>
      </c>
      <c r="D1262" t="s">
        <v>105</v>
      </c>
      <c r="E1262">
        <v>38589000000</v>
      </c>
      <c r="F1262">
        <v>2350000000</v>
      </c>
      <c r="G1262">
        <v>4228000000</v>
      </c>
      <c r="H1262">
        <v>2127000000</v>
      </c>
      <c r="I1262">
        <v>1544000000</v>
      </c>
      <c r="J1262">
        <v>1390000000</v>
      </c>
      <c r="K1262">
        <v>5827000000</v>
      </c>
      <c r="L1262">
        <v>744000000</v>
      </c>
      <c r="M1262">
        <v>6571000000</v>
      </c>
      <c r="N1262">
        <v>12074000000</v>
      </c>
      <c r="O1262">
        <v>1795000000</v>
      </c>
      <c r="P1262">
        <v>184000000</v>
      </c>
      <c r="Q1262">
        <v>9457000000</v>
      </c>
      <c r="R1262">
        <v>9993000000</v>
      </c>
      <c r="S1262">
        <v>27100000000</v>
      </c>
      <c r="T1262">
        <v>0</v>
      </c>
      <c r="U1262">
        <v>1441000000</v>
      </c>
      <c r="V1262">
        <v>12499000000</v>
      </c>
      <c r="W1262">
        <v>140290391339</v>
      </c>
      <c r="X1262">
        <v>141731391339</v>
      </c>
      <c r="Y1262">
        <v>3.555945770530462</v>
      </c>
      <c r="Z1262">
        <v>58.391655888936171</v>
      </c>
      <c r="AA1262">
        <v>32.455154053689689</v>
      </c>
      <c r="AB1262">
        <v>64.513583140103435</v>
      </c>
      <c r="AC1262">
        <v>88.873310452720204</v>
      </c>
      <c r="AD1262">
        <v>98.719705999280578</v>
      </c>
      <c r="AE1262">
        <v>60.311230357021273</v>
      </c>
      <c r="AF1262">
        <v>59.698038867659577</v>
      </c>
      <c r="AG1262">
        <v>91.794942577072533</v>
      </c>
      <c r="AH1262">
        <v>90.86165242163213</v>
      </c>
      <c r="AI1262">
        <v>33.522088774597918</v>
      </c>
      <c r="AJ1262">
        <v>66.634410596614956</v>
      </c>
      <c r="AK1262">
        <v>33.181265690397353</v>
      </c>
      <c r="AL1262">
        <v>65.956930577809118</v>
      </c>
      <c r="AM1262">
        <v>3.6728443685765368</v>
      </c>
      <c r="AN1262">
        <v>3.6355021207857159</v>
      </c>
    </row>
    <row r="1263" spans="1:40" x14ac:dyDescent="0.25">
      <c r="A1263" s="1" t="s">
        <v>276</v>
      </c>
      <c r="B1263">
        <v>135765464439</v>
      </c>
      <c r="C1263" t="s">
        <v>70</v>
      </c>
      <c r="D1263" t="s">
        <v>105</v>
      </c>
      <c r="E1263">
        <v>38589000000</v>
      </c>
      <c r="F1263">
        <v>2350000000</v>
      </c>
      <c r="G1263">
        <v>4228000000</v>
      </c>
      <c r="H1263">
        <v>2127000000</v>
      </c>
      <c r="I1263">
        <v>1544000000</v>
      </c>
      <c r="J1263">
        <v>1390000000</v>
      </c>
      <c r="K1263">
        <v>5827000000</v>
      </c>
      <c r="L1263">
        <v>744000000</v>
      </c>
      <c r="M1263">
        <v>6571000000</v>
      </c>
      <c r="N1263">
        <v>12074000000</v>
      </c>
      <c r="O1263">
        <v>1795000000</v>
      </c>
      <c r="P1263">
        <v>184000000</v>
      </c>
      <c r="Q1263">
        <v>9457000000</v>
      </c>
      <c r="R1263">
        <v>9993000000</v>
      </c>
      <c r="S1263">
        <v>27100000000</v>
      </c>
      <c r="T1263">
        <v>0</v>
      </c>
      <c r="U1263">
        <v>1441000000</v>
      </c>
      <c r="V1263">
        <v>12499000000</v>
      </c>
      <c r="W1263">
        <v>138835464439</v>
      </c>
      <c r="X1263">
        <v>140276464439</v>
      </c>
      <c r="Y1263">
        <v>3.518242619373396</v>
      </c>
      <c r="Z1263">
        <v>57.772538059148943</v>
      </c>
      <c r="AA1263">
        <v>32.111037000709558</v>
      </c>
      <c r="AB1263">
        <v>63.829555448519038</v>
      </c>
      <c r="AC1263">
        <v>87.93100028432643</v>
      </c>
      <c r="AD1263">
        <v>97.672995999280573</v>
      </c>
      <c r="AE1263">
        <v>59.692112527234038</v>
      </c>
      <c r="AF1263">
        <v>59.078921037872341</v>
      </c>
      <c r="AG1263">
        <v>90.852632408678758</v>
      </c>
      <c r="AH1263">
        <v>89.919342253238341</v>
      </c>
      <c r="AI1263">
        <v>33.177971721617787</v>
      </c>
      <c r="AJ1263">
        <v>65.950382905030565</v>
      </c>
      <c r="AK1263">
        <v>32.837148637417222</v>
      </c>
      <c r="AL1263">
        <v>65.272902886224728</v>
      </c>
      <c r="AM1263">
        <v>3.6351412174194722</v>
      </c>
      <c r="AN1263">
        <v>3.5977989696286512</v>
      </c>
    </row>
    <row r="1264" spans="1:40" x14ac:dyDescent="0.25">
      <c r="A1264" s="1" t="s">
        <v>275</v>
      </c>
      <c r="B1264">
        <v>138467471540</v>
      </c>
      <c r="C1264" t="s">
        <v>70</v>
      </c>
      <c r="D1264" t="s">
        <v>105</v>
      </c>
      <c r="E1264">
        <v>38589000000</v>
      </c>
      <c r="F1264">
        <v>2350000000</v>
      </c>
      <c r="G1264">
        <v>4228000000</v>
      </c>
      <c r="H1264">
        <v>2127000000</v>
      </c>
      <c r="I1264">
        <v>1544000000</v>
      </c>
      <c r="J1264">
        <v>1390000000</v>
      </c>
      <c r="K1264">
        <v>5827000000</v>
      </c>
      <c r="L1264">
        <v>744000000</v>
      </c>
      <c r="M1264">
        <v>6571000000</v>
      </c>
      <c r="N1264">
        <v>12074000000</v>
      </c>
      <c r="O1264">
        <v>1795000000</v>
      </c>
      <c r="P1264">
        <v>184000000</v>
      </c>
      <c r="Q1264">
        <v>9457000000</v>
      </c>
      <c r="R1264">
        <v>9993000000</v>
      </c>
      <c r="S1264">
        <v>27100000000</v>
      </c>
      <c r="T1264">
        <v>0</v>
      </c>
      <c r="U1264">
        <v>1441000000</v>
      </c>
      <c r="V1264">
        <v>12499000000</v>
      </c>
      <c r="W1264">
        <v>141537471540</v>
      </c>
      <c r="X1264">
        <v>142978471540</v>
      </c>
      <c r="Y1264">
        <v>3.5882627572624322</v>
      </c>
      <c r="Z1264">
        <v>58.922328314893619</v>
      </c>
      <c r="AA1264">
        <v>32.750111527909183</v>
      </c>
      <c r="AB1264">
        <v>65.09989259050306</v>
      </c>
      <c r="AC1264">
        <v>89.681004883419689</v>
      </c>
      <c r="AD1264">
        <v>99.616885999999994</v>
      </c>
      <c r="AE1264">
        <v>60.841902782978721</v>
      </c>
      <c r="AF1264">
        <v>60.228711293617017</v>
      </c>
      <c r="AG1264">
        <v>92.602637007772017</v>
      </c>
      <c r="AH1264">
        <v>91.6693468523316</v>
      </c>
      <c r="AI1264">
        <v>33.817046248817412</v>
      </c>
      <c r="AJ1264">
        <v>67.220720047014581</v>
      </c>
      <c r="AK1264">
        <v>33.47622316461684</v>
      </c>
      <c r="AL1264">
        <v>66.543240028208743</v>
      </c>
      <c r="AM1264">
        <v>3.705161355308507</v>
      </c>
      <c r="AN1264">
        <v>3.667819107517686</v>
      </c>
    </row>
    <row r="1265" spans="1:40" x14ac:dyDescent="0.25">
      <c r="A1265" s="1" t="s">
        <v>274</v>
      </c>
      <c r="B1265">
        <v>137282745350</v>
      </c>
      <c r="C1265" t="s">
        <v>70</v>
      </c>
      <c r="D1265" t="s">
        <v>105</v>
      </c>
      <c r="E1265">
        <v>38589000000</v>
      </c>
      <c r="F1265">
        <v>2350000000</v>
      </c>
      <c r="G1265">
        <v>4228000000</v>
      </c>
      <c r="H1265">
        <v>2127000000</v>
      </c>
      <c r="I1265">
        <v>1544000000</v>
      </c>
      <c r="J1265">
        <v>1390000000</v>
      </c>
      <c r="K1265">
        <v>5827000000</v>
      </c>
      <c r="L1265">
        <v>744000000</v>
      </c>
      <c r="M1265">
        <v>6571000000</v>
      </c>
      <c r="N1265">
        <v>12074000000</v>
      </c>
      <c r="O1265">
        <v>1795000000</v>
      </c>
      <c r="P1265">
        <v>184000000</v>
      </c>
      <c r="Q1265">
        <v>9457000000</v>
      </c>
      <c r="R1265">
        <v>9993000000</v>
      </c>
      <c r="S1265">
        <v>27100000000</v>
      </c>
      <c r="T1265">
        <v>0</v>
      </c>
      <c r="U1265">
        <v>1441000000</v>
      </c>
      <c r="V1265">
        <v>12499000000</v>
      </c>
      <c r="W1265">
        <v>140352745350</v>
      </c>
      <c r="X1265">
        <v>141793745350</v>
      </c>
      <c r="Y1265">
        <v>3.5575616198916791</v>
      </c>
      <c r="Z1265">
        <v>58.4181895106383</v>
      </c>
      <c r="AA1265">
        <v>32.469901927625358</v>
      </c>
      <c r="AB1265">
        <v>64.542898613070051</v>
      </c>
      <c r="AC1265">
        <v>88.913695174870469</v>
      </c>
      <c r="AD1265">
        <v>98.764565000000005</v>
      </c>
      <c r="AE1265">
        <v>60.337763978723402</v>
      </c>
      <c r="AF1265">
        <v>59.724572489361712</v>
      </c>
      <c r="AG1265">
        <v>91.835327299222797</v>
      </c>
      <c r="AH1265">
        <v>90.90203714378238</v>
      </c>
      <c r="AI1265">
        <v>33.536836648533587</v>
      </c>
      <c r="AJ1265">
        <v>66.663726069581571</v>
      </c>
      <c r="AK1265">
        <v>33.196013564333008</v>
      </c>
      <c r="AL1265">
        <v>65.986246050775748</v>
      </c>
      <c r="AM1265">
        <v>3.6744602179377539</v>
      </c>
      <c r="AN1265">
        <v>3.6371179701469329</v>
      </c>
    </row>
    <row r="1266" spans="1:40" x14ac:dyDescent="0.25">
      <c r="A1266" s="1" t="s">
        <v>273</v>
      </c>
      <c r="B1266">
        <v>136492927890</v>
      </c>
      <c r="C1266" t="s">
        <v>70</v>
      </c>
      <c r="D1266" t="s">
        <v>105</v>
      </c>
      <c r="E1266">
        <v>38589000000</v>
      </c>
      <c r="F1266">
        <v>2350000000</v>
      </c>
      <c r="G1266">
        <v>4228000000</v>
      </c>
      <c r="H1266">
        <v>2127000000</v>
      </c>
      <c r="I1266">
        <v>1544000000</v>
      </c>
      <c r="J1266">
        <v>1390000000</v>
      </c>
      <c r="K1266">
        <v>5827000000</v>
      </c>
      <c r="L1266">
        <v>744000000</v>
      </c>
      <c r="M1266">
        <v>6571000000</v>
      </c>
      <c r="N1266">
        <v>12074000000</v>
      </c>
      <c r="O1266">
        <v>1795000000</v>
      </c>
      <c r="P1266">
        <v>184000000</v>
      </c>
      <c r="Q1266">
        <v>9457000000</v>
      </c>
      <c r="R1266">
        <v>9993000000</v>
      </c>
      <c r="S1266">
        <v>27100000000</v>
      </c>
      <c r="T1266">
        <v>0</v>
      </c>
      <c r="U1266">
        <v>1441000000</v>
      </c>
      <c r="V1266">
        <v>12499000000</v>
      </c>
      <c r="W1266">
        <v>139562927890</v>
      </c>
      <c r="X1266">
        <v>141003927890</v>
      </c>
      <c r="Y1266">
        <v>3.5370941949778429</v>
      </c>
      <c r="Z1266">
        <v>58.082096974468087</v>
      </c>
      <c r="AA1266">
        <v>32.283095527436139</v>
      </c>
      <c r="AB1266">
        <v>64.171569294781378</v>
      </c>
      <c r="AC1266">
        <v>88.402155369170984</v>
      </c>
      <c r="AD1266">
        <v>98.196351000000007</v>
      </c>
      <c r="AE1266">
        <v>60.001671442553189</v>
      </c>
      <c r="AF1266">
        <v>59.388479953191492</v>
      </c>
      <c r="AG1266">
        <v>91.323787493523312</v>
      </c>
      <c r="AH1266">
        <v>90.390497338082895</v>
      </c>
      <c r="AI1266">
        <v>33.350030248344368</v>
      </c>
      <c r="AJ1266">
        <v>66.292396751292898</v>
      </c>
      <c r="AK1266">
        <v>33.009207164143803</v>
      </c>
      <c r="AL1266">
        <v>65.614916732487075</v>
      </c>
      <c r="AM1266">
        <v>3.6539927930239191</v>
      </c>
      <c r="AN1266">
        <v>3.6166505452330981</v>
      </c>
    </row>
    <row r="1267" spans="1:40" x14ac:dyDescent="0.25">
      <c r="A1267" s="1" t="s">
        <v>272</v>
      </c>
      <c r="B1267">
        <v>134372891550</v>
      </c>
      <c r="C1267" t="s">
        <v>70</v>
      </c>
      <c r="D1267" t="s">
        <v>105</v>
      </c>
      <c r="E1267">
        <v>38589000000</v>
      </c>
      <c r="F1267">
        <v>2350000000</v>
      </c>
      <c r="G1267">
        <v>4228000000</v>
      </c>
      <c r="H1267">
        <v>2127000000</v>
      </c>
      <c r="I1267">
        <v>1544000000</v>
      </c>
      <c r="J1267">
        <v>1390000000</v>
      </c>
      <c r="K1267">
        <v>5827000000</v>
      </c>
      <c r="L1267">
        <v>744000000</v>
      </c>
      <c r="M1267">
        <v>6571000000</v>
      </c>
      <c r="N1267">
        <v>12074000000</v>
      </c>
      <c r="O1267">
        <v>1795000000</v>
      </c>
      <c r="P1267">
        <v>184000000</v>
      </c>
      <c r="Q1267">
        <v>9457000000</v>
      </c>
      <c r="R1267">
        <v>9993000000</v>
      </c>
      <c r="S1267">
        <v>27100000000</v>
      </c>
      <c r="T1267">
        <v>0</v>
      </c>
      <c r="U1267">
        <v>1441000000</v>
      </c>
      <c r="V1267">
        <v>12499000000</v>
      </c>
      <c r="W1267">
        <v>137442891550</v>
      </c>
      <c r="X1267">
        <v>138883891550</v>
      </c>
      <c r="Y1267">
        <v>3.4821553175775479</v>
      </c>
      <c r="Z1267">
        <v>57.179953851063829</v>
      </c>
      <c r="AA1267">
        <v>31.781667821665089</v>
      </c>
      <c r="AB1267">
        <v>63.174843229901271</v>
      </c>
      <c r="AC1267">
        <v>87.029074838082906</v>
      </c>
      <c r="AD1267">
        <v>96.671144999999996</v>
      </c>
      <c r="AE1267">
        <v>59.099528319148938</v>
      </c>
      <c r="AF1267">
        <v>58.486336829787227</v>
      </c>
      <c r="AG1267">
        <v>89.950706962435234</v>
      </c>
      <c r="AH1267">
        <v>89.017416806994817</v>
      </c>
      <c r="AI1267">
        <v>32.848602542573317</v>
      </c>
      <c r="AJ1267">
        <v>65.295670686412791</v>
      </c>
      <c r="AK1267">
        <v>32.507779458372752</v>
      </c>
      <c r="AL1267">
        <v>64.618190667606953</v>
      </c>
      <c r="AM1267">
        <v>3.5990539156236232</v>
      </c>
      <c r="AN1267">
        <v>3.5617116678328018</v>
      </c>
    </row>
    <row r="1268" spans="1:40" x14ac:dyDescent="0.25">
      <c r="A1268" s="1" t="s">
        <v>271</v>
      </c>
      <c r="B1268">
        <v>132959533990</v>
      </c>
      <c r="C1268" t="s">
        <v>70</v>
      </c>
      <c r="D1268" t="s">
        <v>105</v>
      </c>
      <c r="E1268">
        <v>38589000000</v>
      </c>
      <c r="F1268">
        <v>2350000000</v>
      </c>
      <c r="G1268">
        <v>4228000000</v>
      </c>
      <c r="H1268">
        <v>2127000000</v>
      </c>
      <c r="I1268">
        <v>1544000000</v>
      </c>
      <c r="J1268">
        <v>1390000000</v>
      </c>
      <c r="K1268">
        <v>5827000000</v>
      </c>
      <c r="L1268">
        <v>744000000</v>
      </c>
      <c r="M1268">
        <v>6571000000</v>
      </c>
      <c r="N1268">
        <v>12074000000</v>
      </c>
      <c r="O1268">
        <v>1795000000</v>
      </c>
      <c r="P1268">
        <v>184000000</v>
      </c>
      <c r="Q1268">
        <v>9457000000</v>
      </c>
      <c r="R1268">
        <v>9993000000</v>
      </c>
      <c r="S1268">
        <v>27100000000</v>
      </c>
      <c r="T1268">
        <v>0</v>
      </c>
      <c r="U1268">
        <v>1441000000</v>
      </c>
      <c r="V1268">
        <v>12499000000</v>
      </c>
      <c r="W1268">
        <v>136029533990</v>
      </c>
      <c r="X1268">
        <v>137470533990</v>
      </c>
      <c r="Y1268">
        <v>3.445529399310685</v>
      </c>
      <c r="Z1268">
        <v>56.578525102127657</v>
      </c>
      <c r="AA1268">
        <v>31.447382684484388</v>
      </c>
      <c r="AB1268">
        <v>62.510359186647861</v>
      </c>
      <c r="AC1268">
        <v>86.113687817357516</v>
      </c>
      <c r="AD1268">
        <v>95.654341000000002</v>
      </c>
      <c r="AE1268">
        <v>58.498099570212773</v>
      </c>
      <c r="AF1268">
        <v>57.884908080851062</v>
      </c>
      <c r="AG1268">
        <v>89.035319941709844</v>
      </c>
      <c r="AH1268">
        <v>88.102029786269426</v>
      </c>
      <c r="AI1268">
        <v>32.514317405392617</v>
      </c>
      <c r="AJ1268">
        <v>64.631186643159381</v>
      </c>
      <c r="AK1268">
        <v>32.173494321192052</v>
      </c>
      <c r="AL1268">
        <v>63.953706624353551</v>
      </c>
      <c r="AM1268">
        <v>3.5624279973567599</v>
      </c>
      <c r="AN1268">
        <v>3.525085749565938</v>
      </c>
    </row>
    <row r="1269" spans="1:40" x14ac:dyDescent="0.25">
      <c r="A1269" s="1" t="s">
        <v>270</v>
      </c>
      <c r="B1269">
        <v>136098019160</v>
      </c>
      <c r="C1269" t="s">
        <v>70</v>
      </c>
      <c r="D1269" t="s">
        <v>105</v>
      </c>
      <c r="E1269">
        <v>38589000000</v>
      </c>
      <c r="F1269">
        <v>2350000000</v>
      </c>
      <c r="G1269">
        <v>4228000000</v>
      </c>
      <c r="H1269">
        <v>2127000000</v>
      </c>
      <c r="I1269">
        <v>1544000000</v>
      </c>
      <c r="J1269">
        <v>1390000000</v>
      </c>
      <c r="K1269">
        <v>5827000000</v>
      </c>
      <c r="L1269">
        <v>744000000</v>
      </c>
      <c r="M1269">
        <v>6571000000</v>
      </c>
      <c r="N1269">
        <v>12074000000</v>
      </c>
      <c r="O1269">
        <v>1795000000</v>
      </c>
      <c r="P1269">
        <v>184000000</v>
      </c>
      <c r="Q1269">
        <v>9457000000</v>
      </c>
      <c r="R1269">
        <v>9993000000</v>
      </c>
      <c r="S1269">
        <v>27100000000</v>
      </c>
      <c r="T1269">
        <v>0</v>
      </c>
      <c r="U1269">
        <v>1441000000</v>
      </c>
      <c r="V1269">
        <v>12499000000</v>
      </c>
      <c r="W1269">
        <v>139168019160</v>
      </c>
      <c r="X1269">
        <v>140609019160</v>
      </c>
      <c r="Y1269">
        <v>3.526860482520926</v>
      </c>
      <c r="Z1269">
        <v>57.91405070638298</v>
      </c>
      <c r="AA1269">
        <v>32.189692327341533</v>
      </c>
      <c r="AB1269">
        <v>63.985904635637048</v>
      </c>
      <c r="AC1269">
        <v>88.146385466321249</v>
      </c>
      <c r="AD1269">
        <v>97.912244000000001</v>
      </c>
      <c r="AE1269">
        <v>59.833625174468082</v>
      </c>
      <c r="AF1269">
        <v>59.220433685106393</v>
      </c>
      <c r="AG1269">
        <v>91.068017590673577</v>
      </c>
      <c r="AH1269">
        <v>90.13472743523316</v>
      </c>
      <c r="AI1269">
        <v>33.256627048249761</v>
      </c>
      <c r="AJ1269">
        <v>66.106732092148562</v>
      </c>
      <c r="AK1269">
        <v>32.915803964049204</v>
      </c>
      <c r="AL1269">
        <v>65.429252073342738</v>
      </c>
      <c r="AM1269">
        <v>3.6437590805670008</v>
      </c>
      <c r="AN1269">
        <v>3.6064168327761799</v>
      </c>
    </row>
    <row r="1270" spans="1:40" x14ac:dyDescent="0.25">
      <c r="A1270" s="1" t="s">
        <v>269</v>
      </c>
      <c r="B1270">
        <v>132190501200</v>
      </c>
      <c r="C1270" t="s">
        <v>70</v>
      </c>
      <c r="D1270" t="s">
        <v>105</v>
      </c>
      <c r="E1270">
        <v>38589000000</v>
      </c>
      <c r="F1270">
        <v>2350000000</v>
      </c>
      <c r="G1270">
        <v>4228000000</v>
      </c>
      <c r="H1270">
        <v>2127000000</v>
      </c>
      <c r="I1270">
        <v>1544000000</v>
      </c>
      <c r="J1270">
        <v>1390000000</v>
      </c>
      <c r="K1270">
        <v>5827000000</v>
      </c>
      <c r="L1270">
        <v>744000000</v>
      </c>
      <c r="M1270">
        <v>6571000000</v>
      </c>
      <c r="N1270">
        <v>12074000000</v>
      </c>
      <c r="O1270">
        <v>1795000000</v>
      </c>
      <c r="P1270">
        <v>184000000</v>
      </c>
      <c r="Q1270">
        <v>9457000000</v>
      </c>
      <c r="R1270">
        <v>9993000000</v>
      </c>
      <c r="S1270">
        <v>27100000000</v>
      </c>
      <c r="T1270">
        <v>0</v>
      </c>
      <c r="U1270">
        <v>1441000000</v>
      </c>
      <c r="V1270">
        <v>12499000000</v>
      </c>
      <c r="W1270">
        <v>135260501200</v>
      </c>
      <c r="X1270">
        <v>136701501200</v>
      </c>
      <c r="Y1270">
        <v>3.4256005908419498</v>
      </c>
      <c r="Z1270">
        <v>56.251277106382979</v>
      </c>
      <c r="AA1270">
        <v>31.265492242194892</v>
      </c>
      <c r="AB1270">
        <v>62.148801692524692</v>
      </c>
      <c r="AC1270">
        <v>85.615609585492223</v>
      </c>
      <c r="AD1270">
        <v>95.101079999999996</v>
      </c>
      <c r="AE1270">
        <v>58.170851574468088</v>
      </c>
      <c r="AF1270">
        <v>57.557660085106377</v>
      </c>
      <c r="AG1270">
        <v>88.537241709844565</v>
      </c>
      <c r="AH1270">
        <v>87.603951554404148</v>
      </c>
      <c r="AI1270">
        <v>32.332426963103117</v>
      </c>
      <c r="AJ1270">
        <v>64.269629149036206</v>
      </c>
      <c r="AK1270">
        <v>31.991603878902559</v>
      </c>
      <c r="AL1270">
        <v>63.592149130230368</v>
      </c>
      <c r="AM1270">
        <v>3.5424991888880251</v>
      </c>
      <c r="AN1270">
        <v>3.5051569410972041</v>
      </c>
    </row>
    <row r="1271" spans="1:40" x14ac:dyDescent="0.25">
      <c r="A1271" s="1" t="s">
        <v>268</v>
      </c>
      <c r="B1271">
        <v>133562289420</v>
      </c>
      <c r="C1271" t="s">
        <v>70</v>
      </c>
      <c r="D1271" t="s">
        <v>105</v>
      </c>
      <c r="E1271">
        <v>38589000000</v>
      </c>
      <c r="F1271">
        <v>2350000000</v>
      </c>
      <c r="G1271">
        <v>4228000000</v>
      </c>
      <c r="H1271">
        <v>2127000000</v>
      </c>
      <c r="I1271">
        <v>1544000000</v>
      </c>
      <c r="J1271">
        <v>1390000000</v>
      </c>
      <c r="K1271">
        <v>5827000000</v>
      </c>
      <c r="L1271">
        <v>744000000</v>
      </c>
      <c r="M1271">
        <v>6571000000</v>
      </c>
      <c r="N1271">
        <v>12074000000</v>
      </c>
      <c r="O1271">
        <v>1795000000</v>
      </c>
      <c r="P1271">
        <v>184000000</v>
      </c>
      <c r="Q1271">
        <v>9457000000</v>
      </c>
      <c r="R1271">
        <v>9993000000</v>
      </c>
      <c r="S1271">
        <v>27100000000</v>
      </c>
      <c r="T1271">
        <v>0</v>
      </c>
      <c r="U1271">
        <v>1441000000</v>
      </c>
      <c r="V1271">
        <v>12499000000</v>
      </c>
      <c r="W1271">
        <v>136632289420</v>
      </c>
      <c r="X1271">
        <v>138073289420</v>
      </c>
      <c r="Y1271">
        <v>3.4611492762186109</v>
      </c>
      <c r="Z1271">
        <v>56.835016774468087</v>
      </c>
      <c r="AA1271">
        <v>31.589945463576161</v>
      </c>
      <c r="AB1271">
        <v>62.793742087447107</v>
      </c>
      <c r="AC1271">
        <v>86.504073458549229</v>
      </c>
      <c r="AD1271">
        <v>96.087978000000007</v>
      </c>
      <c r="AE1271">
        <v>58.75459124255319</v>
      </c>
      <c r="AF1271">
        <v>58.141399753191493</v>
      </c>
      <c r="AG1271">
        <v>89.425705582901557</v>
      </c>
      <c r="AH1271">
        <v>88.49241542746114</v>
      </c>
      <c r="AI1271">
        <v>32.656880184484393</v>
      </c>
      <c r="AJ1271">
        <v>64.914569543958621</v>
      </c>
      <c r="AK1271">
        <v>32.316057100283821</v>
      </c>
      <c r="AL1271">
        <v>64.237089525152797</v>
      </c>
      <c r="AM1271">
        <v>3.5780478742646871</v>
      </c>
      <c r="AN1271">
        <v>3.5407056264738661</v>
      </c>
    </row>
    <row r="1272" spans="1:40" x14ac:dyDescent="0.25">
      <c r="A1272" s="1" t="s">
        <v>267</v>
      </c>
      <c r="B1272">
        <v>132024223840</v>
      </c>
      <c r="C1272" t="s">
        <v>70</v>
      </c>
      <c r="D1272" t="s">
        <v>105</v>
      </c>
      <c r="E1272">
        <v>38589000000</v>
      </c>
      <c r="F1272">
        <v>2350000000</v>
      </c>
      <c r="G1272">
        <v>4228000000</v>
      </c>
      <c r="H1272">
        <v>2127000000</v>
      </c>
      <c r="I1272">
        <v>1544000000</v>
      </c>
      <c r="J1272">
        <v>1390000000</v>
      </c>
      <c r="K1272">
        <v>5827000000</v>
      </c>
      <c r="L1272">
        <v>744000000</v>
      </c>
      <c r="M1272">
        <v>6571000000</v>
      </c>
      <c r="N1272">
        <v>12074000000</v>
      </c>
      <c r="O1272">
        <v>1795000000</v>
      </c>
      <c r="P1272">
        <v>184000000</v>
      </c>
      <c r="Q1272">
        <v>9457000000</v>
      </c>
      <c r="R1272">
        <v>9993000000</v>
      </c>
      <c r="S1272">
        <v>27100000000</v>
      </c>
      <c r="T1272">
        <v>0</v>
      </c>
      <c r="U1272">
        <v>1441000000</v>
      </c>
      <c r="V1272">
        <v>12499000000</v>
      </c>
      <c r="W1272">
        <v>135094223840</v>
      </c>
      <c r="X1272">
        <v>136535223840</v>
      </c>
      <c r="Y1272">
        <v>3.4212916592811422</v>
      </c>
      <c r="Z1272">
        <v>56.180520782978718</v>
      </c>
      <c r="AA1272">
        <v>31.22616457899716</v>
      </c>
      <c r="AB1272">
        <v>62.070627099200749</v>
      </c>
      <c r="AC1272">
        <v>85.507916994818657</v>
      </c>
      <c r="AD1272">
        <v>94.981455999999994</v>
      </c>
      <c r="AE1272">
        <v>58.100095251063827</v>
      </c>
      <c r="AF1272">
        <v>57.486903761702131</v>
      </c>
      <c r="AG1272">
        <v>88.429549119170986</v>
      </c>
      <c r="AH1272">
        <v>87.496258963730568</v>
      </c>
      <c r="AI1272">
        <v>32.293099299905393</v>
      </c>
      <c r="AJ1272">
        <v>64.191454555712269</v>
      </c>
      <c r="AK1272">
        <v>31.952276215704821</v>
      </c>
      <c r="AL1272">
        <v>63.513974536906439</v>
      </c>
      <c r="AM1272">
        <v>3.538190257327217</v>
      </c>
      <c r="AN1272">
        <v>3.500848009536397</v>
      </c>
    </row>
    <row r="1273" spans="1:40" x14ac:dyDescent="0.25">
      <c r="A1273" s="1" t="s">
        <v>266</v>
      </c>
      <c r="B1273">
        <v>134954862310</v>
      </c>
      <c r="C1273" t="s">
        <v>70</v>
      </c>
      <c r="D1273" t="s">
        <v>105</v>
      </c>
      <c r="E1273">
        <v>38589000000</v>
      </c>
      <c r="F1273">
        <v>2350000000</v>
      </c>
      <c r="G1273">
        <v>4228000000</v>
      </c>
      <c r="H1273">
        <v>2127000000</v>
      </c>
      <c r="I1273">
        <v>1544000000</v>
      </c>
      <c r="J1273">
        <v>1390000000</v>
      </c>
      <c r="K1273">
        <v>5827000000</v>
      </c>
      <c r="L1273">
        <v>744000000</v>
      </c>
      <c r="M1273">
        <v>6571000000</v>
      </c>
      <c r="N1273">
        <v>12074000000</v>
      </c>
      <c r="O1273">
        <v>1795000000</v>
      </c>
      <c r="P1273">
        <v>184000000</v>
      </c>
      <c r="Q1273">
        <v>9457000000</v>
      </c>
      <c r="R1273">
        <v>9993000000</v>
      </c>
      <c r="S1273">
        <v>27100000000</v>
      </c>
      <c r="T1273">
        <v>0</v>
      </c>
      <c r="U1273">
        <v>1441000000</v>
      </c>
      <c r="V1273">
        <v>12499000000</v>
      </c>
      <c r="W1273">
        <v>138024862310</v>
      </c>
      <c r="X1273">
        <v>139465862310</v>
      </c>
      <c r="Y1273">
        <v>3.4972365780403738</v>
      </c>
      <c r="Z1273">
        <v>57.427600982978717</v>
      </c>
      <c r="AA1273">
        <v>31.919314642857142</v>
      </c>
      <c r="AB1273">
        <v>63.448454306535027</v>
      </c>
      <c r="AC1273">
        <v>87.405998905440413</v>
      </c>
      <c r="AD1273">
        <v>97.089828999999995</v>
      </c>
      <c r="AE1273">
        <v>59.347175451063833</v>
      </c>
      <c r="AF1273">
        <v>58.73398396170213</v>
      </c>
      <c r="AG1273">
        <v>90.327631029792741</v>
      </c>
      <c r="AH1273">
        <v>89.394340874352338</v>
      </c>
      <c r="AI1273">
        <v>32.986249363765367</v>
      </c>
      <c r="AJ1273">
        <v>65.569281763046547</v>
      </c>
      <c r="AK1273">
        <v>32.645426279564809</v>
      </c>
      <c r="AL1273">
        <v>64.891801744240709</v>
      </c>
      <c r="AM1273">
        <v>3.61413517608645</v>
      </c>
      <c r="AN1273">
        <v>3.5767929282956281</v>
      </c>
    </row>
    <row r="1274" spans="1:40" x14ac:dyDescent="0.25">
      <c r="A1274" s="1" t="s">
        <v>265</v>
      </c>
      <c r="B1274">
        <v>133271304040</v>
      </c>
      <c r="C1274" t="s">
        <v>70</v>
      </c>
      <c r="D1274" t="s">
        <v>105</v>
      </c>
      <c r="E1274">
        <v>38589000000</v>
      </c>
      <c r="F1274">
        <v>2350000000</v>
      </c>
      <c r="G1274">
        <v>4228000000</v>
      </c>
      <c r="H1274">
        <v>2127000000</v>
      </c>
      <c r="I1274">
        <v>1544000000</v>
      </c>
      <c r="J1274">
        <v>1390000000</v>
      </c>
      <c r="K1274">
        <v>5827000000</v>
      </c>
      <c r="L1274">
        <v>744000000</v>
      </c>
      <c r="M1274">
        <v>6571000000</v>
      </c>
      <c r="N1274">
        <v>12074000000</v>
      </c>
      <c r="O1274">
        <v>1795000000</v>
      </c>
      <c r="P1274">
        <v>184000000</v>
      </c>
      <c r="Q1274">
        <v>9457000000</v>
      </c>
      <c r="R1274">
        <v>9993000000</v>
      </c>
      <c r="S1274">
        <v>27100000000</v>
      </c>
      <c r="T1274">
        <v>0</v>
      </c>
      <c r="U1274">
        <v>1441000000</v>
      </c>
      <c r="V1274">
        <v>12499000000</v>
      </c>
      <c r="W1274">
        <v>136341304040</v>
      </c>
      <c r="X1274">
        <v>137782304040</v>
      </c>
      <c r="Y1274">
        <v>3.453608645987198</v>
      </c>
      <c r="Z1274">
        <v>56.711193208510643</v>
      </c>
      <c r="AA1274">
        <v>31.521122052980129</v>
      </c>
      <c r="AB1274">
        <v>62.656936549130229</v>
      </c>
      <c r="AC1274">
        <v>86.315611424870468</v>
      </c>
      <c r="AD1274">
        <v>95.878636</v>
      </c>
      <c r="AE1274">
        <v>58.630767676595752</v>
      </c>
      <c r="AF1274">
        <v>58.017576187234042</v>
      </c>
      <c r="AG1274">
        <v>89.237243549222796</v>
      </c>
      <c r="AH1274">
        <v>88.303953393782379</v>
      </c>
      <c r="AI1274">
        <v>32.588056773888361</v>
      </c>
      <c r="AJ1274">
        <v>64.777764005641743</v>
      </c>
      <c r="AK1274">
        <v>32.247233689687803</v>
      </c>
      <c r="AL1274">
        <v>64.100283986835919</v>
      </c>
      <c r="AM1274">
        <v>3.5705072440332741</v>
      </c>
      <c r="AN1274">
        <v>3.5331649962424532</v>
      </c>
    </row>
    <row r="1275" spans="1:40" x14ac:dyDescent="0.25">
      <c r="A1275" s="1" t="s">
        <v>264</v>
      </c>
      <c r="B1275">
        <v>134185829520</v>
      </c>
      <c r="C1275" t="s">
        <v>70</v>
      </c>
      <c r="D1275" t="s">
        <v>105</v>
      </c>
      <c r="E1275">
        <v>38589000000</v>
      </c>
      <c r="F1275">
        <v>2350000000</v>
      </c>
      <c r="G1275">
        <v>4228000000</v>
      </c>
      <c r="H1275">
        <v>2127000000</v>
      </c>
      <c r="I1275">
        <v>1544000000</v>
      </c>
      <c r="J1275">
        <v>1390000000</v>
      </c>
      <c r="K1275">
        <v>5827000000</v>
      </c>
      <c r="L1275">
        <v>744000000</v>
      </c>
      <c r="M1275">
        <v>6571000000</v>
      </c>
      <c r="N1275">
        <v>12074000000</v>
      </c>
      <c r="O1275">
        <v>1795000000</v>
      </c>
      <c r="P1275">
        <v>184000000</v>
      </c>
      <c r="Q1275">
        <v>9457000000</v>
      </c>
      <c r="R1275">
        <v>9993000000</v>
      </c>
      <c r="S1275">
        <v>27100000000</v>
      </c>
      <c r="T1275">
        <v>0</v>
      </c>
      <c r="U1275">
        <v>1441000000</v>
      </c>
      <c r="V1275">
        <v>12499000000</v>
      </c>
      <c r="W1275">
        <v>137255829520</v>
      </c>
      <c r="X1275">
        <v>138696829520</v>
      </c>
      <c r="Y1275">
        <v>3.477307769571639</v>
      </c>
      <c r="Z1275">
        <v>57.100352987234039</v>
      </c>
      <c r="AA1275">
        <v>31.737424200567649</v>
      </c>
      <c r="AB1275">
        <v>63.086896812411851</v>
      </c>
      <c r="AC1275">
        <v>86.907920673575134</v>
      </c>
      <c r="AD1275">
        <v>96.536568000000003</v>
      </c>
      <c r="AE1275">
        <v>59.019927455319149</v>
      </c>
      <c r="AF1275">
        <v>58.406735965957438</v>
      </c>
      <c r="AG1275">
        <v>89.829552797927462</v>
      </c>
      <c r="AH1275">
        <v>88.896262642487045</v>
      </c>
      <c r="AI1275">
        <v>32.804358921475867</v>
      </c>
      <c r="AJ1275">
        <v>65.207724268923371</v>
      </c>
      <c r="AK1275">
        <v>32.463535837275309</v>
      </c>
      <c r="AL1275">
        <v>64.530244250117534</v>
      </c>
      <c r="AM1275">
        <v>3.5942063676177152</v>
      </c>
      <c r="AN1275">
        <v>3.5568641198268942</v>
      </c>
    </row>
    <row r="1276" spans="1:40" x14ac:dyDescent="0.25">
      <c r="A1276" s="1" t="s">
        <v>263</v>
      </c>
      <c r="B1276">
        <v>132585409930</v>
      </c>
      <c r="C1276" t="s">
        <v>70</v>
      </c>
      <c r="D1276" t="s">
        <v>105</v>
      </c>
      <c r="E1276">
        <v>38589000000</v>
      </c>
      <c r="F1276">
        <v>2350000000</v>
      </c>
      <c r="G1276">
        <v>4228000000</v>
      </c>
      <c r="H1276">
        <v>2127000000</v>
      </c>
      <c r="I1276">
        <v>1544000000</v>
      </c>
      <c r="J1276">
        <v>1390000000</v>
      </c>
      <c r="K1276">
        <v>5827000000</v>
      </c>
      <c r="L1276">
        <v>744000000</v>
      </c>
      <c r="M1276">
        <v>6571000000</v>
      </c>
      <c r="N1276">
        <v>12074000000</v>
      </c>
      <c r="O1276">
        <v>1795000000</v>
      </c>
      <c r="P1276">
        <v>184000000</v>
      </c>
      <c r="Q1276">
        <v>9457000000</v>
      </c>
      <c r="R1276">
        <v>9993000000</v>
      </c>
      <c r="S1276">
        <v>27100000000</v>
      </c>
      <c r="T1276">
        <v>0</v>
      </c>
      <c r="U1276">
        <v>1441000000</v>
      </c>
      <c r="V1276">
        <v>12499000000</v>
      </c>
      <c r="W1276">
        <v>135655409930</v>
      </c>
      <c r="X1276">
        <v>137096409930</v>
      </c>
      <c r="Y1276">
        <v>3.4358343032988681</v>
      </c>
      <c r="Z1276">
        <v>56.419323374468092</v>
      </c>
      <c r="AA1276">
        <v>31.358895442289501</v>
      </c>
      <c r="AB1276">
        <v>62.334466351669008</v>
      </c>
      <c r="AC1276">
        <v>85.871379488341972</v>
      </c>
      <c r="AD1276">
        <v>95.385187000000002</v>
      </c>
      <c r="AE1276">
        <v>58.338897842553187</v>
      </c>
      <c r="AF1276">
        <v>57.725706353191491</v>
      </c>
      <c r="AG1276">
        <v>88.793011612694301</v>
      </c>
      <c r="AH1276">
        <v>87.859721457253883</v>
      </c>
      <c r="AI1276">
        <v>32.42583016319773</v>
      </c>
      <c r="AJ1276">
        <v>64.455293808180542</v>
      </c>
      <c r="AK1276">
        <v>32.085007078997172</v>
      </c>
      <c r="AL1276">
        <v>63.777813789374697</v>
      </c>
      <c r="AM1276">
        <v>3.5527329013449429</v>
      </c>
      <c r="AN1276">
        <v>3.5153906535541219</v>
      </c>
    </row>
    <row r="1277" spans="1:40" x14ac:dyDescent="0.25">
      <c r="A1277" s="1" t="s">
        <v>262</v>
      </c>
      <c r="B1277">
        <v>134165044850</v>
      </c>
      <c r="C1277" t="s">
        <v>70</v>
      </c>
      <c r="D1277" t="s">
        <v>105</v>
      </c>
      <c r="E1277">
        <v>38589000000</v>
      </c>
      <c r="F1277">
        <v>2350000000</v>
      </c>
      <c r="G1277">
        <v>4228000000</v>
      </c>
      <c r="H1277">
        <v>2127000000</v>
      </c>
      <c r="I1277">
        <v>1544000000</v>
      </c>
      <c r="J1277">
        <v>1390000000</v>
      </c>
      <c r="K1277">
        <v>5827000000</v>
      </c>
      <c r="L1277">
        <v>744000000</v>
      </c>
      <c r="M1277">
        <v>6571000000</v>
      </c>
      <c r="N1277">
        <v>12074000000</v>
      </c>
      <c r="O1277">
        <v>1795000000</v>
      </c>
      <c r="P1277">
        <v>184000000</v>
      </c>
      <c r="Q1277">
        <v>9457000000</v>
      </c>
      <c r="R1277">
        <v>9993000000</v>
      </c>
      <c r="S1277">
        <v>27100000000</v>
      </c>
      <c r="T1277">
        <v>0</v>
      </c>
      <c r="U1277">
        <v>1441000000</v>
      </c>
      <c r="V1277">
        <v>12499000000</v>
      </c>
      <c r="W1277">
        <v>137235044850</v>
      </c>
      <c r="X1277">
        <v>138676044850</v>
      </c>
      <c r="Y1277">
        <v>3.476769153126539</v>
      </c>
      <c r="Z1277">
        <v>57.091508446808511</v>
      </c>
      <c r="AA1277">
        <v>31.732508242667929</v>
      </c>
      <c r="AB1277">
        <v>63.077124988246347</v>
      </c>
      <c r="AC1277">
        <v>86.894459099740928</v>
      </c>
      <c r="AD1277">
        <v>96.521614999999997</v>
      </c>
      <c r="AE1277">
        <v>59.01108291489362</v>
      </c>
      <c r="AF1277">
        <v>58.397891425531917</v>
      </c>
      <c r="AG1277">
        <v>89.81609122409327</v>
      </c>
      <c r="AH1277">
        <v>88.882801068652853</v>
      </c>
      <c r="AI1277">
        <v>32.799442963576162</v>
      </c>
      <c r="AJ1277">
        <v>65.197952444757874</v>
      </c>
      <c r="AK1277">
        <v>32.45861987937559</v>
      </c>
      <c r="AL1277">
        <v>64.52047242595205</v>
      </c>
      <c r="AM1277">
        <v>3.5936677511726138</v>
      </c>
      <c r="AN1277">
        <v>3.5563255033817929</v>
      </c>
    </row>
    <row r="1278" spans="1:40" x14ac:dyDescent="0.25">
      <c r="A1278" s="1" t="s">
        <v>261</v>
      </c>
      <c r="B1278">
        <v>136804697939</v>
      </c>
      <c r="C1278" t="s">
        <v>70</v>
      </c>
      <c r="D1278" t="s">
        <v>105</v>
      </c>
      <c r="E1278">
        <v>38589000000</v>
      </c>
      <c r="F1278">
        <v>2350000000</v>
      </c>
      <c r="G1278">
        <v>4228000000</v>
      </c>
      <c r="H1278">
        <v>2127000000</v>
      </c>
      <c r="I1278">
        <v>1544000000</v>
      </c>
      <c r="J1278">
        <v>1390000000</v>
      </c>
      <c r="K1278">
        <v>5827000000</v>
      </c>
      <c r="L1278">
        <v>744000000</v>
      </c>
      <c r="M1278">
        <v>6571000000</v>
      </c>
      <c r="N1278">
        <v>12074000000</v>
      </c>
      <c r="O1278">
        <v>1795000000</v>
      </c>
      <c r="P1278">
        <v>184000000</v>
      </c>
      <c r="Q1278">
        <v>9457000000</v>
      </c>
      <c r="R1278">
        <v>9993000000</v>
      </c>
      <c r="S1278">
        <v>27100000000</v>
      </c>
      <c r="T1278">
        <v>0</v>
      </c>
      <c r="U1278">
        <v>1441000000</v>
      </c>
      <c r="V1278">
        <v>12499000000</v>
      </c>
      <c r="W1278">
        <v>139874697939</v>
      </c>
      <c r="X1278">
        <v>141315697939</v>
      </c>
      <c r="Y1278">
        <v>3.5451734416284428</v>
      </c>
      <c r="Z1278">
        <v>58.214765080425529</v>
      </c>
      <c r="AA1278">
        <v>32.356834895695357</v>
      </c>
      <c r="AB1278">
        <v>64.318146656793601</v>
      </c>
      <c r="AC1278">
        <v>88.604078976036263</v>
      </c>
      <c r="AD1278">
        <v>98.42064599928058</v>
      </c>
      <c r="AE1278">
        <v>60.134339548510638</v>
      </c>
      <c r="AF1278">
        <v>59.521148059148928</v>
      </c>
      <c r="AG1278">
        <v>91.525711100388605</v>
      </c>
      <c r="AH1278">
        <v>90.592420944948188</v>
      </c>
      <c r="AI1278">
        <v>33.423769616603593</v>
      </c>
      <c r="AJ1278">
        <v>66.438974113305122</v>
      </c>
      <c r="AK1278">
        <v>33.082946532403028</v>
      </c>
      <c r="AL1278">
        <v>65.761494094499298</v>
      </c>
      <c r="AM1278">
        <v>3.662072039674519</v>
      </c>
      <c r="AN1278">
        <v>3.624729791883698</v>
      </c>
    </row>
    <row r="1279" spans="1:40" x14ac:dyDescent="0.25">
      <c r="A1279" s="1" t="s">
        <v>260</v>
      </c>
      <c r="B1279">
        <v>143206376300</v>
      </c>
      <c r="C1279" t="s">
        <v>70</v>
      </c>
      <c r="D1279" t="s">
        <v>105</v>
      </c>
      <c r="E1279">
        <v>38589000000</v>
      </c>
      <c r="F1279">
        <v>2350000000</v>
      </c>
      <c r="G1279">
        <v>4228000000</v>
      </c>
      <c r="H1279">
        <v>2127000000</v>
      </c>
      <c r="I1279">
        <v>1544000000</v>
      </c>
      <c r="J1279">
        <v>1390000000</v>
      </c>
      <c r="K1279">
        <v>5827000000</v>
      </c>
      <c r="L1279">
        <v>744000000</v>
      </c>
      <c r="M1279">
        <v>6571000000</v>
      </c>
      <c r="N1279">
        <v>12074000000</v>
      </c>
      <c r="O1279">
        <v>1795000000</v>
      </c>
      <c r="P1279">
        <v>184000000</v>
      </c>
      <c r="Q1279">
        <v>9457000000</v>
      </c>
      <c r="R1279">
        <v>9993000000</v>
      </c>
      <c r="S1279">
        <v>27100000000</v>
      </c>
      <c r="T1279">
        <v>0</v>
      </c>
      <c r="U1279">
        <v>1441000000</v>
      </c>
      <c r="V1279">
        <v>12499000000</v>
      </c>
      <c r="W1279">
        <v>146276376300</v>
      </c>
      <c r="X1279">
        <v>147717376300</v>
      </c>
      <c r="Y1279">
        <v>3.7110673067454449</v>
      </c>
      <c r="Z1279">
        <v>60.938883531914897</v>
      </c>
      <c r="AA1279">
        <v>33.870949929044457</v>
      </c>
      <c r="AB1279">
        <v>67.32786850023507</v>
      </c>
      <c r="AC1279">
        <v>92.750243717616584</v>
      </c>
      <c r="AD1279">
        <v>103.02616999999999</v>
      </c>
      <c r="AE1279">
        <v>62.858457999999999</v>
      </c>
      <c r="AF1279">
        <v>62.245266510638302</v>
      </c>
      <c r="AG1279">
        <v>95.671875841968912</v>
      </c>
      <c r="AH1279">
        <v>94.738585686528495</v>
      </c>
      <c r="AI1279">
        <v>34.937884649952693</v>
      </c>
      <c r="AJ1279">
        <v>69.44869595674659</v>
      </c>
      <c r="AK1279">
        <v>34.597061565752128</v>
      </c>
      <c r="AL1279">
        <v>68.771215937940767</v>
      </c>
      <c r="AM1279">
        <v>3.8279659047915211</v>
      </c>
      <c r="AN1279">
        <v>3.7906236570007001</v>
      </c>
    </row>
    <row r="1280" spans="1:40" x14ac:dyDescent="0.25">
      <c r="A1280" s="1" t="s">
        <v>259</v>
      </c>
      <c r="B1280">
        <v>144058547770</v>
      </c>
      <c r="C1280" t="s">
        <v>70</v>
      </c>
      <c r="D1280" t="s">
        <v>105</v>
      </c>
      <c r="E1280">
        <v>38589000000</v>
      </c>
      <c r="F1280">
        <v>2350000000</v>
      </c>
      <c r="G1280">
        <v>4228000000</v>
      </c>
      <c r="H1280">
        <v>2127000000</v>
      </c>
      <c r="I1280">
        <v>1544000000</v>
      </c>
      <c r="J1280">
        <v>1390000000</v>
      </c>
      <c r="K1280">
        <v>5827000000</v>
      </c>
      <c r="L1280">
        <v>744000000</v>
      </c>
      <c r="M1280">
        <v>6571000000</v>
      </c>
      <c r="N1280">
        <v>12074000000</v>
      </c>
      <c r="O1280">
        <v>1795000000</v>
      </c>
      <c r="P1280">
        <v>184000000</v>
      </c>
      <c r="Q1280">
        <v>9457000000</v>
      </c>
      <c r="R1280">
        <v>9993000000</v>
      </c>
      <c r="S1280">
        <v>27100000000</v>
      </c>
      <c r="T1280">
        <v>0</v>
      </c>
      <c r="U1280">
        <v>1441000000</v>
      </c>
      <c r="V1280">
        <v>12499000000</v>
      </c>
      <c r="W1280">
        <v>147128547770</v>
      </c>
      <c r="X1280">
        <v>148569547770</v>
      </c>
      <c r="Y1280">
        <v>3.7331505809945842</v>
      </c>
      <c r="Z1280">
        <v>61.301509689361701</v>
      </c>
      <c r="AA1280">
        <v>34.072504202932834</v>
      </c>
      <c r="AB1280">
        <v>67.728513291020221</v>
      </c>
      <c r="AC1280">
        <v>93.30216824481866</v>
      </c>
      <c r="AD1280">
        <v>103.63924299999999</v>
      </c>
      <c r="AE1280">
        <v>63.221084157446811</v>
      </c>
      <c r="AF1280">
        <v>62.607892668085107</v>
      </c>
      <c r="AG1280">
        <v>96.223800369170988</v>
      </c>
      <c r="AH1280">
        <v>95.29051021373057</v>
      </c>
      <c r="AI1280">
        <v>35.139438923841062</v>
      </c>
      <c r="AJ1280">
        <v>69.849340747531741</v>
      </c>
      <c r="AK1280">
        <v>34.79861583964049</v>
      </c>
      <c r="AL1280">
        <v>69.171860728725903</v>
      </c>
      <c r="AM1280">
        <v>3.850049179040659</v>
      </c>
      <c r="AN1280">
        <v>3.8127069312498381</v>
      </c>
    </row>
    <row r="1281" spans="1:40" x14ac:dyDescent="0.25">
      <c r="A1281" s="1" t="s">
        <v>258</v>
      </c>
      <c r="B1281">
        <v>142582836200</v>
      </c>
      <c r="C1281" t="s">
        <v>70</v>
      </c>
      <c r="D1281" t="s">
        <v>105</v>
      </c>
      <c r="E1281">
        <v>38589000000</v>
      </c>
      <c r="F1281">
        <v>2350000000</v>
      </c>
      <c r="G1281">
        <v>4228000000</v>
      </c>
      <c r="H1281">
        <v>2127000000</v>
      </c>
      <c r="I1281">
        <v>1544000000</v>
      </c>
      <c r="J1281">
        <v>1390000000</v>
      </c>
      <c r="K1281">
        <v>5827000000</v>
      </c>
      <c r="L1281">
        <v>744000000</v>
      </c>
      <c r="M1281">
        <v>6571000000</v>
      </c>
      <c r="N1281">
        <v>12074000000</v>
      </c>
      <c r="O1281">
        <v>1795000000</v>
      </c>
      <c r="P1281">
        <v>184000000</v>
      </c>
      <c r="Q1281">
        <v>9457000000</v>
      </c>
      <c r="R1281">
        <v>9993000000</v>
      </c>
      <c r="S1281">
        <v>27100000000</v>
      </c>
      <c r="T1281">
        <v>0</v>
      </c>
      <c r="U1281">
        <v>1441000000</v>
      </c>
      <c r="V1281">
        <v>12499000000</v>
      </c>
      <c r="W1281">
        <v>145652836200</v>
      </c>
      <c r="X1281">
        <v>147093836200</v>
      </c>
      <c r="Y1281">
        <v>3.6949088133924182</v>
      </c>
      <c r="Z1281">
        <v>60.673547319148938</v>
      </c>
      <c r="AA1281">
        <v>33.723471192052983</v>
      </c>
      <c r="AB1281">
        <v>67.034713775270333</v>
      </c>
      <c r="AC1281">
        <v>92.346396502590679</v>
      </c>
      <c r="AD1281">
        <v>102.57758</v>
      </c>
      <c r="AE1281">
        <v>62.59312178723404</v>
      </c>
      <c r="AF1281">
        <v>61.979930297872343</v>
      </c>
      <c r="AG1281">
        <v>95.268028626943007</v>
      </c>
      <c r="AH1281">
        <v>94.33473847150259</v>
      </c>
      <c r="AI1281">
        <v>34.790405912961212</v>
      </c>
      <c r="AJ1281">
        <v>69.155541231781854</v>
      </c>
      <c r="AK1281">
        <v>34.44958282876064</v>
      </c>
      <c r="AL1281">
        <v>68.478061212976016</v>
      </c>
      <c r="AM1281">
        <v>3.811807411438493</v>
      </c>
      <c r="AN1281">
        <v>3.774465163647672</v>
      </c>
    </row>
    <row r="1282" spans="1:40" x14ac:dyDescent="0.25">
      <c r="A1282" s="1" t="s">
        <v>257</v>
      </c>
      <c r="B1282">
        <v>144640518530</v>
      </c>
      <c r="C1282" t="s">
        <v>70</v>
      </c>
      <c r="D1282" t="s">
        <v>105</v>
      </c>
      <c r="E1282">
        <v>38589000000</v>
      </c>
      <c r="F1282">
        <v>2350000000</v>
      </c>
      <c r="G1282">
        <v>4228000000</v>
      </c>
      <c r="H1282">
        <v>2127000000</v>
      </c>
      <c r="I1282">
        <v>1544000000</v>
      </c>
      <c r="J1282">
        <v>1390000000</v>
      </c>
      <c r="K1282">
        <v>5827000000</v>
      </c>
      <c r="L1282">
        <v>744000000</v>
      </c>
      <c r="M1282">
        <v>6571000000</v>
      </c>
      <c r="N1282">
        <v>12074000000</v>
      </c>
      <c r="O1282">
        <v>1795000000</v>
      </c>
      <c r="P1282">
        <v>184000000</v>
      </c>
      <c r="Q1282">
        <v>9457000000</v>
      </c>
      <c r="R1282">
        <v>9993000000</v>
      </c>
      <c r="S1282">
        <v>27100000000</v>
      </c>
      <c r="T1282">
        <v>0</v>
      </c>
      <c r="U1282">
        <v>1441000000</v>
      </c>
      <c r="V1282">
        <v>12499000000</v>
      </c>
      <c r="W1282">
        <v>147710518530</v>
      </c>
      <c r="X1282">
        <v>149151518530</v>
      </c>
      <c r="Y1282">
        <v>3.7482318414574101</v>
      </c>
      <c r="Z1282">
        <v>61.549156821276597</v>
      </c>
      <c r="AA1282">
        <v>34.210151024124883</v>
      </c>
      <c r="AB1282">
        <v>68.002124367653977</v>
      </c>
      <c r="AC1282">
        <v>93.679092312176167</v>
      </c>
      <c r="AD1282">
        <v>104.05792700000001</v>
      </c>
      <c r="AE1282">
        <v>63.468731289361699</v>
      </c>
      <c r="AF1282">
        <v>62.855539800000003</v>
      </c>
      <c r="AG1282">
        <v>96.600724436528495</v>
      </c>
      <c r="AH1282">
        <v>95.667434281088077</v>
      </c>
      <c r="AI1282">
        <v>35.277085745033112</v>
      </c>
      <c r="AJ1282">
        <v>70.122951824165497</v>
      </c>
      <c r="AK1282">
        <v>34.936262660832547</v>
      </c>
      <c r="AL1282">
        <v>69.445471805359659</v>
      </c>
      <c r="AM1282">
        <v>3.8651304395034849</v>
      </c>
      <c r="AN1282">
        <v>3.8277881917126639</v>
      </c>
    </row>
    <row r="1283" spans="1:40" x14ac:dyDescent="0.25">
      <c r="A1283" s="1" t="s">
        <v>256</v>
      </c>
      <c r="B1283">
        <v>152039861050</v>
      </c>
      <c r="C1283" t="s">
        <v>70</v>
      </c>
      <c r="D1283" t="s">
        <v>105</v>
      </c>
      <c r="E1283">
        <v>38589000000</v>
      </c>
      <c r="F1283">
        <v>2350000000</v>
      </c>
      <c r="G1283">
        <v>4228000000</v>
      </c>
      <c r="H1283">
        <v>2127000000</v>
      </c>
      <c r="I1283">
        <v>1544000000</v>
      </c>
      <c r="J1283">
        <v>1390000000</v>
      </c>
      <c r="K1283">
        <v>5827000000</v>
      </c>
      <c r="L1283">
        <v>744000000</v>
      </c>
      <c r="M1283">
        <v>6571000000</v>
      </c>
      <c r="N1283">
        <v>12074000000</v>
      </c>
      <c r="O1283">
        <v>1795000000</v>
      </c>
      <c r="P1283">
        <v>184000000</v>
      </c>
      <c r="Q1283">
        <v>9457000000</v>
      </c>
      <c r="R1283">
        <v>9993000000</v>
      </c>
      <c r="S1283">
        <v>27100000000</v>
      </c>
      <c r="T1283">
        <v>0</v>
      </c>
      <c r="U1283">
        <v>1441000000</v>
      </c>
      <c r="V1283">
        <v>12499000000</v>
      </c>
      <c r="W1283">
        <v>155109861050</v>
      </c>
      <c r="X1283">
        <v>156550861050</v>
      </c>
      <c r="Y1283">
        <v>3.9399792959133428</v>
      </c>
      <c r="Z1283">
        <v>64.697813212765951</v>
      </c>
      <c r="AA1283">
        <v>35.960232036423839</v>
      </c>
      <c r="AB1283">
        <v>71.480893770568883</v>
      </c>
      <c r="AC1283">
        <v>98.471412597150263</v>
      </c>
      <c r="AD1283">
        <v>109.38119500000001</v>
      </c>
      <c r="AE1283">
        <v>66.617387680851067</v>
      </c>
      <c r="AF1283">
        <v>66.004196191489356</v>
      </c>
      <c r="AG1283">
        <v>101.3930447215026</v>
      </c>
      <c r="AH1283">
        <v>100.4597545660622</v>
      </c>
      <c r="AI1283">
        <v>37.027166757332068</v>
      </c>
      <c r="AJ1283">
        <v>73.60172122708039</v>
      </c>
      <c r="AK1283">
        <v>36.686343673131503</v>
      </c>
      <c r="AL1283">
        <v>72.924241208274566</v>
      </c>
      <c r="AM1283">
        <v>4.0568778939594186</v>
      </c>
      <c r="AN1283">
        <v>4.0195356461685972</v>
      </c>
    </row>
    <row r="1284" spans="1:40" x14ac:dyDescent="0.25">
      <c r="A1284" s="1" t="s">
        <v>255</v>
      </c>
      <c r="B1284">
        <v>147280171620</v>
      </c>
      <c r="C1284" t="s">
        <v>70</v>
      </c>
      <c r="D1284" t="s">
        <v>105</v>
      </c>
      <c r="E1284">
        <v>38589000000</v>
      </c>
      <c r="F1284">
        <v>2350000000</v>
      </c>
      <c r="G1284">
        <v>4228000000</v>
      </c>
      <c r="H1284">
        <v>2127000000</v>
      </c>
      <c r="I1284">
        <v>1544000000</v>
      </c>
      <c r="J1284">
        <v>1390000000</v>
      </c>
      <c r="K1284">
        <v>5827000000</v>
      </c>
      <c r="L1284">
        <v>744000000</v>
      </c>
      <c r="M1284">
        <v>6571000000</v>
      </c>
      <c r="N1284">
        <v>12074000000</v>
      </c>
      <c r="O1284">
        <v>1795000000</v>
      </c>
      <c r="P1284">
        <v>184000000</v>
      </c>
      <c r="Q1284">
        <v>9457000000</v>
      </c>
      <c r="R1284">
        <v>9993000000</v>
      </c>
      <c r="S1284">
        <v>27100000000</v>
      </c>
      <c r="T1284">
        <v>0</v>
      </c>
      <c r="U1284">
        <v>1441000000</v>
      </c>
      <c r="V1284">
        <v>12499000000</v>
      </c>
      <c r="W1284">
        <v>150350171620</v>
      </c>
      <c r="X1284">
        <v>151791171620</v>
      </c>
      <c r="Y1284">
        <v>3.8166361299852292</v>
      </c>
      <c r="Z1284">
        <v>62.672413455319152</v>
      </c>
      <c r="AA1284">
        <v>34.83447767738884</v>
      </c>
      <c r="AB1284">
        <v>69.243146036671362</v>
      </c>
      <c r="AC1284">
        <v>95.388712189119175</v>
      </c>
      <c r="AD1284">
        <v>105.956958</v>
      </c>
      <c r="AE1284">
        <v>64.591987923404261</v>
      </c>
      <c r="AF1284">
        <v>63.97879643404255</v>
      </c>
      <c r="AG1284">
        <v>98.310344313471504</v>
      </c>
      <c r="AH1284">
        <v>97.377054158031086</v>
      </c>
      <c r="AI1284">
        <v>35.901412398297069</v>
      </c>
      <c r="AJ1284">
        <v>71.363973493182883</v>
      </c>
      <c r="AK1284">
        <v>35.560589314096497</v>
      </c>
      <c r="AL1284">
        <v>70.686493474377059</v>
      </c>
      <c r="AM1284">
        <v>3.933534728031304</v>
      </c>
      <c r="AN1284">
        <v>3.896192480240483</v>
      </c>
    </row>
    <row r="1285" spans="1:40" x14ac:dyDescent="0.25">
      <c r="A1285" s="1" t="s">
        <v>254</v>
      </c>
      <c r="B1285">
        <v>145617398020</v>
      </c>
      <c r="C1285" t="s">
        <v>70</v>
      </c>
      <c r="D1285" t="s">
        <v>105</v>
      </c>
      <c r="E1285">
        <v>38589000000</v>
      </c>
      <c r="F1285">
        <v>2350000000</v>
      </c>
      <c r="G1285">
        <v>4228000000</v>
      </c>
      <c r="H1285">
        <v>2127000000</v>
      </c>
      <c r="I1285">
        <v>1544000000</v>
      </c>
      <c r="J1285">
        <v>1390000000</v>
      </c>
      <c r="K1285">
        <v>5827000000</v>
      </c>
      <c r="L1285">
        <v>744000000</v>
      </c>
      <c r="M1285">
        <v>6571000000</v>
      </c>
      <c r="N1285">
        <v>12074000000</v>
      </c>
      <c r="O1285">
        <v>1795000000</v>
      </c>
      <c r="P1285">
        <v>184000000</v>
      </c>
      <c r="Q1285">
        <v>9457000000</v>
      </c>
      <c r="R1285">
        <v>9993000000</v>
      </c>
      <c r="S1285">
        <v>27100000000</v>
      </c>
      <c r="T1285">
        <v>0</v>
      </c>
      <c r="U1285">
        <v>1441000000</v>
      </c>
      <c r="V1285">
        <v>12499000000</v>
      </c>
      <c r="W1285">
        <v>148687398020</v>
      </c>
      <c r="X1285">
        <v>150128398020</v>
      </c>
      <c r="Y1285">
        <v>3.7735468143771538</v>
      </c>
      <c r="Z1285">
        <v>61.964850221276599</v>
      </c>
      <c r="AA1285">
        <v>34.441201045411539</v>
      </c>
      <c r="AB1285">
        <v>68.461400103432069</v>
      </c>
      <c r="AC1285">
        <v>94.311786282383423</v>
      </c>
      <c r="AD1285">
        <v>104.760718</v>
      </c>
      <c r="AE1285">
        <v>63.884424689361701</v>
      </c>
      <c r="AF1285">
        <v>63.271233199999998</v>
      </c>
      <c r="AG1285">
        <v>97.233418406735751</v>
      </c>
      <c r="AH1285">
        <v>96.300128251295334</v>
      </c>
      <c r="AI1285">
        <v>35.508135766319768</v>
      </c>
      <c r="AJ1285">
        <v>70.582227559943576</v>
      </c>
      <c r="AK1285">
        <v>35.167312682119203</v>
      </c>
      <c r="AL1285">
        <v>69.904747541137752</v>
      </c>
      <c r="AM1285">
        <v>3.8904454124232291</v>
      </c>
      <c r="AN1285">
        <v>3.8531031646324081</v>
      </c>
    </row>
    <row r="1286" spans="1:40" x14ac:dyDescent="0.25">
      <c r="A1286" s="1" t="s">
        <v>253</v>
      </c>
      <c r="B1286">
        <v>146511138830</v>
      </c>
      <c r="C1286" t="s">
        <v>70</v>
      </c>
      <c r="D1286" t="s">
        <v>105</v>
      </c>
      <c r="E1286">
        <v>38589000000</v>
      </c>
      <c r="F1286">
        <v>2350000000</v>
      </c>
      <c r="G1286">
        <v>4228000000</v>
      </c>
      <c r="H1286">
        <v>2127000000</v>
      </c>
      <c r="I1286">
        <v>1544000000</v>
      </c>
      <c r="J1286">
        <v>1390000000</v>
      </c>
      <c r="K1286">
        <v>5827000000</v>
      </c>
      <c r="L1286">
        <v>744000000</v>
      </c>
      <c r="M1286">
        <v>6571000000</v>
      </c>
      <c r="N1286">
        <v>12074000000</v>
      </c>
      <c r="O1286">
        <v>1795000000</v>
      </c>
      <c r="P1286">
        <v>184000000</v>
      </c>
      <c r="Q1286">
        <v>9457000000</v>
      </c>
      <c r="R1286">
        <v>9993000000</v>
      </c>
      <c r="S1286">
        <v>27100000000</v>
      </c>
      <c r="T1286">
        <v>0</v>
      </c>
      <c r="U1286">
        <v>1441000000</v>
      </c>
      <c r="V1286">
        <v>12499000000</v>
      </c>
      <c r="W1286">
        <v>149581138830</v>
      </c>
      <c r="X1286">
        <v>151022138830</v>
      </c>
      <c r="Y1286">
        <v>3.7967073215164939</v>
      </c>
      <c r="Z1286">
        <v>62.345165459574467</v>
      </c>
      <c r="AA1286">
        <v>34.65258723509934</v>
      </c>
      <c r="AB1286">
        <v>68.881588542548187</v>
      </c>
      <c r="AC1286">
        <v>94.890633957253883</v>
      </c>
      <c r="AD1286">
        <v>105.40369699999999</v>
      </c>
      <c r="AE1286">
        <v>64.264739927659576</v>
      </c>
      <c r="AF1286">
        <v>63.651548438297873</v>
      </c>
      <c r="AG1286">
        <v>97.812266081606211</v>
      </c>
      <c r="AH1286">
        <v>96.878975926165808</v>
      </c>
      <c r="AI1286">
        <v>35.719521956007569</v>
      </c>
      <c r="AJ1286">
        <v>71.002415999059707</v>
      </c>
      <c r="AK1286">
        <v>35.378698871807003</v>
      </c>
      <c r="AL1286">
        <v>70.324935980253883</v>
      </c>
      <c r="AM1286">
        <v>3.9136059195625701</v>
      </c>
      <c r="AN1286">
        <v>3.8762636717717478</v>
      </c>
    </row>
    <row r="1287" spans="1:40" x14ac:dyDescent="0.25">
      <c r="A1287" s="1" t="s">
        <v>252</v>
      </c>
      <c r="B1287">
        <v>146178584110</v>
      </c>
      <c r="C1287" t="s">
        <v>70</v>
      </c>
      <c r="D1287" t="s">
        <v>105</v>
      </c>
      <c r="E1287">
        <v>38589000000</v>
      </c>
      <c r="F1287">
        <v>2350000000</v>
      </c>
      <c r="G1287">
        <v>4228000000</v>
      </c>
      <c r="H1287">
        <v>2127000000</v>
      </c>
      <c r="I1287">
        <v>1544000000</v>
      </c>
      <c r="J1287">
        <v>1390000000</v>
      </c>
      <c r="K1287">
        <v>5827000000</v>
      </c>
      <c r="L1287">
        <v>744000000</v>
      </c>
      <c r="M1287">
        <v>6571000000</v>
      </c>
      <c r="N1287">
        <v>12074000000</v>
      </c>
      <c r="O1287">
        <v>1795000000</v>
      </c>
      <c r="P1287">
        <v>184000000</v>
      </c>
      <c r="Q1287">
        <v>9457000000</v>
      </c>
      <c r="R1287">
        <v>9993000000</v>
      </c>
      <c r="S1287">
        <v>27100000000</v>
      </c>
      <c r="T1287">
        <v>0</v>
      </c>
      <c r="U1287">
        <v>1441000000</v>
      </c>
      <c r="V1287">
        <v>12499000000</v>
      </c>
      <c r="W1287">
        <v>149248584110</v>
      </c>
      <c r="X1287">
        <v>150689584110</v>
      </c>
      <c r="Y1287">
        <v>3.7880894583948792</v>
      </c>
      <c r="Z1287">
        <v>62.203652812765959</v>
      </c>
      <c r="AA1287">
        <v>34.573931908703877</v>
      </c>
      <c r="AB1287">
        <v>68.725239355900328</v>
      </c>
      <c r="AC1287">
        <v>94.675248775906738</v>
      </c>
      <c r="AD1287">
        <v>105.164449</v>
      </c>
      <c r="AE1287">
        <v>64.123227280851069</v>
      </c>
      <c r="AF1287">
        <v>63.510035791489358</v>
      </c>
      <c r="AG1287">
        <v>97.596880900259066</v>
      </c>
      <c r="AH1287">
        <v>96.663590744818649</v>
      </c>
      <c r="AI1287">
        <v>35.640866629612113</v>
      </c>
      <c r="AJ1287">
        <v>70.846066812411848</v>
      </c>
      <c r="AK1287">
        <v>35.30004354541154</v>
      </c>
      <c r="AL1287">
        <v>70.168586793606025</v>
      </c>
      <c r="AM1287">
        <v>3.904988056440954</v>
      </c>
      <c r="AN1287">
        <v>3.867645808650134</v>
      </c>
    </row>
    <row r="1288" spans="1:40" x14ac:dyDescent="0.25">
      <c r="A1288" s="1" t="s">
        <v>251</v>
      </c>
      <c r="B1288">
        <v>146116230100</v>
      </c>
      <c r="C1288" t="s">
        <v>70</v>
      </c>
      <c r="D1288" t="s">
        <v>105</v>
      </c>
      <c r="E1288">
        <v>38589000000</v>
      </c>
      <c r="F1288">
        <v>2350000000</v>
      </c>
      <c r="G1288">
        <v>4228000000</v>
      </c>
      <c r="H1288">
        <v>2127000000</v>
      </c>
      <c r="I1288">
        <v>1544000000</v>
      </c>
      <c r="J1288">
        <v>1390000000</v>
      </c>
      <c r="K1288">
        <v>5827000000</v>
      </c>
      <c r="L1288">
        <v>744000000</v>
      </c>
      <c r="M1288">
        <v>6571000000</v>
      </c>
      <c r="N1288">
        <v>12074000000</v>
      </c>
      <c r="O1288">
        <v>1795000000</v>
      </c>
      <c r="P1288">
        <v>184000000</v>
      </c>
      <c r="Q1288">
        <v>9457000000</v>
      </c>
      <c r="R1288">
        <v>9993000000</v>
      </c>
      <c r="S1288">
        <v>27100000000</v>
      </c>
      <c r="T1288">
        <v>0</v>
      </c>
      <c r="U1288">
        <v>1441000000</v>
      </c>
      <c r="V1288">
        <v>12499000000</v>
      </c>
      <c r="W1288">
        <v>149186230100</v>
      </c>
      <c r="X1288">
        <v>150627230100</v>
      </c>
      <c r="Y1288">
        <v>3.786473609059577</v>
      </c>
      <c r="Z1288">
        <v>62.177119191489361</v>
      </c>
      <c r="AA1288">
        <v>34.559184035004733</v>
      </c>
      <c r="AB1288">
        <v>68.69592388340385</v>
      </c>
      <c r="AC1288">
        <v>94.634864054404147</v>
      </c>
      <c r="AD1288">
        <v>105.11959</v>
      </c>
      <c r="AE1288">
        <v>64.09669365957447</v>
      </c>
      <c r="AF1288">
        <v>63.483502170212773</v>
      </c>
      <c r="AG1288">
        <v>97.556496178756476</v>
      </c>
      <c r="AH1288">
        <v>96.623206023316058</v>
      </c>
      <c r="AI1288">
        <v>35.626118755912962</v>
      </c>
      <c r="AJ1288">
        <v>70.816751339915371</v>
      </c>
      <c r="AK1288">
        <v>35.28529567171239</v>
      </c>
      <c r="AL1288">
        <v>70.139271321109547</v>
      </c>
      <c r="AM1288">
        <v>3.9033722071056518</v>
      </c>
      <c r="AN1288">
        <v>3.8660299593148308</v>
      </c>
    </row>
    <row r="1289" spans="1:40" x14ac:dyDescent="0.25">
      <c r="A1289" s="1" t="s">
        <v>250</v>
      </c>
      <c r="B1289">
        <v>145929168070</v>
      </c>
      <c r="C1289" t="s">
        <v>70</v>
      </c>
      <c r="D1289" t="s">
        <v>105</v>
      </c>
      <c r="E1289">
        <v>38589000000</v>
      </c>
      <c r="F1289">
        <v>2350000000</v>
      </c>
      <c r="G1289">
        <v>4228000000</v>
      </c>
      <c r="H1289">
        <v>2127000000</v>
      </c>
      <c r="I1289">
        <v>1544000000</v>
      </c>
      <c r="J1289">
        <v>1390000000</v>
      </c>
      <c r="K1289">
        <v>5827000000</v>
      </c>
      <c r="L1289">
        <v>744000000</v>
      </c>
      <c r="M1289">
        <v>6571000000</v>
      </c>
      <c r="N1289">
        <v>12074000000</v>
      </c>
      <c r="O1289">
        <v>1795000000</v>
      </c>
      <c r="P1289">
        <v>184000000</v>
      </c>
      <c r="Q1289">
        <v>9457000000</v>
      </c>
      <c r="R1289">
        <v>9993000000</v>
      </c>
      <c r="S1289">
        <v>27100000000</v>
      </c>
      <c r="T1289">
        <v>0</v>
      </c>
      <c r="U1289">
        <v>1441000000</v>
      </c>
      <c r="V1289">
        <v>12499000000</v>
      </c>
      <c r="W1289">
        <v>148999168070</v>
      </c>
      <c r="X1289">
        <v>150440168070</v>
      </c>
      <c r="Y1289">
        <v>3.7816260610536681</v>
      </c>
      <c r="Z1289">
        <v>62.097518327659571</v>
      </c>
      <c r="AA1289">
        <v>34.514940413907283</v>
      </c>
      <c r="AB1289">
        <v>68.607977465914431</v>
      </c>
      <c r="AC1289">
        <v>94.513709889896376</v>
      </c>
      <c r="AD1289">
        <v>104.985013</v>
      </c>
      <c r="AE1289">
        <v>64.017092795744688</v>
      </c>
      <c r="AF1289">
        <v>63.403901306382977</v>
      </c>
      <c r="AG1289">
        <v>97.435342014248704</v>
      </c>
      <c r="AH1289">
        <v>96.502051858808287</v>
      </c>
      <c r="AI1289">
        <v>35.581875134815519</v>
      </c>
      <c r="AJ1289">
        <v>70.728804922425951</v>
      </c>
      <c r="AK1289">
        <v>35.241052050614947</v>
      </c>
      <c r="AL1289">
        <v>70.051324903620127</v>
      </c>
      <c r="AM1289">
        <v>3.8985246590997429</v>
      </c>
      <c r="AN1289">
        <v>3.8611824113089219</v>
      </c>
    </row>
    <row r="1290" spans="1:40" x14ac:dyDescent="0.25">
      <c r="A1290" s="1" t="s">
        <v>249</v>
      </c>
      <c r="B1290">
        <v>146615062180</v>
      </c>
      <c r="C1290" t="s">
        <v>70</v>
      </c>
      <c r="D1290" t="s">
        <v>105</v>
      </c>
      <c r="E1290">
        <v>38589000000</v>
      </c>
      <c r="F1290">
        <v>2350000000</v>
      </c>
      <c r="G1290">
        <v>4228000000</v>
      </c>
      <c r="H1290">
        <v>2127000000</v>
      </c>
      <c r="I1290">
        <v>1544000000</v>
      </c>
      <c r="J1290">
        <v>1390000000</v>
      </c>
      <c r="K1290">
        <v>5827000000</v>
      </c>
      <c r="L1290">
        <v>744000000</v>
      </c>
      <c r="M1290">
        <v>6571000000</v>
      </c>
      <c r="N1290">
        <v>12074000000</v>
      </c>
      <c r="O1290">
        <v>1795000000</v>
      </c>
      <c r="P1290">
        <v>184000000</v>
      </c>
      <c r="Q1290">
        <v>9457000000</v>
      </c>
      <c r="R1290">
        <v>9993000000</v>
      </c>
      <c r="S1290">
        <v>27100000000</v>
      </c>
      <c r="T1290">
        <v>0</v>
      </c>
      <c r="U1290">
        <v>1441000000</v>
      </c>
      <c r="V1290">
        <v>12499000000</v>
      </c>
      <c r="W1290">
        <v>149685062180</v>
      </c>
      <c r="X1290">
        <v>151126062180</v>
      </c>
      <c r="Y1290">
        <v>3.7994004037419988</v>
      </c>
      <c r="Z1290">
        <v>62.389388161702129</v>
      </c>
      <c r="AA1290">
        <v>34.677167024597921</v>
      </c>
      <c r="AB1290">
        <v>68.930447663375645</v>
      </c>
      <c r="AC1290">
        <v>94.957941826424872</v>
      </c>
      <c r="AD1290">
        <v>105.47846199999999</v>
      </c>
      <c r="AE1290">
        <v>64.308962629787231</v>
      </c>
      <c r="AF1290">
        <v>63.695771140425528</v>
      </c>
      <c r="AG1290">
        <v>97.8795739507772</v>
      </c>
      <c r="AH1290">
        <v>96.946283795336782</v>
      </c>
      <c r="AI1290">
        <v>35.74410174550615</v>
      </c>
      <c r="AJ1290">
        <v>71.051275119887165</v>
      </c>
      <c r="AK1290">
        <v>35.403278661305578</v>
      </c>
      <c r="AL1290">
        <v>70.373795101081342</v>
      </c>
      <c r="AM1290">
        <v>3.9162990017880741</v>
      </c>
      <c r="AN1290">
        <v>3.8789567539972531</v>
      </c>
    </row>
    <row r="1291" spans="1:40" x14ac:dyDescent="0.25">
      <c r="A1291" s="1" t="s">
        <v>248</v>
      </c>
      <c r="B1291">
        <v>148360974460</v>
      </c>
      <c r="C1291" t="s">
        <v>70</v>
      </c>
      <c r="D1291" t="s">
        <v>105</v>
      </c>
      <c r="E1291">
        <v>38589000000</v>
      </c>
      <c r="F1291">
        <v>2350000000</v>
      </c>
      <c r="G1291">
        <v>4228000000</v>
      </c>
      <c r="H1291">
        <v>2127000000</v>
      </c>
      <c r="I1291">
        <v>1544000000</v>
      </c>
      <c r="J1291">
        <v>1390000000</v>
      </c>
      <c r="K1291">
        <v>5827000000</v>
      </c>
      <c r="L1291">
        <v>744000000</v>
      </c>
      <c r="M1291">
        <v>6571000000</v>
      </c>
      <c r="N1291">
        <v>12074000000</v>
      </c>
      <c r="O1291">
        <v>1795000000</v>
      </c>
      <c r="P1291">
        <v>184000000</v>
      </c>
      <c r="Q1291">
        <v>9457000000</v>
      </c>
      <c r="R1291">
        <v>9993000000</v>
      </c>
      <c r="S1291">
        <v>27100000000</v>
      </c>
      <c r="T1291">
        <v>0</v>
      </c>
      <c r="U1291">
        <v>1441000000</v>
      </c>
      <c r="V1291">
        <v>12499000000</v>
      </c>
      <c r="W1291">
        <v>151430974460</v>
      </c>
      <c r="X1291">
        <v>152871974460</v>
      </c>
      <c r="Y1291">
        <v>3.8446441851304778</v>
      </c>
      <c r="Z1291">
        <v>63.132329557446809</v>
      </c>
      <c r="AA1291">
        <v>35.090107488174077</v>
      </c>
      <c r="AB1291">
        <v>69.751280893276913</v>
      </c>
      <c r="AC1291">
        <v>96.088714028497407</v>
      </c>
      <c r="AD1291">
        <v>106.734514</v>
      </c>
      <c r="AE1291">
        <v>65.051904025531911</v>
      </c>
      <c r="AF1291">
        <v>64.438712536170215</v>
      </c>
      <c r="AG1291">
        <v>99.010346152849735</v>
      </c>
      <c r="AH1291">
        <v>98.077055997409332</v>
      </c>
      <c r="AI1291">
        <v>36.157042209082313</v>
      </c>
      <c r="AJ1291">
        <v>71.872108349788434</v>
      </c>
      <c r="AK1291">
        <v>35.816219124881741</v>
      </c>
      <c r="AL1291">
        <v>71.19462833098261</v>
      </c>
      <c r="AM1291">
        <v>3.9615427831765531</v>
      </c>
      <c r="AN1291">
        <v>3.9242005353857321</v>
      </c>
    </row>
    <row r="1292" spans="1:40" x14ac:dyDescent="0.25">
      <c r="A1292" s="1" t="s">
        <v>247</v>
      </c>
      <c r="B1292">
        <v>147259386950</v>
      </c>
      <c r="C1292" t="s">
        <v>70</v>
      </c>
      <c r="D1292" t="s">
        <v>105</v>
      </c>
      <c r="E1292">
        <v>38589000000</v>
      </c>
      <c r="F1292">
        <v>2350000000</v>
      </c>
      <c r="G1292">
        <v>4228000000</v>
      </c>
      <c r="H1292">
        <v>2127000000</v>
      </c>
      <c r="I1292">
        <v>1544000000</v>
      </c>
      <c r="J1292">
        <v>1390000000</v>
      </c>
      <c r="K1292">
        <v>5827000000</v>
      </c>
      <c r="L1292">
        <v>744000000</v>
      </c>
      <c r="M1292">
        <v>6571000000</v>
      </c>
      <c r="N1292">
        <v>12074000000</v>
      </c>
      <c r="O1292">
        <v>1795000000</v>
      </c>
      <c r="P1292">
        <v>184000000</v>
      </c>
      <c r="Q1292">
        <v>9457000000</v>
      </c>
      <c r="R1292">
        <v>9993000000</v>
      </c>
      <c r="S1292">
        <v>27100000000</v>
      </c>
      <c r="T1292">
        <v>0</v>
      </c>
      <c r="U1292">
        <v>1441000000</v>
      </c>
      <c r="V1292">
        <v>12499000000</v>
      </c>
      <c r="W1292">
        <v>150329386950</v>
      </c>
      <c r="X1292">
        <v>151770386950</v>
      </c>
      <c r="Y1292">
        <v>3.8160975135401278</v>
      </c>
      <c r="Z1292">
        <v>62.663568914893617</v>
      </c>
      <c r="AA1292">
        <v>34.829561719489121</v>
      </c>
      <c r="AB1292">
        <v>69.233374212505879</v>
      </c>
      <c r="AC1292">
        <v>95.375250615284969</v>
      </c>
      <c r="AD1292">
        <v>105.94200499999999</v>
      </c>
      <c r="AE1292">
        <v>64.583143382978719</v>
      </c>
      <c r="AF1292">
        <v>63.969951893617022</v>
      </c>
      <c r="AG1292">
        <v>98.296882739637311</v>
      </c>
      <c r="AH1292">
        <v>97.363592584196894</v>
      </c>
      <c r="AI1292">
        <v>35.89649644039735</v>
      </c>
      <c r="AJ1292">
        <v>71.354201669017399</v>
      </c>
      <c r="AK1292">
        <v>35.555673356196777</v>
      </c>
      <c r="AL1292">
        <v>70.676721650211562</v>
      </c>
      <c r="AM1292">
        <v>3.9329961115862031</v>
      </c>
      <c r="AN1292">
        <v>3.8956538637953821</v>
      </c>
    </row>
    <row r="1293" spans="1:40" x14ac:dyDescent="0.25">
      <c r="A1293" s="1" t="s">
        <v>246</v>
      </c>
      <c r="B1293">
        <v>146199368780</v>
      </c>
      <c r="C1293" t="s">
        <v>70</v>
      </c>
      <c r="D1293" t="s">
        <v>105</v>
      </c>
      <c r="E1293">
        <v>38589000000</v>
      </c>
      <c r="F1293">
        <v>2350000000</v>
      </c>
      <c r="G1293">
        <v>4228000000</v>
      </c>
      <c r="H1293">
        <v>2127000000</v>
      </c>
      <c r="I1293">
        <v>1544000000</v>
      </c>
      <c r="J1293">
        <v>1390000000</v>
      </c>
      <c r="K1293">
        <v>5827000000</v>
      </c>
      <c r="L1293">
        <v>744000000</v>
      </c>
      <c r="M1293">
        <v>6571000000</v>
      </c>
      <c r="N1293">
        <v>12074000000</v>
      </c>
      <c r="O1293">
        <v>1795000000</v>
      </c>
      <c r="P1293">
        <v>184000000</v>
      </c>
      <c r="Q1293">
        <v>9457000000</v>
      </c>
      <c r="R1293">
        <v>9993000000</v>
      </c>
      <c r="S1293">
        <v>27100000000</v>
      </c>
      <c r="T1293">
        <v>0</v>
      </c>
      <c r="U1293">
        <v>1441000000</v>
      </c>
      <c r="V1293">
        <v>12499000000</v>
      </c>
      <c r="W1293">
        <v>149269368780</v>
      </c>
      <c r="X1293">
        <v>150710368780</v>
      </c>
      <c r="Y1293">
        <v>3.7886280748399801</v>
      </c>
      <c r="Z1293">
        <v>62.212497353191488</v>
      </c>
      <c r="AA1293">
        <v>34.578847866603603</v>
      </c>
      <c r="AB1293">
        <v>68.735011180065825</v>
      </c>
      <c r="AC1293">
        <v>94.68871034974093</v>
      </c>
      <c r="AD1293">
        <v>105.179402</v>
      </c>
      <c r="AE1293">
        <v>64.132071821276597</v>
      </c>
      <c r="AF1293">
        <v>63.518880331914893</v>
      </c>
      <c r="AG1293">
        <v>97.610342474093258</v>
      </c>
      <c r="AH1293">
        <v>96.677052318652855</v>
      </c>
      <c r="AI1293">
        <v>35.645782587511817</v>
      </c>
      <c r="AJ1293">
        <v>70.855838636577346</v>
      </c>
      <c r="AK1293">
        <v>35.30495950331126</v>
      </c>
      <c r="AL1293">
        <v>70.178358617771508</v>
      </c>
      <c r="AM1293">
        <v>3.9055266728860558</v>
      </c>
      <c r="AN1293">
        <v>3.868184425095234</v>
      </c>
    </row>
    <row r="1294" spans="1:40" x14ac:dyDescent="0.25">
      <c r="A1294" s="1" t="s">
        <v>245</v>
      </c>
      <c r="B1294">
        <v>151062981560</v>
      </c>
      <c r="C1294" t="s">
        <v>70</v>
      </c>
      <c r="D1294" t="s">
        <v>105</v>
      </c>
      <c r="E1294">
        <v>38589000000</v>
      </c>
      <c r="F1294">
        <v>2350000000</v>
      </c>
      <c r="G1294">
        <v>4228000000</v>
      </c>
      <c r="H1294">
        <v>2127000000</v>
      </c>
      <c r="I1294">
        <v>1544000000</v>
      </c>
      <c r="J1294">
        <v>1390000000</v>
      </c>
      <c r="K1294">
        <v>5827000000</v>
      </c>
      <c r="L1294">
        <v>744000000</v>
      </c>
      <c r="M1294">
        <v>6571000000</v>
      </c>
      <c r="N1294">
        <v>12074000000</v>
      </c>
      <c r="O1294">
        <v>1795000000</v>
      </c>
      <c r="P1294">
        <v>184000000</v>
      </c>
      <c r="Q1294">
        <v>9457000000</v>
      </c>
      <c r="R1294">
        <v>9993000000</v>
      </c>
      <c r="S1294">
        <v>27100000000</v>
      </c>
      <c r="T1294">
        <v>0</v>
      </c>
      <c r="U1294">
        <v>1441000000</v>
      </c>
      <c r="V1294">
        <v>12499000000</v>
      </c>
      <c r="W1294">
        <v>154132981560</v>
      </c>
      <c r="X1294">
        <v>155573981560</v>
      </c>
      <c r="Y1294">
        <v>3.9146643229935991</v>
      </c>
      <c r="Z1294">
        <v>64.282119812765956</v>
      </c>
      <c r="AA1294">
        <v>35.729182015137177</v>
      </c>
      <c r="AB1294">
        <v>71.021618034790791</v>
      </c>
      <c r="AC1294">
        <v>97.838718626943006</v>
      </c>
      <c r="AD1294">
        <v>108.678404</v>
      </c>
      <c r="AE1294">
        <v>66.201694280851058</v>
      </c>
      <c r="AF1294">
        <v>65.588502791489361</v>
      </c>
      <c r="AG1294">
        <v>100.76035075129531</v>
      </c>
      <c r="AH1294">
        <v>99.827060595854917</v>
      </c>
      <c r="AI1294">
        <v>36.796116736045413</v>
      </c>
      <c r="AJ1294">
        <v>73.142445491302297</v>
      </c>
      <c r="AK1294">
        <v>36.45529365184484</v>
      </c>
      <c r="AL1294">
        <v>72.464965472496473</v>
      </c>
      <c r="AM1294">
        <v>4.0315629210396748</v>
      </c>
      <c r="AN1294">
        <v>3.994220673248853</v>
      </c>
    </row>
    <row r="1295" spans="1:40" x14ac:dyDescent="0.25">
      <c r="A1295" s="1" t="s">
        <v>244</v>
      </c>
      <c r="B1295">
        <v>147779003700</v>
      </c>
      <c r="C1295" t="s">
        <v>70</v>
      </c>
      <c r="D1295" t="s">
        <v>105</v>
      </c>
      <c r="E1295">
        <v>38589000000</v>
      </c>
      <c r="F1295">
        <v>2350000000</v>
      </c>
      <c r="G1295">
        <v>4228000000</v>
      </c>
      <c r="H1295">
        <v>2127000000</v>
      </c>
      <c r="I1295">
        <v>1544000000</v>
      </c>
      <c r="J1295">
        <v>1390000000</v>
      </c>
      <c r="K1295">
        <v>5827000000</v>
      </c>
      <c r="L1295">
        <v>744000000</v>
      </c>
      <c r="M1295">
        <v>6571000000</v>
      </c>
      <c r="N1295">
        <v>12074000000</v>
      </c>
      <c r="O1295">
        <v>1795000000</v>
      </c>
      <c r="P1295">
        <v>184000000</v>
      </c>
      <c r="Q1295">
        <v>9457000000</v>
      </c>
      <c r="R1295">
        <v>9993000000</v>
      </c>
      <c r="S1295">
        <v>27100000000</v>
      </c>
      <c r="T1295">
        <v>0</v>
      </c>
      <c r="U1295">
        <v>1441000000</v>
      </c>
      <c r="V1295">
        <v>12499000000</v>
      </c>
      <c r="W1295">
        <v>150849003700</v>
      </c>
      <c r="X1295">
        <v>152290003700</v>
      </c>
      <c r="Y1295">
        <v>3.829562924667651</v>
      </c>
      <c r="Z1295">
        <v>62.884682425531913</v>
      </c>
      <c r="AA1295">
        <v>34.952460666982027</v>
      </c>
      <c r="AB1295">
        <v>69.477669816643157</v>
      </c>
      <c r="AC1295">
        <v>95.7117899611399</v>
      </c>
      <c r="AD1295">
        <v>106.31583000000001</v>
      </c>
      <c r="AE1295">
        <v>64.804256893617023</v>
      </c>
      <c r="AF1295">
        <v>64.191065404255326</v>
      </c>
      <c r="AG1295">
        <v>98.633422085492228</v>
      </c>
      <c r="AH1295">
        <v>97.700131930051811</v>
      </c>
      <c r="AI1295">
        <v>36.019395387890263</v>
      </c>
      <c r="AJ1295">
        <v>71.598497273154678</v>
      </c>
      <c r="AK1295">
        <v>35.678572303689691</v>
      </c>
      <c r="AL1295">
        <v>70.921017254348854</v>
      </c>
      <c r="AM1295">
        <v>3.9464615227137272</v>
      </c>
      <c r="AN1295">
        <v>3.9091192749229049</v>
      </c>
    </row>
    <row r="1296" spans="1:40" x14ac:dyDescent="0.25">
      <c r="A1296" s="1" t="s">
        <v>243</v>
      </c>
      <c r="B1296">
        <v>146885262890</v>
      </c>
      <c r="C1296" t="s">
        <v>70</v>
      </c>
      <c r="D1296" t="s">
        <v>105</v>
      </c>
      <c r="E1296">
        <v>38589000000</v>
      </c>
      <c r="F1296">
        <v>2350000000</v>
      </c>
      <c r="G1296">
        <v>4228000000</v>
      </c>
      <c r="H1296">
        <v>2127000000</v>
      </c>
      <c r="I1296">
        <v>1544000000</v>
      </c>
      <c r="J1296">
        <v>1390000000</v>
      </c>
      <c r="K1296">
        <v>5827000000</v>
      </c>
      <c r="L1296">
        <v>744000000</v>
      </c>
      <c r="M1296">
        <v>6571000000</v>
      </c>
      <c r="N1296">
        <v>12074000000</v>
      </c>
      <c r="O1296">
        <v>1795000000</v>
      </c>
      <c r="P1296">
        <v>184000000</v>
      </c>
      <c r="Q1296">
        <v>9457000000</v>
      </c>
      <c r="R1296">
        <v>9993000000</v>
      </c>
      <c r="S1296">
        <v>27100000000</v>
      </c>
      <c r="T1296">
        <v>0</v>
      </c>
      <c r="U1296">
        <v>1441000000</v>
      </c>
      <c r="V1296">
        <v>12499000000</v>
      </c>
      <c r="W1296">
        <v>149955262890</v>
      </c>
      <c r="X1296">
        <v>151396262890</v>
      </c>
      <c r="Y1296">
        <v>3.8064024175283109</v>
      </c>
      <c r="Z1296">
        <v>62.504367187234052</v>
      </c>
      <c r="AA1296">
        <v>34.741074477294227</v>
      </c>
      <c r="AB1296">
        <v>69.05748137752704</v>
      </c>
      <c r="AC1296">
        <v>95.132942286269426</v>
      </c>
      <c r="AD1296">
        <v>105.67285099999999</v>
      </c>
      <c r="AE1296">
        <v>64.423941655319155</v>
      </c>
      <c r="AF1296">
        <v>63.810750165957437</v>
      </c>
      <c r="AG1296">
        <v>98.054574410621768</v>
      </c>
      <c r="AH1296">
        <v>97.121284255181351</v>
      </c>
      <c r="AI1296">
        <v>35.808009198202463</v>
      </c>
      <c r="AJ1296">
        <v>71.178308834038546</v>
      </c>
      <c r="AK1296">
        <v>35.46718611400189</v>
      </c>
      <c r="AL1296">
        <v>70.500828815232722</v>
      </c>
      <c r="AM1296">
        <v>3.923301015574387</v>
      </c>
      <c r="AN1296">
        <v>3.8859587677835652</v>
      </c>
    </row>
    <row r="1297" spans="1:40" x14ac:dyDescent="0.25">
      <c r="A1297" s="1" t="s">
        <v>242</v>
      </c>
      <c r="B1297">
        <v>148194697100</v>
      </c>
      <c r="C1297" t="s">
        <v>70</v>
      </c>
      <c r="D1297" t="s">
        <v>105</v>
      </c>
      <c r="E1297">
        <v>38589000000</v>
      </c>
      <c r="F1297">
        <v>2350000000</v>
      </c>
      <c r="G1297">
        <v>4228000000</v>
      </c>
      <c r="H1297">
        <v>2127000000</v>
      </c>
      <c r="I1297">
        <v>1544000000</v>
      </c>
      <c r="J1297">
        <v>1390000000</v>
      </c>
      <c r="K1297">
        <v>5827000000</v>
      </c>
      <c r="L1297">
        <v>744000000</v>
      </c>
      <c r="M1297">
        <v>6571000000</v>
      </c>
      <c r="N1297">
        <v>12074000000</v>
      </c>
      <c r="O1297">
        <v>1795000000</v>
      </c>
      <c r="P1297">
        <v>184000000</v>
      </c>
      <c r="Q1297">
        <v>9457000000</v>
      </c>
      <c r="R1297">
        <v>9993000000</v>
      </c>
      <c r="S1297">
        <v>27100000000</v>
      </c>
      <c r="T1297">
        <v>0</v>
      </c>
      <c r="U1297">
        <v>1441000000</v>
      </c>
      <c r="V1297">
        <v>12499000000</v>
      </c>
      <c r="W1297">
        <v>151264697100</v>
      </c>
      <c r="X1297">
        <v>152705697100</v>
      </c>
      <c r="Y1297">
        <v>3.8403352535696702</v>
      </c>
      <c r="Z1297">
        <v>63.061573234042562</v>
      </c>
      <c r="AA1297">
        <v>35.050779824976352</v>
      </c>
      <c r="AB1297">
        <v>69.673106299952991</v>
      </c>
      <c r="AC1297">
        <v>95.981021437823827</v>
      </c>
      <c r="AD1297">
        <v>106.61489</v>
      </c>
      <c r="AE1297">
        <v>64.981147702127657</v>
      </c>
      <c r="AF1297">
        <v>64.367956212765961</v>
      </c>
      <c r="AG1297">
        <v>98.90265356217617</v>
      </c>
      <c r="AH1297">
        <v>97.969363406735752</v>
      </c>
      <c r="AI1297">
        <v>36.117714545884581</v>
      </c>
      <c r="AJ1297">
        <v>71.793933756464497</v>
      </c>
      <c r="AK1297">
        <v>35.776891461684009</v>
      </c>
      <c r="AL1297">
        <v>71.116453737658674</v>
      </c>
      <c r="AM1297">
        <v>3.957233851615745</v>
      </c>
      <c r="AN1297">
        <v>3.9198916038249241</v>
      </c>
    </row>
    <row r="1298" spans="1:40" x14ac:dyDescent="0.25">
      <c r="A1298" s="1" t="s">
        <v>241</v>
      </c>
      <c r="B1298">
        <v>147695865020</v>
      </c>
      <c r="C1298" t="s">
        <v>70</v>
      </c>
      <c r="D1298" t="s">
        <v>105</v>
      </c>
      <c r="E1298">
        <v>38589000000</v>
      </c>
      <c r="F1298">
        <v>2350000000</v>
      </c>
      <c r="G1298">
        <v>4228000000</v>
      </c>
      <c r="H1298">
        <v>2127000000</v>
      </c>
      <c r="I1298">
        <v>1544000000</v>
      </c>
      <c r="J1298">
        <v>1390000000</v>
      </c>
      <c r="K1298">
        <v>5827000000</v>
      </c>
      <c r="L1298">
        <v>744000000</v>
      </c>
      <c r="M1298">
        <v>6571000000</v>
      </c>
      <c r="N1298">
        <v>12074000000</v>
      </c>
      <c r="O1298">
        <v>1795000000</v>
      </c>
      <c r="P1298">
        <v>184000000</v>
      </c>
      <c r="Q1298">
        <v>9457000000</v>
      </c>
      <c r="R1298">
        <v>9993000000</v>
      </c>
      <c r="S1298">
        <v>27100000000</v>
      </c>
      <c r="T1298">
        <v>0</v>
      </c>
      <c r="U1298">
        <v>1441000000</v>
      </c>
      <c r="V1298">
        <v>12499000000</v>
      </c>
      <c r="W1298">
        <v>150765865020</v>
      </c>
      <c r="X1298">
        <v>152206865020</v>
      </c>
      <c r="Y1298">
        <v>3.827408458887247</v>
      </c>
      <c r="Z1298">
        <v>62.849304263829787</v>
      </c>
      <c r="AA1298">
        <v>34.932796835383158</v>
      </c>
      <c r="AB1298">
        <v>69.438582519981196</v>
      </c>
      <c r="AC1298">
        <v>95.657943665803103</v>
      </c>
      <c r="AD1298">
        <v>106.256018</v>
      </c>
      <c r="AE1298">
        <v>64.768878731914896</v>
      </c>
      <c r="AF1298">
        <v>64.155687242553185</v>
      </c>
      <c r="AG1298">
        <v>98.579575790155445</v>
      </c>
      <c r="AH1298">
        <v>97.646285634715028</v>
      </c>
      <c r="AI1298">
        <v>35.999731556291387</v>
      </c>
      <c r="AJ1298">
        <v>71.559409976492717</v>
      </c>
      <c r="AK1298">
        <v>35.658908472090822</v>
      </c>
      <c r="AL1298">
        <v>70.881929957686879</v>
      </c>
      <c r="AM1298">
        <v>3.9443070569333232</v>
      </c>
      <c r="AN1298">
        <v>3.9069648091425022</v>
      </c>
    </row>
    <row r="1299" spans="1:40" x14ac:dyDescent="0.25">
      <c r="A1299" s="1" t="s">
        <v>240</v>
      </c>
      <c r="B1299">
        <v>148090773750</v>
      </c>
      <c r="C1299" t="s">
        <v>70</v>
      </c>
      <c r="D1299" t="s">
        <v>105</v>
      </c>
      <c r="E1299">
        <v>38589000000</v>
      </c>
      <c r="F1299">
        <v>2350000000</v>
      </c>
      <c r="G1299">
        <v>4228000000</v>
      </c>
      <c r="H1299">
        <v>2127000000</v>
      </c>
      <c r="I1299">
        <v>1544000000</v>
      </c>
      <c r="J1299">
        <v>1390000000</v>
      </c>
      <c r="K1299">
        <v>5827000000</v>
      </c>
      <c r="L1299">
        <v>744000000</v>
      </c>
      <c r="M1299">
        <v>6571000000</v>
      </c>
      <c r="N1299">
        <v>12074000000</v>
      </c>
      <c r="O1299">
        <v>1795000000</v>
      </c>
      <c r="P1299">
        <v>184000000</v>
      </c>
      <c r="Q1299">
        <v>9457000000</v>
      </c>
      <c r="R1299">
        <v>9993000000</v>
      </c>
      <c r="S1299">
        <v>27100000000</v>
      </c>
      <c r="T1299">
        <v>0</v>
      </c>
      <c r="U1299">
        <v>1441000000</v>
      </c>
      <c r="V1299">
        <v>12499000000</v>
      </c>
      <c r="W1299">
        <v>151160773750</v>
      </c>
      <c r="X1299">
        <v>152601773750</v>
      </c>
      <c r="Y1299">
        <v>3.8376421713441649</v>
      </c>
      <c r="Z1299">
        <v>63.017350531914893</v>
      </c>
      <c r="AA1299">
        <v>35.026200035477757</v>
      </c>
      <c r="AB1299">
        <v>69.624247179125533</v>
      </c>
      <c r="AC1299">
        <v>95.913713568652852</v>
      </c>
      <c r="AD1299">
        <v>106.540125</v>
      </c>
      <c r="AE1299">
        <v>64.936925000000002</v>
      </c>
      <c r="AF1299">
        <v>64.323733510638291</v>
      </c>
      <c r="AG1299">
        <v>98.835345693005181</v>
      </c>
      <c r="AH1299">
        <v>97.902055537564763</v>
      </c>
      <c r="AI1299">
        <v>36.093134756386</v>
      </c>
      <c r="AJ1299">
        <v>71.745074635637053</v>
      </c>
      <c r="AK1299">
        <v>35.752311672185428</v>
      </c>
      <c r="AL1299">
        <v>71.067594616831215</v>
      </c>
      <c r="AM1299">
        <v>3.954540769390241</v>
      </c>
      <c r="AN1299">
        <v>3.9171985215994201</v>
      </c>
    </row>
    <row r="1300" spans="1:40" x14ac:dyDescent="0.25">
      <c r="A1300" s="1" t="s">
        <v>239</v>
      </c>
      <c r="B1300">
        <v>148236266440</v>
      </c>
      <c r="C1300" t="s">
        <v>70</v>
      </c>
      <c r="D1300" t="s">
        <v>105</v>
      </c>
      <c r="E1300">
        <v>38589000000</v>
      </c>
      <c r="F1300">
        <v>2350000000</v>
      </c>
      <c r="G1300">
        <v>4228000000</v>
      </c>
      <c r="H1300">
        <v>2127000000</v>
      </c>
      <c r="I1300">
        <v>1544000000</v>
      </c>
      <c r="J1300">
        <v>1390000000</v>
      </c>
      <c r="K1300">
        <v>5827000000</v>
      </c>
      <c r="L1300">
        <v>744000000</v>
      </c>
      <c r="M1300">
        <v>6571000000</v>
      </c>
      <c r="N1300">
        <v>12074000000</v>
      </c>
      <c r="O1300">
        <v>1795000000</v>
      </c>
      <c r="P1300">
        <v>184000000</v>
      </c>
      <c r="Q1300">
        <v>9457000000</v>
      </c>
      <c r="R1300">
        <v>9993000000</v>
      </c>
      <c r="S1300">
        <v>27100000000</v>
      </c>
      <c r="T1300">
        <v>0</v>
      </c>
      <c r="U1300">
        <v>1441000000</v>
      </c>
      <c r="V1300">
        <v>12499000000</v>
      </c>
      <c r="W1300">
        <v>151306266440</v>
      </c>
      <c r="X1300">
        <v>152747266440</v>
      </c>
      <c r="Y1300">
        <v>3.841412486459872</v>
      </c>
      <c r="Z1300">
        <v>63.079262314893619</v>
      </c>
      <c r="AA1300">
        <v>35.060611740775776</v>
      </c>
      <c r="AB1300">
        <v>69.692649948283972</v>
      </c>
      <c r="AC1300">
        <v>96.007944585492226</v>
      </c>
      <c r="AD1300">
        <v>106.644796</v>
      </c>
      <c r="AE1300">
        <v>64.998836782978728</v>
      </c>
      <c r="AF1300">
        <v>64.385645293617017</v>
      </c>
      <c r="AG1300">
        <v>98.929576709844554</v>
      </c>
      <c r="AH1300">
        <v>97.996286554404151</v>
      </c>
      <c r="AI1300">
        <v>36.127546461684013</v>
      </c>
      <c r="AJ1300">
        <v>71.813477404795492</v>
      </c>
      <c r="AK1300">
        <v>35.78672337748344</v>
      </c>
      <c r="AL1300">
        <v>71.135997385989654</v>
      </c>
      <c r="AM1300">
        <v>3.9583110845059468</v>
      </c>
      <c r="AN1300">
        <v>3.9209688367151259</v>
      </c>
    </row>
    <row r="1301" spans="1:40" x14ac:dyDescent="0.25">
      <c r="A1301" s="1" t="s">
        <v>238</v>
      </c>
      <c r="B1301">
        <v>143975409090</v>
      </c>
      <c r="C1301" t="s">
        <v>70</v>
      </c>
      <c r="D1301" t="s">
        <v>105</v>
      </c>
      <c r="E1301">
        <v>38589000000</v>
      </c>
      <c r="F1301">
        <v>2350000000</v>
      </c>
      <c r="G1301">
        <v>4228000000</v>
      </c>
      <c r="H1301">
        <v>2127000000</v>
      </c>
      <c r="I1301">
        <v>1544000000</v>
      </c>
      <c r="J1301">
        <v>1390000000</v>
      </c>
      <c r="K1301">
        <v>5827000000</v>
      </c>
      <c r="L1301">
        <v>744000000</v>
      </c>
      <c r="M1301">
        <v>6571000000</v>
      </c>
      <c r="N1301">
        <v>12074000000</v>
      </c>
      <c r="O1301">
        <v>1795000000</v>
      </c>
      <c r="P1301">
        <v>184000000</v>
      </c>
      <c r="Q1301">
        <v>9457000000</v>
      </c>
      <c r="R1301">
        <v>9993000000</v>
      </c>
      <c r="S1301">
        <v>27100000000</v>
      </c>
      <c r="T1301">
        <v>0</v>
      </c>
      <c r="U1301">
        <v>1441000000</v>
      </c>
      <c r="V1301">
        <v>12499000000</v>
      </c>
      <c r="W1301">
        <v>147045409090</v>
      </c>
      <c r="X1301">
        <v>148486409090</v>
      </c>
      <c r="Y1301">
        <v>3.7309961152141802</v>
      </c>
      <c r="Z1301">
        <v>61.266131527659567</v>
      </c>
      <c r="AA1301">
        <v>34.052840371333957</v>
      </c>
      <c r="AB1301">
        <v>67.689425994358245</v>
      </c>
      <c r="AC1301">
        <v>93.248321949481863</v>
      </c>
      <c r="AD1301">
        <v>103.579431</v>
      </c>
      <c r="AE1301">
        <v>63.185705995744676</v>
      </c>
      <c r="AF1301">
        <v>62.57251450638298</v>
      </c>
      <c r="AG1301">
        <v>96.169954073834191</v>
      </c>
      <c r="AH1301">
        <v>95.236663918393788</v>
      </c>
      <c r="AI1301">
        <v>35.119775092242193</v>
      </c>
      <c r="AJ1301">
        <v>69.810253450869766</v>
      </c>
      <c r="AK1301">
        <v>34.778952008041628</v>
      </c>
      <c r="AL1301">
        <v>69.132773432063942</v>
      </c>
      <c r="AM1301">
        <v>3.847894713260255</v>
      </c>
      <c r="AN1301">
        <v>3.810552465469434</v>
      </c>
    </row>
    <row r="1302" spans="1:40" x14ac:dyDescent="0.25">
      <c r="A1302" s="1" t="s">
        <v>237</v>
      </c>
      <c r="B1302">
        <v>152829678510</v>
      </c>
      <c r="C1302" t="s">
        <v>70</v>
      </c>
      <c r="D1302" t="s">
        <v>105</v>
      </c>
      <c r="E1302">
        <v>38589000000</v>
      </c>
      <c r="F1302">
        <v>2350000000</v>
      </c>
      <c r="G1302">
        <v>4228000000</v>
      </c>
      <c r="H1302">
        <v>2127000000</v>
      </c>
      <c r="I1302">
        <v>1544000000</v>
      </c>
      <c r="J1302">
        <v>1390000000</v>
      </c>
      <c r="K1302">
        <v>5827000000</v>
      </c>
      <c r="L1302">
        <v>744000000</v>
      </c>
      <c r="M1302">
        <v>6571000000</v>
      </c>
      <c r="N1302">
        <v>12074000000</v>
      </c>
      <c r="O1302">
        <v>1795000000</v>
      </c>
      <c r="P1302">
        <v>184000000</v>
      </c>
      <c r="Q1302">
        <v>9457000000</v>
      </c>
      <c r="R1302">
        <v>9993000000</v>
      </c>
      <c r="S1302">
        <v>27100000000</v>
      </c>
      <c r="T1302">
        <v>0</v>
      </c>
      <c r="U1302">
        <v>1441000000</v>
      </c>
      <c r="V1302">
        <v>12499000000</v>
      </c>
      <c r="W1302">
        <v>155899678510</v>
      </c>
      <c r="X1302">
        <v>157340678510</v>
      </c>
      <c r="Y1302">
        <v>3.960446720827179</v>
      </c>
      <c r="Z1302">
        <v>65.033905748936164</v>
      </c>
      <c r="AA1302">
        <v>36.147038436613059</v>
      </c>
      <c r="AB1302">
        <v>71.852223088857542</v>
      </c>
      <c r="AC1302">
        <v>98.982952402849747</v>
      </c>
      <c r="AD1302">
        <v>109.949409</v>
      </c>
      <c r="AE1302">
        <v>66.95348021702128</v>
      </c>
      <c r="AF1302">
        <v>66.340288727659569</v>
      </c>
      <c r="AG1302">
        <v>101.9045845272021</v>
      </c>
      <c r="AH1302">
        <v>100.9712943717617</v>
      </c>
      <c r="AI1302">
        <v>37.213973157521288</v>
      </c>
      <c r="AJ1302">
        <v>73.973050545369063</v>
      </c>
      <c r="AK1302">
        <v>36.873150073320723</v>
      </c>
      <c r="AL1302">
        <v>73.295570526563239</v>
      </c>
      <c r="AM1302">
        <v>4.0773453188732542</v>
      </c>
      <c r="AN1302">
        <v>4.0400030710824328</v>
      </c>
    </row>
    <row r="1303" spans="1:40" x14ac:dyDescent="0.25">
      <c r="A1303" s="1" t="s">
        <v>236</v>
      </c>
      <c r="B1303">
        <v>150543364810</v>
      </c>
      <c r="C1303" t="s">
        <v>70</v>
      </c>
      <c r="D1303" t="s">
        <v>105</v>
      </c>
      <c r="E1303">
        <v>38589000000</v>
      </c>
      <c r="F1303">
        <v>2350000000</v>
      </c>
      <c r="G1303">
        <v>4228000000</v>
      </c>
      <c r="H1303">
        <v>2127000000</v>
      </c>
      <c r="I1303">
        <v>1544000000</v>
      </c>
      <c r="J1303">
        <v>1390000000</v>
      </c>
      <c r="K1303">
        <v>5827000000</v>
      </c>
      <c r="L1303">
        <v>744000000</v>
      </c>
      <c r="M1303">
        <v>6571000000</v>
      </c>
      <c r="N1303">
        <v>12074000000</v>
      </c>
      <c r="O1303">
        <v>1795000000</v>
      </c>
      <c r="P1303">
        <v>184000000</v>
      </c>
      <c r="Q1303">
        <v>9457000000</v>
      </c>
      <c r="R1303">
        <v>9993000000</v>
      </c>
      <c r="S1303">
        <v>27100000000</v>
      </c>
      <c r="T1303">
        <v>0</v>
      </c>
      <c r="U1303">
        <v>1441000000</v>
      </c>
      <c r="V1303">
        <v>12499000000</v>
      </c>
      <c r="W1303">
        <v>153613364810</v>
      </c>
      <c r="X1303">
        <v>155054364810</v>
      </c>
      <c r="Y1303">
        <v>3.9011989118660759</v>
      </c>
      <c r="Z1303">
        <v>64.061006302127666</v>
      </c>
      <c r="AA1303">
        <v>35.606283067644277</v>
      </c>
      <c r="AB1303">
        <v>70.777322430653498</v>
      </c>
      <c r="AC1303">
        <v>97.50217928108809</v>
      </c>
      <c r="AD1303">
        <v>108.304579</v>
      </c>
      <c r="AE1303">
        <v>65.980580770212768</v>
      </c>
      <c r="AF1303">
        <v>65.367389280851057</v>
      </c>
      <c r="AG1303">
        <v>100.4238114054404</v>
      </c>
      <c r="AH1303">
        <v>99.49052125</v>
      </c>
      <c r="AI1303">
        <v>36.673217788552513</v>
      </c>
      <c r="AJ1303">
        <v>72.898149887165019</v>
      </c>
      <c r="AK1303">
        <v>36.332394704351941</v>
      </c>
      <c r="AL1303">
        <v>72.220669868359195</v>
      </c>
      <c r="AM1303">
        <v>4.0180975099121508</v>
      </c>
      <c r="AN1303">
        <v>3.9807552621213298</v>
      </c>
    </row>
    <row r="1304" spans="1:40" x14ac:dyDescent="0.25">
      <c r="A1304" s="1" t="s">
        <v>235</v>
      </c>
      <c r="B1304">
        <v>150252379430</v>
      </c>
      <c r="C1304" t="s">
        <v>70</v>
      </c>
      <c r="D1304" t="s">
        <v>105</v>
      </c>
      <c r="E1304">
        <v>38589000000</v>
      </c>
      <c r="F1304">
        <v>2350000000</v>
      </c>
      <c r="G1304">
        <v>4228000000</v>
      </c>
      <c r="H1304">
        <v>2127000000</v>
      </c>
      <c r="I1304">
        <v>1544000000</v>
      </c>
      <c r="J1304">
        <v>1390000000</v>
      </c>
      <c r="K1304">
        <v>5827000000</v>
      </c>
      <c r="L1304">
        <v>744000000</v>
      </c>
      <c r="M1304">
        <v>6571000000</v>
      </c>
      <c r="N1304">
        <v>12074000000</v>
      </c>
      <c r="O1304">
        <v>1795000000</v>
      </c>
      <c r="P1304">
        <v>184000000</v>
      </c>
      <c r="Q1304">
        <v>9457000000</v>
      </c>
      <c r="R1304">
        <v>9993000000</v>
      </c>
      <c r="S1304">
        <v>27100000000</v>
      </c>
      <c r="T1304">
        <v>0</v>
      </c>
      <c r="U1304">
        <v>1441000000</v>
      </c>
      <c r="V1304">
        <v>12499000000</v>
      </c>
      <c r="W1304">
        <v>153322379430</v>
      </c>
      <c r="X1304">
        <v>154763379430</v>
      </c>
      <c r="Y1304">
        <v>3.893658281634663</v>
      </c>
      <c r="Z1304">
        <v>63.937182736170207</v>
      </c>
      <c r="AA1304">
        <v>35.537459657048252</v>
      </c>
      <c r="AB1304">
        <v>70.64051689233662</v>
      </c>
      <c r="AC1304">
        <v>97.313717247409329</v>
      </c>
      <c r="AD1304">
        <v>108.095237</v>
      </c>
      <c r="AE1304">
        <v>65.856757204255317</v>
      </c>
      <c r="AF1304">
        <v>65.24356571489362</v>
      </c>
      <c r="AG1304">
        <v>100.2353493717617</v>
      </c>
      <c r="AH1304">
        <v>99.30205921632124</v>
      </c>
      <c r="AI1304">
        <v>36.604394377956481</v>
      </c>
      <c r="AJ1304">
        <v>72.761344348848141</v>
      </c>
      <c r="AK1304">
        <v>36.263571293755923</v>
      </c>
      <c r="AL1304">
        <v>72.083864330042317</v>
      </c>
      <c r="AM1304">
        <v>4.0105568796807383</v>
      </c>
      <c r="AN1304">
        <v>3.9732146318899169</v>
      </c>
    </row>
    <row r="1305" spans="1:40" x14ac:dyDescent="0.25">
      <c r="A1305" s="1" t="s">
        <v>234</v>
      </c>
      <c r="B1305">
        <v>154430098100</v>
      </c>
      <c r="C1305" t="s">
        <v>70</v>
      </c>
      <c r="D1305" t="s">
        <v>105</v>
      </c>
      <c r="E1305">
        <v>38589000000</v>
      </c>
      <c r="F1305">
        <v>2350000000</v>
      </c>
      <c r="G1305">
        <v>4228000000</v>
      </c>
      <c r="H1305">
        <v>2127000000</v>
      </c>
      <c r="I1305">
        <v>1544000000</v>
      </c>
      <c r="J1305">
        <v>1390000000</v>
      </c>
      <c r="K1305">
        <v>5827000000</v>
      </c>
      <c r="L1305">
        <v>744000000</v>
      </c>
      <c r="M1305">
        <v>6571000000</v>
      </c>
      <c r="N1305">
        <v>12074000000</v>
      </c>
      <c r="O1305">
        <v>1795000000</v>
      </c>
      <c r="P1305">
        <v>184000000</v>
      </c>
      <c r="Q1305">
        <v>9457000000</v>
      </c>
      <c r="R1305">
        <v>9993000000</v>
      </c>
      <c r="S1305">
        <v>27100000000</v>
      </c>
      <c r="T1305">
        <v>0</v>
      </c>
      <c r="U1305">
        <v>1441000000</v>
      </c>
      <c r="V1305">
        <v>12499000000</v>
      </c>
      <c r="W1305">
        <v>157500098100</v>
      </c>
      <c r="X1305">
        <v>158941098100</v>
      </c>
      <c r="Y1305">
        <v>4.0019201870999508</v>
      </c>
      <c r="Z1305">
        <v>65.714935361702132</v>
      </c>
      <c r="AA1305">
        <v>36.525567194891202</v>
      </c>
      <c r="AB1305">
        <v>72.604653549600371</v>
      </c>
      <c r="AC1305">
        <v>100.0194935880829</v>
      </c>
      <c r="AD1305">
        <v>111.10079</v>
      </c>
      <c r="AE1305">
        <v>67.634509829787234</v>
      </c>
      <c r="AF1305">
        <v>67.021318340425537</v>
      </c>
      <c r="AG1305">
        <v>102.94112571243519</v>
      </c>
      <c r="AH1305">
        <v>102.00783555699481</v>
      </c>
      <c r="AI1305">
        <v>37.592501915799431</v>
      </c>
      <c r="AJ1305">
        <v>74.725481006111892</v>
      </c>
      <c r="AK1305">
        <v>37.251678831598873</v>
      </c>
      <c r="AL1305">
        <v>74.048000987306068</v>
      </c>
      <c r="AM1305">
        <v>4.1188187851460274</v>
      </c>
      <c r="AN1305">
        <v>4.0814765373552051</v>
      </c>
    </row>
    <row r="1306" spans="1:40" x14ac:dyDescent="0.25">
      <c r="A1306" s="1" t="s">
        <v>233</v>
      </c>
      <c r="B1306">
        <v>142624405540</v>
      </c>
      <c r="C1306" t="s">
        <v>70</v>
      </c>
      <c r="D1306" t="s">
        <v>105</v>
      </c>
      <c r="E1306">
        <v>38589000000</v>
      </c>
      <c r="F1306">
        <v>2350000000</v>
      </c>
      <c r="G1306">
        <v>4228000000</v>
      </c>
      <c r="H1306">
        <v>2127000000</v>
      </c>
      <c r="I1306">
        <v>1544000000</v>
      </c>
      <c r="J1306">
        <v>1390000000</v>
      </c>
      <c r="K1306">
        <v>5827000000</v>
      </c>
      <c r="L1306">
        <v>744000000</v>
      </c>
      <c r="M1306">
        <v>6571000000</v>
      </c>
      <c r="N1306">
        <v>12074000000</v>
      </c>
      <c r="O1306">
        <v>1795000000</v>
      </c>
      <c r="P1306">
        <v>184000000</v>
      </c>
      <c r="Q1306">
        <v>9457000000</v>
      </c>
      <c r="R1306">
        <v>9993000000</v>
      </c>
      <c r="S1306">
        <v>27100000000</v>
      </c>
      <c r="T1306">
        <v>0</v>
      </c>
      <c r="U1306">
        <v>1441000000</v>
      </c>
      <c r="V1306">
        <v>12499000000</v>
      </c>
      <c r="W1306">
        <v>145694405540</v>
      </c>
      <c r="X1306">
        <v>147135405540</v>
      </c>
      <c r="Y1306">
        <v>3.69598604628262</v>
      </c>
      <c r="Z1306">
        <v>60.691236400000001</v>
      </c>
      <c r="AA1306">
        <v>33.733303107852407</v>
      </c>
      <c r="AB1306">
        <v>67.054257423601314</v>
      </c>
      <c r="AC1306">
        <v>92.373319650259063</v>
      </c>
      <c r="AD1306">
        <v>102.60748599999999</v>
      </c>
      <c r="AE1306">
        <v>62.610810868085103</v>
      </c>
      <c r="AF1306">
        <v>61.997619378723407</v>
      </c>
      <c r="AG1306">
        <v>95.294951774611405</v>
      </c>
      <c r="AH1306">
        <v>94.361661619170988</v>
      </c>
      <c r="AI1306">
        <v>34.800237828760643</v>
      </c>
      <c r="AJ1306">
        <v>69.175084880112834</v>
      </c>
      <c r="AK1306">
        <v>34.459414744560078</v>
      </c>
      <c r="AL1306">
        <v>68.497604861307011</v>
      </c>
      <c r="AM1306">
        <v>3.8128846443286948</v>
      </c>
      <c r="AN1306">
        <v>3.7755423965378729</v>
      </c>
    </row>
    <row r="1307" spans="1:40" x14ac:dyDescent="0.25">
      <c r="A1307" s="1" t="s">
        <v>232</v>
      </c>
      <c r="B1307">
        <v>137719223420</v>
      </c>
      <c r="C1307" t="s">
        <v>70</v>
      </c>
      <c r="D1307" t="s">
        <v>105</v>
      </c>
      <c r="E1307">
        <v>38589000000</v>
      </c>
      <c r="F1307">
        <v>2350000000</v>
      </c>
      <c r="G1307">
        <v>4228000000</v>
      </c>
      <c r="H1307">
        <v>2127000000</v>
      </c>
      <c r="I1307">
        <v>1544000000</v>
      </c>
      <c r="J1307">
        <v>1390000000</v>
      </c>
      <c r="K1307">
        <v>5827000000</v>
      </c>
      <c r="L1307">
        <v>744000000</v>
      </c>
      <c r="M1307">
        <v>6571000000</v>
      </c>
      <c r="N1307">
        <v>12074000000</v>
      </c>
      <c r="O1307">
        <v>1795000000</v>
      </c>
      <c r="P1307">
        <v>184000000</v>
      </c>
      <c r="Q1307">
        <v>9457000000</v>
      </c>
      <c r="R1307">
        <v>9993000000</v>
      </c>
      <c r="S1307">
        <v>27100000000</v>
      </c>
      <c r="T1307">
        <v>0</v>
      </c>
      <c r="U1307">
        <v>1441000000</v>
      </c>
      <c r="V1307">
        <v>12499000000</v>
      </c>
      <c r="W1307">
        <v>140789223420</v>
      </c>
      <c r="X1307">
        <v>142230223420</v>
      </c>
      <c r="Y1307">
        <v>3.5688725652387991</v>
      </c>
      <c r="Z1307">
        <v>58.60392485957447</v>
      </c>
      <c r="AA1307">
        <v>32.573137043519402</v>
      </c>
      <c r="AB1307">
        <v>64.748106920545368</v>
      </c>
      <c r="AC1307">
        <v>89.196388225388603</v>
      </c>
      <c r="AD1307">
        <v>99.078577999999993</v>
      </c>
      <c r="AE1307">
        <v>60.523499327659572</v>
      </c>
      <c r="AF1307">
        <v>59.910307838297882</v>
      </c>
      <c r="AG1307">
        <v>92.118020349740931</v>
      </c>
      <c r="AH1307">
        <v>91.184730194300514</v>
      </c>
      <c r="AI1307">
        <v>33.640071764427617</v>
      </c>
      <c r="AJ1307">
        <v>66.868934377056888</v>
      </c>
      <c r="AK1307">
        <v>33.299248680227059</v>
      </c>
      <c r="AL1307">
        <v>66.191454358251065</v>
      </c>
      <c r="AM1307">
        <v>3.685771163284874</v>
      </c>
      <c r="AN1307">
        <v>3.648428915494053</v>
      </c>
    </row>
    <row r="1308" spans="1:40" x14ac:dyDescent="0.25">
      <c r="A1308" s="1" t="s">
        <v>231</v>
      </c>
      <c r="B1308">
        <v>139901613770</v>
      </c>
      <c r="C1308" t="s">
        <v>70</v>
      </c>
      <c r="D1308" t="s">
        <v>105</v>
      </c>
      <c r="E1308">
        <v>38589000000</v>
      </c>
      <c r="F1308">
        <v>2350000000</v>
      </c>
      <c r="G1308">
        <v>4228000000</v>
      </c>
      <c r="H1308">
        <v>2127000000</v>
      </c>
      <c r="I1308">
        <v>1544000000</v>
      </c>
      <c r="J1308">
        <v>1390000000</v>
      </c>
      <c r="K1308">
        <v>5827000000</v>
      </c>
      <c r="L1308">
        <v>744000000</v>
      </c>
      <c r="M1308">
        <v>6571000000</v>
      </c>
      <c r="N1308">
        <v>12074000000</v>
      </c>
      <c r="O1308">
        <v>1795000000</v>
      </c>
      <c r="P1308">
        <v>184000000</v>
      </c>
      <c r="Q1308">
        <v>9457000000</v>
      </c>
      <c r="R1308">
        <v>9993000000</v>
      </c>
      <c r="S1308">
        <v>27100000000</v>
      </c>
      <c r="T1308">
        <v>0</v>
      </c>
      <c r="U1308">
        <v>1441000000</v>
      </c>
      <c r="V1308">
        <v>12499000000</v>
      </c>
      <c r="W1308">
        <v>142971613770</v>
      </c>
      <c r="X1308">
        <v>144412613770</v>
      </c>
      <c r="Y1308">
        <v>3.6254272919743968</v>
      </c>
      <c r="Z1308">
        <v>59.532601604255319</v>
      </c>
      <c r="AA1308">
        <v>33.089312622989603</v>
      </c>
      <c r="AB1308">
        <v>65.774148457921953</v>
      </c>
      <c r="AC1308">
        <v>90.609853477979271</v>
      </c>
      <c r="AD1308">
        <v>100.64864300000001</v>
      </c>
      <c r="AE1308">
        <v>61.452176072340428</v>
      </c>
      <c r="AF1308">
        <v>60.838984582978718</v>
      </c>
      <c r="AG1308">
        <v>93.5314856023316</v>
      </c>
      <c r="AH1308">
        <v>92.598195446891197</v>
      </c>
      <c r="AI1308">
        <v>34.156247343897817</v>
      </c>
      <c r="AJ1308">
        <v>67.894975914433473</v>
      </c>
      <c r="AK1308">
        <v>33.815424259697259</v>
      </c>
      <c r="AL1308">
        <v>67.21749589562765</v>
      </c>
      <c r="AM1308">
        <v>3.7423258900204721</v>
      </c>
      <c r="AN1308">
        <v>3.7049836422296512</v>
      </c>
    </row>
    <row r="1309" spans="1:40" x14ac:dyDescent="0.25">
      <c r="A1309" s="1" t="s">
        <v>230</v>
      </c>
      <c r="B1309">
        <v>140774569910</v>
      </c>
      <c r="C1309" t="s">
        <v>70</v>
      </c>
      <c r="D1309" t="s">
        <v>105</v>
      </c>
      <c r="E1309">
        <v>38589000000</v>
      </c>
      <c r="F1309">
        <v>2350000000</v>
      </c>
      <c r="G1309">
        <v>4228000000</v>
      </c>
      <c r="H1309">
        <v>2127000000</v>
      </c>
      <c r="I1309">
        <v>1544000000</v>
      </c>
      <c r="J1309">
        <v>1390000000</v>
      </c>
      <c r="K1309">
        <v>5827000000</v>
      </c>
      <c r="L1309">
        <v>744000000</v>
      </c>
      <c r="M1309">
        <v>6571000000</v>
      </c>
      <c r="N1309">
        <v>12074000000</v>
      </c>
      <c r="O1309">
        <v>1795000000</v>
      </c>
      <c r="P1309">
        <v>184000000</v>
      </c>
      <c r="Q1309">
        <v>9457000000</v>
      </c>
      <c r="R1309">
        <v>9993000000</v>
      </c>
      <c r="S1309">
        <v>27100000000</v>
      </c>
      <c r="T1309">
        <v>0</v>
      </c>
      <c r="U1309">
        <v>1441000000</v>
      </c>
      <c r="V1309">
        <v>12499000000</v>
      </c>
      <c r="W1309">
        <v>143844569910</v>
      </c>
      <c r="X1309">
        <v>145285569910</v>
      </c>
      <c r="Y1309">
        <v>3.6480491826686361</v>
      </c>
      <c r="Z1309">
        <v>59.904072302127659</v>
      </c>
      <c r="AA1309">
        <v>33.29578285477767</v>
      </c>
      <c r="AB1309">
        <v>66.184565072872587</v>
      </c>
      <c r="AC1309">
        <v>91.175239579015539</v>
      </c>
      <c r="AD1309">
        <v>101.276669</v>
      </c>
      <c r="AE1309">
        <v>61.823646770212768</v>
      </c>
      <c r="AF1309">
        <v>61.210455280851058</v>
      </c>
      <c r="AG1309">
        <v>94.096871703367881</v>
      </c>
      <c r="AH1309">
        <v>93.163581547927464</v>
      </c>
      <c r="AI1309">
        <v>34.362717575685913</v>
      </c>
      <c r="AJ1309">
        <v>68.305392529384108</v>
      </c>
      <c r="AK1309">
        <v>34.021894491485327</v>
      </c>
      <c r="AL1309">
        <v>67.627912510578284</v>
      </c>
      <c r="AM1309">
        <v>3.7649477807147109</v>
      </c>
      <c r="AN1309">
        <v>3.72760553292389</v>
      </c>
    </row>
    <row r="1310" spans="1:40" x14ac:dyDescent="0.25">
      <c r="A1310" s="1" t="s">
        <v>229</v>
      </c>
      <c r="B1310">
        <v>140338091840</v>
      </c>
      <c r="C1310" t="s">
        <v>70</v>
      </c>
      <c r="D1310" t="s">
        <v>105</v>
      </c>
      <c r="E1310">
        <v>38589000000</v>
      </c>
      <c r="F1310">
        <v>2350000000</v>
      </c>
      <c r="G1310">
        <v>4228000000</v>
      </c>
      <c r="H1310">
        <v>2127000000</v>
      </c>
      <c r="I1310">
        <v>1544000000</v>
      </c>
      <c r="J1310">
        <v>1390000000</v>
      </c>
      <c r="K1310">
        <v>5827000000</v>
      </c>
      <c r="L1310">
        <v>744000000</v>
      </c>
      <c r="M1310">
        <v>6571000000</v>
      </c>
      <c r="N1310">
        <v>12074000000</v>
      </c>
      <c r="O1310">
        <v>1795000000</v>
      </c>
      <c r="P1310">
        <v>184000000</v>
      </c>
      <c r="Q1310">
        <v>9457000000</v>
      </c>
      <c r="R1310">
        <v>9993000000</v>
      </c>
      <c r="S1310">
        <v>27100000000</v>
      </c>
      <c r="T1310">
        <v>0</v>
      </c>
      <c r="U1310">
        <v>1441000000</v>
      </c>
      <c r="V1310">
        <v>12499000000</v>
      </c>
      <c r="W1310">
        <v>143408091840</v>
      </c>
      <c r="X1310">
        <v>144849091840</v>
      </c>
      <c r="Y1310">
        <v>3.636738237321516</v>
      </c>
      <c r="Z1310">
        <v>59.718336953191489</v>
      </c>
      <c r="AA1310">
        <v>33.192547738883633</v>
      </c>
      <c r="AB1310">
        <v>65.97935676539727</v>
      </c>
      <c r="AC1310">
        <v>90.892546528497405</v>
      </c>
      <c r="AD1310">
        <v>100.962656</v>
      </c>
      <c r="AE1310">
        <v>61.637911421276598</v>
      </c>
      <c r="AF1310">
        <v>61.024719931914888</v>
      </c>
      <c r="AG1310">
        <v>93.814178652849748</v>
      </c>
      <c r="AH1310">
        <v>92.88088849740933</v>
      </c>
      <c r="AI1310">
        <v>34.259482459791862</v>
      </c>
      <c r="AJ1310">
        <v>68.100184221908791</v>
      </c>
      <c r="AK1310">
        <v>33.918659375591297</v>
      </c>
      <c r="AL1310">
        <v>67.422704203102967</v>
      </c>
      <c r="AM1310">
        <v>3.7536368353675922</v>
      </c>
      <c r="AN1310">
        <v>3.7162945875767708</v>
      </c>
    </row>
    <row r="1311" spans="1:40" x14ac:dyDescent="0.25">
      <c r="A1311" s="1" t="s">
        <v>228</v>
      </c>
      <c r="B1311">
        <v>137469807380</v>
      </c>
      <c r="C1311" t="s">
        <v>70</v>
      </c>
      <c r="D1311" t="s">
        <v>105</v>
      </c>
      <c r="E1311">
        <v>38589000000</v>
      </c>
      <c r="F1311">
        <v>2350000000</v>
      </c>
      <c r="G1311">
        <v>4228000000</v>
      </c>
      <c r="H1311">
        <v>2127000000</v>
      </c>
      <c r="I1311">
        <v>1544000000</v>
      </c>
      <c r="J1311">
        <v>1390000000</v>
      </c>
      <c r="K1311">
        <v>5827000000</v>
      </c>
      <c r="L1311">
        <v>744000000</v>
      </c>
      <c r="M1311">
        <v>6571000000</v>
      </c>
      <c r="N1311">
        <v>12074000000</v>
      </c>
      <c r="O1311">
        <v>1795000000</v>
      </c>
      <c r="P1311">
        <v>184000000</v>
      </c>
      <c r="Q1311">
        <v>9457000000</v>
      </c>
      <c r="R1311">
        <v>9993000000</v>
      </c>
      <c r="S1311">
        <v>27100000000</v>
      </c>
      <c r="T1311">
        <v>0</v>
      </c>
      <c r="U1311">
        <v>1441000000</v>
      </c>
      <c r="V1311">
        <v>12499000000</v>
      </c>
      <c r="W1311">
        <v>140539807380</v>
      </c>
      <c r="X1311">
        <v>141980807380</v>
      </c>
      <c r="Y1311">
        <v>3.562409167897588</v>
      </c>
      <c r="Z1311">
        <v>58.497790374468082</v>
      </c>
      <c r="AA1311">
        <v>32.514145548722801</v>
      </c>
      <c r="AB1311">
        <v>64.63084503055947</v>
      </c>
      <c r="AC1311">
        <v>89.034849339378241</v>
      </c>
      <c r="AD1311">
        <v>98.899141999999998</v>
      </c>
      <c r="AE1311">
        <v>60.417364842553191</v>
      </c>
      <c r="AF1311">
        <v>59.804173353191487</v>
      </c>
      <c r="AG1311">
        <v>91.956481463730569</v>
      </c>
      <c r="AH1311">
        <v>91.023191308290151</v>
      </c>
      <c r="AI1311">
        <v>33.58108026963103</v>
      </c>
      <c r="AJ1311">
        <v>66.751672487070991</v>
      </c>
      <c r="AK1311">
        <v>33.240257185430472</v>
      </c>
      <c r="AL1311">
        <v>66.074192468265167</v>
      </c>
      <c r="AM1311">
        <v>3.6793077659436628</v>
      </c>
      <c r="AN1311">
        <v>3.641965518152841</v>
      </c>
    </row>
    <row r="1312" spans="1:40" x14ac:dyDescent="0.25">
      <c r="A1312" s="1" t="s">
        <v>227</v>
      </c>
      <c r="B1312">
        <v>136638420579</v>
      </c>
      <c r="C1312" t="s">
        <v>70</v>
      </c>
      <c r="D1312" t="s">
        <v>105</v>
      </c>
      <c r="E1312">
        <v>38589000000</v>
      </c>
      <c r="F1312">
        <v>2350000000</v>
      </c>
      <c r="G1312">
        <v>4228000000</v>
      </c>
      <c r="H1312">
        <v>2127000000</v>
      </c>
      <c r="I1312">
        <v>1544000000</v>
      </c>
      <c r="J1312">
        <v>1390000000</v>
      </c>
      <c r="K1312">
        <v>5827000000</v>
      </c>
      <c r="L1312">
        <v>744000000</v>
      </c>
      <c r="M1312">
        <v>6571000000</v>
      </c>
      <c r="N1312">
        <v>12074000000</v>
      </c>
      <c r="O1312">
        <v>1795000000</v>
      </c>
      <c r="P1312">
        <v>184000000</v>
      </c>
      <c r="Q1312">
        <v>9457000000</v>
      </c>
      <c r="R1312">
        <v>9993000000</v>
      </c>
      <c r="S1312">
        <v>27100000000</v>
      </c>
      <c r="T1312">
        <v>0</v>
      </c>
      <c r="U1312">
        <v>1441000000</v>
      </c>
      <c r="V1312">
        <v>12499000000</v>
      </c>
      <c r="W1312">
        <v>139708420579</v>
      </c>
      <c r="X1312">
        <v>141149420579</v>
      </c>
      <c r="Y1312">
        <v>3.5408645100676361</v>
      </c>
      <c r="Z1312">
        <v>58.144008757021282</v>
      </c>
      <c r="AA1312">
        <v>32.317507232497633</v>
      </c>
      <c r="AB1312">
        <v>64.239972063469679</v>
      </c>
      <c r="AC1312">
        <v>88.496386385362698</v>
      </c>
      <c r="AD1312">
        <v>98.301021999280579</v>
      </c>
      <c r="AE1312">
        <v>60.063583225106377</v>
      </c>
      <c r="AF1312">
        <v>59.450391735744681</v>
      </c>
      <c r="AG1312">
        <v>91.418018509715026</v>
      </c>
      <c r="AH1312">
        <v>90.484728354274608</v>
      </c>
      <c r="AI1312">
        <v>33.384441953405869</v>
      </c>
      <c r="AJ1312">
        <v>66.3607995199812</v>
      </c>
      <c r="AK1312">
        <v>33.043618869205297</v>
      </c>
      <c r="AL1312">
        <v>65.683319501175362</v>
      </c>
      <c r="AM1312">
        <v>3.657763108113711</v>
      </c>
      <c r="AN1312">
        <v>3.62042086032289</v>
      </c>
    </row>
    <row r="1313" spans="1:40" x14ac:dyDescent="0.25">
      <c r="A1313" s="1" t="s">
        <v>226</v>
      </c>
      <c r="B1313">
        <v>133853274800</v>
      </c>
      <c r="C1313" t="s">
        <v>70</v>
      </c>
      <c r="D1313" t="s">
        <v>105</v>
      </c>
      <c r="E1313">
        <v>38589000000</v>
      </c>
      <c r="F1313">
        <v>2350000000</v>
      </c>
      <c r="G1313">
        <v>4228000000</v>
      </c>
      <c r="H1313">
        <v>2127000000</v>
      </c>
      <c r="I1313">
        <v>1544000000</v>
      </c>
      <c r="J1313">
        <v>1390000000</v>
      </c>
      <c r="K1313">
        <v>5827000000</v>
      </c>
      <c r="L1313">
        <v>744000000</v>
      </c>
      <c r="M1313">
        <v>6571000000</v>
      </c>
      <c r="N1313">
        <v>12074000000</v>
      </c>
      <c r="O1313">
        <v>1795000000</v>
      </c>
      <c r="P1313">
        <v>184000000</v>
      </c>
      <c r="Q1313">
        <v>9457000000</v>
      </c>
      <c r="R1313">
        <v>9993000000</v>
      </c>
      <c r="S1313">
        <v>27100000000</v>
      </c>
      <c r="T1313">
        <v>0</v>
      </c>
      <c r="U1313">
        <v>1441000000</v>
      </c>
      <c r="V1313">
        <v>12499000000</v>
      </c>
      <c r="W1313">
        <v>136923274800</v>
      </c>
      <c r="X1313">
        <v>138364274800</v>
      </c>
      <c r="Y1313">
        <v>3.4686899064500252</v>
      </c>
      <c r="Z1313">
        <v>56.958840340425532</v>
      </c>
      <c r="AA1313">
        <v>31.658768874172189</v>
      </c>
      <c r="AB1313">
        <v>62.930547625763992</v>
      </c>
      <c r="AC1313">
        <v>86.692535492227975</v>
      </c>
      <c r="AD1313">
        <v>96.297319999999999</v>
      </c>
      <c r="AE1313">
        <v>58.878414808510641</v>
      </c>
      <c r="AF1313">
        <v>58.265223319148937</v>
      </c>
      <c r="AG1313">
        <v>89.614167616580318</v>
      </c>
      <c r="AH1313">
        <v>88.6808774611399</v>
      </c>
      <c r="AI1313">
        <v>32.725703595080418</v>
      </c>
      <c r="AJ1313">
        <v>65.051375082275499</v>
      </c>
      <c r="AK1313">
        <v>32.384880510879853</v>
      </c>
      <c r="AL1313">
        <v>64.373895063469675</v>
      </c>
      <c r="AM1313">
        <v>3.5855885044961</v>
      </c>
      <c r="AN1313">
        <v>3.548246256705279</v>
      </c>
    </row>
    <row r="1314" spans="1:40" x14ac:dyDescent="0.25">
      <c r="A1314" s="1" t="s">
        <v>225</v>
      </c>
      <c r="B1314">
        <v>132523055920</v>
      </c>
      <c r="C1314" t="s">
        <v>70</v>
      </c>
      <c r="D1314" t="s">
        <v>105</v>
      </c>
      <c r="E1314">
        <v>38589000000</v>
      </c>
      <c r="F1314">
        <v>2350000000</v>
      </c>
      <c r="G1314">
        <v>4228000000</v>
      </c>
      <c r="H1314">
        <v>2127000000</v>
      </c>
      <c r="I1314">
        <v>1544000000</v>
      </c>
      <c r="J1314">
        <v>1390000000</v>
      </c>
      <c r="K1314">
        <v>5827000000</v>
      </c>
      <c r="L1314">
        <v>744000000</v>
      </c>
      <c r="M1314">
        <v>6571000000</v>
      </c>
      <c r="N1314">
        <v>12074000000</v>
      </c>
      <c r="O1314">
        <v>1795000000</v>
      </c>
      <c r="P1314">
        <v>184000000</v>
      </c>
      <c r="Q1314">
        <v>9457000000</v>
      </c>
      <c r="R1314">
        <v>9993000000</v>
      </c>
      <c r="S1314">
        <v>27100000000</v>
      </c>
      <c r="T1314">
        <v>0</v>
      </c>
      <c r="U1314">
        <v>1441000000</v>
      </c>
      <c r="V1314">
        <v>12499000000</v>
      </c>
      <c r="W1314">
        <v>135593055920</v>
      </c>
      <c r="X1314">
        <v>137034055920</v>
      </c>
      <c r="Y1314">
        <v>3.434218453963565</v>
      </c>
      <c r="Z1314">
        <v>56.392789753191487</v>
      </c>
      <c r="AA1314">
        <v>31.344147568590351</v>
      </c>
      <c r="AB1314">
        <v>62.305150879172537</v>
      </c>
      <c r="AC1314">
        <v>85.830994766839382</v>
      </c>
      <c r="AD1314">
        <v>95.340328</v>
      </c>
      <c r="AE1314">
        <v>58.312364221276603</v>
      </c>
      <c r="AF1314">
        <v>57.699172731914892</v>
      </c>
      <c r="AG1314">
        <v>88.75262689119171</v>
      </c>
      <c r="AH1314">
        <v>87.819336735751293</v>
      </c>
      <c r="AI1314">
        <v>32.41108228949858</v>
      </c>
      <c r="AJ1314">
        <v>64.425978335684064</v>
      </c>
      <c r="AK1314">
        <v>32.070259205298022</v>
      </c>
      <c r="AL1314">
        <v>63.748498316878234</v>
      </c>
      <c r="AM1314">
        <v>3.5511170520096398</v>
      </c>
      <c r="AN1314">
        <v>3.5137748042188188</v>
      </c>
    </row>
    <row r="1315" spans="1:40" x14ac:dyDescent="0.25">
      <c r="A1315" s="1" t="s">
        <v>224</v>
      </c>
      <c r="B1315">
        <v>131130483030</v>
      </c>
      <c r="C1315" t="s">
        <v>70</v>
      </c>
      <c r="D1315" t="s">
        <v>105</v>
      </c>
      <c r="E1315">
        <v>38589000000</v>
      </c>
      <c r="F1315">
        <v>2350000000</v>
      </c>
      <c r="G1315">
        <v>4228000000</v>
      </c>
      <c r="H1315">
        <v>2127000000</v>
      </c>
      <c r="I1315">
        <v>1544000000</v>
      </c>
      <c r="J1315">
        <v>1390000000</v>
      </c>
      <c r="K1315">
        <v>5827000000</v>
      </c>
      <c r="L1315">
        <v>744000000</v>
      </c>
      <c r="M1315">
        <v>6571000000</v>
      </c>
      <c r="N1315">
        <v>12074000000</v>
      </c>
      <c r="O1315">
        <v>1795000000</v>
      </c>
      <c r="P1315">
        <v>184000000</v>
      </c>
      <c r="Q1315">
        <v>9457000000</v>
      </c>
      <c r="R1315">
        <v>9993000000</v>
      </c>
      <c r="S1315">
        <v>27100000000</v>
      </c>
      <c r="T1315">
        <v>0</v>
      </c>
      <c r="U1315">
        <v>1441000000</v>
      </c>
      <c r="V1315">
        <v>12499000000</v>
      </c>
      <c r="W1315">
        <v>134200483030</v>
      </c>
      <c r="X1315">
        <v>135641483030</v>
      </c>
      <c r="Y1315">
        <v>3.3981311521418021</v>
      </c>
      <c r="Z1315">
        <v>55.80020554468085</v>
      </c>
      <c r="AA1315">
        <v>31.01477838930937</v>
      </c>
      <c r="AB1315">
        <v>61.650438660084617</v>
      </c>
      <c r="AC1315">
        <v>84.929069319948184</v>
      </c>
      <c r="AD1315">
        <v>94.338476999999997</v>
      </c>
      <c r="AE1315">
        <v>57.719780012765959</v>
      </c>
      <c r="AF1315">
        <v>57.106588523404263</v>
      </c>
      <c r="AG1315">
        <v>87.850701444300512</v>
      </c>
      <c r="AH1315">
        <v>86.917411288860109</v>
      </c>
      <c r="AI1315">
        <v>32.081713110217599</v>
      </c>
      <c r="AJ1315">
        <v>63.771266116596138</v>
      </c>
      <c r="AK1315">
        <v>31.740890026017031</v>
      </c>
      <c r="AL1315">
        <v>63.093786097790307</v>
      </c>
      <c r="AM1315">
        <v>3.5150297501878769</v>
      </c>
      <c r="AN1315">
        <v>3.4776875023970559</v>
      </c>
    </row>
    <row r="1316" spans="1:40" x14ac:dyDescent="0.25">
      <c r="A1316" s="1" t="s">
        <v>223</v>
      </c>
      <c r="B1316">
        <v>133998767490</v>
      </c>
      <c r="C1316" t="s">
        <v>70</v>
      </c>
      <c r="D1316" t="s">
        <v>105</v>
      </c>
      <c r="E1316">
        <v>38589000000</v>
      </c>
      <c r="F1316">
        <v>2350000000</v>
      </c>
      <c r="G1316">
        <v>4228000000</v>
      </c>
      <c r="H1316">
        <v>2127000000</v>
      </c>
      <c r="I1316">
        <v>1544000000</v>
      </c>
      <c r="J1316">
        <v>1390000000</v>
      </c>
      <c r="K1316">
        <v>5827000000</v>
      </c>
      <c r="L1316">
        <v>744000000</v>
      </c>
      <c r="M1316">
        <v>6571000000</v>
      </c>
      <c r="N1316">
        <v>12074000000</v>
      </c>
      <c r="O1316">
        <v>1795000000</v>
      </c>
      <c r="P1316">
        <v>184000000</v>
      </c>
      <c r="Q1316">
        <v>9457000000</v>
      </c>
      <c r="R1316">
        <v>9993000000</v>
      </c>
      <c r="S1316">
        <v>27100000000</v>
      </c>
      <c r="T1316">
        <v>0</v>
      </c>
      <c r="U1316">
        <v>1441000000</v>
      </c>
      <c r="V1316">
        <v>12499000000</v>
      </c>
      <c r="W1316">
        <v>137068767490</v>
      </c>
      <c r="X1316">
        <v>138509767490</v>
      </c>
      <c r="Y1316">
        <v>3.472460221565731</v>
      </c>
      <c r="Z1316">
        <v>57.020752123404257</v>
      </c>
      <c r="AA1316">
        <v>31.693180579470202</v>
      </c>
      <c r="AB1316">
        <v>62.998950394922417</v>
      </c>
      <c r="AC1316">
        <v>86.786766509067363</v>
      </c>
      <c r="AD1316">
        <v>96.401990999999995</v>
      </c>
      <c r="AE1316">
        <v>58.940326591489359</v>
      </c>
      <c r="AF1316">
        <v>58.327135102127663</v>
      </c>
      <c r="AG1316">
        <v>89.708398633419691</v>
      </c>
      <c r="AH1316">
        <v>88.775108477979273</v>
      </c>
      <c r="AI1316">
        <v>32.76011530037843</v>
      </c>
      <c r="AJ1316">
        <v>65.119777851433938</v>
      </c>
      <c r="AK1316">
        <v>32.419292216177872</v>
      </c>
      <c r="AL1316">
        <v>64.442297832628114</v>
      </c>
      <c r="AM1316">
        <v>3.5893588196118071</v>
      </c>
      <c r="AN1316">
        <v>3.5520165718209848</v>
      </c>
    </row>
    <row r="1317" spans="1:40" x14ac:dyDescent="0.25">
      <c r="A1317" s="1" t="s">
        <v>222</v>
      </c>
      <c r="B1317">
        <v>126828056340</v>
      </c>
      <c r="C1317" t="s">
        <v>70</v>
      </c>
      <c r="D1317" t="s">
        <v>105</v>
      </c>
      <c r="E1317">
        <v>38589000000</v>
      </c>
      <c r="F1317">
        <v>2350000000</v>
      </c>
      <c r="G1317">
        <v>4228000000</v>
      </c>
      <c r="H1317">
        <v>2127000000</v>
      </c>
      <c r="I1317">
        <v>1544000000</v>
      </c>
      <c r="J1317">
        <v>1390000000</v>
      </c>
      <c r="K1317">
        <v>5827000000</v>
      </c>
      <c r="L1317">
        <v>744000000</v>
      </c>
      <c r="M1317">
        <v>6571000000</v>
      </c>
      <c r="N1317">
        <v>12074000000</v>
      </c>
      <c r="O1317">
        <v>1795000000</v>
      </c>
      <c r="P1317">
        <v>184000000</v>
      </c>
      <c r="Q1317">
        <v>9457000000</v>
      </c>
      <c r="R1317">
        <v>9993000000</v>
      </c>
      <c r="S1317">
        <v>27100000000</v>
      </c>
      <c r="T1317">
        <v>0</v>
      </c>
      <c r="U1317">
        <v>1441000000</v>
      </c>
      <c r="V1317">
        <v>12499000000</v>
      </c>
      <c r="W1317">
        <v>129898056340</v>
      </c>
      <c r="X1317">
        <v>131339056340</v>
      </c>
      <c r="Y1317">
        <v>3.286637548005908</v>
      </c>
      <c r="Z1317">
        <v>53.969385676595742</v>
      </c>
      <c r="AA1317">
        <v>29.99717510406812</v>
      </c>
      <c r="AB1317">
        <v>59.627671057827918</v>
      </c>
      <c r="AC1317">
        <v>82.142523536269437</v>
      </c>
      <c r="AD1317">
        <v>91.243206000000001</v>
      </c>
      <c r="AE1317">
        <v>55.888960144680851</v>
      </c>
      <c r="AF1317">
        <v>55.275768655319148</v>
      </c>
      <c r="AG1317">
        <v>85.064155660621765</v>
      </c>
      <c r="AH1317">
        <v>84.130865505181347</v>
      </c>
      <c r="AI1317">
        <v>31.064109824976349</v>
      </c>
      <c r="AJ1317">
        <v>61.748498514339452</v>
      </c>
      <c r="AK1317">
        <v>30.72328674077578</v>
      </c>
      <c r="AL1317">
        <v>61.071018495533608</v>
      </c>
      <c r="AM1317">
        <v>3.4035361460519842</v>
      </c>
      <c r="AN1317">
        <v>3.3661938982611619</v>
      </c>
    </row>
    <row r="1318" spans="1:40" x14ac:dyDescent="0.25">
      <c r="A1318" s="1" t="s">
        <v>221</v>
      </c>
      <c r="B1318">
        <v>123417698200</v>
      </c>
      <c r="C1318" t="s">
        <v>70</v>
      </c>
      <c r="D1318" t="s">
        <v>105</v>
      </c>
      <c r="E1318">
        <v>38589000000</v>
      </c>
      <c r="F1318">
        <v>2350000000</v>
      </c>
      <c r="G1318">
        <v>4228000000</v>
      </c>
      <c r="H1318">
        <v>2127000000</v>
      </c>
      <c r="I1318">
        <v>1544000000</v>
      </c>
      <c r="J1318">
        <v>1390000000</v>
      </c>
      <c r="K1318">
        <v>5827000000</v>
      </c>
      <c r="L1318">
        <v>744000000</v>
      </c>
      <c r="M1318">
        <v>6571000000</v>
      </c>
      <c r="N1318">
        <v>12074000000</v>
      </c>
      <c r="O1318">
        <v>1795000000</v>
      </c>
      <c r="P1318">
        <v>184000000</v>
      </c>
      <c r="Q1318">
        <v>9457000000</v>
      </c>
      <c r="R1318">
        <v>9993000000</v>
      </c>
      <c r="S1318">
        <v>27100000000</v>
      </c>
      <c r="T1318">
        <v>0</v>
      </c>
      <c r="U1318">
        <v>1441000000</v>
      </c>
      <c r="V1318">
        <v>12499000000</v>
      </c>
      <c r="W1318">
        <v>126487698200</v>
      </c>
      <c r="X1318">
        <v>127928698200</v>
      </c>
      <c r="Y1318">
        <v>3.1982611158620329</v>
      </c>
      <c r="Z1318">
        <v>52.518169446808507</v>
      </c>
      <c r="AA1318">
        <v>29.190562488174081</v>
      </c>
      <c r="AB1318">
        <v>58.024305688763519</v>
      </c>
      <c r="AC1318">
        <v>79.933742357512955</v>
      </c>
      <c r="AD1318">
        <v>88.789710935251804</v>
      </c>
      <c r="AE1318">
        <v>54.437743914893623</v>
      </c>
      <c r="AF1318">
        <v>53.824552425531913</v>
      </c>
      <c r="AG1318">
        <v>82.855374481865283</v>
      </c>
      <c r="AH1318">
        <v>81.922084326424866</v>
      </c>
      <c r="AI1318">
        <v>30.25749720908231</v>
      </c>
      <c r="AJ1318">
        <v>60.145133145275032</v>
      </c>
      <c r="AK1318">
        <v>29.916674124881741</v>
      </c>
      <c r="AL1318">
        <v>59.467653126469209</v>
      </c>
      <c r="AM1318">
        <v>3.315159713908109</v>
      </c>
      <c r="AN1318">
        <v>3.2778174661172872</v>
      </c>
    </row>
    <row r="1319" spans="1:40" x14ac:dyDescent="0.25">
      <c r="A1319" s="1" t="s">
        <v>220</v>
      </c>
      <c r="B1319">
        <v>122350686341</v>
      </c>
      <c r="C1319" t="s">
        <v>70</v>
      </c>
      <c r="D1319" t="s">
        <v>105</v>
      </c>
      <c r="E1319">
        <v>38589000000</v>
      </c>
      <c r="F1319">
        <v>2350000000</v>
      </c>
      <c r="G1319">
        <v>4228000000</v>
      </c>
      <c r="H1319">
        <v>2127000000</v>
      </c>
      <c r="I1319">
        <v>1544000000</v>
      </c>
      <c r="J1319">
        <v>1390000000</v>
      </c>
      <c r="K1319">
        <v>5827000000</v>
      </c>
      <c r="L1319">
        <v>744000000</v>
      </c>
      <c r="M1319">
        <v>6571000000</v>
      </c>
      <c r="N1319">
        <v>12074000000</v>
      </c>
      <c r="O1319">
        <v>1795000000</v>
      </c>
      <c r="P1319">
        <v>184000000</v>
      </c>
      <c r="Q1319">
        <v>9457000000</v>
      </c>
      <c r="R1319">
        <v>9993000000</v>
      </c>
      <c r="S1319">
        <v>27100000000</v>
      </c>
      <c r="T1319">
        <v>0</v>
      </c>
      <c r="U1319">
        <v>1441000000</v>
      </c>
      <c r="V1319">
        <v>12499000000</v>
      </c>
      <c r="W1319">
        <v>125420686341</v>
      </c>
      <c r="X1319">
        <v>126861686341</v>
      </c>
      <c r="Y1319">
        <v>3.1706104418616698</v>
      </c>
      <c r="Z1319">
        <v>52.064121847234041</v>
      </c>
      <c r="AA1319">
        <v>28.93819449881741</v>
      </c>
      <c r="AB1319">
        <v>57.52265460319699</v>
      </c>
      <c r="AC1319">
        <v>79.242672500647672</v>
      </c>
      <c r="AD1319">
        <v>88.022076504316544</v>
      </c>
      <c r="AE1319">
        <v>53.98369631531915</v>
      </c>
      <c r="AF1319">
        <v>53.370504825957447</v>
      </c>
      <c r="AG1319">
        <v>82.164304625</v>
      </c>
      <c r="AH1319">
        <v>81.231014469559582</v>
      </c>
      <c r="AI1319">
        <v>30.005129219725639</v>
      </c>
      <c r="AJ1319">
        <v>59.643482059708511</v>
      </c>
      <c r="AK1319">
        <v>29.66430613552507</v>
      </c>
      <c r="AL1319">
        <v>58.96600204090268</v>
      </c>
      <c r="AM1319">
        <v>3.287509039907746</v>
      </c>
      <c r="AN1319">
        <v>3.2501667921169251</v>
      </c>
    </row>
    <row r="1320" spans="1:40" x14ac:dyDescent="0.25">
      <c r="A1320" s="1" t="s">
        <v>114</v>
      </c>
      <c r="B1320">
        <v>135719716535</v>
      </c>
      <c r="C1320" t="s">
        <v>69</v>
      </c>
      <c r="D1320" t="s">
        <v>105</v>
      </c>
      <c r="E1320">
        <v>40059000000</v>
      </c>
      <c r="F1320">
        <v>2939000000</v>
      </c>
      <c r="G1320">
        <v>4809000000</v>
      </c>
      <c r="H1320">
        <v>2667000000</v>
      </c>
      <c r="I1320">
        <v>2160000000</v>
      </c>
      <c r="J1320">
        <v>2011000000</v>
      </c>
      <c r="K1320">
        <v>5273000000</v>
      </c>
      <c r="L1320">
        <v>1795000000</v>
      </c>
      <c r="M1320">
        <v>7068000000</v>
      </c>
      <c r="N1320">
        <v>12483000000</v>
      </c>
      <c r="O1320">
        <v>1043000000</v>
      </c>
      <c r="P1320">
        <v>351000000</v>
      </c>
      <c r="Q1320">
        <v>9454000000</v>
      </c>
      <c r="R1320">
        <v>10318000000</v>
      </c>
      <c r="S1320">
        <v>27731000000</v>
      </c>
      <c r="T1320">
        <v>0</v>
      </c>
      <c r="U1320">
        <v>1433000000</v>
      </c>
      <c r="V1320">
        <v>13783000000</v>
      </c>
      <c r="W1320">
        <v>138456716535</v>
      </c>
      <c r="X1320">
        <v>139889716535</v>
      </c>
      <c r="Y1320">
        <v>3.3879956198357419</v>
      </c>
      <c r="Z1320">
        <v>46.178875990132703</v>
      </c>
      <c r="AA1320">
        <v>28.222024648575591</v>
      </c>
      <c r="AB1320">
        <v>50.888532634045752</v>
      </c>
      <c r="AC1320">
        <v>62.83320209953704</v>
      </c>
      <c r="AD1320">
        <v>67.488670579313776</v>
      </c>
      <c r="AE1320">
        <v>47.597725939094929</v>
      </c>
      <c r="AF1320">
        <v>47.110145129295681</v>
      </c>
      <c r="AG1320">
        <v>64.76375765509259</v>
      </c>
      <c r="AH1320">
        <v>64.100331729166669</v>
      </c>
      <c r="AI1320">
        <v>29.089148790808899</v>
      </c>
      <c r="AJ1320">
        <v>52.452087189726292</v>
      </c>
      <c r="AK1320">
        <v>28.79116584217093</v>
      </c>
      <c r="AL1320">
        <v>51.914779353205851</v>
      </c>
      <c r="AM1320">
        <v>3.4920920775605979</v>
      </c>
      <c r="AN1320">
        <v>3.4563198416086269</v>
      </c>
    </row>
    <row r="1321" spans="1:40" x14ac:dyDescent="0.25">
      <c r="A1321" s="1" t="s">
        <v>116</v>
      </c>
      <c r="B1321">
        <v>137121477134</v>
      </c>
      <c r="C1321" t="s">
        <v>69</v>
      </c>
      <c r="D1321" t="s">
        <v>105</v>
      </c>
      <c r="E1321">
        <v>40059000000</v>
      </c>
      <c r="F1321">
        <v>2939000000</v>
      </c>
      <c r="G1321">
        <v>4809000000</v>
      </c>
      <c r="H1321">
        <v>2667000000</v>
      </c>
      <c r="I1321">
        <v>2160000000</v>
      </c>
      <c r="J1321">
        <v>2011000000</v>
      </c>
      <c r="K1321">
        <v>5273000000</v>
      </c>
      <c r="L1321">
        <v>1795000000</v>
      </c>
      <c r="M1321">
        <v>7068000000</v>
      </c>
      <c r="N1321">
        <v>12483000000</v>
      </c>
      <c r="O1321">
        <v>1043000000</v>
      </c>
      <c r="P1321">
        <v>351000000</v>
      </c>
      <c r="Q1321">
        <v>9454000000</v>
      </c>
      <c r="R1321">
        <v>10318000000</v>
      </c>
      <c r="S1321">
        <v>27731000000</v>
      </c>
      <c r="T1321">
        <v>0</v>
      </c>
      <c r="U1321">
        <v>1433000000</v>
      </c>
      <c r="V1321">
        <v>13783000000</v>
      </c>
      <c r="W1321">
        <v>139858477134</v>
      </c>
      <c r="X1321">
        <v>141291477134</v>
      </c>
      <c r="Y1321">
        <v>3.4229880210189969</v>
      </c>
      <c r="Z1321">
        <v>46.655827537938073</v>
      </c>
      <c r="AA1321">
        <v>28.51351156872531</v>
      </c>
      <c r="AB1321">
        <v>51.414127159355083</v>
      </c>
      <c r="AC1321">
        <v>63.482165339814813</v>
      </c>
      <c r="AD1321">
        <v>68.185717122824471</v>
      </c>
      <c r="AE1321">
        <v>48.074677486900313</v>
      </c>
      <c r="AF1321">
        <v>47.587096677101052</v>
      </c>
      <c r="AG1321">
        <v>65.41272089537037</v>
      </c>
      <c r="AH1321">
        <v>64.749294969444449</v>
      </c>
      <c r="AI1321">
        <v>29.380635710958622</v>
      </c>
      <c r="AJ1321">
        <v>52.977681715035622</v>
      </c>
      <c r="AK1321">
        <v>29.082652762320649</v>
      </c>
      <c r="AL1321">
        <v>52.440373878515189</v>
      </c>
      <c r="AM1321">
        <v>3.5270844787438529</v>
      </c>
      <c r="AN1321">
        <v>3.4913122427918819</v>
      </c>
    </row>
    <row r="1322" spans="1:40" x14ac:dyDescent="0.25">
      <c r="A1322" s="1" t="s">
        <v>219</v>
      </c>
      <c r="B1322">
        <v>144381341730</v>
      </c>
      <c r="C1322" t="s">
        <v>69</v>
      </c>
      <c r="D1322" t="s">
        <v>105</v>
      </c>
      <c r="E1322">
        <v>40059000000</v>
      </c>
      <c r="F1322">
        <v>2939000000</v>
      </c>
      <c r="G1322">
        <v>4809000000</v>
      </c>
      <c r="H1322">
        <v>2667000000</v>
      </c>
      <c r="I1322">
        <v>2160000000</v>
      </c>
      <c r="J1322">
        <v>2011000000</v>
      </c>
      <c r="K1322">
        <v>5273000000</v>
      </c>
      <c r="L1322">
        <v>1795000000</v>
      </c>
      <c r="M1322">
        <v>7068000000</v>
      </c>
      <c r="N1322">
        <v>12483000000</v>
      </c>
      <c r="O1322">
        <v>1043000000</v>
      </c>
      <c r="P1322">
        <v>351000000</v>
      </c>
      <c r="Q1322">
        <v>9454000000</v>
      </c>
      <c r="R1322">
        <v>10318000000</v>
      </c>
      <c r="S1322">
        <v>27731000000</v>
      </c>
      <c r="T1322">
        <v>0</v>
      </c>
      <c r="U1322">
        <v>1433000000</v>
      </c>
      <c r="V1322">
        <v>13783000000</v>
      </c>
      <c r="W1322">
        <v>147118341730</v>
      </c>
      <c r="X1322">
        <v>148551341730</v>
      </c>
      <c r="Y1322">
        <v>3.6042173226990188</v>
      </c>
      <c r="Z1322">
        <v>49.126009435182027</v>
      </c>
      <c r="AA1322">
        <v>30.023152782283219</v>
      </c>
      <c r="AB1322">
        <v>54.136236119235093</v>
      </c>
      <c r="AC1322">
        <v>66.843213763888883</v>
      </c>
      <c r="AD1322">
        <v>71.795793998010936</v>
      </c>
      <c r="AE1322">
        <v>50.544859384144267</v>
      </c>
      <c r="AF1322">
        <v>50.057278574345013</v>
      </c>
      <c r="AG1322">
        <v>68.77376931944444</v>
      </c>
      <c r="AH1322">
        <v>68.110343393518519</v>
      </c>
      <c r="AI1322">
        <v>30.890276924516531</v>
      </c>
      <c r="AJ1322">
        <v>55.699790674915633</v>
      </c>
      <c r="AK1322">
        <v>30.592293975878562</v>
      </c>
      <c r="AL1322">
        <v>55.162482838395199</v>
      </c>
      <c r="AM1322">
        <v>3.7083137804238748</v>
      </c>
      <c r="AN1322">
        <v>3.6725415444719038</v>
      </c>
    </row>
    <row r="1323" spans="1:40" x14ac:dyDescent="0.25">
      <c r="A1323" s="1" t="s">
        <v>218</v>
      </c>
      <c r="B1323">
        <v>143398017131</v>
      </c>
      <c r="C1323" t="s">
        <v>69</v>
      </c>
      <c r="D1323" t="s">
        <v>105</v>
      </c>
      <c r="E1323">
        <v>40059000000</v>
      </c>
      <c r="F1323">
        <v>2939000000</v>
      </c>
      <c r="G1323">
        <v>4809000000</v>
      </c>
      <c r="H1323">
        <v>2667000000</v>
      </c>
      <c r="I1323">
        <v>2160000000</v>
      </c>
      <c r="J1323">
        <v>2011000000</v>
      </c>
      <c r="K1323">
        <v>5273000000</v>
      </c>
      <c r="L1323">
        <v>1795000000</v>
      </c>
      <c r="M1323">
        <v>7068000000</v>
      </c>
      <c r="N1323">
        <v>12483000000</v>
      </c>
      <c r="O1323">
        <v>1043000000</v>
      </c>
      <c r="P1323">
        <v>351000000</v>
      </c>
      <c r="Q1323">
        <v>9454000000</v>
      </c>
      <c r="R1323">
        <v>10318000000</v>
      </c>
      <c r="S1323">
        <v>27731000000</v>
      </c>
      <c r="T1323">
        <v>0</v>
      </c>
      <c r="U1323">
        <v>1433000000</v>
      </c>
      <c r="V1323">
        <v>13783000000</v>
      </c>
      <c r="W1323">
        <v>146135017131</v>
      </c>
      <c r="X1323">
        <v>147568017131</v>
      </c>
      <c r="Y1323">
        <v>3.5796704144137399</v>
      </c>
      <c r="Z1323">
        <v>48.791431483838039</v>
      </c>
      <c r="AA1323">
        <v>29.81867688313579</v>
      </c>
      <c r="AB1323">
        <v>53.767535482189729</v>
      </c>
      <c r="AC1323">
        <v>66.387970893981475</v>
      </c>
      <c r="AD1323">
        <v>71.306821049726508</v>
      </c>
      <c r="AE1323">
        <v>50.210281432800272</v>
      </c>
      <c r="AF1323">
        <v>49.722700623001018</v>
      </c>
      <c r="AG1323">
        <v>68.318526449537032</v>
      </c>
      <c r="AH1323">
        <v>67.655100523611111</v>
      </c>
      <c r="AI1323">
        <v>30.685801025369098</v>
      </c>
      <c r="AJ1323">
        <v>55.331090037870268</v>
      </c>
      <c r="AK1323">
        <v>30.387818076731129</v>
      </c>
      <c r="AL1323">
        <v>54.793782201349828</v>
      </c>
      <c r="AM1323">
        <v>3.683766872138595</v>
      </c>
      <c r="AN1323">
        <v>3.6479946361866249</v>
      </c>
    </row>
    <row r="1324" spans="1:40" x14ac:dyDescent="0.25">
      <c r="A1324" s="1" t="s">
        <v>217</v>
      </c>
      <c r="B1324">
        <v>144904386730</v>
      </c>
      <c r="C1324" t="s">
        <v>69</v>
      </c>
      <c r="D1324" t="s">
        <v>105</v>
      </c>
      <c r="E1324">
        <v>40059000000</v>
      </c>
      <c r="F1324">
        <v>2939000000</v>
      </c>
      <c r="G1324">
        <v>4809000000</v>
      </c>
      <c r="H1324">
        <v>2667000000</v>
      </c>
      <c r="I1324">
        <v>2160000000</v>
      </c>
      <c r="J1324">
        <v>2011000000</v>
      </c>
      <c r="K1324">
        <v>5273000000</v>
      </c>
      <c r="L1324">
        <v>1795000000</v>
      </c>
      <c r="M1324">
        <v>7068000000</v>
      </c>
      <c r="N1324">
        <v>12483000000</v>
      </c>
      <c r="O1324">
        <v>1043000000</v>
      </c>
      <c r="P1324">
        <v>351000000</v>
      </c>
      <c r="Q1324">
        <v>9454000000</v>
      </c>
      <c r="R1324">
        <v>10318000000</v>
      </c>
      <c r="S1324">
        <v>27731000000</v>
      </c>
      <c r="T1324">
        <v>0</v>
      </c>
      <c r="U1324">
        <v>1433000000</v>
      </c>
      <c r="V1324">
        <v>13783000000</v>
      </c>
      <c r="W1324">
        <v>147641386730</v>
      </c>
      <c r="X1324">
        <v>149074386730</v>
      </c>
      <c r="Y1324">
        <v>3.6172741888214879</v>
      </c>
      <c r="Z1324">
        <v>49.303976430758759</v>
      </c>
      <c r="AA1324">
        <v>30.13191655853608</v>
      </c>
      <c r="AB1324">
        <v>54.332353479565057</v>
      </c>
      <c r="AC1324">
        <v>67.085364226851851</v>
      </c>
      <c r="AD1324">
        <v>72.055885992043756</v>
      </c>
      <c r="AE1324">
        <v>50.722826379720992</v>
      </c>
      <c r="AF1324">
        <v>50.235245569921737</v>
      </c>
      <c r="AG1324">
        <v>69.015919782407408</v>
      </c>
      <c r="AH1324">
        <v>68.352493856481487</v>
      </c>
      <c r="AI1324">
        <v>30.999040700769392</v>
      </c>
      <c r="AJ1324">
        <v>55.895908035245597</v>
      </c>
      <c r="AK1324">
        <v>30.701057752131419</v>
      </c>
      <c r="AL1324">
        <v>55.358600198725163</v>
      </c>
      <c r="AM1324">
        <v>3.7213706465463439</v>
      </c>
      <c r="AN1324">
        <v>3.6855984105943729</v>
      </c>
    </row>
    <row r="1325" spans="1:40" x14ac:dyDescent="0.25">
      <c r="A1325" s="1" t="s">
        <v>216</v>
      </c>
      <c r="B1325">
        <v>148670310728</v>
      </c>
      <c r="C1325" t="s">
        <v>69</v>
      </c>
      <c r="D1325" t="s">
        <v>105</v>
      </c>
      <c r="E1325">
        <v>40059000000</v>
      </c>
      <c r="F1325">
        <v>2939000000</v>
      </c>
      <c r="G1325">
        <v>4809000000</v>
      </c>
      <c r="H1325">
        <v>2667000000</v>
      </c>
      <c r="I1325">
        <v>2160000000</v>
      </c>
      <c r="J1325">
        <v>2011000000</v>
      </c>
      <c r="K1325">
        <v>5273000000</v>
      </c>
      <c r="L1325">
        <v>1795000000</v>
      </c>
      <c r="M1325">
        <v>7068000000</v>
      </c>
      <c r="N1325">
        <v>12483000000</v>
      </c>
      <c r="O1325">
        <v>1043000000</v>
      </c>
      <c r="P1325">
        <v>351000000</v>
      </c>
      <c r="Q1325">
        <v>9454000000</v>
      </c>
      <c r="R1325">
        <v>10318000000</v>
      </c>
      <c r="S1325">
        <v>27731000000</v>
      </c>
      <c r="T1325">
        <v>0</v>
      </c>
      <c r="U1325">
        <v>1433000000</v>
      </c>
      <c r="V1325">
        <v>13783000000</v>
      </c>
      <c r="W1325">
        <v>151407310728</v>
      </c>
      <c r="X1325">
        <v>152840310728</v>
      </c>
      <c r="Y1325">
        <v>3.711283624853341</v>
      </c>
      <c r="Z1325">
        <v>50.585338798230687</v>
      </c>
      <c r="AA1325">
        <v>30.915015747140782</v>
      </c>
      <c r="AB1325">
        <v>55.744398473190849</v>
      </c>
      <c r="AC1325">
        <v>68.828847559259259</v>
      </c>
      <c r="AD1325">
        <v>73.928548348085528</v>
      </c>
      <c r="AE1325">
        <v>52.00418874719292</v>
      </c>
      <c r="AF1325">
        <v>51.516607937393673</v>
      </c>
      <c r="AG1325">
        <v>70.759403114814816</v>
      </c>
      <c r="AH1325">
        <v>70.095977188888895</v>
      </c>
      <c r="AI1325">
        <v>31.78213988937409</v>
      </c>
      <c r="AJ1325">
        <v>57.307953028871388</v>
      </c>
      <c r="AK1325">
        <v>31.484156940736121</v>
      </c>
      <c r="AL1325">
        <v>56.770645192350948</v>
      </c>
      <c r="AM1325">
        <v>3.8153800825781969</v>
      </c>
      <c r="AN1325">
        <v>3.779607846626226</v>
      </c>
    </row>
    <row r="1326" spans="1:40" x14ac:dyDescent="0.25">
      <c r="A1326" s="1" t="s">
        <v>215</v>
      </c>
      <c r="B1326">
        <v>150490507328</v>
      </c>
      <c r="C1326" t="s">
        <v>69</v>
      </c>
      <c r="D1326" t="s">
        <v>105</v>
      </c>
      <c r="E1326">
        <v>40059000000</v>
      </c>
      <c r="F1326">
        <v>2939000000</v>
      </c>
      <c r="G1326">
        <v>4809000000</v>
      </c>
      <c r="H1326">
        <v>2667000000</v>
      </c>
      <c r="I1326">
        <v>2160000000</v>
      </c>
      <c r="J1326">
        <v>2011000000</v>
      </c>
      <c r="K1326">
        <v>5273000000</v>
      </c>
      <c r="L1326">
        <v>1795000000</v>
      </c>
      <c r="M1326">
        <v>7068000000</v>
      </c>
      <c r="N1326">
        <v>12483000000</v>
      </c>
      <c r="O1326">
        <v>1043000000</v>
      </c>
      <c r="P1326">
        <v>351000000</v>
      </c>
      <c r="Q1326">
        <v>9454000000</v>
      </c>
      <c r="R1326">
        <v>10318000000</v>
      </c>
      <c r="S1326">
        <v>27731000000</v>
      </c>
      <c r="T1326">
        <v>0</v>
      </c>
      <c r="U1326">
        <v>1433000000</v>
      </c>
      <c r="V1326">
        <v>13783000000</v>
      </c>
      <c r="W1326">
        <v>153227507328</v>
      </c>
      <c r="X1326">
        <v>154660507328</v>
      </c>
      <c r="Y1326">
        <v>3.7567215189595351</v>
      </c>
      <c r="Z1326">
        <v>51.204663942837698</v>
      </c>
      <c r="AA1326">
        <v>31.293513688500731</v>
      </c>
      <c r="AB1326">
        <v>56.426886887139098</v>
      </c>
      <c r="AC1326">
        <v>69.671531170370372</v>
      </c>
      <c r="AD1326">
        <v>74.833668487319741</v>
      </c>
      <c r="AE1326">
        <v>52.623513891799931</v>
      </c>
      <c r="AF1326">
        <v>52.135933082000683</v>
      </c>
      <c r="AG1326">
        <v>71.602086725925929</v>
      </c>
      <c r="AH1326">
        <v>70.938660799999994</v>
      </c>
      <c r="AI1326">
        <v>32.160637830734039</v>
      </c>
      <c r="AJ1326">
        <v>57.990441442819638</v>
      </c>
      <c r="AK1326">
        <v>31.86265488209607</v>
      </c>
      <c r="AL1326">
        <v>57.453133606299211</v>
      </c>
      <c r="AM1326">
        <v>3.8608179766843911</v>
      </c>
      <c r="AN1326">
        <v>3.8250457407324201</v>
      </c>
    </row>
    <row r="1327" spans="1:40" x14ac:dyDescent="0.25">
      <c r="A1327" s="1" t="s">
        <v>214</v>
      </c>
      <c r="B1327">
        <v>152164251327</v>
      </c>
      <c r="C1327" t="s">
        <v>69</v>
      </c>
      <c r="D1327" t="s">
        <v>105</v>
      </c>
      <c r="E1327">
        <v>40059000000</v>
      </c>
      <c r="F1327">
        <v>2939000000</v>
      </c>
      <c r="G1327">
        <v>4809000000</v>
      </c>
      <c r="H1327">
        <v>2667000000</v>
      </c>
      <c r="I1327">
        <v>2160000000</v>
      </c>
      <c r="J1327">
        <v>2011000000</v>
      </c>
      <c r="K1327">
        <v>5273000000</v>
      </c>
      <c r="L1327">
        <v>1795000000</v>
      </c>
      <c r="M1327">
        <v>7068000000</v>
      </c>
      <c r="N1327">
        <v>12483000000</v>
      </c>
      <c r="O1327">
        <v>1043000000</v>
      </c>
      <c r="P1327">
        <v>351000000</v>
      </c>
      <c r="Q1327">
        <v>9454000000</v>
      </c>
      <c r="R1327">
        <v>10318000000</v>
      </c>
      <c r="S1327">
        <v>27731000000</v>
      </c>
      <c r="T1327">
        <v>0</v>
      </c>
      <c r="U1327">
        <v>1433000000</v>
      </c>
      <c r="V1327">
        <v>13783000000</v>
      </c>
      <c r="W1327">
        <v>154901251327</v>
      </c>
      <c r="X1327">
        <v>156334251327</v>
      </c>
      <c r="Y1327">
        <v>3.798503490526473</v>
      </c>
      <c r="Z1327">
        <v>51.77415832834297</v>
      </c>
      <c r="AA1327">
        <v>31.64155777230193</v>
      </c>
      <c r="AB1327">
        <v>57.054462439820021</v>
      </c>
      <c r="AC1327">
        <v>70.446412651388883</v>
      </c>
      <c r="AD1327">
        <v>75.665962867727501</v>
      </c>
      <c r="AE1327">
        <v>53.193008277305204</v>
      </c>
      <c r="AF1327">
        <v>52.705427467505963</v>
      </c>
      <c r="AG1327">
        <v>72.37696820694444</v>
      </c>
      <c r="AH1327">
        <v>71.713542281018519</v>
      </c>
      <c r="AI1327">
        <v>32.508681914535252</v>
      </c>
      <c r="AJ1327">
        <v>58.618016995500561</v>
      </c>
      <c r="AK1327">
        <v>32.210698965897279</v>
      </c>
      <c r="AL1327">
        <v>58.080709158980127</v>
      </c>
      <c r="AM1327">
        <v>3.9025999482513289</v>
      </c>
      <c r="AN1327">
        <v>3.866827712299358</v>
      </c>
    </row>
    <row r="1328" spans="1:40" x14ac:dyDescent="0.25">
      <c r="A1328" s="1" t="s">
        <v>213</v>
      </c>
      <c r="B1328">
        <v>150720647127</v>
      </c>
      <c r="C1328" t="s">
        <v>69</v>
      </c>
      <c r="D1328" t="s">
        <v>105</v>
      </c>
      <c r="E1328">
        <v>40059000000</v>
      </c>
      <c r="F1328">
        <v>2939000000</v>
      </c>
      <c r="G1328">
        <v>4809000000</v>
      </c>
      <c r="H1328">
        <v>2667000000</v>
      </c>
      <c r="I1328">
        <v>2160000000</v>
      </c>
      <c r="J1328">
        <v>2011000000</v>
      </c>
      <c r="K1328">
        <v>5273000000</v>
      </c>
      <c r="L1328">
        <v>1795000000</v>
      </c>
      <c r="M1328">
        <v>7068000000</v>
      </c>
      <c r="N1328">
        <v>12483000000</v>
      </c>
      <c r="O1328">
        <v>1043000000</v>
      </c>
      <c r="P1328">
        <v>351000000</v>
      </c>
      <c r="Q1328">
        <v>9454000000</v>
      </c>
      <c r="R1328">
        <v>10318000000</v>
      </c>
      <c r="S1328">
        <v>27731000000</v>
      </c>
      <c r="T1328">
        <v>0</v>
      </c>
      <c r="U1328">
        <v>1433000000</v>
      </c>
      <c r="V1328">
        <v>13783000000</v>
      </c>
      <c r="W1328">
        <v>153457647127</v>
      </c>
      <c r="X1328">
        <v>154890647127</v>
      </c>
      <c r="Y1328">
        <v>3.7624665400284578</v>
      </c>
      <c r="Z1328">
        <v>51.282969420551211</v>
      </c>
      <c r="AA1328">
        <v>31.341369749844041</v>
      </c>
      <c r="AB1328">
        <v>56.513178525309343</v>
      </c>
      <c r="AC1328">
        <v>69.778077373611112</v>
      </c>
      <c r="AD1328">
        <v>74.948108964196919</v>
      </c>
      <c r="AE1328">
        <v>52.701819369513437</v>
      </c>
      <c r="AF1328">
        <v>52.21423855971419</v>
      </c>
      <c r="AG1328">
        <v>71.708632929166669</v>
      </c>
      <c r="AH1328">
        <v>71.045207003240748</v>
      </c>
      <c r="AI1328">
        <v>32.208493892077357</v>
      </c>
      <c r="AJ1328">
        <v>58.076733080989882</v>
      </c>
      <c r="AK1328">
        <v>31.91051094343938</v>
      </c>
      <c r="AL1328">
        <v>57.539425244469442</v>
      </c>
      <c r="AM1328">
        <v>3.8665629977533138</v>
      </c>
      <c r="AN1328">
        <v>3.8307907618013428</v>
      </c>
    </row>
    <row r="1329" spans="1:40" x14ac:dyDescent="0.25">
      <c r="A1329" s="1" t="s">
        <v>212</v>
      </c>
      <c r="B1329">
        <v>155197912325</v>
      </c>
      <c r="C1329" t="s">
        <v>69</v>
      </c>
      <c r="D1329" t="s">
        <v>105</v>
      </c>
      <c r="E1329">
        <v>40059000000</v>
      </c>
      <c r="F1329">
        <v>2939000000</v>
      </c>
      <c r="G1329">
        <v>4809000000</v>
      </c>
      <c r="H1329">
        <v>2667000000</v>
      </c>
      <c r="I1329">
        <v>2160000000</v>
      </c>
      <c r="J1329">
        <v>2011000000</v>
      </c>
      <c r="K1329">
        <v>5273000000</v>
      </c>
      <c r="L1329">
        <v>1795000000</v>
      </c>
      <c r="M1329">
        <v>7068000000</v>
      </c>
      <c r="N1329">
        <v>12483000000</v>
      </c>
      <c r="O1329">
        <v>1043000000</v>
      </c>
      <c r="P1329">
        <v>351000000</v>
      </c>
      <c r="Q1329">
        <v>9454000000</v>
      </c>
      <c r="R1329">
        <v>10318000000</v>
      </c>
      <c r="S1329">
        <v>27731000000</v>
      </c>
      <c r="T1329">
        <v>0</v>
      </c>
      <c r="U1329">
        <v>1433000000</v>
      </c>
      <c r="V1329">
        <v>13783000000</v>
      </c>
      <c r="W1329">
        <v>157934912325</v>
      </c>
      <c r="X1329">
        <v>159367912325</v>
      </c>
      <c r="Y1329">
        <v>3.8742333139868692</v>
      </c>
      <c r="Z1329">
        <v>52.806366902007483</v>
      </c>
      <c r="AA1329">
        <v>32.272387674152633</v>
      </c>
      <c r="AB1329">
        <v>58.19194312898388</v>
      </c>
      <c r="AC1329">
        <v>71.850885335648144</v>
      </c>
      <c r="AD1329">
        <v>77.17449643212332</v>
      </c>
      <c r="AE1329">
        <v>54.225216850969723</v>
      </c>
      <c r="AF1329">
        <v>53.737636041170468</v>
      </c>
      <c r="AG1329">
        <v>73.781440891203701</v>
      </c>
      <c r="AH1329">
        <v>73.11801496527778</v>
      </c>
      <c r="AI1329">
        <v>33.139511816385941</v>
      </c>
      <c r="AJ1329">
        <v>59.755497684664419</v>
      </c>
      <c r="AK1329">
        <v>32.841528867747982</v>
      </c>
      <c r="AL1329">
        <v>59.218189848143979</v>
      </c>
      <c r="AM1329">
        <v>3.9783297717117252</v>
      </c>
      <c r="AN1329">
        <v>3.9425575357597542</v>
      </c>
    </row>
    <row r="1330" spans="1:40" x14ac:dyDescent="0.25">
      <c r="A1330" s="1" t="s">
        <v>211</v>
      </c>
      <c r="B1330">
        <v>153377715726</v>
      </c>
      <c r="C1330" t="s">
        <v>69</v>
      </c>
      <c r="D1330" t="s">
        <v>105</v>
      </c>
      <c r="E1330">
        <v>40059000000</v>
      </c>
      <c r="F1330">
        <v>2939000000</v>
      </c>
      <c r="G1330">
        <v>4809000000</v>
      </c>
      <c r="H1330">
        <v>2667000000</v>
      </c>
      <c r="I1330">
        <v>2160000000</v>
      </c>
      <c r="J1330">
        <v>2011000000</v>
      </c>
      <c r="K1330">
        <v>5273000000</v>
      </c>
      <c r="L1330">
        <v>1795000000</v>
      </c>
      <c r="M1330">
        <v>7068000000</v>
      </c>
      <c r="N1330">
        <v>12483000000</v>
      </c>
      <c r="O1330">
        <v>1043000000</v>
      </c>
      <c r="P1330">
        <v>351000000</v>
      </c>
      <c r="Q1330">
        <v>9454000000</v>
      </c>
      <c r="R1330">
        <v>10318000000</v>
      </c>
      <c r="S1330">
        <v>27731000000</v>
      </c>
      <c r="T1330">
        <v>0</v>
      </c>
      <c r="U1330">
        <v>1433000000</v>
      </c>
      <c r="V1330">
        <v>13783000000</v>
      </c>
      <c r="W1330">
        <v>156114715726</v>
      </c>
      <c r="X1330">
        <v>157547715726</v>
      </c>
      <c r="Y1330">
        <v>3.8287954199056391</v>
      </c>
      <c r="Z1330">
        <v>52.18704175774073</v>
      </c>
      <c r="AA1330">
        <v>31.89388973300062</v>
      </c>
      <c r="AB1330">
        <v>57.509454715410577</v>
      </c>
      <c r="AC1330">
        <v>71.008201725000006</v>
      </c>
      <c r="AD1330">
        <v>76.269376293386372</v>
      </c>
      <c r="AE1330">
        <v>53.605891706702963</v>
      </c>
      <c r="AF1330">
        <v>53.118310896903708</v>
      </c>
      <c r="AG1330">
        <v>72.938757280555549</v>
      </c>
      <c r="AH1330">
        <v>72.275331354629628</v>
      </c>
      <c r="AI1330">
        <v>32.761013875233942</v>
      </c>
      <c r="AJ1330">
        <v>59.073009271091117</v>
      </c>
      <c r="AK1330">
        <v>32.463030926595962</v>
      </c>
      <c r="AL1330">
        <v>58.535701434570683</v>
      </c>
      <c r="AM1330">
        <v>3.9328918776304951</v>
      </c>
      <c r="AN1330">
        <v>3.8971196416785241</v>
      </c>
    </row>
    <row r="1331" spans="1:40" x14ac:dyDescent="0.25">
      <c r="A1331" s="1" t="s">
        <v>210</v>
      </c>
      <c r="B1331">
        <v>153733386326</v>
      </c>
      <c r="C1331" t="s">
        <v>69</v>
      </c>
      <c r="D1331" t="s">
        <v>105</v>
      </c>
      <c r="E1331">
        <v>40059000000</v>
      </c>
      <c r="F1331">
        <v>2939000000</v>
      </c>
      <c r="G1331">
        <v>4809000000</v>
      </c>
      <c r="H1331">
        <v>2667000000</v>
      </c>
      <c r="I1331">
        <v>2160000000</v>
      </c>
      <c r="J1331">
        <v>2011000000</v>
      </c>
      <c r="K1331">
        <v>5273000000</v>
      </c>
      <c r="L1331">
        <v>1795000000</v>
      </c>
      <c r="M1331">
        <v>7068000000</v>
      </c>
      <c r="N1331">
        <v>12483000000</v>
      </c>
      <c r="O1331">
        <v>1043000000</v>
      </c>
      <c r="P1331">
        <v>351000000</v>
      </c>
      <c r="Q1331">
        <v>9454000000</v>
      </c>
      <c r="R1331">
        <v>10318000000</v>
      </c>
      <c r="S1331">
        <v>27731000000</v>
      </c>
      <c r="T1331">
        <v>0</v>
      </c>
      <c r="U1331">
        <v>1433000000</v>
      </c>
      <c r="V1331">
        <v>13783000000</v>
      </c>
      <c r="W1331">
        <v>156470386326</v>
      </c>
      <c r="X1331">
        <v>157903386326</v>
      </c>
      <c r="Y1331">
        <v>3.8376740888689178</v>
      </c>
      <c r="Z1331">
        <v>52.308059314732901</v>
      </c>
      <c r="AA1331">
        <v>31.967849100852568</v>
      </c>
      <c r="AB1331">
        <v>57.642814520434953</v>
      </c>
      <c r="AC1331">
        <v>71.172864039814812</v>
      </c>
      <c r="AD1331">
        <v>76.446238849328694</v>
      </c>
      <c r="AE1331">
        <v>53.726909263695127</v>
      </c>
      <c r="AF1331">
        <v>53.23932845389588</v>
      </c>
      <c r="AG1331">
        <v>73.103419595370369</v>
      </c>
      <c r="AH1331">
        <v>72.439993669444448</v>
      </c>
      <c r="AI1331">
        <v>32.834973243085877</v>
      </c>
      <c r="AJ1331">
        <v>59.206369076115493</v>
      </c>
      <c r="AK1331">
        <v>32.536990294447911</v>
      </c>
      <c r="AL1331">
        <v>58.669061239595052</v>
      </c>
      <c r="AM1331">
        <v>3.9417705465937738</v>
      </c>
      <c r="AN1331">
        <v>3.9059983106418028</v>
      </c>
    </row>
    <row r="1332" spans="1:40" x14ac:dyDescent="0.25">
      <c r="A1332" s="1" t="s">
        <v>209</v>
      </c>
      <c r="B1332">
        <v>153377715726</v>
      </c>
      <c r="C1332" t="s">
        <v>69</v>
      </c>
      <c r="D1332" t="s">
        <v>105</v>
      </c>
      <c r="E1332">
        <v>40059000000</v>
      </c>
      <c r="F1332">
        <v>2939000000</v>
      </c>
      <c r="G1332">
        <v>4809000000</v>
      </c>
      <c r="H1332">
        <v>2667000000</v>
      </c>
      <c r="I1332">
        <v>2160000000</v>
      </c>
      <c r="J1332">
        <v>2011000000</v>
      </c>
      <c r="K1332">
        <v>5273000000</v>
      </c>
      <c r="L1332">
        <v>1795000000</v>
      </c>
      <c r="M1332">
        <v>7068000000</v>
      </c>
      <c r="N1332">
        <v>12483000000</v>
      </c>
      <c r="O1332">
        <v>1043000000</v>
      </c>
      <c r="P1332">
        <v>351000000</v>
      </c>
      <c r="Q1332">
        <v>9454000000</v>
      </c>
      <c r="R1332">
        <v>10318000000</v>
      </c>
      <c r="S1332">
        <v>27731000000</v>
      </c>
      <c r="T1332">
        <v>0</v>
      </c>
      <c r="U1332">
        <v>1433000000</v>
      </c>
      <c r="V1332">
        <v>13783000000</v>
      </c>
      <c r="W1332">
        <v>156114715726</v>
      </c>
      <c r="X1332">
        <v>157547715726</v>
      </c>
      <c r="Y1332">
        <v>3.8287954199056391</v>
      </c>
      <c r="Z1332">
        <v>52.18704175774073</v>
      </c>
      <c r="AA1332">
        <v>31.89388973300062</v>
      </c>
      <c r="AB1332">
        <v>57.509454715410577</v>
      </c>
      <c r="AC1332">
        <v>71.008201725000006</v>
      </c>
      <c r="AD1332">
        <v>76.269376293386372</v>
      </c>
      <c r="AE1332">
        <v>53.605891706702963</v>
      </c>
      <c r="AF1332">
        <v>53.118310896903708</v>
      </c>
      <c r="AG1332">
        <v>72.938757280555549</v>
      </c>
      <c r="AH1332">
        <v>72.275331354629628</v>
      </c>
      <c r="AI1332">
        <v>32.761013875233942</v>
      </c>
      <c r="AJ1332">
        <v>59.073009271091117</v>
      </c>
      <c r="AK1332">
        <v>32.463030926595962</v>
      </c>
      <c r="AL1332">
        <v>58.535701434570683</v>
      </c>
      <c r="AM1332">
        <v>3.9328918776304951</v>
      </c>
      <c r="AN1332">
        <v>3.8971196416785241</v>
      </c>
    </row>
    <row r="1333" spans="1:40" x14ac:dyDescent="0.25">
      <c r="A1333" s="1" t="s">
        <v>208</v>
      </c>
      <c r="B1333">
        <v>155448973925</v>
      </c>
      <c r="C1333" t="s">
        <v>69</v>
      </c>
      <c r="D1333" t="s">
        <v>105</v>
      </c>
      <c r="E1333">
        <v>40059000000</v>
      </c>
      <c r="F1333">
        <v>2939000000</v>
      </c>
      <c r="G1333">
        <v>4809000000</v>
      </c>
      <c r="H1333">
        <v>2667000000</v>
      </c>
      <c r="I1333">
        <v>2160000000</v>
      </c>
      <c r="J1333">
        <v>2011000000</v>
      </c>
      <c r="K1333">
        <v>5273000000</v>
      </c>
      <c r="L1333">
        <v>1795000000</v>
      </c>
      <c r="M1333">
        <v>7068000000</v>
      </c>
      <c r="N1333">
        <v>12483000000</v>
      </c>
      <c r="O1333">
        <v>1043000000</v>
      </c>
      <c r="P1333">
        <v>351000000</v>
      </c>
      <c r="Q1333">
        <v>9454000000</v>
      </c>
      <c r="R1333">
        <v>10318000000</v>
      </c>
      <c r="S1333">
        <v>27731000000</v>
      </c>
      <c r="T1333">
        <v>0</v>
      </c>
      <c r="U1333">
        <v>1433000000</v>
      </c>
      <c r="V1333">
        <v>13783000000</v>
      </c>
      <c r="W1333">
        <v>158185973925</v>
      </c>
      <c r="X1333">
        <v>159618973925</v>
      </c>
      <c r="Y1333">
        <v>3.880500609725654</v>
      </c>
      <c r="Z1333">
        <v>52.891791059884312</v>
      </c>
      <c r="AA1333">
        <v>32.324594286753999</v>
      </c>
      <c r="AB1333">
        <v>58.286079461942258</v>
      </c>
      <c r="AC1333">
        <v>71.967117557870367</v>
      </c>
      <c r="AD1333">
        <v>77.299340589259074</v>
      </c>
      <c r="AE1333">
        <v>54.310641008846552</v>
      </c>
      <c r="AF1333">
        <v>53.823060199047298</v>
      </c>
      <c r="AG1333">
        <v>73.897673113425924</v>
      </c>
      <c r="AH1333">
        <v>73.234247187500003</v>
      </c>
      <c r="AI1333">
        <v>33.191718428987308</v>
      </c>
      <c r="AJ1333">
        <v>59.849634017622797</v>
      </c>
      <c r="AK1333">
        <v>32.893735480349342</v>
      </c>
      <c r="AL1333">
        <v>59.312326181102357</v>
      </c>
      <c r="AM1333">
        <v>3.98459706745051</v>
      </c>
      <c r="AN1333">
        <v>3.948824831498539</v>
      </c>
    </row>
    <row r="1334" spans="1:40" x14ac:dyDescent="0.25">
      <c r="A1334" s="1" t="s">
        <v>207</v>
      </c>
      <c r="B1334">
        <v>151913189727</v>
      </c>
      <c r="C1334" t="s">
        <v>69</v>
      </c>
      <c r="D1334" t="s">
        <v>105</v>
      </c>
      <c r="E1334">
        <v>40059000000</v>
      </c>
      <c r="F1334">
        <v>2939000000</v>
      </c>
      <c r="G1334">
        <v>4809000000</v>
      </c>
      <c r="H1334">
        <v>2667000000</v>
      </c>
      <c r="I1334">
        <v>2160000000</v>
      </c>
      <c r="J1334">
        <v>2011000000</v>
      </c>
      <c r="K1334">
        <v>5273000000</v>
      </c>
      <c r="L1334">
        <v>1795000000</v>
      </c>
      <c r="M1334">
        <v>7068000000</v>
      </c>
      <c r="N1334">
        <v>12483000000</v>
      </c>
      <c r="O1334">
        <v>1043000000</v>
      </c>
      <c r="P1334">
        <v>351000000</v>
      </c>
      <c r="Q1334">
        <v>9454000000</v>
      </c>
      <c r="R1334">
        <v>10318000000</v>
      </c>
      <c r="S1334">
        <v>27731000000</v>
      </c>
      <c r="T1334">
        <v>0</v>
      </c>
      <c r="U1334">
        <v>1433000000</v>
      </c>
      <c r="V1334">
        <v>13783000000</v>
      </c>
      <c r="W1334">
        <v>154650189727</v>
      </c>
      <c r="X1334">
        <v>156083189727</v>
      </c>
      <c r="Y1334">
        <v>3.7922361947876881</v>
      </c>
      <c r="Z1334">
        <v>51.688734170466148</v>
      </c>
      <c r="AA1334">
        <v>31.589351159700559</v>
      </c>
      <c r="AB1334">
        <v>56.960326106861643</v>
      </c>
      <c r="AC1334">
        <v>70.33018042916666</v>
      </c>
      <c r="AD1334">
        <v>75.541118710591746</v>
      </c>
      <c r="AE1334">
        <v>53.107584119428367</v>
      </c>
      <c r="AF1334">
        <v>52.620003309629134</v>
      </c>
      <c r="AG1334">
        <v>72.260735984722217</v>
      </c>
      <c r="AH1334">
        <v>71.597310058796296</v>
      </c>
      <c r="AI1334">
        <v>32.456475301933871</v>
      </c>
      <c r="AJ1334">
        <v>58.523880662542183</v>
      </c>
      <c r="AK1334">
        <v>32.158492353295912</v>
      </c>
      <c r="AL1334">
        <v>57.986572826021749</v>
      </c>
      <c r="AM1334">
        <v>3.8963326525125441</v>
      </c>
      <c r="AN1334">
        <v>3.8605604165605731</v>
      </c>
    </row>
    <row r="1335" spans="1:40" x14ac:dyDescent="0.25">
      <c r="A1335" s="1" t="s">
        <v>206</v>
      </c>
      <c r="B1335">
        <v>151808580727</v>
      </c>
      <c r="C1335" t="s">
        <v>69</v>
      </c>
      <c r="D1335" t="s">
        <v>105</v>
      </c>
      <c r="E1335">
        <v>40059000000</v>
      </c>
      <c r="F1335">
        <v>2939000000</v>
      </c>
      <c r="G1335">
        <v>4809000000</v>
      </c>
      <c r="H1335">
        <v>2667000000</v>
      </c>
      <c r="I1335">
        <v>2160000000</v>
      </c>
      <c r="J1335">
        <v>2011000000</v>
      </c>
      <c r="K1335">
        <v>5273000000</v>
      </c>
      <c r="L1335">
        <v>1795000000</v>
      </c>
      <c r="M1335">
        <v>7068000000</v>
      </c>
      <c r="N1335">
        <v>12483000000</v>
      </c>
      <c r="O1335">
        <v>1043000000</v>
      </c>
      <c r="P1335">
        <v>351000000</v>
      </c>
      <c r="Q1335">
        <v>9454000000</v>
      </c>
      <c r="R1335">
        <v>10318000000</v>
      </c>
      <c r="S1335">
        <v>27731000000</v>
      </c>
      <c r="T1335">
        <v>0</v>
      </c>
      <c r="U1335">
        <v>1433000000</v>
      </c>
      <c r="V1335">
        <v>13783000000</v>
      </c>
      <c r="W1335">
        <v>154545580727</v>
      </c>
      <c r="X1335">
        <v>155978580727</v>
      </c>
      <c r="Y1335">
        <v>3.7896248215631938</v>
      </c>
      <c r="Z1335">
        <v>51.653140771350799</v>
      </c>
      <c r="AA1335">
        <v>31.567598404449988</v>
      </c>
      <c r="AB1335">
        <v>56.921102634795652</v>
      </c>
      <c r="AC1335">
        <v>70.281750336574078</v>
      </c>
      <c r="AD1335">
        <v>75.48910031178518</v>
      </c>
      <c r="AE1335">
        <v>53.071990720313032</v>
      </c>
      <c r="AF1335">
        <v>52.584409910513777</v>
      </c>
      <c r="AG1335">
        <v>72.212305892129635</v>
      </c>
      <c r="AH1335">
        <v>71.5488799662037</v>
      </c>
      <c r="AI1335">
        <v>32.434722546683297</v>
      </c>
      <c r="AJ1335">
        <v>58.484657190476192</v>
      </c>
      <c r="AK1335">
        <v>32.136739598045331</v>
      </c>
      <c r="AL1335">
        <v>57.947349353955758</v>
      </c>
      <c r="AM1335">
        <v>3.8937212792880498</v>
      </c>
      <c r="AN1335">
        <v>3.8579490433360788</v>
      </c>
    </row>
    <row r="1336" spans="1:40" x14ac:dyDescent="0.25">
      <c r="A1336" s="1" t="s">
        <v>205</v>
      </c>
      <c r="B1336">
        <v>150323132928</v>
      </c>
      <c r="C1336" t="s">
        <v>69</v>
      </c>
      <c r="D1336" t="s">
        <v>105</v>
      </c>
      <c r="E1336">
        <v>40059000000</v>
      </c>
      <c r="F1336">
        <v>2939000000</v>
      </c>
      <c r="G1336">
        <v>4809000000</v>
      </c>
      <c r="H1336">
        <v>2667000000</v>
      </c>
      <c r="I1336">
        <v>2160000000</v>
      </c>
      <c r="J1336">
        <v>2011000000</v>
      </c>
      <c r="K1336">
        <v>5273000000</v>
      </c>
      <c r="L1336">
        <v>1795000000</v>
      </c>
      <c r="M1336">
        <v>7068000000</v>
      </c>
      <c r="N1336">
        <v>12483000000</v>
      </c>
      <c r="O1336">
        <v>1043000000</v>
      </c>
      <c r="P1336">
        <v>351000000</v>
      </c>
      <c r="Q1336">
        <v>9454000000</v>
      </c>
      <c r="R1336">
        <v>10318000000</v>
      </c>
      <c r="S1336">
        <v>27731000000</v>
      </c>
      <c r="T1336">
        <v>0</v>
      </c>
      <c r="U1336">
        <v>1433000000</v>
      </c>
      <c r="V1336">
        <v>13783000000</v>
      </c>
      <c r="W1336">
        <v>153060132928</v>
      </c>
      <c r="X1336">
        <v>154493132928</v>
      </c>
      <c r="Y1336">
        <v>3.7525433218003439</v>
      </c>
      <c r="Z1336">
        <v>51.147714504253138</v>
      </c>
      <c r="AA1336">
        <v>31.258709280099811</v>
      </c>
      <c r="AB1336">
        <v>56.364129331833517</v>
      </c>
      <c r="AC1336">
        <v>69.594043022222223</v>
      </c>
      <c r="AD1336">
        <v>74.750439049229243</v>
      </c>
      <c r="AE1336">
        <v>52.566564453215378</v>
      </c>
      <c r="AF1336">
        <v>52.07898364341613</v>
      </c>
      <c r="AG1336">
        <v>71.52459857777778</v>
      </c>
      <c r="AH1336">
        <v>70.861172651851845</v>
      </c>
      <c r="AI1336">
        <v>32.125833422333123</v>
      </c>
      <c r="AJ1336">
        <v>57.927683887514057</v>
      </c>
      <c r="AK1336">
        <v>31.82785047369515</v>
      </c>
      <c r="AL1336">
        <v>57.390376050993623</v>
      </c>
      <c r="AM1336">
        <v>3.8566397795251999</v>
      </c>
      <c r="AN1336">
        <v>3.8208675435732289</v>
      </c>
    </row>
    <row r="1337" spans="1:40" x14ac:dyDescent="0.25">
      <c r="A1337" s="1" t="s">
        <v>204</v>
      </c>
      <c r="B1337">
        <v>151139083127</v>
      </c>
      <c r="C1337" t="s">
        <v>69</v>
      </c>
      <c r="D1337" t="s">
        <v>105</v>
      </c>
      <c r="E1337">
        <v>40059000000</v>
      </c>
      <c r="F1337">
        <v>2939000000</v>
      </c>
      <c r="G1337">
        <v>4809000000</v>
      </c>
      <c r="H1337">
        <v>2667000000</v>
      </c>
      <c r="I1337">
        <v>2160000000</v>
      </c>
      <c r="J1337">
        <v>2011000000</v>
      </c>
      <c r="K1337">
        <v>5273000000</v>
      </c>
      <c r="L1337">
        <v>1795000000</v>
      </c>
      <c r="M1337">
        <v>7068000000</v>
      </c>
      <c r="N1337">
        <v>12483000000</v>
      </c>
      <c r="O1337">
        <v>1043000000</v>
      </c>
      <c r="P1337">
        <v>351000000</v>
      </c>
      <c r="Q1337">
        <v>9454000000</v>
      </c>
      <c r="R1337">
        <v>10318000000</v>
      </c>
      <c r="S1337">
        <v>27731000000</v>
      </c>
      <c r="T1337">
        <v>0</v>
      </c>
      <c r="U1337">
        <v>1433000000</v>
      </c>
      <c r="V1337">
        <v>13783000000</v>
      </c>
      <c r="W1337">
        <v>153876083127</v>
      </c>
      <c r="X1337">
        <v>155309083127</v>
      </c>
      <c r="Y1337">
        <v>3.772912032926433</v>
      </c>
      <c r="Z1337">
        <v>51.425343017012587</v>
      </c>
      <c r="AA1337">
        <v>31.428380770846331</v>
      </c>
      <c r="AB1337">
        <v>56.670072413573301</v>
      </c>
      <c r="AC1337">
        <v>69.971797743981483</v>
      </c>
      <c r="AD1337">
        <v>75.156182559423172</v>
      </c>
      <c r="AE1337">
        <v>52.84419296597482</v>
      </c>
      <c r="AF1337">
        <v>52.356612156175572</v>
      </c>
      <c r="AG1337">
        <v>71.90235329953704</v>
      </c>
      <c r="AH1337">
        <v>71.238927373611105</v>
      </c>
      <c r="AI1337">
        <v>32.29550491307964</v>
      </c>
      <c r="AJ1337">
        <v>58.233626969253841</v>
      </c>
      <c r="AK1337">
        <v>31.99752196444167</v>
      </c>
      <c r="AL1337">
        <v>57.696319132733407</v>
      </c>
      <c r="AM1337">
        <v>3.8770084906512889</v>
      </c>
      <c r="AN1337">
        <v>3.841236254699318</v>
      </c>
    </row>
    <row r="1338" spans="1:40" x14ac:dyDescent="0.25">
      <c r="A1338" s="1" t="s">
        <v>203</v>
      </c>
      <c r="B1338">
        <v>153001123326</v>
      </c>
      <c r="C1338" t="s">
        <v>69</v>
      </c>
      <c r="D1338" t="s">
        <v>105</v>
      </c>
      <c r="E1338">
        <v>40059000000</v>
      </c>
      <c r="F1338">
        <v>2939000000</v>
      </c>
      <c r="G1338">
        <v>4809000000</v>
      </c>
      <c r="H1338">
        <v>2667000000</v>
      </c>
      <c r="I1338">
        <v>2160000000</v>
      </c>
      <c r="J1338">
        <v>2011000000</v>
      </c>
      <c r="K1338">
        <v>5273000000</v>
      </c>
      <c r="L1338">
        <v>1795000000</v>
      </c>
      <c r="M1338">
        <v>7068000000</v>
      </c>
      <c r="N1338">
        <v>12483000000</v>
      </c>
      <c r="O1338">
        <v>1043000000</v>
      </c>
      <c r="P1338">
        <v>351000000</v>
      </c>
      <c r="Q1338">
        <v>9454000000</v>
      </c>
      <c r="R1338">
        <v>10318000000</v>
      </c>
      <c r="S1338">
        <v>27731000000</v>
      </c>
      <c r="T1338">
        <v>0</v>
      </c>
      <c r="U1338">
        <v>1433000000</v>
      </c>
      <c r="V1338">
        <v>13783000000</v>
      </c>
      <c r="W1338">
        <v>155738123326</v>
      </c>
      <c r="X1338">
        <v>157171123326</v>
      </c>
      <c r="Y1338">
        <v>3.819394476297461</v>
      </c>
      <c r="Z1338">
        <v>52.058905520925492</v>
      </c>
      <c r="AA1338">
        <v>31.815579814098569</v>
      </c>
      <c r="AB1338">
        <v>57.368250215973013</v>
      </c>
      <c r="AC1338">
        <v>70.833853391666665</v>
      </c>
      <c r="AD1338">
        <v>76.08211005768274</v>
      </c>
      <c r="AE1338">
        <v>53.477755469887718</v>
      </c>
      <c r="AF1338">
        <v>52.990174660088456</v>
      </c>
      <c r="AG1338">
        <v>72.764408947222222</v>
      </c>
      <c r="AH1338">
        <v>72.100983021296301</v>
      </c>
      <c r="AI1338">
        <v>32.682703956331878</v>
      </c>
      <c r="AJ1338">
        <v>58.931804771653553</v>
      </c>
      <c r="AK1338">
        <v>32.384721007693898</v>
      </c>
      <c r="AL1338">
        <v>58.394496935133112</v>
      </c>
      <c r="AM1338">
        <v>3.923490934022317</v>
      </c>
      <c r="AN1338">
        <v>3.887718698070346</v>
      </c>
    </row>
    <row r="1339" spans="1:40" x14ac:dyDescent="0.25">
      <c r="A1339" s="1" t="s">
        <v>202</v>
      </c>
      <c r="B1339">
        <v>150406820128</v>
      </c>
      <c r="C1339" t="s">
        <v>69</v>
      </c>
      <c r="D1339" t="s">
        <v>105</v>
      </c>
      <c r="E1339">
        <v>40059000000</v>
      </c>
      <c r="F1339">
        <v>2939000000</v>
      </c>
      <c r="G1339">
        <v>4809000000</v>
      </c>
      <c r="H1339">
        <v>2667000000</v>
      </c>
      <c r="I1339">
        <v>2160000000</v>
      </c>
      <c r="J1339">
        <v>2011000000</v>
      </c>
      <c r="K1339">
        <v>5273000000</v>
      </c>
      <c r="L1339">
        <v>1795000000</v>
      </c>
      <c r="M1339">
        <v>7068000000</v>
      </c>
      <c r="N1339">
        <v>12483000000</v>
      </c>
      <c r="O1339">
        <v>1043000000</v>
      </c>
      <c r="P1339">
        <v>351000000</v>
      </c>
      <c r="Q1339">
        <v>9454000000</v>
      </c>
      <c r="R1339">
        <v>10318000000</v>
      </c>
      <c r="S1339">
        <v>27731000000</v>
      </c>
      <c r="T1339">
        <v>0</v>
      </c>
      <c r="U1339">
        <v>1433000000</v>
      </c>
      <c r="V1339">
        <v>13783000000</v>
      </c>
      <c r="W1339">
        <v>153143820128</v>
      </c>
      <c r="X1339">
        <v>154576820128</v>
      </c>
      <c r="Y1339">
        <v>3.7546324203799402</v>
      </c>
      <c r="Z1339">
        <v>51.176189223545421</v>
      </c>
      <c r="AA1339">
        <v>31.276111484300269</v>
      </c>
      <c r="AB1339">
        <v>56.395508109486308</v>
      </c>
      <c r="AC1339">
        <v>69.632787096296298</v>
      </c>
      <c r="AD1339">
        <v>74.792053768274485</v>
      </c>
      <c r="AE1339">
        <v>52.595039172507647</v>
      </c>
      <c r="AF1339">
        <v>52.107458362708407</v>
      </c>
      <c r="AG1339">
        <v>71.563342651851855</v>
      </c>
      <c r="AH1339">
        <v>70.89991672592592</v>
      </c>
      <c r="AI1339">
        <v>32.143235626533581</v>
      </c>
      <c r="AJ1339">
        <v>57.959062665166847</v>
      </c>
      <c r="AK1339">
        <v>31.845252677895608</v>
      </c>
      <c r="AL1339">
        <v>57.421754828646421</v>
      </c>
      <c r="AM1339">
        <v>3.8587288781047948</v>
      </c>
      <c r="AN1339">
        <v>3.8229566421528252</v>
      </c>
    </row>
    <row r="1340" spans="1:40" x14ac:dyDescent="0.25">
      <c r="A1340" s="1" t="s">
        <v>201</v>
      </c>
      <c r="B1340">
        <v>149716400728</v>
      </c>
      <c r="C1340" t="s">
        <v>69</v>
      </c>
      <c r="D1340" t="s">
        <v>105</v>
      </c>
      <c r="E1340">
        <v>40059000000</v>
      </c>
      <c r="F1340">
        <v>2939000000</v>
      </c>
      <c r="G1340">
        <v>4809000000</v>
      </c>
      <c r="H1340">
        <v>2667000000</v>
      </c>
      <c r="I1340">
        <v>2160000000</v>
      </c>
      <c r="J1340">
        <v>2011000000</v>
      </c>
      <c r="K1340">
        <v>5273000000</v>
      </c>
      <c r="L1340">
        <v>1795000000</v>
      </c>
      <c r="M1340">
        <v>7068000000</v>
      </c>
      <c r="N1340">
        <v>12483000000</v>
      </c>
      <c r="O1340">
        <v>1043000000</v>
      </c>
      <c r="P1340">
        <v>351000000</v>
      </c>
      <c r="Q1340">
        <v>9454000000</v>
      </c>
      <c r="R1340">
        <v>10318000000</v>
      </c>
      <c r="S1340">
        <v>27731000000</v>
      </c>
      <c r="T1340">
        <v>0</v>
      </c>
      <c r="U1340">
        <v>1433000000</v>
      </c>
      <c r="V1340">
        <v>13783000000</v>
      </c>
      <c r="W1340">
        <v>152453400728</v>
      </c>
      <c r="X1340">
        <v>153886400728</v>
      </c>
      <c r="Y1340">
        <v>3.7373973570982799</v>
      </c>
      <c r="Z1340">
        <v>50.941272789384143</v>
      </c>
      <c r="AA1340">
        <v>31.1325432996465</v>
      </c>
      <c r="AB1340">
        <v>56.13663319385077</v>
      </c>
      <c r="AC1340">
        <v>69.313148485185181</v>
      </c>
      <c r="AD1340">
        <v>74.448732336151167</v>
      </c>
      <c r="AE1340">
        <v>52.360122738346377</v>
      </c>
      <c r="AF1340">
        <v>51.872541928547122</v>
      </c>
      <c r="AG1340">
        <v>71.243704040740738</v>
      </c>
      <c r="AH1340">
        <v>70.580278114814817</v>
      </c>
      <c r="AI1340">
        <v>31.999667441879811</v>
      </c>
      <c r="AJ1340">
        <v>57.70018774953131</v>
      </c>
      <c r="AK1340">
        <v>31.701684493241839</v>
      </c>
      <c r="AL1340">
        <v>57.162879913010883</v>
      </c>
      <c r="AM1340">
        <v>3.8414938148231359</v>
      </c>
      <c r="AN1340">
        <v>3.8057215788711649</v>
      </c>
    </row>
    <row r="1341" spans="1:40" x14ac:dyDescent="0.25">
      <c r="A1341" s="1" t="s">
        <v>200</v>
      </c>
      <c r="B1341">
        <v>149067824928</v>
      </c>
      <c r="C1341" t="s">
        <v>69</v>
      </c>
      <c r="D1341" t="s">
        <v>105</v>
      </c>
      <c r="E1341">
        <v>40059000000</v>
      </c>
      <c r="F1341">
        <v>2939000000</v>
      </c>
      <c r="G1341">
        <v>4809000000</v>
      </c>
      <c r="H1341">
        <v>2667000000</v>
      </c>
      <c r="I1341">
        <v>2160000000</v>
      </c>
      <c r="J1341">
        <v>2011000000</v>
      </c>
      <c r="K1341">
        <v>5273000000</v>
      </c>
      <c r="L1341">
        <v>1795000000</v>
      </c>
      <c r="M1341">
        <v>7068000000</v>
      </c>
      <c r="N1341">
        <v>12483000000</v>
      </c>
      <c r="O1341">
        <v>1043000000</v>
      </c>
      <c r="P1341">
        <v>351000000</v>
      </c>
      <c r="Q1341">
        <v>9454000000</v>
      </c>
      <c r="R1341">
        <v>10318000000</v>
      </c>
      <c r="S1341">
        <v>27731000000</v>
      </c>
      <c r="T1341">
        <v>0</v>
      </c>
      <c r="U1341">
        <v>1433000000</v>
      </c>
      <c r="V1341">
        <v>13783000000</v>
      </c>
      <c r="W1341">
        <v>151804824928</v>
      </c>
      <c r="X1341">
        <v>153237824928</v>
      </c>
      <c r="Y1341">
        <v>3.721206843106418</v>
      </c>
      <c r="Z1341">
        <v>50.720593714868997</v>
      </c>
      <c r="AA1341">
        <v>30.997676217092948</v>
      </c>
      <c r="AB1341">
        <v>55.89344766704162</v>
      </c>
      <c r="AC1341">
        <v>69.012881911111108</v>
      </c>
      <c r="AD1341">
        <v>74.12621826355047</v>
      </c>
      <c r="AE1341">
        <v>52.139443663831237</v>
      </c>
      <c r="AF1341">
        <v>51.651862854031982</v>
      </c>
      <c r="AG1341">
        <v>70.943437466666666</v>
      </c>
      <c r="AH1341">
        <v>70.280011540740745</v>
      </c>
      <c r="AI1341">
        <v>31.86480035932626</v>
      </c>
      <c r="AJ1341">
        <v>57.45700222272216</v>
      </c>
      <c r="AK1341">
        <v>31.566817410688291</v>
      </c>
      <c r="AL1341">
        <v>56.919694386201733</v>
      </c>
      <c r="AM1341">
        <v>3.825303300831274</v>
      </c>
      <c r="AN1341">
        <v>3.789531064879303</v>
      </c>
    </row>
    <row r="1342" spans="1:40" x14ac:dyDescent="0.25">
      <c r="A1342" s="1" t="s">
        <v>199</v>
      </c>
      <c r="B1342">
        <v>145573884330</v>
      </c>
      <c r="C1342" t="s">
        <v>69</v>
      </c>
      <c r="D1342" t="s">
        <v>105</v>
      </c>
      <c r="E1342">
        <v>40059000000</v>
      </c>
      <c r="F1342">
        <v>2939000000</v>
      </c>
      <c r="G1342">
        <v>4809000000</v>
      </c>
      <c r="H1342">
        <v>2667000000</v>
      </c>
      <c r="I1342">
        <v>2160000000</v>
      </c>
      <c r="J1342">
        <v>2011000000</v>
      </c>
      <c r="K1342">
        <v>5273000000</v>
      </c>
      <c r="L1342">
        <v>1795000000</v>
      </c>
      <c r="M1342">
        <v>7068000000</v>
      </c>
      <c r="N1342">
        <v>12483000000</v>
      </c>
      <c r="O1342">
        <v>1043000000</v>
      </c>
      <c r="P1342">
        <v>351000000</v>
      </c>
      <c r="Q1342">
        <v>9454000000</v>
      </c>
      <c r="R1342">
        <v>10318000000</v>
      </c>
      <c r="S1342">
        <v>27731000000</v>
      </c>
      <c r="T1342">
        <v>0</v>
      </c>
      <c r="U1342">
        <v>1433000000</v>
      </c>
      <c r="V1342">
        <v>13783000000</v>
      </c>
      <c r="W1342">
        <v>148310884330</v>
      </c>
      <c r="X1342">
        <v>149743884330</v>
      </c>
      <c r="Y1342">
        <v>3.6339869774582492</v>
      </c>
      <c r="Z1342">
        <v>49.531774185096971</v>
      </c>
      <c r="AA1342">
        <v>30.271134192139741</v>
      </c>
      <c r="AB1342">
        <v>54.583383700787401</v>
      </c>
      <c r="AC1342">
        <v>67.395316819444446</v>
      </c>
      <c r="AD1342">
        <v>72.388803744405763</v>
      </c>
      <c r="AE1342">
        <v>50.950624134059197</v>
      </c>
      <c r="AF1342">
        <v>50.463043324259949</v>
      </c>
      <c r="AG1342">
        <v>69.325872375000003</v>
      </c>
      <c r="AH1342">
        <v>68.662446449074068</v>
      </c>
      <c r="AI1342">
        <v>31.138258334373049</v>
      </c>
      <c r="AJ1342">
        <v>56.146938256467941</v>
      </c>
      <c r="AK1342">
        <v>30.84027538573508</v>
      </c>
      <c r="AL1342">
        <v>55.609630419947507</v>
      </c>
      <c r="AM1342">
        <v>3.7380834351831052</v>
      </c>
      <c r="AN1342">
        <v>3.7023111992311342</v>
      </c>
    </row>
    <row r="1343" spans="1:40" x14ac:dyDescent="0.25">
      <c r="A1343" s="1" t="s">
        <v>198</v>
      </c>
      <c r="B1343">
        <v>146034163930</v>
      </c>
      <c r="C1343" t="s">
        <v>69</v>
      </c>
      <c r="D1343" t="s">
        <v>105</v>
      </c>
      <c r="E1343">
        <v>40059000000</v>
      </c>
      <c r="F1343">
        <v>2939000000</v>
      </c>
      <c r="G1343">
        <v>4809000000</v>
      </c>
      <c r="H1343">
        <v>2667000000</v>
      </c>
      <c r="I1343">
        <v>2160000000</v>
      </c>
      <c r="J1343">
        <v>2011000000</v>
      </c>
      <c r="K1343">
        <v>5273000000</v>
      </c>
      <c r="L1343">
        <v>1795000000</v>
      </c>
      <c r="M1343">
        <v>7068000000</v>
      </c>
      <c r="N1343">
        <v>12483000000</v>
      </c>
      <c r="O1343">
        <v>1043000000</v>
      </c>
      <c r="P1343">
        <v>351000000</v>
      </c>
      <c r="Q1343">
        <v>9454000000</v>
      </c>
      <c r="R1343">
        <v>10318000000</v>
      </c>
      <c r="S1343">
        <v>27731000000</v>
      </c>
      <c r="T1343">
        <v>0</v>
      </c>
      <c r="U1343">
        <v>1433000000</v>
      </c>
      <c r="V1343">
        <v>13783000000</v>
      </c>
      <c r="W1343">
        <v>148771163930</v>
      </c>
      <c r="X1343">
        <v>150204163930</v>
      </c>
      <c r="Y1343">
        <v>3.6454770196460222</v>
      </c>
      <c r="Z1343">
        <v>49.688385141204492</v>
      </c>
      <c r="AA1343">
        <v>30.366846315242249</v>
      </c>
      <c r="AB1343">
        <v>54.755966977877762</v>
      </c>
      <c r="AC1343">
        <v>67.608409226851848</v>
      </c>
      <c r="AD1343">
        <v>72.617684699154651</v>
      </c>
      <c r="AE1343">
        <v>51.107235090166718</v>
      </c>
      <c r="AF1343">
        <v>50.61965428036747</v>
      </c>
      <c r="AG1343">
        <v>69.538964782407405</v>
      </c>
      <c r="AH1343">
        <v>68.875538856481484</v>
      </c>
      <c r="AI1343">
        <v>31.233970457475571</v>
      </c>
      <c r="AJ1343">
        <v>56.319521533558309</v>
      </c>
      <c r="AK1343">
        <v>30.935987508837599</v>
      </c>
      <c r="AL1343">
        <v>55.782213697037868</v>
      </c>
      <c r="AM1343">
        <v>3.7495734773708782</v>
      </c>
      <c r="AN1343">
        <v>3.7138012414189072</v>
      </c>
    </row>
    <row r="1344" spans="1:40" x14ac:dyDescent="0.25">
      <c r="A1344" s="1" t="s">
        <v>197</v>
      </c>
      <c r="B1344">
        <v>144339498131</v>
      </c>
      <c r="C1344" t="s">
        <v>69</v>
      </c>
      <c r="D1344" t="s">
        <v>105</v>
      </c>
      <c r="E1344">
        <v>40059000000</v>
      </c>
      <c r="F1344">
        <v>2939000000</v>
      </c>
      <c r="G1344">
        <v>4809000000</v>
      </c>
      <c r="H1344">
        <v>2667000000</v>
      </c>
      <c r="I1344">
        <v>2160000000</v>
      </c>
      <c r="J1344">
        <v>2011000000</v>
      </c>
      <c r="K1344">
        <v>5273000000</v>
      </c>
      <c r="L1344">
        <v>1795000000</v>
      </c>
      <c r="M1344">
        <v>7068000000</v>
      </c>
      <c r="N1344">
        <v>12483000000</v>
      </c>
      <c r="O1344">
        <v>1043000000</v>
      </c>
      <c r="P1344">
        <v>351000000</v>
      </c>
      <c r="Q1344">
        <v>9454000000</v>
      </c>
      <c r="R1344">
        <v>10318000000</v>
      </c>
      <c r="S1344">
        <v>27731000000</v>
      </c>
      <c r="T1344">
        <v>0</v>
      </c>
      <c r="U1344">
        <v>1433000000</v>
      </c>
      <c r="V1344">
        <v>13783000000</v>
      </c>
      <c r="W1344">
        <v>147076498131</v>
      </c>
      <c r="X1344">
        <v>148509498131</v>
      </c>
      <c r="Y1344">
        <v>3.603172773434185</v>
      </c>
      <c r="Z1344">
        <v>49.111772075876146</v>
      </c>
      <c r="AA1344">
        <v>30.01445168039093</v>
      </c>
      <c r="AB1344">
        <v>54.120546730783651</v>
      </c>
      <c r="AC1344">
        <v>66.823841727314814</v>
      </c>
      <c r="AD1344">
        <v>71.774986638985581</v>
      </c>
      <c r="AE1344">
        <v>50.53062202483838</v>
      </c>
      <c r="AF1344">
        <v>50.043041215039132</v>
      </c>
      <c r="AG1344">
        <v>68.754397282870372</v>
      </c>
      <c r="AH1344">
        <v>68.090971356944451</v>
      </c>
      <c r="AI1344">
        <v>30.881575822624249</v>
      </c>
      <c r="AJ1344">
        <v>55.684101286464191</v>
      </c>
      <c r="AK1344">
        <v>30.58359287398628</v>
      </c>
      <c r="AL1344">
        <v>55.146793449943758</v>
      </c>
      <c r="AM1344">
        <v>3.7072692311590409</v>
      </c>
      <c r="AN1344">
        <v>3.67149699520707</v>
      </c>
    </row>
    <row r="1345" spans="1:40" x14ac:dyDescent="0.25">
      <c r="A1345" s="1" t="s">
        <v>196</v>
      </c>
      <c r="B1345">
        <v>146682739729</v>
      </c>
      <c r="C1345" t="s">
        <v>69</v>
      </c>
      <c r="D1345" t="s">
        <v>105</v>
      </c>
      <c r="E1345">
        <v>40059000000</v>
      </c>
      <c r="F1345">
        <v>2939000000</v>
      </c>
      <c r="G1345">
        <v>4809000000</v>
      </c>
      <c r="H1345">
        <v>2667000000</v>
      </c>
      <c r="I1345">
        <v>2160000000</v>
      </c>
      <c r="J1345">
        <v>2011000000</v>
      </c>
      <c r="K1345">
        <v>5273000000</v>
      </c>
      <c r="L1345">
        <v>1795000000</v>
      </c>
      <c r="M1345">
        <v>7068000000</v>
      </c>
      <c r="N1345">
        <v>12483000000</v>
      </c>
      <c r="O1345">
        <v>1043000000</v>
      </c>
      <c r="P1345">
        <v>351000000</v>
      </c>
      <c r="Q1345">
        <v>9454000000</v>
      </c>
      <c r="R1345">
        <v>10318000000</v>
      </c>
      <c r="S1345">
        <v>27731000000</v>
      </c>
      <c r="T1345">
        <v>0</v>
      </c>
      <c r="U1345">
        <v>1433000000</v>
      </c>
      <c r="V1345">
        <v>13783000000</v>
      </c>
      <c r="W1345">
        <v>149419739729</v>
      </c>
      <c r="X1345">
        <v>150852739729</v>
      </c>
      <c r="Y1345">
        <v>3.661667533612921</v>
      </c>
      <c r="Z1345">
        <v>49.909064215379381</v>
      </c>
      <c r="AA1345">
        <v>30.50171339758786</v>
      </c>
      <c r="AB1345">
        <v>54.999152504311958</v>
      </c>
      <c r="AC1345">
        <v>67.908675800462959</v>
      </c>
      <c r="AD1345">
        <v>72.940198771258082</v>
      </c>
      <c r="AE1345">
        <v>51.327914164341607</v>
      </c>
      <c r="AF1345">
        <v>50.840333354542359</v>
      </c>
      <c r="AG1345">
        <v>69.839231356018516</v>
      </c>
      <c r="AH1345">
        <v>69.175805430092595</v>
      </c>
      <c r="AI1345">
        <v>31.368837539821168</v>
      </c>
      <c r="AJ1345">
        <v>56.562707059992498</v>
      </c>
      <c r="AK1345">
        <v>31.070854591183199</v>
      </c>
      <c r="AL1345">
        <v>56.025399223472057</v>
      </c>
      <c r="AM1345">
        <v>3.765763991337777</v>
      </c>
      <c r="AN1345">
        <v>3.729991755385806</v>
      </c>
    </row>
    <row r="1346" spans="1:40" x14ac:dyDescent="0.25">
      <c r="A1346" s="1" t="s">
        <v>195</v>
      </c>
      <c r="B1346">
        <v>142456536131</v>
      </c>
      <c r="C1346" t="s">
        <v>69</v>
      </c>
      <c r="D1346" t="s">
        <v>105</v>
      </c>
      <c r="E1346">
        <v>40059000000</v>
      </c>
      <c r="F1346">
        <v>2939000000</v>
      </c>
      <c r="G1346">
        <v>4809000000</v>
      </c>
      <c r="H1346">
        <v>2667000000</v>
      </c>
      <c r="I1346">
        <v>2160000000</v>
      </c>
      <c r="J1346">
        <v>2011000000</v>
      </c>
      <c r="K1346">
        <v>5273000000</v>
      </c>
      <c r="L1346">
        <v>1795000000</v>
      </c>
      <c r="M1346">
        <v>7068000000</v>
      </c>
      <c r="N1346">
        <v>12483000000</v>
      </c>
      <c r="O1346">
        <v>1043000000</v>
      </c>
      <c r="P1346">
        <v>351000000</v>
      </c>
      <c r="Q1346">
        <v>9454000000</v>
      </c>
      <c r="R1346">
        <v>10318000000</v>
      </c>
      <c r="S1346">
        <v>27731000000</v>
      </c>
      <c r="T1346">
        <v>0</v>
      </c>
      <c r="U1346">
        <v>1433000000</v>
      </c>
      <c r="V1346">
        <v>13783000000</v>
      </c>
      <c r="W1346">
        <v>145193536131</v>
      </c>
      <c r="X1346">
        <v>146626536131</v>
      </c>
      <c r="Y1346">
        <v>3.5561680553932948</v>
      </c>
      <c r="Z1346">
        <v>48.471090891799932</v>
      </c>
      <c r="AA1346">
        <v>29.622902085880639</v>
      </c>
      <c r="AB1346">
        <v>53.414524233595799</v>
      </c>
      <c r="AC1346">
        <v>65.952100060648149</v>
      </c>
      <c r="AD1346">
        <v>70.838655460467436</v>
      </c>
      <c r="AE1346">
        <v>49.889940840762158</v>
      </c>
      <c r="AF1346">
        <v>49.40236003096291</v>
      </c>
      <c r="AG1346">
        <v>67.882655616203706</v>
      </c>
      <c r="AH1346">
        <v>67.219229690277771</v>
      </c>
      <c r="AI1346">
        <v>30.490026228113951</v>
      </c>
      <c r="AJ1346">
        <v>54.978078789276339</v>
      </c>
      <c r="AK1346">
        <v>30.192043279475978</v>
      </c>
      <c r="AL1346">
        <v>54.440770952755898</v>
      </c>
      <c r="AM1346">
        <v>3.6602645131181508</v>
      </c>
      <c r="AN1346">
        <v>3.6244922771661798</v>
      </c>
    </row>
    <row r="1347" spans="1:40" x14ac:dyDescent="0.25">
      <c r="A1347" s="1" t="s">
        <v>194</v>
      </c>
      <c r="B1347">
        <v>151641206327</v>
      </c>
      <c r="C1347" t="s">
        <v>69</v>
      </c>
      <c r="D1347" t="s">
        <v>105</v>
      </c>
      <c r="E1347">
        <v>40059000000</v>
      </c>
      <c r="F1347">
        <v>2939000000</v>
      </c>
      <c r="G1347">
        <v>4809000000</v>
      </c>
      <c r="H1347">
        <v>2667000000</v>
      </c>
      <c r="I1347">
        <v>2160000000</v>
      </c>
      <c r="J1347">
        <v>2011000000</v>
      </c>
      <c r="K1347">
        <v>5273000000</v>
      </c>
      <c r="L1347">
        <v>1795000000</v>
      </c>
      <c r="M1347">
        <v>7068000000</v>
      </c>
      <c r="N1347">
        <v>12483000000</v>
      </c>
      <c r="O1347">
        <v>1043000000</v>
      </c>
      <c r="P1347">
        <v>351000000</v>
      </c>
      <c r="Q1347">
        <v>9454000000</v>
      </c>
      <c r="R1347">
        <v>10318000000</v>
      </c>
      <c r="S1347">
        <v>27731000000</v>
      </c>
      <c r="T1347">
        <v>0</v>
      </c>
      <c r="U1347">
        <v>1433000000</v>
      </c>
      <c r="V1347">
        <v>13783000000</v>
      </c>
      <c r="W1347">
        <v>154378206327</v>
      </c>
      <c r="X1347">
        <v>155811206327</v>
      </c>
      <c r="Y1347">
        <v>3.7854466244040039</v>
      </c>
      <c r="Z1347">
        <v>51.596191332766253</v>
      </c>
      <c r="AA1347">
        <v>31.53279399604908</v>
      </c>
      <c r="AB1347">
        <v>56.858345079490057</v>
      </c>
      <c r="AC1347">
        <v>70.204262188425929</v>
      </c>
      <c r="AD1347">
        <v>75.405870873694681</v>
      </c>
      <c r="AE1347">
        <v>53.015041281728479</v>
      </c>
      <c r="AF1347">
        <v>52.527460471929217</v>
      </c>
      <c r="AG1347">
        <v>72.134817743981486</v>
      </c>
      <c r="AH1347">
        <v>71.471391818055551</v>
      </c>
      <c r="AI1347">
        <v>32.399918138282388</v>
      </c>
      <c r="AJ1347">
        <v>58.421899635170597</v>
      </c>
      <c r="AK1347">
        <v>32.101935189644408</v>
      </c>
      <c r="AL1347">
        <v>57.88459179865017</v>
      </c>
      <c r="AM1347">
        <v>3.8895430821288599</v>
      </c>
      <c r="AN1347">
        <v>3.8537708461768889</v>
      </c>
    </row>
    <row r="1348" spans="1:40" x14ac:dyDescent="0.25">
      <c r="A1348" s="1" t="s">
        <v>193</v>
      </c>
      <c r="B1348">
        <v>149632713528</v>
      </c>
      <c r="C1348" t="s">
        <v>69</v>
      </c>
      <c r="D1348" t="s">
        <v>105</v>
      </c>
      <c r="E1348">
        <v>40059000000</v>
      </c>
      <c r="F1348">
        <v>2939000000</v>
      </c>
      <c r="G1348">
        <v>4809000000</v>
      </c>
      <c r="H1348">
        <v>2667000000</v>
      </c>
      <c r="I1348">
        <v>2160000000</v>
      </c>
      <c r="J1348">
        <v>2011000000</v>
      </c>
      <c r="K1348">
        <v>5273000000</v>
      </c>
      <c r="L1348">
        <v>1795000000</v>
      </c>
      <c r="M1348">
        <v>7068000000</v>
      </c>
      <c r="N1348">
        <v>12483000000</v>
      </c>
      <c r="O1348">
        <v>1043000000</v>
      </c>
      <c r="P1348">
        <v>351000000</v>
      </c>
      <c r="Q1348">
        <v>9454000000</v>
      </c>
      <c r="R1348">
        <v>10318000000</v>
      </c>
      <c r="S1348">
        <v>27731000000</v>
      </c>
      <c r="T1348">
        <v>0</v>
      </c>
      <c r="U1348">
        <v>1433000000</v>
      </c>
      <c r="V1348">
        <v>13783000000</v>
      </c>
      <c r="W1348">
        <v>152369713528</v>
      </c>
      <c r="X1348">
        <v>153802713528</v>
      </c>
      <c r="Y1348">
        <v>3.735308258518685</v>
      </c>
      <c r="Z1348">
        <v>50.912798070091867</v>
      </c>
      <c r="AA1348">
        <v>31.115141095446042</v>
      </c>
      <c r="AB1348">
        <v>56.105254416197972</v>
      </c>
      <c r="AC1348">
        <v>69.274404411111107</v>
      </c>
      <c r="AD1348">
        <v>74.407117617105911</v>
      </c>
      <c r="AE1348">
        <v>52.3316480190541</v>
      </c>
      <c r="AF1348">
        <v>51.844067209254852</v>
      </c>
      <c r="AG1348">
        <v>71.204959966666664</v>
      </c>
      <c r="AH1348">
        <v>70.541534040740743</v>
      </c>
      <c r="AI1348">
        <v>31.98226523767935</v>
      </c>
      <c r="AJ1348">
        <v>57.668808971878512</v>
      </c>
      <c r="AK1348">
        <v>31.684282289041381</v>
      </c>
      <c r="AL1348">
        <v>57.131501135358079</v>
      </c>
      <c r="AM1348">
        <v>3.839404716243541</v>
      </c>
      <c r="AN1348">
        <v>3.80363248029157</v>
      </c>
    </row>
    <row r="1349" spans="1:40" x14ac:dyDescent="0.25">
      <c r="A1349" s="1" t="s">
        <v>192</v>
      </c>
      <c r="B1349">
        <v>152268860327</v>
      </c>
      <c r="C1349" t="s">
        <v>69</v>
      </c>
      <c r="D1349" t="s">
        <v>105</v>
      </c>
      <c r="E1349">
        <v>40059000000</v>
      </c>
      <c r="F1349">
        <v>2939000000</v>
      </c>
      <c r="G1349">
        <v>4809000000</v>
      </c>
      <c r="H1349">
        <v>2667000000</v>
      </c>
      <c r="I1349">
        <v>2160000000</v>
      </c>
      <c r="J1349">
        <v>2011000000</v>
      </c>
      <c r="K1349">
        <v>5273000000</v>
      </c>
      <c r="L1349">
        <v>1795000000</v>
      </c>
      <c r="M1349">
        <v>7068000000</v>
      </c>
      <c r="N1349">
        <v>12483000000</v>
      </c>
      <c r="O1349">
        <v>1043000000</v>
      </c>
      <c r="P1349">
        <v>351000000</v>
      </c>
      <c r="Q1349">
        <v>9454000000</v>
      </c>
      <c r="R1349">
        <v>10318000000</v>
      </c>
      <c r="S1349">
        <v>27731000000</v>
      </c>
      <c r="T1349">
        <v>0</v>
      </c>
      <c r="U1349">
        <v>1433000000</v>
      </c>
      <c r="V1349">
        <v>13783000000</v>
      </c>
      <c r="W1349">
        <v>155005860327</v>
      </c>
      <c r="X1349">
        <v>156438860327</v>
      </c>
      <c r="Y1349">
        <v>3.8011148637509669</v>
      </c>
      <c r="Z1349">
        <v>51.80975172745832</v>
      </c>
      <c r="AA1349">
        <v>31.6633105275525</v>
      </c>
      <c r="AB1349">
        <v>57.093685911886013</v>
      </c>
      <c r="AC1349">
        <v>70.494842743981479</v>
      </c>
      <c r="AD1349">
        <v>75.717981266534068</v>
      </c>
      <c r="AE1349">
        <v>53.228601676420553</v>
      </c>
      <c r="AF1349">
        <v>52.741020866621298</v>
      </c>
      <c r="AG1349">
        <v>72.425398299537036</v>
      </c>
      <c r="AH1349">
        <v>71.761972373611115</v>
      </c>
      <c r="AI1349">
        <v>32.530434669785819</v>
      </c>
      <c r="AJ1349">
        <v>58.657240467566552</v>
      </c>
      <c r="AK1349">
        <v>32.232451721147847</v>
      </c>
      <c r="AL1349">
        <v>58.119932631046119</v>
      </c>
      <c r="AM1349">
        <v>3.9052113214758228</v>
      </c>
      <c r="AN1349">
        <v>3.8694390855238519</v>
      </c>
    </row>
    <row r="1350" spans="1:40" x14ac:dyDescent="0.25">
      <c r="A1350" s="1" t="s">
        <v>191</v>
      </c>
      <c r="B1350">
        <v>153775229926</v>
      </c>
      <c r="C1350" t="s">
        <v>69</v>
      </c>
      <c r="D1350" t="s">
        <v>105</v>
      </c>
      <c r="E1350">
        <v>40059000000</v>
      </c>
      <c r="F1350">
        <v>2939000000</v>
      </c>
      <c r="G1350">
        <v>4809000000</v>
      </c>
      <c r="H1350">
        <v>2667000000</v>
      </c>
      <c r="I1350">
        <v>2160000000</v>
      </c>
      <c r="J1350">
        <v>2011000000</v>
      </c>
      <c r="K1350">
        <v>5273000000</v>
      </c>
      <c r="L1350">
        <v>1795000000</v>
      </c>
      <c r="M1350">
        <v>7068000000</v>
      </c>
      <c r="N1350">
        <v>12483000000</v>
      </c>
      <c r="O1350">
        <v>1043000000</v>
      </c>
      <c r="P1350">
        <v>351000000</v>
      </c>
      <c r="Q1350">
        <v>9454000000</v>
      </c>
      <c r="R1350">
        <v>10318000000</v>
      </c>
      <c r="S1350">
        <v>27731000000</v>
      </c>
      <c r="T1350">
        <v>0</v>
      </c>
      <c r="U1350">
        <v>1433000000</v>
      </c>
      <c r="V1350">
        <v>13783000000</v>
      </c>
      <c r="W1350">
        <v>156512229926</v>
      </c>
      <c r="X1350">
        <v>157945229926</v>
      </c>
      <c r="Y1350">
        <v>3.8387186381587162</v>
      </c>
      <c r="Z1350">
        <v>52.322296674379039</v>
      </c>
      <c r="AA1350">
        <v>31.976550202952801</v>
      </c>
      <c r="AB1350">
        <v>57.658503909261341</v>
      </c>
      <c r="AC1350">
        <v>71.192236076851856</v>
      </c>
      <c r="AD1350">
        <v>76.467046208851315</v>
      </c>
      <c r="AE1350">
        <v>53.741146623341272</v>
      </c>
      <c r="AF1350">
        <v>53.253565813542018</v>
      </c>
      <c r="AG1350">
        <v>73.122791632407413</v>
      </c>
      <c r="AH1350">
        <v>72.459365706481478</v>
      </c>
      <c r="AI1350">
        <v>32.843674345186109</v>
      </c>
      <c r="AJ1350">
        <v>59.222058464941881</v>
      </c>
      <c r="AK1350">
        <v>32.545691396548143</v>
      </c>
      <c r="AL1350">
        <v>58.684750628421448</v>
      </c>
      <c r="AM1350">
        <v>3.9428150958835722</v>
      </c>
      <c r="AN1350">
        <v>3.9070428599316012</v>
      </c>
    </row>
    <row r="1351" spans="1:40" x14ac:dyDescent="0.25">
      <c r="A1351" s="1" t="s">
        <v>190</v>
      </c>
      <c r="B1351">
        <v>157499310324</v>
      </c>
      <c r="C1351" t="s">
        <v>69</v>
      </c>
      <c r="D1351" t="s">
        <v>105</v>
      </c>
      <c r="E1351">
        <v>40059000000</v>
      </c>
      <c r="F1351">
        <v>2939000000</v>
      </c>
      <c r="G1351">
        <v>4809000000</v>
      </c>
      <c r="H1351">
        <v>2667000000</v>
      </c>
      <c r="I1351">
        <v>2160000000</v>
      </c>
      <c r="J1351">
        <v>2011000000</v>
      </c>
      <c r="K1351">
        <v>5273000000</v>
      </c>
      <c r="L1351">
        <v>1795000000</v>
      </c>
      <c r="M1351">
        <v>7068000000</v>
      </c>
      <c r="N1351">
        <v>12483000000</v>
      </c>
      <c r="O1351">
        <v>1043000000</v>
      </c>
      <c r="P1351">
        <v>351000000</v>
      </c>
      <c r="Q1351">
        <v>9454000000</v>
      </c>
      <c r="R1351">
        <v>10318000000</v>
      </c>
      <c r="S1351">
        <v>27731000000</v>
      </c>
      <c r="T1351">
        <v>0</v>
      </c>
      <c r="U1351">
        <v>1433000000</v>
      </c>
      <c r="V1351">
        <v>13783000000</v>
      </c>
      <c r="W1351">
        <v>160236310324</v>
      </c>
      <c r="X1351">
        <v>161669310324</v>
      </c>
      <c r="Y1351">
        <v>3.9316835249007709</v>
      </c>
      <c r="Z1351">
        <v>53.589421682204829</v>
      </c>
      <c r="AA1351">
        <v>32.75094828945727</v>
      </c>
      <c r="AB1351">
        <v>59.054859514060738</v>
      </c>
      <c r="AC1351">
        <v>72.916347372222219</v>
      </c>
      <c r="AD1351">
        <v>78.318901205370466</v>
      </c>
      <c r="AE1351">
        <v>55.008271631167062</v>
      </c>
      <c r="AF1351">
        <v>54.520690821367808</v>
      </c>
      <c r="AG1351">
        <v>74.846902927777776</v>
      </c>
      <c r="AH1351">
        <v>74.183477001851855</v>
      </c>
      <c r="AI1351">
        <v>33.618072431690578</v>
      </c>
      <c r="AJ1351">
        <v>60.618414069741277</v>
      </c>
      <c r="AK1351">
        <v>33.320089483052612</v>
      </c>
      <c r="AL1351">
        <v>60.081106233220851</v>
      </c>
      <c r="AM1351">
        <v>4.0357799826256269</v>
      </c>
      <c r="AN1351">
        <v>4.0000077466736563</v>
      </c>
    </row>
    <row r="1352" spans="1:40" x14ac:dyDescent="0.25">
      <c r="A1352" s="1" t="s">
        <v>189</v>
      </c>
      <c r="B1352">
        <v>154695789126</v>
      </c>
      <c r="C1352" t="s">
        <v>69</v>
      </c>
      <c r="D1352" t="s">
        <v>105</v>
      </c>
      <c r="E1352">
        <v>40059000000</v>
      </c>
      <c r="F1352">
        <v>2939000000</v>
      </c>
      <c r="G1352">
        <v>4809000000</v>
      </c>
      <c r="H1352">
        <v>2667000000</v>
      </c>
      <c r="I1352">
        <v>2160000000</v>
      </c>
      <c r="J1352">
        <v>2011000000</v>
      </c>
      <c r="K1352">
        <v>5273000000</v>
      </c>
      <c r="L1352">
        <v>1795000000</v>
      </c>
      <c r="M1352">
        <v>7068000000</v>
      </c>
      <c r="N1352">
        <v>12483000000</v>
      </c>
      <c r="O1352">
        <v>1043000000</v>
      </c>
      <c r="P1352">
        <v>351000000</v>
      </c>
      <c r="Q1352">
        <v>9454000000</v>
      </c>
      <c r="R1352">
        <v>10318000000</v>
      </c>
      <c r="S1352">
        <v>27731000000</v>
      </c>
      <c r="T1352">
        <v>0</v>
      </c>
      <c r="U1352">
        <v>1433000000</v>
      </c>
      <c r="V1352">
        <v>13783000000</v>
      </c>
      <c r="W1352">
        <v>157432789126</v>
      </c>
      <c r="X1352">
        <v>158865789126</v>
      </c>
      <c r="Y1352">
        <v>3.8616987225342618</v>
      </c>
      <c r="Z1352">
        <v>52.635518586594081</v>
      </c>
      <c r="AA1352">
        <v>32.167974449157832</v>
      </c>
      <c r="AB1352">
        <v>58.00367046344207</v>
      </c>
      <c r="AC1352">
        <v>71.618420891666673</v>
      </c>
      <c r="AD1352">
        <v>76.924808118349077</v>
      </c>
      <c r="AE1352">
        <v>54.054368535556307</v>
      </c>
      <c r="AF1352">
        <v>53.566787725757059</v>
      </c>
      <c r="AG1352">
        <v>73.548976447222216</v>
      </c>
      <c r="AH1352">
        <v>72.885550521296295</v>
      </c>
      <c r="AI1352">
        <v>33.03509859139114</v>
      </c>
      <c r="AJ1352">
        <v>59.56722501912261</v>
      </c>
      <c r="AK1352">
        <v>32.737115642753167</v>
      </c>
      <c r="AL1352">
        <v>59.029917182602183</v>
      </c>
      <c r="AM1352">
        <v>3.9657951802591178</v>
      </c>
      <c r="AN1352">
        <v>3.9300229443071468</v>
      </c>
    </row>
    <row r="1353" spans="1:40" x14ac:dyDescent="0.25">
      <c r="A1353" s="1" t="s">
        <v>188</v>
      </c>
      <c r="B1353">
        <v>156306767725</v>
      </c>
      <c r="C1353" t="s">
        <v>69</v>
      </c>
      <c r="D1353" t="s">
        <v>105</v>
      </c>
      <c r="E1353">
        <v>40059000000</v>
      </c>
      <c r="F1353">
        <v>2939000000</v>
      </c>
      <c r="G1353">
        <v>4809000000</v>
      </c>
      <c r="H1353">
        <v>2667000000</v>
      </c>
      <c r="I1353">
        <v>2160000000</v>
      </c>
      <c r="J1353">
        <v>2011000000</v>
      </c>
      <c r="K1353">
        <v>5273000000</v>
      </c>
      <c r="L1353">
        <v>1795000000</v>
      </c>
      <c r="M1353">
        <v>7068000000</v>
      </c>
      <c r="N1353">
        <v>12483000000</v>
      </c>
      <c r="O1353">
        <v>1043000000</v>
      </c>
      <c r="P1353">
        <v>351000000</v>
      </c>
      <c r="Q1353">
        <v>9454000000</v>
      </c>
      <c r="R1353">
        <v>10318000000</v>
      </c>
      <c r="S1353">
        <v>27731000000</v>
      </c>
      <c r="T1353">
        <v>0</v>
      </c>
      <c r="U1353">
        <v>1433000000</v>
      </c>
      <c r="V1353">
        <v>13783000000</v>
      </c>
      <c r="W1353">
        <v>159043767725</v>
      </c>
      <c r="X1353">
        <v>160476767725</v>
      </c>
      <c r="Y1353">
        <v>3.901913870166505</v>
      </c>
      <c r="Z1353">
        <v>53.183656932630143</v>
      </c>
      <c r="AA1353">
        <v>32.502966879808689</v>
      </c>
      <c r="AB1353">
        <v>58.60771193288339</v>
      </c>
      <c r="AC1353">
        <v>72.364244317129632</v>
      </c>
      <c r="AD1353">
        <v>77.725891459472905</v>
      </c>
      <c r="AE1353">
        <v>54.602506881592383</v>
      </c>
      <c r="AF1353">
        <v>54.114926071793128</v>
      </c>
      <c r="AG1353">
        <v>74.294799872685189</v>
      </c>
      <c r="AH1353">
        <v>73.631373946759254</v>
      </c>
      <c r="AI1353">
        <v>33.370091022041997</v>
      </c>
      <c r="AJ1353">
        <v>60.17126648856393</v>
      </c>
      <c r="AK1353">
        <v>33.072108073404031</v>
      </c>
      <c r="AL1353">
        <v>59.633958652043503</v>
      </c>
      <c r="AM1353">
        <v>4.0060103278913601</v>
      </c>
      <c r="AN1353">
        <v>3.97023809193939</v>
      </c>
    </row>
    <row r="1354" spans="1:40" x14ac:dyDescent="0.25">
      <c r="A1354" s="1" t="s">
        <v>187</v>
      </c>
      <c r="B1354">
        <v>162018419122</v>
      </c>
      <c r="C1354" t="s">
        <v>69</v>
      </c>
      <c r="D1354" t="s">
        <v>105</v>
      </c>
      <c r="E1354">
        <v>40059000000</v>
      </c>
      <c r="F1354">
        <v>2939000000</v>
      </c>
      <c r="G1354">
        <v>4809000000</v>
      </c>
      <c r="H1354">
        <v>2667000000</v>
      </c>
      <c r="I1354">
        <v>2160000000</v>
      </c>
      <c r="J1354">
        <v>2011000000</v>
      </c>
      <c r="K1354">
        <v>5273000000</v>
      </c>
      <c r="L1354">
        <v>1795000000</v>
      </c>
      <c r="M1354">
        <v>7068000000</v>
      </c>
      <c r="N1354">
        <v>12483000000</v>
      </c>
      <c r="O1354">
        <v>1043000000</v>
      </c>
      <c r="P1354">
        <v>351000000</v>
      </c>
      <c r="Q1354">
        <v>9454000000</v>
      </c>
      <c r="R1354">
        <v>10318000000</v>
      </c>
      <c r="S1354">
        <v>27731000000</v>
      </c>
      <c r="T1354">
        <v>0</v>
      </c>
      <c r="U1354">
        <v>1433000000</v>
      </c>
      <c r="V1354">
        <v>13783000000</v>
      </c>
      <c r="W1354">
        <v>164755419122</v>
      </c>
      <c r="X1354">
        <v>166188419122</v>
      </c>
      <c r="Y1354">
        <v>4.0444948481489806</v>
      </c>
      <c r="Z1354">
        <v>55.127056523307253</v>
      </c>
      <c r="AA1354">
        <v>33.690667315866087</v>
      </c>
      <c r="AB1354">
        <v>60.749313506561677</v>
      </c>
      <c r="AC1354">
        <v>75.008527371296296</v>
      </c>
      <c r="AD1354">
        <v>80.566096032819488</v>
      </c>
      <c r="AE1354">
        <v>56.545906472269479</v>
      </c>
      <c r="AF1354">
        <v>56.058325662470232</v>
      </c>
      <c r="AG1354">
        <v>76.939082926851853</v>
      </c>
      <c r="AH1354">
        <v>76.275657000925932</v>
      </c>
      <c r="AI1354">
        <v>34.557791458099388</v>
      </c>
      <c r="AJ1354">
        <v>62.312868062242217</v>
      </c>
      <c r="AK1354">
        <v>34.259808509461429</v>
      </c>
      <c r="AL1354">
        <v>61.775560225721783</v>
      </c>
      <c r="AM1354">
        <v>4.1485913058738362</v>
      </c>
      <c r="AN1354">
        <v>4.1128190699218656</v>
      </c>
    </row>
    <row r="1355" spans="1:40" x14ac:dyDescent="0.25">
      <c r="A1355" s="1" t="s">
        <v>186</v>
      </c>
      <c r="B1355">
        <v>161390765122</v>
      </c>
      <c r="C1355" t="s">
        <v>69</v>
      </c>
      <c r="D1355" t="s">
        <v>105</v>
      </c>
      <c r="E1355">
        <v>40059000000</v>
      </c>
      <c r="F1355">
        <v>2939000000</v>
      </c>
      <c r="G1355">
        <v>4809000000</v>
      </c>
      <c r="H1355">
        <v>2667000000</v>
      </c>
      <c r="I1355">
        <v>2160000000</v>
      </c>
      <c r="J1355">
        <v>2011000000</v>
      </c>
      <c r="K1355">
        <v>5273000000</v>
      </c>
      <c r="L1355">
        <v>1795000000</v>
      </c>
      <c r="M1355">
        <v>7068000000</v>
      </c>
      <c r="N1355">
        <v>12483000000</v>
      </c>
      <c r="O1355">
        <v>1043000000</v>
      </c>
      <c r="P1355">
        <v>351000000</v>
      </c>
      <c r="Q1355">
        <v>9454000000</v>
      </c>
      <c r="R1355">
        <v>10318000000</v>
      </c>
      <c r="S1355">
        <v>27731000000</v>
      </c>
      <c r="T1355">
        <v>0</v>
      </c>
      <c r="U1355">
        <v>1433000000</v>
      </c>
      <c r="V1355">
        <v>13783000000</v>
      </c>
      <c r="W1355">
        <v>164127765122</v>
      </c>
      <c r="X1355">
        <v>165560765122</v>
      </c>
      <c r="Y1355">
        <v>4.0288266088020173</v>
      </c>
      <c r="Z1355">
        <v>54.913496128615172</v>
      </c>
      <c r="AA1355">
        <v>33.560150784362648</v>
      </c>
      <c r="AB1355">
        <v>60.513972674165728</v>
      </c>
      <c r="AC1355">
        <v>74.717946815740746</v>
      </c>
      <c r="AD1355">
        <v>80.253985639980115</v>
      </c>
      <c r="AE1355">
        <v>56.332346077577412</v>
      </c>
      <c r="AF1355">
        <v>55.844765267778158</v>
      </c>
      <c r="AG1355">
        <v>76.648502371296303</v>
      </c>
      <c r="AH1355">
        <v>75.985076445370368</v>
      </c>
      <c r="AI1355">
        <v>34.427274926595963</v>
      </c>
      <c r="AJ1355">
        <v>62.077527229846268</v>
      </c>
      <c r="AK1355">
        <v>34.129291977957998</v>
      </c>
      <c r="AL1355">
        <v>61.540219393325827</v>
      </c>
      <c r="AM1355">
        <v>4.1329230665268728</v>
      </c>
      <c r="AN1355">
        <v>4.0971508305749023</v>
      </c>
    </row>
    <row r="1356" spans="1:40" x14ac:dyDescent="0.25">
      <c r="A1356" s="1" t="s">
        <v>185</v>
      </c>
      <c r="B1356">
        <v>160449284123</v>
      </c>
      <c r="C1356" t="s">
        <v>69</v>
      </c>
      <c r="D1356" t="s">
        <v>105</v>
      </c>
      <c r="E1356">
        <v>40059000000</v>
      </c>
      <c r="F1356">
        <v>2939000000</v>
      </c>
      <c r="G1356">
        <v>4809000000</v>
      </c>
      <c r="H1356">
        <v>2667000000</v>
      </c>
      <c r="I1356">
        <v>2160000000</v>
      </c>
      <c r="J1356">
        <v>2011000000</v>
      </c>
      <c r="K1356">
        <v>5273000000</v>
      </c>
      <c r="L1356">
        <v>1795000000</v>
      </c>
      <c r="M1356">
        <v>7068000000</v>
      </c>
      <c r="N1356">
        <v>12483000000</v>
      </c>
      <c r="O1356">
        <v>1043000000</v>
      </c>
      <c r="P1356">
        <v>351000000</v>
      </c>
      <c r="Q1356">
        <v>9454000000</v>
      </c>
      <c r="R1356">
        <v>10318000000</v>
      </c>
      <c r="S1356">
        <v>27731000000</v>
      </c>
      <c r="T1356">
        <v>0</v>
      </c>
      <c r="U1356">
        <v>1433000000</v>
      </c>
      <c r="V1356">
        <v>13783000000</v>
      </c>
      <c r="W1356">
        <v>163186284123</v>
      </c>
      <c r="X1356">
        <v>164619284123</v>
      </c>
      <c r="Y1356">
        <v>4.0053242498065353</v>
      </c>
      <c r="Z1356">
        <v>54.593155536917322</v>
      </c>
      <c r="AA1356">
        <v>33.364375987315448</v>
      </c>
      <c r="AB1356">
        <v>60.160961425946759</v>
      </c>
      <c r="AC1356">
        <v>74.282075982870367</v>
      </c>
      <c r="AD1356">
        <v>79.785820051218295</v>
      </c>
      <c r="AE1356">
        <v>56.012005485879548</v>
      </c>
      <c r="AF1356">
        <v>55.524424676080301</v>
      </c>
      <c r="AG1356">
        <v>76.212631538425924</v>
      </c>
      <c r="AH1356">
        <v>75.549205612500003</v>
      </c>
      <c r="AI1356">
        <v>34.231500129548763</v>
      </c>
      <c r="AJ1356">
        <v>61.724515981627299</v>
      </c>
      <c r="AK1356">
        <v>33.933517180910791</v>
      </c>
      <c r="AL1356">
        <v>61.187208145106858</v>
      </c>
      <c r="AM1356">
        <v>4.1094207075313909</v>
      </c>
      <c r="AN1356">
        <v>4.0736484715794203</v>
      </c>
    </row>
    <row r="1357" spans="1:40" x14ac:dyDescent="0.25">
      <c r="A1357" s="1" t="s">
        <v>184</v>
      </c>
      <c r="B1357">
        <v>158482634924</v>
      </c>
      <c r="C1357" t="s">
        <v>69</v>
      </c>
      <c r="D1357" t="s">
        <v>105</v>
      </c>
      <c r="E1357">
        <v>40059000000</v>
      </c>
      <c r="F1357">
        <v>2939000000</v>
      </c>
      <c r="G1357">
        <v>4809000000</v>
      </c>
      <c r="H1357">
        <v>2667000000</v>
      </c>
      <c r="I1357">
        <v>2160000000</v>
      </c>
      <c r="J1357">
        <v>2011000000</v>
      </c>
      <c r="K1357">
        <v>5273000000</v>
      </c>
      <c r="L1357">
        <v>1795000000</v>
      </c>
      <c r="M1357">
        <v>7068000000</v>
      </c>
      <c r="N1357">
        <v>12483000000</v>
      </c>
      <c r="O1357">
        <v>1043000000</v>
      </c>
      <c r="P1357">
        <v>351000000</v>
      </c>
      <c r="Q1357">
        <v>9454000000</v>
      </c>
      <c r="R1357">
        <v>10318000000</v>
      </c>
      <c r="S1357">
        <v>27731000000</v>
      </c>
      <c r="T1357">
        <v>0</v>
      </c>
      <c r="U1357">
        <v>1433000000</v>
      </c>
      <c r="V1357">
        <v>13783000000</v>
      </c>
      <c r="W1357">
        <v>161219634924</v>
      </c>
      <c r="X1357">
        <v>162652634924</v>
      </c>
      <c r="Y1357">
        <v>3.9562304332110139</v>
      </c>
      <c r="Z1357">
        <v>53.923999633889068</v>
      </c>
      <c r="AA1357">
        <v>32.955424188812643</v>
      </c>
      <c r="AB1357">
        <v>59.423560151481063</v>
      </c>
      <c r="AC1357">
        <v>73.371590242592589</v>
      </c>
      <c r="AD1357">
        <v>78.807874154152159</v>
      </c>
      <c r="AE1357">
        <v>55.342849582851308</v>
      </c>
      <c r="AF1357">
        <v>54.85526877305206</v>
      </c>
      <c r="AG1357">
        <v>75.302145798148146</v>
      </c>
      <c r="AH1357">
        <v>74.638719872222225</v>
      </c>
      <c r="AI1357">
        <v>33.822548331045958</v>
      </c>
      <c r="AJ1357">
        <v>60.987114707161602</v>
      </c>
      <c r="AK1357">
        <v>33.524565382407992</v>
      </c>
      <c r="AL1357">
        <v>60.449806870641169</v>
      </c>
      <c r="AM1357">
        <v>4.0603268909358698</v>
      </c>
      <c r="AN1357">
        <v>4.0245546549838984</v>
      </c>
    </row>
    <row r="1358" spans="1:40" x14ac:dyDescent="0.25">
      <c r="A1358" s="1" t="s">
        <v>113</v>
      </c>
      <c r="B1358">
        <v>157248248724</v>
      </c>
      <c r="C1358" t="s">
        <v>69</v>
      </c>
      <c r="D1358" t="s">
        <v>105</v>
      </c>
      <c r="E1358">
        <v>40059000000</v>
      </c>
      <c r="F1358">
        <v>2939000000</v>
      </c>
      <c r="G1358">
        <v>4809000000</v>
      </c>
      <c r="H1358">
        <v>2667000000</v>
      </c>
      <c r="I1358">
        <v>2160000000</v>
      </c>
      <c r="J1358">
        <v>2011000000</v>
      </c>
      <c r="K1358">
        <v>5273000000</v>
      </c>
      <c r="L1358">
        <v>1795000000</v>
      </c>
      <c r="M1358">
        <v>7068000000</v>
      </c>
      <c r="N1358">
        <v>12483000000</v>
      </c>
      <c r="O1358">
        <v>1043000000</v>
      </c>
      <c r="P1358">
        <v>351000000</v>
      </c>
      <c r="Q1358">
        <v>9454000000</v>
      </c>
      <c r="R1358">
        <v>10318000000</v>
      </c>
      <c r="S1358">
        <v>27731000000</v>
      </c>
      <c r="T1358">
        <v>0</v>
      </c>
      <c r="U1358">
        <v>1433000000</v>
      </c>
      <c r="V1358">
        <v>13783000000</v>
      </c>
      <c r="W1358">
        <v>159985248724</v>
      </c>
      <c r="X1358">
        <v>161418248724</v>
      </c>
      <c r="Y1358">
        <v>3.9254162291619861</v>
      </c>
      <c r="Z1358">
        <v>53.503997524328</v>
      </c>
      <c r="AA1358">
        <v>32.698741676855903</v>
      </c>
      <c r="AB1358">
        <v>58.96072318110236</v>
      </c>
      <c r="AC1358">
        <v>72.800115149999996</v>
      </c>
      <c r="AD1358">
        <v>78.194057048234711</v>
      </c>
      <c r="AE1358">
        <v>54.922847473290233</v>
      </c>
      <c r="AF1358">
        <v>54.435266663490992</v>
      </c>
      <c r="AG1358">
        <v>74.730670705555553</v>
      </c>
      <c r="AH1358">
        <v>74.067244779629632</v>
      </c>
      <c r="AI1358">
        <v>33.565865819089211</v>
      </c>
      <c r="AJ1358">
        <v>60.524277736782899</v>
      </c>
      <c r="AK1358">
        <v>33.267882870451238</v>
      </c>
      <c r="AL1358">
        <v>59.986969900262473</v>
      </c>
      <c r="AM1358">
        <v>4.0295126868868421</v>
      </c>
      <c r="AN1358">
        <v>3.9937404509348711</v>
      </c>
    </row>
    <row r="1359" spans="1:40" x14ac:dyDescent="0.25">
      <c r="A1359" s="1" t="s">
        <v>183</v>
      </c>
      <c r="B1359">
        <v>155323443125</v>
      </c>
      <c r="C1359" t="s">
        <v>69</v>
      </c>
      <c r="D1359" t="s">
        <v>105</v>
      </c>
      <c r="E1359">
        <v>40059000000</v>
      </c>
      <c r="F1359">
        <v>2939000000</v>
      </c>
      <c r="G1359">
        <v>4809000000</v>
      </c>
      <c r="H1359">
        <v>2667000000</v>
      </c>
      <c r="I1359">
        <v>2160000000</v>
      </c>
      <c r="J1359">
        <v>2011000000</v>
      </c>
      <c r="K1359">
        <v>5273000000</v>
      </c>
      <c r="L1359">
        <v>1795000000</v>
      </c>
      <c r="M1359">
        <v>7068000000</v>
      </c>
      <c r="N1359">
        <v>12483000000</v>
      </c>
      <c r="O1359">
        <v>1043000000</v>
      </c>
      <c r="P1359">
        <v>351000000</v>
      </c>
      <c r="Q1359">
        <v>9454000000</v>
      </c>
      <c r="R1359">
        <v>10318000000</v>
      </c>
      <c r="S1359">
        <v>27731000000</v>
      </c>
      <c r="T1359">
        <v>0</v>
      </c>
      <c r="U1359">
        <v>1433000000</v>
      </c>
      <c r="V1359">
        <v>13783000000</v>
      </c>
      <c r="W1359">
        <v>158060443125</v>
      </c>
      <c r="X1359">
        <v>159493443125</v>
      </c>
      <c r="Y1359">
        <v>3.8773669618562621</v>
      </c>
      <c r="Z1359">
        <v>52.849078980945897</v>
      </c>
      <c r="AA1359">
        <v>32.298490980453323</v>
      </c>
      <c r="AB1359">
        <v>58.239011295463072</v>
      </c>
      <c r="AC1359">
        <v>71.909001446759262</v>
      </c>
      <c r="AD1359">
        <v>77.236918510691197</v>
      </c>
      <c r="AE1359">
        <v>54.26792892990813</v>
      </c>
      <c r="AF1359">
        <v>53.780348120108883</v>
      </c>
      <c r="AG1359">
        <v>73.83955700231482</v>
      </c>
      <c r="AH1359">
        <v>73.176131076388884</v>
      </c>
      <c r="AI1359">
        <v>33.165615122686631</v>
      </c>
      <c r="AJ1359">
        <v>59.802565851143598</v>
      </c>
      <c r="AK1359">
        <v>32.867632174048659</v>
      </c>
      <c r="AL1359">
        <v>59.265258014623171</v>
      </c>
      <c r="AM1359">
        <v>3.981463419581118</v>
      </c>
      <c r="AN1359">
        <v>3.9456911836291471</v>
      </c>
    </row>
    <row r="1360" spans="1:40" x14ac:dyDescent="0.25">
      <c r="A1360" s="1" t="s">
        <v>182</v>
      </c>
      <c r="B1360">
        <v>152457156527</v>
      </c>
      <c r="C1360" t="s">
        <v>69</v>
      </c>
      <c r="D1360" t="s">
        <v>105</v>
      </c>
      <c r="E1360">
        <v>40059000000</v>
      </c>
      <c r="F1360">
        <v>2939000000</v>
      </c>
      <c r="G1360">
        <v>4809000000</v>
      </c>
      <c r="H1360">
        <v>2667000000</v>
      </c>
      <c r="I1360">
        <v>2160000000</v>
      </c>
      <c r="J1360">
        <v>2011000000</v>
      </c>
      <c r="K1360">
        <v>5273000000</v>
      </c>
      <c r="L1360">
        <v>1795000000</v>
      </c>
      <c r="M1360">
        <v>7068000000</v>
      </c>
      <c r="N1360">
        <v>12483000000</v>
      </c>
      <c r="O1360">
        <v>1043000000</v>
      </c>
      <c r="P1360">
        <v>351000000</v>
      </c>
      <c r="Q1360">
        <v>9454000000</v>
      </c>
      <c r="R1360">
        <v>10318000000</v>
      </c>
      <c r="S1360">
        <v>27731000000</v>
      </c>
      <c r="T1360">
        <v>0</v>
      </c>
      <c r="U1360">
        <v>1433000000</v>
      </c>
      <c r="V1360">
        <v>13783000000</v>
      </c>
      <c r="W1360">
        <v>155194156527</v>
      </c>
      <c r="X1360">
        <v>156627156527</v>
      </c>
      <c r="Y1360">
        <v>3.8058153355550561</v>
      </c>
      <c r="Z1360">
        <v>51.873819845865938</v>
      </c>
      <c r="AA1360">
        <v>31.70246548700354</v>
      </c>
      <c r="AB1360">
        <v>57.164288161604802</v>
      </c>
      <c r="AC1360">
        <v>70.58201691064815</v>
      </c>
      <c r="AD1360">
        <v>75.811614384385877</v>
      </c>
      <c r="AE1360">
        <v>53.292669794828171</v>
      </c>
      <c r="AF1360">
        <v>52.805088985028917</v>
      </c>
      <c r="AG1360">
        <v>72.512572466203707</v>
      </c>
      <c r="AH1360">
        <v>71.849146540277772</v>
      </c>
      <c r="AI1360">
        <v>32.569589629236837</v>
      </c>
      <c r="AJ1360">
        <v>58.727842717285341</v>
      </c>
      <c r="AK1360">
        <v>32.271606680598879</v>
      </c>
      <c r="AL1360">
        <v>58.190534880764908</v>
      </c>
      <c r="AM1360">
        <v>3.9099117932799121</v>
      </c>
      <c r="AN1360">
        <v>3.8741395573279411</v>
      </c>
    </row>
    <row r="1361" spans="1:40" x14ac:dyDescent="0.25">
      <c r="A1361" s="1" t="s">
        <v>181</v>
      </c>
      <c r="B1361">
        <v>152603609127</v>
      </c>
      <c r="C1361" t="s">
        <v>69</v>
      </c>
      <c r="D1361" t="s">
        <v>105</v>
      </c>
      <c r="E1361">
        <v>40059000000</v>
      </c>
      <c r="F1361">
        <v>2939000000</v>
      </c>
      <c r="G1361">
        <v>4809000000</v>
      </c>
      <c r="H1361">
        <v>2667000000</v>
      </c>
      <c r="I1361">
        <v>2160000000</v>
      </c>
      <c r="J1361">
        <v>2011000000</v>
      </c>
      <c r="K1361">
        <v>5273000000</v>
      </c>
      <c r="L1361">
        <v>1795000000</v>
      </c>
      <c r="M1361">
        <v>7068000000</v>
      </c>
      <c r="N1361">
        <v>12483000000</v>
      </c>
      <c r="O1361">
        <v>1043000000</v>
      </c>
      <c r="P1361">
        <v>351000000</v>
      </c>
      <c r="Q1361">
        <v>9454000000</v>
      </c>
      <c r="R1361">
        <v>10318000000</v>
      </c>
      <c r="S1361">
        <v>27731000000</v>
      </c>
      <c r="T1361">
        <v>0</v>
      </c>
      <c r="U1361">
        <v>1433000000</v>
      </c>
      <c r="V1361">
        <v>13783000000</v>
      </c>
      <c r="W1361">
        <v>155340609127</v>
      </c>
      <c r="X1361">
        <v>156773609127</v>
      </c>
      <c r="Y1361">
        <v>3.8094712580693471</v>
      </c>
      <c r="Z1361">
        <v>51.923650604627433</v>
      </c>
      <c r="AA1361">
        <v>31.73291934435434</v>
      </c>
      <c r="AB1361">
        <v>57.219201022497188</v>
      </c>
      <c r="AC1361">
        <v>70.649819040277777</v>
      </c>
      <c r="AD1361">
        <v>75.884440142715064</v>
      </c>
      <c r="AE1361">
        <v>53.342500553589659</v>
      </c>
      <c r="AF1361">
        <v>52.854919743790397</v>
      </c>
      <c r="AG1361">
        <v>72.580374595833334</v>
      </c>
      <c r="AH1361">
        <v>71.916948669907413</v>
      </c>
      <c r="AI1361">
        <v>32.600043486587651</v>
      </c>
      <c r="AJ1361">
        <v>58.782755578177728</v>
      </c>
      <c r="AK1361">
        <v>32.302060537949679</v>
      </c>
      <c r="AL1361">
        <v>58.245447741657287</v>
      </c>
      <c r="AM1361">
        <v>3.913567715794203</v>
      </c>
      <c r="AN1361">
        <v>3.8777954798422321</v>
      </c>
    </row>
    <row r="1362" spans="1:40" x14ac:dyDescent="0.25">
      <c r="A1362" s="1" t="s">
        <v>180</v>
      </c>
      <c r="B1362">
        <v>155407130325</v>
      </c>
      <c r="C1362" t="s">
        <v>69</v>
      </c>
      <c r="D1362" t="s">
        <v>105</v>
      </c>
      <c r="E1362">
        <v>40059000000</v>
      </c>
      <c r="F1362">
        <v>2939000000</v>
      </c>
      <c r="G1362">
        <v>4809000000</v>
      </c>
      <c r="H1362">
        <v>2667000000</v>
      </c>
      <c r="I1362">
        <v>2160000000</v>
      </c>
      <c r="J1362">
        <v>2011000000</v>
      </c>
      <c r="K1362">
        <v>5273000000</v>
      </c>
      <c r="L1362">
        <v>1795000000</v>
      </c>
      <c r="M1362">
        <v>7068000000</v>
      </c>
      <c r="N1362">
        <v>12483000000</v>
      </c>
      <c r="O1362">
        <v>1043000000</v>
      </c>
      <c r="P1362">
        <v>351000000</v>
      </c>
      <c r="Q1362">
        <v>9454000000</v>
      </c>
      <c r="R1362">
        <v>10318000000</v>
      </c>
      <c r="S1362">
        <v>27731000000</v>
      </c>
      <c r="T1362">
        <v>0</v>
      </c>
      <c r="U1362">
        <v>1433000000</v>
      </c>
      <c r="V1362">
        <v>13783000000</v>
      </c>
      <c r="W1362">
        <v>158144130325</v>
      </c>
      <c r="X1362">
        <v>159577130325</v>
      </c>
      <c r="Y1362">
        <v>3.879456060435857</v>
      </c>
      <c r="Z1362">
        <v>52.877553700238167</v>
      </c>
      <c r="AA1362">
        <v>32.315893184653767</v>
      </c>
      <c r="AB1362">
        <v>58.270390073115863</v>
      </c>
      <c r="AC1362">
        <v>71.947745520833337</v>
      </c>
      <c r="AD1362">
        <v>77.278533229736453</v>
      </c>
      <c r="AE1362">
        <v>54.296403649200407</v>
      </c>
      <c r="AF1362">
        <v>53.808822839401159</v>
      </c>
      <c r="AG1362">
        <v>73.878301076388894</v>
      </c>
      <c r="AH1362">
        <v>73.214875150462959</v>
      </c>
      <c r="AI1362">
        <v>33.183017326887089</v>
      </c>
      <c r="AJ1362">
        <v>59.833944628796402</v>
      </c>
      <c r="AK1362">
        <v>32.885034378249117</v>
      </c>
      <c r="AL1362">
        <v>59.296636792275969</v>
      </c>
      <c r="AM1362">
        <v>3.983552518160713</v>
      </c>
      <c r="AN1362">
        <v>3.947780282208742</v>
      </c>
    </row>
    <row r="1363" spans="1:40" x14ac:dyDescent="0.25">
      <c r="A1363" s="1" t="s">
        <v>179</v>
      </c>
      <c r="B1363">
        <v>156055706125</v>
      </c>
      <c r="C1363" t="s">
        <v>69</v>
      </c>
      <c r="D1363" t="s">
        <v>105</v>
      </c>
      <c r="E1363">
        <v>40059000000</v>
      </c>
      <c r="F1363">
        <v>2939000000</v>
      </c>
      <c r="G1363">
        <v>4809000000</v>
      </c>
      <c r="H1363">
        <v>2667000000</v>
      </c>
      <c r="I1363">
        <v>2160000000</v>
      </c>
      <c r="J1363">
        <v>2011000000</v>
      </c>
      <c r="K1363">
        <v>5273000000</v>
      </c>
      <c r="L1363">
        <v>1795000000</v>
      </c>
      <c r="M1363">
        <v>7068000000</v>
      </c>
      <c r="N1363">
        <v>12483000000</v>
      </c>
      <c r="O1363">
        <v>1043000000</v>
      </c>
      <c r="P1363">
        <v>351000000</v>
      </c>
      <c r="Q1363">
        <v>9454000000</v>
      </c>
      <c r="R1363">
        <v>10318000000</v>
      </c>
      <c r="S1363">
        <v>27731000000</v>
      </c>
      <c r="T1363">
        <v>0</v>
      </c>
      <c r="U1363">
        <v>1433000000</v>
      </c>
      <c r="V1363">
        <v>13783000000</v>
      </c>
      <c r="W1363">
        <v>158792706125</v>
      </c>
      <c r="X1363">
        <v>160225706125</v>
      </c>
      <c r="Y1363">
        <v>3.8956465744277189</v>
      </c>
      <c r="Z1363">
        <v>53.09823277475332</v>
      </c>
      <c r="AA1363">
        <v>32.450760267207322</v>
      </c>
      <c r="AB1363">
        <v>58.513575599925012</v>
      </c>
      <c r="AC1363">
        <v>72.248012094907409</v>
      </c>
      <c r="AD1363">
        <v>77.60104730233715</v>
      </c>
      <c r="AE1363">
        <v>54.517082723715554</v>
      </c>
      <c r="AF1363">
        <v>54.029501913916299</v>
      </c>
      <c r="AG1363">
        <v>74.178567650462966</v>
      </c>
      <c r="AH1363">
        <v>73.515141724537031</v>
      </c>
      <c r="AI1363">
        <v>33.31788440944063</v>
      </c>
      <c r="AJ1363">
        <v>60.077130155605552</v>
      </c>
      <c r="AK1363">
        <v>33.019901460802657</v>
      </c>
      <c r="AL1363">
        <v>59.539822319085111</v>
      </c>
      <c r="AM1363">
        <v>3.9997430321525749</v>
      </c>
      <c r="AN1363">
        <v>3.9639707962006039</v>
      </c>
    </row>
    <row r="1364" spans="1:40" x14ac:dyDescent="0.25">
      <c r="A1364" s="1" t="s">
        <v>178</v>
      </c>
      <c r="B1364">
        <v>159361350523</v>
      </c>
      <c r="C1364" t="s">
        <v>69</v>
      </c>
      <c r="D1364" t="s">
        <v>105</v>
      </c>
      <c r="E1364">
        <v>40059000000</v>
      </c>
      <c r="F1364">
        <v>2939000000</v>
      </c>
      <c r="G1364">
        <v>4809000000</v>
      </c>
      <c r="H1364">
        <v>2667000000</v>
      </c>
      <c r="I1364">
        <v>2160000000</v>
      </c>
      <c r="J1364">
        <v>2011000000</v>
      </c>
      <c r="K1364">
        <v>5273000000</v>
      </c>
      <c r="L1364">
        <v>1795000000</v>
      </c>
      <c r="M1364">
        <v>7068000000</v>
      </c>
      <c r="N1364">
        <v>12483000000</v>
      </c>
      <c r="O1364">
        <v>1043000000</v>
      </c>
      <c r="P1364">
        <v>351000000</v>
      </c>
      <c r="Q1364">
        <v>9454000000</v>
      </c>
      <c r="R1364">
        <v>10318000000</v>
      </c>
      <c r="S1364">
        <v>27731000000</v>
      </c>
      <c r="T1364">
        <v>0</v>
      </c>
      <c r="U1364">
        <v>1433000000</v>
      </c>
      <c r="V1364">
        <v>13783000000</v>
      </c>
      <c r="W1364">
        <v>162098350523</v>
      </c>
      <c r="X1364">
        <v>163531350523</v>
      </c>
      <c r="Y1364">
        <v>3.9781659682717989</v>
      </c>
      <c r="Z1364">
        <v>54.222984186117728</v>
      </c>
      <c r="AA1364">
        <v>33.138147332709501</v>
      </c>
      <c r="AB1364">
        <v>59.753037316460443</v>
      </c>
      <c r="AC1364">
        <v>73.778403019907401</v>
      </c>
      <c r="AD1364">
        <v>79.244828703630034</v>
      </c>
      <c r="AE1364">
        <v>55.641834135079961</v>
      </c>
      <c r="AF1364">
        <v>55.154253325280713</v>
      </c>
      <c r="AG1364">
        <v>75.708958575462958</v>
      </c>
      <c r="AH1364">
        <v>75.045532649537037</v>
      </c>
      <c r="AI1364">
        <v>34.005271474942823</v>
      </c>
      <c r="AJ1364">
        <v>61.316591872140982</v>
      </c>
      <c r="AK1364">
        <v>33.707288526304843</v>
      </c>
      <c r="AL1364">
        <v>60.779284035620549</v>
      </c>
      <c r="AM1364">
        <v>4.0822624259966549</v>
      </c>
      <c r="AN1364">
        <v>4.0464901900446844</v>
      </c>
    </row>
    <row r="1365" spans="1:40" x14ac:dyDescent="0.25">
      <c r="A1365" s="1" t="s">
        <v>177</v>
      </c>
      <c r="B1365">
        <v>162918056522</v>
      </c>
      <c r="C1365" t="s">
        <v>69</v>
      </c>
      <c r="D1365" t="s">
        <v>105</v>
      </c>
      <c r="E1365">
        <v>40059000000</v>
      </c>
      <c r="F1365">
        <v>2939000000</v>
      </c>
      <c r="G1365">
        <v>4809000000</v>
      </c>
      <c r="H1365">
        <v>2667000000</v>
      </c>
      <c r="I1365">
        <v>2160000000</v>
      </c>
      <c r="J1365">
        <v>2011000000</v>
      </c>
      <c r="K1365">
        <v>5273000000</v>
      </c>
      <c r="L1365">
        <v>1795000000</v>
      </c>
      <c r="M1365">
        <v>7068000000</v>
      </c>
      <c r="N1365">
        <v>12483000000</v>
      </c>
      <c r="O1365">
        <v>1043000000</v>
      </c>
      <c r="P1365">
        <v>351000000</v>
      </c>
      <c r="Q1365">
        <v>9454000000</v>
      </c>
      <c r="R1365">
        <v>10318000000</v>
      </c>
      <c r="S1365">
        <v>27731000000</v>
      </c>
      <c r="T1365">
        <v>0</v>
      </c>
      <c r="U1365">
        <v>1433000000</v>
      </c>
      <c r="V1365">
        <v>13783000000</v>
      </c>
      <c r="W1365">
        <v>165655056522</v>
      </c>
      <c r="X1365">
        <v>167088056522</v>
      </c>
      <c r="Y1365">
        <v>4.0669526578796278</v>
      </c>
      <c r="Z1365">
        <v>55.433159755699222</v>
      </c>
      <c r="AA1365">
        <v>33.877741011021001</v>
      </c>
      <c r="AB1365">
        <v>61.086635366329212</v>
      </c>
      <c r="AC1365">
        <v>75.425026167592591</v>
      </c>
      <c r="AD1365">
        <v>81.013454262555939</v>
      </c>
      <c r="AE1365">
        <v>56.852009704661448</v>
      </c>
      <c r="AF1365">
        <v>56.364428894862201</v>
      </c>
      <c r="AG1365">
        <v>77.355581723148148</v>
      </c>
      <c r="AH1365">
        <v>76.692155797222227</v>
      </c>
      <c r="AI1365">
        <v>34.744865153254317</v>
      </c>
      <c r="AJ1365">
        <v>62.650189922009751</v>
      </c>
      <c r="AK1365">
        <v>34.446882204616337</v>
      </c>
      <c r="AL1365">
        <v>62.112882085489311</v>
      </c>
      <c r="AM1365">
        <v>4.1710491156044833</v>
      </c>
      <c r="AN1365">
        <v>4.1352768796525128</v>
      </c>
    </row>
    <row r="1366" spans="1:40" x14ac:dyDescent="0.25">
      <c r="A1366" s="1" t="s">
        <v>176</v>
      </c>
      <c r="B1366">
        <v>163022665522</v>
      </c>
      <c r="C1366" t="s">
        <v>69</v>
      </c>
      <c r="D1366" t="s">
        <v>105</v>
      </c>
      <c r="E1366">
        <v>40059000000</v>
      </c>
      <c r="F1366">
        <v>2939000000</v>
      </c>
      <c r="G1366">
        <v>4809000000</v>
      </c>
      <c r="H1366">
        <v>2667000000</v>
      </c>
      <c r="I1366">
        <v>2160000000</v>
      </c>
      <c r="J1366">
        <v>2011000000</v>
      </c>
      <c r="K1366">
        <v>5273000000</v>
      </c>
      <c r="L1366">
        <v>1795000000</v>
      </c>
      <c r="M1366">
        <v>7068000000</v>
      </c>
      <c r="N1366">
        <v>12483000000</v>
      </c>
      <c r="O1366">
        <v>1043000000</v>
      </c>
      <c r="P1366">
        <v>351000000</v>
      </c>
      <c r="Q1366">
        <v>9454000000</v>
      </c>
      <c r="R1366">
        <v>10318000000</v>
      </c>
      <c r="S1366">
        <v>27731000000</v>
      </c>
      <c r="T1366">
        <v>0</v>
      </c>
      <c r="U1366">
        <v>1433000000</v>
      </c>
      <c r="V1366">
        <v>13783000000</v>
      </c>
      <c r="W1366">
        <v>165759665522</v>
      </c>
      <c r="X1366">
        <v>167192665522</v>
      </c>
      <c r="Y1366">
        <v>4.0695640311041217</v>
      </c>
      <c r="Z1366">
        <v>55.468753154814557</v>
      </c>
      <c r="AA1366">
        <v>33.899493766271583</v>
      </c>
      <c r="AB1366">
        <v>61.125858838395203</v>
      </c>
      <c r="AC1366">
        <v>75.473456260185188</v>
      </c>
      <c r="AD1366">
        <v>81.065472661362506</v>
      </c>
      <c r="AE1366">
        <v>56.887603103776797</v>
      </c>
      <c r="AF1366">
        <v>56.400022293977543</v>
      </c>
      <c r="AG1366">
        <v>77.404011815740745</v>
      </c>
      <c r="AH1366">
        <v>76.74058588981481</v>
      </c>
      <c r="AI1366">
        <v>34.766617908504877</v>
      </c>
      <c r="AJ1366">
        <v>62.689413394075743</v>
      </c>
      <c r="AK1366">
        <v>34.468634959866918</v>
      </c>
      <c r="AL1366">
        <v>62.152105557555302</v>
      </c>
      <c r="AM1366">
        <v>4.1736604888289772</v>
      </c>
      <c r="AN1366">
        <v>4.1378882528770067</v>
      </c>
    </row>
    <row r="1367" spans="1:40" x14ac:dyDescent="0.25">
      <c r="A1367" s="1" t="s">
        <v>106</v>
      </c>
      <c r="B1367">
        <v>180042549813</v>
      </c>
      <c r="C1367" t="s">
        <v>69</v>
      </c>
      <c r="D1367" t="s">
        <v>105</v>
      </c>
      <c r="E1367">
        <v>40059000000</v>
      </c>
      <c r="F1367">
        <v>2939000000</v>
      </c>
      <c r="G1367">
        <v>4809000000</v>
      </c>
      <c r="H1367">
        <v>2667000000</v>
      </c>
      <c r="I1367">
        <v>2160000000</v>
      </c>
      <c r="J1367">
        <v>2011000000</v>
      </c>
      <c r="K1367">
        <v>5273000000</v>
      </c>
      <c r="L1367">
        <v>1795000000</v>
      </c>
      <c r="M1367">
        <v>7068000000</v>
      </c>
      <c r="N1367">
        <v>12483000000</v>
      </c>
      <c r="O1367">
        <v>1043000000</v>
      </c>
      <c r="P1367">
        <v>351000000</v>
      </c>
      <c r="Q1367">
        <v>9454000000</v>
      </c>
      <c r="R1367">
        <v>10318000000</v>
      </c>
      <c r="S1367">
        <v>27731000000</v>
      </c>
      <c r="T1367">
        <v>0</v>
      </c>
      <c r="U1367">
        <v>1433000000</v>
      </c>
      <c r="V1367">
        <v>13783000000</v>
      </c>
      <c r="W1367">
        <v>182779549813</v>
      </c>
      <c r="X1367">
        <v>184212549813</v>
      </c>
      <c r="Y1367">
        <v>4.4944344545046064</v>
      </c>
      <c r="Z1367">
        <v>61.259799187818977</v>
      </c>
      <c r="AA1367">
        <v>37.438667043668133</v>
      </c>
      <c r="AB1367">
        <v>67.507517740157482</v>
      </c>
      <c r="AC1367">
        <v>83.353032320833336</v>
      </c>
      <c r="AD1367">
        <v>89.52886614271506</v>
      </c>
      <c r="AE1367">
        <v>62.678649136781218</v>
      </c>
      <c r="AF1367">
        <v>62.19106832698197</v>
      </c>
      <c r="AG1367">
        <v>85.283587876388893</v>
      </c>
      <c r="AH1367">
        <v>84.620161950462958</v>
      </c>
      <c r="AI1367">
        <v>38.305791185901427</v>
      </c>
      <c r="AJ1367">
        <v>69.071072295838022</v>
      </c>
      <c r="AK1367">
        <v>38.007808237263461</v>
      </c>
      <c r="AL1367">
        <v>68.533764459317581</v>
      </c>
      <c r="AM1367">
        <v>4.598530912229462</v>
      </c>
      <c r="AN1367">
        <v>4.5627586762774914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3"/>
  <sheetViews>
    <sheetView workbookViewId="0"/>
  </sheetViews>
  <sheetFormatPr defaultRowHeight="15" x14ac:dyDescent="0.25"/>
  <cols>
    <col min="1" max="1" width="20.28515625" bestFit="1" customWidth="1"/>
    <col min="2" max="2" width="12" bestFit="1" customWidth="1"/>
  </cols>
  <sheetData>
    <row r="1" spans="1:2" x14ac:dyDescent="0.25">
      <c r="B1" s="1" t="s">
        <v>1519</v>
      </c>
    </row>
    <row r="2" spans="1:2" x14ac:dyDescent="0.25">
      <c r="A2" s="1" t="s">
        <v>1520</v>
      </c>
      <c r="B2">
        <v>27731000000</v>
      </c>
    </row>
    <row r="3" spans="1:2" x14ac:dyDescent="0.25">
      <c r="A3" s="1" t="s">
        <v>1521</v>
      </c>
      <c r="B3">
        <v>9454000000</v>
      </c>
    </row>
    <row r="4" spans="1:2" x14ac:dyDescent="0.25">
      <c r="A4" s="1" t="s">
        <v>1522</v>
      </c>
      <c r="B4">
        <v>0.40685114257434257</v>
      </c>
    </row>
    <row r="5" spans="1:2" x14ac:dyDescent="0.25">
      <c r="A5" s="1" t="s">
        <v>1523</v>
      </c>
      <c r="B5">
        <v>6.1772794584302938E-2</v>
      </c>
    </row>
    <row r="6" spans="1:2" x14ac:dyDescent="0.25">
      <c r="A6" s="1" t="s">
        <v>1524</v>
      </c>
      <c r="B6">
        <v>0.21</v>
      </c>
    </row>
    <row r="7" spans="1:2" x14ac:dyDescent="0.25">
      <c r="A7" s="1" t="s">
        <v>1525</v>
      </c>
      <c r="B7">
        <v>13783000000</v>
      </c>
    </row>
    <row r="8" spans="1:2" x14ac:dyDescent="0.25">
      <c r="A8" s="1" t="s">
        <v>1526</v>
      </c>
      <c r="B8">
        <v>0.59314885742565737</v>
      </c>
    </row>
    <row r="9" spans="1:2" x14ac:dyDescent="0.25">
      <c r="A9" s="1" t="s">
        <v>1527</v>
      </c>
      <c r="B9">
        <v>0.13763628089300611</v>
      </c>
    </row>
    <row r="10" spans="1:2" x14ac:dyDescent="0.25">
      <c r="A10" s="1" t="s">
        <v>1528</v>
      </c>
      <c r="B10">
        <v>4.0749998092651368E-2</v>
      </c>
    </row>
    <row r="11" spans="1:2" x14ac:dyDescent="0.25">
      <c r="A11" s="1" t="s">
        <v>1529</v>
      </c>
      <c r="B11">
        <v>1.39907985749923</v>
      </c>
    </row>
    <row r="12" spans="1:2" x14ac:dyDescent="0.25">
      <c r="A12" s="1" t="s">
        <v>1530</v>
      </c>
      <c r="B12">
        <v>6.9250001907348632E-2</v>
      </c>
    </row>
    <row r="13" spans="1:2" x14ac:dyDescent="0.25">
      <c r="A13" s="1" t="s">
        <v>1531</v>
      </c>
      <c r="B13">
        <v>7.8294737659005964E-2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9"/>
  <sheetViews>
    <sheetView workbookViewId="0">
      <selection activeCell="E4" sqref="E4"/>
    </sheetView>
  </sheetViews>
  <sheetFormatPr defaultRowHeight="15" x14ac:dyDescent="0.25"/>
  <sheetData>
    <row r="1" spans="1:5" x14ac:dyDescent="0.25">
      <c r="B1" s="1" t="s">
        <v>1532</v>
      </c>
      <c r="C1" s="1" t="s">
        <v>1533</v>
      </c>
      <c r="D1" s="1" t="s">
        <v>1529</v>
      </c>
      <c r="E1" s="1" t="s">
        <v>1527</v>
      </c>
    </row>
    <row r="2" spans="1:5" x14ac:dyDescent="0.25">
      <c r="A2" s="1">
        <v>0</v>
      </c>
      <c r="B2">
        <v>3</v>
      </c>
      <c r="C2" t="s">
        <v>1534</v>
      </c>
      <c r="D2">
        <v>1.4670095809429049</v>
      </c>
      <c r="E2">
        <v>0.14234041437104619</v>
      </c>
    </row>
    <row r="3" spans="1:5" x14ac:dyDescent="0.25">
      <c r="A3" s="1">
        <v>1</v>
      </c>
      <c r="B3">
        <v>3</v>
      </c>
      <c r="C3" t="s">
        <v>1535</v>
      </c>
      <c r="D3">
        <v>1.320493438043961</v>
      </c>
      <c r="E3">
        <v>0.13219417119583701</v>
      </c>
    </row>
    <row r="4" spans="1:5" x14ac:dyDescent="0.25">
      <c r="A4" s="1">
        <v>2</v>
      </c>
      <c r="B4">
        <v>3</v>
      </c>
      <c r="C4" t="s">
        <v>1536</v>
      </c>
      <c r="D4">
        <v>1.5365070839598169</v>
      </c>
      <c r="E4">
        <v>0.14715311658752339</v>
      </c>
    </row>
    <row r="5" spans="1:5" x14ac:dyDescent="0.25">
      <c r="A5" s="1">
        <v>3</v>
      </c>
      <c r="B5">
        <v>5</v>
      </c>
      <c r="C5" t="s">
        <v>1534</v>
      </c>
      <c r="D5">
        <v>1.331150134055554</v>
      </c>
      <c r="E5">
        <v>0.1329321474149659</v>
      </c>
    </row>
    <row r="6" spans="1:5" x14ac:dyDescent="0.25">
      <c r="A6" s="1">
        <v>4</v>
      </c>
      <c r="B6">
        <v>5</v>
      </c>
      <c r="C6" t="s">
        <v>1535</v>
      </c>
      <c r="D6">
        <v>1.5220207484748349</v>
      </c>
      <c r="E6">
        <v>0.14614993782755789</v>
      </c>
    </row>
    <row r="7" spans="1:5" x14ac:dyDescent="0.25">
      <c r="A7" s="1">
        <v>5</v>
      </c>
      <c r="B7">
        <v>5</v>
      </c>
      <c r="C7" t="s">
        <v>1536</v>
      </c>
      <c r="D7">
        <v>1.300729408981568</v>
      </c>
      <c r="E7">
        <v>0.13082551214556939</v>
      </c>
    </row>
    <row r="8" spans="1:5" x14ac:dyDescent="0.25">
      <c r="A8" s="1">
        <v>6</v>
      </c>
      <c r="B8" t="s">
        <v>1537</v>
      </c>
      <c r="D8">
        <v>1.4129850657431069</v>
      </c>
      <c r="E8">
        <v>0.13859921659041671</v>
      </c>
    </row>
    <row r="9" spans="1:5" x14ac:dyDescent="0.25">
      <c r="A9" s="1">
        <v>7</v>
      </c>
      <c r="B9" t="s">
        <v>1538</v>
      </c>
      <c r="D9">
        <v>1.39907985749923</v>
      </c>
      <c r="E9">
        <v>0.13763628089300611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Product % Total</vt:lpstr>
      <vt:lpstr>Revenue Product % YoY</vt:lpstr>
      <vt:lpstr>Revenue Product % QoQ</vt:lpstr>
      <vt:lpstr>Revenue Geographic Seg.</vt:lpstr>
      <vt:lpstr>Revenue Geographic % Total</vt:lpstr>
      <vt:lpstr>Revenue Geographic % YoY</vt:lpstr>
      <vt:lpstr>Revenue Geographic % QoQ</vt:lpstr>
      <vt:lpstr>Market Caps</vt:lpstr>
      <vt:lpstr>Daily Prices</vt:lpstr>
      <vt:lpstr>Balance Sheet Metrics</vt:lpstr>
      <vt:lpstr>Relative Valuations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2024-10-11T17:06:53Z</dcterms:created>
  <dcterms:modified xsi:type="dcterms:W3CDTF">2024-10-14T20:35:58Z</dcterms:modified>
</cp:coreProperties>
</file>