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5" documentId="11_3EDEF12251E4079A95B04587978048FDDB9F2561" xr6:coauthVersionLast="47" xr6:coauthVersionMax="47" xr10:uidLastSave="{B4BDF2CA-D803-44D0-9F8A-BFBABD8133B7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O32" i="5"/>
  <c r="C32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4" i="5"/>
  <c r="G4" i="5"/>
  <c r="D4" i="5"/>
  <c r="C4" i="5"/>
  <c r="R3" i="5"/>
  <c r="P3" i="5"/>
  <c r="O3" i="5"/>
  <c r="O31" i="5" s="1"/>
  <c r="L3" i="5"/>
  <c r="K3" i="5"/>
  <c r="H3" i="5"/>
  <c r="G3" i="5"/>
  <c r="D3" i="5"/>
  <c r="C3" i="5"/>
  <c r="R2" i="5"/>
  <c r="H2" i="5"/>
  <c r="G2" i="5"/>
  <c r="G32" i="5" s="1"/>
  <c r="D2" i="5"/>
  <c r="C2" i="5"/>
  <c r="C31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K10" i="3"/>
  <c r="C21" i="3" s="1"/>
  <c r="J10" i="3"/>
  <c r="D10" i="3"/>
  <c r="L5" i="3"/>
  <c r="N5" i="3" s="1"/>
  <c r="O5" i="3" s="1"/>
  <c r="P5" i="3" s="1"/>
  <c r="Q5" i="3" s="1"/>
  <c r="R5" i="3" s="1"/>
  <c r="S5" i="3" s="1"/>
  <c r="T5" i="3" s="1"/>
  <c r="U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F4" i="3"/>
  <c r="D4" i="3"/>
  <c r="K3" i="3"/>
  <c r="F3" i="3"/>
  <c r="E3" i="3"/>
  <c r="K1" i="3"/>
  <c r="L1" i="3" s="1"/>
  <c r="J1" i="3"/>
  <c r="J4" i="3" s="1"/>
  <c r="I1" i="3"/>
  <c r="I10" i="3" s="1"/>
  <c r="H1" i="3"/>
  <c r="H7" i="3" s="1"/>
  <c r="G1" i="3"/>
  <c r="G10" i="3" s="1"/>
  <c r="F1" i="3"/>
  <c r="F7" i="3" s="1"/>
  <c r="E1" i="3"/>
  <c r="E7" i="3" s="1"/>
  <c r="D1" i="3"/>
  <c r="D3" i="3" s="1"/>
  <c r="F8" i="3" l="1"/>
  <c r="H13" i="3"/>
  <c r="I11" i="3"/>
  <c r="L3" i="3"/>
  <c r="M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J11" i="3"/>
  <c r="E13" i="3"/>
  <c r="G7" i="3"/>
  <c r="J7" i="3"/>
  <c r="K11" i="3"/>
  <c r="L11" i="3" s="1"/>
  <c r="N11" i="3" s="1"/>
  <c r="O11" i="3" s="1"/>
  <c r="P11" i="3" s="1"/>
  <c r="Q11" i="3" s="1"/>
  <c r="R11" i="3" s="1"/>
  <c r="S11" i="3" s="1"/>
  <c r="T11" i="3" s="1"/>
  <c r="U11" i="3" s="1"/>
  <c r="I3" i="3"/>
  <c r="G4" i="3"/>
  <c r="G5" i="3" s="1"/>
  <c r="K7" i="3"/>
  <c r="F10" i="3"/>
  <c r="F11" i="3" s="1"/>
  <c r="G3" i="3"/>
  <c r="E4" i="3"/>
  <c r="E5" i="3" s="1"/>
  <c r="K5" i="3"/>
  <c r="I7" i="3"/>
  <c r="H3" i="3"/>
  <c r="E10" i="3"/>
  <c r="E11" i="3" s="1"/>
  <c r="J3" i="3"/>
  <c r="H4" i="3"/>
  <c r="H5" i="3" s="1"/>
  <c r="D7" i="3"/>
  <c r="G31" i="5"/>
  <c r="I4" i="3"/>
  <c r="I5" i="3" s="1"/>
  <c r="H10" i="3"/>
  <c r="H11" i="3" s="1"/>
  <c r="C20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G11" i="3" l="1"/>
  <c r="D13" i="3"/>
  <c r="D8" i="3"/>
  <c r="J5" i="3"/>
  <c r="N1" i="3"/>
  <c r="M3" i="3"/>
  <c r="F13" i="3"/>
  <c r="J8" i="3"/>
  <c r="J13" i="3"/>
  <c r="G13" i="3"/>
  <c r="G8" i="3"/>
  <c r="F5" i="3"/>
  <c r="E8" i="3"/>
  <c r="H8" i="3"/>
  <c r="K8" i="3"/>
  <c r="K13" i="3"/>
  <c r="I8" i="3"/>
  <c r="I13" i="3"/>
  <c r="L8" i="3" l="1"/>
  <c r="O1" i="3"/>
  <c r="N3" i="3"/>
  <c r="P1" i="3" l="1"/>
  <c r="O3" i="3"/>
  <c r="L7" i="3"/>
  <c r="L13" i="3" s="1"/>
  <c r="L14" i="3" s="1"/>
  <c r="M8" i="3"/>
  <c r="M7" i="3" l="1"/>
  <c r="M13" i="3" s="1"/>
  <c r="M14" i="3" s="1"/>
  <c r="N8" i="3"/>
  <c r="P3" i="3"/>
  <c r="Q1" i="3"/>
  <c r="R1" i="3" l="1"/>
  <c r="Q3" i="3"/>
  <c r="N7" i="3"/>
  <c r="N13" i="3" s="1"/>
  <c r="N14" i="3" s="1"/>
  <c r="O8" i="3"/>
  <c r="O7" i="3" l="1"/>
  <c r="O13" i="3" s="1"/>
  <c r="O14" i="3" s="1"/>
  <c r="P8" i="3"/>
  <c r="R3" i="3"/>
  <c r="S1" i="3"/>
  <c r="S3" i="3" l="1"/>
  <c r="T1" i="3"/>
  <c r="P7" i="3"/>
  <c r="P13" i="3" s="1"/>
  <c r="P14" i="3" s="1"/>
  <c r="Q8" i="3"/>
  <c r="T3" i="3" l="1"/>
  <c r="U1" i="3"/>
  <c r="U3" i="3" s="1"/>
  <c r="R8" i="3"/>
  <c r="Q7" i="3"/>
  <c r="Q13" i="3" s="1"/>
  <c r="Q14" i="3" s="1"/>
  <c r="S8" i="3" l="1"/>
  <c r="R7" i="3"/>
  <c r="R13" i="3" s="1"/>
  <c r="R14" i="3" s="1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<sst xmlns="http://schemas.openxmlformats.org/spreadsheetml/2006/main" count="253" uniqueCount="235">
  <si>
    <t>This sheet contains FactSet XML data for use with this workbook's =FDS codes.  Modifying the worksheet's contents may damage the workbook's =FDS functionality.</t>
  </si>
  <si>
    <t>VMC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</si>
  <si>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</si>
  <si>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</si>
  <si>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</si>
  <si>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</si>
  <si>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</si>
  <si>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</si>
  <si>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</si>
  <si>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</si>
  <si>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</si>
  <si>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</si>
  <si>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</si>
  <si>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</si>
  <si>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</si>
  <si>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</si>
  <si>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</si>
  <si>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</si>
  <si>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</si>
  <si>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</si>
  <si>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</si>
  <si>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</si>
  <si>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</si>
  <si>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</si>
  <si>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</si>
  <si>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</si>
  <si>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</si>
  <si>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</si>
  <si>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</si>
  <si>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</si>
  <si>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</si>
  <si>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</si>
  <si>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</si>
  <si>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</si>
  <si>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</si>
  <si>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</si>
  <si>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</si>
  <si>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</si>
  <si>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</si>
  <si>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</si>
  <si>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</si>
  <si>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</si>
  <si>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</si>
  <si>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</si>
  <si>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</si>
  <si>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</si>
  <si>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</si>
  <si>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</si>
  <si>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</si>
  <si>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</si>
  <si>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</si>
  <si>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</si>
  <si>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</si>
  <si>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</si>
  <si>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</si>
  <si>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</si>
  <si>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</si>
  <si>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</si>
  <si>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</si>
  <si>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</si>
  <si>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</si>
  <si>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</si>
  <si>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</si>
  <si>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</si>
  <si>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</si>
  <si>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</si>
  <si>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</si>
  <si>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</si>
  <si>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</si>
  <si>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</si>
  <si>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</si>
  <si>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</si>
  <si>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</si>
  <si>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</si>
  <si>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</si>
  <si>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</si>
  <si>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</si>
  <si>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</si>
  <si>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</si>
  <si>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</si>
  <si>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</si>
  <si>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</si>
  <si>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</si>
  <si>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</si>
  <si>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</si>
  <si>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</si>
  <si>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</si>
  <si>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</si>
  <si>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</si>
  <si>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</si>
  <si>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</si>
  <si>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</si>
  <si>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</si>
  <si>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</si>
  <si>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</si>
  <si>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</si>
  <si>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</si>
  <si>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</si>
  <si>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</si>
  <si>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</si>
  <si>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</si>
  <si>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</si>
  <si>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</si>
  <si>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</si>
  <si>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</si>
  <si>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</si>
  <si>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</si>
  <si>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</si>
  <si>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</si>
  <si>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</si>
  <si>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</si>
  <si>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</si>
  <si>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</si>
  <si>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</si>
  <si>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</si>
  <si>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</si>
  <si>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</si>
  <si>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</si>
  <si>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</si>
  <si>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</si>
  <si>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</si>
  <si>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</si>
  <si>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</si>
  <si>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</si>
  <si>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</si>
  <si>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</si>
  <si>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</si>
  <si>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</si>
  <si>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</si>
  <si>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</si>
  <si>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</si>
  <si>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</si>
  <si>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</si>
  <si>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</si>
  <si>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</si>
  <si>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</si>
  <si>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</si>
  <si>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</si>
  <si>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</si>
  <si>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</si>
  <si>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</si>
  <si>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</si>
  <si>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</si>
  <si>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</si>
  <si>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</si>
  <si>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</si>
  <si>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</si>
  <si>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</si>
  <si>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1995-12-31</t>
  </si>
  <si>
    <t>1995-09-30</t>
  </si>
  <si>
    <t>1995-06-30</t>
  </si>
  <si>
    <t>1995-03-31</t>
  </si>
  <si>
    <t>1994-12-31</t>
  </si>
  <si>
    <t>1994-09-30</t>
  </si>
  <si>
    <t>1994-06-30</t>
  </si>
  <si>
    <t>1994-03-31</t>
  </si>
  <si>
    <t>1993-12-31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</si>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</sst>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6486000000</v>
      </c>
    </row>
    <row r="3" spans="1:2" x14ac:dyDescent="0.25">
      <c r="A3" s="73" t="s">
        <v>3</v>
      </c>
      <c r="B3">
        <v>3331700000</v>
      </c>
    </row>
    <row r="4" spans="1:2" x14ac:dyDescent="0.25">
      <c r="A4" s="73" t="s">
        <v>4</v>
      </c>
      <c r="B4">
        <v>0.30118151164787882</v>
      </c>
    </row>
    <row r="5" spans="1:2" x14ac:dyDescent="0.25">
      <c r="A5" s="73" t="s">
        <v>5</v>
      </c>
      <c r="B5">
        <v>4.9014016868265453E-2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7730400000</v>
      </c>
    </row>
    <row r="8" spans="1:2" x14ac:dyDescent="0.25">
      <c r="A8" s="73" t="s">
        <v>8</v>
      </c>
      <c r="B8">
        <v>0.69881848835212124</v>
      </c>
    </row>
    <row r="9" spans="1:2" x14ac:dyDescent="0.25">
      <c r="A9" s="73" t="s">
        <v>9</v>
      </c>
      <c r="B9">
        <v>0.1086309528591228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0.98023607432034066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8.7575389662194608E-2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3" sqref="L13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3699.2060000000001</v>
      </c>
      <c r="E4" s="36">
        <f>IFERROR(INDEX(Python!$1:$1048576,MATCH(DCF_Simple!E$1,Python!$A:$A,0),MATCH(DCF_Simple!$B4,Python!$1:$1,0))/1000000,0)</f>
        <v>4126.83</v>
      </c>
      <c r="F4" s="36">
        <f>IFERROR(INDEX(Python!$1:$1048576,MATCH(DCF_Simple!F$1,Python!$A:$A,0),MATCH(DCF_Simple!$B4,Python!$1:$1,0))/1000000,0)</f>
        <v>4652.4369999999999</v>
      </c>
      <c r="G4" s="36">
        <f>IFERROR(INDEX(Python!$1:$1048576,MATCH(DCF_Simple!G$1,Python!$A:$A,0),MATCH(DCF_Simple!$B4,Python!$1:$1,0))/1000000,0)</f>
        <v>4976.7269999999999</v>
      </c>
      <c r="H4" s="36">
        <f>IFERROR(INDEX(Python!$1:$1048576,MATCH(DCF_Simple!H$1,Python!$A:$A,0),MATCH(DCF_Simple!$B4,Python!$1:$1,0))/1000000,0)</f>
        <v>4914.4009999999998</v>
      </c>
      <c r="I4" s="36">
        <f>IFERROR(INDEX(Python!$1:$1048576,MATCH(DCF_Simple!I$1,Python!$A:$A,0),MATCH(DCF_Simple!$B4,Python!$1:$1,0))/1000000,0)</f>
        <v>6617.8059999999996</v>
      </c>
      <c r="J4" s="36">
        <f>IFERROR(INDEX(Python!$1:$1048576,MATCH(DCF_Simple!J$1,Python!$A:$A,0),MATCH(DCF_Simple!$B4,Python!$1:$1,0))/1000000,0)</f>
        <v>7582.1</v>
      </c>
      <c r="K4" s="55">
        <f>IFERROR(INDEX(Python!$1:$1048576,MATCH(DCF_Simple!K$1,Python!$A:$A,0),MATCH(DCF_Simple!$B4,Python!$1:$1,0))/1000000,0)</f>
        <v>7580.2</v>
      </c>
      <c r="L4" s="37">
        <f t="shared" ref="L4:U4" si="2">K4*(1+L5)</f>
        <v>7100.0998590904928</v>
      </c>
      <c r="M4" s="36">
        <f t="shared" si="2"/>
        <v>7668.1078478177324</v>
      </c>
      <c r="N4" s="36">
        <f t="shared" si="2"/>
        <v>8281.5564756431522</v>
      </c>
      <c r="O4" s="36">
        <f t="shared" si="2"/>
        <v>8944.0809936946043</v>
      </c>
      <c r="P4" s="36">
        <f t="shared" si="2"/>
        <v>9659.6074731901736</v>
      </c>
      <c r="Q4" s="36">
        <f t="shared" si="2"/>
        <v>10432.376071045388</v>
      </c>
      <c r="R4" s="36">
        <f t="shared" si="2"/>
        <v>11266.96615672902</v>
      </c>
      <c r="S4" s="36">
        <f t="shared" si="2"/>
        <v>12168.323449267344</v>
      </c>
      <c r="T4" s="36">
        <f t="shared" si="2"/>
        <v>13141.789325208732</v>
      </c>
      <c r="U4" s="36">
        <f t="shared" si="2"/>
        <v>14193.132471225432</v>
      </c>
      <c r="V4" s="19">
        <f>U4</f>
        <v>14193.132471225432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0.11559886094475402</v>
      </c>
      <c r="F5" s="42">
        <f t="shared" si="3"/>
        <v>0.12736337576299483</v>
      </c>
      <c r="G5" s="42">
        <f t="shared" si="3"/>
        <v>6.9703254444928531E-2</v>
      </c>
      <c r="H5" s="42">
        <f t="shared" si="3"/>
        <v>-1.2523491845142454E-2</v>
      </c>
      <c r="I5" s="42">
        <f t="shared" si="3"/>
        <v>0.34661497911953054</v>
      </c>
      <c r="J5" s="42">
        <f t="shared" si="3"/>
        <v>0.14571203809842737</v>
      </c>
      <c r="K5" s="58">
        <f t="shared" si="3"/>
        <v>-2.5059020587969716E-4</v>
      </c>
      <c r="L5" s="43">
        <f>Python!F2</f>
        <v>-6.3336078323725897E-2</v>
      </c>
      <c r="M5" s="43">
        <v>0.08</v>
      </c>
      <c r="N5" s="38">
        <f t="shared" ref="N5:U5" si="4">M5</f>
        <v>0.08</v>
      </c>
      <c r="O5" s="38">
        <f t="shared" si="4"/>
        <v>0.08</v>
      </c>
      <c r="P5" s="38">
        <f t="shared" si="4"/>
        <v>0.08</v>
      </c>
      <c r="Q5" s="38">
        <f t="shared" si="4"/>
        <v>0.08</v>
      </c>
      <c r="R5" s="38">
        <f t="shared" si="4"/>
        <v>0.08</v>
      </c>
      <c r="S5" s="38">
        <f t="shared" si="4"/>
        <v>0.08</v>
      </c>
      <c r="T5" s="38">
        <f t="shared" si="4"/>
        <v>0.08</v>
      </c>
      <c r="U5" s="38">
        <f t="shared" si="4"/>
        <v>0.08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255.85900000000001</v>
      </c>
      <c r="E7" s="52">
        <f>IFERROR(INDEX(Python!$1:$1048576,MATCH(DCF_Simple!E$1,Python!$A:$A,0),MATCH(DCF_Simple!$B7,Python!$1:$1,0))/1000000,0)</f>
        <v>349.51799999999997</v>
      </c>
      <c r="F7" s="52">
        <f>IFERROR(INDEX(Python!$1:$1048576,MATCH(DCF_Simple!F$1,Python!$A:$A,0),MATCH(DCF_Simple!$B7,Python!$1:$1,0))/1000000,0)</f>
        <v>411.17399999999998</v>
      </c>
      <c r="G7" s="52">
        <f>IFERROR(INDEX(Python!$1:$1048576,MATCH(DCF_Simple!G$1,Python!$A:$A,0),MATCH(DCF_Simple!$B7,Python!$1:$1,0))/1000000,0)</f>
        <v>726.39300000000003</v>
      </c>
      <c r="H7" s="52">
        <f>IFERROR(INDEX(Python!$1:$1048576,MATCH(DCF_Simple!H$1,Python!$A:$A,0),MATCH(DCF_Simple!$B7,Python!$1:$1,0))/1000000,0)</f>
        <v>711.36</v>
      </c>
      <c r="I7" s="52">
        <f>IFERROR(INDEX(Python!$1:$1048576,MATCH(DCF_Simple!I$1,Python!$A:$A,0),MATCH(DCF_Simple!$B7,Python!$1:$1,0))/1000000,0)</f>
        <v>389.86099999999999</v>
      </c>
      <c r="J7" s="52">
        <f>IFERROR(INDEX(Python!$1:$1048576,MATCH(DCF_Simple!J$1,Python!$A:$A,0),MATCH(DCF_Simple!$B7,Python!$1:$1,0))/1000000,0)</f>
        <v>653.6</v>
      </c>
      <c r="K7" s="57">
        <f>IFERROR(INDEX(Python!$1:$1048576,MATCH(DCF_Simple!K$1,Python!$A:$A,0),MATCH(DCF_Simple!$B7,Python!$1:$1,0))/1000000,0)</f>
        <v>534.79999999999995</v>
      </c>
      <c r="L7" s="64">
        <f t="shared" ref="L7:U7" si="5">L8*L4</f>
        <v>664.40287313845363</v>
      </c>
      <c r="M7" s="64">
        <f t="shared" si="5"/>
        <v>717.55510298952993</v>
      </c>
      <c r="N7" s="64">
        <f t="shared" si="5"/>
        <v>774.95951122869246</v>
      </c>
      <c r="O7" s="64">
        <f t="shared" si="5"/>
        <v>836.95627212698776</v>
      </c>
      <c r="P7" s="64">
        <f t="shared" si="5"/>
        <v>903.91277389714696</v>
      </c>
      <c r="Q7" s="64">
        <f t="shared" si="5"/>
        <v>976.22579580891875</v>
      </c>
      <c r="R7" s="64">
        <f t="shared" si="5"/>
        <v>1054.3238594736324</v>
      </c>
      <c r="S7" s="64">
        <f t="shared" si="5"/>
        <v>1138.669768231523</v>
      </c>
      <c r="T7" s="64">
        <f t="shared" si="5"/>
        <v>1229.7633496900451</v>
      </c>
      <c r="U7" s="64">
        <f t="shared" si="5"/>
        <v>1328.1444176652487</v>
      </c>
      <c r="V7" s="65">
        <f>U7</f>
        <v>1328.1444176652487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6.9165923714440344E-2</v>
      </c>
      <c r="E8" s="42">
        <f t="shared" si="6"/>
        <v>8.469406299750655E-2</v>
      </c>
      <c r="F8" s="42">
        <f t="shared" si="6"/>
        <v>8.8378198350670845E-2</v>
      </c>
      <c r="G8" s="42">
        <f t="shared" si="6"/>
        <v>0.14595797599506666</v>
      </c>
      <c r="H8" s="42">
        <f t="shared" si="6"/>
        <v>0.14475009263590824</v>
      </c>
      <c r="I8" s="42">
        <f t="shared" si="6"/>
        <v>5.891091397964824E-2</v>
      </c>
      <c r="J8" s="42">
        <f t="shared" si="6"/>
        <v>8.6203030822595325E-2</v>
      </c>
      <c r="K8" s="58">
        <f t="shared" si="6"/>
        <v>7.0552228173399109E-2</v>
      </c>
      <c r="L8" s="38">
        <f>AVERAGE(D8:K8)</f>
        <v>9.3576553333654403E-2</v>
      </c>
      <c r="M8" s="38">
        <f t="shared" ref="M8:U8" si="7">L8</f>
        <v>9.3576553333654403E-2</v>
      </c>
      <c r="N8" s="38">
        <f t="shared" si="7"/>
        <v>9.3576553333654403E-2</v>
      </c>
      <c r="O8" s="38">
        <f t="shared" si="7"/>
        <v>9.3576553333654403E-2</v>
      </c>
      <c r="P8" s="38">
        <f t="shared" si="7"/>
        <v>9.3576553333654403E-2</v>
      </c>
      <c r="Q8" s="38">
        <f t="shared" si="7"/>
        <v>9.3576553333654403E-2</v>
      </c>
      <c r="R8" s="38">
        <f t="shared" si="7"/>
        <v>9.3576553333654403E-2</v>
      </c>
      <c r="S8" s="38">
        <f t="shared" si="7"/>
        <v>9.3576553333654403E-2</v>
      </c>
      <c r="T8" s="38">
        <f t="shared" si="7"/>
        <v>9.3576553333654403E-2</v>
      </c>
      <c r="U8" s="38">
        <f t="shared" si="7"/>
        <v>9.3576553333654403E-2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134.73500000000001</v>
      </c>
      <c r="E10" s="17">
        <f>IFERROR(INDEX(Python!$1:$1048576,MATCH(DCF_Simple!E$1,Python!$A:$A,0),MATCH(DCF_Simple!$B10,Python!$1:$1,0))/1000000,0)</f>
        <v>134.05099999999999</v>
      </c>
      <c r="F10" s="17">
        <f>IFERROR(INDEX(Python!$1:$1048576,MATCH(DCF_Simple!F$1,Python!$A:$A,0),MATCH(DCF_Simple!$B10,Python!$1:$1,0))/1000000,0)</f>
        <v>133.35400000000001</v>
      </c>
      <c r="G10" s="17">
        <f>IFERROR(INDEX(Python!$1:$1048576,MATCH(DCF_Simple!G$1,Python!$A:$A,0),MATCH(DCF_Simple!$B10,Python!$1:$1,0))/1000000,0)</f>
        <v>133.11500000000001</v>
      </c>
      <c r="H10" s="17">
        <f>IFERROR(INDEX(Python!$1:$1048576,MATCH(DCF_Simple!H$1,Python!$A:$A,0),MATCH(DCF_Simple!$B10,Python!$1:$1,0))/1000000,0)</f>
        <v>133.5</v>
      </c>
      <c r="I10" s="17">
        <f>IFERROR(INDEX(Python!$1:$1048576,MATCH(DCF_Simple!I$1,Python!$A:$A,0),MATCH(DCF_Simple!$B10,Python!$1:$1,0))/1000000,0)</f>
        <v>133.5</v>
      </c>
      <c r="J10" s="17">
        <f>IFERROR(INDEX(Python!$1:$1048576,MATCH(DCF_Simple!J$1,Python!$A:$A,0),MATCH(DCF_Simple!$B10,Python!$1:$1,0))/1000000,0)</f>
        <v>133.80000000000001</v>
      </c>
      <c r="K10" s="69">
        <f>IFERROR(INDEX(Python!$1:$1048576,MATCH(DCF_Simple!K$1,Python!$A:$A,0),MATCH(DCF_Simple!$B10,Python!$1:$1,0))/1000000,0)</f>
        <v>133.1</v>
      </c>
      <c r="L10" s="17">
        <f t="shared" ref="L10:U10" si="8">K10*(1+L11)</f>
        <v>132.4036621823617</v>
      </c>
      <c r="M10" s="17">
        <f t="shared" si="8"/>
        <v>132.17364619434335</v>
      </c>
      <c r="N10" s="17">
        <f t="shared" si="8"/>
        <v>131.94402979764951</v>
      </c>
      <c r="O10" s="17">
        <f t="shared" si="8"/>
        <v>131.71481229809703</v>
      </c>
      <c r="P10" s="17">
        <f t="shared" si="8"/>
        <v>131.48599300270871</v>
      </c>
      <c r="Q10" s="17">
        <f t="shared" si="8"/>
        <v>131.25757121971122</v>
      </c>
      <c r="R10" s="17">
        <f t="shared" si="8"/>
        <v>131.02954625853297</v>
      </c>
      <c r="S10" s="17">
        <f t="shared" si="8"/>
        <v>130.80191742980207</v>
      </c>
      <c r="T10" s="17">
        <f t="shared" si="8"/>
        <v>130.57468404534421</v>
      </c>
      <c r="U10" s="17">
        <f t="shared" si="8"/>
        <v>130.34784541818064</v>
      </c>
      <c r="V10" s="70">
        <f>U10</f>
        <v>130.34784541818064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-5.0766319070770782E-3</v>
      </c>
      <c r="F11" s="42">
        <f t="shared" si="9"/>
        <v>-5.1995136179512347E-3</v>
      </c>
      <c r="G11" s="42">
        <f t="shared" si="9"/>
        <v>-1.7922222055581916E-3</v>
      </c>
      <c r="H11" s="42">
        <f t="shared" si="9"/>
        <v>2.8922360365097877E-3</v>
      </c>
      <c r="I11" s="42">
        <f t="shared" si="9"/>
        <v>0</v>
      </c>
      <c r="J11" s="42">
        <f t="shared" si="9"/>
        <v>2.2471910112360494E-3</v>
      </c>
      <c r="K11" s="58">
        <f t="shared" si="9"/>
        <v>-5.2316890881914935E-3</v>
      </c>
      <c r="L11" s="67">
        <f t="shared" ref="L11:U11" si="10">K11</f>
        <v>-5.2316890881914935E-3</v>
      </c>
      <c r="M11" s="67">
        <f>AVERAGE(E11:K11)</f>
        <v>-1.7372328244331658E-3</v>
      </c>
      <c r="N11" s="67">
        <f t="shared" si="10"/>
        <v>-1.7372328244331658E-3</v>
      </c>
      <c r="O11" s="67">
        <f t="shared" si="10"/>
        <v>-1.7372328244331658E-3</v>
      </c>
      <c r="P11" s="67">
        <f t="shared" si="10"/>
        <v>-1.7372328244331658E-3</v>
      </c>
      <c r="Q11" s="67">
        <f t="shared" si="10"/>
        <v>-1.7372328244331658E-3</v>
      </c>
      <c r="R11" s="67">
        <f t="shared" si="10"/>
        <v>-1.7372328244331658E-3</v>
      </c>
      <c r="S11" s="67">
        <f t="shared" si="10"/>
        <v>-1.7372328244331658E-3</v>
      </c>
      <c r="T11" s="67">
        <f t="shared" si="10"/>
        <v>-1.7372328244331658E-3</v>
      </c>
      <c r="U11" s="67">
        <f t="shared" si="10"/>
        <v>-1.7372328244331658E-3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1.898979478235054</v>
      </c>
      <c r="E13" s="53">
        <f t="shared" si="11"/>
        <v>2.6073509335998986</v>
      </c>
      <c r="F13" s="53">
        <f t="shared" si="11"/>
        <v>3.0833270843019327</v>
      </c>
      <c r="G13" s="53">
        <f t="shared" si="11"/>
        <v>5.4568831461518235</v>
      </c>
      <c r="H13" s="53">
        <f t="shared" si="11"/>
        <v>5.328539325842697</v>
      </c>
      <c r="I13" s="53">
        <f t="shared" si="11"/>
        <v>2.920307116104869</v>
      </c>
      <c r="J13" s="53">
        <f t="shared" si="11"/>
        <v>4.8849028400597909</v>
      </c>
      <c r="K13" s="59">
        <f t="shared" si="11"/>
        <v>4.0180315552216381</v>
      </c>
      <c r="L13" s="53">
        <f t="shared" ref="L13:U13" si="12">L7/L10</f>
        <v>5.0180097905703001</v>
      </c>
      <c r="M13" s="53">
        <f t="shared" si="12"/>
        <v>5.4288818054883867</v>
      </c>
      <c r="N13" s="53">
        <f t="shared" si="12"/>
        <v>5.8733958059123781</v>
      </c>
      <c r="O13" s="53">
        <f t="shared" si="12"/>
        <v>6.3543063800052186</v>
      </c>
      <c r="P13" s="53">
        <f t="shared" si="12"/>
        <v>6.8745936601667195</v>
      </c>
      <c r="Q13" s="53">
        <f t="shared" si="12"/>
        <v>7.4374817904775989</v>
      </c>
      <c r="R13" s="53">
        <f t="shared" si="12"/>
        <v>8.0464589062481942</v>
      </c>
      <c r="S13" s="53">
        <f t="shared" si="12"/>
        <v>8.7052987494821465</v>
      </c>
      <c r="T13" s="53">
        <f t="shared" si="12"/>
        <v>9.4180840542029536</v>
      </c>
      <c r="U13" s="53">
        <f t="shared" si="12"/>
        <v>10.189231846558792</v>
      </c>
      <c r="V13" s="71">
        <f>U13*(1+WACC!$B$13)/(WACC!$B$14-WACC!$B$13)</f>
        <v>153.79883912536866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4.6139420202666726</v>
      </c>
      <c r="M14" s="62">
        <f>M13/((1+WACC!$B$14)^(M3-$K$3))</f>
        <v>4.5897776146043352</v>
      </c>
      <c r="N14" s="62">
        <f>N13/((1+WACC!$B$14)^(N3-$K$3))</f>
        <v>4.5657397641736104</v>
      </c>
      <c r="O14" s="62">
        <f>O13/((1+WACC!$B$14)^(O3-$K$3))</f>
        <v>4.5418278061720709</v>
      </c>
      <c r="P14" s="62">
        <f>P13/((1+WACC!$B$14)^(P3-$K$3))</f>
        <v>4.5180410812685636</v>
      </c>
      <c r="Q14" s="62">
        <f>Q13/((1+WACC!$B$14)^(Q3-$K$3))</f>
        <v>4.4943789335850148</v>
      </c>
      <c r="R14" s="62">
        <f>R13/((1+WACC!$B$14)^(R3-$K$3))</f>
        <v>4.4708407106783632</v>
      </c>
      <c r="S14" s="62">
        <f>S13/((1+WACC!$B$14)^(S3-$K$3))</f>
        <v>4.4474257635225509</v>
      </c>
      <c r="T14" s="62">
        <f>T13/((1+WACC!$B$14)^(T3-$K$3))</f>
        <v>4.4241334464906457</v>
      </c>
      <c r="U14" s="62">
        <f>U13/((1+WACC!$B$14)^(U3-$K$3))</f>
        <v>4.4009631173370218</v>
      </c>
      <c r="V14" s="63">
        <f>V13/((1+WACC!$B$14)^(U3-$K$3))</f>
        <v>66.429248904429869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66.429248904429869</v>
      </c>
      <c r="L17" s="16">
        <f>C17/$C$19</f>
        <v>0.59579768555045864</v>
      </c>
      <c r="O17" s="18"/>
    </row>
    <row r="18" spans="2:22" x14ac:dyDescent="0.25">
      <c r="B18" s="8" t="s">
        <v>26</v>
      </c>
      <c r="C18" s="32">
        <f>SUM(14:14)-V14</f>
        <v>45.067070258098852</v>
      </c>
      <c r="K18" s="3"/>
      <c r="L18" s="16">
        <f>C18/$C$19</f>
        <v>0.4042023144495413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111.49631916252872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0.83846731780616079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25.031555221637866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87.303231258697025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-6.3336078323725897E-2</v>
      </c>
    </row>
    <row r="3" spans="1:6" x14ac:dyDescent="0.25">
      <c r="A3" s="73" t="s">
        <v>34</v>
      </c>
      <c r="B3">
        <v>7580200000</v>
      </c>
      <c r="C3">
        <v>534800000</v>
      </c>
      <c r="D3">
        <v>133100000</v>
      </c>
      <c r="E3">
        <v>111600000</v>
      </c>
      <c r="F3">
        <v>-3.7333534478678598E-2</v>
      </c>
    </row>
    <row r="4" spans="1:6" x14ac:dyDescent="0.25">
      <c r="A4" s="73" t="s">
        <v>35</v>
      </c>
      <c r="B4">
        <v>7678700000</v>
      </c>
      <c r="C4">
        <v>650300000</v>
      </c>
      <c r="D4">
        <v>133100000</v>
      </c>
      <c r="E4">
        <v>300100000</v>
      </c>
      <c r="F4">
        <v>-8.8851831412977589E-2</v>
      </c>
    </row>
    <row r="5" spans="1:6" x14ac:dyDescent="0.25">
      <c r="A5" s="73" t="s">
        <v>36</v>
      </c>
      <c r="B5">
        <v>7782000000</v>
      </c>
      <c r="C5">
        <v>657400000</v>
      </c>
      <c r="D5">
        <v>133500000</v>
      </c>
      <c r="E5">
        <v>949200000</v>
      </c>
      <c r="F5">
        <v>6.0688867717535677E-2</v>
      </c>
    </row>
    <row r="6" spans="1:6" x14ac:dyDescent="0.25">
      <c r="A6" s="73" t="s">
        <v>37</v>
      </c>
      <c r="B6">
        <v>7679600000</v>
      </c>
      <c r="C6">
        <v>626600000</v>
      </c>
      <c r="D6">
        <v>133699999</v>
      </c>
      <c r="E6">
        <v>340000000</v>
      </c>
      <c r="F6">
        <v>4.1057319350668031E-2</v>
      </c>
    </row>
    <row r="7" spans="1:6" x14ac:dyDescent="0.25">
      <c r="A7" s="73" t="s">
        <v>38</v>
      </c>
      <c r="B7">
        <v>7582100000</v>
      </c>
      <c r="C7">
        <v>653600000</v>
      </c>
      <c r="D7">
        <v>133800000</v>
      </c>
      <c r="E7">
        <v>166000000</v>
      </c>
      <c r="F7">
        <v>4.4399529243207343E-2</v>
      </c>
    </row>
    <row r="8" spans="1:6" x14ac:dyDescent="0.25">
      <c r="A8" s="73" t="s">
        <v>39</v>
      </c>
      <c r="B8">
        <v>7423500000</v>
      </c>
      <c r="C8">
        <v>548100000</v>
      </c>
      <c r="D8">
        <v>133699999</v>
      </c>
      <c r="E8">
        <v>139600000</v>
      </c>
      <c r="F8">
        <v>1.8770688648017231E-2</v>
      </c>
    </row>
    <row r="9" spans="1:6" x14ac:dyDescent="0.25">
      <c r="A9" s="73" t="s">
        <v>40</v>
      </c>
      <c r="B9">
        <v>7315200000</v>
      </c>
      <c r="C9">
        <v>535600000</v>
      </c>
      <c r="D9">
        <v>133699999</v>
      </c>
      <c r="E9">
        <v>161400000</v>
      </c>
      <c r="F9">
        <v>0.1416422835086846</v>
      </c>
    </row>
    <row r="10" spans="1:6" x14ac:dyDescent="0.25">
      <c r="A10" s="73" t="s">
        <v>41</v>
      </c>
      <c r="B10">
        <v>7189600000</v>
      </c>
      <c r="C10">
        <v>452304000</v>
      </c>
      <c r="D10">
        <v>133600000</v>
      </c>
      <c r="E10">
        <v>122400000</v>
      </c>
    </row>
    <row r="11" spans="1:6" x14ac:dyDescent="0.25">
      <c r="A11" s="73" t="s">
        <v>42</v>
      </c>
      <c r="B11">
        <v>6617806000</v>
      </c>
      <c r="C11">
        <v>389861000</v>
      </c>
      <c r="D11">
        <v>133500000</v>
      </c>
      <c r="E11">
        <v>120700000</v>
      </c>
    </row>
    <row r="12" spans="1:6" x14ac:dyDescent="0.25">
      <c r="A12" s="73" t="s">
        <v>43</v>
      </c>
      <c r="B12">
        <v>6024553000</v>
      </c>
      <c r="C12">
        <v>507188000</v>
      </c>
      <c r="D12">
        <v>133600000</v>
      </c>
      <c r="E12">
        <v>123100000</v>
      </c>
    </row>
    <row r="13" spans="1:6" x14ac:dyDescent="0.25">
      <c r="A13" s="73" t="s">
        <v>44</v>
      </c>
      <c r="B13">
        <v>5552197000</v>
      </c>
      <c r="C13">
        <v>560600000</v>
      </c>
      <c r="D13">
        <v>133600000</v>
      </c>
      <c r="E13">
        <v>235000000</v>
      </c>
      <c r="F13">
        <v>0.31417216965075911</v>
      </c>
    </row>
    <row r="14" spans="1:6" x14ac:dyDescent="0.25">
      <c r="A14" s="73" t="s">
        <v>45</v>
      </c>
      <c r="B14">
        <v>5121017000</v>
      </c>
      <c r="C14">
        <v>605424000</v>
      </c>
      <c r="D14">
        <v>133500000</v>
      </c>
      <c r="E14">
        <v>135683000</v>
      </c>
      <c r="F14">
        <v>0.1084900258800356</v>
      </c>
    </row>
    <row r="15" spans="1:6" x14ac:dyDescent="0.25">
      <c r="A15" s="73" t="s">
        <v>46</v>
      </c>
      <c r="B15">
        <v>4914401000</v>
      </c>
      <c r="C15">
        <v>711360000</v>
      </c>
      <c r="D15">
        <v>133500000</v>
      </c>
      <c r="E15">
        <v>857555000</v>
      </c>
      <c r="F15">
        <v>2.9090977827344489E-2</v>
      </c>
    </row>
    <row r="16" spans="1:6" x14ac:dyDescent="0.25">
      <c r="A16" s="73" t="s">
        <v>47</v>
      </c>
      <c r="B16">
        <v>4875929000</v>
      </c>
      <c r="C16">
        <v>836952000</v>
      </c>
      <c r="D16">
        <v>133400000</v>
      </c>
      <c r="E16">
        <v>722344000</v>
      </c>
      <c r="F16">
        <v>-2.5553685422428751E-2</v>
      </c>
    </row>
    <row r="17" spans="1:6" x14ac:dyDescent="0.25">
      <c r="A17" s="73" t="s">
        <v>48</v>
      </c>
      <c r="B17">
        <v>4856827000</v>
      </c>
      <c r="C17">
        <v>708165000</v>
      </c>
      <c r="D17">
        <v>133367000</v>
      </c>
      <c r="E17">
        <v>1197068000</v>
      </c>
      <c r="F17">
        <v>-8.9357950751674298E-2</v>
      </c>
    </row>
    <row r="18" spans="1:6" x14ac:dyDescent="0.25">
      <c r="A18" s="73" t="s">
        <v>49</v>
      </c>
      <c r="B18">
        <v>4867859000</v>
      </c>
      <c r="C18">
        <v>769729000</v>
      </c>
      <c r="D18">
        <v>133268000</v>
      </c>
      <c r="E18">
        <v>1084100000</v>
      </c>
      <c r="F18">
        <v>-4.2959974851243143E-2</v>
      </c>
    </row>
    <row r="19" spans="1:6" x14ac:dyDescent="0.25">
      <c r="A19" s="73" t="s">
        <v>50</v>
      </c>
      <c r="B19">
        <v>4976727000</v>
      </c>
      <c r="C19">
        <v>726393000</v>
      </c>
      <c r="D19">
        <v>133115000</v>
      </c>
      <c r="E19">
        <v>816765000</v>
      </c>
      <c r="F19">
        <v>-0.1408176528716967</v>
      </c>
    </row>
    <row r="20" spans="1:6" x14ac:dyDescent="0.25">
      <c r="A20" s="73" t="s">
        <v>51</v>
      </c>
      <c r="B20">
        <v>4981834000</v>
      </c>
      <c r="C20">
        <v>545708000</v>
      </c>
      <c r="D20">
        <v>133259000</v>
      </c>
      <c r="E20">
        <v>120041000</v>
      </c>
      <c r="F20">
        <v>-3.6694218127045208E-2</v>
      </c>
    </row>
    <row r="21" spans="1:6" x14ac:dyDescent="0.25">
      <c r="A21" s="73" t="s">
        <v>52</v>
      </c>
      <c r="B21">
        <v>4929103000</v>
      </c>
      <c r="C21">
        <v>600028000</v>
      </c>
      <c r="D21">
        <v>133467000</v>
      </c>
      <c r="E21">
        <v>271589000</v>
      </c>
      <c r="F21">
        <v>0.18101332019664601</v>
      </c>
    </row>
    <row r="22" spans="1:6" x14ac:dyDescent="0.25">
      <c r="A22" s="73" t="s">
        <v>53</v>
      </c>
      <c r="B22">
        <v>4830998000</v>
      </c>
      <c r="C22">
        <v>478532000</v>
      </c>
      <c r="D22">
        <v>133375000</v>
      </c>
      <c r="E22">
        <v>90411000</v>
      </c>
      <c r="F22">
        <v>0.15759671729572</v>
      </c>
    </row>
    <row r="23" spans="1:6" x14ac:dyDescent="0.25">
      <c r="A23" s="73" t="s">
        <v>54</v>
      </c>
      <c r="B23">
        <v>4652437000</v>
      </c>
      <c r="C23">
        <v>411174000</v>
      </c>
      <c r="D23">
        <v>133354000</v>
      </c>
      <c r="E23">
        <v>26031000</v>
      </c>
      <c r="F23">
        <v>9.8787715045856705E-2</v>
      </c>
    </row>
    <row r="24" spans="1:6" x14ac:dyDescent="0.25">
      <c r="A24" s="73" t="s">
        <v>55</v>
      </c>
      <c r="B24">
        <v>4524906000</v>
      </c>
      <c r="C24">
        <v>393554000</v>
      </c>
      <c r="D24">
        <v>133054000</v>
      </c>
      <c r="E24">
        <v>30838000</v>
      </c>
      <c r="F24">
        <v>-8.7300288832661943E-2</v>
      </c>
    </row>
    <row r="25" spans="1:6" x14ac:dyDescent="0.25">
      <c r="A25" s="73" t="s">
        <v>56</v>
      </c>
      <c r="B25">
        <v>4382869000</v>
      </c>
      <c r="C25">
        <v>363689000</v>
      </c>
      <c r="D25">
        <v>133369000</v>
      </c>
      <c r="E25">
        <v>40037000</v>
      </c>
      <c r="F25">
        <v>6.6830555811314696E-4</v>
      </c>
    </row>
    <row r="26" spans="1:6" x14ac:dyDescent="0.25">
      <c r="A26" s="73" t="s">
        <v>57</v>
      </c>
      <c r="B26">
        <v>4272312000</v>
      </c>
      <c r="C26">
        <v>376815000</v>
      </c>
      <c r="D26">
        <v>133894000</v>
      </c>
      <c r="E26">
        <v>38026000</v>
      </c>
      <c r="F26">
        <v>0.11671065071730991</v>
      </c>
    </row>
    <row r="27" spans="1:6" x14ac:dyDescent="0.25">
      <c r="A27" s="73" t="s">
        <v>58</v>
      </c>
      <c r="B27">
        <v>4126830000</v>
      </c>
      <c r="C27">
        <v>349518000</v>
      </c>
      <c r="D27">
        <v>134051000</v>
      </c>
      <c r="E27">
        <v>55059000</v>
      </c>
      <c r="F27">
        <v>0.2874447433600158</v>
      </c>
    </row>
    <row r="28" spans="1:6" x14ac:dyDescent="0.25">
      <c r="A28" s="73" t="s">
        <v>59</v>
      </c>
      <c r="B28">
        <v>3957442000</v>
      </c>
      <c r="C28">
        <v>188262000</v>
      </c>
      <c r="D28">
        <v>134359000</v>
      </c>
      <c r="E28">
        <v>38141000</v>
      </c>
      <c r="F28">
        <v>-0.45734179401723302</v>
      </c>
    </row>
    <row r="29" spans="1:6" x14ac:dyDescent="0.25">
      <c r="A29" s="73" t="s">
        <v>60</v>
      </c>
      <c r="B29">
        <v>3890296000</v>
      </c>
      <c r="C29">
        <v>185112000</v>
      </c>
      <c r="D29">
        <v>134815000</v>
      </c>
      <c r="E29">
        <v>141646000</v>
      </c>
      <c r="F29">
        <v>0.1197342421031531</v>
      </c>
    </row>
    <row r="30" spans="1:6" x14ac:dyDescent="0.25">
      <c r="A30" s="73" t="s">
        <v>61</v>
      </c>
      <c r="B30">
        <v>3785781000</v>
      </c>
      <c r="C30">
        <v>269122000</v>
      </c>
      <c r="D30">
        <v>134765000</v>
      </c>
      <c r="E30">
        <v>701163000</v>
      </c>
      <c r="F30">
        <v>9.6302062213581507E-2</v>
      </c>
    </row>
    <row r="31" spans="1:6" x14ac:dyDescent="0.25">
      <c r="A31" s="73" t="s">
        <v>62</v>
      </c>
      <c r="B31">
        <v>3699206000</v>
      </c>
      <c r="C31">
        <v>255859000</v>
      </c>
      <c r="D31">
        <v>134735000</v>
      </c>
      <c r="E31">
        <v>1129799000</v>
      </c>
      <c r="F31">
        <v>0.43641731769132291</v>
      </c>
    </row>
    <row r="32" spans="1:6" x14ac:dyDescent="0.25">
      <c r="A32" s="73" t="s">
        <v>63</v>
      </c>
      <c r="B32">
        <v>3625268000</v>
      </c>
      <c r="C32">
        <v>320997000</v>
      </c>
      <c r="D32">
        <v>134968000</v>
      </c>
      <c r="E32">
        <v>286957000</v>
      </c>
      <c r="F32">
        <v>-0.22542818472350301</v>
      </c>
    </row>
    <row r="33" spans="1:6" x14ac:dyDescent="0.25">
      <c r="A33" s="73" t="s">
        <v>64</v>
      </c>
      <c r="B33">
        <v>3592668000</v>
      </c>
      <c r="C33">
        <v>294440000</v>
      </c>
      <c r="D33">
        <v>135362000</v>
      </c>
      <c r="E33">
        <v>258986000</v>
      </c>
      <c r="F33">
        <v>0.25446588007488757</v>
      </c>
    </row>
    <row r="34" spans="1:6" x14ac:dyDescent="0.25">
      <c r="A34" s="73" t="s">
        <v>65</v>
      </c>
      <c r="B34">
        <v>3576978000</v>
      </c>
      <c r="C34">
        <v>205602000</v>
      </c>
      <c r="D34">
        <v>135823000</v>
      </c>
      <c r="E34">
        <v>135365000</v>
      </c>
      <c r="F34">
        <v>8.6102745411474668E-2</v>
      </c>
    </row>
    <row r="35" spans="1:6" x14ac:dyDescent="0.25">
      <c r="A35" s="73" t="s">
        <v>66</v>
      </c>
      <c r="B35">
        <v>3607298000</v>
      </c>
      <c r="C35">
        <v>200969000</v>
      </c>
      <c r="D35">
        <v>136208000</v>
      </c>
      <c r="E35">
        <v>91902000</v>
      </c>
      <c r="F35">
        <v>0.1876438859489489</v>
      </c>
    </row>
    <row r="36" spans="1:6" x14ac:dyDescent="0.25">
      <c r="A36" s="73" t="s">
        <v>67</v>
      </c>
      <c r="B36">
        <v>3545616000</v>
      </c>
      <c r="C36">
        <v>179146000</v>
      </c>
      <c r="D36">
        <v>136100000</v>
      </c>
      <c r="E36">
        <v>191886000</v>
      </c>
      <c r="F36">
        <v>-0.67813921427926493</v>
      </c>
    </row>
    <row r="37" spans="1:6" x14ac:dyDescent="0.25">
      <c r="A37" s="73" t="s">
        <v>68</v>
      </c>
      <c r="B37">
        <v>3422181000</v>
      </c>
      <c r="C37">
        <v>214116000</v>
      </c>
      <c r="D37">
        <v>135711000</v>
      </c>
      <c r="E37">
        <v>284060000</v>
      </c>
      <c r="F37">
        <v>-6.4014692209274915E-2</v>
      </c>
    </row>
    <row r="38" spans="1:6" x14ac:dyDescent="0.25">
      <c r="A38" s="73" t="s">
        <v>69</v>
      </c>
      <c r="B38">
        <v>3319922000</v>
      </c>
      <c r="C38">
        <v>121500000</v>
      </c>
      <c r="D38">
        <v>135558000</v>
      </c>
      <c r="E38">
        <v>168681000</v>
      </c>
      <c r="F38">
        <v>0.21381484330552819</v>
      </c>
    </row>
    <row r="39" spans="1:6" x14ac:dyDescent="0.25">
      <c r="A39" s="73" t="s">
        <v>70</v>
      </c>
      <c r="B39">
        <v>3155041000</v>
      </c>
      <c r="C39">
        <v>44812000</v>
      </c>
      <c r="D39">
        <v>135234000</v>
      </c>
      <c r="E39">
        <v>74736000</v>
      </c>
      <c r="F39">
        <v>9.7116143352086848E-2</v>
      </c>
    </row>
    <row r="40" spans="1:6" x14ac:dyDescent="0.25">
      <c r="A40" s="73" t="s">
        <v>71</v>
      </c>
      <c r="B40">
        <v>3051041000</v>
      </c>
      <c r="C40">
        <v>56005000</v>
      </c>
      <c r="D40">
        <v>132659000</v>
      </c>
      <c r="E40">
        <v>392657000</v>
      </c>
      <c r="F40">
        <v>9.9021621809825655E-2</v>
      </c>
    </row>
    <row r="41" spans="1:6" x14ac:dyDescent="0.25">
      <c r="A41" s="73" t="s">
        <v>72</v>
      </c>
      <c r="B41">
        <v>2994168000</v>
      </c>
      <c r="C41">
        <v>35484000</v>
      </c>
      <c r="D41">
        <v>133619000</v>
      </c>
      <c r="E41">
        <v>141273000</v>
      </c>
      <c r="F41">
        <v>-3.3319350646677792E-2</v>
      </c>
    </row>
    <row r="42" spans="1:6" x14ac:dyDescent="0.25">
      <c r="A42" s="73" t="s">
        <v>73</v>
      </c>
      <c r="B42">
        <v>2919388000</v>
      </c>
      <c r="C42">
        <v>-76614000</v>
      </c>
      <c r="D42">
        <v>133369000</v>
      </c>
      <c r="E42">
        <v>91868000</v>
      </c>
      <c r="F42">
        <v>5.352838484306166E-2</v>
      </c>
    </row>
    <row r="43" spans="1:6" x14ac:dyDescent="0.25">
      <c r="A43" s="73" t="s">
        <v>74</v>
      </c>
      <c r="B43">
        <v>2859377000</v>
      </c>
      <c r="C43">
        <v>97556000</v>
      </c>
      <c r="D43">
        <v>132876000</v>
      </c>
      <c r="E43">
        <v>227684000</v>
      </c>
      <c r="F43">
        <v>9.9830494914942225E-2</v>
      </c>
    </row>
    <row r="44" spans="1:6" x14ac:dyDescent="0.25">
      <c r="A44" s="73" t="s">
        <v>75</v>
      </c>
      <c r="B44">
        <v>2806967000</v>
      </c>
      <c r="C44">
        <v>74322000</v>
      </c>
      <c r="D44">
        <v>132314000</v>
      </c>
      <c r="E44">
        <v>268773000</v>
      </c>
      <c r="F44">
        <v>0.25793242183580412</v>
      </c>
    </row>
    <row r="45" spans="1:6" x14ac:dyDescent="0.25">
      <c r="A45" s="73" t="s">
        <v>76</v>
      </c>
      <c r="B45">
        <v>2770709000</v>
      </c>
      <c r="C45">
        <v>85582000</v>
      </c>
      <c r="D45">
        <v>131650000</v>
      </c>
      <c r="E45">
        <v>198201000</v>
      </c>
      <c r="F45">
        <v>-0.72051062486954143</v>
      </c>
    </row>
    <row r="46" spans="1:6" x14ac:dyDescent="0.25">
      <c r="A46" s="73" t="s">
        <v>77</v>
      </c>
      <c r="B46">
        <v>2698894000</v>
      </c>
      <c r="C46">
        <v>243479000</v>
      </c>
      <c r="D46">
        <v>131320000</v>
      </c>
      <c r="E46">
        <v>245813000</v>
      </c>
      <c r="F46">
        <v>-5.8153749480353567E-2</v>
      </c>
    </row>
    <row r="47" spans="1:6" x14ac:dyDescent="0.25">
      <c r="A47" s="73" t="s">
        <v>78</v>
      </c>
      <c r="B47">
        <v>2614187000</v>
      </c>
      <c r="C47">
        <v>76377000</v>
      </c>
      <c r="D47">
        <v>131332000</v>
      </c>
      <c r="E47">
        <v>86979000</v>
      </c>
      <c r="F47">
        <v>-5.9280597750296822E-2</v>
      </c>
    </row>
    <row r="48" spans="1:6" x14ac:dyDescent="0.25">
      <c r="A48" s="73" t="s">
        <v>79</v>
      </c>
      <c r="B48">
        <v>2569590000</v>
      </c>
      <c r="C48">
        <v>95104000</v>
      </c>
      <c r="D48">
        <v>130186000</v>
      </c>
      <c r="E48">
        <v>188081000</v>
      </c>
      <c r="F48">
        <v>-0.2621281476145868</v>
      </c>
    </row>
    <row r="49" spans="1:6" x14ac:dyDescent="0.25">
      <c r="A49" s="73" t="s">
        <v>80</v>
      </c>
      <c r="B49">
        <v>2567310000</v>
      </c>
      <c r="C49">
        <v>145118000</v>
      </c>
      <c r="D49">
        <v>131008000</v>
      </c>
      <c r="E49">
        <v>275478000</v>
      </c>
      <c r="F49">
        <v>-0.69066604623617245</v>
      </c>
    </row>
    <row r="50" spans="1:6" x14ac:dyDescent="0.25">
      <c r="A50" s="73" t="s">
        <v>81</v>
      </c>
      <c r="B50">
        <v>2573506000</v>
      </c>
      <c r="C50">
        <v>70078000</v>
      </c>
      <c r="D50">
        <v>130215000</v>
      </c>
      <c r="E50">
        <v>243126000</v>
      </c>
      <c r="F50">
        <v>0.16344466659305529</v>
      </c>
    </row>
    <row r="51" spans="1:6" x14ac:dyDescent="0.25">
      <c r="A51" s="73" t="s">
        <v>82</v>
      </c>
      <c r="B51">
        <v>2605397000</v>
      </c>
      <c r="C51">
        <v>77982000</v>
      </c>
      <c r="D51">
        <v>129676000</v>
      </c>
      <c r="E51">
        <v>158301000</v>
      </c>
      <c r="F51">
        <v>1.966361858253403</v>
      </c>
    </row>
    <row r="52" spans="1:6" x14ac:dyDescent="0.25">
      <c r="A52" s="73" t="s">
        <v>83</v>
      </c>
      <c r="B52">
        <v>2613232000</v>
      </c>
      <c r="C52">
        <v>60584000</v>
      </c>
      <c r="D52">
        <v>129593000</v>
      </c>
      <c r="E52">
        <v>191172000</v>
      </c>
      <c r="F52">
        <v>0.15233794540229881</v>
      </c>
    </row>
    <row r="53" spans="1:6" x14ac:dyDescent="0.25">
      <c r="A53" s="73" t="s">
        <v>84</v>
      </c>
      <c r="B53">
        <v>2564550000</v>
      </c>
      <c r="C53">
        <v>70131000</v>
      </c>
      <c r="D53">
        <v>129593000</v>
      </c>
      <c r="E53">
        <v>155839000</v>
      </c>
      <c r="F53">
        <v>1.041564045967287</v>
      </c>
    </row>
    <row r="54" spans="1:6" x14ac:dyDescent="0.25">
      <c r="A54" s="73" t="s">
        <v>85</v>
      </c>
      <c r="B54">
        <v>2536166000</v>
      </c>
      <c r="C54">
        <v>95053000</v>
      </c>
      <c r="D54">
        <v>129768000</v>
      </c>
      <c r="E54">
        <v>152379000</v>
      </c>
      <c r="F54">
        <v>-0.52753421537020784</v>
      </c>
    </row>
    <row r="55" spans="1:6" x14ac:dyDescent="0.25">
      <c r="A55" s="73" t="s">
        <v>86</v>
      </c>
      <c r="B55">
        <v>2518618000</v>
      </c>
      <c r="C55">
        <v>95388000</v>
      </c>
      <c r="D55">
        <v>129446000</v>
      </c>
      <c r="E55">
        <v>106744000</v>
      </c>
      <c r="F55">
        <v>-0.18262222339951531</v>
      </c>
    </row>
    <row r="56" spans="1:6" x14ac:dyDescent="0.25">
      <c r="A56" s="73" t="s">
        <v>87</v>
      </c>
      <c r="B56">
        <v>2552799000</v>
      </c>
      <c r="C56">
        <v>149545000</v>
      </c>
      <c r="D56">
        <v>129078000</v>
      </c>
      <c r="E56">
        <v>63164000</v>
      </c>
      <c r="F56">
        <v>-0.2193933451458043</v>
      </c>
    </row>
    <row r="57" spans="1:6" x14ac:dyDescent="0.25">
      <c r="A57" s="73" t="s">
        <v>88</v>
      </c>
      <c r="B57">
        <v>2558863000</v>
      </c>
      <c r="C57">
        <v>116382000</v>
      </c>
      <c r="D57">
        <v>129078000</v>
      </c>
      <c r="E57">
        <v>47541000</v>
      </c>
      <c r="F57">
        <v>-0.50334155731482488</v>
      </c>
    </row>
    <row r="58" spans="1:6" x14ac:dyDescent="0.25">
      <c r="A58" s="73" t="s">
        <v>89</v>
      </c>
      <c r="B58">
        <v>2562764000</v>
      </c>
      <c r="C58">
        <v>148372000</v>
      </c>
      <c r="D58">
        <v>128910000</v>
      </c>
      <c r="E58">
        <v>86406000</v>
      </c>
      <c r="F58">
        <v>1.1488270246931349</v>
      </c>
    </row>
    <row r="59" spans="1:6" x14ac:dyDescent="0.25">
      <c r="A59" s="73" t="s">
        <v>90</v>
      </c>
      <c r="B59">
        <v>2597752000</v>
      </c>
      <c r="C59">
        <v>210503000</v>
      </c>
      <c r="D59">
        <v>128168000</v>
      </c>
      <c r="E59">
        <v>46083000</v>
      </c>
      <c r="F59">
        <v>0.35982234757757392</v>
      </c>
    </row>
    <row r="60" spans="1:6" x14ac:dyDescent="0.25">
      <c r="A60" s="73" t="s">
        <v>91</v>
      </c>
      <c r="B60">
        <v>2583459000</v>
      </c>
      <c r="C60">
        <v>250526000</v>
      </c>
      <c r="D60">
        <v>126692000</v>
      </c>
      <c r="E60">
        <v>40049000</v>
      </c>
      <c r="F60">
        <v>-0.17823599769446311</v>
      </c>
    </row>
    <row r="61" spans="1:6" x14ac:dyDescent="0.25">
      <c r="A61" s="73" t="s">
        <v>92</v>
      </c>
      <c r="B61">
        <v>2690489000</v>
      </c>
      <c r="C61">
        <v>343306000</v>
      </c>
      <c r="D61">
        <v>126692000</v>
      </c>
      <c r="E61">
        <v>26376000</v>
      </c>
      <c r="F61">
        <v>-0.85232714255147968</v>
      </c>
    </row>
    <row r="62" spans="1:6" x14ac:dyDescent="0.25">
      <c r="A62" s="73" t="s">
        <v>93</v>
      </c>
      <c r="B62">
        <v>2899544000</v>
      </c>
      <c r="C62">
        <v>359289000</v>
      </c>
      <c r="D62">
        <v>125859000</v>
      </c>
      <c r="E62">
        <v>53350000</v>
      </c>
      <c r="F62">
        <v>-0.2522605222879778</v>
      </c>
    </row>
    <row r="63" spans="1:6" x14ac:dyDescent="0.25">
      <c r="A63" s="73" t="s">
        <v>94</v>
      </c>
      <c r="B63">
        <v>3134701000</v>
      </c>
      <c r="C63">
        <v>255895000</v>
      </c>
      <c r="D63">
        <v>113829000</v>
      </c>
      <c r="E63">
        <v>50466000</v>
      </c>
      <c r="F63">
        <v>9.5293470419000048E-3</v>
      </c>
    </row>
    <row r="64" spans="1:6" x14ac:dyDescent="0.25">
      <c r="A64" s="73" t="s">
        <v>95</v>
      </c>
      <c r="B64">
        <v>3434393000</v>
      </c>
      <c r="C64">
        <v>257818000</v>
      </c>
      <c r="D64">
        <v>110598000</v>
      </c>
      <c r="E64">
        <v>58976000</v>
      </c>
      <c r="F64">
        <v>-0.82271737920250965</v>
      </c>
    </row>
    <row r="65" spans="1:6" x14ac:dyDescent="0.25">
      <c r="A65" s="73" t="s">
        <v>96</v>
      </c>
      <c r="B65">
        <v>3651438000</v>
      </c>
      <c r="C65">
        <v>81989000</v>
      </c>
      <c r="D65">
        <v>110598000</v>
      </c>
      <c r="E65">
        <v>46928000</v>
      </c>
      <c r="F65">
        <v>0.93196993079625146</v>
      </c>
    </row>
    <row r="66" spans="1:6" x14ac:dyDescent="0.25">
      <c r="A66" s="73" t="s">
        <v>97</v>
      </c>
      <c r="B66">
        <v>3709129000</v>
      </c>
      <c r="C66">
        <v>138352000</v>
      </c>
      <c r="D66">
        <v>111270000</v>
      </c>
      <c r="E66">
        <v>127961000</v>
      </c>
      <c r="F66">
        <v>0.74196449419030008</v>
      </c>
    </row>
    <row r="67" spans="1:6" x14ac:dyDescent="0.25">
      <c r="A67" s="73" t="s">
        <v>98</v>
      </c>
      <c r="B67">
        <v>3600646000</v>
      </c>
      <c r="C67">
        <v>177078000</v>
      </c>
      <c r="D67">
        <v>111117000</v>
      </c>
      <c r="E67">
        <v>151210000</v>
      </c>
      <c r="F67">
        <v>0.37492443027431488</v>
      </c>
    </row>
    <row r="68" spans="1:6" x14ac:dyDescent="0.25">
      <c r="A68" s="73" t="s">
        <v>99</v>
      </c>
      <c r="B68">
        <v>3457939000</v>
      </c>
      <c r="C68">
        <v>152944000</v>
      </c>
      <c r="D68">
        <v>109898000</v>
      </c>
      <c r="E68">
        <v>51023000</v>
      </c>
      <c r="F68">
        <v>4.1233171218314668</v>
      </c>
    </row>
    <row r="69" spans="1:6" x14ac:dyDescent="0.25">
      <c r="A69" s="73" t="s">
        <v>100</v>
      </c>
      <c r="B69">
        <v>3327787000</v>
      </c>
      <c r="C69">
        <v>224822000</v>
      </c>
      <c r="D69">
        <v>109898000</v>
      </c>
      <c r="E69">
        <v>34888000</v>
      </c>
      <c r="F69">
        <v>0.30011096233756063</v>
      </c>
    </row>
    <row r="70" spans="1:6" x14ac:dyDescent="0.25">
      <c r="A70" s="73" t="s">
        <v>101</v>
      </c>
      <c r="B70">
        <v>3287201000</v>
      </c>
      <c r="C70">
        <v>149498000</v>
      </c>
      <c r="D70">
        <v>97888000</v>
      </c>
      <c r="E70">
        <v>31079000</v>
      </c>
      <c r="F70">
        <v>4.7170754776874713E-2</v>
      </c>
    </row>
    <row r="71" spans="1:6" x14ac:dyDescent="0.25">
      <c r="A71" s="73" t="s">
        <v>102</v>
      </c>
      <c r="B71">
        <v>3311656000</v>
      </c>
      <c r="C71">
        <v>120453000</v>
      </c>
      <c r="D71">
        <v>98157000</v>
      </c>
      <c r="E71">
        <v>34593000</v>
      </c>
      <c r="F71">
        <v>-1.049132928452245E-2</v>
      </c>
    </row>
    <row r="72" spans="1:6" x14ac:dyDescent="0.25">
      <c r="A72" s="73" t="s">
        <v>103</v>
      </c>
      <c r="B72">
        <v>3320974000</v>
      </c>
      <c r="C72">
        <v>143421000</v>
      </c>
      <c r="D72">
        <v>97778000</v>
      </c>
      <c r="E72">
        <v>69960000</v>
      </c>
      <c r="F72">
        <v>-0.16366634776706779</v>
      </c>
    </row>
    <row r="73" spans="1:6" x14ac:dyDescent="0.25">
      <c r="A73" s="73" t="s">
        <v>104</v>
      </c>
      <c r="B73">
        <v>3342474000</v>
      </c>
      <c r="C73">
        <v>144142000</v>
      </c>
      <c r="D73">
        <v>97778000</v>
      </c>
      <c r="E73">
        <v>55230000</v>
      </c>
      <c r="F73">
        <v>-9.854969183205875E-2</v>
      </c>
    </row>
    <row r="74" spans="1:6" x14ac:dyDescent="0.25">
      <c r="A74" s="73" t="s">
        <v>105</v>
      </c>
      <c r="B74">
        <v>3280791000</v>
      </c>
      <c r="C74">
        <v>199081000</v>
      </c>
      <c r="D74">
        <v>97679000</v>
      </c>
      <c r="E74">
        <v>68651000</v>
      </c>
      <c r="F74">
        <v>0.17120474424589421</v>
      </c>
    </row>
    <row r="75" spans="1:6" x14ac:dyDescent="0.25">
      <c r="A75" s="73" t="s">
        <v>106</v>
      </c>
      <c r="B75">
        <v>3181486000</v>
      </c>
      <c r="C75">
        <v>150424000</v>
      </c>
      <c r="D75">
        <v>101636000</v>
      </c>
      <c r="E75">
        <v>71191000</v>
      </c>
      <c r="F75">
        <v>-3.2923415175546089E-2</v>
      </c>
    </row>
    <row r="76" spans="1:6" x14ac:dyDescent="0.25">
      <c r="A76" s="73" t="s">
        <v>107</v>
      </c>
      <c r="B76">
        <v>3075398000</v>
      </c>
      <c r="C76">
        <v>176626000</v>
      </c>
      <c r="D76">
        <v>102346000</v>
      </c>
      <c r="E76">
        <v>149308000</v>
      </c>
      <c r="F76">
        <v>0.23751951321942591</v>
      </c>
    </row>
    <row r="77" spans="1:6" x14ac:dyDescent="0.25">
      <c r="A77" s="73" t="s">
        <v>108</v>
      </c>
      <c r="B77">
        <v>2895327000</v>
      </c>
      <c r="C77">
        <v>257538000</v>
      </c>
      <c r="D77">
        <v>102346000</v>
      </c>
      <c r="E77">
        <v>450278000</v>
      </c>
      <c r="F77">
        <v>4.3355143320964746</v>
      </c>
    </row>
    <row r="78" spans="1:6" x14ac:dyDescent="0.25">
      <c r="A78" s="73" t="s">
        <v>109</v>
      </c>
      <c r="B78">
        <v>2270066000</v>
      </c>
      <c r="C78">
        <v>278129000</v>
      </c>
      <c r="D78">
        <v>104397000</v>
      </c>
      <c r="E78">
        <v>446314000</v>
      </c>
      <c r="F78">
        <v>-4.6470025538828841E-2</v>
      </c>
    </row>
    <row r="79" spans="1:6" x14ac:dyDescent="0.25">
      <c r="A79" s="73" t="s">
        <v>110</v>
      </c>
      <c r="B79">
        <v>2331242000</v>
      </c>
      <c r="C79">
        <v>383486000</v>
      </c>
      <c r="D79">
        <v>104026000</v>
      </c>
      <c r="E79">
        <v>535114000</v>
      </c>
      <c r="F79">
        <v>-1.349480595844765E-2</v>
      </c>
    </row>
    <row r="80" spans="1:6" x14ac:dyDescent="0.25">
      <c r="A80" s="73" t="s">
        <v>111</v>
      </c>
      <c r="B80">
        <v>2365488000</v>
      </c>
      <c r="C80">
        <v>381862000</v>
      </c>
      <c r="D80">
        <v>104612000</v>
      </c>
      <c r="E80">
        <v>397967000</v>
      </c>
      <c r="F80">
        <v>-0.186694565819435</v>
      </c>
    </row>
    <row r="81" spans="1:6" x14ac:dyDescent="0.25">
      <c r="A81" s="73" t="s">
        <v>112</v>
      </c>
      <c r="B81">
        <v>2454334000</v>
      </c>
      <c r="C81">
        <v>376815000</v>
      </c>
      <c r="D81">
        <v>104612000</v>
      </c>
      <c r="E81">
        <v>450660000</v>
      </c>
      <c r="F81">
        <v>-0.7937010065387281</v>
      </c>
    </row>
    <row r="82" spans="1:6" x14ac:dyDescent="0.25">
      <c r="A82" s="73" t="s">
        <v>113</v>
      </c>
      <c r="B82">
        <v>3053709000</v>
      </c>
      <c r="C82">
        <v>337826000</v>
      </c>
      <c r="D82">
        <v>103659000</v>
      </c>
      <c r="E82">
        <v>346683000</v>
      </c>
      <c r="F82">
        <v>9.5763480157367464E-2</v>
      </c>
    </row>
    <row r="83" spans="1:6" x14ac:dyDescent="0.25">
      <c r="A83" s="73" t="s">
        <v>114</v>
      </c>
      <c r="B83">
        <v>2992422000</v>
      </c>
      <c r="C83">
        <v>371183000</v>
      </c>
      <c r="D83">
        <v>103454000</v>
      </c>
      <c r="E83">
        <v>230924000</v>
      </c>
      <c r="F83">
        <v>2.5611958555844531E-2</v>
      </c>
    </row>
    <row r="84" spans="1:6" x14ac:dyDescent="0.25">
      <c r="A84" s="73" t="s">
        <v>115</v>
      </c>
      <c r="B84">
        <v>2942917000</v>
      </c>
      <c r="C84">
        <v>355822000</v>
      </c>
      <c r="D84">
        <v>103425000</v>
      </c>
      <c r="E84">
        <v>436987000</v>
      </c>
      <c r="F84">
        <v>-0.22864816696370571</v>
      </c>
    </row>
    <row r="85" spans="1:6" x14ac:dyDescent="0.25">
      <c r="A85" s="73" t="s">
        <v>116</v>
      </c>
      <c r="B85">
        <v>2925825000</v>
      </c>
      <c r="C85">
        <v>325123000</v>
      </c>
      <c r="D85">
        <v>103425000</v>
      </c>
      <c r="E85">
        <v>421663000</v>
      </c>
      <c r="F85">
        <v>7.8059792682800611E-2</v>
      </c>
    </row>
    <row r="86" spans="1:6" x14ac:dyDescent="0.25">
      <c r="A86" s="73" t="s">
        <v>117</v>
      </c>
      <c r="B86">
        <v>2873059000</v>
      </c>
      <c r="C86">
        <v>319727000</v>
      </c>
      <c r="D86">
        <v>102805000</v>
      </c>
      <c r="E86">
        <v>335177000</v>
      </c>
      <c r="F86">
        <v>4.4411370271295159E-2</v>
      </c>
    </row>
    <row r="87" spans="1:6" x14ac:dyDescent="0.25">
      <c r="A87" s="73" t="s">
        <v>118</v>
      </c>
      <c r="B87">
        <v>2828940000</v>
      </c>
      <c r="C87">
        <v>241065000</v>
      </c>
      <c r="D87">
        <v>102571000</v>
      </c>
      <c r="E87">
        <v>183631000</v>
      </c>
      <c r="F87">
        <v>2.5508832603802659E-2</v>
      </c>
    </row>
    <row r="88" spans="1:6" x14ac:dyDescent="0.25">
      <c r="A88" s="73" t="s">
        <v>119</v>
      </c>
      <c r="B88">
        <v>2809866000</v>
      </c>
      <c r="C88">
        <v>215087000</v>
      </c>
      <c r="D88">
        <v>102371000</v>
      </c>
      <c r="E88">
        <v>166301000</v>
      </c>
      <c r="F88">
        <v>1.3009303656565281</v>
      </c>
    </row>
    <row r="89" spans="1:6" x14ac:dyDescent="0.25">
      <c r="A89" s="73" t="s">
        <v>120</v>
      </c>
      <c r="B89">
        <v>2796577000</v>
      </c>
      <c r="C89">
        <v>212724000</v>
      </c>
      <c r="D89">
        <v>102371000</v>
      </c>
      <c r="E89">
        <v>170728000</v>
      </c>
      <c r="F89">
        <v>-7.1635657967200839E-2</v>
      </c>
    </row>
    <row r="90" spans="1:6" x14ac:dyDescent="0.25">
      <c r="A90" s="73" t="s">
        <v>121</v>
      </c>
      <c r="B90">
        <v>2848737000</v>
      </c>
      <c r="C90">
        <v>214878000</v>
      </c>
      <c r="D90">
        <v>102482000</v>
      </c>
      <c r="E90">
        <v>82752000</v>
      </c>
      <c r="F90">
        <v>-6.799997153423365E-2</v>
      </c>
    </row>
    <row r="91" spans="1:6" x14ac:dyDescent="0.25">
      <c r="A91" s="73" t="s">
        <v>122</v>
      </c>
      <c r="B91">
        <v>2906069000</v>
      </c>
      <c r="C91">
        <v>292485000</v>
      </c>
      <c r="D91">
        <v>102747000</v>
      </c>
      <c r="E91">
        <v>56652000</v>
      </c>
      <c r="F91">
        <v>-0.1116142878700993</v>
      </c>
    </row>
    <row r="92" spans="1:6" x14ac:dyDescent="0.25">
      <c r="A92" s="73" t="s">
        <v>123</v>
      </c>
      <c r="B92">
        <v>2986653000</v>
      </c>
      <c r="C92">
        <v>261169000</v>
      </c>
      <c r="D92">
        <v>102639000</v>
      </c>
      <c r="E92">
        <v>81015000</v>
      </c>
      <c r="F92">
        <v>-4.2599219157695378E-2</v>
      </c>
    </row>
    <row r="93" spans="1:6" x14ac:dyDescent="0.25">
      <c r="A93" s="73" t="s">
        <v>124</v>
      </c>
      <c r="B93">
        <v>2968701000</v>
      </c>
      <c r="C93">
        <v>223408000</v>
      </c>
      <c r="D93">
        <v>102639000</v>
      </c>
      <c r="E93">
        <v>100802000</v>
      </c>
      <c r="F93">
        <v>6.0742415109185099E-2</v>
      </c>
    </row>
    <row r="94" spans="1:6" x14ac:dyDescent="0.25">
      <c r="A94" s="73" t="s">
        <v>125</v>
      </c>
      <c r="B94">
        <v>2870970000</v>
      </c>
      <c r="C94">
        <v>-56029000</v>
      </c>
      <c r="D94">
        <v>102608000</v>
      </c>
      <c r="E94">
        <v>65683000</v>
      </c>
      <c r="F94">
        <v>0.25127057283027071</v>
      </c>
    </row>
    <row r="95" spans="1:6" x14ac:dyDescent="0.25">
      <c r="A95" s="73" t="s">
        <v>126</v>
      </c>
      <c r="B95">
        <v>2709066000</v>
      </c>
      <c r="C95">
        <v>-136149000</v>
      </c>
      <c r="D95">
        <v>102652000</v>
      </c>
      <c r="E95">
        <v>37628000</v>
      </c>
      <c r="F95">
        <v>0.24531873213751451</v>
      </c>
    </row>
    <row r="96" spans="1:6" x14ac:dyDescent="0.25">
      <c r="A96" s="73" t="s">
        <v>127</v>
      </c>
      <c r="B96">
        <v>2545892000</v>
      </c>
      <c r="C96">
        <v>-178242000</v>
      </c>
      <c r="D96">
        <v>102253000</v>
      </c>
      <c r="E96">
        <v>28946000</v>
      </c>
      <c r="F96">
        <v>0.38143203341482512</v>
      </c>
    </row>
    <row r="97" spans="1:6" x14ac:dyDescent="0.25">
      <c r="A97" s="73" t="s">
        <v>128</v>
      </c>
      <c r="B97">
        <v>2491744000</v>
      </c>
      <c r="C97">
        <v>-187333000</v>
      </c>
      <c r="D97">
        <v>102253000</v>
      </c>
      <c r="E97">
        <v>55276000</v>
      </c>
      <c r="F97">
        <v>8.3435485468956516E-2</v>
      </c>
    </row>
    <row r="98" spans="1:6" x14ac:dyDescent="0.25">
      <c r="A98" s="73" t="s">
        <v>129</v>
      </c>
      <c r="B98">
        <v>2466946000</v>
      </c>
      <c r="C98">
        <v>39534000</v>
      </c>
      <c r="D98">
        <v>102078000</v>
      </c>
      <c r="E98">
        <v>68546000</v>
      </c>
      <c r="F98">
        <v>0.25319627818403417</v>
      </c>
    </row>
    <row r="99" spans="1:6" x14ac:dyDescent="0.25">
      <c r="A99" s="73" t="s">
        <v>130</v>
      </c>
      <c r="B99">
        <v>2442132000</v>
      </c>
      <c r="C99">
        <v>21409000</v>
      </c>
      <c r="D99">
        <v>102000000</v>
      </c>
      <c r="E99">
        <v>31503000</v>
      </c>
      <c r="F99">
        <v>5.7935705641864343E-2</v>
      </c>
    </row>
    <row r="100" spans="1:6" x14ac:dyDescent="0.25">
      <c r="A100" s="73" t="s">
        <v>131</v>
      </c>
      <c r="B100">
        <v>2388481000</v>
      </c>
      <c r="C100">
        <v>70881000</v>
      </c>
      <c r="D100">
        <v>101897000</v>
      </c>
      <c r="E100">
        <v>21231000</v>
      </c>
      <c r="F100">
        <v>0.2262017440895894</v>
      </c>
    </row>
    <row r="101" spans="1:6" x14ac:dyDescent="0.25">
      <c r="A101" s="73" t="s">
        <v>132</v>
      </c>
      <c r="B101">
        <v>2355700000</v>
      </c>
      <c r="C101">
        <v>-692100000</v>
      </c>
      <c r="D101">
        <v>101897000</v>
      </c>
      <c r="E101">
        <v>52800000</v>
      </c>
      <c r="F101">
        <v>8.5522354670888978E-2</v>
      </c>
    </row>
    <row r="102" spans="1:6" x14ac:dyDescent="0.25">
      <c r="A102" s="73" t="s">
        <v>133</v>
      </c>
      <c r="B102">
        <v>2192200000</v>
      </c>
      <c r="C102">
        <v>-678600000</v>
      </c>
      <c r="D102">
        <v>102142857</v>
      </c>
      <c r="E102">
        <v>84600000</v>
      </c>
      <c r="F102">
        <v>0.28832188420019622</v>
      </c>
    </row>
    <row r="103" spans="1:6" x14ac:dyDescent="0.25">
      <c r="A103" s="73" t="s">
        <v>134</v>
      </c>
      <c r="B103">
        <v>2045300000</v>
      </c>
      <c r="C103">
        <v>-653000000</v>
      </c>
      <c r="D103">
        <v>102786885</v>
      </c>
      <c r="E103">
        <v>77500000</v>
      </c>
      <c r="F103">
        <v>0.39358258694718762</v>
      </c>
    </row>
    <row r="104" spans="1:6" x14ac:dyDescent="0.25">
      <c r="A104" s="73" t="s">
        <v>135</v>
      </c>
      <c r="B104">
        <v>1899600000</v>
      </c>
      <c r="C104">
        <v>-633800000</v>
      </c>
      <c r="D104">
        <v>101538462</v>
      </c>
      <c r="E104">
        <v>44600000</v>
      </c>
      <c r="F104">
        <v>0.34317548746518112</v>
      </c>
    </row>
    <row r="105" spans="1:6" x14ac:dyDescent="0.25">
      <c r="A105" s="73" t="s">
        <v>136</v>
      </c>
      <c r="B105">
        <v>1776400000</v>
      </c>
      <c r="C105">
        <v>159300000</v>
      </c>
      <c r="D105">
        <v>101538462</v>
      </c>
      <c r="E105">
        <v>180600000</v>
      </c>
      <c r="F105">
        <v>-5.6025920830316212E-2</v>
      </c>
    </row>
    <row r="106" spans="1:6" x14ac:dyDescent="0.25">
      <c r="A106" s="73" t="s">
        <v>137</v>
      </c>
      <c r="B106">
        <v>1748600000</v>
      </c>
      <c r="C106">
        <v>167000000</v>
      </c>
      <c r="D106">
        <v>102159091</v>
      </c>
      <c r="E106">
        <v>110400000</v>
      </c>
      <c r="F106">
        <v>-0.1237348336472065</v>
      </c>
    </row>
    <row r="107" spans="1:6" x14ac:dyDescent="0.25">
      <c r="A107" s="73" t="s">
        <v>138</v>
      </c>
      <c r="B107">
        <v>1717000000</v>
      </c>
      <c r="C107">
        <v>139400000</v>
      </c>
      <c r="D107">
        <v>102941176</v>
      </c>
      <c r="E107">
        <v>65100000</v>
      </c>
      <c r="F107">
        <v>3.1116603010559411E-2</v>
      </c>
    </row>
    <row r="108" spans="1:6" x14ac:dyDescent="0.25">
      <c r="A108" s="73" t="s">
        <v>139</v>
      </c>
      <c r="B108">
        <v>1696300000</v>
      </c>
      <c r="C108">
        <v>169200000</v>
      </c>
      <c r="D108">
        <v>101388889</v>
      </c>
      <c r="E108">
        <v>96000000</v>
      </c>
      <c r="F108">
        <v>-0.25515036321031048</v>
      </c>
    </row>
    <row r="109" spans="1:6" x14ac:dyDescent="0.25">
      <c r="A109" s="73" t="s">
        <v>140</v>
      </c>
      <c r="B109">
        <v>1678700000</v>
      </c>
      <c r="C109">
        <v>172500000</v>
      </c>
      <c r="D109">
        <v>101388889</v>
      </c>
      <c r="E109">
        <v>128600000</v>
      </c>
      <c r="F109">
        <v>4.2264150943396313E-2</v>
      </c>
    </row>
    <row r="110" spans="1:6" x14ac:dyDescent="0.25">
      <c r="A110" s="73" t="s">
        <v>141</v>
      </c>
      <c r="B110">
        <v>1661900000</v>
      </c>
      <c r="C110">
        <v>182700000</v>
      </c>
      <c r="D110">
        <v>103239437</v>
      </c>
      <c r="E110">
        <v>61800000</v>
      </c>
      <c r="F110">
        <v>-7.906352795311089E-2</v>
      </c>
    </row>
    <row r="111" spans="1:6" x14ac:dyDescent="0.25">
      <c r="A111" s="73" t="s">
        <v>142</v>
      </c>
      <c r="B111">
        <v>1627600000</v>
      </c>
      <c r="C111">
        <v>195700000</v>
      </c>
      <c r="D111">
        <v>102950820</v>
      </c>
      <c r="E111">
        <v>34700000</v>
      </c>
      <c r="F111">
        <v>-3.3017824427480913E-2</v>
      </c>
    </row>
    <row r="112" spans="1:6" x14ac:dyDescent="0.25">
      <c r="A112" s="73" t="s">
        <v>143</v>
      </c>
      <c r="B112">
        <v>1601700000</v>
      </c>
      <c r="C112">
        <v>177400000</v>
      </c>
      <c r="D112">
        <v>104285714</v>
      </c>
      <c r="E112">
        <v>16400000</v>
      </c>
      <c r="F112">
        <v>-7.7795786061588323E-2</v>
      </c>
    </row>
    <row r="113" spans="1:6" x14ac:dyDescent="0.25">
      <c r="A113" s="73" t="s">
        <v>144</v>
      </c>
      <c r="B113">
        <v>1568800000</v>
      </c>
      <c r="C113">
        <v>193800000</v>
      </c>
      <c r="D113">
        <v>104285714</v>
      </c>
      <c r="E113">
        <v>50800000</v>
      </c>
      <c r="F113">
        <v>-0.1685715588723051</v>
      </c>
    </row>
    <row r="114" spans="1:6" x14ac:dyDescent="0.25">
      <c r="A114" s="73" t="s">
        <v>145</v>
      </c>
      <c r="B114">
        <v>1533100000</v>
      </c>
      <c r="C114">
        <v>189000000</v>
      </c>
      <c r="D114">
        <v>105254237</v>
      </c>
      <c r="E114">
        <v>23100000</v>
      </c>
    </row>
    <row r="115" spans="1:6" x14ac:dyDescent="0.25">
      <c r="A115" s="73" t="s">
        <v>146</v>
      </c>
      <c r="B115">
        <v>1511500000</v>
      </c>
      <c r="C115">
        <v>194800000</v>
      </c>
      <c r="D115">
        <v>106545455</v>
      </c>
      <c r="E115">
        <v>100000</v>
      </c>
    </row>
    <row r="116" spans="1:6" x14ac:dyDescent="0.25">
      <c r="A116" s="73" t="s">
        <v>147</v>
      </c>
      <c r="B116">
        <v>1475100000</v>
      </c>
      <c r="C116">
        <v>166400000</v>
      </c>
      <c r="D116">
        <v>105789474</v>
      </c>
      <c r="E116">
        <v>20000000</v>
      </c>
    </row>
    <row r="117" spans="1:6" x14ac:dyDescent="0.25">
      <c r="A117" s="73" t="s">
        <v>148</v>
      </c>
      <c r="B117">
        <v>1461000000</v>
      </c>
      <c r="C117">
        <v>157300000</v>
      </c>
      <c r="D117">
        <v>105789474</v>
      </c>
      <c r="E117">
        <v>21900000</v>
      </c>
    </row>
    <row r="118" spans="1:6" x14ac:dyDescent="0.25">
      <c r="A118" s="73" t="s">
        <v>149</v>
      </c>
      <c r="B118">
        <v>1448600000</v>
      </c>
      <c r="C118">
        <v>141000000</v>
      </c>
      <c r="D118">
        <v>107454545</v>
      </c>
      <c r="E118">
        <v>9300000</v>
      </c>
    </row>
    <row r="119" spans="1:6" x14ac:dyDescent="0.25">
      <c r="A119" s="73" t="s">
        <v>150</v>
      </c>
      <c r="B119">
        <v>1387000000</v>
      </c>
      <c r="C119">
        <v>126500000</v>
      </c>
      <c r="D119">
        <v>108409091</v>
      </c>
      <c r="E119">
        <v>0</v>
      </c>
    </row>
    <row r="120" spans="1:6" x14ac:dyDescent="0.25">
      <c r="A120" s="73" t="s">
        <v>151</v>
      </c>
      <c r="B120">
        <v>1330900000</v>
      </c>
      <c r="C120">
        <v>128600000</v>
      </c>
      <c r="D120">
        <v>106666667</v>
      </c>
      <c r="E120">
        <v>1500000</v>
      </c>
    </row>
    <row r="121" spans="1:6" x14ac:dyDescent="0.25">
      <c r="A121" s="73" t="s">
        <v>152</v>
      </c>
      <c r="B121">
        <v>1253400000</v>
      </c>
      <c r="C121">
        <v>108100000</v>
      </c>
      <c r="D121">
        <v>106666667</v>
      </c>
      <c r="E121">
        <v>7700000</v>
      </c>
    </row>
    <row r="122" spans="1:6" x14ac:dyDescent="0.25">
      <c r="A122" s="73" t="s">
        <v>153</v>
      </c>
      <c r="B122">
        <v>1186000000</v>
      </c>
      <c r="C122">
        <v>101700000</v>
      </c>
      <c r="D122">
        <v>110588235</v>
      </c>
      <c r="E122">
        <v>8500000</v>
      </c>
    </row>
    <row r="123" spans="1:6" x14ac:dyDescent="0.25">
      <c r="A123" s="73" t="s">
        <v>154</v>
      </c>
      <c r="B123">
        <v>1157100000</v>
      </c>
      <c r="C123">
        <v>100900000</v>
      </c>
      <c r="D123">
        <v>108709677</v>
      </c>
      <c r="E123">
        <v>19900000</v>
      </c>
    </row>
    <row r="124" spans="1:6" x14ac:dyDescent="0.25">
      <c r="A124" s="73" t="s">
        <v>155</v>
      </c>
      <c r="B124">
        <v>1136300000</v>
      </c>
      <c r="C124">
        <v>89500000</v>
      </c>
      <c r="D124">
        <v>104000000</v>
      </c>
      <c r="E124">
        <v>0</v>
      </c>
    </row>
    <row r="125" spans="1:6" x14ac:dyDescent="0.25">
      <c r="A125" s="73" t="s">
        <v>156</v>
      </c>
      <c r="B125">
        <v>1133500000</v>
      </c>
      <c r="C125">
        <v>97000000</v>
      </c>
      <c r="D125">
        <v>104000000</v>
      </c>
      <c r="E125">
        <v>14000000</v>
      </c>
    </row>
    <row r="126" spans="1:6" x14ac:dyDescent="0.25">
      <c r="A126" s="73" t="s">
        <v>157</v>
      </c>
      <c r="B126">
        <v>1122300000</v>
      </c>
      <c r="C126">
        <v>92200000</v>
      </c>
      <c r="D126">
        <v>110909091</v>
      </c>
      <c r="E126">
        <v>10100000</v>
      </c>
    </row>
    <row r="127" spans="1:6" x14ac:dyDescent="0.25">
      <c r="A127" s="73" t="s">
        <v>158</v>
      </c>
      <c r="B127">
        <v>1103100000</v>
      </c>
      <c r="C127">
        <v>101400000</v>
      </c>
      <c r="D127">
        <v>112857143</v>
      </c>
      <c r="E127">
        <v>3600000</v>
      </c>
    </row>
    <row r="128" spans="1:6" x14ac:dyDescent="0.25">
      <c r="A128" s="73" t="s">
        <v>159</v>
      </c>
      <c r="B128">
        <v>1081400000</v>
      </c>
      <c r="C128">
        <v>109900000</v>
      </c>
      <c r="D128">
        <v>111697000</v>
      </c>
      <c r="E128">
        <v>700000</v>
      </c>
    </row>
    <row r="129" spans="1:5" x14ac:dyDescent="0.25">
      <c r="A129" s="73" t="s">
        <v>160</v>
      </c>
      <c r="B129">
        <v>1077900000</v>
      </c>
      <c r="C129">
        <v>125900000</v>
      </c>
      <c r="D129">
        <v>111697000</v>
      </c>
      <c r="E129">
        <v>15700000</v>
      </c>
    </row>
    <row r="130" spans="1:5" x14ac:dyDescent="0.25">
      <c r="A130" s="73" t="s">
        <v>161</v>
      </c>
      <c r="B130">
        <v>1061900000</v>
      </c>
      <c r="C130">
        <v>121500000</v>
      </c>
      <c r="D130">
        <v>115483871</v>
      </c>
      <c r="E130">
        <v>27800000</v>
      </c>
    </row>
    <row r="131" spans="1:5" x14ac:dyDescent="0.25">
      <c r="A131" s="73" t="s">
        <v>162</v>
      </c>
      <c r="B131">
        <v>1038800000</v>
      </c>
      <c r="C131">
        <v>119500000</v>
      </c>
      <c r="D131">
        <v>111851852</v>
      </c>
      <c r="E131">
        <v>23700000</v>
      </c>
    </row>
    <row r="132" spans="1:5" x14ac:dyDescent="0.25">
      <c r="A132" s="73" t="s">
        <v>163</v>
      </c>
      <c r="B132">
        <v>1021000000</v>
      </c>
      <c r="C132">
        <v>124300000</v>
      </c>
      <c r="D132">
        <v>108571429</v>
      </c>
      <c r="E132">
        <v>27000000</v>
      </c>
    </row>
    <row r="133" spans="1:5" x14ac:dyDescent="0.25">
      <c r="A133" s="73" t="s">
        <v>164</v>
      </c>
      <c r="B133">
        <v>1007400000</v>
      </c>
      <c r="C133">
        <v>119700000</v>
      </c>
      <c r="D133">
        <v>108571429</v>
      </c>
      <c r="E133">
        <v>19000000</v>
      </c>
    </row>
    <row r="134" spans="1:5" x14ac:dyDescent="0.25">
      <c r="A134" s="73" t="s">
        <v>165</v>
      </c>
      <c r="B134">
        <v>1023600000</v>
      </c>
      <c r="C134">
        <v>119400000</v>
      </c>
      <c r="D134">
        <v>116153846</v>
      </c>
      <c r="E134">
        <v>6100000</v>
      </c>
    </row>
    <row r="135" spans="1:5" x14ac:dyDescent="0.25">
      <c r="A135" s="73" t="s">
        <v>166</v>
      </c>
      <c r="B135">
        <v>1041000000</v>
      </c>
      <c r="C135">
        <v>106700000</v>
      </c>
      <c r="D135">
        <v>112608696</v>
      </c>
      <c r="E135">
        <v>800000</v>
      </c>
    </row>
    <row r="136" spans="1:5" x14ac:dyDescent="0.25">
      <c r="A136" s="73" t="s">
        <v>167</v>
      </c>
      <c r="B136">
        <v>1070300000</v>
      </c>
      <c r="C136">
        <v>90200000</v>
      </c>
      <c r="D136">
        <v>110000000</v>
      </c>
      <c r="E136">
        <v>700000</v>
      </c>
    </row>
    <row r="137" spans="1:5" x14ac:dyDescent="0.25">
      <c r="A137" s="73" t="s">
        <v>168</v>
      </c>
      <c r="B137">
        <v>1105300000</v>
      </c>
      <c r="C137">
        <v>80200000</v>
      </c>
      <c r="D137">
        <v>110000000</v>
      </c>
      <c r="E137">
        <v>18600000</v>
      </c>
    </row>
    <row r="138" spans="1:5" x14ac:dyDescent="0.25">
      <c r="A138" s="73" t="s">
        <v>169</v>
      </c>
      <c r="B138">
        <v>1092000000</v>
      </c>
      <c r="C138">
        <v>89200000</v>
      </c>
      <c r="D138">
        <v>116944444</v>
      </c>
      <c r="E138">
        <v>10900000</v>
      </c>
    </row>
    <row r="139" spans="1:5" x14ac:dyDescent="0.25">
      <c r="A139" s="73" t="s">
        <v>170</v>
      </c>
      <c r="B139">
        <v>1092600000</v>
      </c>
      <c r="C139">
        <v>95400000</v>
      </c>
      <c r="D139">
        <v>116764706</v>
      </c>
      <c r="E139">
        <v>11800000</v>
      </c>
    </row>
    <row r="140" spans="1:5" x14ac:dyDescent="0.25">
      <c r="A140" s="73" t="s">
        <v>171</v>
      </c>
      <c r="B140">
        <v>1090600000</v>
      </c>
      <c r="C140">
        <v>121700000</v>
      </c>
      <c r="D140">
        <v>116875000</v>
      </c>
      <c r="E140">
        <v>21800000</v>
      </c>
    </row>
    <row r="141" spans="1:5" x14ac:dyDescent="0.25">
      <c r="A141" s="73" t="s">
        <v>172</v>
      </c>
      <c r="B141">
        <v>1076100000</v>
      </c>
      <c r="C141">
        <v>147200000</v>
      </c>
      <c r="D141">
        <v>116875000</v>
      </c>
      <c r="E141">
        <v>84300000</v>
      </c>
    </row>
    <row r="142" spans="1:5" x14ac:dyDescent="0.25">
      <c r="A142" s="73" t="s">
        <v>173</v>
      </c>
      <c r="B142">
        <v>1085900000</v>
      </c>
      <c r="C142">
        <v>83400000</v>
      </c>
      <c r="D142">
        <v>120238095</v>
      </c>
      <c r="E142">
        <v>61400000</v>
      </c>
    </row>
    <row r="143" spans="1:5" x14ac:dyDescent="0.25">
      <c r="A143" s="73" t="s">
        <v>174</v>
      </c>
      <c r="B143">
        <v>1077300000</v>
      </c>
      <c r="C143">
        <v>32800000</v>
      </c>
      <c r="D143">
        <v>121111111</v>
      </c>
      <c r="E143">
        <v>43200000</v>
      </c>
    </row>
    <row r="144" spans="1:5" x14ac:dyDescent="0.25">
      <c r="A144" s="73" t="s">
        <v>175</v>
      </c>
      <c r="B144">
        <v>1068100000</v>
      </c>
      <c r="C144">
        <v>26800000</v>
      </c>
      <c r="D144">
        <v>120769231</v>
      </c>
      <c r="E144">
        <v>55800000</v>
      </c>
    </row>
    <row r="145" spans="1:5" x14ac:dyDescent="0.25">
      <c r="A145" s="73" t="s">
        <v>176</v>
      </c>
      <c r="B145">
        <v>1053300000</v>
      </c>
      <c r="C145">
        <v>0</v>
      </c>
      <c r="D145">
        <v>120769231</v>
      </c>
      <c r="E145">
        <v>89400000</v>
      </c>
    </row>
    <row r="146" spans="1:5" x14ac:dyDescent="0.25">
      <c r="A146" s="73" t="s">
        <v>177</v>
      </c>
      <c r="B146">
        <v>1032200000</v>
      </c>
      <c r="C146">
        <v>0</v>
      </c>
      <c r="D146">
        <v>120700000</v>
      </c>
    </row>
    <row r="147" spans="1:5" x14ac:dyDescent="0.25">
      <c r="A147" s="73" t="s">
        <v>178</v>
      </c>
      <c r="B147">
        <v>1003700000</v>
      </c>
      <c r="C147">
        <v>0</v>
      </c>
      <c r="D147">
        <v>120700000</v>
      </c>
    </row>
    <row r="148" spans="1:5" x14ac:dyDescent="0.25">
      <c r="A148" s="73" t="s">
        <v>179</v>
      </c>
      <c r="B148">
        <v>957100000</v>
      </c>
      <c r="C148">
        <v>0</v>
      </c>
      <c r="D148">
        <v>120700000</v>
      </c>
    </row>
    <row r="149" spans="1:5" x14ac:dyDescent="0.25">
      <c r="A149" s="73" t="s">
        <v>180</v>
      </c>
      <c r="B149">
        <v>923300000</v>
      </c>
      <c r="C149">
        <v>0</v>
      </c>
      <c r="D149">
        <v>120700000</v>
      </c>
      <c r="E149">
        <v>125000000</v>
      </c>
    </row>
    <row r="150" spans="1:5" x14ac:dyDescent="0.25">
      <c r="A150" s="73" t="s">
        <v>181</v>
      </c>
      <c r="B150">
        <v>913900000</v>
      </c>
      <c r="C150">
        <v>0</v>
      </c>
      <c r="D150">
        <v>126703000</v>
      </c>
    </row>
    <row r="151" spans="1:5" x14ac:dyDescent="0.25">
      <c r="A151" s="73" t="s">
        <v>182</v>
      </c>
      <c r="B151">
        <v>907500000</v>
      </c>
      <c r="C151">
        <v>0</v>
      </c>
      <c r="D151">
        <v>126703000</v>
      </c>
    </row>
    <row r="152" spans="1:5" x14ac:dyDescent="0.25">
      <c r="A152" s="73" t="s">
        <v>183</v>
      </c>
      <c r="B152">
        <v>926200000</v>
      </c>
      <c r="C152">
        <v>0</v>
      </c>
      <c r="D152">
        <v>126703000</v>
      </c>
    </row>
    <row r="153" spans="1:5" x14ac:dyDescent="0.25">
      <c r="A153" s="73" t="s">
        <v>184</v>
      </c>
      <c r="B153">
        <v>957900000</v>
      </c>
      <c r="C153">
        <v>0</v>
      </c>
      <c r="D153">
        <v>126703000</v>
      </c>
      <c r="E153">
        <v>86100000</v>
      </c>
    </row>
    <row r="154" spans="1:5" x14ac:dyDescent="0.25">
      <c r="A154" s="73" t="s">
        <v>185</v>
      </c>
      <c r="B154">
        <v>950500000</v>
      </c>
      <c r="C154">
        <v>0</v>
      </c>
      <c r="D154">
        <v>131844000</v>
      </c>
    </row>
    <row r="155" spans="1:5" x14ac:dyDescent="0.25">
      <c r="A155" s="73" t="s">
        <v>186</v>
      </c>
      <c r="B155">
        <v>960900000</v>
      </c>
      <c r="C155">
        <v>0</v>
      </c>
      <c r="D155">
        <v>134739000</v>
      </c>
    </row>
    <row r="156" spans="1:5" x14ac:dyDescent="0.25">
      <c r="A156" s="73" t="s">
        <v>187</v>
      </c>
      <c r="D156">
        <v>135508000</v>
      </c>
    </row>
    <row r="157" spans="1:5" x14ac:dyDescent="0.25">
      <c r="A157" s="73" t="s">
        <v>188</v>
      </c>
      <c r="D157">
        <v>135508000</v>
      </c>
      <c r="E157">
        <v>99600000</v>
      </c>
    </row>
    <row r="158" spans="1:5" x14ac:dyDescent="0.25">
      <c r="A158" s="73" t="s">
        <v>189</v>
      </c>
      <c r="D158">
        <v>138991000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212</v>
      </c>
    </row>
    <row r="15" spans="1:46" x14ac:dyDescent="0.25">
      <c r="A15" s="27" t="s">
        <v>213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224</v>
      </c>
      <c r="J26">
        <v>0.61799999999999999</v>
      </c>
      <c r="N26">
        <v>-0.36399999999999999</v>
      </c>
    </row>
    <row r="27" spans="1:17" x14ac:dyDescent="0.25">
      <c r="A27" s="27" t="s">
        <v>225</v>
      </c>
    </row>
    <row r="28" spans="1:17" x14ac:dyDescent="0.25">
      <c r="A28" s="27" t="s">
        <v>226</v>
      </c>
    </row>
    <row r="29" spans="1:17" x14ac:dyDescent="0.25">
      <c r="A29" s="27" t="s">
        <v>227</v>
      </c>
    </row>
    <row r="31" spans="1:17" x14ac:dyDescent="0.25">
      <c r="A31" s="26" t="s">
        <v>228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230</v>
      </c>
      <c r="C1" s="73" t="s">
        <v>231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232</v>
      </c>
      <c r="D2">
        <v>1.104527513790208</v>
      </c>
      <c r="E2">
        <v>0.1172406209280966</v>
      </c>
    </row>
    <row r="3" spans="1:5" x14ac:dyDescent="0.25">
      <c r="A3" s="73">
        <v>1</v>
      </c>
      <c r="B3">
        <v>3</v>
      </c>
      <c r="C3" t="s">
        <v>233</v>
      </c>
      <c r="D3">
        <v>0.86722362250296492</v>
      </c>
      <c r="E3">
        <v>0.10080258027000021</v>
      </c>
    </row>
    <row r="4" spans="1:5" x14ac:dyDescent="0.25">
      <c r="A4" s="73">
        <v>2</v>
      </c>
      <c r="B4">
        <v>3</v>
      </c>
      <c r="C4" t="s">
        <v>234</v>
      </c>
      <c r="D4">
        <v>1.020368108203584</v>
      </c>
      <c r="E4">
        <v>0.11141089886458611</v>
      </c>
    </row>
    <row r="5" spans="1:5" x14ac:dyDescent="0.25">
      <c r="A5" s="73">
        <v>3</v>
      </c>
      <c r="B5">
        <v>5</v>
      </c>
      <c r="C5" t="s">
        <v>232</v>
      </c>
      <c r="D5">
        <v>0.81857364666620636</v>
      </c>
      <c r="E5">
        <v>9.743259642151772E-2</v>
      </c>
    </row>
    <row r="6" spans="1:5" x14ac:dyDescent="0.25">
      <c r="A6" s="73">
        <v>4</v>
      </c>
      <c r="B6">
        <v>5</v>
      </c>
      <c r="C6" t="s">
        <v>233</v>
      </c>
      <c r="D6">
        <v>1.0410164731327729</v>
      </c>
      <c r="E6">
        <v>0.1128412111126831</v>
      </c>
    </row>
    <row r="7" spans="1:5" x14ac:dyDescent="0.25">
      <c r="A7" s="73">
        <v>5</v>
      </c>
      <c r="B7">
        <v>5</v>
      </c>
      <c r="C7" t="s">
        <v>234</v>
      </c>
      <c r="D7">
        <v>0.94010404043709694</v>
      </c>
      <c r="E7">
        <v>0.1058510068536595</v>
      </c>
    </row>
    <row r="8" spans="1:5" x14ac:dyDescent="0.25">
      <c r="A8" s="73">
        <v>6</v>
      </c>
      <c r="B8" t="s">
        <v>228</v>
      </c>
      <c r="D8">
        <v>0.96530223412213889</v>
      </c>
      <c r="E8">
        <v>0.1075964857417572</v>
      </c>
    </row>
    <row r="9" spans="1:5" x14ac:dyDescent="0.25">
      <c r="A9" s="73">
        <v>7</v>
      </c>
      <c r="B9" t="s">
        <v>229</v>
      </c>
      <c r="D9">
        <v>0.98023607432034066</v>
      </c>
      <c r="E9">
        <v>0.1086309528591228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2024-10-18T21:08:54Z</dcterms:modified>
</cp:coreProperties>
</file>