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" documentId="11_3EDEF122716CE4899FF1CE95DFA14DFDDB9F79ED" xr6:coauthVersionLast="47" xr6:coauthVersionMax="47" xr10:uidLastSave="{7BCF196B-2C55-48C9-983D-2807B0FECEB4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5" l="1"/>
  <c r="K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4" i="5"/>
  <c r="G4" i="5"/>
  <c r="D4" i="5"/>
  <c r="C4" i="5"/>
  <c r="R3" i="5"/>
  <c r="P3" i="5"/>
  <c r="O3" i="5"/>
  <c r="O32" i="5" s="1"/>
  <c r="L3" i="5"/>
  <c r="K3" i="5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J10" i="3"/>
  <c r="J11" i="3" s="1"/>
  <c r="I10" i="3"/>
  <c r="I11" i="3" s="1"/>
  <c r="H10" i="3"/>
  <c r="D10" i="3"/>
  <c r="M5" i="3"/>
  <c r="N5" i="3" s="1"/>
  <c r="O5" i="3" s="1"/>
  <c r="P5" i="3" s="1"/>
  <c r="Q5" i="3" s="1"/>
  <c r="R5" i="3" s="1"/>
  <c r="S5" i="3" s="1"/>
  <c r="T5" i="3" s="1"/>
  <c r="U5" i="3" s="1"/>
  <c r="L5" i="3"/>
  <c r="J4" i="3"/>
  <c r="J5" i="3" s="1"/>
  <c r="I4" i="3"/>
  <c r="D4" i="3"/>
  <c r="K3" i="3"/>
  <c r="I3" i="3"/>
  <c r="D3" i="3"/>
  <c r="K1" i="3"/>
  <c r="K10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E11" i="3" s="1"/>
  <c r="D1" i="3"/>
  <c r="D7" i="3" s="1"/>
  <c r="I13" i="3" l="1"/>
  <c r="I8" i="3"/>
  <c r="J13" i="3"/>
  <c r="J8" i="3"/>
  <c r="D8" i="3"/>
  <c r="D13" i="3"/>
  <c r="H11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C21" i="3"/>
  <c r="C20" i="3"/>
  <c r="F5" i="3"/>
  <c r="G4" i="3"/>
  <c r="G5" i="3" s="1"/>
  <c r="K7" i="3"/>
  <c r="F10" i="3"/>
  <c r="F11" i="3" s="1"/>
  <c r="L1" i="3"/>
  <c r="J3" i="3"/>
  <c r="H4" i="3"/>
  <c r="G10" i="3"/>
  <c r="G31" i="5"/>
  <c r="E3" i="3"/>
  <c r="K4" i="3"/>
  <c r="G7" i="3"/>
  <c r="H7" i="3"/>
  <c r="F7" i="3"/>
  <c r="F3" i="3"/>
  <c r="E4" i="3"/>
  <c r="E5" i="3" s="1"/>
  <c r="E7" i="3"/>
  <c r="K5" i="3" l="1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K8" i="3"/>
  <c r="K13" i="3"/>
  <c r="E8" i="3"/>
  <c r="L8" i="3" s="1"/>
  <c r="E13" i="3"/>
  <c r="G11" i="3"/>
  <c r="H13" i="3"/>
  <c r="H8" i="3"/>
  <c r="H5" i="3"/>
  <c r="F8" i="3"/>
  <c r="F13" i="3"/>
  <c r="I5" i="3"/>
  <c r="M1" i="3"/>
  <c r="L3" i="3"/>
  <c r="G8" i="3"/>
  <c r="G13" i="3"/>
  <c r="M8" i="3" l="1"/>
  <c r="L7" i="3"/>
  <c r="L13" i="3" s="1"/>
  <c r="L14" i="3" s="1"/>
  <c r="N1" i="3"/>
  <c r="M3" i="3"/>
  <c r="N3" i="3" l="1"/>
  <c r="O1" i="3"/>
  <c r="N8" i="3"/>
  <c r="M7" i="3"/>
  <c r="M13" i="3" s="1"/>
  <c r="M14" i="3" s="1"/>
  <c r="O3" i="3" l="1"/>
  <c r="P1" i="3"/>
  <c r="O8" i="3"/>
  <c r="N7" i="3"/>
  <c r="N13" i="3" s="1"/>
  <c r="N14" i="3" s="1"/>
  <c r="P3" i="3" l="1"/>
  <c r="Q1" i="3"/>
  <c r="O7" i="3"/>
  <c r="O13" i="3" s="1"/>
  <c r="O14" i="3" s="1"/>
  <c r="P8" i="3"/>
  <c r="P7" i="3" l="1"/>
  <c r="P13" i="3" s="1"/>
  <c r="P14" i="3" s="1"/>
  <c r="Q8" i="3"/>
  <c r="R1" i="3"/>
  <c r="Q3" i="3"/>
  <c r="R3" i="3" l="1"/>
  <c r="S1" i="3"/>
  <c r="Q7" i="3"/>
  <c r="Q13" i="3" s="1"/>
  <c r="Q14" i="3" s="1"/>
  <c r="R8" i="3"/>
  <c r="R7" i="3" l="1"/>
  <c r="R13" i="3" s="1"/>
  <c r="R14" i="3" s="1"/>
  <c r="S8" i="3"/>
  <c r="S3" i="3"/>
  <c r="T1" i="3"/>
  <c r="T3" i="3" l="1"/>
  <c r="U1" i="3"/>
  <c r="U3" i="3" s="1"/>
  <c r="T8" i="3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<sst xmlns="http://schemas.openxmlformats.org/spreadsheetml/2006/main" count="209" uniqueCount="190">
  <si>
    <t>This sheet contains FactSet XML data for use with this workbook's =FDS codes.  Modifying the worksheet's contents may damage the workbook's =FDS functionality.</t>
  </si>
  <si>
    <t>TSM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</si>
  <si>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</si>
  <si>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</si>
  <si>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</si>
  <si>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</si>
  <si>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</si>
  <si>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</si>
  <si>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</si>
  <si>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</si>
  <si>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</si>
  <si>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</si>
  <si>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</si>
  <si>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</si>
  <si>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</si>
  <si>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</si>
  <si>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</si>
  <si>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</si>
  <si>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</si>
  <si>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</si>
  <si>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</si>
  <si>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</si>
  <si>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</si>
  <si>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</si>
  <si>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</si>
  <si>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</si>
  <si>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</si>
  <si>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</si>
  <si>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</si>
  <si>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</si>
  <si>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</si>
  <si>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</si>
  <si>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</si>
  <si>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2024-12-30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</si>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</sst>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2162215809000</v>
      </c>
    </row>
    <row r="3" spans="1:2" x14ac:dyDescent="0.25">
      <c r="A3" s="73" t="s">
        <v>3</v>
      </c>
      <c r="B3">
        <v>974343663000</v>
      </c>
    </row>
    <row r="4" spans="1:2" x14ac:dyDescent="0.25">
      <c r="A4" s="73" t="s">
        <v>4</v>
      </c>
      <c r="B4">
        <v>0.20322146534507379</v>
      </c>
    </row>
    <row r="5" spans="1:2" x14ac:dyDescent="0.25">
      <c r="A5" s="73" t="s">
        <v>5</v>
      </c>
      <c r="B5">
        <v>1.2526956825910001E-2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3820148205000</v>
      </c>
    </row>
    <row r="8" spans="1:2" x14ac:dyDescent="0.25">
      <c r="A8" s="73" t="s">
        <v>8</v>
      </c>
      <c r="B8">
        <v>0.79677853465492621</v>
      </c>
    </row>
    <row r="9" spans="1:2" x14ac:dyDescent="0.25">
      <c r="A9" s="73" t="s">
        <v>9</v>
      </c>
      <c r="B9">
        <v>0.1195794138243521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1.138290945012957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9.7289449874618267E-2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K4" sqref="K4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4" width="10.5703125" customWidth="1" outlineLevel="1"/>
    <col min="5" max="10" width="11.5703125" bestFit="1" customWidth="1" outlineLevel="1"/>
    <col min="11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2017-09-30</v>
      </c>
      <c r="E1" s="66" t="str">
        <f>Python!A27</f>
        <v>2018-09-30</v>
      </c>
      <c r="F1" s="66" t="str">
        <f>Python!A23</f>
        <v>2019-09-30</v>
      </c>
      <c r="G1" s="66" t="str">
        <f>Python!A19</f>
        <v>2020-09-30</v>
      </c>
      <c r="H1" s="66" t="str">
        <f>Python!A15</f>
        <v>2021-09-30</v>
      </c>
      <c r="I1" s="66" t="str">
        <f>Python!A11</f>
        <v>2022-09-30</v>
      </c>
      <c r="J1" s="66" t="str">
        <f>Python!A7</f>
        <v>2023-09-30</v>
      </c>
      <c r="K1" s="66" t="str">
        <f>Python!A3</f>
        <v>2024-09-30</v>
      </c>
      <c r="L1" s="28">
        <f t="shared" ref="L1:U1" si="0">EDATE(K1, 12)</f>
        <v>45930</v>
      </c>
      <c r="M1" s="28">
        <f t="shared" si="0"/>
        <v>46295</v>
      </c>
      <c r="N1" s="28">
        <f t="shared" si="0"/>
        <v>46660</v>
      </c>
      <c r="O1" s="28">
        <f t="shared" si="0"/>
        <v>47026</v>
      </c>
      <c r="P1" s="28">
        <f t="shared" si="0"/>
        <v>47391</v>
      </c>
      <c r="Q1" s="28">
        <f t="shared" si="0"/>
        <v>47756</v>
      </c>
      <c r="R1" s="28">
        <f t="shared" si="0"/>
        <v>48121</v>
      </c>
      <c r="S1" s="28">
        <f t="shared" si="0"/>
        <v>48487</v>
      </c>
      <c r="T1" s="28">
        <f t="shared" si="0"/>
        <v>48852</v>
      </c>
      <c r="U1" s="28">
        <f t="shared" si="0"/>
        <v>49217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962066.09400000004</v>
      </c>
      <c r="E4" s="36">
        <f>IFERROR(INDEX(Python!$1:$1048576,MATCH(DCF_Simple!E$1,Python!$A:$A,0),MATCH(DCF_Simple!$B4,Python!$1:$1,0))/1000000,0)</f>
        <v>1019117.6310000001</v>
      </c>
      <c r="F4" s="36">
        <f>IFERROR(INDEX(Python!$1:$1048576,MATCH(DCF_Simple!F$1,Python!$A:$A,0),MATCH(DCF_Simple!$B4,Python!$1:$1,0))/1000000,0)</f>
        <v>1042561.9179999999</v>
      </c>
      <c r="G4" s="36">
        <f>IFERROR(INDEX(Python!$1:$1048576,MATCH(DCF_Simple!G$1,Python!$A:$A,0),MATCH(DCF_Simple!$B4,Python!$1:$1,0))/1000000,0)</f>
        <v>1294894.8729999999</v>
      </c>
      <c r="H4" s="36">
        <f>IFERROR(INDEX(Python!$1:$1048576,MATCH(DCF_Simple!H$1,Python!$A:$A,0),MATCH(DCF_Simple!$B4,Python!$1:$1,0))/1000000,0)</f>
        <v>1510768.0090000001</v>
      </c>
      <c r="I4" s="36">
        <f>IFERROR(INDEX(Python!$1:$1048576,MATCH(DCF_Simple!I$1,Python!$A:$A,0),MATCH(DCF_Simple!$B4,Python!$1:$1,0))/1000000,0)</f>
        <v>2076624.325</v>
      </c>
      <c r="J4" s="36">
        <f>IFERROR(INDEX(Python!$1:$1048576,MATCH(DCF_Simple!J$1,Python!$A:$A,0),MATCH(DCF_Simple!$B4,Python!$1:$1,0))/1000000,0)</f>
        <v>2161736.9849999999</v>
      </c>
      <c r="K4" s="55">
        <f>IFERROR(INDEX(Python!$1:$1048576,MATCH(DCF_Simple!K$1,Python!$A:$A,0),MATCH(DCF_Simple!$B4,Python!$1:$1,0))/1000000,0)</f>
        <v>0</v>
      </c>
      <c r="L4" s="37">
        <f t="shared" ref="L4:U4" si="2">K4*(1+L5)</f>
        <v>0</v>
      </c>
      <c r="M4" s="36">
        <f t="shared" si="2"/>
        <v>0</v>
      </c>
      <c r="N4" s="36">
        <f t="shared" si="2"/>
        <v>0</v>
      </c>
      <c r="O4" s="36">
        <f t="shared" si="2"/>
        <v>0</v>
      </c>
      <c r="P4" s="36">
        <f t="shared" si="2"/>
        <v>0</v>
      </c>
      <c r="Q4" s="36">
        <f t="shared" si="2"/>
        <v>0</v>
      </c>
      <c r="R4" s="36">
        <f t="shared" si="2"/>
        <v>0</v>
      </c>
      <c r="S4" s="36">
        <f t="shared" si="2"/>
        <v>0</v>
      </c>
      <c r="T4" s="36">
        <f t="shared" si="2"/>
        <v>0</v>
      </c>
      <c r="U4" s="36">
        <f t="shared" si="2"/>
        <v>0</v>
      </c>
      <c r="V4" s="19">
        <f>U4</f>
        <v>0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5.9301057750404507E-2</v>
      </c>
      <c r="F5" s="42">
        <f t="shared" si="3"/>
        <v>2.3004495542870096E-2</v>
      </c>
      <c r="G5" s="42">
        <f t="shared" si="3"/>
        <v>0.24203162483055518</v>
      </c>
      <c r="H5" s="42">
        <f t="shared" si="3"/>
        <v>0.16671093576876039</v>
      </c>
      <c r="I5" s="42">
        <f t="shared" si="3"/>
        <v>0.37454878090418964</v>
      </c>
      <c r="J5" s="42">
        <f t="shared" si="3"/>
        <v>4.0986065209459577E-2</v>
      </c>
      <c r="K5" s="58">
        <f t="shared" si="3"/>
        <v>-1</v>
      </c>
      <c r="L5" s="43">
        <f>Python!F2</f>
        <v>-0.95912483673818483</v>
      </c>
      <c r="M5" s="43">
        <f>L5/2</f>
        <v>-0.47956241836909241</v>
      </c>
      <c r="N5" s="38">
        <f t="shared" ref="N5:U5" si="4">M5</f>
        <v>-0.47956241836909241</v>
      </c>
      <c r="O5" s="38">
        <f t="shared" si="4"/>
        <v>-0.47956241836909241</v>
      </c>
      <c r="P5" s="38">
        <f t="shared" si="4"/>
        <v>-0.47956241836909241</v>
      </c>
      <c r="Q5" s="38">
        <f t="shared" si="4"/>
        <v>-0.47956241836909241</v>
      </c>
      <c r="R5" s="38">
        <f t="shared" si="4"/>
        <v>-0.47956241836909241</v>
      </c>
      <c r="S5" s="38">
        <f t="shared" si="4"/>
        <v>-0.47956241836909241</v>
      </c>
      <c r="T5" s="38">
        <f t="shared" si="4"/>
        <v>-0.47956241836909241</v>
      </c>
      <c r="U5" s="38">
        <f t="shared" si="4"/>
        <v>-0.47956241836909241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179529.807</v>
      </c>
      <c r="E7" s="52">
        <f>IFERROR(INDEX(Python!$1:$1048576,MATCH(DCF_Simple!E$1,Python!$A:$A,0),MATCH(DCF_Simple!$B7,Python!$1:$1,0))/1000000,0)</f>
        <v>321487.49300000002</v>
      </c>
      <c r="F7" s="52">
        <f>IFERROR(INDEX(Python!$1:$1048576,MATCH(DCF_Simple!F$1,Python!$A:$A,0),MATCH(DCF_Simple!$B7,Python!$1:$1,0))/1000000,0)</f>
        <v>194356.33900000001</v>
      </c>
      <c r="G7" s="52">
        <f>IFERROR(INDEX(Python!$1:$1048576,MATCH(DCF_Simple!G$1,Python!$A:$A,0),MATCH(DCF_Simple!$B7,Python!$1:$1,0))/1000000,0)</f>
        <v>167015.67800000001</v>
      </c>
      <c r="H7" s="52">
        <f>IFERROR(INDEX(Python!$1:$1048576,MATCH(DCF_Simple!H$1,Python!$A:$A,0),MATCH(DCF_Simple!$B7,Python!$1:$1,0))/1000000,0)</f>
        <v>294615.22499999998</v>
      </c>
      <c r="I7" s="52">
        <f>IFERROR(INDEX(Python!$1:$1048576,MATCH(DCF_Simple!I$1,Python!$A:$A,0),MATCH(DCF_Simple!$B7,Python!$1:$1,0))/1000000,0)</f>
        <v>515062.44099999999</v>
      </c>
      <c r="J7" s="52">
        <f>IFERROR(INDEX(Python!$1:$1048576,MATCH(DCF_Simple!J$1,Python!$A:$A,0),MATCH(DCF_Simple!$B7,Python!$1:$1,0))/1000000,0)</f>
        <v>217561.39499999999</v>
      </c>
      <c r="K7" s="57">
        <f>IFERROR(INDEX(Python!$1:$1048576,MATCH(DCF_Simple!K$1,Python!$A:$A,0),MATCH(DCF_Simple!$B7,Python!$1:$1,0))/1000000,0)</f>
        <v>0</v>
      </c>
      <c r="L7" s="64">
        <f t="shared" ref="L7:U7" si="5">L8*L4</f>
        <v>0</v>
      </c>
      <c r="M7" s="64">
        <f t="shared" si="5"/>
        <v>0</v>
      </c>
      <c r="N7" s="64">
        <f t="shared" si="5"/>
        <v>0</v>
      </c>
      <c r="O7" s="64">
        <f t="shared" si="5"/>
        <v>0</v>
      </c>
      <c r="P7" s="64">
        <f t="shared" si="5"/>
        <v>0</v>
      </c>
      <c r="Q7" s="64">
        <f t="shared" si="5"/>
        <v>0</v>
      </c>
      <c r="R7" s="64">
        <f t="shared" si="5"/>
        <v>0</v>
      </c>
      <c r="S7" s="64">
        <f t="shared" si="5"/>
        <v>0</v>
      </c>
      <c r="T7" s="64">
        <f t="shared" si="5"/>
        <v>0</v>
      </c>
      <c r="U7" s="64">
        <f t="shared" si="5"/>
        <v>0</v>
      </c>
      <c r="V7" s="65">
        <f>U7</f>
        <v>0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0.18660860009478725</v>
      </c>
      <c r="E8" s="42">
        <f t="shared" si="6"/>
        <v>0.31545670805885606</v>
      </c>
      <c r="F8" s="42">
        <f t="shared" si="6"/>
        <v>0.18642186679218414</v>
      </c>
      <c r="G8" s="42">
        <f t="shared" si="6"/>
        <v>0.12898010601668358</v>
      </c>
      <c r="H8" s="42">
        <f t="shared" si="6"/>
        <v>0.19501023535374581</v>
      </c>
      <c r="I8" s="42">
        <f t="shared" si="6"/>
        <v>0.24802870446969266</v>
      </c>
      <c r="J8" s="42">
        <f t="shared" si="6"/>
        <v>0.10064193586436695</v>
      </c>
      <c r="K8" s="58" t="str">
        <f t="shared" si="6"/>
        <v/>
      </c>
      <c r="L8" s="38">
        <f>AVERAGE(D8:K8)</f>
        <v>0.19444973666433091</v>
      </c>
      <c r="M8" s="38">
        <f t="shared" ref="M8:U8" si="7">L8</f>
        <v>0.19444973666433091</v>
      </c>
      <c r="N8" s="38">
        <f t="shared" si="7"/>
        <v>0.19444973666433091</v>
      </c>
      <c r="O8" s="38">
        <f t="shared" si="7"/>
        <v>0.19444973666433091</v>
      </c>
      <c r="P8" s="38">
        <f t="shared" si="7"/>
        <v>0.19444973666433091</v>
      </c>
      <c r="Q8" s="38">
        <f t="shared" si="7"/>
        <v>0.19444973666433091</v>
      </c>
      <c r="R8" s="38">
        <f t="shared" si="7"/>
        <v>0.19444973666433091</v>
      </c>
      <c r="S8" s="38">
        <f t="shared" si="7"/>
        <v>0.19444973666433091</v>
      </c>
      <c r="T8" s="38">
        <f t="shared" si="7"/>
        <v>0.19444973666433091</v>
      </c>
      <c r="U8" s="38">
        <f t="shared" si="7"/>
        <v>0.19444973666433091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5186.076</v>
      </c>
      <c r="E10" s="17">
        <f>IFERROR(INDEX(Python!$1:$1048576,MATCH(DCF_Simple!E$1,Python!$A:$A,0),MATCH(DCF_Simple!$B10,Python!$1:$1,0))/1000000,0)</f>
        <v>5186.076</v>
      </c>
      <c r="F10" s="17">
        <f>IFERROR(INDEX(Python!$1:$1048576,MATCH(DCF_Simple!F$1,Python!$A:$A,0),MATCH(DCF_Simple!$B10,Python!$1:$1,0))/1000000,0)</f>
        <v>5186.076</v>
      </c>
      <c r="G10" s="17">
        <f>IFERROR(INDEX(Python!$1:$1048576,MATCH(DCF_Simple!G$1,Python!$A:$A,0),MATCH(DCF_Simple!$B10,Python!$1:$1,0))/1000000,0)</f>
        <v>5186.076</v>
      </c>
      <c r="H10" s="17">
        <f>IFERROR(INDEX(Python!$1:$1048576,MATCH(DCF_Simple!H$1,Python!$A:$A,0),MATCH(DCF_Simple!$B10,Python!$1:$1,0))/1000000,0)</f>
        <v>5186.076</v>
      </c>
      <c r="I10" s="17">
        <f>IFERROR(INDEX(Python!$1:$1048576,MATCH(DCF_Simple!I$1,Python!$A:$A,0),MATCH(DCF_Simple!$B10,Python!$1:$1,0))/1000000,0)</f>
        <v>5185.8329999999996</v>
      </c>
      <c r="J10" s="17">
        <f>IFERROR(INDEX(Python!$1:$1048576,MATCH(DCF_Simple!J$1,Python!$A:$A,0),MATCH(DCF_Simple!$B10,Python!$1:$1,0))/1000000,0)</f>
        <v>5185.8716000000004</v>
      </c>
      <c r="K10" s="69">
        <f>IFERROR(INDEX(Python!$1:$1048576,MATCH(DCF_Simple!K$1,Python!$A:$A,0),MATCH(DCF_Simple!$B10,Python!$1:$1,0))/1000000,0)</f>
        <v>0</v>
      </c>
      <c r="L10" s="17">
        <f t="shared" ref="L10:U10" si="8">K10*(1+L11)</f>
        <v>0</v>
      </c>
      <c r="M10" s="17">
        <f t="shared" si="8"/>
        <v>0</v>
      </c>
      <c r="N10" s="17">
        <f t="shared" si="8"/>
        <v>0</v>
      </c>
      <c r="O10" s="17">
        <f t="shared" si="8"/>
        <v>0</v>
      </c>
      <c r="P10" s="17">
        <f t="shared" si="8"/>
        <v>0</v>
      </c>
      <c r="Q10" s="17">
        <f t="shared" si="8"/>
        <v>0</v>
      </c>
      <c r="R10" s="17">
        <f t="shared" si="8"/>
        <v>0</v>
      </c>
      <c r="S10" s="17">
        <f t="shared" si="8"/>
        <v>0</v>
      </c>
      <c r="T10" s="17">
        <f t="shared" si="8"/>
        <v>0</v>
      </c>
      <c r="U10" s="17">
        <f t="shared" si="8"/>
        <v>0</v>
      </c>
      <c r="V10" s="70">
        <f>U10</f>
        <v>0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0</v>
      </c>
      <c r="F11" s="42">
        <f t="shared" si="9"/>
        <v>0</v>
      </c>
      <c r="G11" s="42">
        <f t="shared" si="9"/>
        <v>0</v>
      </c>
      <c r="H11" s="42">
        <f t="shared" si="9"/>
        <v>0</v>
      </c>
      <c r="I11" s="42">
        <f t="shared" si="9"/>
        <v>-4.6856235813019786E-5</v>
      </c>
      <c r="J11" s="42">
        <f t="shared" si="9"/>
        <v>7.4433557735176237E-6</v>
      </c>
      <c r="K11" s="58">
        <f t="shared" si="9"/>
        <v>-1</v>
      </c>
      <c r="L11" s="67">
        <f t="shared" ref="L11:U11" si="10">K11</f>
        <v>-1</v>
      </c>
      <c r="M11" s="67">
        <f t="shared" si="10"/>
        <v>-1</v>
      </c>
      <c r="N11" s="67">
        <f t="shared" si="10"/>
        <v>-1</v>
      </c>
      <c r="O11" s="67">
        <f t="shared" si="10"/>
        <v>-1</v>
      </c>
      <c r="P11" s="67">
        <f t="shared" si="10"/>
        <v>-1</v>
      </c>
      <c r="Q11" s="67">
        <f t="shared" si="10"/>
        <v>-1</v>
      </c>
      <c r="R11" s="67">
        <f t="shared" si="10"/>
        <v>-1</v>
      </c>
      <c r="S11" s="67">
        <f t="shared" si="10"/>
        <v>-1</v>
      </c>
      <c r="T11" s="67">
        <f t="shared" si="10"/>
        <v>-1</v>
      </c>
      <c r="U11" s="67">
        <f t="shared" si="10"/>
        <v>-1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34.617658322014563</v>
      </c>
      <c r="E13" s="53">
        <f t="shared" si="11"/>
        <v>61.990509394771692</v>
      </c>
      <c r="F13" s="53">
        <f t="shared" si="11"/>
        <v>37.476569761029339</v>
      </c>
      <c r="G13" s="53">
        <f t="shared" si="11"/>
        <v>32.204633715356273</v>
      </c>
      <c r="H13" s="53">
        <f t="shared" si="11"/>
        <v>56.808890768280293</v>
      </c>
      <c r="I13" s="53">
        <f t="shared" si="11"/>
        <v>99.321062016459081</v>
      </c>
      <c r="J13" s="53">
        <f t="shared" si="11"/>
        <v>41.952715335258198</v>
      </c>
      <c r="K13" s="59">
        <f t="shared" si="11"/>
        <v>0</v>
      </c>
      <c r="L13" s="53" t="e">
        <f t="shared" ref="L13:U13" si="12">L7/L10</f>
        <v>#DIV/0!</v>
      </c>
      <c r="M13" s="53" t="e">
        <f t="shared" si="12"/>
        <v>#DIV/0!</v>
      </c>
      <c r="N13" s="53" t="e">
        <f t="shared" si="12"/>
        <v>#DIV/0!</v>
      </c>
      <c r="O13" s="53" t="e">
        <f t="shared" si="12"/>
        <v>#DIV/0!</v>
      </c>
      <c r="P13" s="53" t="e">
        <f t="shared" si="12"/>
        <v>#DIV/0!</v>
      </c>
      <c r="Q13" s="53" t="e">
        <f t="shared" si="12"/>
        <v>#DIV/0!</v>
      </c>
      <c r="R13" s="53" t="e">
        <f t="shared" si="12"/>
        <v>#DIV/0!</v>
      </c>
      <c r="S13" s="53" t="e">
        <f t="shared" si="12"/>
        <v>#DIV/0!</v>
      </c>
      <c r="T13" s="53" t="e">
        <f t="shared" si="12"/>
        <v>#DIV/0!</v>
      </c>
      <c r="U13" s="53" t="e">
        <f t="shared" si="12"/>
        <v>#DIV/0!</v>
      </c>
      <c r="V13" s="71" t="e">
        <f>U13*(1+WACC!$B$13)/(WACC!$B$14-WACC!$B$13)</f>
        <v>#DIV/0!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 t="e">
        <f>L13/((1+WACC!$B$14)^(L3-$K$3))</f>
        <v>#DIV/0!</v>
      </c>
      <c r="M14" s="62" t="e">
        <f>M13/((1+WACC!$B$14)^(M3-$K$3))</f>
        <v>#DIV/0!</v>
      </c>
      <c r="N14" s="62" t="e">
        <f>N13/((1+WACC!$B$14)^(N3-$K$3))</f>
        <v>#DIV/0!</v>
      </c>
      <c r="O14" s="62" t="e">
        <f>O13/((1+WACC!$B$14)^(O3-$K$3))</f>
        <v>#DIV/0!</v>
      </c>
      <c r="P14" s="62" t="e">
        <f>P13/((1+WACC!$B$14)^(P3-$K$3))</f>
        <v>#DIV/0!</v>
      </c>
      <c r="Q14" s="62" t="e">
        <f>Q13/((1+WACC!$B$14)^(Q3-$K$3))</f>
        <v>#DIV/0!</v>
      </c>
      <c r="R14" s="62" t="e">
        <f>R13/((1+WACC!$B$14)^(R3-$K$3))</f>
        <v>#DIV/0!</v>
      </c>
      <c r="S14" s="62" t="e">
        <f>S13/((1+WACC!$B$14)^(S3-$K$3))</f>
        <v>#DIV/0!</v>
      </c>
      <c r="T14" s="62" t="e">
        <f>T13/((1+WACC!$B$14)^(T3-$K$3))</f>
        <v>#DIV/0!</v>
      </c>
      <c r="U14" s="62" t="e">
        <f>U13/((1+WACC!$B$14)^(U3-$K$3))</f>
        <v>#DIV/0!</v>
      </c>
      <c r="V14" s="63" t="e">
        <f>V13/((1+WACC!$B$14)^(U3-$K$3))</f>
        <v>#DIV/0!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 t="e">
        <f>V14</f>
        <v>#DIV/0!</v>
      </c>
      <c r="L17" s="16" t="e">
        <f>C17/$C$19</f>
        <v>#DIV/0!</v>
      </c>
      <c r="O17" s="18"/>
    </row>
    <row r="18" spans="2:22" x14ac:dyDescent="0.25">
      <c r="B18" s="8" t="s">
        <v>26</v>
      </c>
      <c r="C18" s="32" t="e">
        <f>SUM(14:14)-V14</f>
        <v>#DIV/0!</v>
      </c>
      <c r="K18" s="3"/>
      <c r="L18" s="16" t="e">
        <f>C18/$C$19</f>
        <v>#DIV/0!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 t="e">
        <f>C17+C18</f>
        <v>#DIV/0!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 t="e">
        <f>Python!E3/1000000/K10</f>
        <v>#DIV/0!</v>
      </c>
      <c r="G20" s="14"/>
      <c r="H20" s="14"/>
      <c r="N20" s="14"/>
    </row>
    <row r="21" spans="2:22" x14ac:dyDescent="0.25">
      <c r="B21" s="7" t="s">
        <v>29</v>
      </c>
      <c r="C21" s="32" t="e">
        <f>WACC!B3/1000000/K10</f>
        <v>#DIV/0!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 t="e">
        <f>C19+C20-C21</f>
        <v>#DIV/0!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4"/>
  <sheetViews>
    <sheetView workbookViewId="0">
      <selection activeCell="G3" sqref="G3"/>
    </sheetView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-0.95912483673818483</v>
      </c>
    </row>
    <row r="3" spans="1:6" x14ac:dyDescent="0.25">
      <c r="A3" s="73" t="s">
        <v>34</v>
      </c>
      <c r="F3">
        <v>-0.95775888738680626</v>
      </c>
    </row>
    <row r="4" spans="1:6" x14ac:dyDescent="0.25">
      <c r="A4" s="73" t="s">
        <v>35</v>
      </c>
      <c r="B4">
        <v>2438415758000</v>
      </c>
      <c r="C4">
        <v>731849777000</v>
      </c>
      <c r="D4">
        <v>5186200000</v>
      </c>
      <c r="E4">
        <v>2048635617000</v>
      </c>
      <c r="F4">
        <v>-0.95822072288331572</v>
      </c>
    </row>
    <row r="5" spans="1:6" x14ac:dyDescent="0.25">
      <c r="A5" s="73" t="s">
        <v>36</v>
      </c>
      <c r="B5">
        <v>2245747012000</v>
      </c>
      <c r="C5">
        <v>476570013000</v>
      </c>
      <c r="D5">
        <v>5186000000</v>
      </c>
      <c r="E5">
        <v>1922785765000</v>
      </c>
      <c r="F5">
        <v>-0.96023557049259567</v>
      </c>
    </row>
    <row r="6" spans="1:6" x14ac:dyDescent="0.25">
      <c r="A6" s="73" t="s">
        <v>37</v>
      </c>
      <c r="B6">
        <v>2161735985000</v>
      </c>
      <c r="C6">
        <v>292150522000</v>
      </c>
      <c r="D6">
        <v>5185800000</v>
      </c>
      <c r="E6">
        <v>1687768742000</v>
      </c>
    </row>
    <row r="7" spans="1:6" x14ac:dyDescent="0.25">
      <c r="A7" s="73" t="s">
        <v>38</v>
      </c>
      <c r="B7">
        <v>2161736985000</v>
      </c>
      <c r="C7">
        <v>217561395000</v>
      </c>
      <c r="D7">
        <v>5185871600</v>
      </c>
      <c r="E7">
        <v>1578075276000</v>
      </c>
    </row>
    <row r="8" spans="1:6" x14ac:dyDescent="0.25">
      <c r="A8" s="73" t="s">
        <v>39</v>
      </c>
      <c r="B8">
        <v>2228146970000</v>
      </c>
      <c r="C8">
        <v>294602218000</v>
      </c>
      <c r="D8">
        <v>5185883000</v>
      </c>
      <c r="E8">
        <v>1489956000000</v>
      </c>
    </row>
    <row r="9" spans="1:6" x14ac:dyDescent="0.25">
      <c r="A9" s="73" t="s">
        <v>40</v>
      </c>
      <c r="B9">
        <v>2281446524000</v>
      </c>
      <c r="C9">
        <v>495792592000</v>
      </c>
      <c r="D9">
        <v>5185800000</v>
      </c>
      <c r="E9">
        <v>1614331143000</v>
      </c>
    </row>
    <row r="10" spans="1:6" x14ac:dyDescent="0.25">
      <c r="A10" s="73" t="s">
        <v>41</v>
      </c>
      <c r="B10">
        <v>2263889424000</v>
      </c>
      <c r="C10">
        <v>522498441000</v>
      </c>
      <c r="D10">
        <v>5185800000</v>
      </c>
      <c r="E10">
        <v>1586500125000</v>
      </c>
    </row>
    <row r="11" spans="1:6" x14ac:dyDescent="0.25">
      <c r="A11" s="73" t="s">
        <v>42</v>
      </c>
      <c r="B11">
        <v>2076624325000</v>
      </c>
      <c r="C11">
        <v>515062441000</v>
      </c>
      <c r="D11">
        <v>5185833000</v>
      </c>
      <c r="E11">
        <v>1518935673000</v>
      </c>
    </row>
    <row r="12" spans="1:6" x14ac:dyDescent="0.25">
      <c r="A12" s="73" t="s">
        <v>43</v>
      </c>
      <c r="B12">
        <v>1878049472000</v>
      </c>
      <c r="C12">
        <v>500066102000</v>
      </c>
      <c r="D12">
        <v>5185833400</v>
      </c>
      <c r="E12">
        <v>1450240838000</v>
      </c>
      <c r="F12">
        <v>-0.95313202662642993</v>
      </c>
    </row>
    <row r="13" spans="1:6" x14ac:dyDescent="0.25">
      <c r="A13" s="73" t="s">
        <v>44</v>
      </c>
      <c r="B13">
        <v>1716053786000</v>
      </c>
      <c r="C13">
        <v>399087479000</v>
      </c>
      <c r="D13">
        <v>5185966800</v>
      </c>
      <c r="E13">
        <v>1297254453000</v>
      </c>
      <c r="F13">
        <v>-0.95118057755967411</v>
      </c>
    </row>
    <row r="14" spans="1:6" x14ac:dyDescent="0.25">
      <c r="A14" s="73" t="s">
        <v>45</v>
      </c>
      <c r="B14">
        <v>1587452354000</v>
      </c>
      <c r="C14">
        <v>267641800000</v>
      </c>
      <c r="D14">
        <v>5186076092</v>
      </c>
      <c r="E14">
        <v>1204913700000</v>
      </c>
      <c r="F14">
        <v>-0.95555605620286732</v>
      </c>
    </row>
    <row r="15" spans="1:6" x14ac:dyDescent="0.25">
      <c r="A15" s="73" t="s">
        <v>46</v>
      </c>
      <c r="B15">
        <v>1510768009000</v>
      </c>
      <c r="C15">
        <v>294615225000</v>
      </c>
      <c r="D15">
        <v>5186076000</v>
      </c>
      <c r="E15">
        <v>989789612000</v>
      </c>
      <c r="F15">
        <v>-0.95756824021207776</v>
      </c>
    </row>
    <row r="16" spans="1:6" x14ac:dyDescent="0.25">
      <c r="A16" s="73" t="s">
        <v>47</v>
      </c>
      <c r="B16">
        <v>1452639149000</v>
      </c>
      <c r="C16">
        <v>253000167000</v>
      </c>
      <c r="D16">
        <v>5186076000</v>
      </c>
      <c r="E16">
        <v>883285000000</v>
      </c>
      <c r="F16">
        <v>-0.95673892350340273</v>
      </c>
    </row>
    <row r="17" spans="1:6" x14ac:dyDescent="0.25">
      <c r="A17" s="73" t="s">
        <v>48</v>
      </c>
      <c r="B17">
        <v>1391123360000</v>
      </c>
      <c r="C17">
        <v>272069658000</v>
      </c>
      <c r="D17">
        <v>5186076000</v>
      </c>
      <c r="E17">
        <v>811788948000</v>
      </c>
      <c r="F17">
        <v>-0.95968222318261809</v>
      </c>
    </row>
    <row r="18" spans="1:6" x14ac:dyDescent="0.25">
      <c r="A18" s="73" t="s">
        <v>49</v>
      </c>
      <c r="B18">
        <v>1339238429000</v>
      </c>
      <c r="C18">
        <v>303687103000</v>
      </c>
      <c r="D18">
        <v>5186076092</v>
      </c>
      <c r="E18">
        <v>802152615000</v>
      </c>
      <c r="F18">
        <v>-0.9601657262740475</v>
      </c>
    </row>
    <row r="19" spans="1:6" x14ac:dyDescent="0.25">
      <c r="A19" s="73" t="s">
        <v>50</v>
      </c>
      <c r="B19">
        <v>1294894873000</v>
      </c>
      <c r="C19">
        <v>167015678000</v>
      </c>
      <c r="D19">
        <v>5186076000</v>
      </c>
      <c r="E19">
        <v>752067627000</v>
      </c>
      <c r="F19">
        <v>-0.96382172546005107</v>
      </c>
    </row>
    <row r="20" spans="1:6" x14ac:dyDescent="0.25">
      <c r="A20" s="73" t="s">
        <v>51</v>
      </c>
      <c r="B20">
        <v>1231481555000</v>
      </c>
      <c r="C20">
        <v>122199736000</v>
      </c>
      <c r="D20">
        <v>5186076000</v>
      </c>
      <c r="E20">
        <v>615452332000</v>
      </c>
      <c r="F20">
        <v>-0.95680628265783241</v>
      </c>
    </row>
    <row r="21" spans="1:6" x14ac:dyDescent="0.25">
      <c r="A21" s="73" t="s">
        <v>52</v>
      </c>
      <c r="B21">
        <v>1161907527000</v>
      </c>
      <c r="C21">
        <v>87031937000</v>
      </c>
      <c r="D21">
        <v>5186076000</v>
      </c>
      <c r="E21">
        <v>572250045000</v>
      </c>
      <c r="F21">
        <v>-0.95401691947636147</v>
      </c>
    </row>
    <row r="22" spans="1:6" x14ac:dyDescent="0.25">
      <c r="A22" s="73" t="s">
        <v>53</v>
      </c>
      <c r="B22">
        <v>1070027918000</v>
      </c>
      <c r="C22">
        <v>152035339000</v>
      </c>
      <c r="D22">
        <v>5186076092</v>
      </c>
      <c r="E22">
        <v>594463700000</v>
      </c>
      <c r="F22">
        <v>-0.96342943050546814</v>
      </c>
    </row>
    <row r="23" spans="1:6" x14ac:dyDescent="0.25">
      <c r="A23" s="73" t="s">
        <v>54</v>
      </c>
      <c r="B23">
        <v>1042561918000</v>
      </c>
      <c r="C23">
        <v>194356339000</v>
      </c>
      <c r="D23">
        <v>5186076000</v>
      </c>
      <c r="E23">
        <v>602600487000</v>
      </c>
      <c r="F23">
        <v>-0.96236717043053044</v>
      </c>
    </row>
    <row r="24" spans="1:6" x14ac:dyDescent="0.25">
      <c r="A24" s="73" t="s">
        <v>55</v>
      </c>
      <c r="B24">
        <v>1009869885000</v>
      </c>
      <c r="C24">
        <v>173305832000</v>
      </c>
      <c r="D24">
        <v>5186076000</v>
      </c>
      <c r="E24">
        <v>779548781000</v>
      </c>
      <c r="F24">
        <v>-0.96673951225660282</v>
      </c>
    </row>
    <row r="25" spans="1:6" x14ac:dyDescent="0.25">
      <c r="A25" s="73" t="s">
        <v>56</v>
      </c>
      <c r="B25">
        <v>1002034221000</v>
      </c>
      <c r="C25">
        <v>241402189000</v>
      </c>
      <c r="D25">
        <v>5186076000</v>
      </c>
      <c r="E25">
        <v>770769082000</v>
      </c>
      <c r="F25">
        <v>-0.97217193291397686</v>
      </c>
    </row>
    <row r="26" spans="1:6" x14ac:dyDescent="0.25">
      <c r="A26" s="73" t="s">
        <v>57</v>
      </c>
      <c r="B26">
        <v>1031285836000</v>
      </c>
      <c r="C26">
        <v>255431240000</v>
      </c>
      <c r="D26">
        <v>5186076092</v>
      </c>
      <c r="E26">
        <v>713756000000</v>
      </c>
      <c r="F26">
        <v>-0.9661728470493246</v>
      </c>
    </row>
    <row r="27" spans="1:6" x14ac:dyDescent="0.25">
      <c r="A27" s="73" t="s">
        <v>58</v>
      </c>
      <c r="B27">
        <v>1019117631000</v>
      </c>
      <c r="C27">
        <v>321487493000</v>
      </c>
      <c r="D27">
        <v>5186076000</v>
      </c>
      <c r="E27">
        <v>619074046000</v>
      </c>
      <c r="F27">
        <v>-0.96658746932281503</v>
      </c>
    </row>
    <row r="28" spans="1:6" x14ac:dyDescent="0.25">
      <c r="A28" s="73" t="s">
        <v>59</v>
      </c>
      <c r="B28">
        <v>1010894764000</v>
      </c>
      <c r="C28">
        <v>352265809000</v>
      </c>
      <c r="D28">
        <v>5186076000</v>
      </c>
      <c r="E28">
        <v>762283064000</v>
      </c>
      <c r="F28">
        <v>-0.96439250434249935</v>
      </c>
    </row>
    <row r="29" spans="1:6" x14ac:dyDescent="0.25">
      <c r="A29" s="73" t="s">
        <v>60</v>
      </c>
      <c r="B29">
        <v>991485746000</v>
      </c>
      <c r="C29">
        <v>280501072000</v>
      </c>
      <c r="D29">
        <v>5186076000</v>
      </c>
      <c r="E29">
        <v>696016329000</v>
      </c>
      <c r="F29">
        <v>-0.96339532539064798</v>
      </c>
    </row>
    <row r="30" spans="1:6" x14ac:dyDescent="0.25">
      <c r="A30" s="73" t="s">
        <v>61</v>
      </c>
      <c r="B30">
        <v>977442600000</v>
      </c>
      <c r="C30">
        <v>249429700000</v>
      </c>
      <c r="D30">
        <v>5186012000</v>
      </c>
      <c r="E30">
        <v>656577200000</v>
      </c>
      <c r="F30">
        <v>-0.96524780705720925</v>
      </c>
    </row>
    <row r="31" spans="1:6" x14ac:dyDescent="0.25">
      <c r="A31" s="73" t="s">
        <v>62</v>
      </c>
      <c r="B31">
        <v>962066094000</v>
      </c>
      <c r="C31">
        <v>179529807000</v>
      </c>
      <c r="D31">
        <v>5186076000</v>
      </c>
      <c r="E31">
        <v>506887225000</v>
      </c>
      <c r="F31">
        <v>-0.96800067784204535</v>
      </c>
    </row>
    <row r="32" spans="1:6" x14ac:dyDescent="0.25">
      <c r="A32" s="73" t="s">
        <v>63</v>
      </c>
      <c r="B32">
        <v>970372884000</v>
      </c>
      <c r="C32">
        <v>147595320000</v>
      </c>
      <c r="D32">
        <v>5186076000</v>
      </c>
      <c r="E32">
        <v>661375376000</v>
      </c>
      <c r="F32">
        <v>-0.96899667802716161</v>
      </c>
    </row>
    <row r="33" spans="1:6" x14ac:dyDescent="0.25">
      <c r="A33" s="73" t="s">
        <v>64</v>
      </c>
      <c r="B33">
        <v>978365098000</v>
      </c>
      <c r="C33">
        <v>181941938000</v>
      </c>
      <c r="D33">
        <v>5186076000</v>
      </c>
      <c r="E33">
        <v>663084924000</v>
      </c>
      <c r="F33">
        <v>-0.96222029303762713</v>
      </c>
    </row>
    <row r="34" spans="1:6" x14ac:dyDescent="0.25">
      <c r="A34" s="73" t="s">
        <v>65</v>
      </c>
      <c r="B34">
        <v>947909200000</v>
      </c>
      <c r="C34">
        <v>206740900000</v>
      </c>
      <c r="D34">
        <v>5186012000</v>
      </c>
      <c r="E34">
        <v>636204300000</v>
      </c>
      <c r="F34">
        <v>-0.96078990847968804</v>
      </c>
    </row>
    <row r="35" spans="1:6" x14ac:dyDescent="0.25">
      <c r="A35" s="73" t="s">
        <v>66</v>
      </c>
      <c r="B35">
        <v>889215871000</v>
      </c>
      <c r="C35">
        <v>193839831000</v>
      </c>
      <c r="D35">
        <v>5186076000</v>
      </c>
      <c r="E35">
        <v>522821979000</v>
      </c>
      <c r="F35">
        <v>-0.96271899900519553</v>
      </c>
    </row>
    <row r="36" spans="1:6" x14ac:dyDescent="0.25">
      <c r="A36" s="73" t="s">
        <v>67</v>
      </c>
      <c r="B36">
        <v>841322449000</v>
      </c>
      <c r="C36">
        <v>219179592000</v>
      </c>
      <c r="D36">
        <v>5186076000</v>
      </c>
      <c r="E36">
        <v>675284203000</v>
      </c>
      <c r="F36">
        <v>-0.96795913576313963</v>
      </c>
    </row>
    <row r="37" spans="1:6" x14ac:dyDescent="0.25">
      <c r="A37" s="73" t="s">
        <v>68</v>
      </c>
      <c r="B37">
        <v>824960375000</v>
      </c>
      <c r="C37">
        <v>244488868000</v>
      </c>
      <c r="D37">
        <v>5186076000</v>
      </c>
      <c r="E37">
        <v>655455159000</v>
      </c>
      <c r="F37">
        <v>-0.97148886991876482</v>
      </c>
    </row>
    <row r="38" spans="1:6" x14ac:dyDescent="0.25">
      <c r="A38" s="73" t="s">
        <v>69</v>
      </c>
      <c r="B38">
        <v>843512500000</v>
      </c>
      <c r="C38">
        <v>268078700000</v>
      </c>
      <c r="D38">
        <v>5186092000</v>
      </c>
      <c r="E38">
        <v>590466200000</v>
      </c>
      <c r="F38">
        <v>-0.97476928072204427</v>
      </c>
    </row>
    <row r="39" spans="1:6" x14ac:dyDescent="0.25">
      <c r="A39" s="73" t="s">
        <v>70</v>
      </c>
      <c r="B39">
        <v>862515708000</v>
      </c>
      <c r="C39">
        <v>309209627000</v>
      </c>
      <c r="D39">
        <v>5186076000</v>
      </c>
      <c r="E39">
        <v>528403518000</v>
      </c>
      <c r="F39">
        <v>-0.96928951155314091</v>
      </c>
    </row>
    <row r="40" spans="1:6" x14ac:dyDescent="0.25">
      <c r="A40" s="73" t="s">
        <v>71</v>
      </c>
      <c r="B40">
        <v>859038056000</v>
      </c>
      <c r="C40">
        <v>304740198000</v>
      </c>
      <c r="D40">
        <v>5186076000</v>
      </c>
      <c r="E40">
        <v>558759100000</v>
      </c>
      <c r="F40">
        <v>-0.96741981909625829</v>
      </c>
    </row>
    <row r="41" spans="1:6" x14ac:dyDescent="0.25">
      <c r="A41" s="73" t="s">
        <v>72</v>
      </c>
      <c r="B41">
        <v>836613408000</v>
      </c>
      <c r="C41">
        <v>256320377000</v>
      </c>
      <c r="D41">
        <v>5186071000</v>
      </c>
      <c r="E41">
        <v>522921141000</v>
      </c>
      <c r="F41">
        <v>-0.95162651234915385</v>
      </c>
    </row>
    <row r="42" spans="1:6" x14ac:dyDescent="0.25">
      <c r="A42" s="73" t="s">
        <v>73</v>
      </c>
      <c r="B42">
        <v>762835000000</v>
      </c>
      <c r="C42">
        <v>129124200000</v>
      </c>
      <c r="D42">
        <v>5186090800</v>
      </c>
      <c r="E42">
        <v>440401000000</v>
      </c>
      <c r="F42">
        <v>-0.95286004719690487</v>
      </c>
    </row>
    <row r="43" spans="1:6" x14ac:dyDescent="0.25">
      <c r="A43" s="73" t="s">
        <v>74</v>
      </c>
      <c r="B43">
        <v>686126615000</v>
      </c>
      <c r="C43">
        <v>57552202000</v>
      </c>
      <c r="D43">
        <v>5186000400</v>
      </c>
      <c r="E43">
        <v>293334643000</v>
      </c>
      <c r="F43">
        <v>-0.95840424354004583</v>
      </c>
    </row>
    <row r="44" spans="1:6" x14ac:dyDescent="0.25">
      <c r="A44" s="73" t="s">
        <v>75</v>
      </c>
      <c r="B44">
        <v>639607362000</v>
      </c>
      <c r="C44">
        <v>55698665000</v>
      </c>
      <c r="D44">
        <v>5185998000</v>
      </c>
      <c r="E44">
        <v>315550916000</v>
      </c>
      <c r="F44">
        <v>-0.9619696826293328</v>
      </c>
    </row>
    <row r="45" spans="1:6" x14ac:dyDescent="0.25">
      <c r="A45" s="73" t="s">
        <v>76</v>
      </c>
      <c r="B45">
        <v>612480953000</v>
      </c>
      <c r="C45">
        <v>43616538000</v>
      </c>
      <c r="D45">
        <v>5185968000</v>
      </c>
      <c r="E45">
        <v>235532264000</v>
      </c>
      <c r="F45">
        <v>-0.96426454714746179</v>
      </c>
    </row>
    <row r="46" spans="1:6" x14ac:dyDescent="0.25">
      <c r="A46" s="73" t="s">
        <v>77</v>
      </c>
      <c r="B46">
        <v>597003300000</v>
      </c>
      <c r="C46">
        <v>57038300000</v>
      </c>
      <c r="D46">
        <v>5185980000</v>
      </c>
      <c r="E46">
        <v>245844400000</v>
      </c>
      <c r="F46">
        <v>-0.96584817740139239</v>
      </c>
    </row>
    <row r="47" spans="1:6" x14ac:dyDescent="0.25">
      <c r="A47" s="73" t="s">
        <v>78</v>
      </c>
      <c r="B47">
        <v>582455163000</v>
      </c>
      <c r="C47">
        <v>54602733000</v>
      </c>
      <c r="D47">
        <v>5185896800</v>
      </c>
      <c r="E47">
        <v>218687268000</v>
      </c>
      <c r="F47">
        <v>-0.96197330666546699</v>
      </c>
    </row>
    <row r="48" spans="1:6" x14ac:dyDescent="0.25">
      <c r="A48" s="73" t="s">
        <v>79</v>
      </c>
      <c r="B48">
        <v>561437522000</v>
      </c>
      <c r="C48">
        <v>12454987000</v>
      </c>
      <c r="D48">
        <v>5185898200</v>
      </c>
      <c r="E48">
        <v>228334510000</v>
      </c>
      <c r="F48">
        <v>-0.96054742449369068</v>
      </c>
    </row>
    <row r="49" spans="1:6" x14ac:dyDescent="0.25">
      <c r="A49" s="73" t="s">
        <v>80</v>
      </c>
      <c r="B49">
        <v>533520168000</v>
      </c>
      <c r="C49">
        <v>26647551000</v>
      </c>
      <c r="D49">
        <v>5185883600</v>
      </c>
      <c r="E49">
        <v>190495222000</v>
      </c>
      <c r="F49">
        <v>-0.95940697834541422</v>
      </c>
    </row>
    <row r="50" spans="1:6" x14ac:dyDescent="0.25">
      <c r="A50" s="73" t="s">
        <v>81</v>
      </c>
      <c r="B50">
        <v>506269307000</v>
      </c>
      <c r="C50">
        <v>42926400000</v>
      </c>
      <c r="D50">
        <v>5186097200</v>
      </c>
      <c r="E50">
        <v>151391500000</v>
      </c>
      <c r="F50">
        <v>-0.95673790044958162</v>
      </c>
    </row>
    <row r="51" spans="1:6" x14ac:dyDescent="0.25">
      <c r="A51" s="73" t="s">
        <v>82</v>
      </c>
      <c r="B51">
        <v>479700783000</v>
      </c>
      <c r="C51">
        <v>60345893000</v>
      </c>
      <c r="D51">
        <v>5185411400</v>
      </c>
      <c r="E51">
        <v>148189123000</v>
      </c>
      <c r="F51">
        <v>-0.95609311214600379</v>
      </c>
    </row>
    <row r="52" spans="1:6" x14ac:dyDescent="0.25">
      <c r="A52" s="73" t="s">
        <v>83</v>
      </c>
      <c r="B52">
        <v>444674765000</v>
      </c>
      <c r="C52">
        <v>79209297000</v>
      </c>
      <c r="D52">
        <v>5185316400</v>
      </c>
      <c r="E52">
        <v>186493209000</v>
      </c>
      <c r="F52">
        <v>-0.9613795945514243</v>
      </c>
    </row>
    <row r="53" spans="1:6" x14ac:dyDescent="0.25">
      <c r="A53" s="73" t="s">
        <v>84</v>
      </c>
      <c r="B53">
        <v>427210780000</v>
      </c>
      <c r="C53">
        <v>67075039000</v>
      </c>
      <c r="D53">
        <v>5185289200</v>
      </c>
      <c r="E53">
        <v>174970408000</v>
      </c>
      <c r="F53">
        <v>-0.97125744846183715</v>
      </c>
    </row>
    <row r="54" spans="1:6" x14ac:dyDescent="0.25">
      <c r="A54" s="73" t="s">
        <v>85</v>
      </c>
      <c r="B54">
        <v>427080600000</v>
      </c>
      <c r="C54">
        <v>33624500000</v>
      </c>
      <c r="D54">
        <v>5185385800</v>
      </c>
      <c r="E54">
        <v>151239300000</v>
      </c>
      <c r="F54">
        <v>-0.96806504440741237</v>
      </c>
    </row>
    <row r="55" spans="1:6" x14ac:dyDescent="0.25">
      <c r="A55" s="73" t="s">
        <v>86</v>
      </c>
      <c r="B55">
        <v>432511676000</v>
      </c>
      <c r="C55">
        <v>16601279000</v>
      </c>
      <c r="D55">
        <v>5184935400</v>
      </c>
      <c r="E55">
        <v>121225373000</v>
      </c>
      <c r="F55">
        <v>-0.96843201556421721</v>
      </c>
    </row>
    <row r="56" spans="1:6" x14ac:dyDescent="0.25">
      <c r="A56" s="73" t="s">
        <v>87</v>
      </c>
      <c r="B56">
        <v>438274759000</v>
      </c>
      <c r="C56">
        <v>20628778000</v>
      </c>
      <c r="D56">
        <v>5184711200</v>
      </c>
      <c r="E56">
        <v>154978107000</v>
      </c>
      <c r="F56">
        <v>-0.96204640788369788</v>
      </c>
    </row>
    <row r="57" spans="1:6" x14ac:dyDescent="0.25">
      <c r="A57" s="73" t="s">
        <v>88</v>
      </c>
      <c r="B57">
        <v>432728709000</v>
      </c>
      <c r="C57">
        <v>17660612000</v>
      </c>
      <c r="D57">
        <v>5184713200</v>
      </c>
      <c r="E57">
        <v>136094113000</v>
      </c>
      <c r="F57">
        <v>-0.9602578783014285</v>
      </c>
    </row>
    <row r="58" spans="1:6" x14ac:dyDescent="0.25">
      <c r="A58" s="73" t="s">
        <v>89</v>
      </c>
      <c r="B58">
        <v>419537900000</v>
      </c>
      <c r="C58">
        <v>42531600000</v>
      </c>
      <c r="D58">
        <v>5185164000</v>
      </c>
      <c r="E58">
        <v>182595800000</v>
      </c>
      <c r="F58">
        <v>-0.9588428672580982</v>
      </c>
    </row>
    <row r="59" spans="1:6" x14ac:dyDescent="0.25">
      <c r="A59" s="73" t="s">
        <v>90</v>
      </c>
      <c r="B59">
        <v>401490111000</v>
      </c>
      <c r="C59">
        <v>35774501000</v>
      </c>
      <c r="D59">
        <v>5184110800</v>
      </c>
      <c r="E59">
        <v>168225498000</v>
      </c>
      <c r="F59">
        <v>-0.96609688317524223</v>
      </c>
    </row>
    <row r="60" spans="1:6" x14ac:dyDescent="0.25">
      <c r="A60" s="73" t="s">
        <v>91</v>
      </c>
      <c r="B60">
        <v>379179203000</v>
      </c>
      <c r="C60">
        <v>29202901000</v>
      </c>
      <c r="D60">
        <v>5183379200</v>
      </c>
      <c r="E60">
        <v>208016083000</v>
      </c>
      <c r="F60">
        <v>-0.9577051894707056</v>
      </c>
    </row>
    <row r="61" spans="1:6" x14ac:dyDescent="0.25">
      <c r="A61" s="73" t="s">
        <v>92</v>
      </c>
      <c r="B61">
        <v>348428886000</v>
      </c>
      <c r="C61">
        <v>50960980000</v>
      </c>
      <c r="D61">
        <v>5183197200</v>
      </c>
      <c r="E61">
        <v>194607354000</v>
      </c>
      <c r="F61">
        <v>-0.92973849235316364</v>
      </c>
    </row>
    <row r="62" spans="1:6" x14ac:dyDescent="0.25">
      <c r="A62" s="73" t="s">
        <v>93</v>
      </c>
      <c r="B62">
        <v>295742326000</v>
      </c>
      <c r="C62">
        <v>72181500000</v>
      </c>
      <c r="D62">
        <v>5165253582</v>
      </c>
      <c r="E62">
        <v>197647100000</v>
      </c>
      <c r="F62">
        <v>-0.9565416188099487</v>
      </c>
    </row>
    <row r="63" spans="1:6" x14ac:dyDescent="0.25">
      <c r="A63" s="73" t="s">
        <v>94</v>
      </c>
      <c r="B63">
        <v>269817367938</v>
      </c>
      <c r="C63">
        <v>105612148153</v>
      </c>
      <c r="D63">
        <v>5291086952</v>
      </c>
      <c r="E63">
        <v>180319125000</v>
      </c>
      <c r="F63">
        <v>-0.97023758681833094</v>
      </c>
    </row>
    <row r="64" spans="1:6" x14ac:dyDescent="0.25">
      <c r="A64" s="73" t="s">
        <v>95</v>
      </c>
      <c r="B64">
        <v>272617823228</v>
      </c>
      <c r="C64">
        <v>140632370917</v>
      </c>
      <c r="D64">
        <v>5214744000</v>
      </c>
      <c r="E64">
        <v>246769000000</v>
      </c>
      <c r="F64">
        <v>-0.97544349289132903</v>
      </c>
    </row>
    <row r="65" spans="1:6" x14ac:dyDescent="0.25">
      <c r="A65" s="73" t="s">
        <v>96</v>
      </c>
      <c r="B65">
        <v>283888225294</v>
      </c>
      <c r="C65">
        <v>143475541593</v>
      </c>
      <c r="D65">
        <v>5183979800</v>
      </c>
      <c r="E65">
        <v>232267939000</v>
      </c>
    </row>
    <row r="66" spans="1:6" x14ac:dyDescent="0.25">
      <c r="A66" s="73" t="s">
        <v>97</v>
      </c>
      <c r="B66">
        <v>328473549184</v>
      </c>
      <c r="C66">
        <v>162712685353</v>
      </c>
      <c r="D66">
        <v>5283007499</v>
      </c>
      <c r="E66">
        <v>212026129575</v>
      </c>
      <c r="F66">
        <v>-0.97968831850824079</v>
      </c>
    </row>
    <row r="67" spans="1:6" x14ac:dyDescent="0.25">
      <c r="A67" s="73" t="s">
        <v>98</v>
      </c>
      <c r="B67">
        <v>358944437491</v>
      </c>
      <c r="C67">
        <v>150677281502</v>
      </c>
      <c r="D67">
        <v>5257453467</v>
      </c>
      <c r="E67">
        <v>157726825418</v>
      </c>
      <c r="F67">
        <v>-0.96659417434295691</v>
      </c>
    </row>
    <row r="68" spans="1:6" x14ac:dyDescent="0.25">
      <c r="A68" s="73" t="s">
        <v>99</v>
      </c>
      <c r="B68">
        <v>354211964201</v>
      </c>
      <c r="C68">
        <v>126493379420</v>
      </c>
      <c r="D68">
        <v>5181924517</v>
      </c>
      <c r="E68">
        <v>159189769421</v>
      </c>
      <c r="F68">
        <v>-0.96283100073164163</v>
      </c>
    </row>
    <row r="69" spans="1:6" x14ac:dyDescent="0.25">
      <c r="A69" s="73" t="s">
        <v>100</v>
      </c>
      <c r="B69">
        <v>343768435091</v>
      </c>
      <c r="C69">
        <v>115769559290</v>
      </c>
      <c r="D69">
        <v>5259603582</v>
      </c>
      <c r="E69">
        <v>210198430390</v>
      </c>
      <c r="F69">
        <v>-0.96039392138110724</v>
      </c>
    </row>
    <row r="70" spans="1:6" x14ac:dyDescent="0.25">
      <c r="A70" s="73" t="s">
        <v>101</v>
      </c>
      <c r="B70">
        <v>324983839721</v>
      </c>
      <c r="C70">
        <v>99772974170</v>
      </c>
      <c r="D70">
        <v>5616581994</v>
      </c>
      <c r="E70">
        <v>173211383584</v>
      </c>
      <c r="F70">
        <v>-0.74843504038889708</v>
      </c>
    </row>
    <row r="71" spans="1:6" x14ac:dyDescent="0.25">
      <c r="A71" s="73" t="s">
        <v>102</v>
      </c>
      <c r="B71">
        <v>239652080023</v>
      </c>
      <c r="C71">
        <v>99116232477</v>
      </c>
      <c r="D71">
        <v>5334952050</v>
      </c>
      <c r="E71">
        <v>176007546000</v>
      </c>
      <c r="F71">
        <v>-0.96500883057839026</v>
      </c>
    </row>
    <row r="72" spans="1:6" x14ac:dyDescent="0.25">
      <c r="A72" s="73" t="s">
        <v>103</v>
      </c>
      <c r="B72">
        <v>233041228668</v>
      </c>
      <c r="C72">
        <v>97152446181</v>
      </c>
      <c r="D72">
        <v>5334922249</v>
      </c>
      <c r="E72">
        <v>231526226965</v>
      </c>
      <c r="F72">
        <v>-0.97360902923995574</v>
      </c>
    </row>
    <row r="73" spans="1:6" x14ac:dyDescent="0.25">
      <c r="A73" s="73" t="s">
        <v>104</v>
      </c>
      <c r="B73">
        <v>238139445561</v>
      </c>
      <c r="C73">
        <v>113929783616</v>
      </c>
      <c r="D73">
        <v>5215769100</v>
      </c>
      <c r="E73">
        <v>217415769560</v>
      </c>
      <c r="F73">
        <v>-0.97460539495048604</v>
      </c>
    </row>
    <row r="74" spans="1:6" x14ac:dyDescent="0.25">
      <c r="A74" s="73" t="s">
        <v>105</v>
      </c>
      <c r="B74">
        <v>250209799893</v>
      </c>
      <c r="C74">
        <v>126240690770</v>
      </c>
      <c r="D74">
        <v>5335039316</v>
      </c>
      <c r="E74">
        <v>195043854929</v>
      </c>
      <c r="F74">
        <v>-0.99616603014757554</v>
      </c>
    </row>
    <row r="75" spans="1:6" x14ac:dyDescent="0.25">
      <c r="A75" s="73" t="s">
        <v>106</v>
      </c>
      <c r="B75">
        <v>322435213916</v>
      </c>
      <c r="C75">
        <v>122204862758</v>
      </c>
      <c r="D75">
        <v>5332188581</v>
      </c>
      <c r="E75">
        <v>120501586261</v>
      </c>
      <c r="F75">
        <v>-0.96187686415642271</v>
      </c>
    </row>
    <row r="76" spans="1:6" x14ac:dyDescent="0.25">
      <c r="A76" s="73" t="s">
        <v>107</v>
      </c>
      <c r="B76">
        <v>305147396217</v>
      </c>
      <c r="C76">
        <v>127611822344</v>
      </c>
      <c r="D76">
        <v>5331971011</v>
      </c>
      <c r="E76">
        <v>210021236948</v>
      </c>
      <c r="F76">
        <v>-0.96040328344164039</v>
      </c>
    </row>
    <row r="77" spans="1:6" x14ac:dyDescent="0.25">
      <c r="A77" s="73" t="s">
        <v>108</v>
      </c>
      <c r="B77">
        <v>283428186815</v>
      </c>
      <c r="C77">
        <v>116244513982</v>
      </c>
      <c r="D77">
        <v>5212999671</v>
      </c>
      <c r="E77">
        <v>178104207721</v>
      </c>
      <c r="F77">
        <v>-0.96268352002301028</v>
      </c>
    </row>
    <row r="78" spans="1:6" x14ac:dyDescent="0.25">
      <c r="A78" s="73" t="s">
        <v>109</v>
      </c>
      <c r="B78">
        <v>261797823061</v>
      </c>
      <c r="C78">
        <v>77365250996.080002</v>
      </c>
      <c r="D78">
        <v>5444880542</v>
      </c>
      <c r="E78">
        <v>144313586320</v>
      </c>
      <c r="F78">
        <v>-0.9633730325461729</v>
      </c>
    </row>
    <row r="79" spans="1:6" x14ac:dyDescent="0.25">
      <c r="A79" s="73" t="s">
        <v>110</v>
      </c>
      <c r="B79">
        <v>244095319582</v>
      </c>
      <c r="C79">
        <v>127265456051.08</v>
      </c>
      <c r="D79">
        <v>5389379451</v>
      </c>
      <c r="E79">
        <v>107524269574</v>
      </c>
      <c r="F79">
        <v>-0.97125730346109485</v>
      </c>
    </row>
    <row r="80" spans="1:6" x14ac:dyDescent="0.25">
      <c r="A80" s="73" t="s">
        <v>111</v>
      </c>
      <c r="B80">
        <v>247944618152</v>
      </c>
      <c r="C80">
        <v>119920370964.08</v>
      </c>
      <c r="D80">
        <v>5420197607</v>
      </c>
      <c r="E80">
        <v>128005982548</v>
      </c>
      <c r="F80">
        <v>-0.97102878492018896</v>
      </c>
    </row>
    <row r="81" spans="1:6" x14ac:dyDescent="0.25">
      <c r="A81" s="73" t="s">
        <v>112</v>
      </c>
      <c r="B81">
        <v>250820796553</v>
      </c>
      <c r="C81">
        <v>118545319335.08</v>
      </c>
      <c r="D81">
        <v>5097031307</v>
      </c>
      <c r="E81">
        <v>112033312191</v>
      </c>
      <c r="F81">
        <v>-0.97049645908326398</v>
      </c>
    </row>
    <row r="82" spans="1:6" x14ac:dyDescent="0.25">
      <c r="A82" s="73" t="s">
        <v>113</v>
      </c>
      <c r="B82">
        <v>252509936445</v>
      </c>
      <c r="C82">
        <v>137096775807</v>
      </c>
      <c r="D82">
        <v>5131804697</v>
      </c>
      <c r="E82">
        <v>128621231760</v>
      </c>
      <c r="F82">
        <v>-0.973106607600151</v>
      </c>
    </row>
    <row r="83" spans="1:6" x14ac:dyDescent="0.25">
      <c r="A83" s="73" t="s">
        <v>114</v>
      </c>
      <c r="B83">
        <v>248686221134</v>
      </c>
      <c r="C83">
        <v>91720541885</v>
      </c>
      <c r="D83">
        <v>5096609626</v>
      </c>
      <c r="E83">
        <v>124207038426</v>
      </c>
      <c r="F83">
        <v>-0.96720984221124107</v>
      </c>
    </row>
    <row r="84" spans="1:6" x14ac:dyDescent="0.25">
      <c r="A84" s="73" t="s">
        <v>115</v>
      </c>
      <c r="B84">
        <v>234728441428</v>
      </c>
      <c r="C84">
        <v>91912509070</v>
      </c>
      <c r="D84">
        <v>5096609626</v>
      </c>
      <c r="E84">
        <v>123548756483</v>
      </c>
      <c r="F84">
        <v>-0.9653766390472609</v>
      </c>
    </row>
    <row r="85" spans="1:6" x14ac:dyDescent="0.25">
      <c r="A85" s="73" t="s">
        <v>116</v>
      </c>
      <c r="B85">
        <v>218278678260</v>
      </c>
      <c r="C85">
        <v>97313313920</v>
      </c>
      <c r="D85">
        <v>4557527557</v>
      </c>
      <c r="E85">
        <v>126128504040</v>
      </c>
      <c r="F85">
        <v>-0.95858103438098829</v>
      </c>
    </row>
    <row r="86" spans="1:6" x14ac:dyDescent="0.25">
      <c r="A86" s="73" t="s">
        <v>117</v>
      </c>
      <c r="B86">
        <v>200154246310</v>
      </c>
      <c r="C86">
        <v>92012310600</v>
      </c>
      <c r="D86">
        <v>5239918750</v>
      </c>
      <c r="E86">
        <v>116400688080</v>
      </c>
      <c r="F86">
        <v>-0.95675096594844877</v>
      </c>
    </row>
    <row r="87" spans="1:6" x14ac:dyDescent="0.25">
      <c r="A87" s="73" t="s">
        <v>118</v>
      </c>
      <c r="B87">
        <v>178287561408</v>
      </c>
      <c r="C87">
        <v>51500838870</v>
      </c>
      <c r="D87">
        <v>4865869991</v>
      </c>
      <c r="E87">
        <v>94232707140</v>
      </c>
      <c r="F87">
        <v>-0.96353837336327419</v>
      </c>
    </row>
    <row r="88" spans="1:6" x14ac:dyDescent="0.25">
      <c r="A88" s="73" t="s">
        <v>119</v>
      </c>
      <c r="B88">
        <v>165105070091</v>
      </c>
      <c r="C88">
        <v>29757788800</v>
      </c>
      <c r="D88">
        <v>5468657294</v>
      </c>
      <c r="E88">
        <v>76124576000</v>
      </c>
      <c r="F88">
        <v>-0.97105785231755115</v>
      </c>
    </row>
    <row r="89" spans="1:6" x14ac:dyDescent="0.25">
      <c r="A89" s="73" t="s">
        <v>120</v>
      </c>
      <c r="B89">
        <v>159303343449</v>
      </c>
      <c r="C89">
        <v>11041665960</v>
      </c>
      <c r="D89">
        <v>5037683466</v>
      </c>
      <c r="E89">
        <v>67395829020</v>
      </c>
      <c r="F89">
        <v>-0.9667152290296368</v>
      </c>
    </row>
    <row r="90" spans="1:6" x14ac:dyDescent="0.25">
      <c r="A90" s="73" t="s">
        <v>121</v>
      </c>
      <c r="B90">
        <v>160911887496</v>
      </c>
      <c r="C90">
        <v>0</v>
      </c>
      <c r="D90">
        <v>4469082842</v>
      </c>
      <c r="E90">
        <v>68078402552</v>
      </c>
      <c r="F90">
        <v>-0.95569792094327788</v>
      </c>
    </row>
    <row r="91" spans="1:6" x14ac:dyDescent="0.25">
      <c r="A91" s="73" t="s">
        <v>122</v>
      </c>
      <c r="B91">
        <v>159298292249</v>
      </c>
      <c r="C91">
        <v>0</v>
      </c>
      <c r="D91">
        <v>5263082078</v>
      </c>
      <c r="F91">
        <v>-0.93260398796928368</v>
      </c>
    </row>
    <row r="92" spans="1:6" x14ac:dyDescent="0.25">
      <c r="A92" s="73" t="s">
        <v>123</v>
      </c>
      <c r="B92">
        <v>148526162456</v>
      </c>
      <c r="C92">
        <v>0</v>
      </c>
      <c r="D92">
        <v>5263082078</v>
      </c>
      <c r="F92">
        <v>-0.95199466285061962</v>
      </c>
    </row>
    <row r="93" spans="1:6" x14ac:dyDescent="0.25">
      <c r="A93" s="73" t="s">
        <v>124</v>
      </c>
      <c r="B93">
        <v>139369580231</v>
      </c>
      <c r="C93">
        <v>0</v>
      </c>
      <c r="D93">
        <v>5790165409</v>
      </c>
      <c r="F93">
        <v>-0.95912026542822171</v>
      </c>
    </row>
    <row r="94" spans="1:6" x14ac:dyDescent="0.25">
      <c r="A94" s="73" t="s">
        <v>125</v>
      </c>
      <c r="B94">
        <v>129979158909</v>
      </c>
      <c r="C94">
        <v>0</v>
      </c>
      <c r="D94">
        <v>5192497528</v>
      </c>
      <c r="E94">
        <v>43020740460</v>
      </c>
      <c r="F94">
        <v>-0.97079360341176391</v>
      </c>
    </row>
    <row r="95" spans="1:6" x14ac:dyDescent="0.25">
      <c r="A95" s="73" t="s">
        <v>126</v>
      </c>
      <c r="B95">
        <v>133001062518</v>
      </c>
      <c r="C95">
        <v>0</v>
      </c>
      <c r="D95">
        <v>5189852951</v>
      </c>
      <c r="F95">
        <v>-0.97722617156954872</v>
      </c>
    </row>
    <row r="96" spans="1:6" x14ac:dyDescent="0.25">
      <c r="A96" s="73" t="s">
        <v>127</v>
      </c>
      <c r="B96">
        <v>144508462048</v>
      </c>
      <c r="C96">
        <v>0</v>
      </c>
      <c r="D96">
        <v>5189852951</v>
      </c>
    </row>
    <row r="97" spans="1:6" x14ac:dyDescent="0.25">
      <c r="A97" s="73" t="s">
        <v>128</v>
      </c>
      <c r="B97">
        <v>156199909467</v>
      </c>
      <c r="C97">
        <v>0</v>
      </c>
      <c r="D97">
        <v>5198745318</v>
      </c>
    </row>
    <row r="98" spans="1:6" x14ac:dyDescent="0.25">
      <c r="A98" s="73" t="s">
        <v>129</v>
      </c>
      <c r="B98">
        <v>166162382450</v>
      </c>
      <c r="C98">
        <v>0</v>
      </c>
      <c r="D98">
        <v>5290057821</v>
      </c>
      <c r="E98">
        <v>41191784619</v>
      </c>
    </row>
    <row r="99" spans="1:6" x14ac:dyDescent="0.25">
      <c r="A99" s="73" t="s">
        <v>129</v>
      </c>
      <c r="B99">
        <v>166162382450</v>
      </c>
      <c r="C99">
        <v>0</v>
      </c>
      <c r="D99">
        <v>5290057821</v>
      </c>
      <c r="E99">
        <v>41191784619</v>
      </c>
    </row>
    <row r="100" spans="1:6" x14ac:dyDescent="0.25">
      <c r="A100" s="73" t="s">
        <v>130</v>
      </c>
      <c r="B100">
        <v>142888990497</v>
      </c>
      <c r="C100">
        <v>0</v>
      </c>
      <c r="D100">
        <v>4750246382</v>
      </c>
      <c r="F100">
        <v>-0.93432658022368864</v>
      </c>
    </row>
    <row r="101" spans="1:6" x14ac:dyDescent="0.25">
      <c r="A101" s="73" t="s">
        <v>131</v>
      </c>
      <c r="B101">
        <v>119606223182</v>
      </c>
      <c r="C101">
        <v>0</v>
      </c>
      <c r="D101">
        <v>4751788551</v>
      </c>
      <c r="F101">
        <v>-0.94630061309377544</v>
      </c>
    </row>
    <row r="102" spans="1:6" x14ac:dyDescent="0.25">
      <c r="A102" s="73" t="s">
        <v>132</v>
      </c>
      <c r="B102">
        <v>96319120136</v>
      </c>
      <c r="C102">
        <v>0</v>
      </c>
      <c r="D102">
        <v>4160190231</v>
      </c>
      <c r="F102">
        <v>-0.93888756408319818</v>
      </c>
    </row>
    <row r="103" spans="1:6" x14ac:dyDescent="0.25">
      <c r="A103" s="73" t="s">
        <v>133</v>
      </c>
      <c r="B103">
        <v>73160279606</v>
      </c>
      <c r="C103">
        <v>0</v>
      </c>
      <c r="D103">
        <v>4090344154</v>
      </c>
      <c r="E103">
        <v>18573357803</v>
      </c>
      <c r="F103">
        <v>-0.9427554841474779</v>
      </c>
    </row>
    <row r="104" spans="1:6" x14ac:dyDescent="0.25">
      <c r="A104" s="73" t="s">
        <v>134</v>
      </c>
      <c r="B104">
        <v>64940136600</v>
      </c>
      <c r="C104">
        <v>0</v>
      </c>
      <c r="D104">
        <v>4046564997</v>
      </c>
      <c r="F104">
        <v>-0.95715229110369937</v>
      </c>
    </row>
    <row r="105" spans="1:6" x14ac:dyDescent="0.25">
      <c r="A105" s="73" t="s">
        <v>135</v>
      </c>
      <c r="B105">
        <v>60101240966</v>
      </c>
      <c r="C105">
        <v>0</v>
      </c>
      <c r="D105">
        <v>4044753808</v>
      </c>
    </row>
    <row r="106" spans="1:6" x14ac:dyDescent="0.25">
      <c r="A106" s="73" t="s">
        <v>136</v>
      </c>
      <c r="B106">
        <v>55232788686</v>
      </c>
      <c r="C106">
        <v>0</v>
      </c>
      <c r="D106">
        <v>4044615175</v>
      </c>
      <c r="F106">
        <v>-0.95054116553391899</v>
      </c>
    </row>
    <row r="107" spans="1:6" x14ac:dyDescent="0.25">
      <c r="A107" s="73" t="s">
        <v>137</v>
      </c>
      <c r="B107">
        <v>49744132811</v>
      </c>
      <c r="C107">
        <v>0</v>
      </c>
      <c r="D107">
        <v>3972805836</v>
      </c>
      <c r="E107">
        <v>15557594129</v>
      </c>
      <c r="F107">
        <v>-0.97640886314994457</v>
      </c>
    </row>
    <row r="108" spans="1:6" x14ac:dyDescent="0.25">
      <c r="A108" s="73" t="s">
        <v>138</v>
      </c>
      <c r="B108">
        <v>50764612254</v>
      </c>
      <c r="C108">
        <v>0</v>
      </c>
      <c r="D108">
        <v>3963726969</v>
      </c>
    </row>
    <row r="109" spans="1:6" x14ac:dyDescent="0.25">
      <c r="A109" s="73" t="s">
        <v>139</v>
      </c>
      <c r="B109">
        <v>48329116884</v>
      </c>
      <c r="C109">
        <v>0</v>
      </c>
      <c r="D109">
        <v>3963726969</v>
      </c>
    </row>
    <row r="110" spans="1:6" x14ac:dyDescent="0.25">
      <c r="A110" s="73" t="s">
        <v>140</v>
      </c>
      <c r="B110">
        <v>45897298591</v>
      </c>
      <c r="C110">
        <v>0</v>
      </c>
      <c r="D110">
        <v>3963726969</v>
      </c>
      <c r="F110">
        <v>-0.96321374128036963</v>
      </c>
    </row>
    <row r="111" spans="1:6" x14ac:dyDescent="0.25">
      <c r="A111" s="73" t="s">
        <v>141</v>
      </c>
      <c r="B111">
        <v>44051381418</v>
      </c>
      <c r="C111">
        <v>0</v>
      </c>
      <c r="D111">
        <v>3883210009</v>
      </c>
      <c r="E111">
        <v>17913559390</v>
      </c>
    </row>
    <row r="112" spans="1:6" x14ac:dyDescent="0.25">
      <c r="A112" s="73" t="s">
        <v>142</v>
      </c>
      <c r="D112">
        <v>3883215628</v>
      </c>
    </row>
    <row r="113" spans="1:4" x14ac:dyDescent="0.25">
      <c r="A113" s="73" t="s">
        <v>143</v>
      </c>
      <c r="D113">
        <v>3884402832</v>
      </c>
    </row>
    <row r="114" spans="1:4" x14ac:dyDescent="0.25">
      <c r="A114" s="73" t="s">
        <v>144</v>
      </c>
      <c r="D114">
        <v>3879390944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145</v>
      </c>
      <c r="B1" s="27" t="s">
        <v>146</v>
      </c>
      <c r="C1" t="s">
        <v>147</v>
      </c>
      <c r="D1" t="s">
        <v>148</v>
      </c>
      <c r="F1" s="27" t="s">
        <v>146</v>
      </c>
      <c r="G1" t="s">
        <v>147</v>
      </c>
      <c r="H1" t="s">
        <v>148</v>
      </c>
      <c r="J1" t="s">
        <v>149</v>
      </c>
      <c r="K1" t="s">
        <v>147</v>
      </c>
      <c r="L1" t="s">
        <v>148</v>
      </c>
      <c r="N1" t="s">
        <v>150</v>
      </c>
      <c r="O1" t="s">
        <v>147</v>
      </c>
      <c r="P1" t="s">
        <v>148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151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152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153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154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155</v>
      </c>
    </row>
    <row r="7" spans="1:46" x14ac:dyDescent="0.25">
      <c r="A7" s="27" t="s">
        <v>156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157</v>
      </c>
    </row>
    <row r="8" spans="1:46" x14ac:dyDescent="0.25">
      <c r="A8" s="27" t="s">
        <v>158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159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160</v>
      </c>
    </row>
    <row r="10" spans="1:46" x14ac:dyDescent="0.25">
      <c r="A10" s="27" t="s">
        <v>161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162</v>
      </c>
    </row>
    <row r="11" spans="1:46" x14ac:dyDescent="0.25">
      <c r="A11" s="27" t="s">
        <v>163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164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165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166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167</v>
      </c>
    </row>
    <row r="15" spans="1:46" x14ac:dyDescent="0.25">
      <c r="A15" s="27" t="s">
        <v>168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169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170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171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172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173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174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175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176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177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178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179</v>
      </c>
      <c r="J26">
        <v>0.61799999999999999</v>
      </c>
      <c r="N26">
        <v>-0.36399999999999999</v>
      </c>
    </row>
    <row r="27" spans="1:17" x14ac:dyDescent="0.25">
      <c r="A27" s="27" t="s">
        <v>180</v>
      </c>
    </row>
    <row r="28" spans="1:17" x14ac:dyDescent="0.25">
      <c r="A28" s="27" t="s">
        <v>181</v>
      </c>
    </row>
    <row r="29" spans="1:17" x14ac:dyDescent="0.25">
      <c r="A29" s="27" t="s">
        <v>182</v>
      </c>
    </row>
    <row r="31" spans="1:17" x14ac:dyDescent="0.25">
      <c r="A31" s="26" t="s">
        <v>183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184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185</v>
      </c>
      <c r="C1" s="73" t="s">
        <v>186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187</v>
      </c>
      <c r="D2">
        <v>1.3594904653907181</v>
      </c>
      <c r="E2">
        <v>0.13490190470217669</v>
      </c>
    </row>
    <row r="3" spans="1:5" x14ac:dyDescent="0.25">
      <c r="A3" s="73">
        <v>1</v>
      </c>
      <c r="B3">
        <v>3</v>
      </c>
      <c r="C3" t="s">
        <v>188</v>
      </c>
      <c r="D3">
        <v>1.1354531230866309</v>
      </c>
      <c r="E3">
        <v>0.11938283789821651</v>
      </c>
    </row>
    <row r="4" spans="1:5" x14ac:dyDescent="0.25">
      <c r="A4" s="73">
        <v>2</v>
      </c>
      <c r="B4">
        <v>3</v>
      </c>
      <c r="C4" t="s">
        <v>189</v>
      </c>
      <c r="D4">
        <v>1.3087465056262491</v>
      </c>
      <c r="E4">
        <v>0.13138687058606319</v>
      </c>
    </row>
    <row r="5" spans="1:5" x14ac:dyDescent="0.25">
      <c r="A5" s="73">
        <v>3</v>
      </c>
      <c r="B5">
        <v>5</v>
      </c>
      <c r="C5" t="s">
        <v>187</v>
      </c>
      <c r="D5">
        <v>1.1411287669392829</v>
      </c>
      <c r="E5">
        <v>0.1197759897504877</v>
      </c>
    </row>
    <row r="6" spans="1:5" x14ac:dyDescent="0.25">
      <c r="A6" s="73">
        <v>4</v>
      </c>
      <c r="B6">
        <v>5</v>
      </c>
      <c r="C6" t="s">
        <v>188</v>
      </c>
      <c r="D6">
        <v>0.94598372768411854</v>
      </c>
      <c r="E6">
        <v>0.1062582927919522</v>
      </c>
    </row>
    <row r="7" spans="1:5" x14ac:dyDescent="0.25">
      <c r="A7" s="73">
        <v>5</v>
      </c>
      <c r="B7">
        <v>5</v>
      </c>
      <c r="C7" t="s">
        <v>189</v>
      </c>
      <c r="D7">
        <v>1.107298729887906</v>
      </c>
      <c r="E7">
        <v>0.1174325830684527</v>
      </c>
    </row>
    <row r="8" spans="1:5" x14ac:dyDescent="0.25">
      <c r="A8" s="73">
        <v>6</v>
      </c>
      <c r="B8" t="s">
        <v>183</v>
      </c>
      <c r="D8">
        <v>1.1663502197691511</v>
      </c>
      <c r="E8">
        <v>0.1215230797995582</v>
      </c>
    </row>
    <row r="9" spans="1:5" x14ac:dyDescent="0.25">
      <c r="A9" s="73">
        <v>7</v>
      </c>
      <c r="B9" t="s">
        <v>184</v>
      </c>
      <c r="D9">
        <v>1.138290945012957</v>
      </c>
      <c r="E9">
        <v>0.1195794138243521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2024-10-18T20:43:10Z</dcterms:modified>
</cp:coreProperties>
</file>