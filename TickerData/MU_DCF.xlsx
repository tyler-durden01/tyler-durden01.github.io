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0" documentId="11_3EDE21A2286846A8978049AF4F6144FDDB9F295C" xr6:coauthVersionLast="47" xr6:coauthVersionMax="47" xr10:uidLastSave="{002BA5E4-BEB0-46C5-8E97-2D60C9BF982E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L8" i="3"/>
  <c r="M5" i="3"/>
  <c r="O32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H10" i="3"/>
  <c r="E10" i="3"/>
  <c r="L5" i="3"/>
  <c r="I4" i="3"/>
  <c r="F4" i="3"/>
  <c r="F5" i="3" s="1"/>
  <c r="K3" i="3"/>
  <c r="H3" i="3"/>
  <c r="K1" i="3"/>
  <c r="K10" i="3" s="1"/>
  <c r="J1" i="3"/>
  <c r="J10" i="3" s="1"/>
  <c r="I1" i="3"/>
  <c r="I7" i="3" s="1"/>
  <c r="H1" i="3"/>
  <c r="H7" i="3" s="1"/>
  <c r="G1" i="3"/>
  <c r="G3" i="3" s="1"/>
  <c r="F1" i="3"/>
  <c r="F3" i="3" s="1"/>
  <c r="E1" i="3"/>
  <c r="E4" i="3" s="1"/>
  <c r="D1" i="3"/>
  <c r="D10" i="3" s="1"/>
  <c r="N5" i="3" l="1"/>
  <c r="O5" i="3" s="1"/>
  <c r="P5" i="3" s="1"/>
  <c r="Q5" i="3" s="1"/>
  <c r="R5" i="3" s="1"/>
  <c r="S5" i="3" s="1"/>
  <c r="T5" i="3" s="1"/>
  <c r="U5" i="3" s="1"/>
  <c r="C21" i="3"/>
  <c r="C20" i="3"/>
  <c r="K11" i="3"/>
  <c r="L11" i="3" s="1"/>
  <c r="N11" i="3" s="1"/>
  <c r="O11" i="3" s="1"/>
  <c r="P11" i="3" s="1"/>
  <c r="Q11" i="3" s="1"/>
  <c r="R11" i="3" s="1"/>
  <c r="S11" i="3" s="1"/>
  <c r="T11" i="3" s="1"/>
  <c r="U11" i="3" s="1"/>
  <c r="H13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I8" i="3"/>
  <c r="E11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J7" i="3"/>
  <c r="I3" i="3"/>
  <c r="G4" i="3"/>
  <c r="G5" i="3" s="1"/>
  <c r="K7" i="3"/>
  <c r="F10" i="3"/>
  <c r="F11" i="3" s="1"/>
  <c r="C31" i="5"/>
  <c r="L1" i="3"/>
  <c r="J3" i="3"/>
  <c r="H4" i="3"/>
  <c r="H5" i="3" s="1"/>
  <c r="D7" i="3"/>
  <c r="G10" i="3"/>
  <c r="H11" i="3" s="1"/>
  <c r="G31" i="5"/>
  <c r="D3" i="3"/>
  <c r="J4" i="3"/>
  <c r="J5" i="3" s="1"/>
  <c r="F7" i="3"/>
  <c r="I10" i="3"/>
  <c r="I11" i="3" s="1"/>
  <c r="E7" i="3"/>
  <c r="E3" i="3"/>
  <c r="K4" i="3"/>
  <c r="G7" i="3"/>
  <c r="D4" i="3"/>
  <c r="E5" i="3" s="1"/>
  <c r="I5" i="3" l="1"/>
  <c r="L3" i="3"/>
  <c r="M1" i="3"/>
  <c r="I13" i="3"/>
  <c r="J8" i="3"/>
  <c r="J13" i="3"/>
  <c r="F8" i="3"/>
  <c r="F13" i="3"/>
  <c r="G13" i="3"/>
  <c r="G8" i="3"/>
  <c r="K8" i="3"/>
  <c r="K13" i="3"/>
  <c r="J11" i="3"/>
  <c r="E8" i="3"/>
  <c r="E13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G11" i="3"/>
  <c r="D8" i="3"/>
  <c r="D13" i="3"/>
  <c r="H8" i="3"/>
  <c r="M3" i="3" l="1"/>
  <c r="N1" i="3"/>
  <c r="N3" i="3" l="1"/>
  <c r="O1" i="3"/>
  <c r="M8" i="3"/>
  <c r="L7" i="3"/>
  <c r="L13" i="3" s="1"/>
  <c r="L14" i="3" s="1"/>
  <c r="N8" i="3" l="1"/>
  <c r="M7" i="3"/>
  <c r="M13" i="3" s="1"/>
  <c r="M14" i="3" s="1"/>
  <c r="O3" i="3"/>
  <c r="P1" i="3"/>
  <c r="Q1" i="3" l="1"/>
  <c r="P3" i="3"/>
  <c r="N7" i="3"/>
  <c r="N13" i="3" s="1"/>
  <c r="N14" i="3" s="1"/>
  <c r="O8" i="3"/>
  <c r="O7" i="3" l="1"/>
  <c r="O13" i="3" s="1"/>
  <c r="O14" i="3" s="1"/>
  <c r="P8" i="3"/>
  <c r="R1" i="3"/>
  <c r="Q3" i="3"/>
  <c r="R3" i="3" l="1"/>
  <c r="S1" i="3"/>
  <c r="P7" i="3"/>
  <c r="P13" i="3" s="1"/>
  <c r="P14" i="3" s="1"/>
  <c r="Q8" i="3"/>
  <c r="Q7" i="3" l="1"/>
  <c r="Q13" i="3" s="1"/>
  <c r="Q14" i="3" s="1"/>
  <c r="R8" i="3"/>
  <c r="S3" i="3"/>
  <c r="T1" i="3"/>
  <c r="T3" i="3" l="1"/>
  <c r="U1" i="3"/>
  <c r="U3" i="3" s="1"/>
  <c r="S8" i="3"/>
  <c r="R7" i="3"/>
  <c r="R13" i="3" s="1"/>
  <c r="R14" i="3" s="1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<sst xmlns="http://schemas.openxmlformats.org/spreadsheetml/2006/main" count="257" uniqueCount="239">
  <si>
    <t>This sheet contains FactSet XML data for use with this workbook's =FDS codes.  Modifying the worksheet's contents may damage the workbook's =FDS functionality.</t>
  </si>
  <si>
    <t>MU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</si>
  <si>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</si>
  <si>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</si>
  <si>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</si>
  <si>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</si>
  <si>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</si>
  <si>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</si>
  <si>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</si>
  <si>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</si>
  <si>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</si>
  <si>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</si>
  <si>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</si>
  <si>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</si>
  <si>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</si>
  <si>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</si>
  <si>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</si>
  <si>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</si>
  <si>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</si>
  <si>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</si>
  <si>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</si>
  <si>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</si>
  <si>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</si>
  <si>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</si>
  <si>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</si>
  <si>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</si>
  <si>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</si>
  <si>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</si>
  <si>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</si>
  <si>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</si>
  <si>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</si>
  <si>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</si>
  <si>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</si>
  <si>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2024-11-29</t>
  </si>
  <si>
    <t>2024-08-29</t>
  </si>
  <si>
    <t>2024-05-30</t>
  </si>
  <si>
    <t>2024-02-29</t>
  </si>
  <si>
    <t>2023-11-30</t>
  </si>
  <si>
    <t>2023-08-31</t>
  </si>
  <si>
    <t>2023-06-01</t>
  </si>
  <si>
    <t>2023-03-02</t>
  </si>
  <si>
    <t>2022-12-01</t>
  </si>
  <si>
    <t>2022-09-01</t>
  </si>
  <si>
    <t>2022-06-02</t>
  </si>
  <si>
    <t>2022-03-03</t>
  </si>
  <si>
    <t>2021-12-02</t>
  </si>
  <si>
    <t>2021-09-02</t>
  </si>
  <si>
    <t>2021-06-03</t>
  </si>
  <si>
    <t>2021-03-04</t>
  </si>
  <si>
    <t>2020-12-03</t>
  </si>
  <si>
    <t>2020-09-03</t>
  </si>
  <si>
    <t>2020-05-28</t>
  </si>
  <si>
    <t>2020-02-27</t>
  </si>
  <si>
    <t>2019-11-28</t>
  </si>
  <si>
    <t>2019-08-29</t>
  </si>
  <si>
    <t>2019-05-30</t>
  </si>
  <si>
    <t>2019-02-28</t>
  </si>
  <si>
    <t>2018-11-29</t>
  </si>
  <si>
    <t>2018-08-30</t>
  </si>
  <si>
    <t>2018-05-31</t>
  </si>
  <si>
    <t>2018-03-01</t>
  </si>
  <si>
    <t>2017-11-30</t>
  </si>
  <si>
    <t>2017-08-31</t>
  </si>
  <si>
    <t>2017-06-01</t>
  </si>
  <si>
    <t>2017-03-02</t>
  </si>
  <si>
    <t>2016-12-01</t>
  </si>
  <si>
    <t>2016-09-01</t>
  </si>
  <si>
    <t>2016-06-02</t>
  </si>
  <si>
    <t>2016-03-03</t>
  </si>
  <si>
    <t>2015-12-03</t>
  </si>
  <si>
    <t>2015-09-03</t>
  </si>
  <si>
    <t>2015-06-04</t>
  </si>
  <si>
    <t>2015-03-05</t>
  </si>
  <si>
    <t>2014-12-04</t>
  </si>
  <si>
    <t>2014-08-28</t>
  </si>
  <si>
    <t>2014-05-29</t>
  </si>
  <si>
    <t>2014-02-27</t>
  </si>
  <si>
    <t>2013-11-28</t>
  </si>
  <si>
    <t>2013-08-29</t>
  </si>
  <si>
    <t>2013-05-30</t>
  </si>
  <si>
    <t>2013-02-28</t>
  </si>
  <si>
    <t>2012-11-29</t>
  </si>
  <si>
    <t>2012-08-30</t>
  </si>
  <si>
    <t>2012-05-31</t>
  </si>
  <si>
    <t>2012-03-01</t>
  </si>
  <si>
    <t>2011-12-01</t>
  </si>
  <si>
    <t>2011-09-01</t>
  </si>
  <si>
    <t>2011-06-02</t>
  </si>
  <si>
    <t>2011-03-03</t>
  </si>
  <si>
    <t>2010-12-02</t>
  </si>
  <si>
    <t>2010-09-02</t>
  </si>
  <si>
    <t>2010-06-03</t>
  </si>
  <si>
    <t>2010-03-04</t>
  </si>
  <si>
    <t>2009-12-03</t>
  </si>
  <si>
    <t>2009-09-03</t>
  </si>
  <si>
    <t>2009-06-04</t>
  </si>
  <si>
    <t>2009-03-05</t>
  </si>
  <si>
    <t>2008-12-04</t>
  </si>
  <si>
    <t>2008-10-08</t>
  </si>
  <si>
    <t>2008-07-08</t>
  </si>
  <si>
    <t>2008-06-26</t>
  </si>
  <si>
    <t>2008-02-28</t>
  </si>
  <si>
    <t>2007-11-29</t>
  </si>
  <si>
    <t>2007-10-12</t>
  </si>
  <si>
    <t>2007-07-12</t>
  </si>
  <si>
    <t>2007-05-31</t>
  </si>
  <si>
    <t>2007-03-01</t>
  </si>
  <si>
    <t>2006-11-30</t>
  </si>
  <si>
    <t>2006-08-31</t>
  </si>
  <si>
    <t>2006-06-01</t>
  </si>
  <si>
    <t>2006-03-02</t>
  </si>
  <si>
    <t>2005-12-01</t>
  </si>
  <si>
    <t>2005-09-01</t>
  </si>
  <si>
    <t>2005-06-02</t>
  </si>
  <si>
    <t>2005-03-03</t>
  </si>
  <si>
    <t>2004-12-02</t>
  </si>
  <si>
    <t>2004-09-02</t>
  </si>
  <si>
    <t>2004-06-03</t>
  </si>
  <si>
    <t>2004-03-04</t>
  </si>
  <si>
    <t>2003-12-04</t>
  </si>
  <si>
    <t>2003-08-28</t>
  </si>
  <si>
    <t>2003-05-29</t>
  </si>
  <si>
    <t>2003-02-27</t>
  </si>
  <si>
    <t>2002-11-28</t>
  </si>
  <si>
    <t>2002-08-29</t>
  </si>
  <si>
    <t>2002-05-30</t>
  </si>
  <si>
    <t>2002-02-28</t>
  </si>
  <si>
    <t>2001-11-29</t>
  </si>
  <si>
    <t>2001-08-30</t>
  </si>
  <si>
    <t>2001-05-31</t>
  </si>
  <si>
    <t>2001-03-01</t>
  </si>
  <si>
    <t>2000-11-30</t>
  </si>
  <si>
    <t>2000-08-31</t>
  </si>
  <si>
    <t>2000-07-31</t>
  </si>
  <si>
    <t>2000-05-01</t>
  </si>
  <si>
    <t>2000-03-02</t>
  </si>
  <si>
    <t>1999-12-02</t>
  </si>
  <si>
    <t>1999-09-02</t>
  </si>
  <si>
    <t>1999-06-03</t>
  </si>
  <si>
    <t>1999-03-04</t>
  </si>
  <si>
    <t>1998-12-03</t>
  </si>
  <si>
    <t>1998-09-03</t>
  </si>
  <si>
    <t>1998-05-28</t>
  </si>
  <si>
    <t>1998-02-26</t>
  </si>
  <si>
    <t>1997-11-27</t>
  </si>
  <si>
    <t>1997-08-28</t>
  </si>
  <si>
    <t>1997-05-29</t>
  </si>
  <si>
    <t>1997-02-27</t>
  </si>
  <si>
    <t>1996-11-28</t>
  </si>
  <si>
    <t>1996-08-29</t>
  </si>
  <si>
    <t>1996-05-30</t>
  </si>
  <si>
    <t>1996-02-29</t>
  </si>
  <si>
    <t>1995-11-30</t>
  </si>
  <si>
    <t>1995-08-31</t>
  </si>
  <si>
    <t>1995-06-01</t>
  </si>
  <si>
    <t>1995-03-02</t>
  </si>
  <si>
    <t>1994-12-01</t>
  </si>
  <si>
    <t>1994-09-01</t>
  </si>
  <si>
    <t>1994-06-02</t>
  </si>
  <si>
    <t>1994-03-03</t>
  </si>
  <si>
    <t>1993-11-30</t>
  </si>
  <si>
    <t>1993-08-31</t>
  </si>
  <si>
    <t>1993-05-31</t>
  </si>
  <si>
    <t>1993-02-28</t>
  </si>
  <si>
    <t>1992-11-30</t>
  </si>
  <si>
    <t>1992-08-31</t>
  </si>
  <si>
    <t>1992-05-31</t>
  </si>
  <si>
    <t>1992-02-29</t>
  </si>
  <si>
    <t>1991-11-30</t>
  </si>
  <si>
    <t>1991-08-31</t>
  </si>
  <si>
    <t>1991-05-31</t>
  </si>
  <si>
    <t>1991-02-28</t>
  </si>
  <si>
    <t>1990-11-30</t>
  </si>
  <si>
    <t>1990-08-31</t>
  </si>
  <si>
    <t>1990-05-31</t>
  </si>
  <si>
    <t>1990-02-28</t>
  </si>
  <si>
    <t>1989-11-30</t>
  </si>
  <si>
    <t>1989-08-31</t>
  </si>
  <si>
    <t>1989-05-31</t>
  </si>
  <si>
    <t>1989-02-28</t>
  </si>
  <si>
    <t>1988-11-30</t>
  </si>
  <si>
    <t>1988-08-31</t>
  </si>
  <si>
    <t>1988-05-31</t>
  </si>
  <si>
    <t>1988-02-29</t>
  </si>
  <si>
    <t>1987-11-30</t>
  </si>
  <si>
    <t>1987-08-31</t>
  </si>
  <si>
    <t>1987-05-31</t>
  </si>
  <si>
    <t>1987-02-28</t>
  </si>
  <si>
    <t>1986-11-30</t>
  </si>
  <si>
    <t>1986-08-31</t>
  </si>
  <si>
    <t>1986-05-31</t>
  </si>
  <si>
    <t>1986-02-28</t>
  </si>
  <si>
    <t>1985-11-30</t>
  </si>
  <si>
    <t>1985-08-31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</si>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</sst>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24285000000</v>
      </c>
    </row>
    <row r="3" spans="1:2" x14ac:dyDescent="0.25">
      <c r="A3" s="73" t="s">
        <v>3</v>
      </c>
      <c r="B3">
        <v>11237000000</v>
      </c>
    </row>
    <row r="4" spans="1:2" x14ac:dyDescent="0.25">
      <c r="A4" s="73" t="s">
        <v>4</v>
      </c>
      <c r="B4">
        <v>0.1993506954300312</v>
      </c>
    </row>
    <row r="5" spans="1:2" x14ac:dyDescent="0.25">
      <c r="A5" s="73" t="s">
        <v>5</v>
      </c>
      <c r="B5">
        <v>5.0013348758565453E-2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45131000000</v>
      </c>
    </row>
    <row r="8" spans="1:2" x14ac:dyDescent="0.25">
      <c r="A8" s="73" t="s">
        <v>8</v>
      </c>
      <c r="B8">
        <v>0.80064930456996874</v>
      </c>
    </row>
    <row r="9" spans="1:2" x14ac:dyDescent="0.25">
      <c r="A9" s="73" t="s">
        <v>9</v>
      </c>
      <c r="B9">
        <v>0.13810574994135119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1.405742020436223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0.1184507273737425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K14" sqref="K1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2017-08-31</v>
      </c>
      <c r="E1" s="66" t="str">
        <f>Python!A27</f>
        <v>2018-08-30</v>
      </c>
      <c r="F1" s="66" t="str">
        <f>Python!A23</f>
        <v>2019-08-29</v>
      </c>
      <c r="G1" s="66" t="str">
        <f>Python!A19</f>
        <v>2020-09-03</v>
      </c>
      <c r="H1" s="66" t="str">
        <f>Python!A15</f>
        <v>2021-09-02</v>
      </c>
      <c r="I1" s="66" t="str">
        <f>Python!A11</f>
        <v>2022-09-01</v>
      </c>
      <c r="J1" s="66" t="str">
        <f>Python!A7</f>
        <v>2023-08-31</v>
      </c>
      <c r="K1" s="66" t="str">
        <f>Python!A3</f>
        <v>2024-08-29</v>
      </c>
      <c r="L1" s="28">
        <f t="shared" ref="L1:U1" si="0">EDATE(K1, 12)</f>
        <v>45898</v>
      </c>
      <c r="M1" s="28">
        <f t="shared" si="0"/>
        <v>46263</v>
      </c>
      <c r="N1" s="28">
        <f t="shared" si="0"/>
        <v>46628</v>
      </c>
      <c r="O1" s="28">
        <f t="shared" si="0"/>
        <v>46994</v>
      </c>
      <c r="P1" s="28">
        <f t="shared" si="0"/>
        <v>47359</v>
      </c>
      <c r="Q1" s="28">
        <f t="shared" si="0"/>
        <v>47724</v>
      </c>
      <c r="R1" s="28">
        <f t="shared" si="0"/>
        <v>48089</v>
      </c>
      <c r="S1" s="28">
        <f t="shared" si="0"/>
        <v>48455</v>
      </c>
      <c r="T1" s="28">
        <f t="shared" si="0"/>
        <v>48820</v>
      </c>
      <c r="U1" s="28">
        <f t="shared" si="0"/>
        <v>49185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20322</v>
      </c>
      <c r="E4" s="36">
        <f>IFERROR(INDEX(Python!$1:$1048576,MATCH(DCF_Simple!E$1,Python!$A:$A,0),MATCH(DCF_Simple!$B4,Python!$1:$1,0))/1000000,0)</f>
        <v>30391</v>
      </c>
      <c r="F4" s="36">
        <f>IFERROR(INDEX(Python!$1:$1048576,MATCH(DCF_Simple!F$1,Python!$A:$A,0),MATCH(DCF_Simple!$B4,Python!$1:$1,0))/1000000,0)</f>
        <v>23406</v>
      </c>
      <c r="G4" s="36">
        <f>IFERROR(INDEX(Python!$1:$1048576,MATCH(DCF_Simple!G$1,Python!$A:$A,0),MATCH(DCF_Simple!$B4,Python!$1:$1,0))/1000000,0)</f>
        <v>21435</v>
      </c>
      <c r="H4" s="36">
        <f>IFERROR(INDEX(Python!$1:$1048576,MATCH(DCF_Simple!H$1,Python!$A:$A,0),MATCH(DCF_Simple!$B4,Python!$1:$1,0))/1000000,0)</f>
        <v>27705</v>
      </c>
      <c r="I4" s="36">
        <f>IFERROR(INDEX(Python!$1:$1048576,MATCH(DCF_Simple!I$1,Python!$A:$A,0),MATCH(DCF_Simple!$B4,Python!$1:$1,0))/1000000,0)</f>
        <v>30758</v>
      </c>
      <c r="J4" s="36">
        <f>IFERROR(INDEX(Python!$1:$1048576,MATCH(DCF_Simple!J$1,Python!$A:$A,0),MATCH(DCF_Simple!$B4,Python!$1:$1,0))/1000000,0)</f>
        <v>15540</v>
      </c>
      <c r="K4" s="55">
        <f>IFERROR(INDEX(Python!$1:$1048576,MATCH(DCF_Simple!K$1,Python!$A:$A,0),MATCH(DCF_Simple!$B4,Python!$1:$1,0))/1000000,0)</f>
        <v>25111</v>
      </c>
      <c r="L4" s="37">
        <f t="shared" ref="L4:U4" si="2">K4*(1+L5)</f>
        <v>46336.596117223868</v>
      </c>
      <c r="M4" s="36">
        <f t="shared" si="2"/>
        <v>50688.48207526403</v>
      </c>
      <c r="N4" s="36">
        <f t="shared" si="2"/>
        <v>55449.092734270023</v>
      </c>
      <c r="O4" s="36">
        <f t="shared" si="2"/>
        <v>60656.815102263281</v>
      </c>
      <c r="P4" s="36">
        <f t="shared" si="2"/>
        <v>66353.641455998324</v>
      </c>
      <c r="Q4" s="36">
        <f t="shared" si="2"/>
        <v>72585.507944133686</v>
      </c>
      <c r="R4" s="36">
        <f t="shared" si="2"/>
        <v>79402.664991668091</v>
      </c>
      <c r="S4" s="36">
        <f t="shared" si="2"/>
        <v>86860.082492384376</v>
      </c>
      <c r="T4" s="36">
        <f t="shared" si="2"/>
        <v>95017.893056555447</v>
      </c>
      <c r="U4" s="36">
        <f t="shared" si="2"/>
        <v>103941.87688802381</v>
      </c>
      <c r="V4" s="19">
        <f>U4</f>
        <v>103941.87688802381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0.49547288652691668</v>
      </c>
      <c r="F5" s="42">
        <f t="shared" si="3"/>
        <v>-0.22983778092198348</v>
      </c>
      <c r="G5" s="42">
        <f t="shared" si="3"/>
        <v>-8.4209177134068169E-2</v>
      </c>
      <c r="H5" s="42">
        <f t="shared" si="3"/>
        <v>0.29251224632610207</v>
      </c>
      <c r="I5" s="42">
        <f t="shared" si="3"/>
        <v>0.11019671539433307</v>
      </c>
      <c r="J5" s="42">
        <f t="shared" si="3"/>
        <v>-0.4947655894401457</v>
      </c>
      <c r="K5" s="58">
        <f t="shared" si="3"/>
        <v>0.61589446589446584</v>
      </c>
      <c r="L5" s="43">
        <f>Python!F2</f>
        <v>0.84527084214980963</v>
      </c>
      <c r="M5" s="43">
        <f>L5/9</f>
        <v>9.3918982461089956E-2</v>
      </c>
      <c r="N5" s="38">
        <f t="shared" ref="N5:U5" si="4">M5</f>
        <v>9.3918982461089956E-2</v>
      </c>
      <c r="O5" s="38">
        <f t="shared" si="4"/>
        <v>9.3918982461089956E-2</v>
      </c>
      <c r="P5" s="38">
        <f t="shared" si="4"/>
        <v>9.3918982461089956E-2</v>
      </c>
      <c r="Q5" s="38">
        <f t="shared" si="4"/>
        <v>9.3918982461089956E-2</v>
      </c>
      <c r="R5" s="38">
        <f t="shared" si="4"/>
        <v>9.3918982461089956E-2</v>
      </c>
      <c r="S5" s="38">
        <f t="shared" si="4"/>
        <v>9.3918982461089956E-2</v>
      </c>
      <c r="T5" s="38">
        <f t="shared" si="4"/>
        <v>9.3918982461089956E-2</v>
      </c>
      <c r="U5" s="38">
        <f t="shared" si="4"/>
        <v>9.3918982461089956E-2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2900</v>
      </c>
      <c r="E7" s="52">
        <f>IFERROR(INDEX(Python!$1:$1048576,MATCH(DCF_Simple!E$1,Python!$A:$A,0),MATCH(DCF_Simple!$B7,Python!$1:$1,0))/1000000,0)</f>
        <v>8315</v>
      </c>
      <c r="F7" s="52">
        <f>IFERROR(INDEX(Python!$1:$1048576,MATCH(DCF_Simple!F$1,Python!$A:$A,0),MATCH(DCF_Simple!$B7,Python!$1:$1,0))/1000000,0)</f>
        <v>3334</v>
      </c>
      <c r="G7" s="52">
        <f>IFERROR(INDEX(Python!$1:$1048576,MATCH(DCF_Simple!G$1,Python!$A:$A,0),MATCH(DCF_Simple!$B7,Python!$1:$1,0))/1000000,0)</f>
        <v>83</v>
      </c>
      <c r="H7" s="52">
        <f>IFERROR(INDEX(Python!$1:$1048576,MATCH(DCF_Simple!H$1,Python!$A:$A,0),MATCH(DCF_Simple!$B7,Python!$1:$1,0))/1000000,0)</f>
        <v>2438</v>
      </c>
      <c r="I7" s="52">
        <f>IFERROR(INDEX(Python!$1:$1048576,MATCH(DCF_Simple!I$1,Python!$A:$A,0),MATCH(DCF_Simple!$B7,Python!$1:$1,0))/1000000,0)</f>
        <v>3114</v>
      </c>
      <c r="J7" s="52">
        <f>IFERROR(INDEX(Python!$1:$1048576,MATCH(DCF_Simple!J$1,Python!$A:$A,0),MATCH(DCF_Simple!$B7,Python!$1:$1,0))/1000000,0)</f>
        <v>-6117</v>
      </c>
      <c r="K7" s="57">
        <f>IFERROR(INDEX(Python!$1:$1048576,MATCH(DCF_Simple!K$1,Python!$A:$A,0),MATCH(DCF_Simple!$B7,Python!$1:$1,0))/1000000,0)</f>
        <v>121</v>
      </c>
      <c r="L7" s="64">
        <f t="shared" ref="L7:U7" si="5">L8*L4</f>
        <v>4205.5937824015755</v>
      </c>
      <c r="M7" s="64">
        <f t="shared" si="5"/>
        <v>4600.5788710894185</v>
      </c>
      <c r="N7" s="64">
        <f t="shared" si="5"/>
        <v>5032.660557394126</v>
      </c>
      <c r="O7" s="64">
        <f t="shared" si="5"/>
        <v>5505.3229160166447</v>
      </c>
      <c r="P7" s="64">
        <f t="shared" si="5"/>
        <v>6022.3772424086483</v>
      </c>
      <c r="Q7" s="64">
        <f t="shared" si="5"/>
        <v>6587.9927850124941</v>
      </c>
      <c r="R7" s="64">
        <f t="shared" si="5"/>
        <v>7206.7303638418698</v>
      </c>
      <c r="S7" s="64">
        <f t="shared" si="5"/>
        <v>7883.5791464853401</v>
      </c>
      <c r="T7" s="64">
        <f t="shared" si="5"/>
        <v>8623.9968780747113</v>
      </c>
      <c r="U7" s="64">
        <f t="shared" si="5"/>
        <v>9433.9538896111044</v>
      </c>
      <c r="V7" s="65">
        <f>U7</f>
        <v>9433.9538896111044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0.14270248991241019</v>
      </c>
      <c r="E8" s="42">
        <f t="shared" si="6"/>
        <v>0.2736007370603139</v>
      </c>
      <c r="F8" s="42">
        <f t="shared" si="6"/>
        <v>0.14244210886097583</v>
      </c>
      <c r="G8" s="42">
        <f t="shared" si="6"/>
        <v>3.8721716818287846E-3</v>
      </c>
      <c r="H8" s="42">
        <f t="shared" si="6"/>
        <v>8.7998556217289303E-2</v>
      </c>
      <c r="I8" s="42">
        <f t="shared" si="6"/>
        <v>0.10124195331295922</v>
      </c>
      <c r="J8" s="42">
        <f t="shared" si="6"/>
        <v>-0.39362934362934365</v>
      </c>
      <c r="K8" s="58">
        <f t="shared" si="6"/>
        <v>4.8186053920592567E-3</v>
      </c>
      <c r="L8" s="38">
        <f>AVERAGE(D8:K8)*2</f>
        <v>9.0761819702123214E-2</v>
      </c>
      <c r="M8" s="38">
        <f t="shared" ref="M8:U8" si="7">L8</f>
        <v>9.0761819702123214E-2</v>
      </c>
      <c r="N8" s="38">
        <f t="shared" si="7"/>
        <v>9.0761819702123214E-2</v>
      </c>
      <c r="O8" s="38">
        <f t="shared" si="7"/>
        <v>9.0761819702123214E-2</v>
      </c>
      <c r="P8" s="38">
        <f t="shared" si="7"/>
        <v>9.0761819702123214E-2</v>
      </c>
      <c r="Q8" s="38">
        <f t="shared" si="7"/>
        <v>9.0761819702123214E-2</v>
      </c>
      <c r="R8" s="38">
        <f t="shared" si="7"/>
        <v>9.0761819702123214E-2</v>
      </c>
      <c r="S8" s="38">
        <f t="shared" si="7"/>
        <v>9.0761819702123214E-2</v>
      </c>
      <c r="T8" s="38">
        <f t="shared" si="7"/>
        <v>9.0761819702123214E-2</v>
      </c>
      <c r="U8" s="38">
        <f t="shared" si="7"/>
        <v>9.0761819702123214E-2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1187</v>
      </c>
      <c r="E10" s="17">
        <f>IFERROR(INDEX(Python!$1:$1048576,MATCH(DCF_Simple!E$1,Python!$A:$A,0),MATCH(DCF_Simple!$B10,Python!$1:$1,0))/1000000,0)</f>
        <v>1216</v>
      </c>
      <c r="F10" s="17">
        <f>IFERROR(INDEX(Python!$1:$1048576,MATCH(DCF_Simple!F$1,Python!$A:$A,0),MATCH(DCF_Simple!$B10,Python!$1:$1,0))/1000000,0)</f>
        <v>1128</v>
      </c>
      <c r="G10" s="17">
        <f>IFERROR(INDEX(Python!$1:$1048576,MATCH(DCF_Simple!G$1,Python!$A:$A,0),MATCH(DCF_Simple!$B10,Python!$1:$1,0))/1000000,0)</f>
        <v>1131</v>
      </c>
      <c r="H10" s="17">
        <f>IFERROR(INDEX(Python!$1:$1048576,MATCH(DCF_Simple!H$1,Python!$A:$A,0),MATCH(DCF_Simple!$B10,Python!$1:$1,0))/1000000,0)</f>
        <v>1138</v>
      </c>
      <c r="I10" s="17">
        <f>IFERROR(INDEX(Python!$1:$1048576,MATCH(DCF_Simple!I$1,Python!$A:$A,0),MATCH(DCF_Simple!$B10,Python!$1:$1,0))/1000000,0)</f>
        <v>1106</v>
      </c>
      <c r="J10" s="17">
        <f>IFERROR(INDEX(Python!$1:$1048576,MATCH(DCF_Simple!J$1,Python!$A:$A,0),MATCH(DCF_Simple!$B10,Python!$1:$1,0))/1000000,0)</f>
        <v>1095</v>
      </c>
      <c r="K10" s="69">
        <f>IFERROR(INDEX(Python!$1:$1048576,MATCH(DCF_Simple!K$1,Python!$A:$A,0),MATCH(DCF_Simple!$B10,Python!$1:$1,0))/1000000,0)</f>
        <v>1125</v>
      </c>
      <c r="L10" s="17">
        <f t="shared" ref="L10:U10" si="8">K10*(1+L11)</f>
        <v>1155.8219178082193</v>
      </c>
      <c r="M10" s="17">
        <f t="shared" si="8"/>
        <v>1147.6062873899129</v>
      </c>
      <c r="N10" s="17">
        <f t="shared" si="8"/>
        <v>1139.4490540154161</v>
      </c>
      <c r="O10" s="17">
        <f t="shared" si="8"/>
        <v>1131.3498025961048</v>
      </c>
      <c r="P10" s="17">
        <f t="shared" si="8"/>
        <v>1123.3081209938223</v>
      </c>
      <c r="Q10" s="17">
        <f t="shared" si="8"/>
        <v>1115.3235999999069</v>
      </c>
      <c r="R10" s="17">
        <f t="shared" si="8"/>
        <v>1107.3958333143694</v>
      </c>
      <c r="S10" s="17">
        <f t="shared" si="8"/>
        <v>1099.5244175252178</v>
      </c>
      <c r="T10" s="17">
        <f t="shared" si="8"/>
        <v>1091.7089520879292</v>
      </c>
      <c r="U10" s="17">
        <f t="shared" si="8"/>
        <v>1083.9490393050683</v>
      </c>
      <c r="V10" s="70">
        <f>U10</f>
        <v>1083.9490393050683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2.4431339511373107E-2</v>
      </c>
      <c r="F11" s="42">
        <f t="shared" si="9"/>
        <v>-7.2368421052631526E-2</v>
      </c>
      <c r="G11" s="42">
        <f t="shared" si="9"/>
        <v>2.6595744680850686E-3</v>
      </c>
      <c r="H11" s="42">
        <f t="shared" si="9"/>
        <v>6.1892130857648109E-3</v>
      </c>
      <c r="I11" s="42">
        <f t="shared" si="9"/>
        <v>-2.8119507908611618E-2</v>
      </c>
      <c r="J11" s="42">
        <f t="shared" si="9"/>
        <v>-9.9457504520795714E-3</v>
      </c>
      <c r="K11" s="58">
        <f t="shared" si="9"/>
        <v>2.7397260273972712E-2</v>
      </c>
      <c r="L11" s="67">
        <f t="shared" ref="L11:U11" si="10">K11</f>
        <v>2.7397260273972712E-2</v>
      </c>
      <c r="M11" s="67">
        <f>AVERAGE(E11:K11)</f>
        <v>-7.1080417248752881E-3</v>
      </c>
      <c r="N11" s="67">
        <f t="shared" si="10"/>
        <v>-7.1080417248752881E-3</v>
      </c>
      <c r="O11" s="67">
        <f t="shared" si="10"/>
        <v>-7.1080417248752881E-3</v>
      </c>
      <c r="P11" s="67">
        <f t="shared" si="10"/>
        <v>-7.1080417248752881E-3</v>
      </c>
      <c r="Q11" s="67">
        <f t="shared" si="10"/>
        <v>-7.1080417248752881E-3</v>
      </c>
      <c r="R11" s="67">
        <f t="shared" si="10"/>
        <v>-7.1080417248752881E-3</v>
      </c>
      <c r="S11" s="67">
        <f t="shared" si="10"/>
        <v>-7.1080417248752881E-3</v>
      </c>
      <c r="T11" s="67">
        <f t="shared" si="10"/>
        <v>-7.1080417248752881E-3</v>
      </c>
      <c r="U11" s="67">
        <f t="shared" si="10"/>
        <v>-7.1080417248752881E-3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2.4431339511373209</v>
      </c>
      <c r="E13" s="53">
        <f t="shared" si="11"/>
        <v>6.8379934210526319</v>
      </c>
      <c r="F13" s="53">
        <f t="shared" si="11"/>
        <v>2.9556737588652484</v>
      </c>
      <c r="G13" s="53">
        <f t="shared" si="11"/>
        <v>7.3386383731211313E-2</v>
      </c>
      <c r="H13" s="53">
        <f t="shared" si="11"/>
        <v>2.1423550087873462</v>
      </c>
      <c r="I13" s="53">
        <f t="shared" si="11"/>
        <v>2.8155515370705242</v>
      </c>
      <c r="J13" s="53">
        <f t="shared" si="11"/>
        <v>-5.5863013698630137</v>
      </c>
      <c r="K13" s="59">
        <f t="shared" si="11"/>
        <v>0.10755555555555556</v>
      </c>
      <c r="L13" s="53">
        <f t="shared" ref="L13:U13" si="12">L7/L10</f>
        <v>3.6386174354407701</v>
      </c>
      <c r="M13" s="53">
        <f t="shared" si="12"/>
        <v>4.0088477395438993</v>
      </c>
      <c r="N13" s="53">
        <f t="shared" si="12"/>
        <v>4.4167490768095696</v>
      </c>
      <c r="O13" s="53">
        <f t="shared" si="12"/>
        <v>4.8661544850086136</v>
      </c>
      <c r="P13" s="53">
        <f t="shared" si="12"/>
        <v>5.3612870145374556</v>
      </c>
      <c r="Q13" s="53">
        <f t="shared" si="12"/>
        <v>5.9067994123078211</v>
      </c>
      <c r="R13" s="53">
        <f t="shared" si="12"/>
        <v>6.5078178434829015</v>
      </c>
      <c r="S13" s="53">
        <f t="shared" si="12"/>
        <v>7.1699900619119523</v>
      </c>
      <c r="T13" s="53">
        <f t="shared" si="12"/>
        <v>7.8995384819195937</v>
      </c>
      <c r="U13" s="53">
        <f t="shared" si="12"/>
        <v>8.7033186501639577</v>
      </c>
      <c r="V13" s="71">
        <f>U13*(1+WACC!$B$13)/(WACC!$B$14-WACC!$B$13)</f>
        <v>90.17084240999624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3.2532657419649444</v>
      </c>
      <c r="M14" s="62">
        <f>M13/((1+WACC!$B$14)^(M3-$K$3))</f>
        <v>3.2046886999486435</v>
      </c>
      <c r="N14" s="62">
        <f>N13/((1+WACC!$B$14)^(N3-$K$3))</f>
        <v>3.1568369995423464</v>
      </c>
      <c r="O14" s="62">
        <f>O13/((1+WACC!$B$14)^(O3-$K$3))</f>
        <v>3.1096998101061213</v>
      </c>
      <c r="P14" s="62">
        <f>P13/((1+WACC!$B$14)^(P3-$K$3))</f>
        <v>3.0632664627207418</v>
      </c>
      <c r="Q14" s="62">
        <f>Q13/((1+WACC!$B$14)^(Q3-$K$3))</f>
        <v>3.0175264477729193</v>
      </c>
      <c r="R14" s="62">
        <f>R13/((1+WACC!$B$14)^(R3-$K$3))</f>
        <v>2.972469412576578</v>
      </c>
      <c r="S14" s="62">
        <f>S13/((1+WACC!$B$14)^(S3-$K$3))</f>
        <v>2.9280851590296506</v>
      </c>
      <c r="T14" s="62">
        <f>T13/((1+WACC!$B$14)^(T3-$K$3))</f>
        <v>2.8843636413058684</v>
      </c>
      <c r="U14" s="62">
        <f>U13/((1+WACC!$B$14)^(U3-$K$3))</f>
        <v>2.841294963581011</v>
      </c>
      <c r="V14" s="63">
        <f>V13/((1+WACC!$B$14)^(U3-$K$3))</f>
        <v>29.437272229088485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29.437272229088485</v>
      </c>
      <c r="L17" s="16">
        <f>C17/$C$19</f>
        <v>0.49169662984022827</v>
      </c>
      <c r="O17" s="18"/>
    </row>
    <row r="18" spans="2:22" x14ac:dyDescent="0.25">
      <c r="B18" s="8" t="s">
        <v>26</v>
      </c>
      <c r="C18" s="32">
        <f>SUM(14:14)-V14</f>
        <v>30.431497338548823</v>
      </c>
      <c r="K18" s="3"/>
      <c r="L18" s="16">
        <f>C18/$C$19</f>
        <v>0.50830337015977167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59.868769567637308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7.2053333333333329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9.9884444444444451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57.085658456526197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2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0.84527084214980963</v>
      </c>
    </row>
    <row r="3" spans="1:6" x14ac:dyDescent="0.25">
      <c r="A3" s="73" t="s">
        <v>34</v>
      </c>
      <c r="B3">
        <v>25111000000</v>
      </c>
      <c r="C3">
        <v>121000000</v>
      </c>
      <c r="D3">
        <v>1125000000</v>
      </c>
      <c r="E3">
        <v>8106000000</v>
      </c>
      <c r="F3">
        <v>0.90693429002493775</v>
      </c>
    </row>
    <row r="4" spans="1:6" x14ac:dyDescent="0.25">
      <c r="A4" s="73" t="s">
        <v>35</v>
      </c>
      <c r="B4">
        <v>21371000000</v>
      </c>
      <c r="C4">
        <v>-1376000000</v>
      </c>
      <c r="D4">
        <v>1123000000</v>
      </c>
      <c r="E4">
        <v>8379000000</v>
      </c>
      <c r="F4">
        <v>0.77736341231343276</v>
      </c>
    </row>
    <row r="5" spans="1:6" x14ac:dyDescent="0.25">
      <c r="A5" s="73" t="s">
        <v>36</v>
      </c>
      <c r="B5">
        <v>18312000000</v>
      </c>
      <c r="C5">
        <v>-3309000000</v>
      </c>
      <c r="D5">
        <v>1114000000</v>
      </c>
      <c r="E5">
        <v>9006000000</v>
      </c>
      <c r="F5">
        <v>0.44782479826699162</v>
      </c>
    </row>
    <row r="6" spans="1:6" x14ac:dyDescent="0.25">
      <c r="A6" s="73" t="s">
        <v>37</v>
      </c>
      <c r="B6">
        <v>16181000000</v>
      </c>
      <c r="C6">
        <v>-5006000000</v>
      </c>
      <c r="D6">
        <v>1100000000</v>
      </c>
      <c r="E6">
        <v>9048000000</v>
      </c>
      <c r="F6">
        <v>0.17731211750306011</v>
      </c>
    </row>
    <row r="7" spans="1:6" x14ac:dyDescent="0.25">
      <c r="A7" s="73" t="s">
        <v>38</v>
      </c>
      <c r="B7">
        <v>15540000000</v>
      </c>
      <c r="C7">
        <v>-6117000000</v>
      </c>
      <c r="D7">
        <v>1095000000</v>
      </c>
      <c r="E7">
        <v>9594000000</v>
      </c>
      <c r="F7">
        <v>-0.41135631491795882</v>
      </c>
    </row>
    <row r="8" spans="1:6" x14ac:dyDescent="0.25">
      <c r="A8" s="73" t="s">
        <v>39</v>
      </c>
      <c r="B8">
        <v>18173000000</v>
      </c>
      <c r="C8">
        <v>-4741000000</v>
      </c>
      <c r="D8">
        <v>1094000000</v>
      </c>
      <c r="E8">
        <v>10352000000</v>
      </c>
      <c r="F8">
        <v>-0.57808493404304562</v>
      </c>
    </row>
    <row r="9" spans="1:6" x14ac:dyDescent="0.25">
      <c r="A9" s="73" t="s">
        <v>40</v>
      </c>
      <c r="B9">
        <v>23063000000</v>
      </c>
      <c r="C9">
        <v>-1944000000</v>
      </c>
      <c r="D9">
        <v>1091000000</v>
      </c>
      <c r="E9">
        <v>10818000000</v>
      </c>
      <c r="F9">
        <v>-0.52239532494220398</v>
      </c>
    </row>
    <row r="10" spans="1:6" x14ac:dyDescent="0.25">
      <c r="A10" s="73" t="s">
        <v>41</v>
      </c>
      <c r="B10">
        <v>27156000000</v>
      </c>
      <c r="C10">
        <v>935000000</v>
      </c>
      <c r="D10">
        <v>1090000000</v>
      </c>
      <c r="E10">
        <v>10581000000</v>
      </c>
      <c r="F10">
        <v>-0.46388968388187851</v>
      </c>
    </row>
    <row r="11" spans="1:6" x14ac:dyDescent="0.25">
      <c r="A11" s="73" t="s">
        <v>42</v>
      </c>
      <c r="B11">
        <v>30758000000</v>
      </c>
      <c r="C11">
        <v>3114000000</v>
      </c>
      <c r="D11">
        <v>1106000000</v>
      </c>
      <c r="E11">
        <v>9331000000</v>
      </c>
    </row>
    <row r="12" spans="1:6" x14ac:dyDescent="0.25">
      <c r="A12" s="73" t="s">
        <v>43</v>
      </c>
      <c r="B12">
        <v>32389000000</v>
      </c>
      <c r="C12">
        <v>4819000000</v>
      </c>
      <c r="D12">
        <v>1121000000</v>
      </c>
      <c r="E12">
        <v>10227000000</v>
      </c>
      <c r="F12">
        <v>0.16337375370520071</v>
      </c>
    </row>
    <row r="13" spans="1:6" x14ac:dyDescent="0.25">
      <c r="A13" s="73" t="s">
        <v>44</v>
      </c>
      <c r="B13">
        <v>31169000000</v>
      </c>
      <c r="C13">
        <v>4860000000</v>
      </c>
      <c r="D13">
        <v>1130000000</v>
      </c>
      <c r="E13">
        <v>10122000000</v>
      </c>
      <c r="F13">
        <v>0.20430243745991031</v>
      </c>
    </row>
    <row r="14" spans="1:6" x14ac:dyDescent="0.25">
      <c r="A14" s="73" t="s">
        <v>45</v>
      </c>
      <c r="B14">
        <v>29619000000</v>
      </c>
      <c r="C14">
        <v>3882000000</v>
      </c>
      <c r="D14">
        <v>1130000000</v>
      </c>
      <c r="E14">
        <v>9580000000</v>
      </c>
      <c r="F14">
        <v>0.30249263814307992</v>
      </c>
    </row>
    <row r="15" spans="1:6" x14ac:dyDescent="0.25">
      <c r="A15" s="73" t="s">
        <v>46</v>
      </c>
      <c r="B15">
        <v>27705000000</v>
      </c>
      <c r="C15">
        <v>2438000000</v>
      </c>
      <c r="D15">
        <v>1138000000</v>
      </c>
      <c r="E15">
        <v>8633000000</v>
      </c>
    </row>
    <row r="16" spans="1:6" x14ac:dyDescent="0.25">
      <c r="A16" s="73" t="s">
        <v>47</v>
      </c>
      <c r="B16">
        <v>25487000000</v>
      </c>
      <c r="C16">
        <v>560000000</v>
      </c>
      <c r="D16">
        <v>1145000000</v>
      </c>
      <c r="E16">
        <v>8349000000</v>
      </c>
    </row>
    <row r="17" spans="1:6" x14ac:dyDescent="0.25">
      <c r="A17" s="73" t="s">
        <v>48</v>
      </c>
      <c r="B17">
        <v>23503000000</v>
      </c>
      <c r="C17">
        <v>-662000000</v>
      </c>
      <c r="D17">
        <v>1144000000</v>
      </c>
      <c r="E17">
        <v>7184000000</v>
      </c>
    </row>
    <row r="18" spans="1:6" x14ac:dyDescent="0.25">
      <c r="A18" s="73" t="s">
        <v>49</v>
      </c>
      <c r="B18">
        <v>22064000000</v>
      </c>
      <c r="C18">
        <v>-756000000</v>
      </c>
      <c r="D18">
        <v>1135000000</v>
      </c>
      <c r="E18">
        <v>7032000000</v>
      </c>
      <c r="F18">
        <v>1.1631217923794729E-2</v>
      </c>
    </row>
    <row r="19" spans="1:6" x14ac:dyDescent="0.25">
      <c r="A19" s="73" t="s">
        <v>50</v>
      </c>
      <c r="B19">
        <v>21435000000</v>
      </c>
      <c r="C19">
        <v>83000000</v>
      </c>
      <c r="D19">
        <v>1131000000</v>
      </c>
      <c r="E19">
        <v>8142000000</v>
      </c>
      <c r="F19">
        <v>0.13990417515400419</v>
      </c>
    </row>
    <row r="20" spans="1:6" x14ac:dyDescent="0.25">
      <c r="A20" s="73" t="s">
        <v>51</v>
      </c>
      <c r="B20">
        <v>20249000000</v>
      </c>
      <c r="C20">
        <v>276000000</v>
      </c>
      <c r="D20">
        <v>1129000000</v>
      </c>
      <c r="E20">
        <v>8658000000</v>
      </c>
      <c r="F20">
        <v>8.0353322263993388E-2</v>
      </c>
    </row>
    <row r="21" spans="1:6" x14ac:dyDescent="0.25">
      <c r="A21" s="73" t="s">
        <v>52</v>
      </c>
      <c r="B21">
        <v>19599000000</v>
      </c>
      <c r="C21">
        <v>488000000</v>
      </c>
      <c r="D21">
        <v>1133000000</v>
      </c>
      <c r="E21">
        <v>7481000000</v>
      </c>
      <c r="F21">
        <v>-0.32404455869751497</v>
      </c>
    </row>
    <row r="22" spans="1:6" x14ac:dyDescent="0.25">
      <c r="A22" s="73" t="s">
        <v>53</v>
      </c>
      <c r="B22">
        <v>20637000000</v>
      </c>
      <c r="C22">
        <v>1312000000</v>
      </c>
      <c r="D22">
        <v>1129000000</v>
      </c>
      <c r="E22">
        <v>7588000000</v>
      </c>
      <c r="F22">
        <v>-0.36347360887147728</v>
      </c>
    </row>
    <row r="23" spans="1:6" x14ac:dyDescent="0.25">
      <c r="A23" s="73" t="s">
        <v>54</v>
      </c>
      <c r="B23">
        <v>23406000000</v>
      </c>
      <c r="C23">
        <v>3334000000</v>
      </c>
      <c r="D23">
        <v>1128000000</v>
      </c>
      <c r="E23">
        <v>7955000000</v>
      </c>
      <c r="F23">
        <v>-0.49511255936018961</v>
      </c>
    </row>
    <row r="24" spans="1:6" x14ac:dyDescent="0.25">
      <c r="A24" s="73" t="s">
        <v>55</v>
      </c>
      <c r="B24">
        <v>26976000000</v>
      </c>
      <c r="C24">
        <v>6018000000</v>
      </c>
      <c r="D24">
        <v>1129000000</v>
      </c>
      <c r="E24">
        <v>6689000000</v>
      </c>
      <c r="F24">
        <v>-0.53797614467102739</v>
      </c>
    </row>
    <row r="25" spans="1:6" x14ac:dyDescent="0.25">
      <c r="A25" s="73" t="s">
        <v>56</v>
      </c>
      <c r="B25">
        <v>29985000000</v>
      </c>
      <c r="C25">
        <v>7560000000</v>
      </c>
      <c r="D25">
        <v>1141000000</v>
      </c>
      <c r="E25">
        <v>7533000000</v>
      </c>
      <c r="F25">
        <v>-0.22479815385661819</v>
      </c>
    </row>
    <row r="26" spans="1:6" x14ac:dyDescent="0.25">
      <c r="A26" s="73" t="s">
        <v>57</v>
      </c>
      <c r="B26">
        <v>31501000000</v>
      </c>
      <c r="C26">
        <v>8858000000</v>
      </c>
      <c r="D26">
        <v>1174000000</v>
      </c>
      <c r="E26">
        <v>5563000000</v>
      </c>
      <c r="F26">
        <v>0.15924693546964569</v>
      </c>
    </row>
    <row r="27" spans="1:6" x14ac:dyDescent="0.25">
      <c r="A27" s="73" t="s">
        <v>58</v>
      </c>
      <c r="B27">
        <v>30391000000</v>
      </c>
      <c r="C27">
        <v>8315000000</v>
      </c>
      <c r="D27">
        <v>1216000000</v>
      </c>
      <c r="E27">
        <v>6802000000</v>
      </c>
      <c r="F27">
        <v>0.3010300389377647</v>
      </c>
    </row>
    <row r="28" spans="1:6" x14ac:dyDescent="0.25">
      <c r="A28" s="73" t="s">
        <v>59</v>
      </c>
      <c r="B28">
        <v>28089000000</v>
      </c>
      <c r="C28">
        <v>7127000000</v>
      </c>
      <c r="D28">
        <v>1235000000</v>
      </c>
      <c r="E28">
        <v>7071000000</v>
      </c>
      <c r="F28">
        <v>0.39637937818900459</v>
      </c>
    </row>
    <row r="29" spans="1:6" x14ac:dyDescent="0.25">
      <c r="A29" s="73" t="s">
        <v>60</v>
      </c>
      <c r="B29">
        <v>25858000000</v>
      </c>
      <c r="C29">
        <v>6432000000</v>
      </c>
      <c r="D29">
        <v>1238000000</v>
      </c>
      <c r="E29">
        <v>8042000000</v>
      </c>
      <c r="F29">
        <v>0.53106575236660936</v>
      </c>
    </row>
    <row r="30" spans="1:6" x14ac:dyDescent="0.25">
      <c r="A30" s="73" t="s">
        <v>61</v>
      </c>
      <c r="B30">
        <v>23155000000</v>
      </c>
      <c r="C30">
        <v>4597000000</v>
      </c>
      <c r="D30">
        <v>1225000000</v>
      </c>
      <c r="E30">
        <v>6174000000</v>
      </c>
      <c r="F30">
        <v>0.54573896045340042</v>
      </c>
    </row>
    <row r="31" spans="1:6" x14ac:dyDescent="0.25">
      <c r="A31" s="73" t="s">
        <v>62</v>
      </c>
      <c r="B31">
        <v>20322000000</v>
      </c>
      <c r="C31">
        <v>2900000000</v>
      </c>
      <c r="D31">
        <v>1187000000</v>
      </c>
      <c r="E31">
        <v>5428000000</v>
      </c>
      <c r="F31">
        <v>0.73797000435188065</v>
      </c>
    </row>
    <row r="32" spans="1:6" x14ac:dyDescent="0.25">
      <c r="A32" s="73" t="s">
        <v>63</v>
      </c>
      <c r="B32">
        <v>17401000000</v>
      </c>
      <c r="C32">
        <v>147000000</v>
      </c>
      <c r="D32">
        <v>1177000000</v>
      </c>
      <c r="E32">
        <v>4330000000</v>
      </c>
      <c r="F32">
        <v>0.79022143823326441</v>
      </c>
    </row>
    <row r="33" spans="1:6" x14ac:dyDescent="0.25">
      <c r="A33" s="73" t="s">
        <v>64</v>
      </c>
      <c r="B33">
        <v>14733000000</v>
      </c>
      <c r="C33">
        <v>-2287000000</v>
      </c>
      <c r="D33">
        <v>1160000000</v>
      </c>
      <c r="E33">
        <v>3898000000</v>
      </c>
      <c r="F33">
        <v>0.51377717177914106</v>
      </c>
    </row>
    <row r="34" spans="1:6" x14ac:dyDescent="0.25">
      <c r="A34" s="73" t="s">
        <v>65</v>
      </c>
      <c r="B34">
        <v>13019000000</v>
      </c>
      <c r="C34">
        <v>-2975000000</v>
      </c>
      <c r="D34">
        <v>1091000000</v>
      </c>
      <c r="E34">
        <v>4169000000</v>
      </c>
    </row>
    <row r="35" spans="1:6" x14ac:dyDescent="0.25">
      <c r="A35" s="73" t="s">
        <v>66</v>
      </c>
      <c r="B35">
        <v>12399000000</v>
      </c>
      <c r="C35">
        <v>-2695000000</v>
      </c>
      <c r="D35">
        <v>1037000000</v>
      </c>
      <c r="E35">
        <v>4398000000</v>
      </c>
      <c r="F35">
        <v>1.1446666663888889</v>
      </c>
    </row>
    <row r="36" spans="1:6" x14ac:dyDescent="0.25">
      <c r="A36" s="73" t="s">
        <v>67</v>
      </c>
      <c r="B36">
        <v>12782000000</v>
      </c>
      <c r="C36">
        <v>-2357000000</v>
      </c>
      <c r="D36">
        <v>1036000000</v>
      </c>
      <c r="E36">
        <v>4981000000</v>
      </c>
      <c r="F36">
        <v>-0.15384116273033999</v>
      </c>
    </row>
    <row r="37" spans="1:6" x14ac:dyDescent="0.25">
      <c r="A37" s="73" t="s">
        <v>68</v>
      </c>
      <c r="B37">
        <v>13737000000</v>
      </c>
      <c r="C37">
        <v>-460000000</v>
      </c>
      <c r="D37">
        <v>1036000000</v>
      </c>
      <c r="E37">
        <v>4035000000</v>
      </c>
      <c r="F37">
        <v>0.12683629380700909</v>
      </c>
    </row>
    <row r="38" spans="1:6" x14ac:dyDescent="0.25">
      <c r="A38" s="73" t="s">
        <v>69</v>
      </c>
      <c r="B38">
        <v>14969000000</v>
      </c>
      <c r="C38">
        <v>394000000</v>
      </c>
      <c r="D38">
        <v>1085000000</v>
      </c>
      <c r="E38">
        <v>3641000000</v>
      </c>
    </row>
    <row r="39" spans="1:6" x14ac:dyDescent="0.25">
      <c r="A39" s="73" t="s">
        <v>70</v>
      </c>
      <c r="B39">
        <v>16192000000</v>
      </c>
      <c r="C39">
        <v>1187000000</v>
      </c>
      <c r="D39">
        <v>1124000000</v>
      </c>
      <c r="E39">
        <v>3521000000</v>
      </c>
      <c r="F39">
        <v>-0.26342240052046367</v>
      </c>
    </row>
    <row r="40" spans="1:6" x14ac:dyDescent="0.25">
      <c r="A40" s="73" t="s">
        <v>71</v>
      </c>
      <c r="B40">
        <v>16819000000</v>
      </c>
      <c r="C40">
        <v>2129000000</v>
      </c>
      <c r="D40">
        <v>1170000000</v>
      </c>
      <c r="E40">
        <v>4860000000</v>
      </c>
      <c r="F40">
        <v>3.4414121044701318E-3</v>
      </c>
    </row>
    <row r="41" spans="1:6" x14ac:dyDescent="0.25">
      <c r="A41" s="73" t="s">
        <v>72</v>
      </c>
      <c r="B41">
        <v>16948000000</v>
      </c>
      <c r="C41">
        <v>2496000000</v>
      </c>
      <c r="D41">
        <v>1190000000</v>
      </c>
      <c r="E41">
        <v>4479000000</v>
      </c>
      <c r="F41">
        <v>-8.581855149744344E-2</v>
      </c>
    </row>
    <row r="42" spans="1:6" x14ac:dyDescent="0.25">
      <c r="A42" s="73" t="s">
        <v>73</v>
      </c>
      <c r="B42">
        <v>16889000000</v>
      </c>
      <c r="C42">
        <v>2983000000</v>
      </c>
      <c r="D42">
        <v>1195000000</v>
      </c>
      <c r="E42">
        <v>4230000000</v>
      </c>
      <c r="F42">
        <v>7.3052535873330049E-2</v>
      </c>
    </row>
    <row r="43" spans="1:6" x14ac:dyDescent="0.25">
      <c r="A43" s="73" t="s">
        <v>74</v>
      </c>
      <c r="B43">
        <v>16358000000</v>
      </c>
      <c r="C43">
        <v>3041000000</v>
      </c>
      <c r="D43">
        <v>1203000000</v>
      </c>
      <c r="E43">
        <v>4534000000</v>
      </c>
      <c r="F43">
        <v>0.46867788216672518</v>
      </c>
    </row>
    <row r="44" spans="1:6" x14ac:dyDescent="0.25">
      <c r="A44" s="73" t="s">
        <v>75</v>
      </c>
      <c r="B44">
        <v>14974000000</v>
      </c>
      <c r="C44">
        <v>3271000000</v>
      </c>
      <c r="D44">
        <v>1190000000</v>
      </c>
      <c r="E44">
        <v>4264000000</v>
      </c>
      <c r="F44">
        <v>0.52215462899050902</v>
      </c>
    </row>
    <row r="45" spans="1:6" x14ac:dyDescent="0.25">
      <c r="A45" s="73" t="s">
        <v>76</v>
      </c>
      <c r="B45">
        <v>13310000000</v>
      </c>
      <c r="C45">
        <v>2724000000</v>
      </c>
      <c r="D45">
        <v>1201000000</v>
      </c>
      <c r="E45">
        <v>4504000000</v>
      </c>
      <c r="F45">
        <v>0.76715167276227136</v>
      </c>
    </row>
    <row r="46" spans="1:6" x14ac:dyDescent="0.25">
      <c r="A46" s="73" t="s">
        <v>77</v>
      </c>
      <c r="B46">
        <v>11281000000</v>
      </c>
      <c r="C46">
        <v>1746000000</v>
      </c>
      <c r="D46">
        <v>1196000000</v>
      </c>
      <c r="E46">
        <v>3870000000</v>
      </c>
      <c r="F46">
        <v>0.77595419847328251</v>
      </c>
    </row>
    <row r="47" spans="1:6" x14ac:dyDescent="0.25">
      <c r="A47" s="73" t="s">
        <v>78</v>
      </c>
      <c r="B47">
        <v>9073000000</v>
      </c>
      <c r="C47">
        <v>567000000</v>
      </c>
      <c r="D47">
        <v>1129400000</v>
      </c>
      <c r="E47">
        <v>3101000000</v>
      </c>
      <c r="F47">
        <v>0.81036678553234842</v>
      </c>
    </row>
    <row r="48" spans="1:6" x14ac:dyDescent="0.25">
      <c r="A48" s="73" t="s">
        <v>79</v>
      </c>
      <c r="B48">
        <v>8193000000</v>
      </c>
      <c r="C48">
        <v>248000000</v>
      </c>
      <c r="D48">
        <v>1046600000</v>
      </c>
      <c r="E48">
        <v>2552000000</v>
      </c>
      <c r="F48">
        <v>-0.46639042357274402</v>
      </c>
    </row>
    <row r="49" spans="1:6" x14ac:dyDescent="0.25">
      <c r="A49" s="73" t="s">
        <v>80</v>
      </c>
      <c r="B49">
        <v>8047000000</v>
      </c>
      <c r="C49">
        <v>235000000</v>
      </c>
      <c r="D49">
        <v>1016000000</v>
      </c>
      <c r="E49">
        <v>2228000000</v>
      </c>
      <c r="F49">
        <v>-0.31781740299951622</v>
      </c>
    </row>
    <row r="50" spans="1:6" x14ac:dyDescent="0.25">
      <c r="A50" s="73" t="s">
        <v>81</v>
      </c>
      <c r="B50">
        <v>8036000000</v>
      </c>
      <c r="C50">
        <v>510000000</v>
      </c>
      <c r="D50">
        <v>1013700000</v>
      </c>
      <c r="E50">
        <v>2271000000</v>
      </c>
      <c r="F50">
        <v>-0.14442583827751199</v>
      </c>
    </row>
    <row r="51" spans="1:6" x14ac:dyDescent="0.25">
      <c r="A51" s="73" t="s">
        <v>82</v>
      </c>
      <c r="B51">
        <v>8292000000</v>
      </c>
      <c r="C51">
        <v>415000000</v>
      </c>
      <c r="D51">
        <v>1013100000</v>
      </c>
      <c r="E51">
        <v>2559000000</v>
      </c>
      <c r="F51">
        <v>-0.1209306855140186</v>
      </c>
    </row>
    <row r="52" spans="1:6" x14ac:dyDescent="0.25">
      <c r="A52" s="73" t="s">
        <v>83</v>
      </c>
      <c r="B52">
        <v>8469000000</v>
      </c>
      <c r="C52">
        <v>-217000000</v>
      </c>
      <c r="D52">
        <v>987300000</v>
      </c>
      <c r="E52">
        <v>2325000000</v>
      </c>
      <c r="F52">
        <v>-0.36535764375876578</v>
      </c>
    </row>
    <row r="53" spans="1:6" x14ac:dyDescent="0.25">
      <c r="A53" s="73" t="s">
        <v>84</v>
      </c>
      <c r="B53">
        <v>8436000000</v>
      </c>
      <c r="C53">
        <v>-529000000</v>
      </c>
      <c r="D53">
        <v>982800000</v>
      </c>
      <c r="E53">
        <v>2094000000</v>
      </c>
      <c r="F53">
        <v>-0.41681817501107671</v>
      </c>
    </row>
    <row r="54" spans="1:6" x14ac:dyDescent="0.25">
      <c r="A54" s="73" t="s">
        <v>85</v>
      </c>
      <c r="B54">
        <v>8626000000</v>
      </c>
      <c r="C54">
        <v>-626000000</v>
      </c>
      <c r="D54">
        <v>981400000</v>
      </c>
      <c r="E54">
        <v>1915000000</v>
      </c>
    </row>
    <row r="55" spans="1:6" x14ac:dyDescent="0.25">
      <c r="A55" s="73" t="s">
        <v>86</v>
      </c>
      <c r="B55">
        <v>8788000000</v>
      </c>
      <c r="C55">
        <v>-66000000</v>
      </c>
      <c r="D55">
        <v>992200000</v>
      </c>
      <c r="E55">
        <v>2160000000</v>
      </c>
      <c r="F55">
        <v>-0.93868546249498597</v>
      </c>
    </row>
    <row r="56" spans="1:6" x14ac:dyDescent="0.25">
      <c r="A56" s="73" t="s">
        <v>87</v>
      </c>
      <c r="B56">
        <v>9141000000</v>
      </c>
      <c r="C56">
        <v>1178000000</v>
      </c>
      <c r="D56">
        <v>1041700000</v>
      </c>
      <c r="E56">
        <v>2395000000</v>
      </c>
      <c r="F56">
        <v>1.1368631368006989</v>
      </c>
    </row>
    <row r="57" spans="1:6" x14ac:dyDescent="0.25">
      <c r="A57" s="73" t="s">
        <v>88</v>
      </c>
      <c r="B57">
        <v>9290000000</v>
      </c>
      <c r="C57">
        <v>1857000000</v>
      </c>
      <c r="D57">
        <v>1037300000</v>
      </c>
      <c r="E57">
        <v>2184000000</v>
      </c>
      <c r="F57">
        <v>-0.67115903008669053</v>
      </c>
    </row>
    <row r="58" spans="1:6" x14ac:dyDescent="0.25">
      <c r="A58" s="73" t="s">
        <v>89</v>
      </c>
      <c r="B58">
        <v>8994000000</v>
      </c>
      <c r="C58">
        <v>2483000000</v>
      </c>
      <c r="D58">
        <v>1031300000</v>
      </c>
      <c r="E58">
        <v>2411000000</v>
      </c>
    </row>
    <row r="59" spans="1:6" x14ac:dyDescent="0.25">
      <c r="A59" s="73" t="s">
        <v>90</v>
      </c>
      <c r="B59">
        <v>8482000000</v>
      </c>
      <c r="C59">
        <v>2480000000</v>
      </c>
      <c r="D59">
        <v>1142600000</v>
      </c>
      <c r="E59">
        <v>2913000000</v>
      </c>
      <c r="F59">
        <v>1.273761520737327</v>
      </c>
    </row>
    <row r="60" spans="1:6" x14ac:dyDescent="0.25">
      <c r="A60" s="73" t="s">
        <v>91</v>
      </c>
      <c r="B60">
        <v>7291000000</v>
      </c>
      <c r="C60">
        <v>2058000000</v>
      </c>
      <c r="D60">
        <v>1049400000</v>
      </c>
      <c r="E60">
        <v>2313000000</v>
      </c>
      <c r="F60">
        <v>0.97677315641952989</v>
      </c>
    </row>
    <row r="61" spans="1:6" x14ac:dyDescent="0.25">
      <c r="A61" s="73" t="s">
        <v>92</v>
      </c>
      <c r="B61">
        <v>6109000000</v>
      </c>
      <c r="C61">
        <v>1370000000</v>
      </c>
      <c r="D61">
        <v>1005300000</v>
      </c>
      <c r="E61">
        <v>1870000000</v>
      </c>
      <c r="F61">
        <v>0.21527616314199391</v>
      </c>
    </row>
    <row r="62" spans="1:6" x14ac:dyDescent="0.25">
      <c r="A62" s="73" t="s">
        <v>93</v>
      </c>
      <c r="B62">
        <v>5141000000</v>
      </c>
      <c r="C62">
        <v>893000000</v>
      </c>
      <c r="D62">
        <v>1000700000</v>
      </c>
      <c r="E62">
        <v>1565000000</v>
      </c>
    </row>
    <row r="63" spans="1:6" x14ac:dyDescent="0.25">
      <c r="A63" s="73" t="s">
        <v>94</v>
      </c>
      <c r="B63">
        <v>4803000000</v>
      </c>
      <c r="C63">
        <v>718000000</v>
      </c>
      <c r="D63">
        <v>844300000</v>
      </c>
      <c r="E63">
        <v>1485000000</v>
      </c>
      <c r="F63">
        <v>0.79710144927536231</v>
      </c>
    </row>
    <row r="64" spans="1:6" x14ac:dyDescent="0.25">
      <c r="A64" s="73" t="s">
        <v>95</v>
      </c>
      <c r="B64">
        <v>4950000000</v>
      </c>
      <c r="C64">
        <v>-67000000</v>
      </c>
      <c r="D64">
        <v>813300000</v>
      </c>
      <c r="E64">
        <v>1306000000</v>
      </c>
      <c r="F64">
        <v>-0.44302344659546072</v>
      </c>
    </row>
    <row r="65" spans="1:6" x14ac:dyDescent="0.25">
      <c r="A65" s="73" t="s">
        <v>96</v>
      </c>
      <c r="B65">
        <v>5342000000</v>
      </c>
      <c r="C65">
        <v>-440000000</v>
      </c>
      <c r="D65">
        <v>773900000</v>
      </c>
      <c r="E65">
        <v>932000000</v>
      </c>
      <c r="F65">
        <v>-0.42970979396615161</v>
      </c>
    </row>
    <row r="66" spans="1:6" x14ac:dyDescent="0.25">
      <c r="A66" s="73" t="s">
        <v>97</v>
      </c>
      <c r="B66">
        <v>5708000000</v>
      </c>
      <c r="C66">
        <v>-933000000</v>
      </c>
      <c r="D66">
        <v>773300000</v>
      </c>
      <c r="E66">
        <v>1028000000</v>
      </c>
      <c r="F66">
        <v>-6.5465798045602597E-2</v>
      </c>
    </row>
    <row r="67" spans="1:6" x14ac:dyDescent="0.25">
      <c r="A67" s="73" t="s">
        <v>98</v>
      </c>
      <c r="B67">
        <v>5841000000</v>
      </c>
      <c r="C67">
        <v>-1511000000</v>
      </c>
      <c r="D67">
        <v>772800000</v>
      </c>
      <c r="E67">
        <v>1362000000</v>
      </c>
    </row>
    <row r="68" spans="1:6" x14ac:dyDescent="0.25">
      <c r="A68" s="73" t="s">
        <v>99</v>
      </c>
      <c r="F68">
        <v>-0.1036882393876131</v>
      </c>
    </row>
    <row r="69" spans="1:6" x14ac:dyDescent="0.25">
      <c r="A69" s="73" t="s">
        <v>100</v>
      </c>
      <c r="B69">
        <v>5829000000</v>
      </c>
      <c r="C69">
        <v>-1642000000</v>
      </c>
      <c r="D69">
        <v>772800000</v>
      </c>
      <c r="E69">
        <v>1584000000</v>
      </c>
      <c r="F69">
        <v>8.0473982225656826E-2</v>
      </c>
    </row>
    <row r="70" spans="1:6" x14ac:dyDescent="0.25">
      <c r="A70" s="73" t="s">
        <v>101</v>
      </c>
      <c r="B70">
        <v>5625000000</v>
      </c>
      <c r="C70">
        <v>-1950000000</v>
      </c>
      <c r="D70">
        <v>772400000</v>
      </c>
      <c r="E70">
        <v>1853000000</v>
      </c>
      <c r="F70">
        <v>-0.16379236720392429</v>
      </c>
    </row>
    <row r="71" spans="1:6" x14ac:dyDescent="0.25">
      <c r="A71" s="73" t="s">
        <v>102</v>
      </c>
      <c r="B71">
        <v>5693000000</v>
      </c>
      <c r="C71">
        <v>-2485000000</v>
      </c>
      <c r="D71">
        <v>771900000</v>
      </c>
      <c r="E71">
        <v>2031000000</v>
      </c>
      <c r="F71">
        <v>-0.25507353137254912</v>
      </c>
    </row>
    <row r="72" spans="1:6" x14ac:dyDescent="0.25">
      <c r="A72" s="73" t="s">
        <v>103</v>
      </c>
      <c r="B72">
        <v>5688000000</v>
      </c>
      <c r="C72">
        <v>-2666000000</v>
      </c>
      <c r="D72">
        <v>769900000</v>
      </c>
      <c r="E72">
        <v>2616000000</v>
      </c>
    </row>
    <row r="73" spans="1:6" x14ac:dyDescent="0.25">
      <c r="A73" s="73" t="s">
        <v>104</v>
      </c>
      <c r="F73">
        <v>9.6531845728020871E-2</v>
      </c>
    </row>
    <row r="74" spans="1:6" x14ac:dyDescent="0.25">
      <c r="A74" s="73" t="s">
        <v>105</v>
      </c>
      <c r="B74">
        <v>5623900000</v>
      </c>
      <c r="C74">
        <v>-2302600000</v>
      </c>
      <c r="D74">
        <v>769900000</v>
      </c>
      <c r="E74">
        <v>2920000000</v>
      </c>
      <c r="F74">
        <v>-0.18395446849043659</v>
      </c>
    </row>
    <row r="75" spans="1:6" x14ac:dyDescent="0.25">
      <c r="A75" s="73" t="s">
        <v>106</v>
      </c>
      <c r="B75">
        <v>5642200000</v>
      </c>
      <c r="C75">
        <v>-1660000000</v>
      </c>
      <c r="D75">
        <v>768700000</v>
      </c>
      <c r="E75">
        <v>2193000000</v>
      </c>
      <c r="F75">
        <v>-0.83358600653061221</v>
      </c>
    </row>
    <row r="76" spans="1:6" x14ac:dyDescent="0.25">
      <c r="A76" s="73" t="s">
        <v>107</v>
      </c>
      <c r="B76">
        <v>5440200000</v>
      </c>
      <c r="C76">
        <v>-172500000</v>
      </c>
      <c r="D76">
        <v>779600000</v>
      </c>
      <c r="E76">
        <v>2638000000</v>
      </c>
      <c r="F76">
        <v>0.34420130195329701</v>
      </c>
    </row>
    <row r="77" spans="1:6" x14ac:dyDescent="0.25">
      <c r="A77" s="73" t="s">
        <v>108</v>
      </c>
      <c r="B77">
        <v>5272000000</v>
      </c>
      <c r="C77">
        <v>654000000</v>
      </c>
      <c r="D77">
        <v>720100000</v>
      </c>
      <c r="E77">
        <v>3079000000</v>
      </c>
      <c r="F77">
        <v>0.91014072189537298</v>
      </c>
    </row>
    <row r="78" spans="1:6" x14ac:dyDescent="0.25">
      <c r="A78" s="73" t="s">
        <v>109</v>
      </c>
      <c r="B78">
        <v>5156900000</v>
      </c>
      <c r="C78">
        <v>1059800000</v>
      </c>
      <c r="D78">
        <v>720100000</v>
      </c>
      <c r="E78">
        <v>2830000000</v>
      </c>
      <c r="F78">
        <v>-6.637734775184978E-2</v>
      </c>
    </row>
    <row r="79" spans="1:6" x14ac:dyDescent="0.25">
      <c r="A79" s="73" t="s">
        <v>110</v>
      </c>
      <c r="B79">
        <v>4898800000</v>
      </c>
      <c r="C79">
        <v>1093800000</v>
      </c>
      <c r="D79">
        <v>714600000</v>
      </c>
      <c r="E79">
        <v>2585000000</v>
      </c>
    </row>
    <row r="80" spans="1:6" x14ac:dyDescent="0.25">
      <c r="A80" s="73" t="s">
        <v>111</v>
      </c>
      <c r="B80">
        <v>4981700000</v>
      </c>
      <c r="C80">
        <v>397500000</v>
      </c>
      <c r="D80">
        <v>707100000</v>
      </c>
      <c r="E80">
        <v>1377400000</v>
      </c>
      <c r="F80">
        <v>0.21979775529635789</v>
      </c>
    </row>
    <row r="81" spans="1:6" x14ac:dyDescent="0.25">
      <c r="A81" s="73" t="s">
        <v>112</v>
      </c>
      <c r="B81">
        <v>4880200000</v>
      </c>
      <c r="C81">
        <v>173000000</v>
      </c>
      <c r="D81">
        <v>650000000</v>
      </c>
      <c r="E81">
        <v>1290400000</v>
      </c>
    </row>
    <row r="82" spans="1:6" x14ac:dyDescent="0.25">
      <c r="A82" s="73" t="s">
        <v>113</v>
      </c>
      <c r="B82">
        <v>4811600000</v>
      </c>
      <c r="C82">
        <v>86000000</v>
      </c>
      <c r="D82">
        <v>648200000</v>
      </c>
      <c r="E82">
        <v>1295600000</v>
      </c>
      <c r="F82">
        <v>-0.9056053017550143</v>
      </c>
    </row>
    <row r="83" spans="1:6" x14ac:dyDescent="0.25">
      <c r="A83" s="73" t="s">
        <v>114</v>
      </c>
      <c r="B83">
        <v>4874200000</v>
      </c>
      <c r="C83">
        <v>-10500000</v>
      </c>
      <c r="D83">
        <v>701300000</v>
      </c>
      <c r="E83">
        <v>1133600000</v>
      </c>
      <c r="F83">
        <v>0.16451000100908161</v>
      </c>
    </row>
    <row r="84" spans="1:6" x14ac:dyDescent="0.25">
      <c r="A84" s="73" t="s">
        <v>115</v>
      </c>
      <c r="B84">
        <v>4557300000</v>
      </c>
      <c r="C84">
        <v>15500000</v>
      </c>
      <c r="D84">
        <v>700500000</v>
      </c>
      <c r="E84">
        <v>1052200000</v>
      </c>
    </row>
    <row r="85" spans="1:6" x14ac:dyDescent="0.25">
      <c r="A85" s="73" t="s">
        <v>116</v>
      </c>
      <c r="B85">
        <v>4404200000</v>
      </c>
      <c r="C85">
        <v>78100000</v>
      </c>
      <c r="D85">
        <v>701400000</v>
      </c>
      <c r="E85">
        <v>1231000000</v>
      </c>
      <c r="F85">
        <v>0.91205080697805285</v>
      </c>
    </row>
    <row r="86" spans="1:6" x14ac:dyDescent="0.25">
      <c r="A86" s="73" t="s">
        <v>117</v>
      </c>
      <c r="B86">
        <v>4103500000</v>
      </c>
      <c r="C86">
        <v>-31700000</v>
      </c>
      <c r="D86">
        <v>705400000</v>
      </c>
      <c r="E86">
        <v>1131900000</v>
      </c>
      <c r="F86">
        <v>5.5233014876484132E-2</v>
      </c>
    </row>
    <row r="87" spans="1:6" x14ac:dyDescent="0.25">
      <c r="A87" s="73" t="s">
        <v>118</v>
      </c>
      <c r="B87">
        <v>3719400000</v>
      </c>
      <c r="C87">
        <v>-99100000</v>
      </c>
      <c r="D87">
        <v>643200000</v>
      </c>
      <c r="E87">
        <v>1211700000</v>
      </c>
      <c r="F87">
        <v>0.89363057324840756</v>
      </c>
    </row>
    <row r="88" spans="1:6" x14ac:dyDescent="0.25">
      <c r="A88" s="73" t="s">
        <v>119</v>
      </c>
      <c r="B88">
        <v>3513400000</v>
      </c>
      <c r="C88">
        <v>-316000000</v>
      </c>
      <c r="D88">
        <v>636600000</v>
      </c>
      <c r="E88">
        <v>1172000000</v>
      </c>
    </row>
    <row r="89" spans="1:6" x14ac:dyDescent="0.25">
      <c r="A89" s="73" t="s">
        <v>120</v>
      </c>
      <c r="B89">
        <v>3091300000</v>
      </c>
      <c r="C89">
        <v>-537300000</v>
      </c>
      <c r="D89">
        <v>609500000</v>
      </c>
      <c r="E89">
        <v>921800000</v>
      </c>
      <c r="F89">
        <v>0.48479278074866322</v>
      </c>
    </row>
    <row r="90" spans="1:6" x14ac:dyDescent="0.25">
      <c r="A90" s="73" t="s">
        <v>121</v>
      </c>
      <c r="B90">
        <v>2950800000</v>
      </c>
      <c r="C90">
        <v>-953500000</v>
      </c>
      <c r="D90">
        <v>608300000</v>
      </c>
      <c r="E90">
        <v>1003800000</v>
      </c>
      <c r="F90">
        <v>0.37233460062240659</v>
      </c>
    </row>
    <row r="91" spans="1:6" x14ac:dyDescent="0.25">
      <c r="A91" s="73" t="s">
        <v>122</v>
      </c>
      <c r="B91">
        <v>2989300000</v>
      </c>
      <c r="C91">
        <v>-847600000</v>
      </c>
      <c r="D91">
        <v>607200000</v>
      </c>
      <c r="E91">
        <v>1205900000</v>
      </c>
      <c r="F91">
        <v>-0.11721384889301741</v>
      </c>
    </row>
    <row r="92" spans="1:6" x14ac:dyDescent="0.25">
      <c r="A92" s="73" t="s">
        <v>123</v>
      </c>
      <c r="B92">
        <v>2850200000</v>
      </c>
      <c r="C92">
        <v>-875600000</v>
      </c>
      <c r="D92">
        <v>605200000</v>
      </c>
      <c r="E92">
        <v>658000000</v>
      </c>
      <c r="F92">
        <v>0.56523815994338289</v>
      </c>
    </row>
    <row r="93" spans="1:6" x14ac:dyDescent="0.25">
      <c r="A93" s="73" t="s">
        <v>124</v>
      </c>
      <c r="B93">
        <v>2589000000</v>
      </c>
      <c r="C93">
        <v>-434200000</v>
      </c>
      <c r="D93">
        <v>604000000</v>
      </c>
      <c r="E93">
        <v>985700000</v>
      </c>
      <c r="F93">
        <v>0.55735998334374348</v>
      </c>
    </row>
    <row r="94" spans="1:6" x14ac:dyDescent="0.25">
      <c r="A94" s="73" t="s">
        <v>125</v>
      </c>
      <c r="B94">
        <v>2321300000</v>
      </c>
      <c r="C94">
        <v>-301700000</v>
      </c>
      <c r="D94">
        <v>602300000</v>
      </c>
      <c r="E94">
        <v>1251800000</v>
      </c>
      <c r="F94">
        <v>0.41366247097641451</v>
      </c>
    </row>
    <row r="95" spans="1:6" x14ac:dyDescent="0.25">
      <c r="A95" s="73" t="s">
        <v>126</v>
      </c>
      <c r="B95">
        <v>2368400000</v>
      </c>
      <c r="C95">
        <v>-458200000</v>
      </c>
      <c r="D95">
        <v>600500000</v>
      </c>
      <c r="E95">
        <v>1480900000</v>
      </c>
      <c r="F95">
        <v>-0.39391948953739331</v>
      </c>
    </row>
    <row r="96" spans="1:6" x14ac:dyDescent="0.25">
      <c r="A96" s="73" t="s">
        <v>127</v>
      </c>
      <c r="B96">
        <v>2788200000</v>
      </c>
      <c r="C96">
        <v>-594700000</v>
      </c>
      <c r="D96">
        <v>599200000</v>
      </c>
      <c r="E96">
        <v>357900000</v>
      </c>
      <c r="F96">
        <v>-0.79831149593407191</v>
      </c>
    </row>
    <row r="97" spans="1:6" x14ac:dyDescent="0.25">
      <c r="A97" s="73" t="s">
        <v>128</v>
      </c>
      <c r="B97">
        <v>4196600000</v>
      </c>
      <c r="C97">
        <v>-699500000</v>
      </c>
      <c r="D97">
        <v>597700000</v>
      </c>
      <c r="E97">
        <v>1678300000</v>
      </c>
      <c r="F97">
        <v>-0.77308325110886311</v>
      </c>
    </row>
    <row r="98" spans="1:6" x14ac:dyDescent="0.25">
      <c r="A98" s="73" t="s">
        <v>129</v>
      </c>
      <c r="B98">
        <v>6286500000</v>
      </c>
      <c r="C98">
        <v>81600000</v>
      </c>
      <c r="D98">
        <v>596300000</v>
      </c>
      <c r="E98">
        <v>1728600000</v>
      </c>
      <c r="F98">
        <v>-0.70172484182875028</v>
      </c>
    </row>
    <row r="99" spans="1:6" x14ac:dyDescent="0.25">
      <c r="A99" s="73" t="s">
        <v>130</v>
      </c>
      <c r="B99">
        <v>7257400000</v>
      </c>
      <c r="C99">
        <v>428600000</v>
      </c>
      <c r="D99">
        <v>593800000</v>
      </c>
      <c r="E99">
        <v>2049100000</v>
      </c>
      <c r="F99">
        <v>0.53062836624775578</v>
      </c>
    </row>
    <row r="100" spans="1:6" x14ac:dyDescent="0.25">
      <c r="A100" s="73" t="s">
        <v>131</v>
      </c>
      <c r="B100">
        <v>7584200000</v>
      </c>
      <c r="C100">
        <v>661100000</v>
      </c>
      <c r="D100">
        <v>609400000</v>
      </c>
      <c r="E100">
        <v>2463500000</v>
      </c>
      <c r="F100">
        <v>0.15646301439030541</v>
      </c>
    </row>
    <row r="101" spans="1:6" x14ac:dyDescent="0.25">
      <c r="A101" s="73" t="s">
        <v>132</v>
      </c>
      <c r="B101">
        <v>7336300000</v>
      </c>
      <c r="C101">
        <v>880100000</v>
      </c>
      <c r="D101">
        <v>642600000</v>
      </c>
      <c r="E101">
        <v>2466400000</v>
      </c>
      <c r="F101">
        <v>0.90244263508512224</v>
      </c>
    </row>
    <row r="102" spans="1:6" x14ac:dyDescent="0.25">
      <c r="A102" s="73" t="s">
        <v>133</v>
      </c>
      <c r="B102">
        <v>5846900000</v>
      </c>
      <c r="C102">
        <v>412100000</v>
      </c>
      <c r="D102">
        <v>597300000</v>
      </c>
      <c r="E102">
        <v>1847700000</v>
      </c>
    </row>
    <row r="103" spans="1:6" x14ac:dyDescent="0.25">
      <c r="A103" s="73" t="s">
        <v>134</v>
      </c>
      <c r="F103">
        <v>0.3395289488307478</v>
      </c>
    </row>
    <row r="104" spans="1:6" x14ac:dyDescent="0.25">
      <c r="A104" s="73" t="s">
        <v>135</v>
      </c>
      <c r="B104">
        <v>4921500000</v>
      </c>
      <c r="C104">
        <v>175500000</v>
      </c>
      <c r="D104">
        <v>557200000</v>
      </c>
      <c r="E104">
        <v>1678400000</v>
      </c>
      <c r="F104">
        <v>0.40269327159290302</v>
      </c>
    </row>
    <row r="105" spans="1:6" x14ac:dyDescent="0.25">
      <c r="A105" s="73" t="s">
        <v>136</v>
      </c>
      <c r="B105">
        <v>4554800000</v>
      </c>
      <c r="C105">
        <v>234800000</v>
      </c>
      <c r="D105">
        <v>594800000</v>
      </c>
      <c r="E105">
        <v>1886400000</v>
      </c>
    </row>
    <row r="106" spans="1:6" x14ac:dyDescent="0.25">
      <c r="A106" s="73" t="s">
        <v>137</v>
      </c>
      <c r="B106">
        <v>3764000000</v>
      </c>
      <c r="C106">
        <v>44000000</v>
      </c>
      <c r="D106">
        <v>533000000</v>
      </c>
      <c r="E106">
        <v>1613500000</v>
      </c>
      <c r="F106">
        <v>1.1869056221997401</v>
      </c>
    </row>
    <row r="107" spans="1:6" x14ac:dyDescent="0.25">
      <c r="A107" s="73" t="s">
        <v>138</v>
      </c>
      <c r="B107">
        <v>3375100000</v>
      </c>
      <c r="C107">
        <v>-28100000</v>
      </c>
      <c r="D107">
        <v>532600000</v>
      </c>
      <c r="E107">
        <v>1660500000</v>
      </c>
      <c r="F107">
        <v>-0.71674045089358907</v>
      </c>
    </row>
    <row r="108" spans="1:6" x14ac:dyDescent="0.25">
      <c r="A108" s="73" t="s">
        <v>139</v>
      </c>
      <c r="B108">
        <v>3121200000</v>
      </c>
      <c r="C108">
        <v>-190800000</v>
      </c>
      <c r="D108">
        <v>545800000</v>
      </c>
      <c r="E108">
        <v>1782600000</v>
      </c>
    </row>
    <row r="109" spans="1:6" x14ac:dyDescent="0.25">
      <c r="A109" s="73" t="s">
        <v>140</v>
      </c>
      <c r="B109">
        <v>2850800000</v>
      </c>
      <c r="C109">
        <v>-381100000</v>
      </c>
      <c r="D109">
        <v>491400000</v>
      </c>
      <c r="E109">
        <v>1924800000</v>
      </c>
      <c r="F109">
        <v>0.20835952231301061</v>
      </c>
    </row>
    <row r="110" spans="1:6" x14ac:dyDescent="0.25">
      <c r="A110" s="73" t="s">
        <v>141</v>
      </c>
      <c r="B110">
        <v>3011800000</v>
      </c>
      <c r="C110">
        <v>-517900000</v>
      </c>
      <c r="D110">
        <v>433400000</v>
      </c>
      <c r="E110">
        <v>649400000</v>
      </c>
    </row>
    <row r="111" spans="1:6" x14ac:dyDescent="0.25">
      <c r="A111" s="73" t="s">
        <v>142</v>
      </c>
      <c r="B111">
        <v>3266100000</v>
      </c>
      <c r="C111">
        <v>-420900000</v>
      </c>
      <c r="D111">
        <v>420769231</v>
      </c>
      <c r="E111">
        <v>708400000</v>
      </c>
      <c r="F111">
        <v>-0.30158549326424872</v>
      </c>
    </row>
    <row r="112" spans="1:6" x14ac:dyDescent="0.25">
      <c r="A112" s="73" t="s">
        <v>143</v>
      </c>
      <c r="B112">
        <v>3621200000</v>
      </c>
      <c r="C112">
        <v>-366500000</v>
      </c>
      <c r="D112">
        <v>424166667</v>
      </c>
      <c r="E112">
        <v>934900000</v>
      </c>
      <c r="F112">
        <v>-0.65158639580004563</v>
      </c>
    </row>
    <row r="113" spans="1:6" x14ac:dyDescent="0.25">
      <c r="A113" s="73" t="s">
        <v>144</v>
      </c>
      <c r="B113">
        <v>3742000000</v>
      </c>
      <c r="C113">
        <v>24700000</v>
      </c>
      <c r="D113">
        <v>325000000</v>
      </c>
      <c r="E113">
        <v>928200000</v>
      </c>
      <c r="F113">
        <v>0.77496909765142141</v>
      </c>
    </row>
    <row r="114" spans="1:6" x14ac:dyDescent="0.25">
      <c r="A114" s="73" t="s">
        <v>145</v>
      </c>
      <c r="B114">
        <v>3515500000</v>
      </c>
      <c r="C114">
        <v>86700000</v>
      </c>
      <c r="D114">
        <v>441800000</v>
      </c>
      <c r="E114">
        <v>987700000</v>
      </c>
      <c r="F114">
        <v>0.74471805710206995</v>
      </c>
    </row>
    <row r="115" spans="1:6" x14ac:dyDescent="0.25">
      <c r="A115" s="73" t="s">
        <v>146</v>
      </c>
      <c r="B115">
        <v>3269800000</v>
      </c>
      <c r="C115">
        <v>27300000</v>
      </c>
      <c r="D115">
        <v>429800000</v>
      </c>
      <c r="E115">
        <v>521000000</v>
      </c>
      <c r="F115">
        <v>2.405376653696489E-2</v>
      </c>
    </row>
    <row r="116" spans="1:6" x14ac:dyDescent="0.25">
      <c r="A116" s="73" t="s">
        <v>147</v>
      </c>
      <c r="B116">
        <v>3075800000</v>
      </c>
      <c r="C116">
        <v>89000000</v>
      </c>
      <c r="D116">
        <v>432400000</v>
      </c>
      <c r="E116">
        <v>588900000</v>
      </c>
      <c r="F116">
        <v>-0.31611752333166082</v>
      </c>
    </row>
    <row r="117" spans="1:6" x14ac:dyDescent="0.25">
      <c r="A117" s="73" t="s">
        <v>148</v>
      </c>
      <c r="B117">
        <v>3196100000</v>
      </c>
      <c r="C117">
        <v>-410800000</v>
      </c>
      <c r="D117">
        <v>412000000</v>
      </c>
      <c r="E117">
        <v>227800000</v>
      </c>
      <c r="F117">
        <v>-0.53948810929330415</v>
      </c>
    </row>
    <row r="118" spans="1:6" x14ac:dyDescent="0.25">
      <c r="A118" s="73" t="s">
        <v>149</v>
      </c>
      <c r="B118">
        <v>3653800000</v>
      </c>
      <c r="C118">
        <v>-365400000</v>
      </c>
      <c r="D118">
        <v>426200000</v>
      </c>
      <c r="E118">
        <v>286800000</v>
      </c>
      <c r="F118">
        <v>-0.8296449416342413</v>
      </c>
    </row>
    <row r="119" spans="1:6" x14ac:dyDescent="0.25">
      <c r="A119" s="73" t="s">
        <v>150</v>
      </c>
      <c r="B119">
        <v>3981300000</v>
      </c>
      <c r="C119">
        <v>-257900000</v>
      </c>
      <c r="D119">
        <v>429000000</v>
      </c>
      <c r="E119">
        <v>400000000</v>
      </c>
    </row>
    <row r="120" spans="1:6" x14ac:dyDescent="0.25">
      <c r="A120" s="73" t="s">
        <v>151</v>
      </c>
      <c r="B120">
        <v>3971500000</v>
      </c>
      <c r="C120">
        <v>-117400000</v>
      </c>
      <c r="D120">
        <v>430400000</v>
      </c>
      <c r="E120">
        <v>397700000</v>
      </c>
    </row>
    <row r="121" spans="1:6" x14ac:dyDescent="0.25">
      <c r="A121" s="73" t="s">
        <v>152</v>
      </c>
      <c r="B121">
        <v>3603500000</v>
      </c>
      <c r="C121">
        <v>272300000</v>
      </c>
      <c r="D121">
        <v>434400000</v>
      </c>
      <c r="E121">
        <v>607000000</v>
      </c>
    </row>
    <row r="122" spans="1:6" x14ac:dyDescent="0.25">
      <c r="A122" s="73" t="s">
        <v>153</v>
      </c>
      <c r="B122">
        <v>2952700000</v>
      </c>
      <c r="C122">
        <v>308800000</v>
      </c>
      <c r="D122">
        <v>431600000</v>
      </c>
      <c r="E122">
        <v>555800000</v>
      </c>
    </row>
    <row r="123" spans="1:6" x14ac:dyDescent="0.25">
      <c r="A123" s="73" t="s">
        <v>154</v>
      </c>
      <c r="B123">
        <v>2416311000</v>
      </c>
      <c r="C123">
        <v>352896000</v>
      </c>
      <c r="D123">
        <v>430200000</v>
      </c>
      <c r="E123">
        <v>623700000</v>
      </c>
    </row>
    <row r="124" spans="1:6" x14ac:dyDescent="0.25">
      <c r="A124" s="73" t="s">
        <v>155</v>
      </c>
      <c r="B124">
        <v>2081503000</v>
      </c>
      <c r="C124">
        <v>363498000</v>
      </c>
      <c r="D124">
        <v>428800000</v>
      </c>
      <c r="E124">
        <v>576700000</v>
      </c>
    </row>
    <row r="125" spans="1:6" x14ac:dyDescent="0.25">
      <c r="A125" s="73" t="s">
        <v>156</v>
      </c>
      <c r="B125">
        <v>1843462000</v>
      </c>
      <c r="C125">
        <v>365500000</v>
      </c>
      <c r="D125">
        <v>421600000</v>
      </c>
      <c r="E125">
        <v>559800000</v>
      </c>
    </row>
    <row r="126" spans="1:6" x14ac:dyDescent="0.25">
      <c r="A126" s="73" t="s">
        <v>157</v>
      </c>
      <c r="B126">
        <v>1628562000</v>
      </c>
      <c r="C126">
        <v>306500000</v>
      </c>
      <c r="D126">
        <v>431400000</v>
      </c>
      <c r="E126">
        <v>78400000</v>
      </c>
    </row>
    <row r="127" spans="1:6" x14ac:dyDescent="0.25">
      <c r="A127" s="73" t="s">
        <v>158</v>
      </c>
      <c r="B127">
        <v>1442951000</v>
      </c>
      <c r="C127">
        <v>265404000</v>
      </c>
      <c r="D127">
        <v>422520000</v>
      </c>
      <c r="E127">
        <v>366303000</v>
      </c>
    </row>
    <row r="128" spans="1:6" x14ac:dyDescent="0.25">
      <c r="A128" s="73" t="s">
        <v>159</v>
      </c>
      <c r="B128">
        <v>1231459000</v>
      </c>
      <c r="C128">
        <v>231302000</v>
      </c>
      <c r="D128">
        <v>415180000</v>
      </c>
      <c r="E128">
        <v>223182000</v>
      </c>
    </row>
    <row r="129" spans="1:5" x14ac:dyDescent="0.25">
      <c r="A129" s="73" t="s">
        <v>160</v>
      </c>
      <c r="B129">
        <v>1017400000</v>
      </c>
      <c r="C129">
        <v>242200000</v>
      </c>
      <c r="D129">
        <v>397647059</v>
      </c>
      <c r="E129">
        <v>51800000</v>
      </c>
    </row>
    <row r="130" spans="1:5" x14ac:dyDescent="0.25">
      <c r="A130" s="73" t="s">
        <v>161</v>
      </c>
      <c r="B130">
        <v>828300000</v>
      </c>
      <c r="C130">
        <v>173900000</v>
      </c>
      <c r="D130">
        <v>368750000</v>
      </c>
      <c r="E130">
        <v>47500000</v>
      </c>
    </row>
    <row r="131" spans="1:5" x14ac:dyDescent="0.25">
      <c r="A131" s="73" t="s">
        <v>162</v>
      </c>
      <c r="B131">
        <v>657500000</v>
      </c>
      <c r="C131">
        <v>126800000</v>
      </c>
      <c r="D131">
        <v>368750000</v>
      </c>
      <c r="E131">
        <v>15300000</v>
      </c>
    </row>
    <row r="132" spans="1:5" x14ac:dyDescent="0.25">
      <c r="A132" s="73" t="s">
        <v>163</v>
      </c>
      <c r="B132">
        <v>573700000</v>
      </c>
      <c r="C132">
        <v>87100000</v>
      </c>
      <c r="D132">
        <v>300000000</v>
      </c>
      <c r="E132">
        <v>18700000</v>
      </c>
    </row>
    <row r="133" spans="1:5" x14ac:dyDescent="0.25">
      <c r="A133" s="73" t="s">
        <v>164</v>
      </c>
      <c r="B133">
        <v>525500000</v>
      </c>
      <c r="C133">
        <v>60400000</v>
      </c>
      <c r="D133">
        <v>388292000</v>
      </c>
      <c r="E133">
        <v>19800000</v>
      </c>
    </row>
    <row r="134" spans="1:5" x14ac:dyDescent="0.25">
      <c r="A134" s="73" t="s">
        <v>165</v>
      </c>
      <c r="B134">
        <v>506300000</v>
      </c>
      <c r="C134">
        <v>57400000</v>
      </c>
      <c r="D134">
        <v>381700000</v>
      </c>
      <c r="E134">
        <v>35700000</v>
      </c>
    </row>
    <row r="135" spans="1:5" x14ac:dyDescent="0.25">
      <c r="A135" s="73" t="s">
        <v>166</v>
      </c>
      <c r="B135">
        <v>494900000</v>
      </c>
      <c r="C135">
        <v>62800000</v>
      </c>
      <c r="D135">
        <v>381700000</v>
      </c>
      <c r="E135">
        <v>14300000</v>
      </c>
    </row>
    <row r="136" spans="1:5" x14ac:dyDescent="0.25">
      <c r="A136" s="73" t="s">
        <v>167</v>
      </c>
      <c r="B136">
        <v>490600000</v>
      </c>
      <c r="C136">
        <v>63500000</v>
      </c>
      <c r="D136">
        <v>380672000</v>
      </c>
      <c r="E136">
        <v>21100000</v>
      </c>
    </row>
    <row r="137" spans="1:5" x14ac:dyDescent="0.25">
      <c r="A137" s="73" t="s">
        <v>168</v>
      </c>
      <c r="B137">
        <v>456900000</v>
      </c>
      <c r="C137">
        <v>52300000</v>
      </c>
      <c r="D137">
        <v>375404000</v>
      </c>
      <c r="E137">
        <v>11400000</v>
      </c>
    </row>
    <row r="138" spans="1:5" x14ac:dyDescent="0.25">
      <c r="A138" s="73" t="s">
        <v>169</v>
      </c>
      <c r="B138">
        <v>425400000</v>
      </c>
      <c r="C138">
        <v>34400000</v>
      </c>
      <c r="D138">
        <v>383333333</v>
      </c>
      <c r="E138">
        <v>22100000</v>
      </c>
    </row>
    <row r="139" spans="1:5" x14ac:dyDescent="0.25">
      <c r="A139" s="73" t="s">
        <v>170</v>
      </c>
      <c r="B139">
        <v>406900000</v>
      </c>
      <c r="C139">
        <v>13100000</v>
      </c>
      <c r="D139">
        <v>383333333</v>
      </c>
      <c r="E139">
        <v>17500000</v>
      </c>
    </row>
    <row r="140" spans="1:5" x14ac:dyDescent="0.25">
      <c r="A140" s="73" t="s">
        <v>171</v>
      </c>
      <c r="B140">
        <v>364200000</v>
      </c>
      <c r="C140">
        <v>5500000</v>
      </c>
      <c r="D140">
        <v>310000000</v>
      </c>
      <c r="E140">
        <v>25300000</v>
      </c>
    </row>
    <row r="141" spans="1:5" x14ac:dyDescent="0.25">
      <c r="A141" s="73" t="s">
        <v>172</v>
      </c>
      <c r="B141">
        <v>347200000</v>
      </c>
      <c r="C141">
        <v>5900000</v>
      </c>
      <c r="D141">
        <v>310000000</v>
      </c>
      <c r="E141">
        <v>15500000</v>
      </c>
    </row>
    <row r="142" spans="1:5" x14ac:dyDescent="0.25">
      <c r="A142" s="73" t="s">
        <v>173</v>
      </c>
      <c r="B142">
        <v>333400000</v>
      </c>
      <c r="C142">
        <v>11400000</v>
      </c>
      <c r="D142">
        <v>368572000</v>
      </c>
      <c r="E142">
        <v>28600000</v>
      </c>
    </row>
    <row r="143" spans="1:5" x14ac:dyDescent="0.25">
      <c r="A143" s="73" t="s">
        <v>174</v>
      </c>
      <c r="B143">
        <v>331100000</v>
      </c>
      <c r="C143">
        <v>-2400000</v>
      </c>
      <c r="D143">
        <v>368572000</v>
      </c>
      <c r="E143">
        <v>5100000</v>
      </c>
    </row>
    <row r="144" spans="1:5" x14ac:dyDescent="0.25">
      <c r="A144" s="73" t="s">
        <v>175</v>
      </c>
      <c r="B144">
        <v>366200000</v>
      </c>
      <c r="C144">
        <v>-4700000</v>
      </c>
      <c r="D144">
        <v>368116000</v>
      </c>
      <c r="E144">
        <v>6000000</v>
      </c>
    </row>
    <row r="145" spans="1:5" x14ac:dyDescent="0.25">
      <c r="A145" s="73" t="s">
        <v>176</v>
      </c>
      <c r="B145">
        <v>402500000</v>
      </c>
      <c r="C145">
        <v>-4500000</v>
      </c>
      <c r="D145">
        <v>367856000</v>
      </c>
      <c r="E145">
        <v>49400000</v>
      </c>
    </row>
    <row r="146" spans="1:5" x14ac:dyDescent="0.25">
      <c r="A146" s="73" t="s">
        <v>177</v>
      </c>
      <c r="B146">
        <v>446400000</v>
      </c>
      <c r="C146">
        <v>-7000000</v>
      </c>
      <c r="D146">
        <v>360000000</v>
      </c>
      <c r="E146">
        <v>11700000</v>
      </c>
    </row>
    <row r="147" spans="1:5" x14ac:dyDescent="0.25">
      <c r="A147" s="73" t="s">
        <v>178</v>
      </c>
      <c r="B147">
        <v>456800000</v>
      </c>
      <c r="C147">
        <v>0</v>
      </c>
      <c r="D147">
        <v>360000000</v>
      </c>
      <c r="E147">
        <v>19800000</v>
      </c>
    </row>
    <row r="148" spans="1:5" x14ac:dyDescent="0.25">
      <c r="A148" s="73" t="s">
        <v>179</v>
      </c>
      <c r="B148">
        <v>423200000</v>
      </c>
      <c r="C148">
        <v>0</v>
      </c>
      <c r="D148">
        <v>357777778</v>
      </c>
    </row>
    <row r="149" spans="1:5" x14ac:dyDescent="0.25">
      <c r="A149" s="73" t="s">
        <v>180</v>
      </c>
      <c r="B149">
        <v>367700000</v>
      </c>
      <c r="C149">
        <v>0</v>
      </c>
      <c r="D149">
        <v>357777778</v>
      </c>
      <c r="E149">
        <v>74000000</v>
      </c>
    </row>
    <row r="150" spans="1:5" x14ac:dyDescent="0.25">
      <c r="A150" s="73" t="s">
        <v>181</v>
      </c>
      <c r="B150">
        <v>300500000</v>
      </c>
      <c r="C150">
        <v>0</v>
      </c>
      <c r="D150">
        <v>298100000</v>
      </c>
      <c r="E150">
        <v>164300000</v>
      </c>
    </row>
    <row r="151" spans="1:5" x14ac:dyDescent="0.25">
      <c r="A151" s="73" t="s">
        <v>182</v>
      </c>
      <c r="B151">
        <v>216600000</v>
      </c>
      <c r="C151">
        <v>0</v>
      </c>
      <c r="D151">
        <v>298100000</v>
      </c>
    </row>
    <row r="152" spans="1:5" x14ac:dyDescent="0.25">
      <c r="A152" s="73" t="s">
        <v>183</v>
      </c>
      <c r="B152">
        <v>153800000</v>
      </c>
      <c r="C152">
        <v>0</v>
      </c>
      <c r="D152">
        <v>258100000</v>
      </c>
    </row>
    <row r="153" spans="1:5" x14ac:dyDescent="0.25">
      <c r="A153" s="73" t="s">
        <v>184</v>
      </c>
      <c r="B153">
        <v>115600000</v>
      </c>
      <c r="C153">
        <v>0</v>
      </c>
      <c r="D153">
        <v>258100000</v>
      </c>
    </row>
    <row r="154" spans="1:5" x14ac:dyDescent="0.25">
      <c r="A154" s="73" t="s">
        <v>185</v>
      </c>
      <c r="B154">
        <v>91200000</v>
      </c>
      <c r="C154">
        <v>0</v>
      </c>
      <c r="D154">
        <v>256392000</v>
      </c>
      <c r="E154">
        <v>9400000</v>
      </c>
    </row>
    <row r="155" spans="1:5" x14ac:dyDescent="0.25">
      <c r="A155" s="73" t="s">
        <v>186</v>
      </c>
      <c r="B155">
        <v>81700000</v>
      </c>
      <c r="C155">
        <v>0</v>
      </c>
      <c r="D155">
        <v>256392000</v>
      </c>
    </row>
    <row r="156" spans="1:5" x14ac:dyDescent="0.25">
      <c r="A156" s="73" t="s">
        <v>187</v>
      </c>
      <c r="B156">
        <v>73300000</v>
      </c>
      <c r="C156">
        <v>0</v>
      </c>
      <c r="D156">
        <v>256392000</v>
      </c>
    </row>
    <row r="157" spans="1:5" x14ac:dyDescent="0.25">
      <c r="A157" s="73" t="s">
        <v>188</v>
      </c>
      <c r="B157">
        <v>62600000</v>
      </c>
      <c r="C157">
        <v>0</v>
      </c>
      <c r="D157">
        <v>212212000</v>
      </c>
    </row>
    <row r="158" spans="1:5" x14ac:dyDescent="0.25">
      <c r="A158" s="73" t="s">
        <v>189</v>
      </c>
      <c r="B158">
        <v>48800000</v>
      </c>
      <c r="C158">
        <v>0</v>
      </c>
      <c r="D158">
        <v>191820000</v>
      </c>
      <c r="E158">
        <v>5100000</v>
      </c>
    </row>
    <row r="159" spans="1:5" x14ac:dyDescent="0.25">
      <c r="A159" s="73" t="s">
        <v>190</v>
      </c>
      <c r="B159">
        <v>35000000</v>
      </c>
      <c r="C159">
        <v>0</v>
      </c>
      <c r="D159">
        <v>191820000</v>
      </c>
    </row>
    <row r="160" spans="1:5" x14ac:dyDescent="0.25">
      <c r="A160" s="73" t="s">
        <v>191</v>
      </c>
      <c r="D160">
        <v>191820000</v>
      </c>
    </row>
    <row r="161" spans="1:5" x14ac:dyDescent="0.25">
      <c r="A161" s="73" t="s">
        <v>192</v>
      </c>
      <c r="D161">
        <v>191600000</v>
      </c>
    </row>
    <row r="162" spans="1:5" x14ac:dyDescent="0.25">
      <c r="A162" s="73" t="s">
        <v>193</v>
      </c>
      <c r="D162">
        <v>191600000</v>
      </c>
      <c r="E162">
        <v>1200000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194</v>
      </c>
      <c r="B1" s="27" t="s">
        <v>195</v>
      </c>
      <c r="C1" t="s">
        <v>196</v>
      </c>
      <c r="D1" t="s">
        <v>197</v>
      </c>
      <c r="F1" s="27" t="s">
        <v>195</v>
      </c>
      <c r="G1" t="s">
        <v>196</v>
      </c>
      <c r="H1" t="s">
        <v>197</v>
      </c>
      <c r="J1" t="s">
        <v>198</v>
      </c>
      <c r="K1" t="s">
        <v>196</v>
      </c>
      <c r="L1" t="s">
        <v>197</v>
      </c>
      <c r="N1" t="s">
        <v>199</v>
      </c>
      <c r="O1" t="s">
        <v>196</v>
      </c>
      <c r="P1" t="s">
        <v>197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200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201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202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203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204</v>
      </c>
    </row>
    <row r="7" spans="1:46" x14ac:dyDescent="0.25">
      <c r="A7" s="27" t="s">
        <v>205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206</v>
      </c>
    </row>
    <row r="8" spans="1:46" x14ac:dyDescent="0.25">
      <c r="A8" s="27" t="s">
        <v>207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208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209</v>
      </c>
    </row>
    <row r="10" spans="1:46" x14ac:dyDescent="0.25">
      <c r="A10" s="27" t="s">
        <v>210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211</v>
      </c>
    </row>
    <row r="11" spans="1:46" x14ac:dyDescent="0.25">
      <c r="A11" s="27" t="s">
        <v>212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213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216</v>
      </c>
    </row>
    <row r="15" spans="1:46" x14ac:dyDescent="0.25">
      <c r="A15" s="27" t="s">
        <v>217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218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219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220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221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222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223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224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225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226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227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228</v>
      </c>
      <c r="J26">
        <v>0.61799999999999999</v>
      </c>
      <c r="N26">
        <v>-0.36399999999999999</v>
      </c>
    </row>
    <row r="27" spans="1:17" x14ac:dyDescent="0.25">
      <c r="A27" s="27" t="s">
        <v>229</v>
      </c>
    </row>
    <row r="28" spans="1:17" x14ac:dyDescent="0.25">
      <c r="A28" s="27" t="s">
        <v>230</v>
      </c>
    </row>
    <row r="29" spans="1:17" x14ac:dyDescent="0.25">
      <c r="A29" s="27" t="s">
        <v>231</v>
      </c>
    </row>
    <row r="31" spans="1:17" x14ac:dyDescent="0.25">
      <c r="A31" s="26" t="s">
        <v>232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233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234</v>
      </c>
      <c r="C1" s="73" t="s">
        <v>235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236</v>
      </c>
      <c r="D2">
        <v>1.3736664374396239</v>
      </c>
      <c r="E2">
        <v>0.13588387429249371</v>
      </c>
    </row>
    <row r="3" spans="1:5" x14ac:dyDescent="0.25">
      <c r="A3" s="73">
        <v>1</v>
      </c>
      <c r="B3">
        <v>3</v>
      </c>
      <c r="C3" t="s">
        <v>237</v>
      </c>
      <c r="D3">
        <v>1.521930119044107</v>
      </c>
      <c r="E3">
        <v>0.146154099585106</v>
      </c>
    </row>
    <row r="4" spans="1:5" x14ac:dyDescent="0.25">
      <c r="A4" s="73">
        <v>2</v>
      </c>
      <c r="B4">
        <v>3</v>
      </c>
      <c r="C4" t="s">
        <v>238</v>
      </c>
      <c r="D4">
        <v>1.565363594017694</v>
      </c>
      <c r="E4">
        <v>0.14916273641640859</v>
      </c>
    </row>
    <row r="5" spans="1:5" x14ac:dyDescent="0.25">
      <c r="A5" s="73">
        <v>3</v>
      </c>
      <c r="B5">
        <v>5</v>
      </c>
      <c r="C5" t="s">
        <v>236</v>
      </c>
      <c r="D5">
        <v>1.174555252160238</v>
      </c>
      <c r="E5">
        <v>0.12209144239704479</v>
      </c>
    </row>
    <row r="6" spans="1:5" x14ac:dyDescent="0.25">
      <c r="A6" s="73">
        <v>4</v>
      </c>
      <c r="B6">
        <v>5</v>
      </c>
      <c r="C6" t="s">
        <v>237</v>
      </c>
      <c r="D6">
        <v>1.357102807110603</v>
      </c>
      <c r="E6">
        <v>0.13473651161202019</v>
      </c>
    </row>
    <row r="7" spans="1:5" x14ac:dyDescent="0.25">
      <c r="A7" s="73">
        <v>5</v>
      </c>
      <c r="B7">
        <v>5</v>
      </c>
      <c r="C7" t="s">
        <v>238</v>
      </c>
      <c r="D7">
        <v>1.4378176034328221</v>
      </c>
      <c r="E7">
        <v>0.14032762559020859</v>
      </c>
    </row>
    <row r="8" spans="1:5" x14ac:dyDescent="0.25">
      <c r="A8" s="73">
        <v>6</v>
      </c>
      <c r="B8" t="s">
        <v>232</v>
      </c>
      <c r="D8">
        <v>1.405072635534182</v>
      </c>
      <c r="E8">
        <v>0.13805938164888029</v>
      </c>
    </row>
    <row r="9" spans="1:5" x14ac:dyDescent="0.25">
      <c r="A9" s="73">
        <v>7</v>
      </c>
      <c r="B9" t="s">
        <v>233</v>
      </c>
      <c r="D9">
        <v>1.405742020436223</v>
      </c>
      <c r="E9">
        <v>0.13810574994135119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2024-10-18T20:55:51Z</dcterms:modified>
</cp:coreProperties>
</file>