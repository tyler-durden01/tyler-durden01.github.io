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2" documentId="11_0B47D10446D60FB6BF2DDB634AC0367DC2799A8E" xr6:coauthVersionLast="47" xr6:coauthVersionMax="47" xr10:uidLastSave="{9A0C3C54-A7A8-4B53-9514-6C3605F5ABAF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3" l="1"/>
  <c r="O32" i="5"/>
  <c r="G32" i="5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C32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K32" i="5" s="1"/>
  <c r="H4" i="5"/>
  <c r="G4" i="5"/>
  <c r="D4" i="5"/>
  <c r="C4" i="5"/>
  <c r="R3" i="5"/>
  <c r="P3" i="5"/>
  <c r="O3" i="5"/>
  <c r="O31" i="5" s="1"/>
  <c r="L3" i="5"/>
  <c r="K3" i="5"/>
  <c r="K31" i="5" s="1"/>
  <c r="H3" i="5"/>
  <c r="G3" i="5"/>
  <c r="D3" i="5"/>
  <c r="C3" i="5"/>
  <c r="R2" i="5"/>
  <c r="H2" i="5"/>
  <c r="G2" i="5"/>
  <c r="G31" i="5" s="1"/>
  <c r="D2" i="5"/>
  <c r="C2" i="5"/>
  <c r="C31" i="5" s="1"/>
  <c r="T1" i="5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S1" i="5"/>
  <c r="K10" i="3"/>
  <c r="C21" i="3" s="1"/>
  <c r="J10" i="3"/>
  <c r="E10" i="3"/>
  <c r="E11" i="3" s="1"/>
  <c r="D10" i="3"/>
  <c r="L5" i="3"/>
  <c r="M5" i="3" s="1"/>
  <c r="N5" i="3" s="1"/>
  <c r="O5" i="3" s="1"/>
  <c r="P5" i="3" s="1"/>
  <c r="Q5" i="3" s="1"/>
  <c r="R5" i="3" s="1"/>
  <c r="S5" i="3" s="1"/>
  <c r="T5" i="3" s="1"/>
  <c r="U5" i="3" s="1"/>
  <c r="K4" i="3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F4" i="3"/>
  <c r="F5" i="3" s="1"/>
  <c r="E4" i="3"/>
  <c r="E5" i="3" s="1"/>
  <c r="D4" i="3"/>
  <c r="F3" i="3"/>
  <c r="E3" i="3"/>
  <c r="L1" i="3"/>
  <c r="L3" i="3" s="1"/>
  <c r="K1" i="3"/>
  <c r="K3" i="3" s="1"/>
  <c r="J1" i="3"/>
  <c r="J4" i="3" s="1"/>
  <c r="I1" i="3"/>
  <c r="I10" i="3" s="1"/>
  <c r="I11" i="3" s="1"/>
  <c r="H1" i="3"/>
  <c r="H10" i="3" s="1"/>
  <c r="G1" i="3"/>
  <c r="G3" i="3" s="1"/>
  <c r="F1" i="3"/>
  <c r="F7" i="3" s="1"/>
  <c r="E1" i="3"/>
  <c r="E7" i="3" s="1"/>
  <c r="D1" i="3"/>
  <c r="D3" i="3" s="1"/>
  <c r="E13" i="3" l="1"/>
  <c r="E8" i="3"/>
  <c r="F8" i="3"/>
  <c r="J11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H11" i="3"/>
  <c r="H7" i="3"/>
  <c r="K11" i="3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I3" i="3"/>
  <c r="G4" i="3"/>
  <c r="G5" i="3" s="1"/>
  <c r="K7" i="3"/>
  <c r="F10" i="3"/>
  <c r="F11" i="3" s="1"/>
  <c r="G7" i="3"/>
  <c r="K5" i="3"/>
  <c r="I7" i="3"/>
  <c r="H3" i="3"/>
  <c r="J3" i="3"/>
  <c r="H4" i="3"/>
  <c r="H5" i="3" s="1"/>
  <c r="D7" i="3"/>
  <c r="G10" i="3"/>
  <c r="G11" i="3" s="1"/>
  <c r="M1" i="3"/>
  <c r="I4" i="3"/>
  <c r="I5" i="3" s="1"/>
  <c r="J7" i="3"/>
  <c r="C20" i="3"/>
  <c r="D13" i="3" l="1"/>
  <c r="D8" i="3"/>
  <c r="K8" i="3"/>
  <c r="K13" i="3"/>
  <c r="F13" i="3"/>
  <c r="I8" i="3"/>
  <c r="I13" i="3"/>
  <c r="G13" i="3"/>
  <c r="G8" i="3"/>
  <c r="J8" i="3"/>
  <c r="J13" i="3"/>
  <c r="H13" i="3"/>
  <c r="H8" i="3"/>
  <c r="N1" i="3"/>
  <c r="M3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J5" i="3"/>
  <c r="O1" i="3" l="1"/>
  <c r="N3" i="3"/>
  <c r="L7" i="3" l="1"/>
  <c r="L13" i="3" s="1"/>
  <c r="L14" i="3" s="1"/>
  <c r="M8" i="3"/>
  <c r="P1" i="3"/>
  <c r="O3" i="3"/>
  <c r="Q1" i="3" l="1"/>
  <c r="P3" i="3"/>
  <c r="M7" i="3"/>
  <c r="M13" i="3" s="1"/>
  <c r="M14" i="3" s="1"/>
  <c r="N8" i="3"/>
  <c r="R1" i="3" l="1"/>
  <c r="Q3" i="3"/>
  <c r="N7" i="3"/>
  <c r="N13" i="3" s="1"/>
  <c r="N14" i="3" s="1"/>
  <c r="O8" i="3"/>
  <c r="R3" i="3" l="1"/>
  <c r="S1" i="3"/>
  <c r="O7" i="3"/>
  <c r="O13" i="3" s="1"/>
  <c r="O14" i="3" s="1"/>
  <c r="P8" i="3"/>
  <c r="Q8" i="3" l="1"/>
  <c r="P7" i="3"/>
  <c r="P13" i="3" s="1"/>
  <c r="P14" i="3" s="1"/>
  <c r="S3" i="3"/>
  <c r="T1" i="3"/>
  <c r="T3" i="3" l="1"/>
  <c r="U1" i="3"/>
  <c r="U3" i="3" s="1"/>
  <c r="R8" i="3"/>
  <c r="Q7" i="3"/>
  <c r="Q13" i="3" s="1"/>
  <c r="Q14" i="3" s="1"/>
  <c r="S8" i="3" l="1"/>
  <c r="R7" i="3"/>
  <c r="R13" i="3" s="1"/>
  <c r="R14" i="3" s="1"/>
  <c r="T8" i="3" l="1"/>
  <c r="S7" i="3"/>
  <c r="S13" i="3" s="1"/>
  <c r="S14" i="3" s="1"/>
  <c r="T7" i="3" l="1"/>
  <c r="T13" i="3" s="1"/>
  <c r="T14" i="3" s="1"/>
  <c r="U8" i="3"/>
  <c r="U7" i="3" s="1"/>
  <c r="U13" i="3" l="1"/>
  <c r="V7" i="3"/>
  <c r="U14" i="3" l="1"/>
  <c r="V13" i="3"/>
  <c r="V14" i="3" s="1"/>
  <c r="C18" i="3" l="1"/>
  <c r="C17" i="3"/>
  <c r="C19" i="3" l="1"/>
  <c r="C22" i="3" s="1"/>
  <c r="L18" i="3" l="1"/>
  <c r="L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<sst xmlns="http://schemas.openxmlformats.org/spreadsheetml/2006/main" count="123" uniqueCount="105">
  <si>
    <t>This sheet contains FactSet XML data for use with this workbook's =FDS codes.  Modifying the worksheet's contents may damage the workbook's =FDS functionality.</t>
  </si>
  <si>
    <t>NET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</si>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</sst>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2035128000</v>
      </c>
    </row>
    <row r="3" spans="1:2" x14ac:dyDescent="0.25">
      <c r="A3" s="73" t="s">
        <v>3</v>
      </c>
      <c r="B3">
        <v>1285342000</v>
      </c>
    </row>
    <row r="4" spans="1:2" x14ac:dyDescent="0.25">
      <c r="A4" s="73" t="s">
        <v>4</v>
      </c>
      <c r="B4">
        <v>0.5931744479522929</v>
      </c>
    </row>
    <row r="5" spans="1:2" x14ac:dyDescent="0.25">
      <c r="A5" s="73" t="s">
        <v>5</v>
      </c>
      <c r="B5">
        <v>1.7497288659360699E-3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881545000</v>
      </c>
    </row>
    <row r="8" spans="1:2" x14ac:dyDescent="0.25">
      <c r="A8" s="73" t="s">
        <v>8</v>
      </c>
      <c r="B8">
        <v>0.40682555204770721</v>
      </c>
    </row>
    <row r="9" spans="1:2" x14ac:dyDescent="0.25">
      <c r="A9" s="73" t="s">
        <v>9</v>
      </c>
      <c r="B9">
        <v>0.1517103542949062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1.602141677772017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6.2539585256131541E-2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J14" sqref="J14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>
        <f>Python!A31</f>
        <v>0</v>
      </c>
      <c r="E1" s="66" t="str">
        <f>Python!A27</f>
        <v>2018-06-30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1900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0</v>
      </c>
      <c r="E4" s="36">
        <f>IFERROR(INDEX(Python!$1:$1048576,MATCH(DCF_Simple!E$1,Python!$A:$A,0),MATCH(DCF_Simple!$B4,Python!$1:$1,0))/1000000,0)</f>
        <v>0</v>
      </c>
      <c r="F4" s="36">
        <f>IFERROR(INDEX(Python!$1:$1048576,MATCH(DCF_Simple!F$1,Python!$A:$A,0),MATCH(DCF_Simple!$B4,Python!$1:$1,0))/1000000,0)</f>
        <v>234.72</v>
      </c>
      <c r="G4" s="36">
        <f>IFERROR(INDEX(Python!$1:$1048576,MATCH(DCF_Simple!G$1,Python!$A:$A,0),MATCH(DCF_Simple!$B4,Python!$1:$1,0))/1000000,0)</f>
        <v>348.84199999999998</v>
      </c>
      <c r="H4" s="36">
        <f>IFERROR(INDEX(Python!$1:$1048576,MATCH(DCF_Simple!H$1,Python!$A:$A,0),MATCH(DCF_Simple!$B4,Python!$1:$1,0))/1000000,0)</f>
        <v>530.57100000000003</v>
      </c>
      <c r="I4" s="36">
        <f>IFERROR(INDEX(Python!$1:$1048576,MATCH(DCF_Simple!I$1,Python!$A:$A,0),MATCH(DCF_Simple!$B4,Python!$1:$1,0))/1000000,0)</f>
        <v>812.62699999999995</v>
      </c>
      <c r="J4" s="36">
        <f>IFERROR(INDEX(Python!$1:$1048576,MATCH(DCF_Simple!J$1,Python!$A:$A,0),MATCH(DCF_Simple!$B4,Python!$1:$1,0))/1000000,0)</f>
        <v>1127.2260000000001</v>
      </c>
      <c r="K4" s="55">
        <f>IFERROR(INDEX(Python!$1:$1048576,MATCH(DCF_Simple!K$1,Python!$A:$A,0),MATCH(DCF_Simple!$B4,Python!$1:$1,0))/1000000,0)</f>
        <v>1477.674</v>
      </c>
      <c r="L4" s="37">
        <f t="shared" ref="L4:U4" si="2">K4*(1+L5)</f>
        <v>1867.4180411974864</v>
      </c>
      <c r="M4" s="36">
        <f t="shared" si="2"/>
        <v>2113.688549435908</v>
      </c>
      <c r="N4" s="36">
        <f t="shared" si="2"/>
        <v>2392.4366079014435</v>
      </c>
      <c r="O4" s="36">
        <f t="shared" si="2"/>
        <v>2707.9452762113397</v>
      </c>
      <c r="P4" s="36">
        <f t="shared" si="2"/>
        <v>3065.0624533736404</v>
      </c>
      <c r="Q4" s="36">
        <f t="shared" si="2"/>
        <v>3469.275367419812</v>
      </c>
      <c r="R4" s="36">
        <f t="shared" si="2"/>
        <v>3926.7948885473043</v>
      </c>
      <c r="S4" s="36">
        <f t="shared" si="2"/>
        <v>4444.6509612724312</v>
      </c>
      <c r="T4" s="36">
        <f t="shared" si="2"/>
        <v>5030.8006219413646</v>
      </c>
      <c r="U4" s="36">
        <f t="shared" si="2"/>
        <v>5694.2502613253746</v>
      </c>
      <c r="V4" s="19">
        <f>U4</f>
        <v>5694.2502613253746</v>
      </c>
    </row>
    <row r="5" spans="2:22" s="1" customFormat="1" x14ac:dyDescent="0.25">
      <c r="B5" s="10" t="s">
        <v>18</v>
      </c>
      <c r="C5" s="30"/>
      <c r="D5" s="30"/>
      <c r="E5" s="42" t="str">
        <f t="shared" ref="E5:K5" si="3">IFERROR(E4/D4-1,"")</f>
        <v/>
      </c>
      <c r="F5" s="42" t="str">
        <f t="shared" si="3"/>
        <v/>
      </c>
      <c r="G5" s="42">
        <f t="shared" si="3"/>
        <v>0.48620483980913431</v>
      </c>
      <c r="H5" s="42">
        <f t="shared" si="3"/>
        <v>0.5209493122961113</v>
      </c>
      <c r="I5" s="42">
        <f t="shared" si="3"/>
        <v>0.53160839925288017</v>
      </c>
      <c r="J5" s="42">
        <f t="shared" si="3"/>
        <v>0.38713825654328504</v>
      </c>
      <c r="K5" s="58">
        <f t="shared" si="3"/>
        <v>0.31089417738767544</v>
      </c>
      <c r="L5" s="43">
        <f>Python!F2</f>
        <v>0.26375509158142219</v>
      </c>
      <c r="M5" s="43">
        <f>L5/2</f>
        <v>0.13187754579071109</v>
      </c>
      <c r="N5" s="38">
        <f t="shared" ref="N5:U5" si="4">M5</f>
        <v>0.13187754579071109</v>
      </c>
      <c r="O5" s="38">
        <f t="shared" si="4"/>
        <v>0.13187754579071109</v>
      </c>
      <c r="P5" s="38">
        <f t="shared" si="4"/>
        <v>0.13187754579071109</v>
      </c>
      <c r="Q5" s="38">
        <f t="shared" si="4"/>
        <v>0.13187754579071109</v>
      </c>
      <c r="R5" s="38">
        <f t="shared" si="4"/>
        <v>0.13187754579071109</v>
      </c>
      <c r="S5" s="38">
        <f t="shared" si="4"/>
        <v>0.13187754579071109</v>
      </c>
      <c r="T5" s="38">
        <f t="shared" si="4"/>
        <v>0.13187754579071109</v>
      </c>
      <c r="U5" s="38">
        <f t="shared" si="4"/>
        <v>0.13187754579071109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0</v>
      </c>
      <c r="E7" s="52">
        <f>IFERROR(INDEX(Python!$1:$1048576,MATCH(DCF_Simple!E$1,Python!$A:$A,0),MATCH(DCF_Simple!$B7,Python!$1:$1,0))/1000000,0)</f>
        <v>0</v>
      </c>
      <c r="F7" s="52">
        <f>IFERROR(INDEX(Python!$1:$1048576,MATCH(DCF_Simple!F$1,Python!$A:$A,0),MATCH(DCF_Simple!$B7,Python!$1:$1,0))/1000000,0)</f>
        <v>-90.116</v>
      </c>
      <c r="G7" s="52">
        <f>IFERROR(INDEX(Python!$1:$1048576,MATCH(DCF_Simple!G$1,Python!$A:$A,0),MATCH(DCF_Simple!$B7,Python!$1:$1,0))/1000000,0)</f>
        <v>-107.935</v>
      </c>
      <c r="H7" s="52">
        <f>IFERROR(INDEX(Python!$1:$1048576,MATCH(DCF_Simple!H$1,Python!$A:$A,0),MATCH(DCF_Simple!$B7,Python!$1:$1,0))/1000000,0)</f>
        <v>-53.328000000000003</v>
      </c>
      <c r="I7" s="52">
        <f>IFERROR(INDEX(Python!$1:$1048576,MATCH(DCF_Simple!I$1,Python!$A:$A,0),MATCH(DCF_Simple!$B7,Python!$1:$1,0))/1000000,0)</f>
        <v>-99.911000000000001</v>
      </c>
      <c r="J7" s="52">
        <f>IFERROR(INDEX(Python!$1:$1048576,MATCH(DCF_Simple!J$1,Python!$A:$A,0),MATCH(DCF_Simple!$B7,Python!$1:$1,0))/1000000,0)</f>
        <v>62.918999999999997</v>
      </c>
      <c r="K7" s="57">
        <f>IFERROR(INDEX(Python!$1:$1048576,MATCH(DCF_Simple!K$1,Python!$A:$A,0),MATCH(DCF_Simple!$B7,Python!$1:$1,0))/1000000,0)</f>
        <v>199.51900000000001</v>
      </c>
      <c r="L7" s="64">
        <f t="shared" ref="L7:U7" si="5">L8*L4</f>
        <v>178.18893128911401</v>
      </c>
      <c r="M7" s="64">
        <f t="shared" si="5"/>
        <v>201.688050234592</v>
      </c>
      <c r="N7" s="64">
        <f t="shared" si="5"/>
        <v>228.28617531484363</v>
      </c>
      <c r="O7" s="64">
        <f t="shared" si="5"/>
        <v>258.39199585331323</v>
      </c>
      <c r="P7" s="64">
        <f t="shared" si="5"/>
        <v>292.46809811841177</v>
      </c>
      <c r="Q7" s="64">
        <f t="shared" si="5"/>
        <v>331.03807312034479</v>
      </c>
      <c r="R7" s="64">
        <f t="shared" si="5"/>
        <v>374.69456176674186</v>
      </c>
      <c r="S7" s="64">
        <f t="shared" si="5"/>
        <v>424.10836099366571</v>
      </c>
      <c r="T7" s="64">
        <f t="shared" si="5"/>
        <v>480.03873079083132</v>
      </c>
      <c r="U7" s="64">
        <f t="shared" si="5"/>
        <v>543.345060492014</v>
      </c>
      <c r="V7" s="65">
        <f>U7</f>
        <v>543.345060492014</v>
      </c>
    </row>
    <row r="8" spans="2:22" s="1" customFormat="1" x14ac:dyDescent="0.25">
      <c r="B8" s="10" t="s">
        <v>20</v>
      </c>
      <c r="C8" s="42"/>
      <c r="D8" s="42" t="str">
        <f t="shared" ref="D8:K8" si="6">IFERROR(D7/D$4,"")</f>
        <v/>
      </c>
      <c r="E8" s="42" t="str">
        <f t="shared" si="6"/>
        <v/>
      </c>
      <c r="F8" s="42">
        <f t="shared" si="6"/>
        <v>-0.38392978868438993</v>
      </c>
      <c r="G8" s="42">
        <f t="shared" si="6"/>
        <v>-0.30940941744400047</v>
      </c>
      <c r="H8" s="42">
        <f t="shared" si="6"/>
        <v>-0.10051058199562359</v>
      </c>
      <c r="I8" s="42">
        <f t="shared" si="6"/>
        <v>-0.12294816687114754</v>
      </c>
      <c r="J8" s="42">
        <f t="shared" si="6"/>
        <v>5.5817555663194421E-2</v>
      </c>
      <c r="K8" s="58">
        <f t="shared" si="6"/>
        <v>0.13502233916276526</v>
      </c>
      <c r="L8" s="38">
        <f>AVERAGE(J8:K8)</f>
        <v>9.541994741297985E-2</v>
      </c>
      <c r="M8" s="38">
        <f t="shared" ref="M8:U8" si="7">L8</f>
        <v>9.541994741297985E-2</v>
      </c>
      <c r="N8" s="38">
        <f t="shared" si="7"/>
        <v>9.541994741297985E-2</v>
      </c>
      <c r="O8" s="38">
        <f t="shared" si="7"/>
        <v>9.541994741297985E-2</v>
      </c>
      <c r="P8" s="38">
        <f t="shared" si="7"/>
        <v>9.541994741297985E-2</v>
      </c>
      <c r="Q8" s="38">
        <f t="shared" si="7"/>
        <v>9.541994741297985E-2</v>
      </c>
      <c r="R8" s="38">
        <f t="shared" si="7"/>
        <v>9.541994741297985E-2</v>
      </c>
      <c r="S8" s="38">
        <f t="shared" si="7"/>
        <v>9.541994741297985E-2</v>
      </c>
      <c r="T8" s="38">
        <f t="shared" si="7"/>
        <v>9.541994741297985E-2</v>
      </c>
      <c r="U8" s="38">
        <f t="shared" si="7"/>
        <v>9.541994741297985E-2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0</v>
      </c>
      <c r="E10" s="17">
        <f>IFERROR(INDEX(Python!$1:$1048576,MATCH(DCF_Simple!E$1,Python!$A:$A,0),MATCH(DCF_Simple!$B10,Python!$1:$1,0))/1000000,0)</f>
        <v>78.828000000000003</v>
      </c>
      <c r="F10" s="17">
        <f>IFERROR(INDEX(Python!$1:$1048576,MATCH(DCF_Simple!F$1,Python!$A:$A,0),MATCH(DCF_Simple!$B10,Python!$1:$1,0))/1000000,0)</f>
        <v>293.34368699999999</v>
      </c>
      <c r="G10" s="17">
        <f>IFERROR(INDEX(Python!$1:$1048576,MATCH(DCF_Simple!G$1,Python!$A:$A,0),MATCH(DCF_Simple!$B10,Python!$1:$1,0))/1000000,0)</f>
        <v>299.32100000000003</v>
      </c>
      <c r="H10" s="17">
        <f>IFERROR(INDEX(Python!$1:$1048576,MATCH(DCF_Simple!H$1,Python!$A:$A,0),MATCH(DCF_Simple!$B10,Python!$1:$1,0))/1000000,0)</f>
        <v>308.26299999999998</v>
      </c>
      <c r="I10" s="17">
        <f>IFERROR(INDEX(Python!$1:$1048576,MATCH(DCF_Simple!I$1,Python!$A:$A,0),MATCH(DCF_Simple!$B10,Python!$1:$1,0))/1000000,0)</f>
        <v>325.197</v>
      </c>
      <c r="J10" s="17">
        <f>IFERROR(INDEX(Python!$1:$1048576,MATCH(DCF_Simple!J$1,Python!$A:$A,0),MATCH(DCF_Simple!$B10,Python!$1:$1,0))/1000000,0)</f>
        <v>332.29700000000003</v>
      </c>
      <c r="K10" s="69">
        <f>IFERROR(INDEX(Python!$1:$1048576,MATCH(DCF_Simple!K$1,Python!$A:$A,0),MATCH(DCF_Simple!$B10,Python!$1:$1,0))/1000000,0)</f>
        <v>340.64800000000002</v>
      </c>
      <c r="L10" s="17">
        <f t="shared" ref="L10:U10" si="8">K10*(1+L11)</f>
        <v>349.20887008910705</v>
      </c>
      <c r="M10" s="17">
        <f t="shared" si="8"/>
        <v>357.98488454037846</v>
      </c>
      <c r="N10" s="17">
        <f t="shared" si="8"/>
        <v>366.98145017532761</v>
      </c>
      <c r="O10" s="17">
        <f t="shared" si="8"/>
        <v>376.20410969501683</v>
      </c>
      <c r="P10" s="17">
        <f t="shared" si="8"/>
        <v>385.65854509486422</v>
      </c>
      <c r="Q10" s="17">
        <f t="shared" si="8"/>
        <v>395.35058116526875</v>
      </c>
      <c r="R10" s="17">
        <f t="shared" si="8"/>
        <v>405.28618908020979</v>
      </c>
      <c r="S10" s="17">
        <f t="shared" si="8"/>
        <v>415.4714900760323</v>
      </c>
      <c r="T10" s="17">
        <f t="shared" si="8"/>
        <v>425.91275922268409</v>
      </c>
      <c r="U10" s="17">
        <f t="shared" si="8"/>
        <v>436.61642928972844</v>
      </c>
      <c r="V10" s="70">
        <f>U10</f>
        <v>436.61642928972844</v>
      </c>
    </row>
    <row r="11" spans="2:22" s="1" customFormat="1" x14ac:dyDescent="0.25">
      <c r="B11" s="10" t="s">
        <v>22</v>
      </c>
      <c r="C11" s="42"/>
      <c r="D11" s="42"/>
      <c r="E11" s="42" t="str">
        <f t="shared" ref="E11:K11" si="9">IFERROR(E10/D10-1,"")</f>
        <v/>
      </c>
      <c r="F11" s="42">
        <f t="shared" si="9"/>
        <v>2.72131332775156</v>
      </c>
      <c r="G11" s="42">
        <f t="shared" si="9"/>
        <v>2.0376484188664445E-2</v>
      </c>
      <c r="H11" s="42">
        <f t="shared" si="9"/>
        <v>2.9874282125209817E-2</v>
      </c>
      <c r="I11" s="42">
        <f t="shared" si="9"/>
        <v>5.4933611883359434E-2</v>
      </c>
      <c r="J11" s="42">
        <f t="shared" si="9"/>
        <v>2.1832919737881928E-2</v>
      </c>
      <c r="K11" s="58">
        <f t="shared" si="9"/>
        <v>2.5131132691537994E-2</v>
      </c>
      <c r="L11" s="67">
        <f t="shared" ref="L11:U11" si="10">K11</f>
        <v>2.5131132691537994E-2</v>
      </c>
      <c r="M11" s="67">
        <f t="shared" si="10"/>
        <v>2.5131132691537994E-2</v>
      </c>
      <c r="N11" s="67">
        <f t="shared" si="10"/>
        <v>2.5131132691537994E-2</v>
      </c>
      <c r="O11" s="67">
        <f t="shared" si="10"/>
        <v>2.5131132691537994E-2</v>
      </c>
      <c r="P11" s="67">
        <f t="shared" si="10"/>
        <v>2.5131132691537994E-2</v>
      </c>
      <c r="Q11" s="67">
        <f t="shared" si="10"/>
        <v>2.5131132691537994E-2</v>
      </c>
      <c r="R11" s="67">
        <f t="shared" si="10"/>
        <v>2.5131132691537994E-2</v>
      </c>
      <c r="S11" s="67">
        <f t="shared" si="10"/>
        <v>2.5131132691537994E-2</v>
      </c>
      <c r="T11" s="67">
        <f t="shared" si="10"/>
        <v>2.5131132691537994E-2</v>
      </c>
      <c r="U11" s="67">
        <f t="shared" si="10"/>
        <v>2.5131132691537994E-2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0</v>
      </c>
      <c r="E13" s="53">
        <f t="shared" si="11"/>
        <v>0</v>
      </c>
      <c r="F13" s="53">
        <f t="shared" si="11"/>
        <v>-0.30720279315232035</v>
      </c>
      <c r="G13" s="53">
        <f t="shared" si="11"/>
        <v>-0.36059949017943943</v>
      </c>
      <c r="H13" s="53">
        <f t="shared" si="11"/>
        <v>-0.17299513726915006</v>
      </c>
      <c r="I13" s="53">
        <f t="shared" si="11"/>
        <v>-0.30723223153965135</v>
      </c>
      <c r="J13" s="53">
        <f t="shared" si="11"/>
        <v>0.18934567570576921</v>
      </c>
      <c r="K13" s="59">
        <f t="shared" si="11"/>
        <v>0.58570430473685442</v>
      </c>
      <c r="L13" s="53">
        <f t="shared" ref="L13:U13" si="12">L7/L10</f>
        <v>0.51026461969206516</v>
      </c>
      <c r="M13" s="53">
        <f t="shared" si="12"/>
        <v>0.56339822977034903</v>
      </c>
      <c r="N13" s="53">
        <f t="shared" si="12"/>
        <v>0.62206461717827577</v>
      </c>
      <c r="O13" s="53">
        <f t="shared" si="12"/>
        <v>0.68683990736514777</v>
      </c>
      <c r="P13" s="53">
        <f t="shared" si="12"/>
        <v>0.75836021744694004</v>
      </c>
      <c r="Q13" s="53">
        <f t="shared" si="12"/>
        <v>0.83732790310977345</v>
      </c>
      <c r="R13" s="53">
        <f t="shared" si="12"/>
        <v>0.92451845600044968</v>
      </c>
      <c r="S13" s="53">
        <f t="shared" si="12"/>
        <v>1.0207881193389536</v>
      </c>
      <c r="T13" s="53">
        <f t="shared" si="12"/>
        <v>1.1270822965410341</v>
      </c>
      <c r="U13" s="53">
        <f t="shared" si="12"/>
        <v>1.2444448354266187</v>
      </c>
      <c r="V13" s="71">
        <f>U13*(1+WACC!$B$13)/(WACC!$B$14-WACC!$B$13)</f>
        <v>29.838883583196026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0.48023116199389676</v>
      </c>
      <c r="M14" s="62">
        <f>M13/((1+WACC!$B$14)^(M3-$K$3))</f>
        <v>0.49902837492975488</v>
      </c>
      <c r="N14" s="62">
        <f>N13/((1+WACC!$B$14)^(N3-$K$3))</f>
        <v>0.51856134856195957</v>
      </c>
      <c r="O14" s="62">
        <f>O13/((1+WACC!$B$14)^(O3-$K$3))</f>
        <v>0.53885888204303078</v>
      </c>
      <c r="P14" s="62">
        <f>P13/((1+WACC!$B$14)^(P3-$K$3))</f>
        <v>0.55995090178220386</v>
      </c>
      <c r="Q14" s="62">
        <f>Q13/((1+WACC!$B$14)^(Q3-$K$3))</f>
        <v>0.58186850556852288</v>
      </c>
      <c r="R14" s="62">
        <f>R13/((1+WACC!$B$14)^(R3-$K$3))</f>
        <v>0.60464400842100141</v>
      </c>
      <c r="S14" s="62">
        <f>S13/((1+WACC!$B$14)^(S3-$K$3))</f>
        <v>0.62831099023344927</v>
      </c>
      <c r="T14" s="62">
        <f>T13/((1+WACC!$B$14)^(T3-$K$3))</f>
        <v>0.65290434528421559</v>
      </c>
      <c r="U14" s="62">
        <f>U13/((1+WACC!$B$14)^(U3-$K$3))</f>
        <v>0.67846033368384051</v>
      </c>
      <c r="V14" s="63">
        <f>V13/((1+WACC!$B$14)^(U3-$K$3))</f>
        <v>16.267895800835767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16.267895800835767</v>
      </c>
      <c r="L17" s="16">
        <f>C17/$C$19</f>
        <v>0.7390898504228689</v>
      </c>
      <c r="O17" s="18"/>
    </row>
    <row r="18" spans="2:22" x14ac:dyDescent="0.25">
      <c r="B18" s="8" t="s">
        <v>26</v>
      </c>
      <c r="C18" s="32">
        <f>SUM(14:14)-V14</f>
        <v>5.7428188525018768</v>
      </c>
      <c r="K18" s="3"/>
      <c r="L18" s="16">
        <f>C18/$C$19</f>
        <v>0.26091014957713116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22.010714653337644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5.1619178741692302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3.7732263215988353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23.39940620590804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0.26375509158142219</v>
      </c>
    </row>
    <row r="3" spans="1:6" x14ac:dyDescent="0.25">
      <c r="A3" s="73" t="s">
        <v>34</v>
      </c>
      <c r="B3">
        <v>1477674000</v>
      </c>
      <c r="C3">
        <v>199519000</v>
      </c>
      <c r="D3">
        <v>340648000</v>
      </c>
      <c r="E3">
        <v>1758397000</v>
      </c>
      <c r="F3">
        <v>0.27752005873696078</v>
      </c>
    </row>
    <row r="4" spans="1:6" x14ac:dyDescent="0.25">
      <c r="A4" s="73" t="s">
        <v>35</v>
      </c>
      <c r="B4">
        <v>1385172000</v>
      </c>
      <c r="C4">
        <v>181214000</v>
      </c>
      <c r="D4">
        <v>338583000</v>
      </c>
      <c r="E4">
        <v>1721737000</v>
      </c>
      <c r="F4">
        <v>0.28624585164125088</v>
      </c>
    </row>
    <row r="5" spans="1:6" x14ac:dyDescent="0.25">
      <c r="A5" s="73" t="s">
        <v>36</v>
      </c>
      <c r="B5">
        <v>1296745000</v>
      </c>
      <c r="C5">
        <v>159510000</v>
      </c>
      <c r="D5">
        <v>336578000</v>
      </c>
      <c r="E5">
        <v>1676266000</v>
      </c>
      <c r="F5">
        <v>0.28544816163086989</v>
      </c>
    </row>
    <row r="6" spans="1:6" x14ac:dyDescent="0.25">
      <c r="A6" s="73" t="s">
        <v>37</v>
      </c>
      <c r="B6">
        <v>1208972000</v>
      </c>
      <c r="C6">
        <v>102408000</v>
      </c>
      <c r="D6">
        <v>334666000</v>
      </c>
      <c r="E6">
        <v>1574305000</v>
      </c>
      <c r="F6">
        <v>0.30203224650098282</v>
      </c>
    </row>
    <row r="7" spans="1:6" x14ac:dyDescent="0.25">
      <c r="A7" s="73" t="s">
        <v>38</v>
      </c>
      <c r="B7">
        <v>1127226000</v>
      </c>
      <c r="C7">
        <v>62919000</v>
      </c>
      <c r="D7">
        <v>332297000</v>
      </c>
      <c r="E7">
        <v>1584620000</v>
      </c>
      <c r="F7">
        <v>0.3028906220018166</v>
      </c>
    </row>
    <row r="8" spans="1:6" x14ac:dyDescent="0.25">
      <c r="A8" s="73" t="s">
        <v>39</v>
      </c>
      <c r="B8">
        <v>1053249000</v>
      </c>
      <c r="C8">
        <v>38535000</v>
      </c>
      <c r="D8">
        <v>330389000</v>
      </c>
      <c r="E8">
        <v>1715592000</v>
      </c>
      <c r="F8">
        <v>0.44697337474725107</v>
      </c>
    </row>
    <row r="9" spans="1:6" x14ac:dyDescent="0.25">
      <c r="A9" s="73" t="s">
        <v>40</v>
      </c>
      <c r="B9">
        <v>975241000</v>
      </c>
      <c r="C9">
        <v>-39769000</v>
      </c>
      <c r="D9">
        <v>328326000</v>
      </c>
      <c r="E9">
        <v>1649937000</v>
      </c>
      <c r="F9">
        <v>0.41614496167276188</v>
      </c>
    </row>
    <row r="10" spans="1:6" x14ac:dyDescent="0.25">
      <c r="A10" s="73" t="s">
        <v>41</v>
      </c>
      <c r="B10">
        <v>894137000</v>
      </c>
      <c r="C10">
        <v>-64793000</v>
      </c>
      <c r="D10">
        <v>326590000</v>
      </c>
      <c r="E10">
        <v>1636262000</v>
      </c>
    </row>
    <row r="11" spans="1:6" x14ac:dyDescent="0.25">
      <c r="A11" s="73" t="s">
        <v>42</v>
      </c>
      <c r="B11">
        <v>812627000</v>
      </c>
      <c r="C11">
        <v>-99911000</v>
      </c>
      <c r="D11">
        <v>325197000</v>
      </c>
      <c r="E11">
        <v>1641848000</v>
      </c>
    </row>
    <row r="12" spans="1:6" x14ac:dyDescent="0.25">
      <c r="A12" s="73" t="s">
        <v>43</v>
      </c>
      <c r="B12">
        <v>730538000</v>
      </c>
      <c r="C12">
        <v>-105272000</v>
      </c>
      <c r="D12">
        <v>323334000</v>
      </c>
      <c r="E12">
        <v>1725240000</v>
      </c>
    </row>
    <row r="13" spans="1:6" x14ac:dyDescent="0.25">
      <c r="A13" s="73" t="s">
        <v>44</v>
      </c>
      <c r="B13">
        <v>656426000</v>
      </c>
      <c r="C13">
        <v>-43090000</v>
      </c>
      <c r="D13">
        <v>320331000</v>
      </c>
      <c r="E13">
        <v>1821843000</v>
      </c>
      <c r="F13">
        <v>0.46792560710258407</v>
      </c>
    </row>
    <row r="14" spans="1:6" x14ac:dyDescent="0.25">
      <c r="A14" s="73" t="s">
        <v>45</v>
      </c>
      <c r="B14">
        <v>588756000</v>
      </c>
      <c r="C14">
        <v>-75206000</v>
      </c>
      <c r="D14">
        <v>314543000</v>
      </c>
      <c r="E14">
        <v>1813877000</v>
      </c>
      <c r="F14">
        <v>0.45109581121564091</v>
      </c>
    </row>
    <row r="15" spans="1:6" x14ac:dyDescent="0.25">
      <c r="A15" s="73" t="s">
        <v>46</v>
      </c>
      <c r="B15">
        <v>530571000</v>
      </c>
      <c r="C15">
        <v>-53328000</v>
      </c>
      <c r="D15">
        <v>308263000</v>
      </c>
      <c r="E15">
        <v>1033542000</v>
      </c>
      <c r="F15">
        <v>0.46468647526599199</v>
      </c>
    </row>
    <row r="16" spans="1:6" x14ac:dyDescent="0.25">
      <c r="A16" s="73" t="s">
        <v>47</v>
      </c>
      <c r="B16">
        <v>477864000</v>
      </c>
      <c r="C16">
        <v>-63707000</v>
      </c>
      <c r="D16">
        <v>305947000</v>
      </c>
      <c r="E16">
        <v>1035224000</v>
      </c>
      <c r="F16">
        <v>0.43528767123287682</v>
      </c>
    </row>
    <row r="17" spans="1:6" x14ac:dyDescent="0.25">
      <c r="A17" s="73" t="s">
        <v>48</v>
      </c>
      <c r="B17">
        <v>431059000</v>
      </c>
      <c r="C17">
        <v>-92091000</v>
      </c>
      <c r="D17">
        <v>303813000</v>
      </c>
      <c r="E17">
        <v>1032096000</v>
      </c>
      <c r="F17">
        <v>1.0004924699154061</v>
      </c>
    </row>
    <row r="18" spans="1:6" x14ac:dyDescent="0.25">
      <c r="A18" s="73" t="s">
        <v>49</v>
      </c>
      <c r="B18">
        <v>389063000</v>
      </c>
      <c r="C18">
        <v>-92151000</v>
      </c>
      <c r="D18">
        <v>301689000</v>
      </c>
      <c r="E18">
        <v>1051297000</v>
      </c>
      <c r="F18">
        <v>0.5439336768504619</v>
      </c>
    </row>
    <row r="19" spans="1:6" x14ac:dyDescent="0.25">
      <c r="A19" s="73" t="s">
        <v>50</v>
      </c>
      <c r="B19">
        <v>348842000</v>
      </c>
      <c r="C19">
        <v>-107935000</v>
      </c>
      <c r="D19">
        <v>299321000</v>
      </c>
      <c r="E19">
        <v>1069091000</v>
      </c>
      <c r="F19">
        <v>0.39668367346938771</v>
      </c>
    </row>
    <row r="20" spans="1:6" x14ac:dyDescent="0.25">
      <c r="A20" s="73" t="s">
        <v>51</v>
      </c>
      <c r="B20">
        <v>316545000</v>
      </c>
      <c r="C20">
        <v>-104676000</v>
      </c>
      <c r="D20">
        <v>296077000</v>
      </c>
      <c r="E20">
        <v>587854000</v>
      </c>
      <c r="F20">
        <v>0.4070017982406402</v>
      </c>
    </row>
    <row r="21" spans="1:6" x14ac:dyDescent="0.25">
      <c r="A21" s="73" t="s">
        <v>52</v>
      </c>
      <c r="B21">
        <v>287022000</v>
      </c>
      <c r="C21">
        <v>-96196000</v>
      </c>
      <c r="D21">
        <v>294418000</v>
      </c>
      <c r="E21">
        <v>636948000</v>
      </c>
      <c r="F21">
        <v>0.42561127227517609</v>
      </c>
    </row>
    <row r="22" spans="1:6" x14ac:dyDescent="0.25">
      <c r="A22" s="73" t="s">
        <v>53</v>
      </c>
      <c r="B22">
        <v>258591000</v>
      </c>
      <c r="C22">
        <v>-101613000</v>
      </c>
      <c r="D22">
        <v>118056000</v>
      </c>
      <c r="E22">
        <v>645105000</v>
      </c>
      <c r="F22">
        <v>0.21832079089275019</v>
      </c>
    </row>
    <row r="23" spans="1:6" x14ac:dyDescent="0.25">
      <c r="A23" s="73" t="s">
        <v>54</v>
      </c>
      <c r="B23">
        <v>234720000</v>
      </c>
      <c r="C23">
        <v>-90116000</v>
      </c>
      <c r="D23">
        <v>293343687</v>
      </c>
      <c r="E23">
        <v>124688000</v>
      </c>
    </row>
    <row r="24" spans="1:6" x14ac:dyDescent="0.25">
      <c r="A24" s="73" t="s">
        <v>55</v>
      </c>
      <c r="B24">
        <v>212577000</v>
      </c>
      <c r="C24">
        <v>-91363000</v>
      </c>
      <c r="D24">
        <v>251085000</v>
      </c>
      <c r="E24">
        <v>144140000</v>
      </c>
    </row>
    <row r="25" spans="1:6" x14ac:dyDescent="0.25">
      <c r="A25" s="73" t="s">
        <v>56</v>
      </c>
      <c r="B25">
        <v>192674000</v>
      </c>
      <c r="C25">
        <v>-74504000</v>
      </c>
      <c r="D25">
        <v>251085000</v>
      </c>
      <c r="E25">
        <v>160657000</v>
      </c>
    </row>
    <row r="26" spans="1:6" x14ac:dyDescent="0.25">
      <c r="A26" s="73" t="s">
        <v>57</v>
      </c>
      <c r="B26">
        <v>137175000</v>
      </c>
      <c r="C26">
        <v>-357000</v>
      </c>
      <c r="D26">
        <v>251085000</v>
      </c>
    </row>
    <row r="27" spans="1:6" x14ac:dyDescent="0.25">
      <c r="A27" s="73" t="s">
        <v>58</v>
      </c>
      <c r="D27">
        <v>78828000</v>
      </c>
    </row>
    <row r="28" spans="1:6" x14ac:dyDescent="0.25">
      <c r="A28" s="73" t="s">
        <v>59</v>
      </c>
      <c r="D28">
        <v>78678000</v>
      </c>
      <c r="E28">
        <v>73407000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60</v>
      </c>
      <c r="B1" s="27" t="s">
        <v>61</v>
      </c>
      <c r="C1" t="s">
        <v>62</v>
      </c>
      <c r="D1" t="s">
        <v>63</v>
      </c>
      <c r="F1" s="27" t="s">
        <v>61</v>
      </c>
      <c r="G1" t="s">
        <v>62</v>
      </c>
      <c r="H1" t="s">
        <v>63</v>
      </c>
      <c r="J1" t="s">
        <v>64</v>
      </c>
      <c r="K1" t="s">
        <v>62</v>
      </c>
      <c r="L1" t="s">
        <v>63</v>
      </c>
      <c r="N1" t="s">
        <v>65</v>
      </c>
      <c r="O1" t="s">
        <v>62</v>
      </c>
      <c r="P1" t="s">
        <v>63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66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67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68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69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70</v>
      </c>
    </row>
    <row r="7" spans="1:46" x14ac:dyDescent="0.25">
      <c r="A7" s="27" t="s">
        <v>71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72</v>
      </c>
    </row>
    <row r="8" spans="1:46" x14ac:dyDescent="0.25">
      <c r="A8" s="27" t="s">
        <v>73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74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75</v>
      </c>
    </row>
    <row r="10" spans="1:46" x14ac:dyDescent="0.25">
      <c r="A10" s="27" t="s">
        <v>76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77</v>
      </c>
    </row>
    <row r="11" spans="1:46" x14ac:dyDescent="0.25">
      <c r="A11" s="27" t="s">
        <v>78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79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80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81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82</v>
      </c>
    </row>
    <row r="15" spans="1:46" x14ac:dyDescent="0.25">
      <c r="A15" s="27" t="s">
        <v>83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84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85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86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87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88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89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90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91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92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93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94</v>
      </c>
      <c r="J26">
        <v>0.61799999999999999</v>
      </c>
      <c r="N26">
        <v>-0.36399999999999999</v>
      </c>
    </row>
    <row r="27" spans="1:17" x14ac:dyDescent="0.25">
      <c r="A27" s="27" t="s">
        <v>95</v>
      </c>
    </row>
    <row r="28" spans="1:17" x14ac:dyDescent="0.25">
      <c r="A28" s="27" t="s">
        <v>96</v>
      </c>
    </row>
    <row r="29" spans="1:17" x14ac:dyDescent="0.25">
      <c r="A29" s="27" t="s">
        <v>97</v>
      </c>
    </row>
    <row r="31" spans="1:17" x14ac:dyDescent="0.25">
      <c r="A31" s="26" t="s">
        <v>98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99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100</v>
      </c>
      <c r="C1" s="73" t="s">
        <v>101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102</v>
      </c>
      <c r="D2">
        <v>1.733592027516156</v>
      </c>
      <c r="E2">
        <v>0.16081592008185591</v>
      </c>
    </row>
    <row r="3" spans="1:5" x14ac:dyDescent="0.25">
      <c r="A3" s="73">
        <v>1</v>
      </c>
      <c r="B3">
        <v>3</v>
      </c>
      <c r="C3" t="s">
        <v>103</v>
      </c>
      <c r="D3">
        <v>2.6928597892934509</v>
      </c>
      <c r="E3">
        <v>0.22726439837928711</v>
      </c>
    </row>
    <row r="4" spans="1:5" x14ac:dyDescent="0.25">
      <c r="A4" s="73">
        <v>2</v>
      </c>
      <c r="B4">
        <v>3</v>
      </c>
      <c r="C4" t="s">
        <v>104</v>
      </c>
      <c r="D4">
        <v>2.5402378942593509</v>
      </c>
      <c r="E4">
        <v>0.21669227964041021</v>
      </c>
    </row>
    <row r="5" spans="1:5" x14ac:dyDescent="0.25">
      <c r="A5" s="73">
        <v>3</v>
      </c>
      <c r="B5">
        <v>5</v>
      </c>
      <c r="C5" t="s">
        <v>102</v>
      </c>
      <c r="D5">
        <v>1.1052382811654899</v>
      </c>
      <c r="E5">
        <v>0.1172898557845078</v>
      </c>
    </row>
    <row r="6" spans="1:5" x14ac:dyDescent="0.25">
      <c r="A6" s="73">
        <v>4</v>
      </c>
      <c r="B6">
        <v>5</v>
      </c>
      <c r="C6" t="s">
        <v>103</v>
      </c>
      <c r="D6">
        <v>1.4213074953744449</v>
      </c>
      <c r="E6">
        <v>0.13918397039744709</v>
      </c>
    </row>
    <row r="7" spans="1:5" x14ac:dyDescent="0.25">
      <c r="A7" s="73">
        <v>5</v>
      </c>
      <c r="B7">
        <v>5</v>
      </c>
      <c r="C7" t="s">
        <v>104</v>
      </c>
      <c r="D7">
        <v>1.4706913280278791</v>
      </c>
      <c r="E7">
        <v>0.14260478850795649</v>
      </c>
    </row>
    <row r="8" spans="1:5" x14ac:dyDescent="0.25">
      <c r="A8" s="73">
        <v>6</v>
      </c>
      <c r="B8" t="s">
        <v>98</v>
      </c>
      <c r="D8">
        <v>1.8273211359394621</v>
      </c>
      <c r="E8">
        <v>0.1673085354652441</v>
      </c>
    </row>
    <row r="9" spans="1:5" x14ac:dyDescent="0.25">
      <c r="A9" s="73">
        <v>7</v>
      </c>
      <c r="B9" t="s">
        <v>99</v>
      </c>
      <c r="D9">
        <v>1.602141677772017</v>
      </c>
      <c r="E9">
        <v>0.1517103542949062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2024-10-18T21:11:09Z</dcterms:modified>
</cp:coreProperties>
</file>