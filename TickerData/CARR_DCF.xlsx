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arcadianholdings-my.sharepoint.com/personal/kylejennings_arcadianholdings_io/Documents/3.  Arcadian Financial/Vista_v0.03/TickerData/"/>
    </mc:Choice>
  </mc:AlternateContent>
  <xr:revisionPtr revIDLastSave="5" documentId="11_2BC6FF809A15CFBF8BDD581206A02C7DC27996D3" xr6:coauthVersionLast="47" xr6:coauthVersionMax="47" xr10:uidLastSave="{47890C49-43BE-4CDB-B5ED-BCC7EC9E0674}"/>
  <bookViews>
    <workbookView xWindow="-120" yWindow="-120" windowWidth="29040" windowHeight="15720" firstSheet="1" activeTab="1" xr2:uid="{00000000-000D-0000-FFFF-FFFF00000000}"/>
  </bookViews>
  <sheets>
    <sheet name="__FDSCACHE__" sheetId="1" state="veryHidden" r:id="rId1"/>
    <sheet name="WACC" sheetId="2" r:id="rId2"/>
    <sheet name="DCF_Simple" sheetId="3" r:id="rId3"/>
    <sheet name="Python" sheetId="4" r:id="rId4"/>
    <sheet name="Sheet3" sheetId="5" r:id="rId5"/>
    <sheet name="Beta" sheetId="6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3" l="1"/>
  <c r="M5" i="3"/>
  <c r="O32" i="5"/>
  <c r="K32" i="5"/>
  <c r="S3" i="5" s="1"/>
  <c r="T3" i="5" s="1"/>
  <c r="U3" i="5" s="1"/>
  <c r="V3" i="5" s="1"/>
  <c r="W3" i="5" s="1"/>
  <c r="X3" i="5" s="1"/>
  <c r="Y3" i="5" s="1"/>
  <c r="Z3" i="5" s="1"/>
  <c r="AA3" i="5" s="1"/>
  <c r="AB3" i="5" s="1"/>
  <c r="AC3" i="5" s="1"/>
  <c r="AD3" i="5" s="1"/>
  <c r="AE3" i="5" s="1"/>
  <c r="AF3" i="5" s="1"/>
  <c r="AG3" i="5" s="1"/>
  <c r="AH3" i="5" s="1"/>
  <c r="AI3" i="5" s="1"/>
  <c r="AJ3" i="5" s="1"/>
  <c r="AK3" i="5" s="1"/>
  <c r="AL3" i="5" s="1"/>
  <c r="AM3" i="5" s="1"/>
  <c r="AN3" i="5" s="1"/>
  <c r="AO3" i="5" s="1"/>
  <c r="AP3" i="5" s="1"/>
  <c r="AQ3" i="5" s="1"/>
  <c r="AR3" i="5" s="1"/>
  <c r="AS3" i="5" s="1"/>
  <c r="AT3" i="5" s="1"/>
  <c r="C32" i="5"/>
  <c r="D24" i="5"/>
  <c r="C24" i="5"/>
  <c r="D23" i="5"/>
  <c r="C23" i="5"/>
  <c r="D22" i="5"/>
  <c r="C22" i="5"/>
  <c r="P21" i="5"/>
  <c r="O21" i="5"/>
  <c r="L21" i="5"/>
  <c r="K21" i="5"/>
  <c r="H21" i="5"/>
  <c r="G21" i="5"/>
  <c r="D21" i="5"/>
  <c r="C21" i="5"/>
  <c r="P20" i="5"/>
  <c r="O20" i="5"/>
  <c r="L20" i="5"/>
  <c r="K20" i="5"/>
  <c r="H20" i="5"/>
  <c r="G20" i="5"/>
  <c r="D20" i="5"/>
  <c r="C20" i="5"/>
  <c r="P19" i="5"/>
  <c r="O19" i="5"/>
  <c r="L19" i="5"/>
  <c r="K19" i="5"/>
  <c r="H19" i="5"/>
  <c r="G19" i="5"/>
  <c r="D19" i="5"/>
  <c r="C19" i="5"/>
  <c r="P18" i="5"/>
  <c r="O18" i="5"/>
  <c r="L18" i="5"/>
  <c r="K18" i="5"/>
  <c r="H18" i="5"/>
  <c r="G18" i="5"/>
  <c r="D18" i="5"/>
  <c r="C18" i="5"/>
  <c r="P17" i="5"/>
  <c r="O17" i="5"/>
  <c r="L17" i="5"/>
  <c r="K17" i="5"/>
  <c r="H17" i="5"/>
  <c r="G17" i="5"/>
  <c r="D17" i="5"/>
  <c r="C17" i="5"/>
  <c r="P16" i="5"/>
  <c r="O16" i="5"/>
  <c r="L16" i="5"/>
  <c r="K16" i="5"/>
  <c r="H16" i="5"/>
  <c r="G16" i="5"/>
  <c r="D16" i="5"/>
  <c r="C16" i="5"/>
  <c r="P15" i="5"/>
  <c r="O15" i="5"/>
  <c r="L15" i="5"/>
  <c r="K15" i="5"/>
  <c r="H15" i="5"/>
  <c r="G15" i="5"/>
  <c r="D15" i="5"/>
  <c r="C15" i="5"/>
  <c r="P14" i="5"/>
  <c r="O14" i="5"/>
  <c r="L14" i="5"/>
  <c r="K14" i="5"/>
  <c r="H14" i="5"/>
  <c r="G14" i="5"/>
  <c r="D14" i="5"/>
  <c r="C14" i="5"/>
  <c r="P13" i="5"/>
  <c r="O13" i="5"/>
  <c r="L13" i="5"/>
  <c r="K13" i="5"/>
  <c r="H13" i="5"/>
  <c r="G13" i="5"/>
  <c r="D13" i="5"/>
  <c r="C13" i="5"/>
  <c r="P12" i="5"/>
  <c r="O12" i="5"/>
  <c r="L12" i="5"/>
  <c r="K12" i="5"/>
  <c r="H12" i="5"/>
  <c r="G12" i="5"/>
  <c r="D12" i="5"/>
  <c r="C12" i="5"/>
  <c r="P11" i="5"/>
  <c r="O11" i="5"/>
  <c r="L11" i="5"/>
  <c r="K11" i="5"/>
  <c r="H11" i="5"/>
  <c r="G11" i="5"/>
  <c r="D11" i="5"/>
  <c r="C11" i="5"/>
  <c r="P10" i="5"/>
  <c r="O10" i="5"/>
  <c r="L10" i="5"/>
  <c r="K10" i="5"/>
  <c r="H10" i="5"/>
  <c r="G10" i="5"/>
  <c r="D10" i="5"/>
  <c r="C10" i="5"/>
  <c r="P9" i="5"/>
  <c r="O9" i="5"/>
  <c r="L9" i="5"/>
  <c r="K9" i="5"/>
  <c r="H9" i="5"/>
  <c r="G9" i="5"/>
  <c r="D9" i="5"/>
  <c r="C9" i="5"/>
  <c r="P8" i="5"/>
  <c r="O8" i="5"/>
  <c r="L8" i="5"/>
  <c r="K8" i="5"/>
  <c r="H8" i="5"/>
  <c r="G8" i="5"/>
  <c r="D8" i="5"/>
  <c r="C8" i="5"/>
  <c r="P7" i="5"/>
  <c r="O7" i="5"/>
  <c r="L7" i="5"/>
  <c r="K7" i="5"/>
  <c r="H7" i="5"/>
  <c r="G7" i="5"/>
  <c r="D7" i="5"/>
  <c r="C7" i="5"/>
  <c r="P6" i="5"/>
  <c r="O6" i="5"/>
  <c r="L6" i="5"/>
  <c r="K6" i="5"/>
  <c r="H6" i="5"/>
  <c r="G6" i="5"/>
  <c r="D6" i="5"/>
  <c r="C6" i="5"/>
  <c r="P5" i="5"/>
  <c r="O5" i="5"/>
  <c r="L5" i="5"/>
  <c r="K5" i="5"/>
  <c r="H5" i="5"/>
  <c r="G5" i="5"/>
  <c r="D5" i="5"/>
  <c r="C5" i="5"/>
  <c r="P4" i="5"/>
  <c r="O4" i="5"/>
  <c r="L4" i="5"/>
  <c r="K4" i="5"/>
  <c r="H4" i="5"/>
  <c r="G4" i="5"/>
  <c r="D4" i="5"/>
  <c r="C4" i="5"/>
  <c r="R3" i="5"/>
  <c r="P3" i="5"/>
  <c r="O3" i="5"/>
  <c r="O31" i="5" s="1"/>
  <c r="L3" i="5"/>
  <c r="K3" i="5"/>
  <c r="K31" i="5" s="1"/>
  <c r="H3" i="5"/>
  <c r="G3" i="5"/>
  <c r="D3" i="5"/>
  <c r="C3" i="5"/>
  <c r="R2" i="5"/>
  <c r="H2" i="5"/>
  <c r="G2" i="5"/>
  <c r="G32" i="5" s="1"/>
  <c r="S2" i="5" s="1"/>
  <c r="T2" i="5" s="1"/>
  <c r="U2" i="5" s="1"/>
  <c r="V2" i="5" s="1"/>
  <c r="W2" i="5" s="1"/>
  <c r="X2" i="5" s="1"/>
  <c r="Y2" i="5" s="1"/>
  <c r="Z2" i="5" s="1"/>
  <c r="AA2" i="5" s="1"/>
  <c r="AB2" i="5" s="1"/>
  <c r="AC2" i="5" s="1"/>
  <c r="AD2" i="5" s="1"/>
  <c r="AE2" i="5" s="1"/>
  <c r="AF2" i="5" s="1"/>
  <c r="AG2" i="5" s="1"/>
  <c r="AH2" i="5" s="1"/>
  <c r="AI2" i="5" s="1"/>
  <c r="AJ2" i="5" s="1"/>
  <c r="AK2" i="5" s="1"/>
  <c r="AL2" i="5" s="1"/>
  <c r="AM2" i="5" s="1"/>
  <c r="AN2" i="5" s="1"/>
  <c r="AO2" i="5" s="1"/>
  <c r="AP2" i="5" s="1"/>
  <c r="AQ2" i="5" s="1"/>
  <c r="AR2" i="5" s="1"/>
  <c r="AS2" i="5" s="1"/>
  <c r="AT2" i="5" s="1"/>
  <c r="D2" i="5"/>
  <c r="C2" i="5"/>
  <c r="C31" i="5" s="1"/>
  <c r="S1" i="5"/>
  <c r="T1" i="5" s="1"/>
  <c r="U1" i="5" s="1"/>
  <c r="V1" i="5" s="1"/>
  <c r="W1" i="5" s="1"/>
  <c r="X1" i="5" s="1"/>
  <c r="Y1" i="5" s="1"/>
  <c r="Z1" i="5" s="1"/>
  <c r="AA1" i="5" s="1"/>
  <c r="AB1" i="5" s="1"/>
  <c r="AC1" i="5" s="1"/>
  <c r="AD1" i="5" s="1"/>
  <c r="AE1" i="5" s="1"/>
  <c r="AF1" i="5" s="1"/>
  <c r="AG1" i="5" s="1"/>
  <c r="AH1" i="5" s="1"/>
  <c r="AI1" i="5" s="1"/>
  <c r="AJ1" i="5" s="1"/>
  <c r="AK1" i="5" s="1"/>
  <c r="AL1" i="5" s="1"/>
  <c r="AM1" i="5" s="1"/>
  <c r="AN1" i="5" s="1"/>
  <c r="AO1" i="5" s="1"/>
  <c r="AP1" i="5" s="1"/>
  <c r="AQ1" i="5" s="1"/>
  <c r="AR1" i="5" s="1"/>
  <c r="AS1" i="5" s="1"/>
  <c r="AT1" i="5" s="1"/>
  <c r="F10" i="3"/>
  <c r="F11" i="3" s="1"/>
  <c r="E10" i="3"/>
  <c r="E11" i="3" s="1"/>
  <c r="D10" i="3"/>
  <c r="L5" i="3"/>
  <c r="K4" i="3"/>
  <c r="L4" i="3" s="1"/>
  <c r="F4" i="3"/>
  <c r="F5" i="3" s="1"/>
  <c r="E4" i="3"/>
  <c r="E5" i="3" s="1"/>
  <c r="H3" i="3"/>
  <c r="G3" i="3"/>
  <c r="F3" i="3"/>
  <c r="E3" i="3"/>
  <c r="K1" i="3"/>
  <c r="K10" i="3" s="1"/>
  <c r="J1" i="3"/>
  <c r="J10" i="3" s="1"/>
  <c r="I1" i="3"/>
  <c r="I10" i="3" s="1"/>
  <c r="H1" i="3"/>
  <c r="H7" i="3" s="1"/>
  <c r="G1" i="3"/>
  <c r="G7" i="3" s="1"/>
  <c r="F1" i="3"/>
  <c r="F7" i="3" s="1"/>
  <c r="E1" i="3"/>
  <c r="E7" i="3" s="1"/>
  <c r="D1" i="3"/>
  <c r="D4" i="3" s="1"/>
  <c r="M4" i="3" l="1"/>
  <c r="N5" i="3"/>
  <c r="O5" i="3" s="1"/>
  <c r="P5" i="3" s="1"/>
  <c r="Q5" i="3" s="1"/>
  <c r="R5" i="3" s="1"/>
  <c r="S5" i="3" s="1"/>
  <c r="T5" i="3" s="1"/>
  <c r="U5" i="3" s="1"/>
  <c r="C20" i="3"/>
  <c r="K11" i="3"/>
  <c r="M11" i="3" s="1"/>
  <c r="N11" i="3" s="1"/>
  <c r="O11" i="3" s="1"/>
  <c r="P11" i="3" s="1"/>
  <c r="Q11" i="3" s="1"/>
  <c r="R11" i="3" s="1"/>
  <c r="S11" i="3" s="1"/>
  <c r="T11" i="3" s="1"/>
  <c r="U11" i="3" s="1"/>
  <c r="C21" i="3"/>
  <c r="L10" i="3"/>
  <c r="E8" i="3"/>
  <c r="E13" i="3"/>
  <c r="J11" i="3"/>
  <c r="F13" i="3"/>
  <c r="F8" i="3"/>
  <c r="I7" i="3"/>
  <c r="J7" i="3"/>
  <c r="J3" i="3"/>
  <c r="G10" i="3"/>
  <c r="G11" i="3" s="1"/>
  <c r="G31" i="5"/>
  <c r="G4" i="3"/>
  <c r="G5" i="3" s="1"/>
  <c r="K7" i="3"/>
  <c r="L1" i="3"/>
  <c r="H4" i="3"/>
  <c r="H5" i="3" s="1"/>
  <c r="K3" i="3"/>
  <c r="I4" i="3"/>
  <c r="H10" i="3"/>
  <c r="H11" i="3" s="1"/>
  <c r="I3" i="3"/>
  <c r="D7" i="3"/>
  <c r="D3" i="3"/>
  <c r="J4" i="3"/>
  <c r="M10" i="3" l="1"/>
  <c r="N10" i="3" s="1"/>
  <c r="O10" i="3" s="1"/>
  <c r="P10" i="3" s="1"/>
  <c r="Q10" i="3" s="1"/>
  <c r="R10" i="3" s="1"/>
  <c r="S10" i="3" s="1"/>
  <c r="T10" i="3" s="1"/>
  <c r="U10" i="3" s="1"/>
  <c r="V10" i="3" s="1"/>
  <c r="N4" i="3"/>
  <c r="O4" i="3" s="1"/>
  <c r="P4" i="3" s="1"/>
  <c r="Q4" i="3" s="1"/>
  <c r="R4" i="3" s="1"/>
  <c r="S4" i="3" s="1"/>
  <c r="T4" i="3" s="1"/>
  <c r="U4" i="3" s="1"/>
  <c r="V4" i="3" s="1"/>
  <c r="J8" i="3"/>
  <c r="J13" i="3"/>
  <c r="I8" i="3"/>
  <c r="I13" i="3"/>
  <c r="L3" i="3"/>
  <c r="M1" i="3"/>
  <c r="D8" i="3"/>
  <c r="L8" i="3" s="1"/>
  <c r="D13" i="3"/>
  <c r="I11" i="3"/>
  <c r="G8" i="3"/>
  <c r="H13" i="3"/>
  <c r="J5" i="3"/>
  <c r="K5" i="3"/>
  <c r="K8" i="3"/>
  <c r="K13" i="3"/>
  <c r="I5" i="3"/>
  <c r="G13" i="3"/>
  <c r="H8" i="3"/>
  <c r="M8" i="3" l="1"/>
  <c r="L7" i="3"/>
  <c r="L13" i="3" s="1"/>
  <c r="L14" i="3" s="1"/>
  <c r="M3" i="3"/>
  <c r="N1" i="3"/>
  <c r="N3" i="3" l="1"/>
  <c r="O1" i="3"/>
  <c r="M7" i="3"/>
  <c r="M13" i="3" s="1"/>
  <c r="M14" i="3" s="1"/>
  <c r="N8" i="3"/>
  <c r="N7" i="3" l="1"/>
  <c r="N13" i="3" s="1"/>
  <c r="N14" i="3" s="1"/>
  <c r="O8" i="3"/>
  <c r="P1" i="3"/>
  <c r="O3" i="3"/>
  <c r="P3" i="3" l="1"/>
  <c r="Q1" i="3"/>
  <c r="O7" i="3"/>
  <c r="O13" i="3" s="1"/>
  <c r="O14" i="3" s="1"/>
  <c r="P8" i="3"/>
  <c r="P7" i="3" l="1"/>
  <c r="P13" i="3" s="1"/>
  <c r="P14" i="3" s="1"/>
  <c r="Q8" i="3"/>
  <c r="R1" i="3"/>
  <c r="Q3" i="3"/>
  <c r="S1" i="3" l="1"/>
  <c r="R3" i="3"/>
  <c r="R8" i="3"/>
  <c r="Q7" i="3"/>
  <c r="Q13" i="3" s="1"/>
  <c r="Q14" i="3" s="1"/>
  <c r="S8" i="3" l="1"/>
  <c r="R7" i="3"/>
  <c r="R13" i="3" s="1"/>
  <c r="R14" i="3" s="1"/>
  <c r="S3" i="3"/>
  <c r="T1" i="3"/>
  <c r="T3" i="3" l="1"/>
  <c r="U1" i="3"/>
  <c r="U3" i="3" s="1"/>
  <c r="T8" i="3"/>
  <c r="S7" i="3"/>
  <c r="S13" i="3" s="1"/>
  <c r="S14" i="3" s="1"/>
  <c r="U8" i="3" l="1"/>
  <c r="U7" i="3" s="1"/>
  <c r="T7" i="3"/>
  <c r="T13" i="3" s="1"/>
  <c r="T14" i="3" s="1"/>
  <c r="U13" i="3" l="1"/>
  <c r="V7" i="3"/>
  <c r="V13" i="3" l="1"/>
  <c r="V14" i="3" s="1"/>
  <c r="U14" i="3"/>
  <c r="C18" i="3" l="1"/>
  <c r="C17" i="3"/>
  <c r="C19" i="3" l="1"/>
  <c r="C22" i="3" s="1"/>
  <c r="L18" i="3" l="1"/>
  <c r="L1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 Chon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&lt;?xml version="1.0" encoding="utf-8"?&gt;&lt;Schema xmlns:xsd="http://www.w3.org/2001/XMLSchema" xmlns:xsi="http://www.w3.org/2001/XMLSchema-instance" Version="2" Timestamp="1658677764"&gt;&lt;FQL&gt;&lt;Q&gt;AMZN^FE_ESTIMATE(DEP_AMORT_EXP,MEAN,ANN_ROLL,2022,NOW,,,'')&lt;/Q&gt;&lt;R&gt;1&lt;/R&gt;&lt;C&gt;1&lt;/C&gt;&lt;D xsi:type="xsd:double"&gt;38716.438&lt;/D&gt;&lt;/FQL&gt;&lt;FQL&gt;&lt;Q&gt;AMZN^FE_ESTIMATE(DEP_AMORT_EXP,MEAN,ANN_ROLL,2023,NOW,,,'')&lt;/Q&gt;&lt;R&gt;1&lt;/R&gt;&lt;C&gt;1&lt;/C&gt;&lt;D xsi:type="xsd:double"&gt;44728.72&lt;/D&gt;&lt;/FQL&gt;&lt;FQL&gt;&lt;Q&gt;AMZN^FE_ESTIMATE(DEP_AMORT_EXP,MEAN,ANN_ROLL,2024,NOW,,,'')&lt;/Q&gt;&lt;R&gt;1&lt;/R&gt;&lt;C&gt;1&lt;/C&gt;&lt;D xsi:type="xsd:double"&gt;52136.97&lt;/D&gt;&lt;/FQL&gt;&lt;FQL&gt;&lt;Q&gt;AMZN^FE_ESTIMATE(DEP_AMORT_EXP,MEAN,ANN_ROLL,2025,NOW,,,'')&lt;/Q&gt;&lt;R&gt;1&lt;/R&gt;&lt;C&gt;1&lt;/C&gt;&lt;D xsi:type="xsd:double"&gt;55507.54&lt;/D&gt;&lt;/FQL&gt;&lt;FQL&gt;&lt;Q&gt;AMZN^FE_ESTIMATE(DEP_AMORT_EXP,MEAN,ANN_ROLL,2026,NOW,,,'')&lt;/Q&gt;&lt;R&gt;1&lt;/R&gt;&lt;C&gt;1&lt;/C&gt;&lt;D xsi:type="xsd:double"&gt;58234.55&lt;/D&gt;&lt;/FQL&gt;&lt;FQL&gt;&lt;Q&gt;AMZN^FE_ESTIMATE(DEP_AMORT_EXP,MEAN,ANN_ROLL,2027,NOW,,,'')&lt;/Q&gt;&lt;R&gt;1&lt;/R&gt;&lt;C&gt;1&lt;/C&gt;&lt;D xsi:type="xsd:double"&gt;64625&lt;/D&gt;&lt;/FQL&gt;&lt;FQL&gt;&lt;Q&gt;AMZN^FE_ESTIMATE(CAPEX,MEAN,ANN_ROLL,2022,NOW,,,'')&lt;/Q&gt;&lt;R&gt;1&lt;/R&gt;&lt;C&gt;1&lt;/C&gt;&lt;D xsi:type="xsd:double"&gt;61050.723&lt;/D&gt;&lt;/FQL&gt;&lt;FQL&gt;&lt;Q&gt;AMZN^FE_ESTIMATE(CAPEX,MEAN,ANN_ROLL,2023,NOW,,,'')&lt;/Q&gt;&lt;R&gt;1&lt;/R&gt;&lt;C&gt;1&lt;/C&gt;&lt;D xsi:type="xsd:double"&gt;62598.887&lt;/D&gt;&lt;/FQL&gt;&lt;FQL&gt;&lt;Q&gt;AMZN^FE_ESTIMATE(CAPEX,MEAN,ANN_ROLL,2024,NOW,,,'')&lt;/Q&gt;&lt;R&gt;1&lt;/R&gt;&lt;C&gt;1&lt;/C&gt;&lt;D xsi:type="xsd:double"&gt;64481.453&lt;/D&gt;&lt;/FQL&gt;&lt;FQL&gt;&lt;Q&gt;AMZN^FE_ESTIMATE(CAPEX,MEAN,ANN_ROLL,2025,NOW,,,'')&lt;/Q&gt;&lt;R&gt;1&lt;/R&gt;&lt;C&gt;1&lt;/C&gt;&lt;D xsi:type="xsd:double"&gt;69493.41&lt;/D&gt;&lt;/FQL&gt;&lt;FQL&gt;&lt;Q&gt;AMZN^FE_ESTIMATE(CAPEX,MEAN,ANN_ROLL,2026,NOW,,,'')&lt;/Q&gt;&lt;R&gt;1&lt;/R&gt;&lt;C&gt;1&lt;/C&gt;&lt;D xsi:type="xsd:double"&gt;65697&lt;/D&gt;&lt;/FQL&gt;&lt;FQL&gt;&lt;Q&gt;AMZN^FE_ESTIMATE(CAPEX,MEAN,ANN_ROLL,2027,NOW,,,'')&lt;/Q&gt;&lt;R&gt;1&lt;/R&gt;&lt;C&gt;1&lt;/C&gt;&lt;D xsi:type="xsd:double"&gt;69051.93&lt;/D&gt;&lt;/FQL&gt;&lt;/Schema&gt;</t>
        </r>
      </text>
    </comment>
  </commentList>
</comments>
</file>

<file path=xl/sharedStrings.xml><?xml version="1.0" encoding="utf-8"?>
<sst xmlns="http://schemas.openxmlformats.org/spreadsheetml/2006/main" count="119" uniqueCount="101">
  <si>
    <t>This sheet contains FactSet XML data for use with this workbook's =FDS codes.  Modifying the worksheet's contents may damage the workbook's =FDS functionality.</t>
  </si>
  <si>
    <t>CARR</t>
  </si>
  <si>
    <t>Total Liabilities</t>
  </si>
  <si>
    <t>Long-Term Debt</t>
  </si>
  <si>
    <t>% Debt</t>
  </si>
  <si>
    <t>Cost of Debt</t>
  </si>
  <si>
    <t>Tax Rate</t>
  </si>
  <si>
    <t>Total Equity</t>
  </si>
  <si>
    <t>% Equity</t>
  </si>
  <si>
    <t>CAPM</t>
  </si>
  <si>
    <t>Risk-Free Rate</t>
  </si>
  <si>
    <t>Beta</t>
  </si>
  <si>
    <t>Market Risk Premium</t>
  </si>
  <si>
    <t>Terminal Growth Rate</t>
  </si>
  <si>
    <t>WACC</t>
  </si>
  <si>
    <t>Figures in millions</t>
  </si>
  <si>
    <t>Terminal</t>
  </si>
  <si>
    <t>Revenue</t>
  </si>
  <si>
    <t>Growth (y/y)</t>
  </si>
  <si>
    <t>Free Cash Flow (FCF)</t>
  </si>
  <si>
    <t>FCF Margin</t>
  </si>
  <si>
    <t>Shares Outstanding, Diluted</t>
  </si>
  <si>
    <t>Change (y/y)</t>
  </si>
  <si>
    <t>FCF per share</t>
  </si>
  <si>
    <t>Discounted FCF per share</t>
  </si>
  <si>
    <t>Terminal Value (TV)</t>
  </si>
  <si>
    <t>Total Discounted FCF</t>
  </si>
  <si>
    <t>Enterprise Value</t>
  </si>
  <si>
    <t>Cash and Equivalents</t>
  </si>
  <si>
    <t>Debt</t>
  </si>
  <si>
    <t>Equity Value</t>
  </si>
  <si>
    <t>fiscalDateEnding</t>
  </si>
  <si>
    <t>estimatedRevGrowth_yearly</t>
  </si>
  <si>
    <t>2024-09-30</t>
  </si>
  <si>
    <t>2024-06-30</t>
  </si>
  <si>
    <t>2024-03-31</t>
  </si>
  <si>
    <t>2023-12-31</t>
  </si>
  <si>
    <t>2023-09-30</t>
  </si>
  <si>
    <t>2023-06-30</t>
  </si>
  <si>
    <t>2023-03-31</t>
  </si>
  <si>
    <t>2022-12-31</t>
  </si>
  <si>
    <t>2022-09-30</t>
  </si>
  <si>
    <t>2022-06-30</t>
  </si>
  <si>
    <t>2022-03-31</t>
  </si>
  <si>
    <t>2021-12-31</t>
  </si>
  <si>
    <t>2021-09-30</t>
  </si>
  <si>
    <t>2021-06-30</t>
  </si>
  <si>
    <t>2021-03-31</t>
  </si>
  <si>
    <t>2020-12-31</t>
  </si>
  <si>
    <t>2020-09-30</t>
  </si>
  <si>
    <t>2020-06-30</t>
  </si>
  <si>
    <t>2020-03-31</t>
  </si>
  <si>
    <t>2019-12-31</t>
  </si>
  <si>
    <t>2019-09-30</t>
  </si>
  <si>
    <t>2019-06-30</t>
  </si>
  <si>
    <t>2019-03-31</t>
  </si>
  <si>
    <t>date</t>
  </si>
  <si>
    <t>revenue</t>
  </si>
  <si>
    <t>Deriv1</t>
  </si>
  <si>
    <t>Static1</t>
  </si>
  <si>
    <t>grossProfit_margin</t>
  </si>
  <si>
    <t>FCF_margin</t>
  </si>
  <si>
    <t>2024-07-31</t>
  </si>
  <si>
    <t>2024-04-30</t>
  </si>
  <si>
    <t>2024-01-31</t>
  </si>
  <si>
    <t>2023-10-31</t>
  </si>
  <si>
    <t># Get a mathematical function written to get the first derivative. Maybe start with a graph, and go from there?</t>
  </si>
  <si>
    <t>2023-07-31</t>
  </si>
  <si>
    <t>calculus functions in python/r, to start, do a static program maybe, just to get a foundation going. Might be a little bit of a detour for now</t>
  </si>
  <si>
    <t>2023-04-30</t>
  </si>
  <si>
    <t>2023-01-31</t>
  </si>
  <si>
    <t>I am leaving off by trying to determine a systematic way to project revenue growth. Keep it as simple as can be, for now</t>
  </si>
  <si>
    <t>2022-10-31</t>
  </si>
  <si>
    <t>Current figures are quarterly. I need annual</t>
  </si>
  <si>
    <t>2022-07-31</t>
  </si>
  <si>
    <t>2022-04-30</t>
  </si>
  <si>
    <t>2022-01-31</t>
  </si>
  <si>
    <t>2021-10-31</t>
  </si>
  <si>
    <t>add more to show the return, and also the market cap valuations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</si>
  <si>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</si>
  <si>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</si>
  <si>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</si>
  <si>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</si>
  <si>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</si>
  <si>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</si>
  <si>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</si>
  <si>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</si>
  <si>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</si>
  <si>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</si>
  <si>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</si>
  <si>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</si>
  <si>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</si>
  <si>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</si>
  <si>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</si>
  <si>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Mean</t>
  </si>
  <si>
    <t>Median</t>
  </si>
  <si>
    <t>Years</t>
  </si>
  <si>
    <t>Timing Standard</t>
  </si>
  <si>
    <t>M</t>
  </si>
  <si>
    <t>W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</si>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</sst>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_(&quot;$&quot;* #,##0_);_(&quot;$&quot;* \(#,##0\);_(&quot;$&quot;* &quot;-&quot;??_);_(@_)"/>
    <numFmt numFmtId="166" formatCode="_(* #,##0_);_(* \(#,##0\);_(* &quot;-&quot;??_);_(@_)"/>
    <numFmt numFmtId="167" formatCode="0.000"/>
    <numFmt numFmtId="168" formatCode="0.0000"/>
    <numFmt numFmtId="169" formatCode="yyyy\-mm\-dd;@"/>
    <numFmt numFmtId="170" formatCode="0.0%;\(0.0%\)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name val="Arial"/>
      <family val="2"/>
    </font>
    <font>
      <i/>
      <sz val="11"/>
      <color rgb="FF0005C6"/>
      <name val="Calibri"/>
      <family val="2"/>
      <scheme val="minor"/>
    </font>
    <font>
      <sz val="11"/>
      <color rgb="FF0005C6"/>
      <name val="Calibri"/>
      <family val="2"/>
      <scheme val="minor"/>
    </font>
    <font>
      <sz val="11"/>
      <color rgb="FF388127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1" fillId="0" borderId="0"/>
    <xf numFmtId="0" fontId="4" fillId="0" borderId="0"/>
    <xf numFmtId="43" fontId="1" fillId="0" borderId="0"/>
    <xf numFmtId="44" fontId="1" fillId="0" borderId="0"/>
    <xf numFmtId="0" fontId="10" fillId="0" borderId="0">
      <alignment vertical="top"/>
    </xf>
  </cellStyleXfs>
  <cellXfs count="74">
    <xf numFmtId="0" fontId="0" fillId="0" borderId="0" xfId="0"/>
    <xf numFmtId="0" fontId="5" fillId="3" borderId="0" xfId="0" applyFont="1" applyFill="1"/>
    <xf numFmtId="14" fontId="0" fillId="0" borderId="0" xfId="0" applyNumberFormat="1"/>
    <xf numFmtId="0" fontId="3" fillId="0" borderId="0" xfId="0" applyFont="1"/>
    <xf numFmtId="0" fontId="5" fillId="3" borderId="6" xfId="0" applyFont="1" applyFill="1" applyBorder="1"/>
    <xf numFmtId="0" fontId="3" fillId="0" borderId="6" xfId="0" applyFont="1" applyBorder="1"/>
    <xf numFmtId="0" fontId="0" fillId="0" borderId="6" xfId="0" quotePrefix="1" applyBorder="1"/>
    <xf numFmtId="0" fontId="0" fillId="0" borderId="7" xfId="0" quotePrefix="1" applyBorder="1"/>
    <xf numFmtId="0" fontId="0" fillId="0" borderId="7" xfId="0" applyBorder="1"/>
    <xf numFmtId="0" fontId="0" fillId="0" borderId="4" xfId="0" applyBorder="1"/>
    <xf numFmtId="0" fontId="7" fillId="3" borderId="6" xfId="0" applyFont="1" applyFill="1" applyBorder="1" applyAlignment="1">
      <alignment horizontal="left" indent="1"/>
    </xf>
    <xf numFmtId="164" fontId="0" fillId="0" borderId="0" xfId="0" applyNumberFormat="1"/>
    <xf numFmtId="164" fontId="12" fillId="0" borderId="0" xfId="0" applyNumberFormat="1" applyFont="1" applyAlignment="1">
      <alignment horizontal="right"/>
    </xf>
    <xf numFmtId="165" fontId="3" fillId="0" borderId="0" xfId="4" applyNumberFormat="1" applyFont="1"/>
    <xf numFmtId="37" fontId="5" fillId="0" borderId="0" xfId="0" applyNumberFormat="1" applyFont="1"/>
    <xf numFmtId="37" fontId="6" fillId="0" borderId="0" xfId="0" applyNumberFormat="1" applyFont="1"/>
    <xf numFmtId="164" fontId="1" fillId="0" borderId="0" xfId="1" applyNumberFormat="1"/>
    <xf numFmtId="166" fontId="1" fillId="0" borderId="0" xfId="3" applyNumberFormat="1"/>
    <xf numFmtId="43" fontId="0" fillId="0" borderId="0" xfId="0" applyNumberFormat="1"/>
    <xf numFmtId="165" fontId="5" fillId="3" borderId="2" xfId="4" applyNumberFormat="1" applyFont="1" applyFill="1" applyBorder="1"/>
    <xf numFmtId="164" fontId="11" fillId="3" borderId="2" xfId="1" applyNumberFormat="1" applyFont="1" applyFill="1" applyBorder="1"/>
    <xf numFmtId="166" fontId="8" fillId="3" borderId="2" xfId="3" applyNumberFormat="1" applyFont="1" applyFill="1" applyBorder="1"/>
    <xf numFmtId="0" fontId="6" fillId="3" borderId="4" xfId="0" applyFont="1" applyFill="1" applyBorder="1"/>
    <xf numFmtId="167" fontId="0" fillId="0" borderId="0" xfId="0" applyNumberFormat="1"/>
    <xf numFmtId="168" fontId="0" fillId="0" borderId="0" xfId="0" applyNumberFormat="1"/>
    <xf numFmtId="164" fontId="7" fillId="3" borderId="2" xfId="1" applyNumberFormat="1" applyFont="1" applyFill="1" applyBorder="1"/>
    <xf numFmtId="0" fontId="14" fillId="0" borderId="0" xfId="0" applyFont="1" applyAlignment="1">
      <alignment horizontal="center" vertical="top"/>
    </xf>
    <xf numFmtId="0" fontId="14" fillId="0" borderId="10" xfId="0" applyFont="1" applyBorder="1" applyAlignment="1">
      <alignment horizontal="center" vertical="top"/>
    </xf>
    <xf numFmtId="169" fontId="0" fillId="0" borderId="0" xfId="0" applyNumberFormat="1"/>
    <xf numFmtId="14" fontId="14" fillId="0" borderId="10" xfId="0" applyNumberFormat="1" applyFont="1" applyBorder="1" applyAlignment="1">
      <alignment horizontal="center" vertical="top"/>
    </xf>
    <xf numFmtId="164" fontId="7" fillId="3" borderId="0" xfId="1" applyNumberFormat="1" applyFont="1" applyFill="1"/>
    <xf numFmtId="39" fontId="5" fillId="0" borderId="5" xfId="0" applyNumberFormat="1" applyFont="1" applyBorder="1"/>
    <xf numFmtId="39" fontId="5" fillId="0" borderId="1" xfId="0" applyNumberFormat="1" applyFont="1" applyBorder="1"/>
    <xf numFmtId="39" fontId="6" fillId="0" borderId="2" xfId="0" applyNumberFormat="1" applyFont="1" applyBorder="1"/>
    <xf numFmtId="0" fontId="3" fillId="0" borderId="11" xfId="0" applyFont="1" applyBorder="1"/>
    <xf numFmtId="2" fontId="5" fillId="0" borderId="0" xfId="1" applyNumberFormat="1" applyFont="1"/>
    <xf numFmtId="165" fontId="5" fillId="3" borderId="0" xfId="4" applyNumberFormat="1" applyFont="1" applyFill="1"/>
    <xf numFmtId="165" fontId="5" fillId="0" borderId="0" xfId="1" applyNumberFormat="1" applyFont="1"/>
    <xf numFmtId="164" fontId="11" fillId="3" borderId="0" xfId="1" applyNumberFormat="1" applyFont="1" applyFill="1"/>
    <xf numFmtId="3" fontId="5" fillId="3" borderId="0" xfId="0" applyNumberFormat="1" applyFont="1" applyFill="1"/>
    <xf numFmtId="166" fontId="13" fillId="3" borderId="0" xfId="3" applyNumberFormat="1" applyFont="1" applyFill="1"/>
    <xf numFmtId="166" fontId="8" fillId="3" borderId="0" xfId="3" applyNumberFormat="1" applyFont="1" applyFill="1"/>
    <xf numFmtId="170" fontId="7" fillId="0" borderId="0" xfId="1" applyNumberFormat="1" applyFont="1"/>
    <xf numFmtId="164" fontId="11" fillId="0" borderId="0" xfId="1" applyNumberFormat="1" applyFont="1"/>
    <xf numFmtId="0" fontId="9" fillId="2" borderId="4" xfId="0" applyFont="1" applyFill="1" applyBorder="1"/>
    <xf numFmtId="0" fontId="2" fillId="2" borderId="3" xfId="0" applyFont="1" applyFill="1" applyBorder="1" applyAlignment="1">
      <alignment horizontal="right"/>
    </xf>
    <xf numFmtId="0" fontId="2" fillId="2" borderId="5" xfId="0" applyFont="1" applyFill="1" applyBorder="1" applyAlignment="1">
      <alignment horizontal="right"/>
    </xf>
    <xf numFmtId="0" fontId="0" fillId="0" borderId="6" xfId="0" applyBorder="1"/>
    <xf numFmtId="0" fontId="6" fillId="3" borderId="6" xfId="0" applyFont="1" applyFill="1" applyBorder="1"/>
    <xf numFmtId="0" fontId="3" fillId="0" borderId="4" xfId="0" applyFont="1" applyBorder="1"/>
    <xf numFmtId="0" fontId="3" fillId="0" borderId="8" xfId="0" applyFont="1" applyBorder="1" applyAlignment="1">
      <alignment horizontal="left" indent="1"/>
    </xf>
    <xf numFmtId="165" fontId="3" fillId="0" borderId="13" xfId="4" applyNumberFormat="1" applyFont="1" applyBorder="1"/>
    <xf numFmtId="37" fontId="5" fillId="3" borderId="3" xfId="0" applyNumberFormat="1" applyFont="1" applyFill="1" applyBorder="1"/>
    <xf numFmtId="44" fontId="1" fillId="0" borderId="3" xfId="4" applyBorder="1"/>
    <xf numFmtId="0" fontId="2" fillId="2" borderId="14" xfId="0" applyFont="1" applyFill="1" applyBorder="1" applyAlignment="1">
      <alignment horizontal="right"/>
    </xf>
    <xf numFmtId="165" fontId="5" fillId="0" borderId="15" xfId="4" applyNumberFormat="1" applyFont="1" applyBorder="1"/>
    <xf numFmtId="3" fontId="5" fillId="3" borderId="15" xfId="0" applyNumberFormat="1" applyFont="1" applyFill="1" applyBorder="1"/>
    <xf numFmtId="37" fontId="5" fillId="3" borderId="14" xfId="0" applyNumberFormat="1" applyFont="1" applyFill="1" applyBorder="1"/>
    <xf numFmtId="170" fontId="7" fillId="0" borderId="15" xfId="1" applyNumberFormat="1" applyFont="1" applyBorder="1"/>
    <xf numFmtId="44" fontId="1" fillId="0" borderId="14" xfId="4" applyBorder="1"/>
    <xf numFmtId="165" fontId="3" fillId="0" borderId="16" xfId="4" applyNumberFormat="1" applyFont="1" applyBorder="1"/>
    <xf numFmtId="44" fontId="6" fillId="4" borderId="12" xfId="0" applyNumberFormat="1" applyFont="1" applyFill="1" applyBorder="1"/>
    <xf numFmtId="44" fontId="1" fillId="0" borderId="13" xfId="4" applyBorder="1"/>
    <xf numFmtId="44" fontId="1" fillId="0" borderId="9" xfId="4" applyBorder="1"/>
    <xf numFmtId="37" fontId="5" fillId="3" borderId="3" xfId="1" applyNumberFormat="1" applyFont="1" applyFill="1" applyBorder="1"/>
    <xf numFmtId="37" fontId="5" fillId="3" borderId="5" xfId="1" applyNumberFormat="1" applyFont="1" applyFill="1" applyBorder="1"/>
    <xf numFmtId="14" fontId="15" fillId="0" borderId="0" xfId="0" applyNumberFormat="1" applyFont="1" applyAlignment="1">
      <alignment horizontal="center" vertical="top"/>
    </xf>
    <xf numFmtId="170" fontId="11" fillId="0" borderId="0" xfId="1" applyNumberFormat="1" applyFont="1"/>
    <xf numFmtId="170" fontId="11" fillId="0" borderId="2" xfId="1" applyNumberFormat="1" applyFont="1" applyBorder="1"/>
    <xf numFmtId="166" fontId="1" fillId="0" borderId="15" xfId="3" applyNumberFormat="1" applyBorder="1"/>
    <xf numFmtId="166" fontId="1" fillId="0" borderId="2" xfId="3" applyNumberFormat="1" applyBorder="1"/>
    <xf numFmtId="44" fontId="1" fillId="0" borderId="5" xfId="4" applyBorder="1"/>
    <xf numFmtId="39" fontId="5" fillId="0" borderId="2" xfId="0" applyNumberFormat="1" applyFont="1" applyBorder="1"/>
    <xf numFmtId="0" fontId="16" fillId="0" borderId="17" xfId="0" applyFont="1" applyBorder="1" applyAlignment="1">
      <alignment horizontal="center" vertical="top"/>
    </xf>
  </cellXfs>
  <cellStyles count="6">
    <cellStyle name="Comma" xfId="3" builtinId="3"/>
    <cellStyle name="Currency" xfId="4" builtinId="4"/>
    <cellStyle name="Normal" xfId="0" builtinId="0"/>
    <cellStyle name="Normal 2" xfId="2" xr:uid="{00000000-0005-0000-0000-000002000000}"/>
    <cellStyle name="Normal 3" xfId="5" xr:uid="{00000000-0005-0000-0000-000005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1"/>
  <sheetViews>
    <sheetView workbookViewId="0"/>
  </sheetViews>
  <sheetFormatPr defaultColWidth="8.85546875" defaultRowHeight="15" x14ac:dyDescent="0.25"/>
  <sheetData>
    <row r="1" spans="1:2" x14ac:dyDescent="0.25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abSelected="1" workbookViewId="0"/>
  </sheetViews>
  <sheetFormatPr defaultRowHeight="15" x14ac:dyDescent="0.25"/>
  <sheetData>
    <row r="1" spans="1:2" x14ac:dyDescent="0.25">
      <c r="B1" s="73" t="s">
        <v>1</v>
      </c>
    </row>
    <row r="2" spans="1:2" x14ac:dyDescent="0.25">
      <c r="A2" s="73" t="s">
        <v>2</v>
      </c>
      <c r="B2">
        <v>26345000000</v>
      </c>
    </row>
    <row r="3" spans="1:2" x14ac:dyDescent="0.25">
      <c r="A3" s="73" t="s">
        <v>3</v>
      </c>
      <c r="B3">
        <v>11270000000</v>
      </c>
    </row>
    <row r="4" spans="1:2" x14ac:dyDescent="0.25">
      <c r="A4" s="73" t="s">
        <v>4</v>
      </c>
      <c r="B4">
        <v>0.44459347508777469</v>
      </c>
    </row>
    <row r="5" spans="1:2" x14ac:dyDescent="0.25">
      <c r="A5" s="73" t="s">
        <v>5</v>
      </c>
      <c r="B5">
        <v>4.986690328305235E-2</v>
      </c>
    </row>
    <row r="6" spans="1:2" x14ac:dyDescent="0.25">
      <c r="A6" s="73" t="s">
        <v>6</v>
      </c>
      <c r="B6">
        <v>0.21</v>
      </c>
    </row>
    <row r="7" spans="1:2" x14ac:dyDescent="0.25">
      <c r="A7" s="73" t="s">
        <v>7</v>
      </c>
      <c r="B7">
        <v>14079000000</v>
      </c>
    </row>
    <row r="8" spans="1:2" x14ac:dyDescent="0.25">
      <c r="A8" s="73" t="s">
        <v>8</v>
      </c>
      <c r="B8">
        <v>0.55540652491222531</v>
      </c>
    </row>
    <row r="9" spans="1:2" x14ac:dyDescent="0.25">
      <c r="A9" s="73" t="s">
        <v>9</v>
      </c>
      <c r="B9">
        <v>0.11697218445917</v>
      </c>
    </row>
    <row r="10" spans="1:2" x14ac:dyDescent="0.25">
      <c r="A10" s="73" t="s">
        <v>10</v>
      </c>
      <c r="B10">
        <v>4.0729999542236328E-2</v>
      </c>
    </row>
    <row r="11" spans="1:2" x14ac:dyDescent="0.25">
      <c r="A11" s="73" t="s">
        <v>11</v>
      </c>
      <c r="B11">
        <v>1.100652294111377</v>
      </c>
    </row>
    <row r="12" spans="1:2" x14ac:dyDescent="0.25">
      <c r="A12" s="73" t="s">
        <v>12</v>
      </c>
      <c r="B12">
        <v>6.9270000457763672E-2</v>
      </c>
    </row>
    <row r="13" spans="1:2" x14ac:dyDescent="0.25">
      <c r="A13" s="73" t="s">
        <v>13</v>
      </c>
      <c r="B13">
        <v>0.02</v>
      </c>
    </row>
    <row r="14" spans="1:2" x14ac:dyDescent="0.25">
      <c r="A14" s="73" t="s">
        <v>14</v>
      </c>
      <c r="B14">
        <v>8.2481809341617196E-2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9" tint="0.39997558519241921"/>
    <pageSetUpPr fitToPage="1"/>
  </sheetPr>
  <dimension ref="B1:V23"/>
  <sheetViews>
    <sheetView showGridLines="0" topLeftCell="A2" zoomScale="85" zoomScaleNormal="85" workbookViewId="0">
      <selection activeCell="T17" sqref="T17"/>
    </sheetView>
  </sheetViews>
  <sheetFormatPr defaultColWidth="9.5703125" defaultRowHeight="15" outlineLevelRow="1" outlineLevelCol="1" x14ac:dyDescent="0.25"/>
  <cols>
    <col min="1" max="1" width="4.140625" customWidth="1"/>
    <col min="2" max="2" width="21.140625" customWidth="1"/>
    <col min="3" max="3" width="10.5703125" customWidth="1"/>
    <col min="4" max="11" width="10.5703125" customWidth="1" outlineLevel="1"/>
    <col min="12" max="22" width="10.5703125" customWidth="1"/>
  </cols>
  <sheetData>
    <row r="1" spans="2:22" hidden="1" outlineLevel="1" x14ac:dyDescent="0.25">
      <c r="C1" s="28"/>
      <c r="D1" s="66">
        <f>Python!A31</f>
        <v>0</v>
      </c>
      <c r="E1" s="66">
        <f>Python!A27</f>
        <v>0</v>
      </c>
      <c r="F1" s="66" t="str">
        <f>Python!A23</f>
        <v>2019-06-30</v>
      </c>
      <c r="G1" s="66" t="str">
        <f>Python!A19</f>
        <v>2020-06-30</v>
      </c>
      <c r="H1" s="66" t="str">
        <f>Python!A15</f>
        <v>2021-06-30</v>
      </c>
      <c r="I1" s="66" t="str">
        <f>Python!A11</f>
        <v>2022-06-30</v>
      </c>
      <c r="J1" s="66" t="str">
        <f>Python!A7</f>
        <v>2023-06-30</v>
      </c>
      <c r="K1" s="66" t="str">
        <f>Python!A3</f>
        <v>2024-06-30</v>
      </c>
      <c r="L1" s="28">
        <f t="shared" ref="L1:U1" si="0">EDATE(K1, 12)</f>
        <v>45838</v>
      </c>
      <c r="M1" s="28">
        <f t="shared" si="0"/>
        <v>46203</v>
      </c>
      <c r="N1" s="28">
        <f t="shared" si="0"/>
        <v>46568</v>
      </c>
      <c r="O1" s="28">
        <f t="shared" si="0"/>
        <v>46934</v>
      </c>
      <c r="P1" s="28">
        <f t="shared" si="0"/>
        <v>47299</v>
      </c>
      <c r="Q1" s="28">
        <f t="shared" si="0"/>
        <v>47664</v>
      </c>
      <c r="R1" s="28">
        <f t="shared" si="0"/>
        <v>48029</v>
      </c>
      <c r="S1" s="28">
        <f t="shared" si="0"/>
        <v>48395</v>
      </c>
      <c r="T1" s="28">
        <f t="shared" si="0"/>
        <v>48760</v>
      </c>
      <c r="U1" s="28">
        <f t="shared" si="0"/>
        <v>49125</v>
      </c>
    </row>
    <row r="2" spans="2:22" ht="15.95" customHeight="1" collapsed="1" x14ac:dyDescent="0.25">
      <c r="C2" s="12"/>
      <c r="D2" s="12"/>
      <c r="E2" s="12"/>
      <c r="F2" s="12"/>
      <c r="G2" s="12"/>
      <c r="H2" s="12"/>
      <c r="J2" s="2"/>
    </row>
    <row r="3" spans="2:22" x14ac:dyDescent="0.25">
      <c r="B3" s="44" t="s">
        <v>15</v>
      </c>
      <c r="C3" s="45"/>
      <c r="D3" s="45">
        <f t="shared" ref="D3:U3" si="1">YEAR(D1)</f>
        <v>1900</v>
      </c>
      <c r="E3" s="45">
        <f t="shared" si="1"/>
        <v>1900</v>
      </c>
      <c r="F3" s="45">
        <f t="shared" si="1"/>
        <v>2019</v>
      </c>
      <c r="G3" s="45">
        <f t="shared" si="1"/>
        <v>2020</v>
      </c>
      <c r="H3" s="45">
        <f t="shared" si="1"/>
        <v>2021</v>
      </c>
      <c r="I3" s="45">
        <f t="shared" si="1"/>
        <v>2022</v>
      </c>
      <c r="J3" s="45">
        <f t="shared" si="1"/>
        <v>2023</v>
      </c>
      <c r="K3" s="54">
        <f t="shared" si="1"/>
        <v>2024</v>
      </c>
      <c r="L3" s="45">
        <f t="shared" si="1"/>
        <v>2025</v>
      </c>
      <c r="M3" s="45">
        <f t="shared" si="1"/>
        <v>2026</v>
      </c>
      <c r="N3" s="45">
        <f t="shared" si="1"/>
        <v>2027</v>
      </c>
      <c r="O3" s="45">
        <f t="shared" si="1"/>
        <v>2028</v>
      </c>
      <c r="P3" s="45">
        <f t="shared" si="1"/>
        <v>2029</v>
      </c>
      <c r="Q3" s="45">
        <f t="shared" si="1"/>
        <v>2030</v>
      </c>
      <c r="R3" s="45">
        <f t="shared" si="1"/>
        <v>2031</v>
      </c>
      <c r="S3" s="45">
        <f t="shared" si="1"/>
        <v>2032</v>
      </c>
      <c r="T3" s="45">
        <f t="shared" si="1"/>
        <v>2033</v>
      </c>
      <c r="U3" s="45">
        <f t="shared" si="1"/>
        <v>2034</v>
      </c>
      <c r="V3" s="46" t="s">
        <v>16</v>
      </c>
    </row>
    <row r="4" spans="2:22" s="1" customFormat="1" x14ac:dyDescent="0.25">
      <c r="B4" s="48" t="s">
        <v>17</v>
      </c>
      <c r="C4" s="36"/>
      <c r="D4" s="36">
        <f>IFERROR(INDEX(Python!$1:$1048576,MATCH(DCF_Simple!D$1,Python!$A:$A,0),MATCH(DCF_Simple!$B4,Python!$1:$1,0))/1000000,0)</f>
        <v>0</v>
      </c>
      <c r="E4" s="36">
        <f>IFERROR(INDEX(Python!$1:$1048576,MATCH(DCF_Simple!E$1,Python!$A:$A,0),MATCH(DCF_Simple!$B4,Python!$1:$1,0))/1000000,0)</f>
        <v>0</v>
      </c>
      <c r="F4" s="36">
        <f>IFERROR(INDEX(Python!$1:$1048576,MATCH(DCF_Simple!F$1,Python!$A:$A,0),MATCH(DCF_Simple!$B4,Python!$1:$1,0))/1000000,0)</f>
        <v>0</v>
      </c>
      <c r="G4" s="36">
        <f>IFERROR(INDEX(Python!$1:$1048576,MATCH(DCF_Simple!G$1,Python!$A:$A,0),MATCH(DCF_Simple!$B4,Python!$1:$1,0))/1000000,0)</f>
        <v>17183</v>
      </c>
      <c r="H4" s="36">
        <f>IFERROR(INDEX(Python!$1:$1048576,MATCH(DCF_Simple!H$1,Python!$A:$A,0),MATCH(DCF_Simple!$B4,Python!$1:$1,0))/1000000,0)</f>
        <v>19735</v>
      </c>
      <c r="I4" s="36">
        <f>IFERROR(INDEX(Python!$1:$1048576,MATCH(DCF_Simple!I$1,Python!$A:$A,0),MATCH(DCF_Simple!$B4,Python!$1:$1,0))/1000000,0)</f>
        <v>20339</v>
      </c>
      <c r="J4" s="36">
        <f>IFERROR(INDEX(Python!$1:$1048576,MATCH(DCF_Simple!J$1,Python!$A:$A,0),MATCH(DCF_Simple!$B4,Python!$1:$1,0))/1000000,0)</f>
        <v>21821</v>
      </c>
      <c r="K4" s="55">
        <f>IFERROR(INDEX(Python!$1:$1048576,MATCH(DCF_Simple!K$1,Python!$A:$A,0),MATCH(DCF_Simple!$B4,Python!$1:$1,0))/1000000,0)</f>
        <v>23704</v>
      </c>
      <c r="L4" s="37">
        <f t="shared" ref="L4:U4" si="2">K4*(1+L5)</f>
        <v>26830.438066655035</v>
      </c>
      <c r="M4" s="36">
        <f t="shared" si="2"/>
        <v>29130.657729825954</v>
      </c>
      <c r="N4" s="36">
        <f t="shared" si="2"/>
        <v>31628.079186187639</v>
      </c>
      <c r="O4" s="36">
        <f t="shared" si="2"/>
        <v>34339.60888509373</v>
      </c>
      <c r="P4" s="36">
        <f t="shared" si="2"/>
        <v>37283.602694917463</v>
      </c>
      <c r="Q4" s="36">
        <f t="shared" si="2"/>
        <v>40479.990164240407</v>
      </c>
      <c r="R4" s="36">
        <f t="shared" si="2"/>
        <v>43950.409436166949</v>
      </c>
      <c r="S4" s="36">
        <f t="shared" si="2"/>
        <v>47718.353729075301</v>
      </c>
      <c r="T4" s="36">
        <f t="shared" si="2"/>
        <v>51809.330375415557</v>
      </c>
      <c r="U4" s="36">
        <f t="shared" si="2"/>
        <v>56251.033495177799</v>
      </c>
      <c r="V4" s="19">
        <f>U4</f>
        <v>56251.033495177799</v>
      </c>
    </row>
    <row r="5" spans="2:22" s="1" customFormat="1" x14ac:dyDescent="0.25">
      <c r="B5" s="10" t="s">
        <v>18</v>
      </c>
      <c r="C5" s="30"/>
      <c r="D5" s="30"/>
      <c r="E5" s="42" t="str">
        <f t="shared" ref="E5:K5" si="3">IFERROR(E4/D4-1,"")</f>
        <v/>
      </c>
      <c r="F5" s="42" t="str">
        <f t="shared" si="3"/>
        <v/>
      </c>
      <c r="G5" s="42" t="str">
        <f t="shared" si="3"/>
        <v/>
      </c>
      <c r="H5" s="42">
        <f t="shared" si="3"/>
        <v>0.14851888494442189</v>
      </c>
      <c r="I5" s="42">
        <f t="shared" si="3"/>
        <v>3.0605523182163585E-2</v>
      </c>
      <c r="J5" s="42">
        <f t="shared" si="3"/>
        <v>7.2864939279217333E-2</v>
      </c>
      <c r="K5" s="58">
        <f t="shared" si="3"/>
        <v>8.6293020484853988E-2</v>
      </c>
      <c r="L5" s="43">
        <f>Python!F2</f>
        <v>0.1318949572500436</v>
      </c>
      <c r="M5" s="43">
        <f>L5*0.65</f>
        <v>8.5731722212528352E-2</v>
      </c>
      <c r="N5" s="38">
        <f t="shared" ref="N5:U5" si="4">M5</f>
        <v>8.5731722212528352E-2</v>
      </c>
      <c r="O5" s="38">
        <f t="shared" si="4"/>
        <v>8.5731722212528352E-2</v>
      </c>
      <c r="P5" s="38">
        <f t="shared" si="4"/>
        <v>8.5731722212528352E-2</v>
      </c>
      <c r="Q5" s="38">
        <f t="shared" si="4"/>
        <v>8.5731722212528352E-2</v>
      </c>
      <c r="R5" s="38">
        <f t="shared" si="4"/>
        <v>8.5731722212528352E-2</v>
      </c>
      <c r="S5" s="38">
        <f t="shared" si="4"/>
        <v>8.5731722212528352E-2</v>
      </c>
      <c r="T5" s="38">
        <f t="shared" si="4"/>
        <v>8.5731722212528352E-2</v>
      </c>
      <c r="U5" s="38">
        <f t="shared" si="4"/>
        <v>8.5731722212528352E-2</v>
      </c>
      <c r="V5" s="20"/>
    </row>
    <row r="6" spans="2:22" s="1" customFormat="1" ht="7.5" customHeight="1" x14ac:dyDescent="0.25">
      <c r="B6" s="4"/>
      <c r="C6" s="39"/>
      <c r="D6" s="39"/>
      <c r="E6" s="39"/>
      <c r="F6" s="39"/>
      <c r="G6" s="39"/>
      <c r="H6" s="39"/>
      <c r="I6" s="39"/>
      <c r="J6" s="39"/>
      <c r="K6" s="56"/>
      <c r="L6" s="40"/>
      <c r="M6" s="41"/>
      <c r="N6" s="41"/>
      <c r="O6" s="41"/>
      <c r="P6" s="41"/>
      <c r="Q6" s="41"/>
      <c r="R6" s="41"/>
      <c r="S6" s="41"/>
      <c r="T6" s="41"/>
      <c r="U6" s="41"/>
      <c r="V6" s="21"/>
    </row>
    <row r="7" spans="2:22" s="1" customFormat="1" x14ac:dyDescent="0.25">
      <c r="B7" s="22" t="s">
        <v>19</v>
      </c>
      <c r="C7" s="52"/>
      <c r="D7" s="52">
        <f>IFERROR(INDEX(Python!$1:$1048576,MATCH(DCF_Simple!D$1,Python!$A:$A,0),MATCH(DCF_Simple!$B7,Python!$1:$1,0))/1000000,0)</f>
        <v>0</v>
      </c>
      <c r="E7" s="52">
        <f>IFERROR(INDEX(Python!$1:$1048576,MATCH(DCF_Simple!E$1,Python!$A:$A,0),MATCH(DCF_Simple!$B7,Python!$1:$1,0))/1000000,0)</f>
        <v>0</v>
      </c>
      <c r="F7" s="52">
        <f>IFERROR(INDEX(Python!$1:$1048576,MATCH(DCF_Simple!F$1,Python!$A:$A,0),MATCH(DCF_Simple!$B7,Python!$1:$1,0))/1000000,0)</f>
        <v>0</v>
      </c>
      <c r="G7" s="52">
        <f>IFERROR(INDEX(Python!$1:$1048576,MATCH(DCF_Simple!G$1,Python!$A:$A,0),MATCH(DCF_Simple!$B7,Python!$1:$1,0))/1000000,0)</f>
        <v>1939</v>
      </c>
      <c r="H7" s="52">
        <f>IFERROR(INDEX(Python!$1:$1048576,MATCH(DCF_Simple!H$1,Python!$A:$A,0),MATCH(DCF_Simple!$B7,Python!$1:$1,0))/1000000,0)</f>
        <v>1531</v>
      </c>
      <c r="I7" s="52">
        <f>IFERROR(INDEX(Python!$1:$1048576,MATCH(DCF_Simple!I$1,Python!$A:$A,0),MATCH(DCF_Simple!$B7,Python!$1:$1,0))/1000000,0)</f>
        <v>988</v>
      </c>
      <c r="J7" s="52">
        <f>IFERROR(INDEX(Python!$1:$1048576,MATCH(DCF_Simple!J$1,Python!$A:$A,0),MATCH(DCF_Simple!$B7,Python!$1:$1,0))/1000000,0)</f>
        <v>2042</v>
      </c>
      <c r="K7" s="57">
        <f>IFERROR(INDEX(Python!$1:$1048576,MATCH(DCF_Simple!K$1,Python!$A:$A,0),MATCH(DCF_Simple!$B7,Python!$1:$1,0))/1000000,0)</f>
        <v>2263</v>
      </c>
      <c r="L7" s="64">
        <f t="shared" ref="L7:U7" si="5">L8*L4</f>
        <v>2296.9394324333184</v>
      </c>
      <c r="M7" s="64">
        <f t="shared" si="5"/>
        <v>2493.8600057936947</v>
      </c>
      <c r="N7" s="64">
        <f t="shared" si="5"/>
        <v>2707.6629190473341</v>
      </c>
      <c r="O7" s="64">
        <f t="shared" si="5"/>
        <v>2939.7955242682642</v>
      </c>
      <c r="P7" s="64">
        <f t="shared" si="5"/>
        <v>3191.8292575164655</v>
      </c>
      <c r="Q7" s="64">
        <f t="shared" si="5"/>
        <v>3465.4702767716885</v>
      </c>
      <c r="R7" s="64">
        <f t="shared" si="5"/>
        <v>3762.5710118756529</v>
      </c>
      <c r="S7" s="64">
        <f t="shared" si="5"/>
        <v>4085.1427046706881</v>
      </c>
      <c r="T7" s="64">
        <f t="shared" si="5"/>
        <v>4435.3690242260527</v>
      </c>
      <c r="U7" s="64">
        <f t="shared" si="5"/>
        <v>4815.6208493210543</v>
      </c>
      <c r="V7" s="65">
        <f>U7</f>
        <v>4815.6208493210543</v>
      </c>
    </row>
    <row r="8" spans="2:22" s="1" customFormat="1" x14ac:dyDescent="0.25">
      <c r="B8" s="10" t="s">
        <v>20</v>
      </c>
      <c r="C8" s="42"/>
      <c r="D8" s="42" t="str">
        <f t="shared" ref="D8:K8" si="6">IFERROR(D7/D$4,"")</f>
        <v/>
      </c>
      <c r="E8" s="42" t="str">
        <f t="shared" si="6"/>
        <v/>
      </c>
      <c r="F8" s="42" t="str">
        <f t="shared" si="6"/>
        <v/>
      </c>
      <c r="G8" s="42">
        <f t="shared" si="6"/>
        <v>0.11284409008904149</v>
      </c>
      <c r="H8" s="42">
        <f t="shared" si="6"/>
        <v>7.7577907271345323E-2</v>
      </c>
      <c r="I8" s="42">
        <f t="shared" si="6"/>
        <v>4.8576626186144847E-2</v>
      </c>
      <c r="J8" s="42">
        <f t="shared" si="6"/>
        <v>9.3579579304339855E-2</v>
      </c>
      <c r="K8" s="58">
        <f t="shared" si="6"/>
        <v>9.5469119136010805E-2</v>
      </c>
      <c r="L8" s="38">
        <f>AVERAGE(D8:K8)</f>
        <v>8.5609464397376461E-2</v>
      </c>
      <c r="M8" s="38">
        <f t="shared" ref="M8:U8" si="7">L8</f>
        <v>8.5609464397376461E-2</v>
      </c>
      <c r="N8" s="38">
        <f t="shared" si="7"/>
        <v>8.5609464397376461E-2</v>
      </c>
      <c r="O8" s="38">
        <f t="shared" si="7"/>
        <v>8.5609464397376461E-2</v>
      </c>
      <c r="P8" s="38">
        <f t="shared" si="7"/>
        <v>8.5609464397376461E-2</v>
      </c>
      <c r="Q8" s="38">
        <f t="shared" si="7"/>
        <v>8.5609464397376461E-2</v>
      </c>
      <c r="R8" s="38">
        <f t="shared" si="7"/>
        <v>8.5609464397376461E-2</v>
      </c>
      <c r="S8" s="38">
        <f t="shared" si="7"/>
        <v>8.5609464397376461E-2</v>
      </c>
      <c r="T8" s="38">
        <f t="shared" si="7"/>
        <v>8.5609464397376461E-2</v>
      </c>
      <c r="U8" s="38">
        <f t="shared" si="7"/>
        <v>8.5609464397376461E-2</v>
      </c>
      <c r="V8" s="20"/>
    </row>
    <row r="9" spans="2:22" s="1" customFormat="1" ht="7.5" customHeight="1" x14ac:dyDescent="0.25">
      <c r="B9" s="10"/>
      <c r="C9" s="42"/>
      <c r="D9" s="42"/>
      <c r="E9" s="42"/>
      <c r="F9" s="42"/>
      <c r="G9" s="42"/>
      <c r="H9" s="42"/>
      <c r="I9" s="42"/>
      <c r="J9" s="42"/>
      <c r="K9" s="58"/>
      <c r="L9" s="30"/>
      <c r="M9" s="30"/>
      <c r="N9" s="30"/>
      <c r="O9" s="30"/>
      <c r="P9" s="30"/>
      <c r="Q9" s="30"/>
      <c r="R9" s="30"/>
      <c r="S9" s="30"/>
      <c r="T9" s="30"/>
      <c r="U9" s="30"/>
      <c r="V9" s="25"/>
    </row>
    <row r="10" spans="2:22" s="1" customFormat="1" x14ac:dyDescent="0.25">
      <c r="B10" s="47" t="s">
        <v>21</v>
      </c>
      <c r="C10" s="35"/>
      <c r="D10" s="17">
        <f>IFERROR(INDEX(Python!$1:$1048576,MATCH(DCF_Simple!D$1,Python!$A:$A,0),MATCH(DCF_Simple!$B10,Python!$1:$1,0))/1000000,0)</f>
        <v>0</v>
      </c>
      <c r="E10" s="17">
        <f>IFERROR(INDEX(Python!$1:$1048576,MATCH(DCF_Simple!E$1,Python!$A:$A,0),MATCH(DCF_Simple!$B10,Python!$1:$1,0))/1000000,0)</f>
        <v>0</v>
      </c>
      <c r="F10" s="17">
        <f>IFERROR(INDEX(Python!$1:$1048576,MATCH(DCF_Simple!F$1,Python!$A:$A,0),MATCH(DCF_Simple!$B10,Python!$1:$1,0))/1000000,0)</f>
        <v>872.8</v>
      </c>
      <c r="G10" s="17">
        <f>IFERROR(INDEX(Python!$1:$1048576,MATCH(DCF_Simple!G$1,Python!$A:$A,0),MATCH(DCF_Simple!$B10,Python!$1:$1,0))/1000000,0)</f>
        <v>870.9</v>
      </c>
      <c r="H10" s="17">
        <f>IFERROR(INDEX(Python!$1:$1048576,MATCH(DCF_Simple!H$1,Python!$A:$A,0),MATCH(DCF_Simple!$B10,Python!$1:$1,0))/1000000,0)</f>
        <v>890.9</v>
      </c>
      <c r="I10" s="17">
        <f>IFERROR(INDEX(Python!$1:$1048576,MATCH(DCF_Simple!I$1,Python!$A:$A,0),MATCH(DCF_Simple!$B10,Python!$1:$1,0))/1000000,0)</f>
        <v>862.7</v>
      </c>
      <c r="J10" s="17">
        <f>IFERROR(INDEX(Python!$1:$1048576,MATCH(DCF_Simple!J$1,Python!$A:$A,0),MATCH(DCF_Simple!$B10,Python!$1:$1,0))/1000000,0)</f>
        <v>850.9</v>
      </c>
      <c r="K10" s="69">
        <f>IFERROR(INDEX(Python!$1:$1048576,MATCH(DCF_Simple!K$1,Python!$A:$A,0),MATCH(DCF_Simple!$B10,Python!$1:$1,0))/1000000,0)</f>
        <v>915.3</v>
      </c>
      <c r="L10" s="17">
        <f t="shared" ref="L10:U10" si="8">K10*(1+L11)</f>
        <v>924.6618796123322</v>
      </c>
      <c r="M10" s="17">
        <f t="shared" si="8"/>
        <v>934.1195144850991</v>
      </c>
      <c r="N10" s="17">
        <f t="shared" si="8"/>
        <v>943.67388402310826</v>
      </c>
      <c r="O10" s="17">
        <f t="shared" si="8"/>
        <v>953.32597764872423</v>
      </c>
      <c r="P10" s="17">
        <f t="shared" si="8"/>
        <v>963.07679490433031</v>
      </c>
      <c r="Q10" s="17">
        <f t="shared" si="8"/>
        <v>972.9273455558382</v>
      </c>
      <c r="R10" s="17">
        <f t="shared" si="8"/>
        <v>982.87864969725604</v>
      </c>
      <c r="S10" s="17">
        <f t="shared" si="8"/>
        <v>992.93173785632666</v>
      </c>
      <c r="T10" s="17">
        <f t="shared" si="8"/>
        <v>1003.0876511012461</v>
      </c>
      <c r="U10" s="17">
        <f t="shared" si="8"/>
        <v>1013.3474411484733</v>
      </c>
      <c r="V10" s="70">
        <f>U10</f>
        <v>1013.3474411484733</v>
      </c>
    </row>
    <row r="11" spans="2:22" s="1" customFormat="1" x14ac:dyDescent="0.25">
      <c r="B11" s="10" t="s">
        <v>22</v>
      </c>
      <c r="C11" s="42"/>
      <c r="D11" s="42"/>
      <c r="E11" s="42" t="str">
        <f t="shared" ref="E11:K11" si="9">IFERROR(E10/D10-1,"")</f>
        <v/>
      </c>
      <c r="F11" s="42" t="str">
        <f t="shared" si="9"/>
        <v/>
      </c>
      <c r="G11" s="42">
        <f t="shared" si="9"/>
        <v>-2.1769019248395471E-3</v>
      </c>
      <c r="H11" s="42">
        <f t="shared" si="9"/>
        <v>2.2964749110115923E-2</v>
      </c>
      <c r="I11" s="42">
        <f t="shared" si="9"/>
        <v>-3.1653384218206182E-2</v>
      </c>
      <c r="J11" s="42">
        <f t="shared" si="9"/>
        <v>-1.3677987712994222E-2</v>
      </c>
      <c r="K11" s="58">
        <f t="shared" si="9"/>
        <v>7.5684569279586222E-2</v>
      </c>
      <c r="L11" s="67">
        <f>AVERAGE(E11:K11)</f>
        <v>1.0228208906732438E-2</v>
      </c>
      <c r="M11" s="67">
        <f t="shared" ref="L11:U11" si="10">L11</f>
        <v>1.0228208906732438E-2</v>
      </c>
      <c r="N11" s="67">
        <f t="shared" si="10"/>
        <v>1.0228208906732438E-2</v>
      </c>
      <c r="O11" s="67">
        <f t="shared" si="10"/>
        <v>1.0228208906732438E-2</v>
      </c>
      <c r="P11" s="67">
        <f t="shared" si="10"/>
        <v>1.0228208906732438E-2</v>
      </c>
      <c r="Q11" s="67">
        <f t="shared" si="10"/>
        <v>1.0228208906732438E-2</v>
      </c>
      <c r="R11" s="67">
        <f t="shared" si="10"/>
        <v>1.0228208906732438E-2</v>
      </c>
      <c r="S11" s="67">
        <f t="shared" si="10"/>
        <v>1.0228208906732438E-2</v>
      </c>
      <c r="T11" s="67">
        <f t="shared" si="10"/>
        <v>1.0228208906732438E-2</v>
      </c>
      <c r="U11" s="67">
        <f t="shared" si="10"/>
        <v>1.0228208906732438E-2</v>
      </c>
      <c r="V11" s="68"/>
    </row>
    <row r="12" spans="2:22" s="1" customFormat="1" ht="7.5" customHeight="1" x14ac:dyDescent="0.25">
      <c r="B12" s="10"/>
      <c r="C12" s="42"/>
      <c r="D12" s="42"/>
      <c r="E12" s="42"/>
      <c r="F12" s="42"/>
      <c r="G12" s="42"/>
      <c r="H12" s="42"/>
      <c r="I12" s="42"/>
      <c r="J12" s="42"/>
      <c r="K12" s="58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25"/>
    </row>
    <row r="13" spans="2:22" x14ac:dyDescent="0.25">
      <c r="B13" s="49" t="s">
        <v>23</v>
      </c>
      <c r="C13" s="53"/>
      <c r="D13" s="53">
        <f t="shared" ref="D13:K13" si="11">IFERROR(D7/D10,0)</f>
        <v>0</v>
      </c>
      <c r="E13" s="53">
        <f t="shared" si="11"/>
        <v>0</v>
      </c>
      <c r="F13" s="53">
        <f t="shared" si="11"/>
        <v>0</v>
      </c>
      <c r="G13" s="53">
        <f t="shared" si="11"/>
        <v>2.2264324262257436</v>
      </c>
      <c r="H13" s="53">
        <f t="shared" si="11"/>
        <v>1.7184869233359525</v>
      </c>
      <c r="I13" s="53">
        <f t="shared" si="11"/>
        <v>1.1452416830879795</v>
      </c>
      <c r="J13" s="53">
        <f t="shared" si="11"/>
        <v>2.3998119638030322</v>
      </c>
      <c r="K13" s="59">
        <f t="shared" si="11"/>
        <v>2.4724134163662188</v>
      </c>
      <c r="L13" s="53">
        <f t="shared" ref="L13:U13" si="12">L7/L10</f>
        <v>2.4840857864675017</v>
      </c>
      <c r="M13" s="53">
        <f t="shared" si="12"/>
        <v>2.6697440393035237</v>
      </c>
      <c r="N13" s="53">
        <f t="shared" si="12"/>
        <v>2.8692782166482313</v>
      </c>
      <c r="O13" s="53">
        <f t="shared" si="12"/>
        <v>3.0837253921465071</v>
      </c>
      <c r="P13" s="53">
        <f t="shared" si="12"/>
        <v>3.3142001493593605</v>
      </c>
      <c r="Q13" s="53">
        <f t="shared" si="12"/>
        <v>3.5619003747827112</v>
      </c>
      <c r="R13" s="53">
        <f t="shared" si="12"/>
        <v>3.8281134838309807</v>
      </c>
      <c r="S13" s="53">
        <f t="shared" si="12"/>
        <v>4.114223112144888</v>
      </c>
      <c r="T13" s="53">
        <f t="shared" si="12"/>
        <v>4.4217163070013417</v>
      </c>
      <c r="U13" s="53">
        <f t="shared" si="12"/>
        <v>4.7521912562026003</v>
      </c>
      <c r="V13" s="71">
        <f>U13*(1+WACC!$B$13)/(WACC!$B$14-WACC!$B$13)</f>
        <v>77.578340518670927</v>
      </c>
    </row>
    <row r="14" spans="2:22" ht="15.75" customHeight="1" thickBot="1" x14ac:dyDescent="0.3">
      <c r="B14" s="50" t="s">
        <v>24</v>
      </c>
      <c r="C14" s="51"/>
      <c r="D14" s="51"/>
      <c r="E14" s="51"/>
      <c r="F14" s="51"/>
      <c r="G14" s="51"/>
      <c r="H14" s="51"/>
      <c r="I14" s="51"/>
      <c r="J14" s="51"/>
      <c r="K14" s="60"/>
      <c r="L14" s="62">
        <f>L13/((1+WACC!$B$14)^(L3-$K$3))</f>
        <v>2.2948060327945483</v>
      </c>
      <c r="M14" s="62">
        <f>M13/((1+WACC!$B$14)^(M3-$K$3))</f>
        <v>2.2783918142975392</v>
      </c>
      <c r="N14" s="62">
        <f>N13/((1+WACC!$B$14)^(N3-$K$3))</f>
        <v>2.2620950029212259</v>
      </c>
      <c r="O14" s="62">
        <f>O13/((1+WACC!$B$14)^(O3-$K$3))</f>
        <v>2.2459147588795441</v>
      </c>
      <c r="P14" s="62">
        <f>P13/((1+WACC!$B$14)^(P3-$K$3))</f>
        <v>2.2298502483932205</v>
      </c>
      <c r="Q14" s="62">
        <f>Q13/((1+WACC!$B$14)^(Q3-$K$3))</f>
        <v>2.2139006436468165</v>
      </c>
      <c r="R14" s="62">
        <f>R13/((1+WACC!$B$14)^(R3-$K$3))</f>
        <v>2.1980651227460646</v>
      </c>
      <c r="S14" s="62">
        <f>S13/((1+WACC!$B$14)^(S3-$K$3))</f>
        <v>2.1823428696755203</v>
      </c>
      <c r="T14" s="62">
        <f>T13/((1+WACC!$B$14)^(T3-$K$3))</f>
        <v>2.1667330742565052</v>
      </c>
      <c r="U14" s="62">
        <f>U13/((1+WACC!$B$14)^(U3-$K$3))</f>
        <v>2.1512349321053654</v>
      </c>
      <c r="V14" s="63">
        <f>V13/((1+WACC!$B$14)^(U3-$K$3))</f>
        <v>35.118375313852262</v>
      </c>
    </row>
    <row r="15" spans="2:22" ht="15.75" customHeight="1" thickTop="1" x14ac:dyDescent="0.25">
      <c r="B15" s="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</row>
    <row r="16" spans="2:22" x14ac:dyDescent="0.25">
      <c r="B16" s="3"/>
      <c r="C16" s="13"/>
      <c r="D16" s="13"/>
      <c r="E16" s="13"/>
      <c r="F16" s="13"/>
      <c r="G16" s="13"/>
      <c r="H16" s="13"/>
      <c r="I16" s="13"/>
      <c r="J16" s="13"/>
      <c r="L16" s="3"/>
      <c r="M16" s="13"/>
      <c r="N16" s="13"/>
      <c r="O16" s="13"/>
      <c r="P16" s="13"/>
      <c r="Q16" s="13"/>
      <c r="R16" s="13"/>
      <c r="S16" s="13"/>
      <c r="T16" s="13"/>
      <c r="U16" s="13"/>
      <c r="V16" s="13"/>
    </row>
    <row r="17" spans="2:22" x14ac:dyDescent="0.25">
      <c r="B17" s="9" t="s">
        <v>25</v>
      </c>
      <c r="C17" s="31">
        <f>V14</f>
        <v>35.118375313852262</v>
      </c>
      <c r="L17" s="16">
        <f>C17/$C$19</f>
        <v>0.6124403235974365</v>
      </c>
      <c r="O17" s="18"/>
    </row>
    <row r="18" spans="2:22" x14ac:dyDescent="0.25">
      <c r="B18" s="8" t="s">
        <v>26</v>
      </c>
      <c r="C18" s="32">
        <f>SUM(14:14)-V14</f>
        <v>22.223334499716351</v>
      </c>
      <c r="K18" s="3"/>
      <c r="L18" s="16">
        <f>C18/$C$19</f>
        <v>0.3875596764025635</v>
      </c>
      <c r="O18" s="24"/>
      <c r="P18" s="24"/>
      <c r="Q18" s="24"/>
      <c r="R18" s="24"/>
      <c r="S18" s="24"/>
      <c r="T18" s="24"/>
      <c r="U18" s="24"/>
      <c r="V18" s="24"/>
    </row>
    <row r="19" spans="2:22" x14ac:dyDescent="0.25">
      <c r="B19" s="5" t="s">
        <v>27</v>
      </c>
      <c r="C19" s="33">
        <f>C17+C18</f>
        <v>57.341709813568613</v>
      </c>
      <c r="G19" s="15"/>
      <c r="H19" s="15"/>
      <c r="J19" s="3"/>
      <c r="K19" s="3"/>
      <c r="L19" s="23"/>
      <c r="M19" s="15"/>
      <c r="N19" s="15"/>
      <c r="O19" s="3"/>
      <c r="P19" s="3"/>
      <c r="Q19" s="3"/>
      <c r="R19" s="3"/>
      <c r="S19" s="3"/>
    </row>
    <row r="20" spans="2:22" x14ac:dyDescent="0.25">
      <c r="B20" s="6" t="s">
        <v>28</v>
      </c>
      <c r="C20" s="72">
        <f>Python!E3/1000000/K10</f>
        <v>3.1923959357587677</v>
      </c>
      <c r="G20" s="14"/>
      <c r="H20" s="14"/>
      <c r="N20" s="14"/>
    </row>
    <row r="21" spans="2:22" x14ac:dyDescent="0.25">
      <c r="B21" s="7" t="s">
        <v>29</v>
      </c>
      <c r="C21" s="32">
        <f>WACC!B3/1000000/K10</f>
        <v>12.312902873374851</v>
      </c>
      <c r="F21" s="14"/>
      <c r="G21" s="14"/>
      <c r="H21" s="14"/>
    </row>
    <row r="22" spans="2:22" ht="15.75" customHeight="1" thickBot="1" x14ac:dyDescent="0.3">
      <c r="B22" s="34" t="s">
        <v>30</v>
      </c>
      <c r="C22" s="61">
        <f>C19+C20-C21</f>
        <v>48.221202875952528</v>
      </c>
      <c r="F22" s="15"/>
      <c r="G22" s="15"/>
      <c r="H22" s="15"/>
      <c r="J22" s="3"/>
      <c r="K22" s="3"/>
      <c r="L22" s="3"/>
      <c r="M22" s="3"/>
      <c r="N22" s="3"/>
      <c r="O22" s="3"/>
    </row>
    <row r="23" spans="2:22" ht="15.75" customHeight="1" thickTop="1" x14ac:dyDescent="0.25"/>
  </sheetData>
  <pageMargins left="0.7" right="0.7" top="0.75" bottom="0.75" header="0.3" footer="0.3"/>
  <pageSetup scale="54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workbookViewId="0"/>
  </sheetViews>
  <sheetFormatPr defaultRowHeight="15" x14ac:dyDescent="0.25"/>
  <sheetData>
    <row r="1" spans="1:6" x14ac:dyDescent="0.25">
      <c r="A1" s="73" t="s">
        <v>31</v>
      </c>
      <c r="B1" s="73" t="s">
        <v>17</v>
      </c>
      <c r="C1" s="73" t="s">
        <v>19</v>
      </c>
      <c r="D1" s="73" t="s">
        <v>21</v>
      </c>
      <c r="E1" s="73" t="s">
        <v>28</v>
      </c>
      <c r="F1" s="73" t="s">
        <v>32</v>
      </c>
    </row>
    <row r="2" spans="1:6" x14ac:dyDescent="0.25">
      <c r="A2" s="73" t="s">
        <v>33</v>
      </c>
      <c r="F2">
        <v>0.1318949572500436</v>
      </c>
    </row>
    <row r="3" spans="1:6" x14ac:dyDescent="0.25">
      <c r="A3" s="73" t="s">
        <v>34</v>
      </c>
      <c r="B3">
        <v>23704000000</v>
      </c>
      <c r="C3">
        <v>2263000000</v>
      </c>
      <c r="D3">
        <v>915300000</v>
      </c>
      <c r="E3">
        <v>2922000000</v>
      </c>
      <c r="F3">
        <v>0.17726322413217629</v>
      </c>
    </row>
    <row r="4" spans="1:6" x14ac:dyDescent="0.25">
      <c r="A4" s="73" t="s">
        <v>35</v>
      </c>
      <c r="B4">
        <v>23007000000</v>
      </c>
      <c r="C4">
        <v>2024000000</v>
      </c>
      <c r="D4">
        <v>913000000</v>
      </c>
      <c r="E4">
        <v>1313000000</v>
      </c>
      <c r="F4">
        <v>0.20167144889057459</v>
      </c>
    </row>
    <row r="5" spans="1:6" x14ac:dyDescent="0.25">
      <c r="A5" s="73" t="s">
        <v>36</v>
      </c>
      <c r="B5">
        <v>22098000000</v>
      </c>
      <c r="C5">
        <v>2138000000</v>
      </c>
      <c r="D5">
        <v>854200000</v>
      </c>
      <c r="E5">
        <v>10015000000</v>
      </c>
      <c r="F5">
        <v>2.4485798237022571E-2</v>
      </c>
    </row>
    <row r="6" spans="1:6" x14ac:dyDescent="0.25">
      <c r="A6" s="73" t="s">
        <v>37</v>
      </c>
      <c r="B6">
        <v>22101000000</v>
      </c>
      <c r="C6">
        <v>2292000000</v>
      </c>
      <c r="D6">
        <v>854700000</v>
      </c>
      <c r="E6">
        <v>3902000000</v>
      </c>
      <c r="F6">
        <v>8.0546688680976031E-2</v>
      </c>
    </row>
    <row r="7" spans="1:6" x14ac:dyDescent="0.25">
      <c r="A7" s="73" t="s">
        <v>38</v>
      </c>
      <c r="B7">
        <v>21821000000</v>
      </c>
      <c r="C7">
        <v>2042000000</v>
      </c>
      <c r="D7">
        <v>850900000</v>
      </c>
      <c r="E7">
        <v>3209000000</v>
      </c>
      <c r="F7">
        <v>0.1180867395893304</v>
      </c>
    </row>
    <row r="8" spans="1:6" x14ac:dyDescent="0.25">
      <c r="A8" s="73" t="s">
        <v>39</v>
      </c>
      <c r="B8">
        <v>21040000000</v>
      </c>
      <c r="C8">
        <v>1698000000</v>
      </c>
      <c r="D8">
        <v>852200000</v>
      </c>
      <c r="E8">
        <v>3347000000</v>
      </c>
      <c r="F8">
        <v>0.23875161151697449</v>
      </c>
    </row>
    <row r="9" spans="1:6" x14ac:dyDescent="0.25">
      <c r="A9" s="73" t="s">
        <v>40</v>
      </c>
      <c r="B9">
        <v>20421000000</v>
      </c>
      <c r="C9">
        <v>1390000000</v>
      </c>
      <c r="D9">
        <v>852200000</v>
      </c>
      <c r="E9">
        <v>3520000000</v>
      </c>
      <c r="F9">
        <v>-1.1913111240989699E-2</v>
      </c>
    </row>
    <row r="10" spans="1:6" x14ac:dyDescent="0.25">
      <c r="A10" s="73" t="s">
        <v>41</v>
      </c>
      <c r="B10">
        <v>20449000000</v>
      </c>
      <c r="C10">
        <v>1182000000</v>
      </c>
      <c r="D10">
        <v>856500000</v>
      </c>
      <c r="E10">
        <v>2985000000</v>
      </c>
    </row>
    <row r="11" spans="1:6" x14ac:dyDescent="0.25">
      <c r="A11" s="73" t="s">
        <v>42</v>
      </c>
      <c r="B11">
        <v>20339000000</v>
      </c>
      <c r="C11">
        <v>988000000</v>
      </c>
      <c r="D11">
        <v>862700000</v>
      </c>
      <c r="E11">
        <v>3017000000</v>
      </c>
      <c r="F11">
        <v>-0.1502460863970588</v>
      </c>
    </row>
    <row r="12" spans="1:6" x14ac:dyDescent="0.25">
      <c r="A12" s="73" t="s">
        <v>43</v>
      </c>
      <c r="B12">
        <v>20568000000</v>
      </c>
      <c r="C12">
        <v>1504000000</v>
      </c>
      <c r="D12">
        <v>874100000</v>
      </c>
      <c r="E12">
        <v>3604000000</v>
      </c>
      <c r="F12">
        <v>-0.15708638795488411</v>
      </c>
    </row>
    <row r="13" spans="1:6" x14ac:dyDescent="0.25">
      <c r="A13" s="73" t="s">
        <v>44</v>
      </c>
      <c r="B13">
        <v>20613000000</v>
      </c>
      <c r="C13">
        <v>1893000000</v>
      </c>
      <c r="D13">
        <v>888500000</v>
      </c>
      <c r="E13">
        <v>2987000000</v>
      </c>
      <c r="F13">
        <v>4.8508924684370847E-2</v>
      </c>
    </row>
    <row r="14" spans="1:6" x14ac:dyDescent="0.25">
      <c r="A14" s="73" t="s">
        <v>45</v>
      </c>
      <c r="B14">
        <v>20074000000</v>
      </c>
      <c r="C14">
        <v>1156000000</v>
      </c>
      <c r="D14">
        <v>892000000</v>
      </c>
      <c r="E14">
        <v>2671000000</v>
      </c>
      <c r="F14">
        <v>7.9036385445821589E-2</v>
      </c>
    </row>
    <row r="15" spans="1:6" x14ac:dyDescent="0.25">
      <c r="A15" s="73" t="s">
        <v>46</v>
      </c>
      <c r="B15">
        <v>19735000000</v>
      </c>
      <c r="C15">
        <v>1531000000</v>
      </c>
      <c r="D15">
        <v>890900000</v>
      </c>
      <c r="E15">
        <v>2630000000</v>
      </c>
      <c r="F15">
        <v>0.24265609264853971</v>
      </c>
    </row>
    <row r="16" spans="1:6" x14ac:dyDescent="0.25">
      <c r="A16" s="73" t="s">
        <v>47</v>
      </c>
      <c r="B16">
        <v>18267000000</v>
      </c>
      <c r="C16">
        <v>1512000000</v>
      </c>
      <c r="D16">
        <v>889800000</v>
      </c>
      <c r="E16">
        <v>2599000000</v>
      </c>
      <c r="F16">
        <v>-0.15072016460905349</v>
      </c>
    </row>
    <row r="17" spans="1:6" x14ac:dyDescent="0.25">
      <c r="A17" s="73" t="s">
        <v>48</v>
      </c>
      <c r="B17">
        <v>17456000000</v>
      </c>
      <c r="C17">
        <v>1380000000</v>
      </c>
      <c r="D17">
        <v>866400000</v>
      </c>
      <c r="E17">
        <v>3115000000</v>
      </c>
      <c r="F17">
        <v>0.1624206965118862</v>
      </c>
    </row>
    <row r="18" spans="1:6" x14ac:dyDescent="0.25">
      <c r="A18" s="73" t="s">
        <v>49</v>
      </c>
      <c r="B18">
        <v>17363000000</v>
      </c>
      <c r="C18">
        <v>2251000000</v>
      </c>
      <c r="D18">
        <v>881500000</v>
      </c>
      <c r="E18">
        <v>3848000000</v>
      </c>
      <c r="F18">
        <v>-0.27232151161343843</v>
      </c>
    </row>
    <row r="19" spans="1:6" x14ac:dyDescent="0.25">
      <c r="A19" s="73" t="s">
        <v>50</v>
      </c>
      <c r="B19">
        <v>17183000000</v>
      </c>
      <c r="C19">
        <v>1939000000</v>
      </c>
      <c r="D19">
        <v>870900000</v>
      </c>
      <c r="E19">
        <v>2704000000</v>
      </c>
      <c r="F19">
        <v>-0.39357297279322861</v>
      </c>
    </row>
    <row r="20" spans="1:6" x14ac:dyDescent="0.25">
      <c r="A20" s="73" t="s">
        <v>51</v>
      </c>
      <c r="B20">
        <v>18173000000</v>
      </c>
      <c r="C20">
        <v>1982000000</v>
      </c>
      <c r="D20">
        <v>866200000</v>
      </c>
      <c r="E20">
        <v>768000000</v>
      </c>
      <c r="F20">
        <v>-0.1520174482997918</v>
      </c>
    </row>
    <row r="21" spans="1:6" x14ac:dyDescent="0.25">
      <c r="A21" s="73" t="s">
        <v>52</v>
      </c>
      <c r="B21">
        <v>18608000000</v>
      </c>
      <c r="C21">
        <v>1759000000</v>
      </c>
      <c r="D21">
        <v>866200000</v>
      </c>
      <c r="E21">
        <v>952000000</v>
      </c>
    </row>
    <row r="22" spans="1:6" x14ac:dyDescent="0.25">
      <c r="A22" s="73" t="s">
        <v>53</v>
      </c>
      <c r="D22">
        <v>872800000</v>
      </c>
    </row>
    <row r="23" spans="1:6" x14ac:dyDescent="0.25">
      <c r="A23" s="73" t="s">
        <v>54</v>
      </c>
      <c r="D23">
        <v>872800000</v>
      </c>
    </row>
    <row r="24" spans="1:6" x14ac:dyDescent="0.25">
      <c r="A24" s="73" t="s">
        <v>55</v>
      </c>
      <c r="D24">
        <v>872800000</v>
      </c>
      <c r="E24">
        <v>1129000000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T32"/>
  <sheetViews>
    <sheetView workbookViewId="0">
      <selection activeCell="R14" sqref="R14"/>
    </sheetView>
  </sheetViews>
  <sheetFormatPr defaultRowHeight="15" x14ac:dyDescent="0.25"/>
  <cols>
    <col min="1" max="1" width="10.42578125" bestFit="1" customWidth="1"/>
    <col min="2" max="2" width="7.5703125" bestFit="1" customWidth="1"/>
    <col min="18" max="18" width="20" bestFit="1" customWidth="1"/>
  </cols>
  <sheetData>
    <row r="1" spans="1:46" x14ac:dyDescent="0.25">
      <c r="A1" s="27" t="s">
        <v>56</v>
      </c>
      <c r="B1" s="27" t="s">
        <v>57</v>
      </c>
      <c r="C1" t="s">
        <v>58</v>
      </c>
      <c r="D1" t="s">
        <v>59</v>
      </c>
      <c r="F1" s="27" t="s">
        <v>57</v>
      </c>
      <c r="G1" t="s">
        <v>58</v>
      </c>
      <c r="H1" t="s">
        <v>59</v>
      </c>
      <c r="J1" t="s">
        <v>60</v>
      </c>
      <c r="K1" t="s">
        <v>58</v>
      </c>
      <c r="L1" t="s">
        <v>59</v>
      </c>
      <c r="N1" t="s">
        <v>61</v>
      </c>
      <c r="O1" t="s">
        <v>58</v>
      </c>
      <c r="P1" t="s">
        <v>59</v>
      </c>
      <c r="R1">
        <v>2025</v>
      </c>
      <c r="S1">
        <f t="shared" ref="S1:AT1" si="0">R1+1</f>
        <v>2026</v>
      </c>
      <c r="T1">
        <f t="shared" si="0"/>
        <v>2027</v>
      </c>
      <c r="U1">
        <f t="shared" si="0"/>
        <v>2028</v>
      </c>
      <c r="V1">
        <f t="shared" si="0"/>
        <v>2029</v>
      </c>
      <c r="W1">
        <f t="shared" si="0"/>
        <v>2030</v>
      </c>
      <c r="X1">
        <f t="shared" si="0"/>
        <v>2031</v>
      </c>
      <c r="Y1">
        <f t="shared" si="0"/>
        <v>2032</v>
      </c>
      <c r="Z1">
        <f t="shared" si="0"/>
        <v>2033</v>
      </c>
      <c r="AA1">
        <f t="shared" si="0"/>
        <v>2034</v>
      </c>
      <c r="AB1">
        <f t="shared" si="0"/>
        <v>2035</v>
      </c>
      <c r="AC1">
        <f t="shared" si="0"/>
        <v>2036</v>
      </c>
      <c r="AD1">
        <f t="shared" si="0"/>
        <v>2037</v>
      </c>
      <c r="AE1">
        <f t="shared" si="0"/>
        <v>2038</v>
      </c>
      <c r="AF1">
        <f t="shared" si="0"/>
        <v>2039</v>
      </c>
      <c r="AG1">
        <f t="shared" si="0"/>
        <v>2040</v>
      </c>
      <c r="AH1">
        <f t="shared" si="0"/>
        <v>2041</v>
      </c>
      <c r="AI1">
        <f t="shared" si="0"/>
        <v>2042</v>
      </c>
      <c r="AJ1">
        <f t="shared" si="0"/>
        <v>2043</v>
      </c>
      <c r="AK1">
        <f t="shared" si="0"/>
        <v>2044</v>
      </c>
      <c r="AL1">
        <f t="shared" si="0"/>
        <v>2045</v>
      </c>
      <c r="AM1">
        <f t="shared" si="0"/>
        <v>2046</v>
      </c>
      <c r="AN1">
        <f t="shared" si="0"/>
        <v>2047</v>
      </c>
      <c r="AO1">
        <f t="shared" si="0"/>
        <v>2048</v>
      </c>
      <c r="AP1">
        <f t="shared" si="0"/>
        <v>2049</v>
      </c>
      <c r="AQ1">
        <f t="shared" si="0"/>
        <v>2050</v>
      </c>
      <c r="AR1">
        <f t="shared" si="0"/>
        <v>2051</v>
      </c>
      <c r="AS1">
        <f t="shared" si="0"/>
        <v>2052</v>
      </c>
      <c r="AT1">
        <f t="shared" si="0"/>
        <v>2053</v>
      </c>
    </row>
    <row r="2" spans="1:46" x14ac:dyDescent="0.25">
      <c r="A2" s="29">
        <v>45596</v>
      </c>
      <c r="B2" s="16">
        <v>0.24979962188968649</v>
      </c>
      <c r="C2" s="16">
        <f t="shared" ref="C2:C24" si="1">B2/B3-1</f>
        <v>-0.21198857448048425</v>
      </c>
      <c r="D2" s="16">
        <f t="shared" ref="D2:D24" si="2">B2-B3</f>
        <v>-6.7200378110313513E-2</v>
      </c>
      <c r="E2" s="16"/>
      <c r="F2" s="16">
        <v>0.24979962188968649</v>
      </c>
      <c r="G2" s="16">
        <f t="shared" ref="G2:G21" si="3">F2/F6-1</f>
        <v>-0.292352345921568</v>
      </c>
      <c r="H2" s="16">
        <f t="shared" ref="H2:H21" si="4">F2-F6</f>
        <v>-0.10320037811031349</v>
      </c>
      <c r="I2" s="16"/>
      <c r="K2" s="16"/>
      <c r="L2" s="16"/>
      <c r="M2" s="16"/>
      <c r="O2" s="16"/>
      <c r="P2" s="16"/>
      <c r="Q2" s="16"/>
      <c r="R2" s="16">
        <f>F2</f>
        <v>0.24979962188968649</v>
      </c>
      <c r="S2" s="16">
        <f t="shared" ref="S2:AT2" si="5">R2*(1+$G$32)</f>
        <v>0.2064695043567529</v>
      </c>
      <c r="T2" s="16">
        <f t="shared" si="5"/>
        <v>0.17065540734945067</v>
      </c>
      <c r="U2" s="16">
        <f t="shared" si="5"/>
        <v>0.14105360570481953</v>
      </c>
      <c r="V2" s="16">
        <f t="shared" si="5"/>
        <v>0.11658651777490683</v>
      </c>
      <c r="W2" s="16">
        <f t="shared" si="5"/>
        <v>9.6363478685708215E-2</v>
      </c>
      <c r="X2" s="16">
        <f t="shared" si="5"/>
        <v>7.9648317847002117E-2</v>
      </c>
      <c r="Y2" s="16">
        <f t="shared" si="5"/>
        <v>6.5832560451119751E-2</v>
      </c>
      <c r="Z2" s="16">
        <f t="shared" si="5"/>
        <v>5.4413277426341292E-2</v>
      </c>
      <c r="AA2" s="16">
        <f t="shared" si="5"/>
        <v>4.4974777526302676E-2</v>
      </c>
      <c r="AB2" s="16">
        <f t="shared" si="5"/>
        <v>3.7173475100421405E-2</v>
      </c>
      <c r="AC2" s="16">
        <f t="shared" si="5"/>
        <v>3.0725382693299382E-2</v>
      </c>
      <c r="AD2" s="16">
        <f t="shared" si="5"/>
        <v>2.5395773171580593E-2</v>
      </c>
      <c r="AE2" s="16">
        <f t="shared" si="5"/>
        <v>2.0990635053115967E-2</v>
      </c>
      <c r="AF2" s="16">
        <f t="shared" si="5"/>
        <v>1.7349609990459609E-2</v>
      </c>
      <c r="AG2" s="16">
        <f t="shared" si="5"/>
        <v>1.43401553149471E-2</v>
      </c>
      <c r="AH2" s="16">
        <f t="shared" si="5"/>
        <v>1.1852719142959706E-2</v>
      </c>
      <c r="AI2" s="16">
        <f t="shared" si="5"/>
        <v>9.7967524058439198E-3</v>
      </c>
      <c r="AJ2" s="16">
        <f t="shared" si="5"/>
        <v>8.0974126311274992E-3</v>
      </c>
      <c r="AK2" s="16">
        <f t="shared" si="5"/>
        <v>6.6928394841979212E-3</v>
      </c>
      <c r="AL2" s="16">
        <f t="shared" si="5"/>
        <v>5.5319028931592783E-3</v>
      </c>
      <c r="AM2" s="16">
        <f t="shared" si="5"/>
        <v>4.5723417828257345E-3</v>
      </c>
      <c r="AN2" s="16">
        <f t="shared" si="5"/>
        <v>3.7792256629859949E-3</v>
      </c>
      <c r="AO2" s="16">
        <f t="shared" si="5"/>
        <v>3.1236830687983333E-3</v>
      </c>
      <c r="AP2" s="16">
        <f t="shared" si="5"/>
        <v>2.5818505652790208E-3</v>
      </c>
      <c r="AQ2" s="16">
        <f t="shared" si="5"/>
        <v>2.1340040569467764E-3</v>
      </c>
      <c r="AR2" s="16">
        <f t="shared" si="5"/>
        <v>1.7638407800620141E-3</v>
      </c>
      <c r="AS2" s="16">
        <f t="shared" si="5"/>
        <v>1.4578858401333248E-3</v>
      </c>
      <c r="AT2" s="16">
        <f t="shared" si="5"/>
        <v>1.2050016911313974E-3</v>
      </c>
    </row>
    <row r="3" spans="1:46" x14ac:dyDescent="0.25">
      <c r="A3" s="27" t="s">
        <v>62</v>
      </c>
      <c r="B3" s="16">
        <v>0.317</v>
      </c>
      <c r="C3" s="16">
        <f t="shared" si="1"/>
        <v>-3.9393939393939426E-2</v>
      </c>
      <c r="D3" s="16">
        <f t="shared" si="2"/>
        <v>-1.3000000000000012E-2</v>
      </c>
      <c r="E3" s="16"/>
      <c r="F3" s="16">
        <v>0.317</v>
      </c>
      <c r="G3" s="16">
        <f t="shared" si="3"/>
        <v>-0.13623978201634879</v>
      </c>
      <c r="H3" s="16">
        <f t="shared" si="4"/>
        <v>-4.9999999999999989E-2</v>
      </c>
      <c r="I3" s="16"/>
      <c r="J3">
        <v>0.753</v>
      </c>
      <c r="K3" s="16">
        <f t="shared" ref="K3:K21" si="6">J3/J7-1</f>
        <v>1.7567567567567499E-2</v>
      </c>
      <c r="L3" s="16">
        <f t="shared" ref="L3:L21" si="7">J3-J7</f>
        <v>1.3000000000000012E-2</v>
      </c>
      <c r="M3" s="16"/>
      <c r="N3">
        <v>0.315</v>
      </c>
      <c r="O3" s="16">
        <f t="shared" ref="O3:O21" si="8">N3/N7-1</f>
        <v>4.3046357615894149E-2</v>
      </c>
      <c r="P3" s="16">
        <f t="shared" ref="P3:P21" si="9">N3-N7</f>
        <v>1.3000000000000012E-2</v>
      </c>
      <c r="Q3" s="16"/>
      <c r="R3">
        <f>J3</f>
        <v>0.753</v>
      </c>
      <c r="S3" s="23">
        <f t="shared" ref="S3:AT3" si="10">R3*(1+($K$32/2))</f>
        <v>0.75961418918918922</v>
      </c>
      <c r="T3" s="23">
        <f t="shared" si="10"/>
        <v>0.76628647598612132</v>
      </c>
      <c r="U3" s="23">
        <f t="shared" si="10"/>
        <v>0.77301737070762111</v>
      </c>
      <c r="V3" s="23">
        <f t="shared" si="10"/>
        <v>0.77980738815302597</v>
      </c>
      <c r="W3" s="23">
        <f t="shared" si="10"/>
        <v>0.78665704764355937</v>
      </c>
      <c r="X3" s="23">
        <f t="shared" si="10"/>
        <v>0.7935668730620502</v>
      </c>
      <c r="Y3" s="23">
        <f t="shared" si="10"/>
        <v>0.80053739289300074</v>
      </c>
      <c r="Z3" s="23">
        <f t="shared" si="10"/>
        <v>0.80756914026300686</v>
      </c>
      <c r="AA3" s="23">
        <f t="shared" si="10"/>
        <v>0.81466265298153329</v>
      </c>
      <c r="AB3" s="23">
        <f t="shared" si="10"/>
        <v>0.82181847358204685</v>
      </c>
      <c r="AC3" s="23">
        <f t="shared" si="10"/>
        <v>0.82903714936351081</v>
      </c>
      <c r="AD3" s="23">
        <f t="shared" si="10"/>
        <v>0.83631923243224437</v>
      </c>
      <c r="AE3" s="23">
        <f t="shared" si="10"/>
        <v>0.84366527974414929</v>
      </c>
      <c r="AF3" s="23">
        <f t="shared" si="10"/>
        <v>0.85107585314730738</v>
      </c>
      <c r="AG3" s="23">
        <f t="shared" si="10"/>
        <v>0.85855151942495267</v>
      </c>
      <c r="AH3" s="23">
        <f t="shared" si="10"/>
        <v>0.86609285033882055</v>
      </c>
      <c r="AI3" s="23">
        <f t="shared" si="10"/>
        <v>0.87370042267287784</v>
      </c>
      <c r="AJ3" s="23">
        <f t="shared" si="10"/>
        <v>0.88137481827743702</v>
      </c>
      <c r="AK3" s="23">
        <f t="shared" si="10"/>
        <v>0.88911662411365777</v>
      </c>
      <c r="AL3" s="23">
        <f t="shared" si="10"/>
        <v>0.89692643229843994</v>
      </c>
      <c r="AM3" s="23">
        <f t="shared" si="10"/>
        <v>0.90480484014971008</v>
      </c>
      <c r="AN3" s="23">
        <f t="shared" si="10"/>
        <v>0.91275245023210627</v>
      </c>
      <c r="AO3" s="23">
        <f t="shared" si="10"/>
        <v>0.92076987040306402</v>
      </c>
      <c r="AP3" s="23">
        <f t="shared" si="10"/>
        <v>0.92885771385930727</v>
      </c>
      <c r="AQ3" s="23">
        <f t="shared" si="10"/>
        <v>0.93701659918374725</v>
      </c>
      <c r="AR3" s="23">
        <f t="shared" si="10"/>
        <v>0.94524715039279372</v>
      </c>
      <c r="AS3" s="23">
        <f t="shared" si="10"/>
        <v>0.95354999698408183</v>
      </c>
      <c r="AT3" s="23">
        <f t="shared" si="10"/>
        <v>0.96192577398461776</v>
      </c>
    </row>
    <row r="4" spans="1:46" x14ac:dyDescent="0.25">
      <c r="A4" s="27" t="s">
        <v>63</v>
      </c>
      <c r="B4" s="16">
        <v>0.33</v>
      </c>
      <c r="C4" s="16">
        <f t="shared" si="1"/>
        <v>1.2269938650306678E-2</v>
      </c>
      <c r="D4" s="16">
        <f t="shared" si="2"/>
        <v>4.0000000000000036E-3</v>
      </c>
      <c r="E4" s="16"/>
      <c r="F4" s="16">
        <v>0.33</v>
      </c>
      <c r="G4" s="16">
        <f t="shared" si="3"/>
        <v>-0.21428571428571419</v>
      </c>
      <c r="H4" s="16">
        <f t="shared" si="4"/>
        <v>-8.9999999999999969E-2</v>
      </c>
      <c r="I4" s="16"/>
      <c r="J4">
        <v>0.753</v>
      </c>
      <c r="K4" s="16">
        <f t="shared" si="6"/>
        <v>2.1709633649932281E-2</v>
      </c>
      <c r="L4" s="16">
        <f t="shared" si="7"/>
        <v>1.6000000000000014E-2</v>
      </c>
      <c r="M4" s="16"/>
      <c r="N4">
        <v>0.312</v>
      </c>
      <c r="O4" s="16">
        <f t="shared" si="8"/>
        <v>2.2950819672131084E-2</v>
      </c>
      <c r="P4" s="16">
        <f t="shared" si="9"/>
        <v>7.0000000000000062E-3</v>
      </c>
      <c r="Q4" s="16"/>
    </row>
    <row r="5" spans="1:46" x14ac:dyDescent="0.25">
      <c r="A5" s="27" t="s">
        <v>64</v>
      </c>
      <c r="B5" s="16">
        <v>0.32600000000000001</v>
      </c>
      <c r="C5" s="16">
        <f t="shared" si="1"/>
        <v>-7.6487252124645799E-2</v>
      </c>
      <c r="D5" s="16">
        <f t="shared" si="2"/>
        <v>-2.6999999999999968E-2</v>
      </c>
      <c r="E5" s="16"/>
      <c r="F5" s="16">
        <v>0.32600000000000001</v>
      </c>
      <c r="G5" s="16">
        <f t="shared" si="3"/>
        <v>-0.31941544885177453</v>
      </c>
      <c r="H5" s="16">
        <f t="shared" si="4"/>
        <v>-0.15299999999999997</v>
      </c>
      <c r="I5" s="16"/>
      <c r="J5">
        <v>0.752</v>
      </c>
      <c r="K5" s="16">
        <f t="shared" si="6"/>
        <v>2.732240437158473E-2</v>
      </c>
      <c r="L5" s="16">
        <f t="shared" si="7"/>
        <v>2.0000000000000018E-2</v>
      </c>
      <c r="M5" s="16"/>
      <c r="N5">
        <v>0.30399999999999999</v>
      </c>
      <c r="O5" s="16">
        <f t="shared" si="8"/>
        <v>9.966777408637828E-3</v>
      </c>
      <c r="P5" s="16">
        <f t="shared" si="9"/>
        <v>3.0000000000000027E-3</v>
      </c>
      <c r="Q5" s="16"/>
    </row>
    <row r="6" spans="1:46" x14ac:dyDescent="0.25">
      <c r="A6" s="27" t="s">
        <v>65</v>
      </c>
      <c r="B6" s="16">
        <v>0.35299999999999998</v>
      </c>
      <c r="C6" s="16">
        <f t="shared" si="1"/>
        <v>-3.8147138964577665E-2</v>
      </c>
      <c r="D6" s="16">
        <f t="shared" si="2"/>
        <v>-1.4000000000000012E-2</v>
      </c>
      <c r="E6" s="16"/>
      <c r="F6" s="16">
        <v>0.35299999999999998</v>
      </c>
      <c r="G6" s="16">
        <f t="shared" si="3"/>
        <v>-0.33143939393939403</v>
      </c>
      <c r="H6" s="16">
        <f t="shared" si="4"/>
        <v>-0.17500000000000004</v>
      </c>
      <c r="I6" s="16"/>
      <c r="J6">
        <v>0.746</v>
      </c>
      <c r="K6" s="16">
        <f t="shared" si="6"/>
        <v>1.4965986394557929E-2</v>
      </c>
      <c r="L6" s="16">
        <f t="shared" si="7"/>
        <v>1.100000000000001E-2</v>
      </c>
      <c r="M6" s="16"/>
      <c r="N6">
        <v>0.30299999999999999</v>
      </c>
      <c r="O6" s="16">
        <f t="shared" si="8"/>
        <v>3.7671232876712368E-2</v>
      </c>
      <c r="P6" s="16">
        <f t="shared" si="9"/>
        <v>1.100000000000001E-2</v>
      </c>
      <c r="Q6" s="16"/>
      <c r="R6" t="s">
        <v>66</v>
      </c>
    </row>
    <row r="7" spans="1:46" x14ac:dyDescent="0.25">
      <c r="A7" s="27" t="s">
        <v>67</v>
      </c>
      <c r="B7" s="16">
        <v>0.36699999999999999</v>
      </c>
      <c r="C7" s="16">
        <f t="shared" si="1"/>
        <v>-0.12619047619047619</v>
      </c>
      <c r="D7" s="16">
        <f t="shared" si="2"/>
        <v>-5.2999999999999992E-2</v>
      </c>
      <c r="E7" s="16"/>
      <c r="F7" s="16">
        <v>0.36699999999999999</v>
      </c>
      <c r="G7" s="16">
        <f t="shared" si="3"/>
        <v>-0.37264957264957266</v>
      </c>
      <c r="H7" s="16">
        <f t="shared" si="4"/>
        <v>-0.21799999999999997</v>
      </c>
      <c r="I7" s="16"/>
      <c r="J7">
        <v>0.74</v>
      </c>
      <c r="K7" s="16">
        <f t="shared" si="6"/>
        <v>4.070556309362372E-3</v>
      </c>
      <c r="L7" s="16">
        <f t="shared" si="7"/>
        <v>3.0000000000000027E-3</v>
      </c>
      <c r="M7" s="16"/>
      <c r="N7">
        <v>0.30199999999999999</v>
      </c>
      <c r="O7" s="16">
        <f t="shared" si="8"/>
        <v>2.0270270270270396E-2</v>
      </c>
      <c r="P7" s="16">
        <f t="shared" si="9"/>
        <v>6.0000000000000053E-3</v>
      </c>
      <c r="Q7" s="16"/>
      <c r="S7" t="s">
        <v>68</v>
      </c>
    </row>
    <row r="8" spans="1:46" x14ac:dyDescent="0.25">
      <c r="A8" s="27" t="s">
        <v>69</v>
      </c>
      <c r="B8" s="16">
        <v>0.42</v>
      </c>
      <c r="C8" s="16">
        <f t="shared" si="1"/>
        <v>-0.12317327766179542</v>
      </c>
      <c r="D8" s="16">
        <f t="shared" si="2"/>
        <v>-5.8999999999999997E-2</v>
      </c>
      <c r="E8" s="16"/>
      <c r="F8" s="16">
        <v>0.42</v>
      </c>
      <c r="G8" s="16">
        <f t="shared" si="3"/>
        <v>-0.31260229132569561</v>
      </c>
      <c r="H8" s="16">
        <f t="shared" si="4"/>
        <v>-0.191</v>
      </c>
      <c r="I8" s="16"/>
      <c r="J8">
        <v>0.73699999999999999</v>
      </c>
      <c r="K8" s="16">
        <f t="shared" si="6"/>
        <v>1.3586956521738358E-3</v>
      </c>
      <c r="L8" s="16">
        <f t="shared" si="7"/>
        <v>1.0000000000000009E-3</v>
      </c>
      <c r="M8" s="16"/>
      <c r="N8">
        <v>0.30499999999999999</v>
      </c>
      <c r="O8" s="16">
        <f t="shared" si="8"/>
        <v>3.7414965986394488E-2</v>
      </c>
      <c r="P8" s="16">
        <f t="shared" si="9"/>
        <v>1.100000000000001E-2</v>
      </c>
      <c r="Q8" s="16"/>
    </row>
    <row r="9" spans="1:46" x14ac:dyDescent="0.25">
      <c r="A9" s="27" t="s">
        <v>70</v>
      </c>
      <c r="B9" s="16">
        <v>0.47899999999999998</v>
      </c>
      <c r="C9" s="16">
        <f t="shared" si="1"/>
        <v>-9.2803030303030387E-2</v>
      </c>
      <c r="D9" s="16">
        <f t="shared" si="2"/>
        <v>-4.9000000000000044E-2</v>
      </c>
      <c r="E9" s="16"/>
      <c r="F9" s="16">
        <v>0.47899999999999998</v>
      </c>
      <c r="G9" s="16">
        <f t="shared" si="3"/>
        <v>-0.23604465709728872</v>
      </c>
      <c r="H9" s="16">
        <f t="shared" si="4"/>
        <v>-0.14800000000000002</v>
      </c>
      <c r="I9" s="16"/>
      <c r="J9">
        <v>0.73199999999999998</v>
      </c>
      <c r="K9" s="16">
        <f t="shared" si="6"/>
        <v>-5.4347826086956763E-3</v>
      </c>
      <c r="L9" s="16">
        <f t="shared" si="7"/>
        <v>-4.0000000000000036E-3</v>
      </c>
      <c r="M9" s="16"/>
      <c r="N9">
        <v>0.30099999999999999</v>
      </c>
      <c r="O9" s="16">
        <f t="shared" si="8"/>
        <v>-9.8684210526316374E-3</v>
      </c>
      <c r="P9" s="16">
        <f t="shared" si="9"/>
        <v>-3.0000000000000027E-3</v>
      </c>
      <c r="Q9" s="16"/>
      <c r="R9" s="3" t="s">
        <v>71</v>
      </c>
    </row>
    <row r="10" spans="1:46" x14ac:dyDescent="0.25">
      <c r="A10" s="27" t="s">
        <v>72</v>
      </c>
      <c r="B10" s="16">
        <v>0.52800000000000002</v>
      </c>
      <c r="C10" s="16">
        <f t="shared" si="1"/>
        <v>-9.7435897435897312E-2</v>
      </c>
      <c r="D10" s="16">
        <f t="shared" si="2"/>
        <v>-5.699999999999994E-2</v>
      </c>
      <c r="E10" s="16"/>
      <c r="F10" s="16">
        <v>0.52800000000000002</v>
      </c>
      <c r="G10" s="16">
        <f t="shared" si="3"/>
        <v>-0.16850393700787403</v>
      </c>
      <c r="H10" s="16">
        <f t="shared" si="4"/>
        <v>-0.10699999999999998</v>
      </c>
      <c r="I10" s="16"/>
      <c r="J10">
        <v>0.73499999999999999</v>
      </c>
      <c r="K10" s="16">
        <f t="shared" si="6"/>
        <v>-4.0650406504064707E-3</v>
      </c>
      <c r="L10" s="16">
        <f t="shared" si="7"/>
        <v>-3.0000000000000027E-3</v>
      </c>
      <c r="M10" s="16"/>
      <c r="N10">
        <v>0.29199999999999998</v>
      </c>
      <c r="O10" s="16">
        <f t="shared" si="8"/>
        <v>-8.7500000000000022E-2</v>
      </c>
      <c r="P10" s="16">
        <f t="shared" si="9"/>
        <v>-2.8000000000000025E-2</v>
      </c>
      <c r="Q10" s="16"/>
      <c r="R10" t="s">
        <v>73</v>
      </c>
    </row>
    <row r="11" spans="1:46" x14ac:dyDescent="0.25">
      <c r="A11" s="27" t="s">
        <v>74</v>
      </c>
      <c r="B11" s="16">
        <v>0.58499999999999996</v>
      </c>
      <c r="C11" s="16">
        <f t="shared" si="1"/>
        <v>-4.2553191489361764E-2</v>
      </c>
      <c r="D11" s="16">
        <f t="shared" si="2"/>
        <v>-2.6000000000000023E-2</v>
      </c>
      <c r="E11" s="16"/>
      <c r="F11" s="16">
        <v>0.58499999999999996</v>
      </c>
      <c r="G11" s="16">
        <f t="shared" si="3"/>
        <v>-0.16068866571018647</v>
      </c>
      <c r="H11" s="16">
        <f t="shared" si="4"/>
        <v>-0.11199999999999999</v>
      </c>
      <c r="I11" s="16"/>
      <c r="J11">
        <v>0.73699999999999999</v>
      </c>
      <c r="K11" s="16">
        <f t="shared" si="6"/>
        <v>-2.7063599458727605E-3</v>
      </c>
      <c r="L11" s="16">
        <f t="shared" si="7"/>
        <v>-2.0000000000000018E-3</v>
      </c>
      <c r="M11" s="16"/>
      <c r="N11">
        <v>0.29599999999999999</v>
      </c>
      <c r="O11" s="16">
        <f t="shared" si="8"/>
        <v>-7.5000000000000067E-2</v>
      </c>
      <c r="P11" s="16">
        <f t="shared" si="9"/>
        <v>-2.4000000000000021E-2</v>
      </c>
      <c r="Q11" s="16"/>
    </row>
    <row r="12" spans="1:46" x14ac:dyDescent="0.25">
      <c r="A12" s="27" t="s">
        <v>75</v>
      </c>
      <c r="B12" s="16">
        <v>0.61099999999999999</v>
      </c>
      <c r="C12" s="16">
        <f t="shared" si="1"/>
        <v>-2.5518341307815051E-2</v>
      </c>
      <c r="D12" s="16">
        <f t="shared" si="2"/>
        <v>-1.6000000000000014E-2</v>
      </c>
      <c r="E12" s="16"/>
      <c r="F12" s="16">
        <v>0.61099999999999999</v>
      </c>
      <c r="G12" s="16">
        <f t="shared" si="3"/>
        <v>-0.1283880171184022</v>
      </c>
      <c r="H12" s="16">
        <f t="shared" si="4"/>
        <v>-8.9999999999999969E-2</v>
      </c>
      <c r="I12" s="16"/>
      <c r="J12">
        <v>0.73599999999999999</v>
      </c>
      <c r="K12" s="16">
        <f t="shared" si="6"/>
        <v>-4.0595399188092518E-3</v>
      </c>
      <c r="L12" s="16">
        <f t="shared" si="7"/>
        <v>-3.0000000000000027E-3</v>
      </c>
      <c r="M12" s="16"/>
      <c r="N12">
        <v>0.29399999999999998</v>
      </c>
      <c r="O12" s="16">
        <f t="shared" si="8"/>
        <v>-8.9783281733746167E-2</v>
      </c>
      <c r="P12" s="16">
        <f t="shared" si="9"/>
        <v>-2.9000000000000026E-2</v>
      </c>
      <c r="Q12" s="16"/>
    </row>
    <row r="13" spans="1:46" x14ac:dyDescent="0.25">
      <c r="A13" s="27" t="s">
        <v>76</v>
      </c>
      <c r="B13" s="16">
        <v>0.627</v>
      </c>
      <c r="C13" s="16">
        <f t="shared" si="1"/>
        <v>-1.2598425196850394E-2</v>
      </c>
      <c r="D13" s="16">
        <f t="shared" si="2"/>
        <v>-8.0000000000000071E-3</v>
      </c>
      <c r="E13" s="16"/>
      <c r="F13" s="16">
        <v>0.627</v>
      </c>
      <c r="G13" s="16">
        <f t="shared" si="3"/>
        <v>-0.15498652291105119</v>
      </c>
      <c r="H13" s="16">
        <f t="shared" si="4"/>
        <v>-0.11499999999999999</v>
      </c>
      <c r="I13" s="16"/>
      <c r="J13">
        <v>0.73599999999999999</v>
      </c>
      <c r="K13" s="16">
        <f t="shared" si="6"/>
        <v>-1.3568521031207537E-3</v>
      </c>
      <c r="L13" s="16">
        <f t="shared" si="7"/>
        <v>-1.0000000000000009E-3</v>
      </c>
      <c r="M13" s="16"/>
      <c r="N13">
        <v>0.30399999999999999</v>
      </c>
      <c r="O13" s="16">
        <f t="shared" si="8"/>
        <v>-9.2537313432835888E-2</v>
      </c>
      <c r="P13" s="16">
        <f t="shared" si="9"/>
        <v>-3.1000000000000028E-2</v>
      </c>
      <c r="Q13" s="16"/>
    </row>
    <row r="14" spans="1:46" x14ac:dyDescent="0.25">
      <c r="A14" s="27" t="s">
        <v>77</v>
      </c>
      <c r="B14" s="16">
        <v>0.63500000000000001</v>
      </c>
      <c r="C14" s="16">
        <f t="shared" si="1"/>
        <v>-8.8952654232424599E-2</v>
      </c>
      <c r="D14" s="16">
        <f t="shared" si="2"/>
        <v>-6.1999999999999944E-2</v>
      </c>
      <c r="E14" s="16"/>
      <c r="F14" s="16">
        <v>0.63500000000000001</v>
      </c>
      <c r="G14" s="16">
        <f t="shared" si="3"/>
        <v>-0.25990675990675993</v>
      </c>
      <c r="H14" s="16">
        <f t="shared" si="4"/>
        <v>-0.22299999999999998</v>
      </c>
      <c r="I14" s="16"/>
      <c r="J14">
        <v>0.73799999999999999</v>
      </c>
      <c r="K14" s="16">
        <f t="shared" si="6"/>
        <v>1.2345679012345734E-2</v>
      </c>
      <c r="L14" s="16">
        <f t="shared" si="7"/>
        <v>9.000000000000008E-3</v>
      </c>
      <c r="M14" s="16"/>
      <c r="N14">
        <v>0.32</v>
      </c>
      <c r="O14" s="16">
        <f t="shared" si="8"/>
        <v>-9.2879256965944235E-3</v>
      </c>
      <c r="P14" s="16">
        <f t="shared" si="9"/>
        <v>-3.0000000000000027E-3</v>
      </c>
      <c r="Q14" s="16"/>
      <c r="R14" t="s">
        <v>78</v>
      </c>
    </row>
    <row r="15" spans="1:46" x14ac:dyDescent="0.25">
      <c r="A15" s="27" t="s">
        <v>79</v>
      </c>
      <c r="B15" s="16">
        <v>0.69699999999999995</v>
      </c>
      <c r="C15" s="16">
        <f t="shared" si="1"/>
        <v>-5.7061340941512162E-3</v>
      </c>
      <c r="D15" s="16">
        <f t="shared" si="2"/>
        <v>-4.0000000000000036E-3</v>
      </c>
      <c r="E15" s="16"/>
      <c r="F15" s="16">
        <v>0.69699999999999995</v>
      </c>
      <c r="G15" s="16">
        <f t="shared" si="3"/>
        <v>-0.1702380952380953</v>
      </c>
      <c r="H15" s="16">
        <f t="shared" si="4"/>
        <v>-0.14300000000000002</v>
      </c>
      <c r="I15" s="16"/>
      <c r="J15">
        <v>0.73899999999999999</v>
      </c>
      <c r="K15" s="16">
        <f t="shared" si="6"/>
        <v>2.3545706371191244E-2</v>
      </c>
      <c r="L15" s="16">
        <f t="shared" si="7"/>
        <v>1.7000000000000015E-2</v>
      </c>
      <c r="M15" s="16"/>
      <c r="N15">
        <v>0.32</v>
      </c>
      <c r="O15" s="16">
        <f t="shared" si="8"/>
        <v>0.18081180811808117</v>
      </c>
      <c r="P15" s="16">
        <f t="shared" si="9"/>
        <v>4.8999999999999988E-2</v>
      </c>
      <c r="Q15" s="16"/>
    </row>
    <row r="16" spans="1:46" x14ac:dyDescent="0.25">
      <c r="A16" s="27" t="s">
        <v>80</v>
      </c>
      <c r="B16" s="16">
        <v>0.70099999999999996</v>
      </c>
      <c r="C16" s="16">
        <f t="shared" si="1"/>
        <v>-5.5256064690026974E-2</v>
      </c>
      <c r="D16" s="16">
        <f t="shared" si="2"/>
        <v>-4.1000000000000036E-2</v>
      </c>
      <c r="E16" s="16"/>
      <c r="F16" s="16">
        <v>0.70099999999999996</v>
      </c>
      <c r="G16" s="16">
        <f t="shared" si="3"/>
        <v>-0.17819460726846426</v>
      </c>
      <c r="H16" s="16">
        <f t="shared" si="4"/>
        <v>-0.15200000000000002</v>
      </c>
      <c r="I16" s="16"/>
      <c r="J16">
        <v>0.73899999999999999</v>
      </c>
      <c r="K16" s="16">
        <f t="shared" si="6"/>
        <v>3.0683403068340276E-2</v>
      </c>
      <c r="L16" s="16">
        <f t="shared" si="7"/>
        <v>2.200000000000002E-2</v>
      </c>
      <c r="M16" s="16"/>
      <c r="N16">
        <v>0.32300000000000001</v>
      </c>
      <c r="O16" s="16">
        <f t="shared" si="8"/>
        <v>0.57560975609756104</v>
      </c>
      <c r="P16" s="16">
        <f t="shared" si="9"/>
        <v>0.11800000000000002</v>
      </c>
      <c r="Q16" s="16"/>
    </row>
    <row r="17" spans="1:17" x14ac:dyDescent="0.25">
      <c r="A17" s="27" t="s">
        <v>81</v>
      </c>
      <c r="B17" s="16">
        <v>0.74199999999999999</v>
      </c>
      <c r="C17" s="16">
        <f t="shared" si="1"/>
        <v>-0.13519813519813517</v>
      </c>
      <c r="D17" s="16">
        <f t="shared" si="2"/>
        <v>-0.11599999999999999</v>
      </c>
      <c r="E17" s="16"/>
      <c r="F17" s="16">
        <v>0.74199999999999999</v>
      </c>
      <c r="G17" s="16">
        <f t="shared" si="3"/>
        <v>-0.16722783389450058</v>
      </c>
      <c r="H17" s="16">
        <f t="shared" si="4"/>
        <v>-0.14900000000000002</v>
      </c>
      <c r="I17" s="16"/>
      <c r="J17">
        <v>0.73699999999999999</v>
      </c>
      <c r="K17" s="16">
        <f t="shared" si="6"/>
        <v>4.3909348441926399E-2</v>
      </c>
      <c r="L17" s="16">
        <f t="shared" si="7"/>
        <v>3.1000000000000028E-2</v>
      </c>
      <c r="M17" s="16"/>
      <c r="N17">
        <v>0.33500000000000002</v>
      </c>
      <c r="O17" s="16">
        <f t="shared" si="8"/>
        <v>11.884615384615387</v>
      </c>
      <c r="P17" s="16">
        <f t="shared" si="9"/>
        <v>0.309</v>
      </c>
      <c r="Q17" s="16"/>
    </row>
    <row r="18" spans="1:17" x14ac:dyDescent="0.25">
      <c r="A18" s="27" t="s">
        <v>82</v>
      </c>
      <c r="B18" s="16">
        <v>0.85799999999999998</v>
      </c>
      <c r="C18" s="16">
        <f t="shared" si="1"/>
        <v>2.1428571428571352E-2</v>
      </c>
      <c r="D18" s="16">
        <f t="shared" si="2"/>
        <v>1.8000000000000016E-2</v>
      </c>
      <c r="E18" s="16"/>
      <c r="F18" s="16">
        <v>0.85799999999999998</v>
      </c>
      <c r="G18" s="16">
        <f t="shared" si="3"/>
        <v>-3.0508474576271261E-2</v>
      </c>
      <c r="H18" s="16">
        <f t="shared" si="4"/>
        <v>-2.7000000000000024E-2</v>
      </c>
      <c r="I18" s="16"/>
      <c r="J18">
        <v>0.72899999999999998</v>
      </c>
      <c r="K18" s="16">
        <f t="shared" si="6"/>
        <v>5.0432276657060626E-2</v>
      </c>
      <c r="L18" s="16">
        <f t="shared" si="7"/>
        <v>3.5000000000000031E-2</v>
      </c>
      <c r="M18" s="16"/>
      <c r="N18">
        <v>0.32300000000000001</v>
      </c>
      <c r="O18" s="16">
        <f t="shared" si="8"/>
        <v>-4.4361702127659575</v>
      </c>
      <c r="P18" s="16">
        <f t="shared" si="9"/>
        <v>0.41700000000000004</v>
      </c>
      <c r="Q18" s="16"/>
    </row>
    <row r="19" spans="1:17" x14ac:dyDescent="0.25">
      <c r="A19" s="27" t="s">
        <v>83</v>
      </c>
      <c r="B19" s="16">
        <v>0.84</v>
      </c>
      <c r="C19" s="16">
        <f t="shared" si="1"/>
        <v>-1.5240328253223967E-2</v>
      </c>
      <c r="D19" s="16">
        <f t="shared" si="2"/>
        <v>-1.3000000000000012E-2</v>
      </c>
      <c r="E19" s="16"/>
      <c r="F19" s="16">
        <v>0.84</v>
      </c>
      <c r="G19" s="16">
        <f t="shared" si="3"/>
        <v>-0.10733262486716255</v>
      </c>
      <c r="H19" s="16">
        <f t="shared" si="4"/>
        <v>-0.10099999999999998</v>
      </c>
      <c r="I19" s="16"/>
      <c r="J19">
        <v>0.72199999999999998</v>
      </c>
      <c r="K19" s="16">
        <f t="shared" si="6"/>
        <v>5.2478134110786945E-2</v>
      </c>
      <c r="L19" s="16">
        <f t="shared" si="7"/>
        <v>3.5999999999999921E-2</v>
      </c>
      <c r="M19" s="16"/>
      <c r="N19">
        <v>0.27100000000000002</v>
      </c>
      <c r="O19" s="16">
        <f t="shared" si="8"/>
        <v>-2.6227544910179641</v>
      </c>
      <c r="P19" s="16">
        <f t="shared" si="9"/>
        <v>0.43800000000000006</v>
      </c>
      <c r="Q19" s="16"/>
    </row>
    <row r="20" spans="1:17" x14ac:dyDescent="0.25">
      <c r="A20" s="27" t="s">
        <v>84</v>
      </c>
      <c r="B20" s="16">
        <v>0.85299999999999998</v>
      </c>
      <c r="C20" s="16">
        <f t="shared" si="1"/>
        <v>-4.264870931537601E-2</v>
      </c>
      <c r="D20" s="16">
        <f t="shared" si="2"/>
        <v>-3.8000000000000034E-2</v>
      </c>
      <c r="E20" s="16"/>
      <c r="F20" s="16">
        <v>0.85299999999999998</v>
      </c>
      <c r="G20" s="16">
        <f t="shared" si="3"/>
        <v>-0.17344961240310086</v>
      </c>
      <c r="H20" s="16">
        <f t="shared" si="4"/>
        <v>-0.17900000000000005</v>
      </c>
      <c r="I20" s="16"/>
      <c r="J20">
        <v>0.71699999999999997</v>
      </c>
      <c r="K20" s="16">
        <f t="shared" si="6"/>
        <v>6.2222222222222179E-2</v>
      </c>
      <c r="L20" s="16">
        <f t="shared" si="7"/>
        <v>4.1999999999999926E-2</v>
      </c>
      <c r="M20" s="16"/>
      <c r="N20">
        <v>0.20499999999999999</v>
      </c>
      <c r="O20" s="16">
        <f t="shared" si="8"/>
        <v>-1.9403669724770642</v>
      </c>
      <c r="P20" s="16">
        <f t="shared" si="9"/>
        <v>0.42299999999999999</v>
      </c>
      <c r="Q20" s="16"/>
    </row>
    <row r="21" spans="1:17" x14ac:dyDescent="0.25">
      <c r="A21" s="27" t="s">
        <v>85</v>
      </c>
      <c r="B21" s="16">
        <v>0.89100000000000001</v>
      </c>
      <c r="C21" s="16">
        <f t="shared" si="1"/>
        <v>6.7796610169492677E-3</v>
      </c>
      <c r="D21" s="16">
        <f t="shared" si="2"/>
        <v>6.0000000000000053E-3</v>
      </c>
      <c r="E21" s="16"/>
      <c r="F21" s="16">
        <v>0.89100000000000001</v>
      </c>
      <c r="G21" s="16">
        <f t="shared" si="3"/>
        <v>-0.17346938775510212</v>
      </c>
      <c r="H21" s="16">
        <f t="shared" si="4"/>
        <v>-0.18700000000000006</v>
      </c>
      <c r="I21" s="16"/>
      <c r="J21">
        <v>0.70599999999999996</v>
      </c>
      <c r="K21" s="16">
        <f t="shared" si="6"/>
        <v>8.4485407066052121E-2</v>
      </c>
      <c r="L21" s="16">
        <f t="shared" si="7"/>
        <v>5.4999999999999938E-2</v>
      </c>
      <c r="M21" s="16"/>
      <c r="N21">
        <v>2.5999999999999999E-2</v>
      </c>
      <c r="O21" s="16">
        <f t="shared" si="8"/>
        <v>-1.0988593155893536</v>
      </c>
      <c r="P21" s="16">
        <f t="shared" si="9"/>
        <v>0.28900000000000003</v>
      </c>
      <c r="Q21" s="16"/>
    </row>
    <row r="22" spans="1:17" x14ac:dyDescent="0.25">
      <c r="A22" s="27" t="s">
        <v>86</v>
      </c>
      <c r="B22" s="16">
        <v>0.88500000000000001</v>
      </c>
      <c r="C22" s="16">
        <f t="shared" si="1"/>
        <v>-5.9511158342189119E-2</v>
      </c>
      <c r="D22" s="16">
        <f t="shared" si="2"/>
        <v>-5.5999999999999939E-2</v>
      </c>
      <c r="E22" s="16"/>
      <c r="F22" s="16">
        <v>0.88500000000000001</v>
      </c>
      <c r="G22" s="16"/>
      <c r="H22" s="16"/>
      <c r="I22" s="16"/>
      <c r="J22">
        <v>0.69399999999999995</v>
      </c>
      <c r="K22" s="16"/>
      <c r="L22" s="16"/>
      <c r="M22" s="16"/>
      <c r="N22">
        <v>-9.4E-2</v>
      </c>
      <c r="O22" s="16"/>
      <c r="P22" s="16"/>
      <c r="Q22" s="16"/>
    </row>
    <row r="23" spans="1:17" x14ac:dyDescent="0.25">
      <c r="A23" s="27" t="s">
        <v>87</v>
      </c>
      <c r="B23" s="16">
        <v>0.94099999999999995</v>
      </c>
      <c r="C23" s="16">
        <f t="shared" si="1"/>
        <v>-8.8178294573643456E-2</v>
      </c>
      <c r="D23" s="16">
        <f t="shared" si="2"/>
        <v>-9.1000000000000081E-2</v>
      </c>
      <c r="E23" s="16"/>
      <c r="F23" s="16">
        <v>0.94099999999999995</v>
      </c>
      <c r="G23" s="16"/>
      <c r="H23" s="16"/>
      <c r="I23" s="16"/>
      <c r="J23">
        <v>0.68600000000000005</v>
      </c>
      <c r="K23" s="16"/>
      <c r="L23" s="16"/>
      <c r="M23" s="16"/>
      <c r="N23">
        <v>-0.16700000000000001</v>
      </c>
      <c r="O23" s="16"/>
      <c r="P23" s="16"/>
      <c r="Q23" s="16"/>
    </row>
    <row r="24" spans="1:17" x14ac:dyDescent="0.25">
      <c r="A24" s="27" t="s">
        <v>88</v>
      </c>
      <c r="B24" s="16">
        <v>1.032</v>
      </c>
      <c r="C24" s="16">
        <f t="shared" si="1"/>
        <v>-4.2671614100185606E-2</v>
      </c>
      <c r="D24" s="16">
        <f t="shared" si="2"/>
        <v>-4.6000000000000041E-2</v>
      </c>
      <c r="E24" s="16"/>
      <c r="F24" s="16">
        <v>1.032</v>
      </c>
      <c r="G24" s="16"/>
      <c r="H24" s="16"/>
      <c r="I24" s="16"/>
      <c r="J24">
        <v>0.67500000000000004</v>
      </c>
      <c r="K24" s="16"/>
      <c r="L24" s="16"/>
      <c r="M24" s="16"/>
      <c r="N24">
        <v>-0.218</v>
      </c>
      <c r="O24" s="16"/>
      <c r="P24" s="16"/>
      <c r="Q24" s="16"/>
    </row>
    <row r="25" spans="1:17" x14ac:dyDescent="0.25">
      <c r="A25" s="27" t="s">
        <v>89</v>
      </c>
      <c r="B25" s="16">
        <v>1.0780000000000001</v>
      </c>
      <c r="C25" s="16"/>
      <c r="D25" s="16"/>
      <c r="E25" s="16"/>
      <c r="F25" s="16">
        <v>1.0780000000000001</v>
      </c>
      <c r="G25" s="16"/>
      <c r="H25" s="16"/>
      <c r="I25" s="16"/>
      <c r="J25">
        <v>0.65100000000000002</v>
      </c>
      <c r="K25" s="16"/>
      <c r="L25" s="16"/>
      <c r="M25" s="16"/>
      <c r="N25">
        <v>-0.26300000000000001</v>
      </c>
      <c r="O25" s="16"/>
      <c r="P25" s="16"/>
      <c r="Q25" s="16"/>
    </row>
    <row r="26" spans="1:17" x14ac:dyDescent="0.25">
      <c r="A26" s="27" t="s">
        <v>90</v>
      </c>
      <c r="J26">
        <v>0.61799999999999999</v>
      </c>
      <c r="N26">
        <v>-0.36399999999999999</v>
      </c>
    </row>
    <row r="27" spans="1:17" x14ac:dyDescent="0.25">
      <c r="A27" s="27" t="s">
        <v>91</v>
      </c>
    </row>
    <row r="28" spans="1:17" x14ac:dyDescent="0.25">
      <c r="A28" s="27" t="s">
        <v>92</v>
      </c>
    </row>
    <row r="29" spans="1:17" x14ac:dyDescent="0.25">
      <c r="A29" s="27" t="s">
        <v>93</v>
      </c>
    </row>
    <row r="31" spans="1:17" x14ac:dyDescent="0.25">
      <c r="A31" s="26" t="s">
        <v>94</v>
      </c>
      <c r="C31" s="11">
        <f>AVERAGE(C2:C24)</f>
        <v>-5.9964107228365322E-2</v>
      </c>
      <c r="G31" s="11">
        <f>AVERAGE(G2:G24)</f>
        <v>-0.20439618723721636</v>
      </c>
      <c r="K31" s="11">
        <f>AVERAGE(K2:K24)</f>
        <v>2.2603918193063118E-2</v>
      </c>
      <c r="O31" s="11">
        <f>AVERAGE(O2:O8)</f>
        <v>2.8553403971673386E-2</v>
      </c>
    </row>
    <row r="32" spans="1:17" x14ac:dyDescent="0.25">
      <c r="A32" s="26" t="s">
        <v>95</v>
      </c>
      <c r="C32" s="11">
        <f>MEDIAN(C2:C24)</f>
        <v>-4.2671614100185606E-2</v>
      </c>
      <c r="G32" s="11">
        <f>MEDIAN(G2:G24)</f>
        <v>-0.17345950007910149</v>
      </c>
      <c r="K32" s="11">
        <f>MEDIAN(K2:K24)</f>
        <v>1.7567567567567499E-2</v>
      </c>
      <c r="O32" s="11">
        <f>MEDIAN(O2:O8)</f>
        <v>3.0182892829262786E-2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sheetData>
    <row r="1" spans="1:5" x14ac:dyDescent="0.25">
      <c r="B1" s="73" t="s">
        <v>96</v>
      </c>
      <c r="C1" s="73" t="s">
        <v>97</v>
      </c>
      <c r="D1" s="73" t="s">
        <v>11</v>
      </c>
      <c r="E1" s="73" t="s">
        <v>9</v>
      </c>
    </row>
    <row r="2" spans="1:5" x14ac:dyDescent="0.25">
      <c r="A2" s="73">
        <v>0</v>
      </c>
      <c r="B2">
        <v>3</v>
      </c>
      <c r="C2" t="s">
        <v>98</v>
      </c>
      <c r="D2">
        <v>1.3170738251748231</v>
      </c>
      <c r="E2">
        <v>0.1319637040150049</v>
      </c>
    </row>
    <row r="3" spans="1:5" x14ac:dyDescent="0.25">
      <c r="A3" s="73">
        <v>1</v>
      </c>
      <c r="B3">
        <v>3</v>
      </c>
      <c r="C3" t="s">
        <v>99</v>
      </c>
      <c r="D3">
        <v>1.3050152430591919</v>
      </c>
      <c r="E3">
        <v>0.1311284060263351</v>
      </c>
    </row>
    <row r="4" spans="1:5" x14ac:dyDescent="0.25">
      <c r="A4" s="73">
        <v>2</v>
      </c>
      <c r="B4">
        <v>3</v>
      </c>
      <c r="C4" t="s">
        <v>100</v>
      </c>
      <c r="D4">
        <v>1.1462108189436779</v>
      </c>
      <c r="E4">
        <v>0.1201280234951586</v>
      </c>
    </row>
    <row r="5" spans="1:5" x14ac:dyDescent="0.25">
      <c r="A5" s="73">
        <v>3</v>
      </c>
      <c r="B5">
        <v>5</v>
      </c>
      <c r="C5" t="s">
        <v>98</v>
      </c>
      <c r="D5">
        <v>1.0550937692790749</v>
      </c>
      <c r="E5">
        <v>0.1138163454231815</v>
      </c>
    </row>
    <row r="6" spans="1:5" x14ac:dyDescent="0.25">
      <c r="A6" s="73">
        <v>4</v>
      </c>
      <c r="B6">
        <v>5</v>
      </c>
      <c r="C6" t="s">
        <v>99</v>
      </c>
      <c r="D6">
        <v>0.92424449246806339</v>
      </c>
      <c r="E6">
        <v>0.1047524159585846</v>
      </c>
    </row>
    <row r="7" spans="1:5" x14ac:dyDescent="0.25">
      <c r="A7" s="73">
        <v>5</v>
      </c>
      <c r="B7">
        <v>5</v>
      </c>
      <c r="C7" t="s">
        <v>100</v>
      </c>
      <c r="D7">
        <v>1.005111523783508</v>
      </c>
      <c r="E7">
        <v>0.11035407525482351</v>
      </c>
    </row>
    <row r="8" spans="1:5" x14ac:dyDescent="0.25">
      <c r="A8" s="73">
        <v>6</v>
      </c>
      <c r="B8" t="s">
        <v>94</v>
      </c>
      <c r="D8">
        <v>1.1254582787847229</v>
      </c>
      <c r="E8">
        <v>0.118690495028848</v>
      </c>
    </row>
    <row r="9" spans="1:5" x14ac:dyDescent="0.25">
      <c r="A9" s="73">
        <v>7</v>
      </c>
      <c r="B9" t="s">
        <v>95</v>
      </c>
      <c r="D9">
        <v>1.100652294111377</v>
      </c>
      <c r="E9">
        <v>0.11697218445917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WACC</vt:lpstr>
      <vt:lpstr>DCF_Simple</vt:lpstr>
      <vt:lpstr>Python</vt:lpstr>
      <vt:lpstr>Sheet3</vt:lpstr>
      <vt:lpstr>Beta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Chon</dc:creator>
  <cp:lastModifiedBy>Kyle Jennings</cp:lastModifiedBy>
  <cp:lastPrinted>2024-10-14T23:30:42Z</cp:lastPrinted>
  <dcterms:created xsi:type="dcterms:W3CDTF">2022-06-12T18:45:32Z</dcterms:created>
  <dcterms:modified xsi:type="dcterms:W3CDTF">2024-10-18T20:54:03Z</dcterms:modified>
</cp:coreProperties>
</file>