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7FAC2C5A8A7B29A12B2D597F24B44FDC62E068DF" xr6:coauthVersionLast="47" xr6:coauthVersionMax="47" xr10:uidLastSave="{48767862-7530-4CB1-A67B-E9E1A92D9525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L8" i="3"/>
  <c r="M5" i="3"/>
  <c r="K32" i="5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H3" i="5"/>
  <c r="G3" i="5"/>
  <c r="D3" i="5"/>
  <c r="C3" i="5"/>
  <c r="R2" i="5"/>
  <c r="H2" i="5"/>
  <c r="G2" i="5"/>
  <c r="G31" i="5" s="1"/>
  <c r="D2" i="5"/>
  <c r="C2" i="5"/>
  <c r="C32" i="5" s="1"/>
  <c r="U1" i="5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T1" i="5"/>
  <c r="S1" i="5"/>
  <c r="K10" i="3"/>
  <c r="L5" i="3"/>
  <c r="J4" i="3"/>
  <c r="I4" i="3"/>
  <c r="D4" i="3"/>
  <c r="K3" i="3"/>
  <c r="J3" i="3"/>
  <c r="G3" i="3"/>
  <c r="F3" i="3"/>
  <c r="M1" i="3"/>
  <c r="M3" i="3" s="1"/>
  <c r="L1" i="3"/>
  <c r="L3" i="3" s="1"/>
  <c r="K1" i="3"/>
  <c r="K4" i="3" s="1"/>
  <c r="J1" i="3"/>
  <c r="J7" i="3" s="1"/>
  <c r="I1" i="3"/>
  <c r="I10" i="3" s="1"/>
  <c r="H1" i="3"/>
  <c r="H3" i="3" s="1"/>
  <c r="G1" i="3"/>
  <c r="G7" i="3" s="1"/>
  <c r="F1" i="3"/>
  <c r="F4" i="3" s="1"/>
  <c r="E1" i="3"/>
  <c r="E10" i="3" s="1"/>
  <c r="D1" i="3"/>
  <c r="D10" i="3" s="1"/>
  <c r="N5" i="3" l="1"/>
  <c r="O5" i="3" s="1"/>
  <c r="P5" i="3" s="1"/>
  <c r="Q5" i="3" s="1"/>
  <c r="R5" i="3" s="1"/>
  <c r="S5" i="3" s="1"/>
  <c r="T5" i="3" s="1"/>
  <c r="U5" i="3" s="1"/>
  <c r="J8" i="3"/>
  <c r="E11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11" i="3"/>
  <c r="M11" i="3" s="1"/>
  <c r="N11" i="3" s="1"/>
  <c r="O11" i="3" s="1"/>
  <c r="P11" i="3" s="1"/>
  <c r="Q11" i="3" s="1"/>
  <c r="R11" i="3" s="1"/>
  <c r="S11" i="3" s="1"/>
  <c r="T11" i="3" s="1"/>
  <c r="U11" i="3" s="1"/>
  <c r="J5" i="3"/>
  <c r="H7" i="3"/>
  <c r="C20" i="3"/>
  <c r="E4" i="3"/>
  <c r="E5" i="3" s="1"/>
  <c r="I7" i="3"/>
  <c r="C21" i="3"/>
  <c r="I3" i="3"/>
  <c r="G4" i="3"/>
  <c r="G5" i="3" s="1"/>
  <c r="K7" i="3"/>
  <c r="F10" i="3"/>
  <c r="F11" i="3" s="1"/>
  <c r="C31" i="5"/>
  <c r="H4" i="3"/>
  <c r="H5" i="3" s="1"/>
  <c r="D7" i="3"/>
  <c r="G10" i="3"/>
  <c r="G13" i="3" s="1"/>
  <c r="E7" i="3"/>
  <c r="H10" i="3"/>
  <c r="H11" i="3" s="1"/>
  <c r="N1" i="3"/>
  <c r="D3" i="3"/>
  <c r="F7" i="3"/>
  <c r="O31" i="5"/>
  <c r="E3" i="3"/>
  <c r="J10" i="3"/>
  <c r="J11" i="3" s="1"/>
  <c r="F13" i="3" l="1"/>
  <c r="F8" i="3"/>
  <c r="F5" i="3"/>
  <c r="H8" i="3"/>
  <c r="H13" i="3"/>
  <c r="E13" i="3"/>
  <c r="E8" i="3"/>
  <c r="J13" i="3"/>
  <c r="I13" i="3"/>
  <c r="I8" i="3"/>
  <c r="O1" i="3"/>
  <c r="N3" i="3"/>
  <c r="G11" i="3"/>
  <c r="G8" i="3"/>
  <c r="K8" i="3"/>
  <c r="K13" i="3"/>
  <c r="D8" i="3"/>
  <c r="D13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I5" i="3"/>
  <c r="I11" i="3"/>
  <c r="O3" i="3" l="1"/>
  <c r="P1" i="3"/>
  <c r="L7" i="3" l="1"/>
  <c r="L13" i="3" s="1"/>
  <c r="L14" i="3" s="1"/>
  <c r="M8" i="3"/>
  <c r="P3" i="3"/>
  <c r="Q1" i="3"/>
  <c r="R1" i="3" l="1"/>
  <c r="Q3" i="3"/>
  <c r="M7" i="3"/>
  <c r="M13" i="3" s="1"/>
  <c r="M14" i="3" s="1"/>
  <c r="N8" i="3"/>
  <c r="O8" i="3" l="1"/>
  <c r="N7" i="3"/>
  <c r="N13" i="3" s="1"/>
  <c r="N14" i="3" s="1"/>
  <c r="R3" i="3"/>
  <c r="S1" i="3"/>
  <c r="S3" i="3" l="1"/>
  <c r="T1" i="3"/>
  <c r="O7" i="3"/>
  <c r="O13" i="3" s="1"/>
  <c r="O14" i="3" s="1"/>
  <c r="P8" i="3"/>
  <c r="Q8" i="3" l="1"/>
  <c r="P7" i="3"/>
  <c r="P13" i="3" s="1"/>
  <c r="P14" i="3" s="1"/>
  <c r="U1" i="3"/>
  <c r="U3" i="3" s="1"/>
  <c r="T3" i="3"/>
  <c r="Q7" i="3" l="1"/>
  <c r="Q13" i="3" s="1"/>
  <c r="Q14" i="3" s="1"/>
  <c r="R8" i="3"/>
  <c r="R7" i="3" l="1"/>
  <c r="R13" i="3" s="1"/>
  <c r="R14" i="3" s="1"/>
  <c r="S8" i="3"/>
  <c r="T8" i="3" l="1"/>
  <c r="S7" i="3"/>
  <c r="S13" i="3" s="1"/>
  <c r="S14" i="3" s="1"/>
  <c r="T7" i="3" l="1"/>
  <c r="T13" i="3" s="1"/>
  <c r="T14" i="3" s="1"/>
  <c r="U8" i="3"/>
  <c r="U7" i="3" s="1"/>
  <c r="V7" i="3" l="1"/>
  <c r="U13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<sst xmlns="http://schemas.openxmlformats.org/spreadsheetml/2006/main" count="117" uniqueCount="99">
  <si>
    <t>This sheet contains FactSet XML data for use with this workbook's =FDS codes.  Modifying the worksheet's contents may damage the workbook's =FDS functionality.</t>
  </si>
  <si>
    <t>ABNB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</si>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</sst>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5" sqref="B15"/>
    </sheetView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18318000000</v>
      </c>
    </row>
    <row r="3" spans="1:2" x14ac:dyDescent="0.25">
      <c r="A3" s="72" t="s">
        <v>3</v>
      </c>
      <c r="B3">
        <v>2215000000</v>
      </c>
    </row>
    <row r="4" spans="1:2" x14ac:dyDescent="0.25">
      <c r="A4" s="72" t="s">
        <v>4</v>
      </c>
      <c r="B4">
        <v>0.2167955368503475</v>
      </c>
    </row>
    <row r="5" spans="1:2" x14ac:dyDescent="0.25">
      <c r="A5" s="72" t="s">
        <v>5</v>
      </c>
      <c r="B5">
        <v>3.4762979683972912E-2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8002000000</v>
      </c>
    </row>
    <row r="8" spans="1:2" x14ac:dyDescent="0.25">
      <c r="A8" s="72" t="s">
        <v>8</v>
      </c>
      <c r="B8">
        <v>0.78320446314965253</v>
      </c>
    </row>
    <row r="9" spans="1:2" x14ac:dyDescent="0.25">
      <c r="A9" s="72" t="s">
        <v>9</v>
      </c>
      <c r="B9">
        <v>0.14924098088047411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1.5664931517417939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0.1228400047964719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U17" sqref="U17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>
        <f>Python!A31</f>
        <v>0</v>
      </c>
      <c r="E1" s="65">
        <f>Python!A27</f>
        <v>0</v>
      </c>
      <c r="F1" s="65">
        <f>Python!A23</f>
        <v>0</v>
      </c>
      <c r="G1" s="65" t="str">
        <f>Python!A19</f>
        <v>2020-06-30</v>
      </c>
      <c r="H1" s="65" t="str">
        <f>Python!A15</f>
        <v>2021-06-30</v>
      </c>
      <c r="I1" s="65" t="str">
        <f>Python!A11</f>
        <v>2022-06-30</v>
      </c>
      <c r="J1" s="65" t="str">
        <f>Python!A7</f>
        <v>2023-06-30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1900</v>
      </c>
      <c r="E3" s="44">
        <f t="shared" si="1"/>
        <v>1900</v>
      </c>
      <c r="F3" s="44">
        <f t="shared" si="1"/>
        <v>1900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3929.1610000000001</v>
      </c>
      <c r="H4" s="36">
        <f>IFERROR(INDEX(Python!$1:$1048576,MATCH(DCF_Simple!H$1,Python!$A:$A,0),MATCH(DCF_Simple!$B4,Python!$1:$1,0))/1000000,0)</f>
        <v>4423.7269999999999</v>
      </c>
      <c r="I4" s="36">
        <f>IFERROR(INDEX(Python!$1:$1048576,MATCH(DCF_Simple!I$1,Python!$A:$A,0),MATCH(DCF_Simple!$B4,Python!$1:$1,0))/1000000,0)</f>
        <v>7382.6279999999997</v>
      </c>
      <c r="J4" s="36">
        <f>IFERROR(INDEX(Python!$1:$1048576,MATCH(DCF_Simple!J$1,Python!$A:$A,0),MATCH(DCF_Simple!$B4,Python!$1:$1,0))/1000000,0)</f>
        <v>9087.5460000000003</v>
      </c>
      <c r="K4" s="54">
        <f>IFERROR(INDEX(Python!$1:$1048576,MATCH(DCF_Simple!K$1,Python!$A:$A,0),MATCH(DCF_Simple!$B4,Python!$1:$1,0))/1000000,0)</f>
        <v>10505</v>
      </c>
      <c r="L4" s="37">
        <f t="shared" ref="L4:U4" si="2">K4*(1+L5)</f>
        <v>11499.990800706506</v>
      </c>
      <c r="M4" s="36">
        <f t="shared" si="2"/>
        <v>12589.223076281225</v>
      </c>
      <c r="N4" s="36">
        <f t="shared" si="2"/>
        <v>13781.622995266649</v>
      </c>
      <c r="O4" s="36">
        <f t="shared" si="2"/>
        <v>15086.962176522769</v>
      </c>
      <c r="P4" s="36">
        <f t="shared" si="2"/>
        <v>16515.937766836636</v>
      </c>
      <c r="Q4" s="36">
        <f t="shared" si="2"/>
        <v>18080.260103156827</v>
      </c>
      <c r="R4" s="36">
        <f t="shared" si="2"/>
        <v>19792.748677837637</v>
      </c>
      <c r="S4" s="36">
        <f t="shared" si="2"/>
        <v>21667.437193320198</v>
      </c>
      <c r="T4" s="36">
        <f t="shared" si="2"/>
        <v>23719.688567164994</v>
      </c>
      <c r="U4" s="36">
        <f t="shared" si="2"/>
        <v>25966.320829892498</v>
      </c>
      <c r="V4" s="19">
        <f>U4</f>
        <v>25966.320829892498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>
        <f t="shared" si="3"/>
        <v>0.12587063752287064</v>
      </c>
      <c r="I5" s="42">
        <f t="shared" si="3"/>
        <v>0.66887061520749347</v>
      </c>
      <c r="J5" s="42">
        <f t="shared" si="3"/>
        <v>0.23093646327567918</v>
      </c>
      <c r="K5" s="57">
        <f t="shared" si="3"/>
        <v>0.15597764236901801</v>
      </c>
      <c r="L5" s="38">
        <f>Python!F2</f>
        <v>9.4715925816897251E-2</v>
      </c>
      <c r="M5" s="38">
        <f>L5</f>
        <v>9.4715925816897251E-2</v>
      </c>
      <c r="N5" s="38">
        <f t="shared" ref="N5:U5" si="4">M5</f>
        <v>9.4715925816897251E-2</v>
      </c>
      <c r="O5" s="38">
        <f t="shared" si="4"/>
        <v>9.4715925816897251E-2</v>
      </c>
      <c r="P5" s="38">
        <f t="shared" si="4"/>
        <v>9.4715925816897251E-2</v>
      </c>
      <c r="Q5" s="38">
        <f t="shared" si="4"/>
        <v>9.4715925816897251E-2</v>
      </c>
      <c r="R5" s="38">
        <f t="shared" si="4"/>
        <v>9.4715925816897251E-2</v>
      </c>
      <c r="S5" s="38">
        <f t="shared" si="4"/>
        <v>9.4715925816897251E-2</v>
      </c>
      <c r="T5" s="38">
        <f t="shared" si="4"/>
        <v>9.4715925816897251E-2</v>
      </c>
      <c r="U5" s="38">
        <f t="shared" si="4"/>
        <v>9.4715925816897251E-2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0</v>
      </c>
      <c r="E7" s="51">
        <f>IFERROR(INDEX(Python!$1:$1048576,MATCH(DCF_Simple!E$1,Python!$A:$A,0),MATCH(DCF_Simple!$B7,Python!$1:$1,0))/1000000,0)</f>
        <v>0</v>
      </c>
      <c r="F7" s="51">
        <f>IFERROR(INDEX(Python!$1:$1048576,MATCH(DCF_Simple!F$1,Python!$A:$A,0),MATCH(DCF_Simple!$B7,Python!$1:$1,0))/1000000,0)</f>
        <v>0</v>
      </c>
      <c r="G7" s="51">
        <f>IFERROR(INDEX(Python!$1:$1048576,MATCH(DCF_Simple!G$1,Python!$A:$A,0),MATCH(DCF_Simple!$B7,Python!$1:$1,0))/1000000,0)</f>
        <v>-1070.693</v>
      </c>
      <c r="H7" s="51">
        <f>IFERROR(INDEX(Python!$1:$1048576,MATCH(DCF_Simple!H$1,Python!$A:$A,0),MATCH(DCF_Simple!$B7,Python!$1:$1,0))/1000000,0)</f>
        <v>1451.3510000000001</v>
      </c>
      <c r="I7" s="51">
        <f>IFERROR(INDEX(Python!$1:$1048576,MATCH(DCF_Simple!I$1,Python!$A:$A,0),MATCH(DCF_Simple!$B7,Python!$1:$1,0))/1000000,0)</f>
        <v>2886.096</v>
      </c>
      <c r="J7" s="51">
        <f>IFERROR(INDEX(Python!$1:$1048576,MATCH(DCF_Simple!J$1,Python!$A:$A,0),MATCH(DCF_Simple!$B7,Python!$1:$1,0))/1000000,0)</f>
        <v>3895.268</v>
      </c>
      <c r="K7" s="56">
        <f>IFERROR(INDEX(Python!$1:$1048576,MATCH(DCF_Simple!K$1,Python!$A:$A,0),MATCH(DCF_Simple!$B7,Python!$1:$1,0))/1000000,0)</f>
        <v>4377</v>
      </c>
      <c r="L7" s="63">
        <f t="shared" ref="L7:U7" si="5">L8*L4</f>
        <v>4497.3899646391073</v>
      </c>
      <c r="M7" s="63">
        <f t="shared" si="5"/>
        <v>4923.3644188995231</v>
      </c>
      <c r="N7" s="63">
        <f t="shared" si="5"/>
        <v>5389.6854379695624</v>
      </c>
      <c r="O7" s="63">
        <f t="shared" si="5"/>
        <v>5900.1744840886986</v>
      </c>
      <c r="P7" s="63">
        <f t="shared" si="5"/>
        <v>6459.0149728303941</v>
      </c>
      <c r="Q7" s="63">
        <f t="shared" si="5"/>
        <v>7070.7865558472258</v>
      </c>
      <c r="R7" s="63">
        <f t="shared" si="5"/>
        <v>7740.5026507379671</v>
      </c>
      <c r="S7" s="63">
        <f t="shared" si="5"/>
        <v>8473.6515255907616</v>
      </c>
      <c r="T7" s="63">
        <f t="shared" si="5"/>
        <v>9276.2412748868537</v>
      </c>
      <c r="U7" s="63">
        <f t="shared" si="5"/>
        <v>10154.849055338676</v>
      </c>
      <c r="V7" s="64">
        <f>U7</f>
        <v>10154.849055338676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>
        <f t="shared" si="6"/>
        <v>-0.27249914167426581</v>
      </c>
      <c r="H8" s="42">
        <f t="shared" si="6"/>
        <v>0.32808331074679792</v>
      </c>
      <c r="I8" s="42">
        <f t="shared" si="6"/>
        <v>0.39093070922712075</v>
      </c>
      <c r="J8" s="42">
        <f t="shared" si="6"/>
        <v>0.4286380503603503</v>
      </c>
      <c r="K8" s="57">
        <f t="shared" si="6"/>
        <v>0.41665873393622083</v>
      </c>
      <c r="L8" s="38">
        <f>AVERAGE(H8:K8)</f>
        <v>0.39107770106762246</v>
      </c>
      <c r="M8" s="38">
        <f t="shared" ref="M8:U8" si="7">L8</f>
        <v>0.39107770106762246</v>
      </c>
      <c r="N8" s="38">
        <f t="shared" si="7"/>
        <v>0.39107770106762246</v>
      </c>
      <c r="O8" s="38">
        <f t="shared" si="7"/>
        <v>0.39107770106762246</v>
      </c>
      <c r="P8" s="38">
        <f t="shared" si="7"/>
        <v>0.39107770106762246</v>
      </c>
      <c r="Q8" s="38">
        <f t="shared" si="7"/>
        <v>0.39107770106762246</v>
      </c>
      <c r="R8" s="38">
        <f t="shared" si="7"/>
        <v>0.39107770106762246</v>
      </c>
      <c r="S8" s="38">
        <f t="shared" si="7"/>
        <v>0.39107770106762246</v>
      </c>
      <c r="T8" s="38">
        <f t="shared" si="7"/>
        <v>0.39107770106762246</v>
      </c>
      <c r="U8" s="38">
        <f t="shared" si="7"/>
        <v>0.39107770106762246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530.94500000000005</v>
      </c>
      <c r="H10" s="17">
        <f>IFERROR(INDEX(Python!$1:$1048576,MATCH(DCF_Simple!H$1,Python!$A:$A,0),MATCH(DCF_Simple!$B10,Python!$1:$1,0))/1000000,0)</f>
        <v>611.73900000000003</v>
      </c>
      <c r="I10" s="17">
        <f>IFERROR(INDEX(Python!$1:$1048576,MATCH(DCF_Simple!I$1,Python!$A:$A,0),MATCH(DCF_Simple!$B10,Python!$1:$1,0))/1000000,0)</f>
        <v>684</v>
      </c>
      <c r="J10" s="17">
        <f>IFERROR(INDEX(Python!$1:$1048576,MATCH(DCF_Simple!J$1,Python!$A:$A,0),MATCH(DCF_Simple!$B10,Python!$1:$1,0))/1000000,0)</f>
        <v>665</v>
      </c>
      <c r="K10" s="68">
        <f>IFERROR(INDEX(Python!$1:$1048576,MATCH(DCF_Simple!K$1,Python!$A:$A,0),MATCH(DCF_Simple!$B10,Python!$1:$1,0))/1000000,0)</f>
        <v>649</v>
      </c>
      <c r="L10" s="17">
        <f t="shared" ref="L10:U10" si="8">K10*(1+L11)</f>
        <v>641.19248120300756</v>
      </c>
      <c r="M10" s="17">
        <f t="shared" si="8"/>
        <v>633.47888744417435</v>
      </c>
      <c r="N10" s="17">
        <f t="shared" si="8"/>
        <v>625.85808879822935</v>
      </c>
      <c r="O10" s="17">
        <f t="shared" si="8"/>
        <v>618.32896893298744</v>
      </c>
      <c r="P10" s="17">
        <f t="shared" si="8"/>
        <v>610.89042494582361</v>
      </c>
      <c r="Q10" s="17">
        <f t="shared" si="8"/>
        <v>603.54136720211443</v>
      </c>
      <c r="R10" s="17">
        <f t="shared" si="8"/>
        <v>596.28071917562283</v>
      </c>
      <c r="S10" s="17">
        <f t="shared" si="8"/>
        <v>589.10741729080326</v>
      </c>
      <c r="T10" s="17">
        <f t="shared" si="8"/>
        <v>582.02041076700414</v>
      </c>
      <c r="U10" s="17">
        <f t="shared" si="8"/>
        <v>575.01866146454392</v>
      </c>
      <c r="V10" s="69">
        <f>U10</f>
        <v>575.01866146454392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>
        <f t="shared" si="9"/>
        <v>0.15217018711919317</v>
      </c>
      <c r="I11" s="42">
        <f t="shared" si="9"/>
        <v>0.11812390578334875</v>
      </c>
      <c r="J11" s="42">
        <f t="shared" si="9"/>
        <v>-2.777777777777779E-2</v>
      </c>
      <c r="K11" s="57">
        <f t="shared" si="9"/>
        <v>-2.4060150375939893E-2</v>
      </c>
      <c r="L11" s="66">
        <f>K11/2</f>
        <v>-1.2030075187969946E-2</v>
      </c>
      <c r="M11" s="66">
        <f t="shared" ref="L11:U11" si="10">L11</f>
        <v>-1.2030075187969946E-2</v>
      </c>
      <c r="N11" s="66">
        <f t="shared" si="10"/>
        <v>-1.2030075187969946E-2</v>
      </c>
      <c r="O11" s="66">
        <f t="shared" si="10"/>
        <v>-1.2030075187969946E-2</v>
      </c>
      <c r="P11" s="66">
        <f t="shared" si="10"/>
        <v>-1.2030075187969946E-2</v>
      </c>
      <c r="Q11" s="66">
        <f t="shared" si="10"/>
        <v>-1.2030075187969946E-2</v>
      </c>
      <c r="R11" s="66">
        <f t="shared" si="10"/>
        <v>-1.2030075187969946E-2</v>
      </c>
      <c r="S11" s="66">
        <f t="shared" si="10"/>
        <v>-1.2030075187969946E-2</v>
      </c>
      <c r="T11" s="66">
        <f t="shared" si="10"/>
        <v>-1.2030075187969946E-2</v>
      </c>
      <c r="U11" s="66">
        <f t="shared" si="10"/>
        <v>-1.2030075187969946E-2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0</v>
      </c>
      <c r="E13" s="52">
        <f t="shared" si="11"/>
        <v>0</v>
      </c>
      <c r="F13" s="52">
        <f t="shared" si="11"/>
        <v>0</v>
      </c>
      <c r="G13" s="52">
        <f t="shared" si="11"/>
        <v>-2.0165798717381271</v>
      </c>
      <c r="H13" s="52">
        <f t="shared" si="11"/>
        <v>2.3725003637172062</v>
      </c>
      <c r="I13" s="52">
        <f t="shared" si="11"/>
        <v>4.2194385964912282</v>
      </c>
      <c r="J13" s="52">
        <f t="shared" si="11"/>
        <v>5.8575458646616543</v>
      </c>
      <c r="K13" s="58">
        <f t="shared" si="11"/>
        <v>6.7442218798151004</v>
      </c>
      <c r="L13" s="52">
        <f t="shared" ref="L13:U13" si="12">L7/L10</f>
        <v>7.0141027795601856</v>
      </c>
      <c r="M13" s="52">
        <f t="shared" si="12"/>
        <v>7.7719471263884818</v>
      </c>
      <c r="N13" s="52">
        <f t="shared" si="12"/>
        <v>8.611673372024029</v>
      </c>
      <c r="O13" s="52">
        <f t="shared" si="12"/>
        <v>9.5421285117374808</v>
      </c>
      <c r="P13" s="52">
        <f t="shared" si="12"/>
        <v>10.573115421482024</v>
      </c>
      <c r="Q13" s="52">
        <f t="shared" si="12"/>
        <v>11.71549613678652</v>
      </c>
      <c r="R13" s="52">
        <f t="shared" si="12"/>
        <v>12.981306290499314</v>
      </c>
      <c r="S13" s="52">
        <f t="shared" si="12"/>
        <v>14.383881915049598</v>
      </c>
      <c r="T13" s="52">
        <f t="shared" si="12"/>
        <v>15.937999945160586</v>
      </c>
      <c r="U13" s="52">
        <f t="shared" si="12"/>
        <v>17.660033901290753</v>
      </c>
      <c r="V13" s="70">
        <f>U13*(1+WACC!$B$13)/(WACC!$B$14-WACC!$B$13)</f>
        <v>175.15785432882964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6.2467517630275156</v>
      </c>
      <c r="M14" s="61">
        <f>M13/((1+WACC!$B$14)^(M3-$K$3))</f>
        <v>6.1644464266916339</v>
      </c>
      <c r="N14" s="61">
        <f>N13/((1+WACC!$B$14)^(N3-$K$3))</f>
        <v>6.08322552089603</v>
      </c>
      <c r="O14" s="61">
        <f>O13/((1+WACC!$B$14)^(O3-$K$3))</f>
        <v>6.0030747575076493</v>
      </c>
      <c r="P14" s="61">
        <f>P13/((1+WACC!$B$14)^(P3-$K$3))</f>
        <v>5.9239800366496134</v>
      </c>
      <c r="Q14" s="61">
        <f>Q13/((1+WACC!$B$14)^(Q3-$K$3))</f>
        <v>5.8459274442208091</v>
      </c>
      <c r="R14" s="61">
        <f>R13/((1+WACC!$B$14)^(R3-$K$3))</f>
        <v>5.7689032494481705</v>
      </c>
      <c r="S14" s="61">
        <f>S13/((1+WACC!$B$14)^(S3-$K$3))</f>
        <v>5.6928939024711944</v>
      </c>
      <c r="T14" s="61">
        <f>T13/((1+WACC!$B$14)^(T3-$K$3))</f>
        <v>5.6178860319582959</v>
      </c>
      <c r="U14" s="61">
        <f>U13/((1+WACC!$B$14)^(U3-$K$3))</f>
        <v>5.5438664427545641</v>
      </c>
      <c r="V14" s="62">
        <f>V13/((1+WACC!$B$14)^(U3-$K$3))</f>
        <v>54.985837299412985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54.985837299412985</v>
      </c>
      <c r="L17" s="16">
        <f>C17/$C$19</f>
        <v>0.48285375721593365</v>
      </c>
      <c r="O17" s="18"/>
      <c r="U17" s="73"/>
    </row>
    <row r="18" spans="2:22" x14ac:dyDescent="0.25">
      <c r="B18" s="8" t="s">
        <v>26</v>
      </c>
      <c r="C18" s="32">
        <f>SUM(14:14)-V14</f>
        <v>58.890955575625476</v>
      </c>
      <c r="K18" s="3"/>
      <c r="L18" s="16">
        <f>C18/$C$19</f>
        <v>0.51714624278406629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113.87679287503846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17.335901386748844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3.4129429892141756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127.79975127257313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9.4715925816897251E-2</v>
      </c>
    </row>
    <row r="3" spans="1:6" x14ac:dyDescent="0.25">
      <c r="A3" s="72" t="s">
        <v>34</v>
      </c>
      <c r="B3">
        <v>10505000000</v>
      </c>
      <c r="C3">
        <v>4377000000</v>
      </c>
      <c r="D3">
        <v>649000000</v>
      </c>
      <c r="E3">
        <v>11251000000</v>
      </c>
      <c r="F3">
        <v>0.1021860861513688</v>
      </c>
    </row>
    <row r="4" spans="1:6" x14ac:dyDescent="0.25">
      <c r="A4" s="72" t="s">
        <v>35</v>
      </c>
      <c r="B4">
        <v>10241000000</v>
      </c>
      <c r="C4">
        <v>4212000000</v>
      </c>
      <c r="D4">
        <v>654000000</v>
      </c>
      <c r="E4">
        <v>11093000000</v>
      </c>
      <c r="F4">
        <v>0.1334745792079208</v>
      </c>
    </row>
    <row r="5" spans="1:6" x14ac:dyDescent="0.25">
      <c r="A5" s="72" t="s">
        <v>36</v>
      </c>
      <c r="B5">
        <v>9917000000</v>
      </c>
      <c r="C5">
        <v>3884000000</v>
      </c>
      <c r="D5">
        <v>638000000</v>
      </c>
      <c r="E5">
        <v>10071000000</v>
      </c>
      <c r="F5">
        <v>0.13868177525024381</v>
      </c>
    </row>
    <row r="6" spans="1:6" x14ac:dyDescent="0.25">
      <c r="A6" s="72" t="s">
        <v>37</v>
      </c>
      <c r="B6">
        <v>9600546000</v>
      </c>
      <c r="C6">
        <v>4245304000</v>
      </c>
      <c r="D6">
        <v>660000000</v>
      </c>
      <c r="E6">
        <v>10962000000</v>
      </c>
      <c r="F6">
        <v>0.10209084604715681</v>
      </c>
    </row>
    <row r="7" spans="1:6" x14ac:dyDescent="0.25">
      <c r="A7" s="72" t="s">
        <v>38</v>
      </c>
      <c r="B7">
        <v>9087546000</v>
      </c>
      <c r="C7">
        <v>3895268000</v>
      </c>
      <c r="D7">
        <v>665000000</v>
      </c>
      <c r="E7">
        <v>10340000000</v>
      </c>
      <c r="F7">
        <v>0.1503849809885931</v>
      </c>
    </row>
    <row r="8" spans="1:6" x14ac:dyDescent="0.25">
      <c r="A8" s="72" t="s">
        <v>39</v>
      </c>
      <c r="B8">
        <v>8707546000</v>
      </c>
      <c r="C8">
        <v>3791268000</v>
      </c>
      <c r="D8">
        <v>670000000</v>
      </c>
      <c r="E8">
        <v>10594000000</v>
      </c>
      <c r="F8">
        <v>0.18675281643472499</v>
      </c>
    </row>
    <row r="9" spans="1:6" x14ac:dyDescent="0.25">
      <c r="A9" s="72" t="s">
        <v>40</v>
      </c>
      <c r="B9">
        <v>8398546000</v>
      </c>
      <c r="C9">
        <v>3406301000</v>
      </c>
      <c r="D9">
        <v>672000000</v>
      </c>
      <c r="E9">
        <v>9622000000</v>
      </c>
      <c r="F9">
        <v>0.20968205112139701</v>
      </c>
    </row>
    <row r="10" spans="1:6" x14ac:dyDescent="0.25">
      <c r="A10" s="72" t="s">
        <v>41</v>
      </c>
      <c r="B10">
        <v>8029196000</v>
      </c>
      <c r="C10">
        <v>3328388000</v>
      </c>
      <c r="D10">
        <v>680000000</v>
      </c>
      <c r="E10">
        <v>9627586000</v>
      </c>
    </row>
    <row r="11" spans="1:6" x14ac:dyDescent="0.25">
      <c r="A11" s="72" t="s">
        <v>42</v>
      </c>
      <c r="B11">
        <v>7382628000</v>
      </c>
      <c r="C11">
        <v>2886096000</v>
      </c>
      <c r="D11">
        <v>684000000</v>
      </c>
      <c r="E11">
        <v>9895479000</v>
      </c>
    </row>
    <row r="12" spans="1:6" x14ac:dyDescent="0.25">
      <c r="A12" s="72" t="s">
        <v>43</v>
      </c>
      <c r="B12">
        <v>6613824000</v>
      </c>
      <c r="C12">
        <v>2873743000</v>
      </c>
      <c r="D12">
        <v>635000000</v>
      </c>
      <c r="E12">
        <v>9322289000</v>
      </c>
      <c r="F12">
        <v>1.9039292147347719</v>
      </c>
    </row>
    <row r="13" spans="1:6" x14ac:dyDescent="0.25">
      <c r="A13" s="72" t="s">
        <v>44</v>
      </c>
      <c r="B13">
        <v>5991760000</v>
      </c>
      <c r="C13">
        <v>2164372000</v>
      </c>
      <c r="D13">
        <v>680896000</v>
      </c>
      <c r="E13">
        <v>8322000000</v>
      </c>
      <c r="F13">
        <v>0.70009449947862357</v>
      </c>
    </row>
    <row r="14" spans="1:6" x14ac:dyDescent="0.25">
      <c r="A14" s="72" t="s">
        <v>45</v>
      </c>
      <c r="B14">
        <v>5318828000</v>
      </c>
      <c r="C14">
        <v>1640989000</v>
      </c>
      <c r="D14">
        <v>681916000</v>
      </c>
      <c r="E14">
        <v>7920703000</v>
      </c>
      <c r="F14">
        <v>0.52158446761640764</v>
      </c>
    </row>
    <row r="15" spans="1:6" x14ac:dyDescent="0.25">
      <c r="A15" s="72" t="s">
        <v>46</v>
      </c>
      <c r="B15">
        <v>4423727000</v>
      </c>
      <c r="C15">
        <v>1451351000</v>
      </c>
      <c r="D15">
        <v>611739000</v>
      </c>
      <c r="E15">
        <v>7427939000</v>
      </c>
      <c r="F15">
        <v>2.9883622981474072</v>
      </c>
    </row>
    <row r="16" spans="1:6" x14ac:dyDescent="0.25">
      <c r="A16" s="72" t="s">
        <v>47</v>
      </c>
      <c r="B16">
        <v>3423305000</v>
      </c>
      <c r="C16">
        <v>405056000</v>
      </c>
      <c r="D16">
        <v>600960000</v>
      </c>
      <c r="E16">
        <v>6569307000</v>
      </c>
      <c r="F16">
        <v>-0.13079576874190749</v>
      </c>
    </row>
    <row r="17" spans="1:6" x14ac:dyDescent="0.25">
      <c r="A17" s="72" t="s">
        <v>48</v>
      </c>
      <c r="B17">
        <v>3378199000</v>
      </c>
      <c r="C17">
        <v>-667103000</v>
      </c>
      <c r="D17">
        <v>345755000</v>
      </c>
      <c r="E17">
        <v>6391257000</v>
      </c>
      <c r="F17">
        <v>-0.366035178117738</v>
      </c>
    </row>
    <row r="18" spans="1:6" x14ac:dyDescent="0.25">
      <c r="A18" s="72" t="s">
        <v>49</v>
      </c>
      <c r="B18">
        <v>3625731000</v>
      </c>
      <c r="C18">
        <v>-742659000</v>
      </c>
      <c r="D18">
        <v>587199007</v>
      </c>
      <c r="E18">
        <v>4495211000</v>
      </c>
    </row>
    <row r="19" spans="1:6" x14ac:dyDescent="0.25">
      <c r="A19" s="72" t="s">
        <v>50</v>
      </c>
      <c r="B19">
        <v>3929161000</v>
      </c>
      <c r="C19">
        <v>-1070693000</v>
      </c>
      <c r="D19">
        <v>530945000</v>
      </c>
      <c r="E19">
        <v>6391257000</v>
      </c>
    </row>
    <row r="20" spans="1:6" x14ac:dyDescent="0.25">
      <c r="A20" s="72" t="s">
        <v>51</v>
      </c>
      <c r="D20">
        <v>530945000</v>
      </c>
      <c r="E20">
        <v>3074273000</v>
      </c>
    </row>
    <row r="21" spans="1:6" x14ac:dyDescent="0.25">
      <c r="A21" s="72" t="s">
        <v>52</v>
      </c>
      <c r="D21">
        <v>530945000</v>
      </c>
      <c r="E21">
        <v>3074273000</v>
      </c>
    </row>
    <row r="22" spans="1:6" x14ac:dyDescent="0.25">
      <c r="A22" s="72" t="s">
        <v>53</v>
      </c>
      <c r="D22">
        <v>259946000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54</v>
      </c>
      <c r="B1" s="27" t="s">
        <v>55</v>
      </c>
      <c r="C1" t="s">
        <v>56</v>
      </c>
      <c r="D1" t="s">
        <v>57</v>
      </c>
      <c r="F1" s="27" t="s">
        <v>55</v>
      </c>
      <c r="G1" t="s">
        <v>56</v>
      </c>
      <c r="H1" t="s">
        <v>57</v>
      </c>
      <c r="J1" t="s">
        <v>58</v>
      </c>
      <c r="K1" t="s">
        <v>56</v>
      </c>
      <c r="L1" t="s">
        <v>57</v>
      </c>
      <c r="N1" t="s">
        <v>59</v>
      </c>
      <c r="O1" t="s">
        <v>56</v>
      </c>
      <c r="P1" t="s">
        <v>57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60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61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62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63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64</v>
      </c>
    </row>
    <row r="7" spans="1:46" x14ac:dyDescent="0.25">
      <c r="A7" s="27" t="s">
        <v>65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66</v>
      </c>
    </row>
    <row r="8" spans="1:46" x14ac:dyDescent="0.25">
      <c r="A8" s="27" t="s">
        <v>67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68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69</v>
      </c>
    </row>
    <row r="10" spans="1:46" x14ac:dyDescent="0.25">
      <c r="A10" s="27" t="s">
        <v>70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71</v>
      </c>
    </row>
    <row r="11" spans="1:46" x14ac:dyDescent="0.25">
      <c r="A11" s="27" t="s">
        <v>72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76</v>
      </c>
    </row>
    <row r="15" spans="1:46" x14ac:dyDescent="0.25">
      <c r="A15" s="27" t="s">
        <v>77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78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79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80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81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82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83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84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85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86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87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88</v>
      </c>
      <c r="J26">
        <v>0.61799999999999999</v>
      </c>
      <c r="N26">
        <v>-0.36399999999999999</v>
      </c>
    </row>
    <row r="27" spans="1:17" x14ac:dyDescent="0.25">
      <c r="A27" s="27" t="s">
        <v>89</v>
      </c>
    </row>
    <row r="28" spans="1:17" x14ac:dyDescent="0.25">
      <c r="A28" s="27" t="s">
        <v>90</v>
      </c>
    </row>
    <row r="29" spans="1:17" x14ac:dyDescent="0.25">
      <c r="A29" s="27" t="s">
        <v>91</v>
      </c>
    </row>
    <row r="31" spans="1:17" x14ac:dyDescent="0.25">
      <c r="A31" s="26" t="s">
        <v>92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94</v>
      </c>
      <c r="C1" s="72" t="s">
        <v>95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96</v>
      </c>
      <c r="D2">
        <v>1.4043156960277221</v>
      </c>
      <c r="E2">
        <v>0.13800694844892139</v>
      </c>
    </row>
    <row r="3" spans="1:5" x14ac:dyDescent="0.25">
      <c r="A3" s="72">
        <v>1</v>
      </c>
      <c r="B3">
        <v>3</v>
      </c>
      <c r="C3" t="s">
        <v>97</v>
      </c>
      <c r="D3">
        <v>1.636954742124541</v>
      </c>
      <c r="E3">
        <v>0.15412185527854169</v>
      </c>
    </row>
    <row r="4" spans="1:5" x14ac:dyDescent="0.25">
      <c r="A4" s="72">
        <v>2</v>
      </c>
      <c r="B4">
        <v>3</v>
      </c>
      <c r="C4" t="s">
        <v>98</v>
      </c>
      <c r="D4">
        <v>1.7194924671186891</v>
      </c>
      <c r="E4">
        <v>0.15983924352666909</v>
      </c>
    </row>
    <row r="5" spans="1:5" x14ac:dyDescent="0.25">
      <c r="A5" s="72">
        <v>3</v>
      </c>
      <c r="B5">
        <v>5</v>
      </c>
      <c r="C5" t="s">
        <v>96</v>
      </c>
      <c r="D5">
        <v>1.19058230668311</v>
      </c>
      <c r="E5">
        <v>0.12320163647118069</v>
      </c>
    </row>
    <row r="6" spans="1:5" x14ac:dyDescent="0.25">
      <c r="A6" s="72">
        <v>4</v>
      </c>
      <c r="B6">
        <v>5</v>
      </c>
      <c r="C6" t="s">
        <v>97</v>
      </c>
      <c r="D6">
        <v>1.53764253251095</v>
      </c>
      <c r="E6">
        <v>0.14724249847314669</v>
      </c>
    </row>
    <row r="7" spans="1:5" x14ac:dyDescent="0.25">
      <c r="A7" s="72">
        <v>5</v>
      </c>
      <c r="B7">
        <v>5</v>
      </c>
      <c r="C7" t="s">
        <v>98</v>
      </c>
      <c r="D7">
        <v>1.595343770972639</v>
      </c>
      <c r="E7">
        <v>0.15123946328780141</v>
      </c>
    </row>
    <row r="8" spans="1:5" x14ac:dyDescent="0.25">
      <c r="A8" s="72">
        <v>6</v>
      </c>
      <c r="B8" t="s">
        <v>92</v>
      </c>
      <c r="D8">
        <v>1.514055252572942</v>
      </c>
      <c r="E8">
        <v>0.14560860758104349</v>
      </c>
    </row>
    <row r="9" spans="1:5" x14ac:dyDescent="0.25">
      <c r="A9" s="72">
        <v>7</v>
      </c>
      <c r="B9" t="s">
        <v>93</v>
      </c>
      <c r="D9">
        <v>1.5664931517417939</v>
      </c>
      <c r="E9">
        <v>0.14924098088047411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2024-10-18T21:38:54Z</dcterms:modified>
</cp:coreProperties>
</file>