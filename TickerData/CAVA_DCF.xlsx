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20" documentId="11_7E55F1C07AB70A88DF0D54553D2C18DE349B27A5" xr6:coauthVersionLast="47" xr6:coauthVersionMax="47" xr10:uidLastSave="{E202E900-0B6D-4191-883D-72B26C06A5AA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3" l="1"/>
  <c r="S11" i="3"/>
  <c r="O11" i="3"/>
  <c r="P11" i="3"/>
  <c r="N11" i="3"/>
  <c r="S8" i="3"/>
  <c r="T8" i="3" s="1"/>
  <c r="U8" i="3" s="1"/>
  <c r="R8" i="3"/>
  <c r="Q8" i="3"/>
  <c r="P8" i="3"/>
  <c r="O8" i="3"/>
  <c r="N8" i="3"/>
  <c r="M8" i="3"/>
  <c r="M5" i="3"/>
  <c r="O32" i="5"/>
  <c r="K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K32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H4" i="5"/>
  <c r="G4" i="5"/>
  <c r="D4" i="5"/>
  <c r="C4" i="5"/>
  <c r="R3" i="5"/>
  <c r="P3" i="5"/>
  <c r="O3" i="5"/>
  <c r="O31" i="5" s="1"/>
  <c r="L3" i="5"/>
  <c r="K3" i="5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H10" i="3"/>
  <c r="E10" i="3"/>
  <c r="E11" i="3" s="1"/>
  <c r="D10" i="3"/>
  <c r="L5" i="3"/>
  <c r="F4" i="3"/>
  <c r="F5" i="3" s="1"/>
  <c r="E4" i="3"/>
  <c r="K3" i="3"/>
  <c r="H3" i="3"/>
  <c r="G3" i="3"/>
  <c r="D3" i="3"/>
  <c r="K1" i="3"/>
  <c r="K10" i="3" s="1"/>
  <c r="J1" i="3"/>
  <c r="J10" i="3" s="1"/>
  <c r="I1" i="3"/>
  <c r="I7" i="3" s="1"/>
  <c r="H1" i="3"/>
  <c r="H7" i="3" s="1"/>
  <c r="G1" i="3"/>
  <c r="G7" i="3" s="1"/>
  <c r="F1" i="3"/>
  <c r="F3" i="3" s="1"/>
  <c r="E1" i="3"/>
  <c r="E7" i="3" s="1"/>
  <c r="D1" i="3"/>
  <c r="D4" i="3" s="1"/>
  <c r="N5" i="3" l="1"/>
  <c r="O5" i="3" s="1"/>
  <c r="P5" i="3" s="1"/>
  <c r="Q5" i="3" s="1"/>
  <c r="R5" i="3" s="1"/>
  <c r="S5" i="3" s="1"/>
  <c r="T5" i="3" s="1"/>
  <c r="U5" i="3" s="1"/>
  <c r="E8" i="3"/>
  <c r="E13" i="3"/>
  <c r="H13" i="3"/>
  <c r="E5" i="3"/>
  <c r="C21" i="3"/>
  <c r="C20" i="3"/>
  <c r="K11" i="3"/>
  <c r="L11" i="3" s="1"/>
  <c r="M11" i="3" s="1"/>
  <c r="Q11" i="3" s="1"/>
  <c r="R11" i="3" s="1"/>
  <c r="T11" i="3" s="1"/>
  <c r="U11" i="3" s="1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G13" i="3"/>
  <c r="G8" i="3"/>
  <c r="I3" i="3"/>
  <c r="G4" i="3"/>
  <c r="G5" i="3" s="1"/>
  <c r="K7" i="3"/>
  <c r="F10" i="3"/>
  <c r="F11" i="3" s="1"/>
  <c r="C31" i="5"/>
  <c r="L1" i="3"/>
  <c r="J3" i="3"/>
  <c r="H4" i="3"/>
  <c r="H5" i="3" s="1"/>
  <c r="D7" i="3"/>
  <c r="G10" i="3"/>
  <c r="H11" i="3" s="1"/>
  <c r="G31" i="5"/>
  <c r="J7" i="3"/>
  <c r="J4" i="3"/>
  <c r="F7" i="3"/>
  <c r="I10" i="3"/>
  <c r="I11" i="3" s="1"/>
  <c r="I4" i="3"/>
  <c r="I5" i="3" s="1"/>
  <c r="E3" i="3"/>
  <c r="K4" i="3"/>
  <c r="I8" i="3" l="1"/>
  <c r="I13" i="3"/>
  <c r="J11" i="3"/>
  <c r="F8" i="3"/>
  <c r="F13" i="3"/>
  <c r="J8" i="3"/>
  <c r="J13" i="3"/>
  <c r="K8" i="3"/>
  <c r="K13" i="3"/>
  <c r="M1" i="3"/>
  <c r="L3" i="3"/>
  <c r="J5" i="3"/>
  <c r="H8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G11" i="3"/>
  <c r="D8" i="3"/>
  <c r="D13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M3" i="3" l="1"/>
  <c r="N1" i="3"/>
  <c r="L7" i="3" l="1"/>
  <c r="L13" i="3" s="1"/>
  <c r="L14" i="3" s="1"/>
  <c r="N3" i="3"/>
  <c r="O1" i="3"/>
  <c r="O3" i="3" l="1"/>
  <c r="P1" i="3"/>
  <c r="M7" i="3"/>
  <c r="M13" i="3" s="1"/>
  <c r="M14" i="3" s="1"/>
  <c r="P3" i="3" l="1"/>
  <c r="Q1" i="3"/>
  <c r="N7" i="3"/>
  <c r="N13" i="3" s="1"/>
  <c r="N14" i="3" s="1"/>
  <c r="O7" i="3" l="1"/>
  <c r="O13" i="3" s="1"/>
  <c r="O14" i="3" s="1"/>
  <c r="R1" i="3"/>
  <c r="Q3" i="3"/>
  <c r="R3" i="3" l="1"/>
  <c r="S1" i="3"/>
  <c r="P7" i="3"/>
  <c r="P13" i="3" s="1"/>
  <c r="P14" i="3" s="1"/>
  <c r="Q7" i="3" l="1"/>
  <c r="Q13" i="3" s="1"/>
  <c r="Q14" i="3" s="1"/>
  <c r="S3" i="3"/>
  <c r="T1" i="3"/>
  <c r="R7" i="3" l="1"/>
  <c r="R13" i="3" s="1"/>
  <c r="R14" i="3" s="1"/>
  <c r="U1" i="3"/>
  <c r="U3" i="3" s="1"/>
  <c r="T3" i="3"/>
  <c r="S7" i="3" l="1"/>
  <c r="S13" i="3" s="1"/>
  <c r="S14" i="3" s="1"/>
  <c r="U7" i="3" l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8" i="3" l="1"/>
  <c r="L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<sst xmlns="http://schemas.openxmlformats.org/spreadsheetml/2006/main" count="109" uniqueCount="88">
  <si>
    <t>This sheet contains FactSet XML data for use with this workbook's =FDS codes.  Modifying the worksheet's contents may damage the workbook's =FDS functionality.</t>
  </si>
  <si>
    <t>CAVA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</si>
  <si>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</si>
  <si>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</si>
  <si>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</si>
  <si>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</si>
  <si>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</si>
  <si>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</si>
  <si>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</si>
  <si>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</si>
  <si>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</si>
  <si>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</si>
  <si>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</si>
  <si>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</si>
  <si>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</si>
  <si>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</si>
  <si>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</si>
  <si>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</si>
  <si>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</si>
  <si>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</si>
  <si>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</si>
  <si>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</si>
  <si>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</si>
  <si>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</si>
  <si>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</si>
  <si>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</si>
  <si>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</si>
  <si>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</si>
  <si>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</si>
  <si>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</si>
  <si>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</si>
  <si>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</si>
  <si>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</si>
  <si>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2024-10-14</t>
  </si>
  <si>
    <t>2024-07-14</t>
  </si>
  <si>
    <t>2024-04-30</t>
  </si>
  <si>
    <t>2023-12-31</t>
  </si>
  <si>
    <t>2023-09-30</t>
  </si>
  <si>
    <t>2023-06-30</t>
  </si>
  <si>
    <t>2023-04-30</t>
  </si>
  <si>
    <t>2022-12-31</t>
  </si>
  <si>
    <t>2022-10-02</t>
  </si>
  <si>
    <t>2022-07-31</t>
  </si>
  <si>
    <t>2022-04-17</t>
  </si>
  <si>
    <t>2021-12-26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</si>
  <si>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</si>
  <si>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</si>
  <si>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</si>
  <si>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</si>
  <si>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</si>
  <si>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</si>
  <si>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</si>
  <si>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</si>
  <si>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</si>
  <si>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</si>
  <si>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</si>
  <si>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</si>
  <si>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</si>
  <si>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</si>
  <si>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</si>
  <si>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</si>
  <si>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</si>
  <si>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</si>
  <si>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</si>
  <si>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</si>
  <si>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</si>
  <si>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</si>
  <si>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</si>
  <si>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</si>
  <si>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</si>
  <si>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</si>
  <si>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</si>
  <si>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</si>
  <si>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</si>
  <si>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</si>
  <si>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</si>
  <si>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</si>
  <si>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</si>
  <si>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</si>
  <si>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</si>
  <si>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</si>
  <si>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</si>
  <si>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</si>
  <si>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</si>
  <si>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</si>
  <si>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</si>
  <si>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</si>
  <si>
    <t>15.45B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</si>
</sst>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5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39" fontId="5" fillId="0" borderId="2" xfId="0" applyNumberFormat="1" applyFont="1" applyBorder="1"/>
    <xf numFmtId="44" fontId="1" fillId="0" borderId="5" xfId="4" applyBorder="1"/>
    <xf numFmtId="0" fontId="16" fillId="0" borderId="17" xfId="0" applyFont="1" applyBorder="1" applyAlignment="1">
      <alignment horizontal="center" vertical="top"/>
    </xf>
    <xf numFmtId="2" fontId="0" fillId="0" borderId="0" xfId="0" applyNumberFormat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443105000</v>
      </c>
    </row>
    <row r="3" spans="1:2" x14ac:dyDescent="0.25">
      <c r="A3" s="73" t="s">
        <v>3</v>
      </c>
      <c r="B3">
        <v>319425000</v>
      </c>
    </row>
    <row r="4" spans="1:2" x14ac:dyDescent="0.25">
      <c r="A4" s="73" t="s">
        <v>4</v>
      </c>
      <c r="B4">
        <v>0.34915101949802257</v>
      </c>
    </row>
    <row r="5" spans="1:2" x14ac:dyDescent="0.25">
      <c r="A5" s="73" t="s">
        <v>5</v>
      </c>
      <c r="B5">
        <v>4.2500000000000003E-2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595437000</v>
      </c>
    </row>
    <row r="8" spans="1:2" x14ac:dyDescent="0.25">
      <c r="A8" s="73" t="s">
        <v>8</v>
      </c>
      <c r="B8">
        <v>0.65084898050197737</v>
      </c>
    </row>
    <row r="9" spans="1:2" x14ac:dyDescent="0.25">
      <c r="A9" s="73" t="s">
        <v>9</v>
      </c>
      <c r="B9">
        <v>0.19727925016356829</v>
      </c>
    </row>
    <row r="10" spans="1:2" x14ac:dyDescent="0.25">
      <c r="A10" s="73" t="s">
        <v>10</v>
      </c>
      <c r="B10">
        <v>4.0650000572204588E-2</v>
      </c>
    </row>
    <row r="11" spans="1:2" x14ac:dyDescent="0.25">
      <c r="A11" s="73" t="s">
        <v>11</v>
      </c>
      <c r="B11">
        <v>2.258532817356981</v>
      </c>
    </row>
    <row r="12" spans="1:2" x14ac:dyDescent="0.25">
      <c r="A12" s="73" t="s">
        <v>12</v>
      </c>
      <c r="B12">
        <v>6.9349999427795406E-2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0.14012174432279911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5"/>
  <sheetViews>
    <sheetView showGridLines="0" tabSelected="1" topLeftCell="A2" zoomScale="85" zoomScaleNormal="85" workbookViewId="0">
      <selection activeCell="L25" sqref="L25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hidden="1" customWidth="1" outlineLevel="1"/>
    <col min="12" max="12" width="10.5703125" customWidth="1" collapsed="1"/>
    <col min="13" max="22" width="10.5703125" customWidth="1"/>
  </cols>
  <sheetData>
    <row r="1" spans="2:22" hidden="1" outlineLevel="1" x14ac:dyDescent="0.25">
      <c r="C1" s="28"/>
      <c r="D1" s="66">
        <f>Python!A31</f>
        <v>0</v>
      </c>
      <c r="E1" s="66">
        <f>Python!A27</f>
        <v>0</v>
      </c>
      <c r="F1" s="66">
        <f>Python!A23</f>
        <v>0</v>
      </c>
      <c r="G1" s="66">
        <f>Python!A19</f>
        <v>0</v>
      </c>
      <c r="H1" s="66">
        <f>Python!A15</f>
        <v>0</v>
      </c>
      <c r="I1" s="66" t="str">
        <f>Python!A11</f>
        <v>2022-07-31</v>
      </c>
      <c r="J1" s="66" t="str">
        <f>Python!A7</f>
        <v>2023-06-30</v>
      </c>
      <c r="K1" s="66" t="str">
        <f>Python!A3</f>
        <v>2024-07-14</v>
      </c>
      <c r="L1" s="28">
        <f t="shared" ref="L1:U1" si="0">EDATE(K1, 12)</f>
        <v>45852</v>
      </c>
      <c r="M1" s="28">
        <f t="shared" si="0"/>
        <v>46217</v>
      </c>
      <c r="N1" s="28">
        <f t="shared" si="0"/>
        <v>46582</v>
      </c>
      <c r="O1" s="28">
        <f t="shared" si="0"/>
        <v>46948</v>
      </c>
      <c r="P1" s="28">
        <f t="shared" si="0"/>
        <v>47313</v>
      </c>
      <c r="Q1" s="28">
        <f t="shared" si="0"/>
        <v>47678</v>
      </c>
      <c r="R1" s="28">
        <f t="shared" si="0"/>
        <v>48043</v>
      </c>
      <c r="S1" s="28">
        <f t="shared" si="0"/>
        <v>48409</v>
      </c>
      <c r="T1" s="28">
        <f t="shared" si="0"/>
        <v>48774</v>
      </c>
      <c r="U1" s="28">
        <f t="shared" si="0"/>
        <v>49139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1900</v>
      </c>
      <c r="E3" s="45">
        <f t="shared" si="1"/>
        <v>1900</v>
      </c>
      <c r="F3" s="45">
        <f t="shared" si="1"/>
        <v>1900</v>
      </c>
      <c r="G3" s="45">
        <f t="shared" si="1"/>
        <v>1900</v>
      </c>
      <c r="H3" s="45">
        <f t="shared" si="1"/>
        <v>1900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0</v>
      </c>
      <c r="F4" s="36">
        <f>IFERROR(INDEX(Python!$1:$1048576,MATCH(DCF_Simple!F$1,Python!$A:$A,0),MATCH(DCF_Simple!$B4,Python!$1:$1,0))/1000000,0)</f>
        <v>0</v>
      </c>
      <c r="G4" s="36">
        <f>IFERROR(INDEX(Python!$1:$1048576,MATCH(DCF_Simple!G$1,Python!$A:$A,0),MATCH(DCF_Simple!$B4,Python!$1:$1,0))/1000000,0)</f>
        <v>0</v>
      </c>
      <c r="H4" s="36">
        <f>IFERROR(INDEX(Python!$1:$1048576,MATCH(DCF_Simple!H$1,Python!$A:$A,0),MATCH(DCF_Simple!$B4,Python!$1:$1,0))/1000000,0)</f>
        <v>0</v>
      </c>
      <c r="I4" s="36">
        <f>IFERROR(INDEX(Python!$1:$1048576,MATCH(DCF_Simple!I$1,Python!$A:$A,0),MATCH(DCF_Simple!$B4,Python!$1:$1,0))/1000000,0)</f>
        <v>0</v>
      </c>
      <c r="J4" s="36">
        <f>IFERROR(INDEX(Python!$1:$1048576,MATCH(DCF_Simple!J$1,Python!$A:$A,0),MATCH(DCF_Simple!$B4,Python!$1:$1,0))/1000000,0)</f>
        <v>645.16999999999996</v>
      </c>
      <c r="K4" s="55">
        <f>IFERROR(INDEX(Python!$1:$1048576,MATCH(DCF_Simple!K$1,Python!$A:$A,0),MATCH(DCF_Simple!$B4,Python!$1:$1,0))/1000000,0)</f>
        <v>845.22399900000005</v>
      </c>
      <c r="L4" s="37">
        <f t="shared" ref="L4:U4" si="2">K4*(1+L5)</f>
        <v>1116.6587986993673</v>
      </c>
      <c r="M4" s="36">
        <f t="shared" si="2"/>
        <v>1475.2620301694888</v>
      </c>
      <c r="N4" s="36">
        <f t="shared" si="2"/>
        <v>1949.0269186924149</v>
      </c>
      <c r="O4" s="36">
        <f t="shared" si="2"/>
        <v>2574.9364194991358</v>
      </c>
      <c r="P4" s="36">
        <f t="shared" si="2"/>
        <v>3401.8501750151495</v>
      </c>
      <c r="Q4" s="36">
        <f t="shared" si="2"/>
        <v>4494.3185880689225</v>
      </c>
      <c r="R4" s="36">
        <f t="shared" si="2"/>
        <v>5937.6217446060464</v>
      </c>
      <c r="S4" s="36">
        <f t="shared" si="2"/>
        <v>7844.4265334484762</v>
      </c>
      <c r="T4" s="36">
        <f t="shared" si="2"/>
        <v>10363.581630064455</v>
      </c>
      <c r="U4" s="36">
        <f t="shared" si="2"/>
        <v>13691.736896896373</v>
      </c>
      <c r="V4" s="19">
        <f>U4</f>
        <v>13691.736896896373</v>
      </c>
    </row>
    <row r="5" spans="2:22" s="1" customFormat="1" x14ac:dyDescent="0.25">
      <c r="B5" s="10" t="s">
        <v>18</v>
      </c>
      <c r="C5" s="30"/>
      <c r="D5" s="30"/>
      <c r="E5" s="42" t="str">
        <f t="shared" ref="E5:K5" si="3">IFERROR(E4/D4-1,"")</f>
        <v/>
      </c>
      <c r="F5" s="42" t="str">
        <f t="shared" si="3"/>
        <v/>
      </c>
      <c r="G5" s="42" t="str">
        <f t="shared" si="3"/>
        <v/>
      </c>
      <c r="H5" s="42" t="str">
        <f t="shared" si="3"/>
        <v/>
      </c>
      <c r="I5" s="42" t="str">
        <f t="shared" si="3"/>
        <v/>
      </c>
      <c r="J5" s="42" t="str">
        <f t="shared" si="3"/>
        <v/>
      </c>
      <c r="K5" s="58">
        <f t="shared" si="3"/>
        <v>0.31007951237658316</v>
      </c>
      <c r="L5" s="43">
        <f>Python!F2</f>
        <v>0.32113948494186939</v>
      </c>
      <c r="M5" s="43">
        <f>L5</f>
        <v>0.32113948494186939</v>
      </c>
      <c r="N5" s="38">
        <f t="shared" ref="N5:U5" si="4">M5</f>
        <v>0.32113948494186939</v>
      </c>
      <c r="O5" s="38">
        <f t="shared" si="4"/>
        <v>0.32113948494186939</v>
      </c>
      <c r="P5" s="38">
        <f t="shared" si="4"/>
        <v>0.32113948494186939</v>
      </c>
      <c r="Q5" s="38">
        <f t="shared" si="4"/>
        <v>0.32113948494186939</v>
      </c>
      <c r="R5" s="38">
        <f t="shared" si="4"/>
        <v>0.32113948494186939</v>
      </c>
      <c r="S5" s="38">
        <f t="shared" si="4"/>
        <v>0.32113948494186939</v>
      </c>
      <c r="T5" s="38">
        <f t="shared" si="4"/>
        <v>0.32113948494186939</v>
      </c>
      <c r="U5" s="38">
        <f t="shared" si="4"/>
        <v>0.32113948494186939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0</v>
      </c>
      <c r="E7" s="52">
        <f>IFERROR(INDEX(Python!$1:$1048576,MATCH(DCF_Simple!E$1,Python!$A:$A,0),MATCH(DCF_Simple!$B7,Python!$1:$1,0))/1000000,0)</f>
        <v>0</v>
      </c>
      <c r="F7" s="52">
        <f>IFERROR(INDEX(Python!$1:$1048576,MATCH(DCF_Simple!F$1,Python!$A:$A,0),MATCH(DCF_Simple!$B7,Python!$1:$1,0))/1000000,0)</f>
        <v>0</v>
      </c>
      <c r="G7" s="52">
        <f>IFERROR(INDEX(Python!$1:$1048576,MATCH(DCF_Simple!G$1,Python!$A:$A,0),MATCH(DCF_Simple!$B7,Python!$1:$1,0))/1000000,0)</f>
        <v>0</v>
      </c>
      <c r="H7" s="52">
        <f>IFERROR(INDEX(Python!$1:$1048576,MATCH(DCF_Simple!H$1,Python!$A:$A,0),MATCH(DCF_Simple!$B7,Python!$1:$1,0))/1000000,0)</f>
        <v>0</v>
      </c>
      <c r="I7" s="52">
        <f>IFERROR(INDEX(Python!$1:$1048576,MATCH(DCF_Simple!I$1,Python!$A:$A,0),MATCH(DCF_Simple!$B7,Python!$1:$1,0))/1000000,0)</f>
        <v>0</v>
      </c>
      <c r="J7" s="52">
        <f>IFERROR(INDEX(Python!$1:$1048576,MATCH(DCF_Simple!J$1,Python!$A:$A,0),MATCH(DCF_Simple!$B7,Python!$1:$1,0))/1000000,0)</f>
        <v>-76.465999999999994</v>
      </c>
      <c r="K7" s="57">
        <f>IFERROR(INDEX(Python!$1:$1048576,MATCH(DCF_Simple!K$1,Python!$A:$A,0),MATCH(DCF_Simple!$B7,Python!$1:$1,0))/1000000,0)</f>
        <v>11.076000000000001</v>
      </c>
      <c r="L7" s="64">
        <f t="shared" ref="L7:U7" si="5">L8*L4</f>
        <v>15.633223181791141</v>
      </c>
      <c r="M7" s="64">
        <f t="shared" si="5"/>
        <v>41.307336844745684</v>
      </c>
      <c r="N7" s="64">
        <f t="shared" si="5"/>
        <v>109.14550744677524</v>
      </c>
      <c r="O7" s="64">
        <f t="shared" si="5"/>
        <v>187.45537133953709</v>
      </c>
      <c r="P7" s="64">
        <f t="shared" si="5"/>
        <v>321.95110056343373</v>
      </c>
      <c r="Q7" s="64">
        <f t="shared" si="5"/>
        <v>510.41077340981138</v>
      </c>
      <c r="R7" s="64">
        <f t="shared" si="5"/>
        <v>741.75620892056156</v>
      </c>
      <c r="S7" s="64">
        <f t="shared" si="5"/>
        <v>1077.9597573863189</v>
      </c>
      <c r="T7" s="64">
        <f t="shared" si="5"/>
        <v>1566.5487185275663</v>
      </c>
      <c r="U7" s="64">
        <f t="shared" si="5"/>
        <v>2276.5923038450401</v>
      </c>
      <c r="V7" s="65">
        <f>U7</f>
        <v>2276.5923038450401</v>
      </c>
    </row>
    <row r="8" spans="2:22" s="1" customFormat="1" x14ac:dyDescent="0.25">
      <c r="B8" s="10" t="s">
        <v>20</v>
      </c>
      <c r="C8" s="42"/>
      <c r="D8" s="42" t="str">
        <f t="shared" ref="D8:K8" si="6">IFERROR(D7/D$4,"")</f>
        <v/>
      </c>
      <c r="E8" s="42" t="str">
        <f t="shared" si="6"/>
        <v/>
      </c>
      <c r="F8" s="42" t="str">
        <f t="shared" si="6"/>
        <v/>
      </c>
      <c r="G8" s="42" t="str">
        <f t="shared" si="6"/>
        <v/>
      </c>
      <c r="H8" s="42" t="str">
        <f t="shared" si="6"/>
        <v/>
      </c>
      <c r="I8" s="42" t="str">
        <f t="shared" si="6"/>
        <v/>
      </c>
      <c r="J8" s="42">
        <f t="shared" si="6"/>
        <v>-0.1185206999705504</v>
      </c>
      <c r="K8" s="58">
        <f t="shared" si="6"/>
        <v>1.3104218542190257E-2</v>
      </c>
      <c r="L8" s="38">
        <v>1.4E-2</v>
      </c>
      <c r="M8" s="38">
        <f>L8*2</f>
        <v>2.8000000000000001E-2</v>
      </c>
      <c r="N8" s="38">
        <f>M8*2</f>
        <v>5.6000000000000001E-2</v>
      </c>
      <c r="O8" s="38">
        <f>N8*1.3</f>
        <v>7.2800000000000004E-2</v>
      </c>
      <c r="P8" s="38">
        <f>O8*1.3</f>
        <v>9.4640000000000002E-2</v>
      </c>
      <c r="Q8" s="38">
        <f>P8*1.2</f>
        <v>0.113568</v>
      </c>
      <c r="R8" s="38">
        <f>Q8*1.1</f>
        <v>0.12492480000000002</v>
      </c>
      <c r="S8" s="38">
        <f t="shared" ref="S8:U8" si="7">R8*1.1</f>
        <v>0.13741728000000003</v>
      </c>
      <c r="T8" s="38">
        <f t="shared" si="7"/>
        <v>0.15115900800000004</v>
      </c>
      <c r="U8" s="38">
        <f t="shared" si="7"/>
        <v>0.16627490880000007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0</v>
      </c>
      <c r="F10" s="17">
        <f>IFERROR(INDEX(Python!$1:$1048576,MATCH(DCF_Simple!F$1,Python!$A:$A,0),MATCH(DCF_Simple!$B10,Python!$1:$1,0))/1000000,0)</f>
        <v>0</v>
      </c>
      <c r="G10" s="17">
        <f>IFERROR(INDEX(Python!$1:$1048576,MATCH(DCF_Simple!G$1,Python!$A:$A,0),MATCH(DCF_Simple!$B10,Python!$1:$1,0))/1000000,0)</f>
        <v>0</v>
      </c>
      <c r="H10" s="17">
        <f>IFERROR(INDEX(Python!$1:$1048576,MATCH(DCF_Simple!H$1,Python!$A:$A,0),MATCH(DCF_Simple!$B10,Python!$1:$1,0))/1000000,0)</f>
        <v>0</v>
      </c>
      <c r="I10" s="17">
        <f>IFERROR(INDEX(Python!$1:$1048576,MATCH(DCF_Simple!I$1,Python!$A:$A,0),MATCH(DCF_Simple!$B10,Python!$1:$1,0))/1000000,0)</f>
        <v>113.580645</v>
      </c>
      <c r="J10" s="17">
        <f>IFERROR(INDEX(Python!$1:$1048576,MATCH(DCF_Simple!J$1,Python!$A:$A,0),MATCH(DCF_Simple!$B10,Python!$1:$1,0))/1000000,0)</f>
        <v>113.580645</v>
      </c>
      <c r="K10" s="69">
        <f>IFERROR(INDEX(Python!$1:$1048576,MATCH(DCF_Simple!K$1,Python!$A:$A,0),MATCH(DCF_Simple!$B10,Python!$1:$1,0))/1000000,0)</f>
        <v>118.291</v>
      </c>
      <c r="L10" s="17">
        <f t="shared" ref="L10:U10" si="8">K10*(1+L11)</f>
        <v>123.19670029167379</v>
      </c>
      <c r="M10" s="17">
        <f t="shared" si="8"/>
        <v>128.30584712916874</v>
      </c>
      <c r="N10" s="17">
        <f t="shared" si="8"/>
        <v>130.96636243331284</v>
      </c>
      <c r="O10" s="17">
        <f t="shared" si="8"/>
        <v>132.32420394785868</v>
      </c>
      <c r="P10" s="17">
        <f t="shared" si="8"/>
        <v>133.01016366362586</v>
      </c>
      <c r="Q10" s="17">
        <f t="shared" si="8"/>
        <v>133.6996793481245</v>
      </c>
      <c r="R10" s="17">
        <f t="shared" si="8"/>
        <v>134.39276943525581</v>
      </c>
      <c r="S10" s="17">
        <f t="shared" si="8"/>
        <v>134.39276943525581</v>
      </c>
      <c r="T10" s="17">
        <f t="shared" si="8"/>
        <v>134.39276943525581</v>
      </c>
      <c r="U10" s="17">
        <f t="shared" si="8"/>
        <v>134.39276943525581</v>
      </c>
      <c r="V10" s="70">
        <f>U10</f>
        <v>134.39276943525581</v>
      </c>
    </row>
    <row r="11" spans="2:22" s="1" customFormat="1" x14ac:dyDescent="0.25">
      <c r="B11" s="10" t="s">
        <v>22</v>
      </c>
      <c r="C11" s="42"/>
      <c r="D11" s="42"/>
      <c r="E11" s="42" t="str">
        <f t="shared" ref="E11:K11" si="9">IFERROR(E10/D10-1,"")</f>
        <v/>
      </c>
      <c r="F11" s="42" t="str">
        <f t="shared" si="9"/>
        <v/>
      </c>
      <c r="G11" s="42" t="str">
        <f t="shared" si="9"/>
        <v/>
      </c>
      <c r="H11" s="42" t="str">
        <f t="shared" si="9"/>
        <v/>
      </c>
      <c r="I11" s="42" t="str">
        <f t="shared" si="9"/>
        <v/>
      </c>
      <c r="J11" s="42">
        <f t="shared" si="9"/>
        <v>0</v>
      </c>
      <c r="K11" s="58">
        <f t="shared" si="9"/>
        <v>4.147145845139355E-2</v>
      </c>
      <c r="L11" s="67">
        <f t="shared" ref="L11:U11" si="10">K11</f>
        <v>4.147145845139355E-2</v>
      </c>
      <c r="M11" s="67">
        <f t="shared" si="10"/>
        <v>4.147145845139355E-2</v>
      </c>
      <c r="N11" s="67">
        <f>M11/2</f>
        <v>2.0735729225696775E-2</v>
      </c>
      <c r="O11" s="67">
        <f t="shared" ref="O11:P11" si="11">N11/2</f>
        <v>1.0367864612848388E-2</v>
      </c>
      <c r="P11" s="67">
        <f t="shared" si="11"/>
        <v>5.1839323064241938E-3</v>
      </c>
      <c r="Q11" s="67">
        <f t="shared" si="10"/>
        <v>5.1839323064241938E-3</v>
      </c>
      <c r="R11" s="67">
        <f t="shared" si="10"/>
        <v>5.1839323064241938E-3</v>
      </c>
      <c r="S11" s="67">
        <f>R110</f>
        <v>0</v>
      </c>
      <c r="T11" s="67">
        <f t="shared" si="10"/>
        <v>0</v>
      </c>
      <c r="U11" s="67">
        <f t="shared" si="10"/>
        <v>0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2">IFERROR(D7/D10,0)</f>
        <v>0</v>
      </c>
      <c r="E13" s="53">
        <f t="shared" si="12"/>
        <v>0</v>
      </c>
      <c r="F13" s="53">
        <f t="shared" si="12"/>
        <v>0</v>
      </c>
      <c r="G13" s="53">
        <f t="shared" si="12"/>
        <v>0</v>
      </c>
      <c r="H13" s="53">
        <f t="shared" si="12"/>
        <v>0</v>
      </c>
      <c r="I13" s="53">
        <f t="shared" si="12"/>
        <v>0</v>
      </c>
      <c r="J13" s="53">
        <f t="shared" si="12"/>
        <v>-0.67323090126843343</v>
      </c>
      <c r="K13" s="59">
        <f t="shared" si="12"/>
        <v>9.3633497053875622E-2</v>
      </c>
      <c r="L13" s="53">
        <f t="shared" ref="L13:U13" si="13">L7/L10</f>
        <v>0.12689644401821457</v>
      </c>
      <c r="M13" s="53">
        <f t="shared" si="13"/>
        <v>0.32194430549342418</v>
      </c>
      <c r="N13" s="53">
        <f t="shared" si="13"/>
        <v>0.83338580547620678</v>
      </c>
      <c r="O13" s="53">
        <f t="shared" si="13"/>
        <v>1.4166370606952785</v>
      </c>
      <c r="P13" s="53">
        <f t="shared" si="13"/>
        <v>2.4204999956065563</v>
      </c>
      <c r="Q13" s="53">
        <f t="shared" si="13"/>
        <v>3.8175916045453944</v>
      </c>
      <c r="R13" s="53">
        <f t="shared" si="13"/>
        <v>5.5193163444548645</v>
      </c>
      <c r="S13" s="53">
        <f t="shared" si="13"/>
        <v>8.0209654277987763</v>
      </c>
      <c r="T13" s="53">
        <f t="shared" si="13"/>
        <v>11.656495547420478</v>
      </c>
      <c r="U13" s="53">
        <f t="shared" si="13"/>
        <v>16.939842176120912</v>
      </c>
      <c r="V13" s="72">
        <f>U13*(1+WACC!$B$13)/(WACC!$B$14-WACC!$B$13)</f>
        <v>143.84272487095282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0.11130078401722578</v>
      </c>
      <c r="M14" s="62">
        <f>M13/((1+WACC!$B$14)^(M3-$K$3))</f>
        <v>0.24767278665707157</v>
      </c>
      <c r="N14" s="62">
        <f>N13/((1+WACC!$B$14)^(N3-$K$3))</f>
        <v>0.56233150181068459</v>
      </c>
      <c r="O14" s="62">
        <f>O13/((1+WACC!$B$14)^(O3-$K$3))</f>
        <v>0.83840466256694945</v>
      </c>
      <c r="P14" s="62">
        <f>P13/((1+WACC!$B$14)^(P3-$K$3))</f>
        <v>1.2564607987298944</v>
      </c>
      <c r="Q14" s="62">
        <f>Q13/((1+WACC!$B$14)^(Q3-$K$3))</f>
        <v>1.7381293591328739</v>
      </c>
      <c r="R14" s="62">
        <f>R13/((1+WACC!$B$14)^(R3-$K$3))</f>
        <v>2.2040766143459698</v>
      </c>
      <c r="S14" s="62">
        <f>S13/((1+WACC!$B$14)^(S3-$K$3))</f>
        <v>2.8094209441264026</v>
      </c>
      <c r="T14" s="62">
        <f>T13/((1+WACC!$B$14)^(T3-$K$3))</f>
        <v>3.5810216350569934</v>
      </c>
      <c r="U14" s="62">
        <f>U13/((1+WACC!$B$14)^(U3-$K$3))</f>
        <v>4.5645405960101977</v>
      </c>
      <c r="V14" s="63">
        <f>V13/((1+WACC!$B$14)^(U3-$K$3))</f>
        <v>38.759272388011141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38.759272388011141</v>
      </c>
      <c r="L17" s="16">
        <f>C17/$C$19</f>
        <v>0.68391516278648889</v>
      </c>
      <c r="O17" s="18"/>
    </row>
    <row r="18" spans="2:22" x14ac:dyDescent="0.25">
      <c r="B18" s="8" t="s">
        <v>26</v>
      </c>
      <c r="C18" s="32">
        <f>SUM(14:14)-V14</f>
        <v>17.913359682454264</v>
      </c>
      <c r="K18" s="3"/>
      <c r="L18" s="16">
        <f>C18/$C$19</f>
        <v>0.31608483721351105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56.672632070465404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Python!C3/1000000/K10</f>
        <v>9.3633497053875622E-2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2.7003322315307168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54.065933335988561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  <row r="24" spans="2:22" x14ac:dyDescent="0.25">
      <c r="C24">
        <v>135.11000000000001</v>
      </c>
    </row>
    <row r="25" spans="2:22" x14ac:dyDescent="0.25">
      <c r="C25" t="s">
        <v>87</v>
      </c>
      <c r="L25" s="74">
        <f>15450/L4</f>
        <v>13.835918382585128</v>
      </c>
    </row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0.32113948494186939</v>
      </c>
    </row>
    <row r="3" spans="1:6" x14ac:dyDescent="0.25">
      <c r="A3" s="73" t="s">
        <v>34</v>
      </c>
      <c r="B3">
        <v>845223999</v>
      </c>
      <c r="C3">
        <v>11076000</v>
      </c>
      <c r="D3">
        <v>118291000</v>
      </c>
      <c r="E3">
        <v>343748000</v>
      </c>
      <c r="F3">
        <v>0.26956401031846111</v>
      </c>
    </row>
    <row r="4" spans="1:6" x14ac:dyDescent="0.25">
      <c r="A4" s="73" t="s">
        <v>35</v>
      </c>
      <c r="B4">
        <v>784622999</v>
      </c>
      <c r="C4">
        <v>-23588000</v>
      </c>
      <c r="D4">
        <v>117936000</v>
      </c>
      <c r="E4">
        <v>329117000</v>
      </c>
    </row>
    <row r="5" spans="1:6" x14ac:dyDescent="0.25">
      <c r="A5" s="73" t="s">
        <v>36</v>
      </c>
      <c r="B5">
        <v>728700000</v>
      </c>
      <c r="C5">
        <v>-41705000</v>
      </c>
      <c r="D5">
        <v>113580645</v>
      </c>
      <c r="E5">
        <v>332428000</v>
      </c>
    </row>
    <row r="6" spans="1:6" x14ac:dyDescent="0.25">
      <c r="A6" s="73" t="s">
        <v>37</v>
      </c>
      <c r="B6">
        <v>681465000</v>
      </c>
      <c r="C6">
        <v>-66111000</v>
      </c>
      <c r="D6">
        <v>113589500</v>
      </c>
      <c r="E6">
        <v>340399000</v>
      </c>
    </row>
    <row r="7" spans="1:6" x14ac:dyDescent="0.25">
      <c r="A7" s="73" t="s">
        <v>38</v>
      </c>
      <c r="B7">
        <v>645170000</v>
      </c>
      <c r="C7">
        <v>-76466000</v>
      </c>
      <c r="D7">
        <v>113580645</v>
      </c>
      <c r="E7">
        <v>352845000</v>
      </c>
    </row>
    <row r="8" spans="1:6" x14ac:dyDescent="0.25">
      <c r="A8" s="73" t="s">
        <v>39</v>
      </c>
      <c r="B8">
        <v>608191000</v>
      </c>
      <c r="C8">
        <v>-87869000</v>
      </c>
      <c r="D8">
        <v>113580645</v>
      </c>
      <c r="E8">
        <v>22716000</v>
      </c>
    </row>
    <row r="9" spans="1:6" x14ac:dyDescent="0.25">
      <c r="A9" s="73" t="s">
        <v>40</v>
      </c>
      <c r="B9">
        <v>564119000</v>
      </c>
      <c r="C9">
        <v>-99105000</v>
      </c>
      <c r="D9">
        <v>113580645</v>
      </c>
      <c r="E9">
        <v>39125000</v>
      </c>
    </row>
    <row r="10" spans="1:6" x14ac:dyDescent="0.25">
      <c r="A10" s="73" t="s">
        <v>41</v>
      </c>
      <c r="B10">
        <v>551350000</v>
      </c>
      <c r="C10">
        <v>-90118000</v>
      </c>
      <c r="D10">
        <v>1327000</v>
      </c>
      <c r="E10">
        <v>72166000</v>
      </c>
    </row>
    <row r="11" spans="1:6" x14ac:dyDescent="0.25">
      <c r="A11" s="73" t="s">
        <v>42</v>
      </c>
      <c r="D11">
        <v>113580645</v>
      </c>
    </row>
    <row r="12" spans="1:6" x14ac:dyDescent="0.25">
      <c r="A12" s="73" t="s">
        <v>43</v>
      </c>
      <c r="D12">
        <v>113580645</v>
      </c>
      <c r="E12">
        <v>140332000</v>
      </c>
    </row>
    <row r="13" spans="1:6" x14ac:dyDescent="0.25">
      <c r="A13" s="73" t="s">
        <v>44</v>
      </c>
      <c r="D13">
        <v>113580645</v>
      </c>
      <c r="E13">
        <v>140332000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45</v>
      </c>
      <c r="B1" s="27" t="s">
        <v>46</v>
      </c>
      <c r="C1" t="s">
        <v>47</v>
      </c>
      <c r="D1" t="s">
        <v>48</v>
      </c>
      <c r="F1" s="27" t="s">
        <v>46</v>
      </c>
      <c r="G1" t="s">
        <v>47</v>
      </c>
      <c r="H1" t="s">
        <v>48</v>
      </c>
      <c r="J1" t="s">
        <v>49</v>
      </c>
      <c r="K1" t="s">
        <v>47</v>
      </c>
      <c r="L1" t="s">
        <v>48</v>
      </c>
      <c r="N1" t="s">
        <v>50</v>
      </c>
      <c r="O1" t="s">
        <v>47</v>
      </c>
      <c r="P1" t="s">
        <v>48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51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35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52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53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54</v>
      </c>
    </row>
    <row r="7" spans="1:46" x14ac:dyDescent="0.25">
      <c r="A7" s="27" t="s">
        <v>55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56</v>
      </c>
    </row>
    <row r="8" spans="1:46" x14ac:dyDescent="0.25">
      <c r="A8" s="27" t="s">
        <v>39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57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58</v>
      </c>
    </row>
    <row r="10" spans="1:46" x14ac:dyDescent="0.25">
      <c r="A10" s="27" t="s">
        <v>59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60</v>
      </c>
    </row>
    <row r="11" spans="1:46" x14ac:dyDescent="0.25">
      <c r="A11" s="27" t="s">
        <v>42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61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62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63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64</v>
      </c>
    </row>
    <row r="15" spans="1:46" x14ac:dyDescent="0.25">
      <c r="A15" s="27" t="s">
        <v>65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66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67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68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69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70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71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72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73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74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75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76</v>
      </c>
      <c r="J26">
        <v>0.61799999999999999</v>
      </c>
      <c r="N26">
        <v>-0.36399999999999999</v>
      </c>
    </row>
    <row r="27" spans="1:17" x14ac:dyDescent="0.25">
      <c r="A27" s="27" t="s">
        <v>77</v>
      </c>
    </row>
    <row r="28" spans="1:17" x14ac:dyDescent="0.25">
      <c r="A28" s="27" t="s">
        <v>78</v>
      </c>
    </row>
    <row r="29" spans="1:17" x14ac:dyDescent="0.25">
      <c r="A29" s="27" t="s">
        <v>79</v>
      </c>
    </row>
    <row r="31" spans="1:17" x14ac:dyDescent="0.25">
      <c r="A31" s="26" t="s">
        <v>80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81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82</v>
      </c>
      <c r="C1" s="73" t="s">
        <v>83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84</v>
      </c>
      <c r="D2">
        <v>3.264252968328091</v>
      </c>
      <c r="E2">
        <v>0.26702594205793723</v>
      </c>
    </row>
    <row r="3" spans="1:5" x14ac:dyDescent="0.25">
      <c r="A3" s="73">
        <v>1</v>
      </c>
      <c r="B3">
        <v>3</v>
      </c>
      <c r="C3" t="s">
        <v>85</v>
      </c>
      <c r="D3">
        <v>2.258532817356981</v>
      </c>
      <c r="E3">
        <v>0.19727925016356829</v>
      </c>
    </row>
    <row r="4" spans="1:5" x14ac:dyDescent="0.25">
      <c r="A4" s="73">
        <v>2</v>
      </c>
      <c r="B4">
        <v>3</v>
      </c>
      <c r="C4" t="s">
        <v>86</v>
      </c>
      <c r="D4">
        <v>1.8592658833569811</v>
      </c>
      <c r="E4">
        <v>0.16959008851913071</v>
      </c>
    </row>
    <row r="5" spans="1:5" x14ac:dyDescent="0.25">
      <c r="A5" s="73">
        <v>3</v>
      </c>
      <c r="B5">
        <v>5</v>
      </c>
      <c r="C5" t="s">
        <v>84</v>
      </c>
      <c r="D5">
        <v>3.264252968328091</v>
      </c>
      <c r="E5">
        <v>0.26702594205793723</v>
      </c>
    </row>
    <row r="6" spans="1:5" x14ac:dyDescent="0.25">
      <c r="A6" s="73">
        <v>4</v>
      </c>
      <c r="B6">
        <v>5</v>
      </c>
      <c r="C6" t="s">
        <v>85</v>
      </c>
      <c r="D6">
        <v>2.258532817356981</v>
      </c>
      <c r="E6">
        <v>0.19727925016356829</v>
      </c>
    </row>
    <row r="7" spans="1:5" x14ac:dyDescent="0.25">
      <c r="A7" s="73">
        <v>5</v>
      </c>
      <c r="B7">
        <v>5</v>
      </c>
      <c r="C7" t="s">
        <v>86</v>
      </c>
      <c r="D7">
        <v>1.8592658833569811</v>
      </c>
      <c r="E7">
        <v>0.16959008851913071</v>
      </c>
    </row>
    <row r="8" spans="1:5" x14ac:dyDescent="0.25">
      <c r="A8" s="73">
        <v>6</v>
      </c>
      <c r="B8" t="s">
        <v>80</v>
      </c>
      <c r="D8">
        <v>2.4606838896806842</v>
      </c>
      <c r="E8">
        <v>0.21129842691354539</v>
      </c>
    </row>
    <row r="9" spans="1:5" x14ac:dyDescent="0.25">
      <c r="A9" s="73">
        <v>7</v>
      </c>
      <c r="B9" t="s">
        <v>81</v>
      </c>
      <c r="D9">
        <v>2.258532817356981</v>
      </c>
      <c r="E9">
        <v>0.19727925016356829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2024-10-18T17:29:51Z</dcterms:modified>
</cp:coreProperties>
</file>