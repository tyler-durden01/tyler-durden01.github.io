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3" documentId="11_A863812D2DDC46DFA2A7C6946E3F227F75BBBB77" xr6:coauthVersionLast="47" xr6:coauthVersionMax="47" xr10:uidLastSave="{849F7942-4DB8-49B4-878E-670D0E993971}"/>
  <bookViews>
    <workbookView xWindow="-120" yWindow="-120" windowWidth="29040" windowHeight="15720" firstSheet="1" activeTab="1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5" l="1"/>
  <c r="G32" i="5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O31" i="5"/>
  <c r="K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L3" i="5"/>
  <c r="K3" i="5"/>
  <c r="K32" i="5" s="1"/>
  <c r="H3" i="5"/>
  <c r="G3" i="5"/>
  <c r="D3" i="5"/>
  <c r="C3" i="5"/>
  <c r="R2" i="5"/>
  <c r="H2" i="5"/>
  <c r="G2" i="5"/>
  <c r="G31" i="5" s="1"/>
  <c r="D2" i="5"/>
  <c r="C2" i="5"/>
  <c r="C32" i="5" s="1"/>
  <c r="U1" i="5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T1" i="5"/>
  <c r="S1" i="5"/>
  <c r="K10" i="3"/>
  <c r="C21" i="3" s="1"/>
  <c r="I10" i="3"/>
  <c r="I11" i="3" s="1"/>
  <c r="H10" i="3"/>
  <c r="L5" i="3"/>
  <c r="N5" i="3" s="1"/>
  <c r="O5" i="3" s="1"/>
  <c r="P5" i="3" s="1"/>
  <c r="Q5" i="3" s="1"/>
  <c r="R5" i="3" s="1"/>
  <c r="S5" i="3" s="1"/>
  <c r="T5" i="3" s="1"/>
  <c r="U5" i="3" s="1"/>
  <c r="J4" i="3"/>
  <c r="J5" i="3" s="1"/>
  <c r="I4" i="3"/>
  <c r="D4" i="3"/>
  <c r="K3" i="3"/>
  <c r="D3" i="3"/>
  <c r="K1" i="3"/>
  <c r="K4" i="3" s="1"/>
  <c r="J1" i="3"/>
  <c r="J10" i="3" s="1"/>
  <c r="J11" i="3" s="1"/>
  <c r="I1" i="3"/>
  <c r="I7" i="3" s="1"/>
  <c r="H1" i="3"/>
  <c r="H4" i="3" s="1"/>
  <c r="G1" i="3"/>
  <c r="G3" i="3" s="1"/>
  <c r="F1" i="3"/>
  <c r="F4" i="3" s="1"/>
  <c r="F5" i="3" s="1"/>
  <c r="E1" i="3"/>
  <c r="E4" i="3" s="1"/>
  <c r="E5" i="3" s="1"/>
  <c r="D1" i="3"/>
  <c r="D10" i="3" s="1"/>
  <c r="I8" i="3" l="1"/>
  <c r="I13" i="3"/>
  <c r="H5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I5" i="3"/>
  <c r="E7" i="3"/>
  <c r="H7" i="3"/>
  <c r="J7" i="3"/>
  <c r="I3" i="3"/>
  <c r="G4" i="3"/>
  <c r="G5" i="3" s="1"/>
  <c r="K7" i="3"/>
  <c r="F10" i="3"/>
  <c r="F11" i="3" s="1"/>
  <c r="C31" i="5"/>
  <c r="F7" i="3"/>
  <c r="F3" i="3"/>
  <c r="H3" i="3"/>
  <c r="E10" i="3"/>
  <c r="E11" i="3" s="1"/>
  <c r="K11" i="3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L1" i="3"/>
  <c r="J3" i="3"/>
  <c r="D7" i="3"/>
  <c r="G10" i="3"/>
  <c r="G11" i="3" s="1"/>
  <c r="E3" i="3"/>
  <c r="G7" i="3"/>
  <c r="C20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F8" i="3" l="1"/>
  <c r="F13" i="3"/>
  <c r="L3" i="3"/>
  <c r="M1" i="3"/>
  <c r="E13" i="3"/>
  <c r="E8" i="3"/>
  <c r="K13" i="3"/>
  <c r="K8" i="3"/>
  <c r="H11" i="3"/>
  <c r="D8" i="3"/>
  <c r="D13" i="3"/>
  <c r="G13" i="3"/>
  <c r="G8" i="3"/>
  <c r="J8" i="3"/>
  <c r="J13" i="3"/>
  <c r="H13" i="3"/>
  <c r="H8" i="3"/>
  <c r="L8" i="3" l="1"/>
  <c r="M3" i="3"/>
  <c r="N1" i="3"/>
  <c r="O1" i="3" l="1"/>
  <c r="N3" i="3"/>
  <c r="L7" i="3"/>
  <c r="L13" i="3" s="1"/>
  <c r="L14" i="3" s="1"/>
  <c r="M8" i="3"/>
  <c r="N8" i="3" l="1"/>
  <c r="M7" i="3"/>
  <c r="M13" i="3" s="1"/>
  <c r="M14" i="3" s="1"/>
  <c r="O3" i="3"/>
  <c r="P1" i="3"/>
  <c r="Q1" i="3" l="1"/>
  <c r="P3" i="3"/>
  <c r="N7" i="3"/>
  <c r="N13" i="3" s="1"/>
  <c r="N14" i="3" s="1"/>
  <c r="O8" i="3"/>
  <c r="Q3" i="3" l="1"/>
  <c r="R1" i="3"/>
  <c r="O7" i="3"/>
  <c r="O13" i="3" s="1"/>
  <c r="O14" i="3" s="1"/>
  <c r="P8" i="3"/>
  <c r="Q8" i="3" l="1"/>
  <c r="P7" i="3"/>
  <c r="P13" i="3" s="1"/>
  <c r="P14" i="3" s="1"/>
  <c r="R3" i="3"/>
  <c r="S1" i="3"/>
  <c r="T1" i="3" l="1"/>
  <c r="S3" i="3"/>
  <c r="Q7" i="3"/>
  <c r="Q13" i="3" s="1"/>
  <c r="Q14" i="3" s="1"/>
  <c r="R8" i="3"/>
  <c r="S8" i="3" l="1"/>
  <c r="R7" i="3"/>
  <c r="R13" i="3" s="1"/>
  <c r="R14" i="3" s="1"/>
  <c r="T3" i="3"/>
  <c r="U1" i="3"/>
  <c r="U3" i="3" s="1"/>
  <c r="T8" i="3" l="1"/>
  <c r="S7" i="3"/>
  <c r="S13" i="3" s="1"/>
  <c r="S14" i="3" s="1"/>
  <c r="T7" i="3" l="1"/>
  <c r="T13" i="3" s="1"/>
  <c r="T14" i="3" s="1"/>
  <c r="U8" i="3"/>
  <c r="U7" i="3" s="1"/>
  <c r="U13" i="3" l="1"/>
  <c r="V7" i="3"/>
  <c r="U14" i="3" l="1"/>
  <c r="V13" i="3"/>
  <c r="V14" i="3" s="1"/>
  <c r="C17" i="3" l="1"/>
  <c r="C18" i="3"/>
  <c r="C19" i="3" l="1"/>
  <c r="C22" i="3" s="1"/>
  <c r="L17" i="3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<sst xmlns="http://schemas.openxmlformats.org/spreadsheetml/2006/main" count="232" uniqueCount="214">
  <si>
    <t>This sheet contains FactSet XML data for use with this workbook's =FDS codes.  Modifying the worksheet's contents may damage the workbook's =FDS functionality.</t>
  </si>
  <si>
    <t>SBUX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</si>
  <si>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</si>
  <si>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</si>
  <si>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</si>
  <si>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</si>
  <si>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</si>
  <si>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</si>
  <si>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</si>
  <si>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</si>
  <si>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</si>
  <si>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</si>
  <si>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</si>
  <si>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</si>
  <si>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</si>
  <si>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</si>
  <si>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</si>
  <si>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</si>
  <si>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</si>
  <si>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</si>
  <si>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</si>
  <si>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</si>
  <si>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</si>
  <si>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</si>
  <si>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</si>
  <si>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</si>
  <si>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</si>
  <si>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</si>
  <si>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</si>
  <si>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</si>
  <si>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</si>
  <si>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</si>
  <si>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</si>
  <si>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</si>
  <si>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</si>
  <si>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</si>
  <si>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</si>
  <si>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2023-10-01</t>
  </si>
  <si>
    <t>2023-07-02</t>
  </si>
  <si>
    <t>2023-04-02</t>
  </si>
  <si>
    <t>2023-01-01</t>
  </si>
  <si>
    <t>2022-10-02</t>
  </si>
  <si>
    <t>2022-07-03</t>
  </si>
  <si>
    <t>2022-04-03</t>
  </si>
  <si>
    <t>2022-01-02</t>
  </si>
  <si>
    <t>2021-10-03</t>
  </si>
  <si>
    <t>2021-06-27</t>
  </si>
  <si>
    <t>2021-03-28</t>
  </si>
  <si>
    <t>2020-12-27</t>
  </si>
  <si>
    <t>2020-09-27</t>
  </si>
  <si>
    <t>2020-06-28</t>
  </si>
  <si>
    <t>2020-03-29</t>
  </si>
  <si>
    <t>2019-12-29</t>
  </si>
  <si>
    <t>2019-09-29</t>
  </si>
  <si>
    <t>2019-06-30</t>
  </si>
  <si>
    <t>2019-03-31</t>
  </si>
  <si>
    <t>2018-12-30</t>
  </si>
  <si>
    <t>2018-09-30</t>
  </si>
  <si>
    <t>2018-07-01</t>
  </si>
  <si>
    <t>2018-04-01</t>
  </si>
  <si>
    <t>2017-12-31</t>
  </si>
  <si>
    <t>2017-10-01</t>
  </si>
  <si>
    <t>2017-07-02</t>
  </si>
  <si>
    <t>2017-04-02</t>
  </si>
  <si>
    <t>2017-01-01</t>
  </si>
  <si>
    <t>2016-10-02</t>
  </si>
  <si>
    <t>2016-06-26</t>
  </si>
  <si>
    <t>2016-03-27</t>
  </si>
  <si>
    <t>2015-12-27</t>
  </si>
  <si>
    <t>2015-09-27</t>
  </si>
  <si>
    <t>2015-06-28</t>
  </si>
  <si>
    <t>2015-03-29</t>
  </si>
  <si>
    <t>2014-12-28</t>
  </si>
  <si>
    <t>2014-09-28</t>
  </si>
  <si>
    <t>2014-06-29</t>
  </si>
  <si>
    <t>2014-03-30</t>
  </si>
  <si>
    <t>2013-12-29</t>
  </si>
  <si>
    <t>2013-09-29</t>
  </si>
  <si>
    <t>2013-06-30</t>
  </si>
  <si>
    <t>2013-03-31</t>
  </si>
  <si>
    <t>2012-12-30</t>
  </si>
  <si>
    <t>2012-09-30</t>
  </si>
  <si>
    <t>2012-07-01</t>
  </si>
  <si>
    <t>2012-04-01</t>
  </si>
  <si>
    <t>2012-01-01</t>
  </si>
  <si>
    <t>2011-10-02</t>
  </si>
  <si>
    <t>2011-07-03</t>
  </si>
  <si>
    <t>2011-04-03</t>
  </si>
  <si>
    <t>2011-01-02</t>
  </si>
  <si>
    <t>2010-10-03</t>
  </si>
  <si>
    <t>2010-06-27</t>
  </si>
  <si>
    <t>2010-03-28</t>
  </si>
  <si>
    <t>2009-12-27</t>
  </si>
  <si>
    <t>2009-09-27</t>
  </si>
  <si>
    <t>2009-06-28</t>
  </si>
  <si>
    <t>2009-03-29</t>
  </si>
  <si>
    <t>2008-12-28</t>
  </si>
  <si>
    <t>2008-09-28</t>
  </si>
  <si>
    <t>2008-06-29</t>
  </si>
  <si>
    <t>2008-03-30</t>
  </si>
  <si>
    <t>2007-12-30</t>
  </si>
  <si>
    <t>2007-09-30</t>
  </si>
  <si>
    <t>2007-07-01</t>
  </si>
  <si>
    <t>2007-04-01</t>
  </si>
  <si>
    <t>2006-12-31</t>
  </si>
  <si>
    <t>2006-10-01</t>
  </si>
  <si>
    <t>2006-07-02</t>
  </si>
  <si>
    <t>2006-04-02</t>
  </si>
  <si>
    <t>2006-01-01</t>
  </si>
  <si>
    <t>2005-10-02</t>
  </si>
  <si>
    <t>2005-07-03</t>
  </si>
  <si>
    <t>2005-04-03</t>
  </si>
  <si>
    <t>2005-01-02</t>
  </si>
  <si>
    <t>2004-10-03</t>
  </si>
  <si>
    <t>2004-06-27</t>
  </si>
  <si>
    <t>2004-03-28</t>
  </si>
  <si>
    <t>2003-12-28</t>
  </si>
  <si>
    <t>2003-09-28</t>
  </si>
  <si>
    <t>2003-06-29</t>
  </si>
  <si>
    <t>2003-03-30</t>
  </si>
  <si>
    <t>2002-12-29</t>
  </si>
  <si>
    <t>2002-09-29</t>
  </si>
  <si>
    <t>2002-06-30</t>
  </si>
  <si>
    <t>2002-03-31</t>
  </si>
  <si>
    <t>2001-12-30</t>
  </si>
  <si>
    <t>2001-09-30</t>
  </si>
  <si>
    <t>2001-07-01</t>
  </si>
  <si>
    <t>2001-04-01</t>
  </si>
  <si>
    <t>2000-12-31</t>
  </si>
  <si>
    <t>2000-10-01</t>
  </si>
  <si>
    <t>2000-07-02</t>
  </si>
  <si>
    <t>2000-04-02</t>
  </si>
  <si>
    <t>2000-01-02</t>
  </si>
  <si>
    <t>1999-10-03</t>
  </si>
  <si>
    <t>1999-06-27</t>
  </si>
  <si>
    <t>1999-03-28</t>
  </si>
  <si>
    <t>1998-12-27</t>
  </si>
  <si>
    <t>1998-09-27</t>
  </si>
  <si>
    <t>1998-06-28</t>
  </si>
  <si>
    <t>1998-03-29</t>
  </si>
  <si>
    <t>1997-12-28</t>
  </si>
  <si>
    <t>1997-09-28</t>
  </si>
  <si>
    <t>1997-06-29</t>
  </si>
  <si>
    <t>1997-03-30</t>
  </si>
  <si>
    <t>1996-12-29</t>
  </si>
  <si>
    <t>1996-09-29</t>
  </si>
  <si>
    <t>1996-06-30</t>
  </si>
  <si>
    <t>1996-03-31</t>
  </si>
  <si>
    <t>1995-12-31</t>
  </si>
  <si>
    <t>1995-09-30</t>
  </si>
  <si>
    <t>1995-06-30</t>
  </si>
  <si>
    <t>1995-03-31</t>
  </si>
  <si>
    <t>1994-12-31</t>
  </si>
  <si>
    <t>1994-09-30</t>
  </si>
  <si>
    <t>1994-06-30</t>
  </si>
  <si>
    <t>1994-03-31</t>
  </si>
  <si>
    <t>1993-12-31</t>
  </si>
  <si>
    <t>1993-09-30</t>
  </si>
  <si>
    <t>1993-06-30</t>
  </si>
  <si>
    <t>1993-03-31</t>
  </si>
  <si>
    <t>1992-12-31</t>
  </si>
  <si>
    <t>1992-09-30</t>
  </si>
  <si>
    <t>1992-06-30</t>
  </si>
  <si>
    <t>1992-03-31</t>
  </si>
  <si>
    <t>1991-12-31</t>
  </si>
  <si>
    <t>1991-09-30</t>
  </si>
  <si>
    <t>1991-06-30</t>
  </si>
  <si>
    <t>1991-03-31</t>
  </si>
  <si>
    <t>1990-12-31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</si>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</sst>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  <xf numFmtId="9" fontId="0" fillId="0" borderId="0" xfId="0" applyNumberFormat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20.7109375" bestFit="1" customWidth="1"/>
    <col min="2" max="2" width="12.7109375" bestFit="1" customWidth="1"/>
  </cols>
  <sheetData>
    <row r="1" spans="1:2" x14ac:dyDescent="0.25">
      <c r="B1" s="72" t="s">
        <v>1</v>
      </c>
    </row>
    <row r="2" spans="1:2" x14ac:dyDescent="0.25">
      <c r="A2" s="72" t="s">
        <v>2</v>
      </c>
      <c r="B2">
        <v>38049200000</v>
      </c>
    </row>
    <row r="3" spans="1:2" x14ac:dyDescent="0.25">
      <c r="A3" s="72" t="s">
        <v>3</v>
      </c>
      <c r="B3">
        <v>15551400000</v>
      </c>
    </row>
    <row r="4" spans="1:2" x14ac:dyDescent="0.25">
      <c r="A4" s="72" t="s">
        <v>4</v>
      </c>
      <c r="B4">
        <v>2.0424743892829</v>
      </c>
    </row>
    <row r="5" spans="1:2" x14ac:dyDescent="0.25">
      <c r="A5" s="72" t="s">
        <v>5</v>
      </c>
      <c r="B5">
        <v>3.6343994752883982E-2</v>
      </c>
    </row>
    <row r="6" spans="1:2" x14ac:dyDescent="0.25">
      <c r="A6" s="72" t="s">
        <v>6</v>
      </c>
      <c r="B6">
        <v>0.21</v>
      </c>
    </row>
    <row r="7" spans="1:2" x14ac:dyDescent="0.25">
      <c r="A7" s="72" t="s">
        <v>7</v>
      </c>
      <c r="B7">
        <v>-7937400000</v>
      </c>
    </row>
    <row r="8" spans="1:2" x14ac:dyDescent="0.25">
      <c r="A8" s="72" t="s">
        <v>8</v>
      </c>
      <c r="B8">
        <v>-1.0424743892829</v>
      </c>
    </row>
    <row r="9" spans="1:2" x14ac:dyDescent="0.25">
      <c r="A9" s="72" t="s">
        <v>9</v>
      </c>
      <c r="B9">
        <v>0.1100070715544454</v>
      </c>
    </row>
    <row r="10" spans="1:2" x14ac:dyDescent="0.25">
      <c r="A10" s="72" t="s">
        <v>10</v>
      </c>
      <c r="B10">
        <v>4.0729999542236328E-2</v>
      </c>
    </row>
    <row r="11" spans="1:2" x14ac:dyDescent="0.25">
      <c r="A11" s="72" t="s">
        <v>11</v>
      </c>
      <c r="B11">
        <v>1.000102086825446</v>
      </c>
    </row>
    <row r="12" spans="1:2" x14ac:dyDescent="0.25">
      <c r="A12" s="72" t="s">
        <v>12</v>
      </c>
      <c r="B12">
        <v>6.9270000457763672E-2</v>
      </c>
    </row>
    <row r="13" spans="1:2" x14ac:dyDescent="0.25">
      <c r="A13" s="72" t="s">
        <v>13</v>
      </c>
      <c r="B13">
        <v>0.02</v>
      </c>
    </row>
    <row r="14" spans="1:2" x14ac:dyDescent="0.25">
      <c r="A14" s="72" t="s">
        <v>14</v>
      </c>
      <c r="B14" s="73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opLeftCell="A2" zoomScale="85" zoomScaleNormal="85" workbookViewId="0">
      <selection activeCell="L6" sqref="L6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5" t="str">
        <f>Python!A31</f>
        <v>2017-07-02</v>
      </c>
      <c r="E1" s="65" t="str">
        <f>Python!A27</f>
        <v>2018-07-01</v>
      </c>
      <c r="F1" s="65" t="str">
        <f>Python!A23</f>
        <v>2019-06-30</v>
      </c>
      <c r="G1" s="65" t="str">
        <f>Python!A19</f>
        <v>2020-06-28</v>
      </c>
      <c r="H1" s="65" t="str">
        <f>Python!A15</f>
        <v>2021-06-27</v>
      </c>
      <c r="I1" s="65" t="str">
        <f>Python!A11</f>
        <v>2022-07-03</v>
      </c>
      <c r="J1" s="65" t="str">
        <f>Python!A7</f>
        <v>2023-07-02</v>
      </c>
      <c r="K1" s="65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3" t="s">
        <v>15</v>
      </c>
      <c r="C3" s="44"/>
      <c r="D3" s="44">
        <f t="shared" ref="D3:U3" si="1">YEAR(D1)</f>
        <v>2017</v>
      </c>
      <c r="E3" s="44">
        <f t="shared" si="1"/>
        <v>2018</v>
      </c>
      <c r="F3" s="44">
        <f t="shared" si="1"/>
        <v>2019</v>
      </c>
      <c r="G3" s="44">
        <f t="shared" si="1"/>
        <v>2020</v>
      </c>
      <c r="H3" s="44">
        <f t="shared" si="1"/>
        <v>2021</v>
      </c>
      <c r="I3" s="44">
        <f t="shared" si="1"/>
        <v>2022</v>
      </c>
      <c r="J3" s="44">
        <f t="shared" si="1"/>
        <v>2023</v>
      </c>
      <c r="K3" s="53">
        <f t="shared" si="1"/>
        <v>2024</v>
      </c>
      <c r="L3" s="44">
        <f t="shared" si="1"/>
        <v>2025</v>
      </c>
      <c r="M3" s="44">
        <f t="shared" si="1"/>
        <v>2026</v>
      </c>
      <c r="N3" s="44">
        <f t="shared" si="1"/>
        <v>2027</v>
      </c>
      <c r="O3" s="44">
        <f t="shared" si="1"/>
        <v>2028</v>
      </c>
      <c r="P3" s="44">
        <f t="shared" si="1"/>
        <v>2029</v>
      </c>
      <c r="Q3" s="44">
        <f t="shared" si="1"/>
        <v>2030</v>
      </c>
      <c r="R3" s="44">
        <f t="shared" si="1"/>
        <v>2031</v>
      </c>
      <c r="S3" s="44">
        <f t="shared" si="1"/>
        <v>2032</v>
      </c>
      <c r="T3" s="44">
        <f t="shared" si="1"/>
        <v>2033</v>
      </c>
      <c r="U3" s="44">
        <f t="shared" si="1"/>
        <v>2034</v>
      </c>
      <c r="V3" s="45" t="s">
        <v>16</v>
      </c>
    </row>
    <row r="4" spans="2:22" s="1" customFormat="1" x14ac:dyDescent="0.25">
      <c r="B4" s="47" t="s">
        <v>17</v>
      </c>
      <c r="C4" s="36"/>
      <c r="D4" s="36">
        <f>IFERROR(INDEX(Python!$1:$1048576,MATCH(DCF_Simple!D$1,Python!$A:$A,0),MATCH(DCF_Simple!$B4,Python!$1:$1,0))/1000000,0)</f>
        <v>22399.599999999999</v>
      </c>
      <c r="E4" s="36">
        <f>IFERROR(INDEX(Python!$1:$1048576,MATCH(DCF_Simple!E$1,Python!$A:$A,0),MATCH(DCF_Simple!$B4,Python!$1:$1,0))/1000000,0)</f>
        <v>24114.1</v>
      </c>
      <c r="F4" s="36">
        <f>IFERROR(INDEX(Python!$1:$1048576,MATCH(DCF_Simple!F$1,Python!$A:$A,0),MATCH(DCF_Simple!$B4,Python!$1:$1,0))/1000000,0)</f>
        <v>26065.200000000001</v>
      </c>
      <c r="G4" s="36">
        <f>IFERROR(INDEX(Python!$1:$1048576,MATCH(DCF_Simple!G$1,Python!$A:$A,0),MATCH(DCF_Simple!$B4,Python!$1:$1,0))/1000000,0)</f>
        <v>24061.9</v>
      </c>
      <c r="H4" s="36">
        <f>IFERROR(INDEX(Python!$1:$1048576,MATCH(DCF_Simple!H$1,Python!$A:$A,0),MATCH(DCF_Simple!$B4,Python!$1:$1,0))/1000000,0)</f>
        <v>27117</v>
      </c>
      <c r="I4" s="36">
        <f>IFERROR(INDEX(Python!$1:$1048576,MATCH(DCF_Simple!I$1,Python!$A:$A,0),MATCH(DCF_Simple!$B4,Python!$1:$1,0))/1000000,0)</f>
        <v>31982.799999999999</v>
      </c>
      <c r="J4" s="36">
        <f>IFERROR(INDEX(Python!$1:$1048576,MATCH(DCF_Simple!J$1,Python!$A:$A,0),MATCH(DCF_Simple!$B4,Python!$1:$1,0))/1000000,0)</f>
        <v>35016.199999999997</v>
      </c>
      <c r="K4" s="54">
        <f>IFERROR(INDEX(Python!$1:$1048576,MATCH(DCF_Simple!K$1,Python!$A:$A,0),MATCH(DCF_Simple!$B4,Python!$1:$1,0))/1000000,0)</f>
        <v>36460.1</v>
      </c>
      <c r="L4" s="37">
        <f t="shared" ref="L4:U4" si="2">K4*(1+L5)</f>
        <v>36487.249814158917</v>
      </c>
      <c r="M4" s="36">
        <f t="shared" si="2"/>
        <v>39223.793550220835</v>
      </c>
      <c r="N4" s="36">
        <f t="shared" si="2"/>
        <v>42165.578066487396</v>
      </c>
      <c r="O4" s="36">
        <f t="shared" si="2"/>
        <v>45327.996421473952</v>
      </c>
      <c r="P4" s="36">
        <f t="shared" si="2"/>
        <v>48727.596153084494</v>
      </c>
      <c r="Q4" s="36">
        <f t="shared" si="2"/>
        <v>52382.165864565832</v>
      </c>
      <c r="R4" s="36">
        <f t="shared" si="2"/>
        <v>56310.828304408264</v>
      </c>
      <c r="S4" s="36">
        <f t="shared" si="2"/>
        <v>60534.140427238883</v>
      </c>
      <c r="T4" s="36">
        <f t="shared" si="2"/>
        <v>65074.200959281799</v>
      </c>
      <c r="U4" s="36">
        <f t="shared" si="2"/>
        <v>69954.766031227933</v>
      </c>
      <c r="V4" s="19">
        <f>U4</f>
        <v>69954.766031227933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7.6541545384739118E-2</v>
      </c>
      <c r="F5" s="42">
        <f t="shared" si="3"/>
        <v>8.0911168154731206E-2</v>
      </c>
      <c r="G5" s="42">
        <f t="shared" si="3"/>
        <v>-7.6857265626198878E-2</v>
      </c>
      <c r="H5" s="42">
        <f t="shared" si="3"/>
        <v>0.12696836076951512</v>
      </c>
      <c r="I5" s="42">
        <f t="shared" si="3"/>
        <v>0.17943725338348626</v>
      </c>
      <c r="J5" s="42">
        <f t="shared" si="3"/>
        <v>9.4844729041859921E-2</v>
      </c>
      <c r="K5" s="57">
        <f t="shared" si="3"/>
        <v>4.1235199707563952E-2</v>
      </c>
      <c r="L5" s="38">
        <f>Python!F2</f>
        <v>7.4464453358369376E-4</v>
      </c>
      <c r="M5" s="38">
        <v>7.4999999999999997E-2</v>
      </c>
      <c r="N5" s="38">
        <f t="shared" ref="N5:U5" si="4">M5</f>
        <v>7.4999999999999997E-2</v>
      </c>
      <c r="O5" s="38">
        <f t="shared" si="4"/>
        <v>7.4999999999999997E-2</v>
      </c>
      <c r="P5" s="38">
        <f t="shared" si="4"/>
        <v>7.4999999999999997E-2</v>
      </c>
      <c r="Q5" s="38">
        <f t="shared" si="4"/>
        <v>7.4999999999999997E-2</v>
      </c>
      <c r="R5" s="38">
        <f t="shared" si="4"/>
        <v>7.4999999999999997E-2</v>
      </c>
      <c r="S5" s="38">
        <f t="shared" si="4"/>
        <v>7.4999999999999997E-2</v>
      </c>
      <c r="T5" s="38">
        <f t="shared" si="4"/>
        <v>7.4999999999999997E-2</v>
      </c>
      <c r="U5" s="38">
        <f t="shared" si="4"/>
        <v>7.4999999999999997E-2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5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1"/>
      <c r="D7" s="51">
        <f>IFERROR(INDEX(Python!$1:$1048576,MATCH(DCF_Simple!D$1,Python!$A:$A,0),MATCH(DCF_Simple!$B7,Python!$1:$1,0))/1000000,0)</f>
        <v>2961.9</v>
      </c>
      <c r="E7" s="51">
        <f>IFERROR(INDEX(Python!$1:$1048576,MATCH(DCF_Simple!E$1,Python!$A:$A,0),MATCH(DCF_Simple!$B7,Python!$1:$1,0))/1000000,0)</f>
        <v>2687.2</v>
      </c>
      <c r="F7" s="51">
        <f>IFERROR(INDEX(Python!$1:$1048576,MATCH(DCF_Simple!F$1,Python!$A:$A,0),MATCH(DCF_Simple!$B7,Python!$1:$1,0))/1000000,0)</f>
        <v>10522.9</v>
      </c>
      <c r="G7" s="51">
        <f>IFERROR(INDEX(Python!$1:$1048576,MATCH(DCF_Simple!G$1,Python!$A:$A,0),MATCH(DCF_Simple!$B7,Python!$1:$1,0))/1000000,0)</f>
        <v>-449</v>
      </c>
      <c r="H7" s="51">
        <f>IFERROR(INDEX(Python!$1:$1048576,MATCH(DCF_Simple!H$1,Python!$A:$A,0),MATCH(DCF_Simple!$B7,Python!$1:$1,0))/1000000,0)</f>
        <v>4628.2</v>
      </c>
      <c r="I7" s="51">
        <f>IFERROR(INDEX(Python!$1:$1048576,MATCH(DCF_Simple!I$1,Python!$A:$A,0),MATCH(DCF_Simple!$B7,Python!$1:$1,0))/1000000,0)</f>
        <v>3038.6</v>
      </c>
      <c r="J7" s="51">
        <f>IFERROR(INDEX(Python!$1:$1048576,MATCH(DCF_Simple!J$1,Python!$A:$A,0),MATCH(DCF_Simple!$B7,Python!$1:$1,0))/1000000,0)</f>
        <v>2983.4</v>
      </c>
      <c r="K7" s="56">
        <f>IFERROR(INDEX(Python!$1:$1048576,MATCH(DCF_Simple!K$1,Python!$A:$A,0),MATCH(DCF_Simple!$B7,Python!$1:$1,0))/1000000,0)</f>
        <v>3826.2</v>
      </c>
      <c r="L7" s="63">
        <f t="shared" ref="L7:U7" si="5">L8*L4</f>
        <v>4946.5147046156217</v>
      </c>
      <c r="M7" s="63">
        <f t="shared" si="5"/>
        <v>5317.5033074617932</v>
      </c>
      <c r="N7" s="63">
        <f t="shared" si="5"/>
        <v>5716.3160555214272</v>
      </c>
      <c r="O7" s="63">
        <f t="shared" si="5"/>
        <v>6145.0397596855346</v>
      </c>
      <c r="P7" s="63">
        <f t="shared" si="5"/>
        <v>6605.9177416619495</v>
      </c>
      <c r="Q7" s="63">
        <f t="shared" si="5"/>
        <v>7101.3615722865952</v>
      </c>
      <c r="R7" s="63">
        <f t="shared" si="5"/>
        <v>7633.9636902080892</v>
      </c>
      <c r="S7" s="63">
        <f t="shared" si="5"/>
        <v>8206.5109669736958</v>
      </c>
      <c r="T7" s="63">
        <f t="shared" si="5"/>
        <v>8821.9992894967236</v>
      </c>
      <c r="U7" s="63">
        <f t="shared" si="5"/>
        <v>9483.6492362089775</v>
      </c>
      <c r="V7" s="64">
        <f>U7</f>
        <v>9483.6492362089775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0.13223003982213968</v>
      </c>
      <c r="E8" s="42">
        <f t="shared" si="6"/>
        <v>0.11143687717974131</v>
      </c>
      <c r="F8" s="42">
        <f t="shared" si="6"/>
        <v>0.40371453125239781</v>
      </c>
      <c r="G8" s="42">
        <f t="shared" si="6"/>
        <v>-1.866020555317743E-2</v>
      </c>
      <c r="H8" s="42">
        <f t="shared" si="6"/>
        <v>0.17067522218534498</v>
      </c>
      <c r="I8" s="42">
        <f t="shared" si="6"/>
        <v>9.5007316432582506E-2</v>
      </c>
      <c r="J8" s="42">
        <f t="shared" si="6"/>
        <v>8.5200564310233554E-2</v>
      </c>
      <c r="K8" s="57">
        <f t="shared" si="6"/>
        <v>0.10494211480495116</v>
      </c>
      <c r="L8" s="38">
        <f>AVERAGE(D8:K8)</f>
        <v>0.13556830755427671</v>
      </c>
      <c r="M8" s="38">
        <f t="shared" ref="M8:U8" si="7">L8</f>
        <v>0.13556830755427671</v>
      </c>
      <c r="N8" s="38">
        <f t="shared" si="7"/>
        <v>0.13556830755427671</v>
      </c>
      <c r="O8" s="38">
        <f t="shared" si="7"/>
        <v>0.13556830755427671</v>
      </c>
      <c r="P8" s="38">
        <f t="shared" si="7"/>
        <v>0.13556830755427671</v>
      </c>
      <c r="Q8" s="38">
        <f t="shared" si="7"/>
        <v>0.13556830755427671</v>
      </c>
      <c r="R8" s="38">
        <f t="shared" si="7"/>
        <v>0.13556830755427671</v>
      </c>
      <c r="S8" s="38">
        <f t="shared" si="7"/>
        <v>0.13556830755427671</v>
      </c>
      <c r="T8" s="38">
        <f t="shared" si="7"/>
        <v>0.13556830755427671</v>
      </c>
      <c r="U8" s="38">
        <f t="shared" si="7"/>
        <v>0.13556830755427671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7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6" t="s">
        <v>21</v>
      </c>
      <c r="C10" s="35"/>
      <c r="D10" s="17">
        <f>IFERROR(INDEX(Python!$1:$1048576,MATCH(DCF_Simple!D$1,Python!$A:$A,0),MATCH(DCF_Simple!$B10,Python!$1:$1,0))/1000000,0)</f>
        <v>1459.4</v>
      </c>
      <c r="E10" s="17">
        <f>IFERROR(INDEX(Python!$1:$1048576,MATCH(DCF_Simple!E$1,Python!$A:$A,0),MATCH(DCF_Simple!$B10,Python!$1:$1,0))/1000000,0)</f>
        <v>1388.5</v>
      </c>
      <c r="F10" s="17">
        <f>IFERROR(INDEX(Python!$1:$1048576,MATCH(DCF_Simple!F$1,Python!$A:$A,0),MATCH(DCF_Simple!$B10,Python!$1:$1,0))/1000000,0)</f>
        <v>1223</v>
      </c>
      <c r="G10" s="17">
        <f>IFERROR(INDEX(Python!$1:$1048576,MATCH(DCF_Simple!G$1,Python!$A:$A,0),MATCH(DCF_Simple!$B10,Python!$1:$1,0))/1000000,0)</f>
        <v>1168.9000000000001</v>
      </c>
      <c r="H10" s="17">
        <f>IFERROR(INDEX(Python!$1:$1048576,MATCH(DCF_Simple!H$1,Python!$A:$A,0),MATCH(DCF_Simple!$B10,Python!$1:$1,0))/1000000,0)</f>
        <v>1186.2</v>
      </c>
      <c r="I10" s="17">
        <f>IFERROR(INDEX(Python!$1:$1048576,MATCH(DCF_Simple!I$1,Python!$A:$A,0),MATCH(DCF_Simple!$B10,Python!$1:$1,0))/1000000,0)</f>
        <v>1151</v>
      </c>
      <c r="J10" s="17">
        <f>IFERROR(INDEX(Python!$1:$1048576,MATCH(DCF_Simple!J$1,Python!$A:$A,0),MATCH(DCF_Simple!$B10,Python!$1:$1,0))/1000000,0)</f>
        <v>1150.5</v>
      </c>
      <c r="K10" s="68">
        <f>IFERROR(INDEX(Python!$1:$1048576,MATCH(DCF_Simple!K$1,Python!$A:$A,0),MATCH(DCF_Simple!$B10,Python!$1:$1,0))/1000000,0)</f>
        <v>1135.8</v>
      </c>
      <c r="L10" s="17">
        <f t="shared" ref="L10:U10" si="8">K10*(1+L11)</f>
        <v>1121.2878226857888</v>
      </c>
      <c r="M10" s="17">
        <f t="shared" si="8"/>
        <v>1106.96106823687</v>
      </c>
      <c r="N10" s="17">
        <f t="shared" si="8"/>
        <v>1092.8173674953819</v>
      </c>
      <c r="O10" s="17">
        <f t="shared" si="8"/>
        <v>1078.8543815743196</v>
      </c>
      <c r="P10" s="17">
        <f t="shared" si="8"/>
        <v>1065.0698014707625</v>
      </c>
      <c r="Q10" s="17">
        <f t="shared" si="8"/>
        <v>1051.4613476840434</v>
      </c>
      <c r="R10" s="17">
        <f t="shared" si="8"/>
        <v>1038.0267698387975</v>
      </c>
      <c r="S10" s="17">
        <f t="shared" si="8"/>
        <v>1024.7638463128258</v>
      </c>
      <c r="T10" s="17">
        <f t="shared" si="8"/>
        <v>1011.6703838697154</v>
      </c>
      <c r="U10" s="17">
        <f t="shared" si="8"/>
        <v>998.74421729615187</v>
      </c>
      <c r="V10" s="69">
        <f>U10</f>
        <v>998.74421729615187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-4.8581608880361893E-2</v>
      </c>
      <c r="F11" s="42">
        <f t="shared" si="9"/>
        <v>-0.1191933741447605</v>
      </c>
      <c r="G11" s="42">
        <f t="shared" si="9"/>
        <v>-4.4235486508585331E-2</v>
      </c>
      <c r="H11" s="42">
        <f t="shared" si="9"/>
        <v>1.4800239541449267E-2</v>
      </c>
      <c r="I11" s="42">
        <f t="shared" si="9"/>
        <v>-2.9674591131343853E-2</v>
      </c>
      <c r="J11" s="42">
        <f t="shared" si="9"/>
        <v>-4.344048653345256E-4</v>
      </c>
      <c r="K11" s="57">
        <f t="shared" si="9"/>
        <v>-1.277705345501956E-2</v>
      </c>
      <c r="L11" s="66">
        <f t="shared" ref="L11:U11" si="10">K11</f>
        <v>-1.277705345501956E-2</v>
      </c>
      <c r="M11" s="66">
        <f t="shared" si="10"/>
        <v>-1.277705345501956E-2</v>
      </c>
      <c r="N11" s="66">
        <f t="shared" si="10"/>
        <v>-1.277705345501956E-2</v>
      </c>
      <c r="O11" s="66">
        <f t="shared" si="10"/>
        <v>-1.277705345501956E-2</v>
      </c>
      <c r="P11" s="66">
        <f t="shared" si="10"/>
        <v>-1.277705345501956E-2</v>
      </c>
      <c r="Q11" s="66">
        <f t="shared" si="10"/>
        <v>-1.277705345501956E-2</v>
      </c>
      <c r="R11" s="66">
        <f t="shared" si="10"/>
        <v>-1.277705345501956E-2</v>
      </c>
      <c r="S11" s="66">
        <f t="shared" si="10"/>
        <v>-1.277705345501956E-2</v>
      </c>
      <c r="T11" s="66">
        <f t="shared" si="10"/>
        <v>-1.277705345501956E-2</v>
      </c>
      <c r="U11" s="66">
        <f t="shared" si="10"/>
        <v>-1.277705345501956E-2</v>
      </c>
      <c r="V11" s="67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7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8" t="s">
        <v>23</v>
      </c>
      <c r="C13" s="52"/>
      <c r="D13" s="52">
        <f t="shared" ref="D13:K13" si="11">IFERROR(D7/D10,0)</f>
        <v>2.0295326846649306</v>
      </c>
      <c r="E13" s="52">
        <f t="shared" si="11"/>
        <v>1.9353258912495497</v>
      </c>
      <c r="F13" s="52">
        <f t="shared" si="11"/>
        <v>8.6041700735895343</v>
      </c>
      <c r="G13" s="52">
        <f t="shared" si="11"/>
        <v>-0.38412182393703481</v>
      </c>
      <c r="H13" s="52">
        <f t="shared" si="11"/>
        <v>3.9017029168774235</v>
      </c>
      <c r="I13" s="52">
        <f t="shared" si="11"/>
        <v>2.6399652476107733</v>
      </c>
      <c r="J13" s="52">
        <f t="shared" si="11"/>
        <v>2.5931334202520646</v>
      </c>
      <c r="K13" s="58">
        <f t="shared" si="11"/>
        <v>3.3687268885367141</v>
      </c>
      <c r="L13" s="52">
        <f t="shared" ref="L13:U13" si="12">L7/L10</f>
        <v>4.4114585073860662</v>
      </c>
      <c r="M13" s="52">
        <f t="shared" si="12"/>
        <v>4.8036949627608241</v>
      </c>
      <c r="N13" s="52">
        <f t="shared" si="12"/>
        <v>5.2308063776682099</v>
      </c>
      <c r="O13" s="52">
        <f t="shared" si="12"/>
        <v>5.6958935929039631</v>
      </c>
      <c r="P13" s="52">
        <f t="shared" si="12"/>
        <v>6.2023331546343634</v>
      </c>
      <c r="Q13" s="52">
        <f t="shared" si="12"/>
        <v>6.7538018282156607</v>
      </c>
      <c r="R13" s="52">
        <f t="shared" si="12"/>
        <v>7.3543032916132036</v>
      </c>
      <c r="S13" s="52">
        <f t="shared" si="12"/>
        <v>8.0081972022152357</v>
      </c>
      <c r="T13" s="52">
        <f t="shared" si="12"/>
        <v>8.7202308480672457</v>
      </c>
      <c r="U13" s="52">
        <f t="shared" si="12"/>
        <v>9.4955736133156954</v>
      </c>
      <c r="V13" s="70">
        <f>U13*(1+WACC!$B$13)/(WACC!$B$14-WACC!$B$13)</f>
        <v>242.13712713955027</v>
      </c>
    </row>
    <row r="14" spans="2:22" ht="15.75" customHeight="1" thickBot="1" x14ac:dyDescent="0.3">
      <c r="B14" s="49" t="s">
        <v>24</v>
      </c>
      <c r="C14" s="50"/>
      <c r="D14" s="50"/>
      <c r="E14" s="50"/>
      <c r="F14" s="50"/>
      <c r="G14" s="50"/>
      <c r="H14" s="50"/>
      <c r="I14" s="50"/>
      <c r="J14" s="50"/>
      <c r="K14" s="59"/>
      <c r="L14" s="61">
        <f>L13/((1+WACC!$B$14)^(L3-$K$3))</f>
        <v>4.1617533088547791</v>
      </c>
      <c r="M14" s="61">
        <f>M13/((1+WACC!$B$14)^(M3-$K$3))</f>
        <v>4.2752714157714697</v>
      </c>
      <c r="N14" s="61">
        <f>N13/((1+WACC!$B$14)^(N3-$K$3))</f>
        <v>4.3918859004985729</v>
      </c>
      <c r="O14" s="61">
        <f>O13/((1+WACC!$B$14)^(O3-$K$3))</f>
        <v>4.5116812214172697</v>
      </c>
      <c r="P14" s="61">
        <f>P13/((1+WACC!$B$14)^(P3-$K$3))</f>
        <v>4.6347441406386407</v>
      </c>
      <c r="Q14" s="61">
        <f>Q13/((1+WACC!$B$14)^(Q3-$K$3))</f>
        <v>4.7611637868413856</v>
      </c>
      <c r="R14" s="61">
        <f>R13/((1+WACC!$B$14)^(R3-$K$3))</f>
        <v>4.8910317198235225</v>
      </c>
      <c r="S14" s="61">
        <f>S13/((1+WACC!$B$14)^(S3-$K$3))</f>
        <v>5.0244419968148417</v>
      </c>
      <c r="T14" s="61">
        <f>T13/((1+WACC!$B$14)^(T3-$K$3))</f>
        <v>5.1614912405981297</v>
      </c>
      <c r="U14" s="61">
        <f>U13/((1+WACC!$B$14)^(U3-$K$3))</f>
        <v>5.3022787094884976</v>
      </c>
      <c r="V14" s="62">
        <f>V13/((1+WACC!$B$14)^(U3-$K$3))</f>
        <v>135.20810709195672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135.20810709195672</v>
      </c>
      <c r="L17" s="16">
        <f>C17/$C$19</f>
        <v>0.74158211718825096</v>
      </c>
      <c r="O17" s="18"/>
    </row>
    <row r="18" spans="2:22" x14ac:dyDescent="0.25">
      <c r="B18" s="8" t="s">
        <v>26</v>
      </c>
      <c r="C18" s="32">
        <f>SUM(14:14)-V14</f>
        <v>47.11574344074711</v>
      </c>
      <c r="K18" s="3"/>
      <c r="L18" s="16">
        <f>C18/$C$19</f>
        <v>0.25841788281174904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182.32385053270383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Python!E3/1000000/K10</f>
        <v>2.9859130128543758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13.692023243528791</v>
      </c>
      <c r="F21" s="14"/>
      <c r="G21" s="14"/>
      <c r="H21" s="14"/>
    </row>
    <row r="22" spans="2:22" ht="15.75" customHeight="1" thickBot="1" x14ac:dyDescent="0.3">
      <c r="B22" s="34" t="s">
        <v>30</v>
      </c>
      <c r="C22" s="60">
        <f>C19+C20-C21</f>
        <v>171.61774030202943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7"/>
  <sheetViews>
    <sheetView workbookViewId="0">
      <selection activeCell="F36" sqref="F36"/>
    </sheetView>
  </sheetViews>
  <sheetFormatPr defaultRowHeight="15" x14ac:dyDescent="0.25"/>
  <sheetData>
    <row r="1" spans="1:6" x14ac:dyDescent="0.25">
      <c r="A1" s="72" t="s">
        <v>31</v>
      </c>
      <c r="B1" s="72" t="s">
        <v>17</v>
      </c>
      <c r="C1" s="72" t="s">
        <v>19</v>
      </c>
      <c r="D1" s="72" t="s">
        <v>21</v>
      </c>
      <c r="E1" s="72" t="s">
        <v>28</v>
      </c>
      <c r="F1" s="72" t="s">
        <v>32</v>
      </c>
    </row>
    <row r="2" spans="1:6" x14ac:dyDescent="0.25">
      <c r="A2" s="72" t="s">
        <v>33</v>
      </c>
      <c r="F2">
        <v>7.4464453358369376E-4</v>
      </c>
    </row>
    <row r="3" spans="1:6" x14ac:dyDescent="0.25">
      <c r="A3" s="72" t="s">
        <v>34</v>
      </c>
      <c r="B3">
        <v>36460100000</v>
      </c>
      <c r="C3">
        <v>3826200000</v>
      </c>
      <c r="D3">
        <v>1135800000</v>
      </c>
      <c r="E3">
        <v>3391400000</v>
      </c>
      <c r="F3">
        <v>8.7954396125782264E-3</v>
      </c>
    </row>
    <row r="4" spans="1:6" x14ac:dyDescent="0.25">
      <c r="A4" s="72" t="s">
        <v>35</v>
      </c>
      <c r="B4">
        <v>36522800000</v>
      </c>
      <c r="C4">
        <v>3951200000</v>
      </c>
      <c r="D4">
        <v>1135400000</v>
      </c>
      <c r="E4">
        <v>3126600000</v>
      </c>
      <c r="F4">
        <v>4.6294295970091159E-2</v>
      </c>
    </row>
    <row r="5" spans="1:6" x14ac:dyDescent="0.25">
      <c r="A5" s="72" t="s">
        <v>36</v>
      </c>
      <c r="B5">
        <v>36687000000</v>
      </c>
      <c r="C5">
        <v>4386700000</v>
      </c>
      <c r="D5">
        <v>1140600000</v>
      </c>
      <c r="E5">
        <v>3383400000</v>
      </c>
      <c r="F5">
        <v>8.3076464040211517E-2</v>
      </c>
    </row>
    <row r="6" spans="1:6" x14ac:dyDescent="0.25">
      <c r="A6" s="72" t="s">
        <v>37</v>
      </c>
      <c r="B6">
        <v>35975600000</v>
      </c>
      <c r="C6">
        <v>3675100000</v>
      </c>
      <c r="D6">
        <v>1149400000</v>
      </c>
      <c r="E6">
        <v>3953000000</v>
      </c>
      <c r="F6">
        <v>4.1128092985666997E-2</v>
      </c>
    </row>
    <row r="7" spans="1:6" x14ac:dyDescent="0.25">
      <c r="A7" s="72" t="s">
        <v>38</v>
      </c>
      <c r="B7">
        <v>35016200000</v>
      </c>
      <c r="C7">
        <v>2983400000</v>
      </c>
      <c r="D7">
        <v>1150500000</v>
      </c>
      <c r="E7">
        <v>3620000000</v>
      </c>
      <c r="F7">
        <v>0.1494975521772739</v>
      </c>
    </row>
    <row r="8" spans="1:6" x14ac:dyDescent="0.25">
      <c r="A8" s="72" t="s">
        <v>39</v>
      </c>
      <c r="B8">
        <v>33998000000</v>
      </c>
      <c r="C8">
        <v>2753900000</v>
      </c>
      <c r="D8">
        <v>1152700000</v>
      </c>
      <c r="E8">
        <v>3451200000</v>
      </c>
      <c r="F8">
        <v>0.1005015977788255</v>
      </c>
    </row>
    <row r="9" spans="1:6" x14ac:dyDescent="0.25">
      <c r="A9" s="72" t="s">
        <v>40</v>
      </c>
      <c r="B9">
        <v>32913800000</v>
      </c>
      <c r="C9">
        <v>2178300000</v>
      </c>
      <c r="D9">
        <v>1152900000</v>
      </c>
      <c r="E9">
        <v>3310400000</v>
      </c>
      <c r="F9">
        <v>8.8455232038159526E-2</v>
      </c>
    </row>
    <row r="10" spans="1:6" x14ac:dyDescent="0.25">
      <c r="A10" s="72" t="s">
        <v>41</v>
      </c>
      <c r="B10">
        <v>32250300000</v>
      </c>
      <c r="C10">
        <v>2556000000</v>
      </c>
      <c r="D10">
        <v>1152500000</v>
      </c>
      <c r="E10">
        <v>3182900000</v>
      </c>
    </row>
    <row r="11" spans="1:6" x14ac:dyDescent="0.25">
      <c r="A11" s="72" t="s">
        <v>42</v>
      </c>
      <c r="B11">
        <v>31982800000</v>
      </c>
      <c r="C11">
        <v>3038600000</v>
      </c>
      <c r="D11">
        <v>1151000000</v>
      </c>
      <c r="E11">
        <v>3254400000</v>
      </c>
    </row>
    <row r="12" spans="1:6" x14ac:dyDescent="0.25">
      <c r="A12" s="72" t="s">
        <v>43</v>
      </c>
      <c r="B12">
        <v>31329200000</v>
      </c>
      <c r="C12">
        <v>3608400000</v>
      </c>
      <c r="D12">
        <v>1153900000</v>
      </c>
      <c r="E12">
        <v>3995500000</v>
      </c>
    </row>
    <row r="13" spans="1:6" x14ac:dyDescent="0.25">
      <c r="A13" s="72" t="s">
        <v>44</v>
      </c>
      <c r="B13">
        <v>30361600000</v>
      </c>
      <c r="C13">
        <v>4461700000</v>
      </c>
      <c r="D13">
        <v>1176600000</v>
      </c>
      <c r="E13">
        <v>4056800000</v>
      </c>
      <c r="F13">
        <v>0.1304145553678846</v>
      </c>
    </row>
    <row r="14" spans="1:6" x14ac:dyDescent="0.25">
      <c r="A14" s="72" t="s">
        <v>45</v>
      </c>
      <c r="B14">
        <v>29060600000</v>
      </c>
      <c r="C14">
        <v>4519100000</v>
      </c>
      <c r="D14">
        <v>1187900000</v>
      </c>
      <c r="E14">
        <v>6617900000</v>
      </c>
      <c r="F14">
        <v>0.33563540810240039</v>
      </c>
    </row>
    <row r="15" spans="1:6" x14ac:dyDescent="0.25">
      <c r="A15" s="72" t="s">
        <v>46</v>
      </c>
      <c r="B15">
        <v>27117000000</v>
      </c>
      <c r="C15">
        <v>4628200000</v>
      </c>
      <c r="D15">
        <v>1186200000</v>
      </c>
      <c r="E15">
        <v>4906700000</v>
      </c>
      <c r="F15">
        <v>0.9628597143601525</v>
      </c>
    </row>
    <row r="16" spans="1:6" x14ac:dyDescent="0.25">
      <c r="A16" s="72" t="s">
        <v>47</v>
      </c>
      <c r="B16">
        <v>23842600000</v>
      </c>
      <c r="C16">
        <v>2469300000</v>
      </c>
      <c r="D16">
        <v>1184800000</v>
      </c>
      <c r="E16">
        <v>4003700000</v>
      </c>
      <c r="F16">
        <v>-7.6721965241756562E-2</v>
      </c>
    </row>
    <row r="17" spans="1:6" x14ac:dyDescent="0.25">
      <c r="A17" s="72" t="s">
        <v>48</v>
      </c>
      <c r="B17">
        <v>23170300000</v>
      </c>
      <c r="C17">
        <v>183900000</v>
      </c>
      <c r="D17">
        <v>1183000000</v>
      </c>
      <c r="E17">
        <v>5263600000</v>
      </c>
      <c r="F17">
        <v>-0.1527883989235039</v>
      </c>
    </row>
    <row r="18" spans="1:6" x14ac:dyDescent="0.25">
      <c r="A18" s="72" t="s">
        <v>49</v>
      </c>
      <c r="B18">
        <v>23518000000</v>
      </c>
      <c r="C18">
        <v>114200000</v>
      </c>
      <c r="D18">
        <v>1179000000</v>
      </c>
      <c r="E18">
        <v>4632100000</v>
      </c>
      <c r="F18">
        <v>-0.1925711431747443</v>
      </c>
    </row>
    <row r="19" spans="1:6" x14ac:dyDescent="0.25">
      <c r="A19" s="72" t="s">
        <v>50</v>
      </c>
      <c r="B19">
        <v>24061900000</v>
      </c>
      <c r="C19">
        <v>-449000000</v>
      </c>
      <c r="D19">
        <v>1168900000</v>
      </c>
      <c r="E19">
        <v>4195800000</v>
      </c>
      <c r="F19">
        <v>-0.20631655093067569</v>
      </c>
    </row>
    <row r="20" spans="1:6" x14ac:dyDescent="0.25">
      <c r="A20" s="72" t="s">
        <v>51</v>
      </c>
      <c r="B20">
        <v>26662800000</v>
      </c>
      <c r="C20">
        <v>1033100000</v>
      </c>
      <c r="D20">
        <v>1180700000</v>
      </c>
      <c r="E20">
        <v>2625200000</v>
      </c>
      <c r="F20">
        <v>1.023347182797063E-2</v>
      </c>
    </row>
    <row r="21" spans="1:6" x14ac:dyDescent="0.25">
      <c r="A21" s="72" t="s">
        <v>52</v>
      </c>
      <c r="B21">
        <v>26973000000</v>
      </c>
      <c r="C21">
        <v>2734600000</v>
      </c>
      <c r="D21">
        <v>1191000000</v>
      </c>
      <c r="E21">
        <v>3108900000</v>
      </c>
      <c r="F21">
        <v>2.9383188294359819E-2</v>
      </c>
    </row>
    <row r="22" spans="1:6" x14ac:dyDescent="0.25">
      <c r="A22" s="72" t="s">
        <v>53</v>
      </c>
      <c r="B22">
        <v>26508600000</v>
      </c>
      <c r="C22">
        <v>3240400000</v>
      </c>
      <c r="D22">
        <v>1205600000</v>
      </c>
      <c r="E22">
        <v>2757100000</v>
      </c>
      <c r="F22">
        <v>7.0340757662288311E-2</v>
      </c>
    </row>
    <row r="23" spans="1:6" x14ac:dyDescent="0.25">
      <c r="A23" s="72" t="s">
        <v>54</v>
      </c>
      <c r="B23">
        <v>26065200000</v>
      </c>
      <c r="C23">
        <v>10522900000</v>
      </c>
      <c r="D23">
        <v>1223000000</v>
      </c>
      <c r="E23">
        <v>4835400000</v>
      </c>
      <c r="F23">
        <v>-1.9248140341980859E-3</v>
      </c>
    </row>
    <row r="24" spans="1:6" x14ac:dyDescent="0.25">
      <c r="A24" s="72" t="s">
        <v>55</v>
      </c>
      <c r="B24">
        <v>25552500000</v>
      </c>
      <c r="C24">
        <v>10493400000</v>
      </c>
      <c r="D24">
        <v>1250700000</v>
      </c>
      <c r="E24">
        <v>2131700000</v>
      </c>
      <c r="F24">
        <v>-2.4253677840777251E-2</v>
      </c>
    </row>
    <row r="25" spans="1:6" x14ac:dyDescent="0.25">
      <c r="A25" s="72" t="s">
        <v>56</v>
      </c>
      <c r="B25">
        <v>25278400000</v>
      </c>
      <c r="C25">
        <v>10504300000</v>
      </c>
      <c r="D25">
        <v>1253400000</v>
      </c>
      <c r="E25">
        <v>4991800000</v>
      </c>
      <c r="F25">
        <v>-5.3568664899484641E-2</v>
      </c>
    </row>
    <row r="26" spans="1:6" x14ac:dyDescent="0.25">
      <c r="A26" s="72" t="s">
        <v>57</v>
      </c>
      <c r="B26">
        <v>24719400000</v>
      </c>
      <c r="C26">
        <v>9961400000</v>
      </c>
      <c r="D26">
        <v>1348700000</v>
      </c>
      <c r="E26">
        <v>8937800000</v>
      </c>
      <c r="F26">
        <v>7.0539996841163077E-2</v>
      </c>
    </row>
    <row r="27" spans="1:6" x14ac:dyDescent="0.25">
      <c r="A27" s="72" t="s">
        <v>58</v>
      </c>
      <c r="B27">
        <v>24114100000</v>
      </c>
      <c r="C27">
        <v>2687200000</v>
      </c>
      <c r="D27">
        <v>1388500000</v>
      </c>
      <c r="E27">
        <v>1976600000</v>
      </c>
      <c r="F27">
        <v>9.662120763048665E-2</v>
      </c>
    </row>
    <row r="28" spans="1:6" x14ac:dyDescent="0.25">
      <c r="A28" s="72" t="s">
        <v>59</v>
      </c>
      <c r="B28">
        <v>23465300000</v>
      </c>
      <c r="C28">
        <v>2745600000</v>
      </c>
      <c r="D28">
        <v>1406600000</v>
      </c>
      <c r="E28">
        <v>2242500000</v>
      </c>
      <c r="F28">
        <v>0.1393653192293163</v>
      </c>
    </row>
    <row r="29" spans="1:6" x14ac:dyDescent="0.25">
      <c r="A29" s="72" t="s">
        <v>60</v>
      </c>
      <c r="B29">
        <v>22727500000</v>
      </c>
      <c r="C29">
        <v>2871300000</v>
      </c>
      <c r="D29">
        <v>1434600000</v>
      </c>
      <c r="E29">
        <v>3768000000</v>
      </c>
      <c r="F29">
        <v>-7.0947043904481144E-2</v>
      </c>
    </row>
    <row r="30" spans="1:6" x14ac:dyDescent="0.25">
      <c r="A30" s="72" t="s">
        <v>61</v>
      </c>
      <c r="B30">
        <v>22386700000</v>
      </c>
      <c r="C30">
        <v>2654900000</v>
      </c>
      <c r="D30">
        <v>1451200000</v>
      </c>
      <c r="E30">
        <v>2690900000</v>
      </c>
      <c r="F30">
        <v>-2.2587197086426651E-3</v>
      </c>
    </row>
    <row r="31" spans="1:6" x14ac:dyDescent="0.25">
      <c r="A31" s="72" t="s">
        <v>62</v>
      </c>
      <c r="B31">
        <v>22399600000</v>
      </c>
      <c r="C31">
        <v>2961900000</v>
      </c>
      <c r="D31">
        <v>1459400000</v>
      </c>
      <c r="E31">
        <v>3006100000</v>
      </c>
      <c r="F31">
        <v>8.0851470026727768E-2</v>
      </c>
    </row>
    <row r="32" spans="1:6" x14ac:dyDescent="0.25">
      <c r="A32" s="72" t="s">
        <v>63</v>
      </c>
      <c r="B32">
        <v>21976100000</v>
      </c>
      <c r="C32">
        <v>2918600000</v>
      </c>
      <c r="D32">
        <v>1464800000</v>
      </c>
      <c r="E32">
        <v>2394900000</v>
      </c>
      <c r="F32">
        <v>6.0241929023471918E-2</v>
      </c>
    </row>
    <row r="33" spans="1:6" x14ac:dyDescent="0.25">
      <c r="A33" s="72" t="s">
        <v>64</v>
      </c>
      <c r="B33">
        <v>21675300000</v>
      </c>
      <c r="C33">
        <v>3018900000</v>
      </c>
      <c r="D33">
        <v>1470500000</v>
      </c>
      <c r="E33">
        <v>2175400000</v>
      </c>
      <c r="F33">
        <v>6.6883781520424401E-2</v>
      </c>
    </row>
    <row r="34" spans="1:6" x14ac:dyDescent="0.25">
      <c r="A34" s="72" t="s">
        <v>65</v>
      </c>
      <c r="B34">
        <v>21315900000</v>
      </c>
      <c r="C34">
        <v>3134800000</v>
      </c>
      <c r="D34">
        <v>1478400000</v>
      </c>
      <c r="E34">
        <v>2263200000</v>
      </c>
      <c r="F34">
        <v>0.14129044620330419</v>
      </c>
    </row>
    <row r="35" spans="1:6" x14ac:dyDescent="0.25">
      <c r="A35" s="72" t="s">
        <v>66</v>
      </c>
      <c r="B35">
        <v>20519500000</v>
      </c>
      <c r="C35">
        <v>2846900000</v>
      </c>
      <c r="D35">
        <v>1479300000</v>
      </c>
      <c r="E35">
        <v>2316300000</v>
      </c>
      <c r="F35">
        <v>7.3096779480455565E-2</v>
      </c>
    </row>
    <row r="36" spans="1:6" x14ac:dyDescent="0.25">
      <c r="A36" s="72" t="s">
        <v>67</v>
      </c>
      <c r="B36">
        <v>20162700000</v>
      </c>
      <c r="C36">
        <v>2568400000</v>
      </c>
      <c r="D36">
        <v>1486600000</v>
      </c>
      <c r="E36">
        <v>1417600000</v>
      </c>
      <c r="F36">
        <v>9.4160184069245201E-2</v>
      </c>
    </row>
    <row r="37" spans="1:6" x14ac:dyDescent="0.25">
      <c r="A37" s="72" t="s">
        <v>68</v>
      </c>
      <c r="B37">
        <v>19733000000</v>
      </c>
      <c r="C37">
        <v>2616200000</v>
      </c>
      <c r="D37">
        <v>1503300000</v>
      </c>
      <c r="E37">
        <v>2379900000</v>
      </c>
      <c r="F37">
        <v>9.4413054213857484E-2</v>
      </c>
    </row>
    <row r="38" spans="1:6" x14ac:dyDescent="0.25">
      <c r="A38" s="72" t="s">
        <v>69</v>
      </c>
      <c r="B38">
        <v>19162700000</v>
      </c>
      <c r="C38">
        <v>2445400000</v>
      </c>
      <c r="D38">
        <v>1504500000</v>
      </c>
      <c r="E38">
        <v>1611400000</v>
      </c>
      <c r="F38">
        <v>0.1755644852659779</v>
      </c>
    </row>
    <row r="39" spans="1:6" x14ac:dyDescent="0.25">
      <c r="A39" s="72" t="s">
        <v>70</v>
      </c>
      <c r="B39">
        <v>18428700000</v>
      </c>
      <c r="C39">
        <v>2227200000</v>
      </c>
      <c r="D39">
        <v>1515700000</v>
      </c>
      <c r="E39">
        <v>2175200000</v>
      </c>
      <c r="F39">
        <v>0.14716540722729141</v>
      </c>
    </row>
    <row r="40" spans="1:6" x14ac:dyDescent="0.25">
      <c r="A40" s="72" t="s">
        <v>71</v>
      </c>
      <c r="B40">
        <v>17701200000</v>
      </c>
      <c r="C40">
        <v>2328300000</v>
      </c>
      <c r="D40">
        <v>1516500000</v>
      </c>
      <c r="E40">
        <v>1849800000</v>
      </c>
      <c r="F40">
        <v>0.17801641798750589</v>
      </c>
    </row>
    <row r="41" spans="1:6" x14ac:dyDescent="0.25">
      <c r="A41" s="72" t="s">
        <v>72</v>
      </c>
      <c r="B41">
        <v>17011500000</v>
      </c>
      <c r="C41">
        <v>2238300000</v>
      </c>
      <c r="D41">
        <v>1516800000</v>
      </c>
      <c r="E41">
        <v>1953100000</v>
      </c>
      <c r="F41">
        <v>0.1329606566657231</v>
      </c>
    </row>
    <row r="42" spans="1:6" x14ac:dyDescent="0.25">
      <c r="A42" s="72" t="s">
        <v>73</v>
      </c>
      <c r="B42">
        <v>16447900000</v>
      </c>
      <c r="C42">
        <v>-553100000</v>
      </c>
      <c r="D42">
        <v>1521600000</v>
      </c>
      <c r="E42">
        <v>1843800000</v>
      </c>
      <c r="F42">
        <v>0.1016337285902504</v>
      </c>
    </row>
    <row r="43" spans="1:6" x14ac:dyDescent="0.25">
      <c r="A43" s="72" t="s">
        <v>74</v>
      </c>
      <c r="B43">
        <v>16062100000</v>
      </c>
      <c r="C43">
        <v>-443100000</v>
      </c>
      <c r="D43">
        <v>1522000000</v>
      </c>
      <c r="E43">
        <v>1196300000</v>
      </c>
      <c r="F43">
        <v>7.74600721597134E-2</v>
      </c>
    </row>
    <row r="44" spans="1:6" x14ac:dyDescent="0.25">
      <c r="A44" s="72" t="s">
        <v>75</v>
      </c>
      <c r="B44">
        <v>15650100000</v>
      </c>
      <c r="C44">
        <v>-617600000</v>
      </c>
      <c r="D44">
        <v>1529200000</v>
      </c>
      <c r="E44">
        <v>1489500000</v>
      </c>
      <c r="F44">
        <v>8.9400714305801543E-2</v>
      </c>
    </row>
    <row r="45" spans="1:6" x14ac:dyDescent="0.25">
      <c r="A45" s="72" t="s">
        <v>76</v>
      </c>
      <c r="B45">
        <v>15332200000</v>
      </c>
      <c r="C45">
        <v>-725900000</v>
      </c>
      <c r="D45">
        <v>1532400000</v>
      </c>
      <c r="E45">
        <v>1702800000</v>
      </c>
      <c r="F45">
        <v>0.14861935914306779</v>
      </c>
    </row>
    <row r="46" spans="1:6" x14ac:dyDescent="0.25">
      <c r="A46" s="72" t="s">
        <v>77</v>
      </c>
      <c r="B46">
        <v>14892200000</v>
      </c>
      <c r="C46">
        <v>1757100000</v>
      </c>
      <c r="D46">
        <v>1506400000</v>
      </c>
      <c r="E46">
        <v>3233800000</v>
      </c>
      <c r="F46">
        <v>5.5857981569560122E-2</v>
      </c>
    </row>
    <row r="47" spans="1:6" x14ac:dyDescent="0.25">
      <c r="A47" s="72" t="s">
        <v>78</v>
      </c>
      <c r="B47">
        <v>14461200000</v>
      </c>
      <c r="C47">
        <v>1539300000</v>
      </c>
      <c r="D47">
        <v>1523800000</v>
      </c>
      <c r="E47">
        <v>2044300000</v>
      </c>
      <c r="F47">
        <v>9.029435403801922E-2</v>
      </c>
    </row>
    <row r="48" spans="1:6" x14ac:dyDescent="0.25">
      <c r="A48" s="72" t="s">
        <v>79</v>
      </c>
      <c r="B48">
        <v>14023100000</v>
      </c>
      <c r="C48">
        <v>1519900000</v>
      </c>
      <c r="D48">
        <v>1522600000</v>
      </c>
      <c r="E48">
        <v>1697700000</v>
      </c>
      <c r="F48">
        <v>0.1087017741481273</v>
      </c>
    </row>
    <row r="49" spans="1:6" x14ac:dyDescent="0.25">
      <c r="A49" s="72" t="s">
        <v>80</v>
      </c>
      <c r="B49">
        <v>13663100000</v>
      </c>
      <c r="C49">
        <v>1406300000</v>
      </c>
      <c r="D49">
        <v>1522600000</v>
      </c>
      <c r="E49">
        <v>2459700000</v>
      </c>
      <c r="F49">
        <v>0.14531750865857559</v>
      </c>
    </row>
    <row r="50" spans="1:6" x14ac:dyDescent="0.25">
      <c r="A50" s="72" t="s">
        <v>81</v>
      </c>
      <c r="B50">
        <v>13299400000</v>
      </c>
      <c r="C50">
        <v>894100000</v>
      </c>
      <c r="D50">
        <v>1547000000</v>
      </c>
      <c r="E50">
        <v>2037000000</v>
      </c>
      <c r="F50">
        <v>6.1427725038757153E-2</v>
      </c>
    </row>
    <row r="51" spans="1:6" x14ac:dyDescent="0.25">
      <c r="A51" s="72" t="s">
        <v>82</v>
      </c>
      <c r="B51">
        <v>12967100000</v>
      </c>
      <c r="C51">
        <v>936600000</v>
      </c>
      <c r="D51">
        <v>1553600000</v>
      </c>
      <c r="E51">
        <v>2497600000</v>
      </c>
      <c r="F51">
        <v>0.17787450924220721</v>
      </c>
    </row>
    <row r="52" spans="1:6" x14ac:dyDescent="0.25">
      <c r="A52" s="72" t="s">
        <v>83</v>
      </c>
      <c r="B52">
        <v>12595700000</v>
      </c>
      <c r="C52">
        <v>911900000</v>
      </c>
      <c r="D52">
        <v>1546600000</v>
      </c>
      <c r="E52">
        <v>2234300000</v>
      </c>
      <c r="F52">
        <v>0.1472520371899344</v>
      </c>
    </row>
    <row r="53" spans="1:6" x14ac:dyDescent="0.25">
      <c r="A53" s="72" t="s">
        <v>84</v>
      </c>
      <c r="B53">
        <v>12185500000</v>
      </c>
      <c r="C53">
        <v>848600000</v>
      </c>
      <c r="D53">
        <v>1537000000</v>
      </c>
      <c r="E53">
        <v>2273200000</v>
      </c>
      <c r="F53">
        <v>0.11782025213501419</v>
      </c>
    </row>
    <row r="54" spans="1:6" x14ac:dyDescent="0.25">
      <c r="A54" s="72" t="s">
        <v>85</v>
      </c>
      <c r="B54">
        <v>11700400000</v>
      </c>
      <c r="C54">
        <v>1080500000</v>
      </c>
      <c r="D54">
        <v>1537000000</v>
      </c>
      <c r="E54">
        <v>2050700000</v>
      </c>
      <c r="F54">
        <v>1.2095248414376369E-2</v>
      </c>
    </row>
    <row r="55" spans="1:6" x14ac:dyDescent="0.25">
      <c r="A55" s="72" t="s">
        <v>86</v>
      </c>
      <c r="B55">
        <v>11506700000</v>
      </c>
      <c r="C55">
        <v>928700000</v>
      </c>
      <c r="D55">
        <v>1543800000</v>
      </c>
      <c r="E55">
        <v>1952500000</v>
      </c>
      <c r="F55">
        <v>6.0222052067381293E-2</v>
      </c>
    </row>
    <row r="56" spans="1:6" x14ac:dyDescent="0.25">
      <c r="A56" s="72" t="s">
        <v>87</v>
      </c>
      <c r="B56">
        <v>11186500000</v>
      </c>
      <c r="C56">
        <v>921300000</v>
      </c>
      <c r="D56">
        <v>1543600000</v>
      </c>
      <c r="E56">
        <v>1927500000</v>
      </c>
      <c r="F56">
        <v>9.9025525703239081E-2</v>
      </c>
    </row>
    <row r="57" spans="1:6" x14ac:dyDescent="0.25">
      <c r="A57" s="72" t="s">
        <v>88</v>
      </c>
      <c r="B57">
        <v>10935500000</v>
      </c>
      <c r="C57">
        <v>1139900000</v>
      </c>
      <c r="D57">
        <v>1533400000</v>
      </c>
      <c r="E57">
        <v>2050600000</v>
      </c>
      <c r="F57">
        <v>-5.7585101920887387E-2</v>
      </c>
    </row>
    <row r="58" spans="1:6" x14ac:dyDescent="0.25">
      <c r="A58" s="72" t="s">
        <v>89</v>
      </c>
      <c r="B58">
        <v>10707400000</v>
      </c>
      <c r="C58">
        <v>1264200000</v>
      </c>
      <c r="D58">
        <v>1521800000</v>
      </c>
      <c r="E58">
        <v>1449700000</v>
      </c>
      <c r="F58">
        <v>-1.333715795557755E-2</v>
      </c>
    </row>
    <row r="59" spans="1:6" x14ac:dyDescent="0.25">
      <c r="A59" s="72" t="s">
        <v>90</v>
      </c>
      <c r="B59">
        <v>10291600000</v>
      </c>
      <c r="C59">
        <v>1360700000</v>
      </c>
      <c r="D59">
        <v>1533400000</v>
      </c>
      <c r="E59">
        <v>1395100000</v>
      </c>
      <c r="F59">
        <v>8.6567660884396158E-2</v>
      </c>
    </row>
    <row r="60" spans="1:6" x14ac:dyDescent="0.25">
      <c r="A60" s="72" t="s">
        <v>91</v>
      </c>
      <c r="B60">
        <v>10083500000</v>
      </c>
      <c r="C60">
        <v>1238200000</v>
      </c>
      <c r="D60">
        <v>1533800000</v>
      </c>
      <c r="E60">
        <v>1293900000</v>
      </c>
      <c r="F60">
        <v>-6.8872412891612722E-2</v>
      </c>
    </row>
    <row r="61" spans="1:6" x14ac:dyDescent="0.25">
      <c r="A61" s="72" t="s">
        <v>92</v>
      </c>
      <c r="B61">
        <v>9882100000</v>
      </c>
      <c r="C61">
        <v>1091500000</v>
      </c>
      <c r="D61">
        <v>1525800000</v>
      </c>
      <c r="E61">
        <v>1356700000</v>
      </c>
      <c r="F61">
        <v>-0.14261871788008559</v>
      </c>
    </row>
    <row r="62" spans="1:6" x14ac:dyDescent="0.25">
      <c r="A62" s="72" t="s">
        <v>93</v>
      </c>
      <c r="B62">
        <v>9774600000</v>
      </c>
      <c r="C62">
        <v>943400000</v>
      </c>
      <c r="D62">
        <v>1515800000</v>
      </c>
      <c r="E62">
        <v>666100000</v>
      </c>
      <c r="F62">
        <v>-0.19754313429275661</v>
      </c>
    </row>
    <row r="63" spans="1:6" x14ac:dyDescent="0.25">
      <c r="A63" s="72" t="s">
        <v>94</v>
      </c>
      <c r="B63">
        <v>9867800000</v>
      </c>
      <c r="C63">
        <v>601900000</v>
      </c>
      <c r="D63">
        <v>1493400000</v>
      </c>
      <c r="E63">
        <v>336700000</v>
      </c>
      <c r="F63">
        <v>-0.29956293706293702</v>
      </c>
    </row>
    <row r="64" spans="1:6" x14ac:dyDescent="0.25">
      <c r="A64" s="72" t="s">
        <v>95</v>
      </c>
      <c r="B64">
        <v>10037900000</v>
      </c>
      <c r="C64">
        <v>492700000</v>
      </c>
      <c r="D64">
        <v>1479800000</v>
      </c>
      <c r="E64">
        <v>294500000</v>
      </c>
      <c r="F64">
        <v>-0.19175079176563739</v>
      </c>
    </row>
    <row r="65" spans="1:6" x14ac:dyDescent="0.25">
      <c r="A65" s="72" t="s">
        <v>96</v>
      </c>
      <c r="B65">
        <v>10230600000</v>
      </c>
      <c r="C65">
        <v>251100000</v>
      </c>
      <c r="D65">
        <v>1478200000</v>
      </c>
      <c r="E65">
        <v>395500000</v>
      </c>
      <c r="F65">
        <v>-5.5065760948113877E-2</v>
      </c>
    </row>
    <row r="66" spans="1:6" x14ac:dyDescent="0.25">
      <c r="A66" s="72" t="s">
        <v>97</v>
      </c>
      <c r="B66">
        <v>10383000000</v>
      </c>
      <c r="C66">
        <v>274200000</v>
      </c>
      <c r="D66">
        <v>1483800000</v>
      </c>
      <c r="E66">
        <v>322300000</v>
      </c>
      <c r="F66">
        <v>0.44270945354956193</v>
      </c>
    </row>
    <row r="67" spans="1:6" x14ac:dyDescent="0.25">
      <c r="A67" s="72" t="s">
        <v>98</v>
      </c>
      <c r="B67">
        <v>10308535000</v>
      </c>
      <c r="C67">
        <v>327966000</v>
      </c>
      <c r="D67">
        <v>1463400000</v>
      </c>
      <c r="E67">
        <v>349700000</v>
      </c>
      <c r="F67">
        <v>0.2274053775678235</v>
      </c>
    </row>
    <row r="68" spans="1:6" x14ac:dyDescent="0.25">
      <c r="A68" s="72" t="s">
        <v>99</v>
      </c>
      <c r="B68">
        <v>10093780000</v>
      </c>
      <c r="C68">
        <v>280256000</v>
      </c>
      <c r="D68">
        <v>1478600000</v>
      </c>
      <c r="E68">
        <v>371500000</v>
      </c>
      <c r="F68">
        <v>-4.5489866527398393E-3</v>
      </c>
    </row>
    <row r="69" spans="1:6" x14ac:dyDescent="0.25">
      <c r="A69" s="72" t="s">
        <v>100</v>
      </c>
      <c r="B69">
        <v>9823374000</v>
      </c>
      <c r="C69">
        <v>387011000</v>
      </c>
      <c r="D69">
        <v>1489800000</v>
      </c>
      <c r="E69">
        <v>535400000</v>
      </c>
      <c r="F69">
        <v>0.17484101483918099</v>
      </c>
    </row>
    <row r="70" spans="1:6" x14ac:dyDescent="0.25">
      <c r="A70" s="72" t="s">
        <v>101</v>
      </c>
      <c r="B70">
        <v>9411497000</v>
      </c>
      <c r="C70">
        <v>250873000</v>
      </c>
      <c r="D70">
        <v>1527100000</v>
      </c>
      <c r="E70">
        <v>438694000</v>
      </c>
      <c r="F70">
        <v>0.10764193066131569</v>
      </c>
    </row>
    <row r="71" spans="1:6" x14ac:dyDescent="0.25">
      <c r="A71" s="72" t="s">
        <v>102</v>
      </c>
      <c r="B71">
        <v>8973917000</v>
      </c>
      <c r="C71">
        <v>214684000</v>
      </c>
      <c r="D71">
        <v>1527118000</v>
      </c>
      <c r="E71">
        <v>330023000</v>
      </c>
      <c r="F71">
        <v>0.2014220290241806</v>
      </c>
    </row>
    <row r="72" spans="1:6" x14ac:dyDescent="0.25">
      <c r="A72" s="72" t="s">
        <v>103</v>
      </c>
      <c r="B72">
        <v>8578345000</v>
      </c>
      <c r="C72">
        <v>139359000</v>
      </c>
      <c r="D72">
        <v>1548110000</v>
      </c>
      <c r="E72">
        <v>343831000</v>
      </c>
      <c r="F72">
        <v>0.1960831934297087</v>
      </c>
    </row>
    <row r="73" spans="1:6" x14ac:dyDescent="0.25">
      <c r="A73" s="72" t="s">
        <v>104</v>
      </c>
      <c r="B73">
        <v>8208573000</v>
      </c>
      <c r="C73">
        <v>306726000</v>
      </c>
      <c r="D73">
        <v>1565600000</v>
      </c>
      <c r="E73">
        <v>436470000</v>
      </c>
      <c r="F73">
        <v>0.2179875621221741</v>
      </c>
    </row>
    <row r="74" spans="1:6" x14ac:dyDescent="0.25">
      <c r="A74" s="72" t="s">
        <v>105</v>
      </c>
      <c r="B74">
        <v>7786942000</v>
      </c>
      <c r="C74">
        <v>360403000</v>
      </c>
      <c r="D74">
        <v>1568800000</v>
      </c>
      <c r="E74">
        <v>453644000</v>
      </c>
      <c r="F74">
        <v>7.3261810671264804E-2</v>
      </c>
    </row>
    <row r="75" spans="1:6" x14ac:dyDescent="0.25">
      <c r="A75" s="72" t="s">
        <v>106</v>
      </c>
      <c r="B75">
        <v>7442828000</v>
      </c>
      <c r="C75">
        <v>386731000</v>
      </c>
      <c r="D75">
        <v>1596518000</v>
      </c>
      <c r="E75">
        <v>441979000</v>
      </c>
      <c r="F75">
        <v>0.2259340903571547</v>
      </c>
    </row>
    <row r="76" spans="1:6" x14ac:dyDescent="0.25">
      <c r="A76" s="72" t="s">
        <v>107</v>
      </c>
      <c r="B76">
        <v>7080954000</v>
      </c>
      <c r="C76">
        <v>476477000</v>
      </c>
      <c r="D76">
        <v>1589226000</v>
      </c>
      <c r="E76">
        <v>445448000</v>
      </c>
      <c r="F76">
        <v>8.6493458948216695E-2</v>
      </c>
    </row>
    <row r="77" spans="1:6" x14ac:dyDescent="0.25">
      <c r="A77" s="72" t="s">
        <v>108</v>
      </c>
      <c r="B77">
        <v>6713848000</v>
      </c>
      <c r="C77">
        <v>495374000</v>
      </c>
      <c r="D77">
        <v>1585898000</v>
      </c>
      <c r="E77">
        <v>538530000</v>
      </c>
      <c r="F77">
        <v>0.10614913899835419</v>
      </c>
    </row>
    <row r="78" spans="1:6" x14ac:dyDescent="0.25">
      <c r="A78" s="72" t="s">
        <v>109</v>
      </c>
      <c r="B78">
        <v>6369300000</v>
      </c>
      <c r="C78">
        <v>279619000</v>
      </c>
      <c r="D78">
        <v>1537600000</v>
      </c>
      <c r="E78">
        <v>307036000</v>
      </c>
      <c r="F78">
        <v>-1.0300716233502261E-3</v>
      </c>
    </row>
    <row r="79" spans="1:6" x14ac:dyDescent="0.25">
      <c r="A79" s="72" t="s">
        <v>110</v>
      </c>
      <c r="B79">
        <v>6163356000</v>
      </c>
      <c r="C79">
        <v>334434000</v>
      </c>
      <c r="D79">
        <v>3232148000</v>
      </c>
      <c r="E79">
        <v>348541000</v>
      </c>
      <c r="F79">
        <v>6.28532385524736E-2</v>
      </c>
    </row>
    <row r="80" spans="1:6" x14ac:dyDescent="0.25">
      <c r="A80" s="72" t="s">
        <v>111</v>
      </c>
      <c r="B80">
        <v>5880248000</v>
      </c>
      <c r="C80">
        <v>326926000</v>
      </c>
      <c r="D80">
        <v>3312248000</v>
      </c>
      <c r="E80">
        <v>700604000</v>
      </c>
      <c r="F80">
        <v>0.2237041000170821</v>
      </c>
    </row>
    <row r="81" spans="1:6" x14ac:dyDescent="0.25">
      <c r="A81" s="72" t="s">
        <v>112</v>
      </c>
      <c r="B81">
        <v>5602600000</v>
      </c>
      <c r="C81">
        <v>333835000</v>
      </c>
      <c r="D81">
        <v>3322620000</v>
      </c>
      <c r="E81">
        <v>978420000</v>
      </c>
      <c r="F81">
        <v>0.24064249592761741</v>
      </c>
    </row>
    <row r="82" spans="1:6" x14ac:dyDescent="0.25">
      <c r="A82" s="72" t="s">
        <v>113</v>
      </c>
      <c r="B82">
        <v>5294247000</v>
      </c>
      <c r="C82">
        <v>407672000</v>
      </c>
      <c r="D82">
        <v>1645900000</v>
      </c>
      <c r="E82">
        <v>653009000</v>
      </c>
      <c r="F82">
        <v>0.34438591914628303</v>
      </c>
    </row>
    <row r="83" spans="1:6" x14ac:dyDescent="0.25">
      <c r="A83" s="72" t="s">
        <v>114</v>
      </c>
      <c r="B83">
        <v>4921964000</v>
      </c>
      <c r="C83">
        <v>360317000</v>
      </c>
      <c r="D83">
        <v>1649156000</v>
      </c>
      <c r="E83">
        <v>719113000</v>
      </c>
      <c r="F83">
        <v>5.9936443359028369E-2</v>
      </c>
    </row>
    <row r="84" spans="1:6" x14ac:dyDescent="0.25">
      <c r="A84" s="72" t="s">
        <v>115</v>
      </c>
      <c r="B84">
        <v>4640049000</v>
      </c>
      <c r="C84">
        <v>388178000</v>
      </c>
      <c r="D84">
        <v>3292472000</v>
      </c>
      <c r="E84">
        <v>657634000</v>
      </c>
      <c r="F84">
        <v>4.053003125111343E-2</v>
      </c>
    </row>
    <row r="85" spans="1:6" x14ac:dyDescent="0.25">
      <c r="A85" s="72" t="s">
        <v>116</v>
      </c>
      <c r="B85">
        <v>4353187000</v>
      </c>
      <c r="C85">
        <v>388789000</v>
      </c>
      <c r="D85">
        <v>1630580000</v>
      </c>
      <c r="E85">
        <v>665029000</v>
      </c>
      <c r="F85">
        <v>9.4312880782361441E-2</v>
      </c>
    </row>
    <row r="86" spans="1:6" x14ac:dyDescent="0.25">
      <c r="A86" s="72" t="s">
        <v>117</v>
      </c>
      <c r="B86">
        <v>4075522000</v>
      </c>
      <c r="C86">
        <v>209165000</v>
      </c>
      <c r="D86">
        <v>1618000000</v>
      </c>
      <c r="E86">
        <v>350011000</v>
      </c>
      <c r="F86">
        <v>0.2494249871127765</v>
      </c>
    </row>
    <row r="87" spans="1:6" x14ac:dyDescent="0.25">
      <c r="A87" s="72" t="s">
        <v>118</v>
      </c>
      <c r="B87">
        <v>3859706000</v>
      </c>
      <c r="C87">
        <v>230015000</v>
      </c>
      <c r="D87">
        <v>1610656000</v>
      </c>
      <c r="E87">
        <v>565306000</v>
      </c>
      <c r="F87">
        <v>0.241441739167918</v>
      </c>
    </row>
    <row r="88" spans="1:6" x14ac:dyDescent="0.25">
      <c r="A88" s="72" t="s">
        <v>119</v>
      </c>
      <c r="B88">
        <v>3658088000</v>
      </c>
      <c r="C88">
        <v>210298000</v>
      </c>
      <c r="D88">
        <v>3196976000</v>
      </c>
      <c r="E88">
        <v>506387000</v>
      </c>
      <c r="F88">
        <v>0.21830859136101499</v>
      </c>
    </row>
    <row r="89" spans="1:6" x14ac:dyDescent="0.25">
      <c r="A89" s="72" t="s">
        <v>120</v>
      </c>
      <c r="B89">
        <v>3487099000</v>
      </c>
      <c r="C89">
        <v>184532000</v>
      </c>
      <c r="D89">
        <v>3193744000</v>
      </c>
      <c r="E89">
        <v>456911000</v>
      </c>
      <c r="F89">
        <v>0.246065302017173</v>
      </c>
    </row>
    <row r="90" spans="1:6" x14ac:dyDescent="0.25">
      <c r="A90" s="72" t="s">
        <v>121</v>
      </c>
      <c r="B90">
        <v>3288908000</v>
      </c>
      <c r="C90">
        <v>102211000</v>
      </c>
      <c r="D90">
        <v>1596900000</v>
      </c>
      <c r="E90">
        <v>402234000</v>
      </c>
      <c r="F90">
        <v>0.25475682197883792</v>
      </c>
    </row>
    <row r="91" spans="1:6" x14ac:dyDescent="0.25">
      <c r="A91" s="72" t="s">
        <v>122</v>
      </c>
      <c r="B91">
        <v>3113246000</v>
      </c>
      <c r="C91">
        <v>93654000</v>
      </c>
      <c r="D91">
        <v>1604764000</v>
      </c>
      <c r="E91">
        <v>426416000</v>
      </c>
      <c r="F91">
        <v>-5.4874322727828218E-2</v>
      </c>
    </row>
    <row r="92" spans="1:6" x14ac:dyDescent="0.25">
      <c r="A92" s="72" t="s">
        <v>123</v>
      </c>
      <c r="B92">
        <v>2940857000</v>
      </c>
      <c r="C92">
        <v>19480000</v>
      </c>
      <c r="D92">
        <v>1591444000</v>
      </c>
      <c r="E92">
        <v>323290000</v>
      </c>
      <c r="F92">
        <v>-0.1702792155579004</v>
      </c>
    </row>
    <row r="93" spans="1:6" x14ac:dyDescent="0.25">
      <c r="A93" s="72" t="s">
        <v>124</v>
      </c>
      <c r="B93">
        <v>2786928000</v>
      </c>
      <c r="C93">
        <v>50492000</v>
      </c>
      <c r="D93">
        <v>3135992000</v>
      </c>
      <c r="E93">
        <v>308664000</v>
      </c>
      <c r="F93">
        <v>0.20664621876062911</v>
      </c>
    </row>
    <row r="94" spans="1:6" x14ac:dyDescent="0.25">
      <c r="A94" s="72" t="s">
        <v>125</v>
      </c>
      <c r="B94">
        <v>2648980000</v>
      </c>
      <c r="C94">
        <v>76611000</v>
      </c>
      <c r="D94">
        <v>1577900000</v>
      </c>
      <c r="E94">
        <v>220549000</v>
      </c>
      <c r="F94">
        <v>-0.11145685851351909</v>
      </c>
    </row>
    <row r="95" spans="1:6" x14ac:dyDescent="0.25">
      <c r="A95" s="72" t="s">
        <v>126</v>
      </c>
      <c r="B95">
        <v>2541436000</v>
      </c>
      <c r="C95">
        <v>77502000</v>
      </c>
      <c r="D95">
        <v>1577928000</v>
      </c>
      <c r="E95">
        <v>273967000</v>
      </c>
      <c r="F95">
        <v>0.193060520640955</v>
      </c>
    </row>
    <row r="96" spans="1:6" x14ac:dyDescent="0.25">
      <c r="A96" s="72" t="s">
        <v>127</v>
      </c>
      <c r="B96">
        <v>2434213000</v>
      </c>
      <c r="C96">
        <v>87249000</v>
      </c>
      <c r="D96">
        <v>6082630944</v>
      </c>
      <c r="E96">
        <v>266169000</v>
      </c>
      <c r="F96">
        <v>0.24688427534882251</v>
      </c>
    </row>
    <row r="97" spans="1:6" x14ac:dyDescent="0.25">
      <c r="A97" s="72" t="s">
        <v>128</v>
      </c>
      <c r="B97">
        <v>2309623000</v>
      </c>
      <c r="C97">
        <v>46419000</v>
      </c>
      <c r="D97">
        <v>1574640000</v>
      </c>
      <c r="E97">
        <v>227729000</v>
      </c>
      <c r="F97">
        <v>0.26638899430740048</v>
      </c>
    </row>
    <row r="98" spans="1:6" x14ac:dyDescent="0.25">
      <c r="A98" s="72" t="s">
        <v>129</v>
      </c>
      <c r="B98">
        <v>2169236000</v>
      </c>
      <c r="C98">
        <v>2124000</v>
      </c>
      <c r="D98">
        <v>1570900000</v>
      </c>
      <c r="E98">
        <v>132153000</v>
      </c>
      <c r="F98">
        <v>0.2302021903959561</v>
      </c>
    </row>
    <row r="99" spans="1:6" x14ac:dyDescent="0.25">
      <c r="A99" s="72" t="s">
        <v>130</v>
      </c>
      <c r="B99">
        <v>2062044000</v>
      </c>
      <c r="C99">
        <v>-36025000</v>
      </c>
      <c r="D99">
        <v>6204192000</v>
      </c>
      <c r="E99">
        <v>123563000</v>
      </c>
      <c r="F99">
        <v>0.31547899952807928</v>
      </c>
    </row>
    <row r="100" spans="1:6" x14ac:dyDescent="0.25">
      <c r="A100" s="72" t="s">
        <v>131</v>
      </c>
      <c r="B100">
        <v>1930298000</v>
      </c>
      <c r="C100">
        <v>-52445000</v>
      </c>
      <c r="D100">
        <v>6157344000</v>
      </c>
      <c r="E100">
        <v>128184000</v>
      </c>
      <c r="F100">
        <v>0.34832357637040978</v>
      </c>
    </row>
    <row r="101" spans="1:6" x14ac:dyDescent="0.25">
      <c r="A101" s="72" t="s">
        <v>132</v>
      </c>
      <c r="B101">
        <v>1801400000</v>
      </c>
      <c r="C101">
        <v>-72800000</v>
      </c>
      <c r="D101">
        <v>1469840000</v>
      </c>
      <c r="E101">
        <v>150200000</v>
      </c>
    </row>
    <row r="102" spans="1:6" x14ac:dyDescent="0.25">
      <c r="A102" s="72" t="s">
        <v>133</v>
      </c>
      <c r="B102">
        <v>1680000000</v>
      </c>
      <c r="C102">
        <v>-66800000</v>
      </c>
      <c r="D102">
        <v>1511800000</v>
      </c>
      <c r="E102">
        <v>117800000</v>
      </c>
      <c r="F102">
        <v>0.32764886776628449</v>
      </c>
    </row>
    <row r="103" spans="1:6" x14ac:dyDescent="0.25">
      <c r="A103" s="72" t="s">
        <v>134</v>
      </c>
      <c r="B103">
        <v>1562900000</v>
      </c>
      <c r="C103">
        <v>-39200000</v>
      </c>
      <c r="D103">
        <v>1456456000</v>
      </c>
      <c r="E103">
        <v>90900000</v>
      </c>
      <c r="F103">
        <v>0.26734449760765561</v>
      </c>
    </row>
    <row r="104" spans="1:6" x14ac:dyDescent="0.25">
      <c r="A104" s="72" t="s">
        <v>135</v>
      </c>
      <c r="B104">
        <v>1473500000</v>
      </c>
      <c r="C104">
        <v>-42700000</v>
      </c>
      <c r="D104">
        <v>1460416000</v>
      </c>
      <c r="E104">
        <v>127500000</v>
      </c>
      <c r="F104">
        <v>0.29765193370165738</v>
      </c>
    </row>
    <row r="105" spans="1:6" x14ac:dyDescent="0.25">
      <c r="A105" s="72" t="s">
        <v>136</v>
      </c>
      <c r="B105">
        <v>1387300000</v>
      </c>
      <c r="C105">
        <v>-31400000</v>
      </c>
      <c r="D105">
        <v>1446528000</v>
      </c>
      <c r="E105">
        <v>128400000</v>
      </c>
      <c r="F105">
        <v>0.27949526813880121</v>
      </c>
    </row>
    <row r="106" spans="1:6" x14ac:dyDescent="0.25">
      <c r="A106" s="72" t="s">
        <v>137</v>
      </c>
      <c r="B106">
        <v>1298700000</v>
      </c>
      <c r="C106">
        <v>-59000000</v>
      </c>
      <c r="D106">
        <v>1526400000</v>
      </c>
      <c r="E106">
        <v>101700000</v>
      </c>
      <c r="F106">
        <v>0.32138899150350952</v>
      </c>
    </row>
    <row r="107" spans="1:6" x14ac:dyDescent="0.25">
      <c r="A107" s="72" t="s">
        <v>138</v>
      </c>
      <c r="B107">
        <v>1211700000</v>
      </c>
      <c r="C107">
        <v>-76300000</v>
      </c>
      <c r="D107">
        <v>1430976000</v>
      </c>
      <c r="E107">
        <v>91400000</v>
      </c>
      <c r="F107">
        <v>0.38067712634186618</v>
      </c>
    </row>
    <row r="108" spans="1:6" x14ac:dyDescent="0.25">
      <c r="A108" s="72" t="s">
        <v>139</v>
      </c>
      <c r="B108">
        <v>1119500000</v>
      </c>
      <c r="C108">
        <v>-66000000</v>
      </c>
      <c r="D108">
        <v>1382272000</v>
      </c>
      <c r="E108">
        <v>107900000</v>
      </c>
      <c r="F108">
        <v>0.37366216845044198</v>
      </c>
    </row>
    <row r="109" spans="1:6" x14ac:dyDescent="0.25">
      <c r="A109" s="72" t="s">
        <v>140</v>
      </c>
      <c r="B109">
        <v>1044800000</v>
      </c>
      <c r="C109">
        <v>-60700000</v>
      </c>
      <c r="D109">
        <v>1382272000</v>
      </c>
      <c r="E109">
        <v>104400000</v>
      </c>
      <c r="F109">
        <v>0.34378920953575909</v>
      </c>
    </row>
    <row r="110" spans="1:6" x14ac:dyDescent="0.25">
      <c r="A110" s="72" t="s">
        <v>141</v>
      </c>
      <c r="B110">
        <v>966900000</v>
      </c>
      <c r="C110">
        <v>-68700000</v>
      </c>
      <c r="D110">
        <v>1456300000</v>
      </c>
      <c r="E110">
        <v>70100000</v>
      </c>
      <c r="F110">
        <v>0.39867617107942982</v>
      </c>
    </row>
    <row r="111" spans="1:6" x14ac:dyDescent="0.25">
      <c r="A111" s="72" t="s">
        <v>142</v>
      </c>
      <c r="B111">
        <v>892600000</v>
      </c>
      <c r="C111">
        <v>-40500000</v>
      </c>
      <c r="D111">
        <v>1258480000</v>
      </c>
      <c r="E111">
        <v>90800000</v>
      </c>
      <c r="F111">
        <v>0.37966101694915261</v>
      </c>
    </row>
    <row r="112" spans="1:6" x14ac:dyDescent="0.25">
      <c r="A112" s="72" t="s">
        <v>143</v>
      </c>
      <c r="B112">
        <v>827400000</v>
      </c>
      <c r="C112">
        <v>-19800000</v>
      </c>
      <c r="D112">
        <v>1252272000</v>
      </c>
      <c r="E112">
        <v>90800000</v>
      </c>
      <c r="F112">
        <v>0.41471354166666669</v>
      </c>
    </row>
    <row r="113" spans="1:6" x14ac:dyDescent="0.25">
      <c r="A113" s="72" t="s">
        <v>144</v>
      </c>
      <c r="B113">
        <v>766100000</v>
      </c>
      <c r="C113">
        <v>-11100000</v>
      </c>
      <c r="D113">
        <v>1247744000</v>
      </c>
      <c r="E113">
        <v>127800000</v>
      </c>
      <c r="F113">
        <v>0.41061946902654878</v>
      </c>
    </row>
    <row r="114" spans="1:6" x14ac:dyDescent="0.25">
      <c r="A114" s="72" t="s">
        <v>145</v>
      </c>
      <c r="B114">
        <v>696500000</v>
      </c>
      <c r="C114">
        <v>-25100000</v>
      </c>
      <c r="D114">
        <v>1508800000</v>
      </c>
      <c r="E114">
        <v>126200000</v>
      </c>
    </row>
    <row r="115" spans="1:6" x14ac:dyDescent="0.25">
      <c r="A115" s="72" t="s">
        <v>146</v>
      </c>
      <c r="B115">
        <v>629500000</v>
      </c>
      <c r="C115">
        <v>-72200000</v>
      </c>
      <c r="D115">
        <v>1235024000</v>
      </c>
      <c r="E115">
        <v>139900000</v>
      </c>
    </row>
    <row r="116" spans="1:6" x14ac:dyDescent="0.25">
      <c r="A116" s="72" t="s">
        <v>147</v>
      </c>
      <c r="B116">
        <v>571700000</v>
      </c>
      <c r="C116">
        <v>-105400000</v>
      </c>
      <c r="D116">
        <v>1142304000</v>
      </c>
      <c r="E116">
        <v>131100000</v>
      </c>
    </row>
    <row r="117" spans="1:6" x14ac:dyDescent="0.25">
      <c r="A117" s="72" t="s">
        <v>148</v>
      </c>
      <c r="B117">
        <v>519200000</v>
      </c>
      <c r="C117">
        <v>-109100000</v>
      </c>
      <c r="D117">
        <v>1139264000</v>
      </c>
      <c r="E117">
        <v>165000000</v>
      </c>
    </row>
    <row r="118" spans="1:6" x14ac:dyDescent="0.25">
      <c r="A118" s="72" t="s">
        <v>149</v>
      </c>
      <c r="B118">
        <v>465200000</v>
      </c>
      <c r="C118">
        <v>-118000000</v>
      </c>
      <c r="D118">
        <v>1130688000</v>
      </c>
      <c r="E118">
        <v>20900000</v>
      </c>
    </row>
    <row r="119" spans="1:6" x14ac:dyDescent="0.25">
      <c r="A119" s="72" t="s">
        <v>150</v>
      </c>
      <c r="B119">
        <v>416100000</v>
      </c>
      <c r="C119">
        <v>-96400000</v>
      </c>
      <c r="D119">
        <v>1130688000</v>
      </c>
      <c r="E119">
        <v>24100000</v>
      </c>
    </row>
    <row r="120" spans="1:6" x14ac:dyDescent="0.25">
      <c r="A120" s="72" t="s">
        <v>151</v>
      </c>
      <c r="B120">
        <v>369900000</v>
      </c>
      <c r="C120">
        <v>-86300000</v>
      </c>
      <c r="D120">
        <v>1127200000</v>
      </c>
      <c r="E120">
        <v>34700000</v>
      </c>
    </row>
    <row r="121" spans="1:6" x14ac:dyDescent="0.25">
      <c r="A121" s="72" t="s">
        <v>152</v>
      </c>
      <c r="B121">
        <v>326200000</v>
      </c>
      <c r="C121">
        <v>-94100000</v>
      </c>
      <c r="D121">
        <v>1123616000</v>
      </c>
      <c r="E121">
        <v>123900000</v>
      </c>
    </row>
    <row r="122" spans="1:6" x14ac:dyDescent="0.25">
      <c r="A122" s="72" t="s">
        <v>153</v>
      </c>
      <c r="B122">
        <v>276700000</v>
      </c>
      <c r="C122">
        <v>-86800000</v>
      </c>
      <c r="D122">
        <v>917664000</v>
      </c>
      <c r="E122">
        <v>8400000</v>
      </c>
    </row>
    <row r="123" spans="1:6" x14ac:dyDescent="0.25">
      <c r="A123" s="72" t="s">
        <v>154</v>
      </c>
      <c r="B123">
        <v>246700000</v>
      </c>
      <c r="C123">
        <v>-72200000</v>
      </c>
      <c r="D123">
        <v>917664000</v>
      </c>
      <c r="E123">
        <v>14700000</v>
      </c>
    </row>
    <row r="124" spans="1:6" x14ac:dyDescent="0.25">
      <c r="A124" s="72" t="s">
        <v>155</v>
      </c>
      <c r="B124">
        <v>214300000</v>
      </c>
      <c r="C124">
        <v>-54500000</v>
      </c>
      <c r="D124">
        <v>931648000</v>
      </c>
      <c r="E124">
        <v>10000000</v>
      </c>
    </row>
    <row r="125" spans="1:6" x14ac:dyDescent="0.25">
      <c r="A125" s="72" t="s">
        <v>156</v>
      </c>
      <c r="B125">
        <v>190900000</v>
      </c>
      <c r="C125">
        <v>-43400000</v>
      </c>
      <c r="D125">
        <v>885600000</v>
      </c>
      <c r="E125">
        <v>26900000</v>
      </c>
    </row>
    <row r="126" spans="1:6" x14ac:dyDescent="0.25">
      <c r="A126" s="72" t="s">
        <v>157</v>
      </c>
      <c r="B126">
        <v>163500000</v>
      </c>
      <c r="C126">
        <v>-30500000</v>
      </c>
      <c r="D126">
        <v>871488000</v>
      </c>
      <c r="E126">
        <v>16400000</v>
      </c>
    </row>
    <row r="127" spans="1:6" x14ac:dyDescent="0.25">
      <c r="A127" s="72" t="s">
        <v>158</v>
      </c>
      <c r="B127">
        <v>140100000</v>
      </c>
      <c r="C127">
        <v>-14500000</v>
      </c>
      <c r="D127">
        <v>871488000</v>
      </c>
      <c r="E127">
        <v>7000000</v>
      </c>
    </row>
    <row r="128" spans="1:6" x14ac:dyDescent="0.25">
      <c r="A128" s="72" t="s">
        <v>159</v>
      </c>
      <c r="B128">
        <v>123000000</v>
      </c>
      <c r="C128">
        <v>-11500000</v>
      </c>
      <c r="D128">
        <v>867136000</v>
      </c>
      <c r="E128">
        <v>5200000</v>
      </c>
    </row>
    <row r="129" spans="1:5" x14ac:dyDescent="0.25">
      <c r="A129" s="72" t="s">
        <v>160</v>
      </c>
      <c r="B129">
        <v>110400000</v>
      </c>
      <c r="C129">
        <v>3000000</v>
      </c>
      <c r="D129">
        <v>843136000</v>
      </c>
      <c r="E129">
        <v>17000000</v>
      </c>
    </row>
    <row r="130" spans="1:5" x14ac:dyDescent="0.25">
      <c r="A130" s="72" t="s">
        <v>161</v>
      </c>
      <c r="B130">
        <v>93200000</v>
      </c>
      <c r="C130">
        <v>-4200000</v>
      </c>
      <c r="D130">
        <v>836608000</v>
      </c>
      <c r="E130">
        <v>20800000</v>
      </c>
    </row>
    <row r="131" spans="1:5" x14ac:dyDescent="0.25">
      <c r="A131" s="72" t="s">
        <v>162</v>
      </c>
      <c r="B131">
        <v>80700000</v>
      </c>
      <c r="C131">
        <v>-3600000</v>
      </c>
      <c r="D131">
        <v>836608000</v>
      </c>
      <c r="E131">
        <v>9400000</v>
      </c>
    </row>
    <row r="132" spans="1:5" x14ac:dyDescent="0.25">
      <c r="A132" s="72" t="s">
        <v>163</v>
      </c>
      <c r="B132">
        <v>71600000</v>
      </c>
      <c r="C132">
        <v>0</v>
      </c>
      <c r="D132">
        <v>740672000</v>
      </c>
      <c r="E132">
        <v>12600000</v>
      </c>
    </row>
    <row r="133" spans="1:5" x14ac:dyDescent="0.25">
      <c r="A133" s="72" t="s">
        <v>164</v>
      </c>
      <c r="B133">
        <v>64600000</v>
      </c>
      <c r="C133">
        <v>0</v>
      </c>
      <c r="D133">
        <v>740672000</v>
      </c>
    </row>
    <row r="134" spans="1:5" x14ac:dyDescent="0.25">
      <c r="A134" s="72" t="s">
        <v>165</v>
      </c>
      <c r="B134">
        <v>57600000</v>
      </c>
      <c r="C134">
        <v>0</v>
      </c>
      <c r="D134">
        <v>809344000</v>
      </c>
      <c r="E134">
        <v>1100000</v>
      </c>
    </row>
    <row r="135" spans="1:5" x14ac:dyDescent="0.25">
      <c r="A135" s="72" t="s">
        <v>166</v>
      </c>
      <c r="D135">
        <v>809344000</v>
      </c>
    </row>
    <row r="136" spans="1:5" x14ac:dyDescent="0.25">
      <c r="A136" s="72" t="s">
        <v>167</v>
      </c>
      <c r="D136">
        <v>809344000</v>
      </c>
    </row>
    <row r="137" spans="1:5" x14ac:dyDescent="0.25">
      <c r="A137" s="72" t="s">
        <v>168</v>
      </c>
      <c r="D137">
        <v>809344000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169</v>
      </c>
      <c r="B1" s="27" t="s">
        <v>170</v>
      </c>
      <c r="C1" t="s">
        <v>171</v>
      </c>
      <c r="D1" t="s">
        <v>172</v>
      </c>
      <c r="F1" s="27" t="s">
        <v>170</v>
      </c>
      <c r="G1" t="s">
        <v>171</v>
      </c>
      <c r="H1" t="s">
        <v>172</v>
      </c>
      <c r="J1" t="s">
        <v>173</v>
      </c>
      <c r="K1" t="s">
        <v>171</v>
      </c>
      <c r="L1" t="s">
        <v>172</v>
      </c>
      <c r="N1" t="s">
        <v>174</v>
      </c>
      <c r="O1" t="s">
        <v>171</v>
      </c>
      <c r="P1" t="s">
        <v>172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175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176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177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178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179</v>
      </c>
    </row>
    <row r="7" spans="1:46" x14ac:dyDescent="0.25">
      <c r="A7" s="27" t="s">
        <v>180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181</v>
      </c>
    </row>
    <row r="8" spans="1:46" x14ac:dyDescent="0.25">
      <c r="A8" s="27" t="s">
        <v>182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183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184</v>
      </c>
    </row>
    <row r="10" spans="1:46" x14ac:dyDescent="0.25">
      <c r="A10" s="27" t="s">
        <v>185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186</v>
      </c>
    </row>
    <row r="11" spans="1:46" x14ac:dyDescent="0.25">
      <c r="A11" s="27" t="s">
        <v>187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188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189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190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191</v>
      </c>
    </row>
    <row r="15" spans="1:46" x14ac:dyDescent="0.25">
      <c r="A15" s="27" t="s">
        <v>192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193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194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195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196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197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198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199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200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201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202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203</v>
      </c>
      <c r="J26">
        <v>0.61799999999999999</v>
      </c>
      <c r="N26">
        <v>-0.36399999999999999</v>
      </c>
    </row>
    <row r="27" spans="1:17" x14ac:dyDescent="0.25">
      <c r="A27" s="27" t="s">
        <v>204</v>
      </c>
    </row>
    <row r="28" spans="1:17" x14ac:dyDescent="0.25">
      <c r="A28" s="27" t="s">
        <v>205</v>
      </c>
    </row>
    <row r="29" spans="1:17" x14ac:dyDescent="0.25">
      <c r="A29" s="27" t="s">
        <v>206</v>
      </c>
    </row>
    <row r="31" spans="1:17" x14ac:dyDescent="0.25">
      <c r="A31" s="26" t="s">
        <v>207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208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2" t="s">
        <v>209</v>
      </c>
      <c r="C1" s="72" t="s">
        <v>210</v>
      </c>
      <c r="D1" s="72" t="s">
        <v>11</v>
      </c>
      <c r="E1" s="72" t="s">
        <v>9</v>
      </c>
    </row>
    <row r="2" spans="1:5" x14ac:dyDescent="0.25">
      <c r="A2" s="72">
        <v>0</v>
      </c>
      <c r="B2">
        <v>3</v>
      </c>
      <c r="C2" t="s">
        <v>211</v>
      </c>
      <c r="D2">
        <v>0.81727064021670004</v>
      </c>
      <c r="E2">
        <v>9.7342337164163947E-2</v>
      </c>
    </row>
    <row r="3" spans="1:5" x14ac:dyDescent="0.25">
      <c r="A3" s="72">
        <v>1</v>
      </c>
      <c r="B3">
        <v>3</v>
      </c>
      <c r="C3" t="s">
        <v>212</v>
      </c>
      <c r="D3">
        <v>0.98224494283946329</v>
      </c>
      <c r="E3">
        <v>0.10877010718236201</v>
      </c>
    </row>
    <row r="4" spans="1:5" x14ac:dyDescent="0.25">
      <c r="A4" s="72">
        <v>2</v>
      </c>
      <c r="B4">
        <v>3</v>
      </c>
      <c r="C4" t="s">
        <v>213</v>
      </c>
      <c r="D4">
        <v>1.017959230811428</v>
      </c>
      <c r="E4">
        <v>0.11124403592652871</v>
      </c>
    </row>
    <row r="5" spans="1:5" x14ac:dyDescent="0.25">
      <c r="A5" s="72">
        <v>3</v>
      </c>
      <c r="B5">
        <v>5</v>
      </c>
      <c r="C5" t="s">
        <v>211</v>
      </c>
      <c r="D5">
        <v>0.96407150775648709</v>
      </c>
      <c r="E5">
        <v>0.1075112333258451</v>
      </c>
    </row>
    <row r="6" spans="1:5" x14ac:dyDescent="0.25">
      <c r="A6" s="72">
        <v>4</v>
      </c>
      <c r="B6">
        <v>5</v>
      </c>
      <c r="C6" t="s">
        <v>212</v>
      </c>
      <c r="D6">
        <v>1.0634112276764669</v>
      </c>
      <c r="E6">
        <v>0.1143924957701762</v>
      </c>
    </row>
    <row r="7" spans="1:5" x14ac:dyDescent="0.25">
      <c r="A7" s="72">
        <v>5</v>
      </c>
      <c r="B7">
        <v>5</v>
      </c>
      <c r="C7" t="s">
        <v>213</v>
      </c>
      <c r="D7">
        <v>1.068879463274965</v>
      </c>
      <c r="E7">
        <v>0.1147712804525874</v>
      </c>
    </row>
    <row r="8" spans="1:5" x14ac:dyDescent="0.25">
      <c r="A8" s="72">
        <v>6</v>
      </c>
      <c r="B8" t="s">
        <v>207</v>
      </c>
      <c r="D8">
        <v>0.98563950209591855</v>
      </c>
      <c r="E8">
        <v>0.10900524830361059</v>
      </c>
    </row>
    <row r="9" spans="1:5" x14ac:dyDescent="0.25">
      <c r="A9" s="72">
        <v>7</v>
      </c>
      <c r="B9" t="s">
        <v>208</v>
      </c>
      <c r="D9">
        <v>1.000102086825446</v>
      </c>
      <c r="E9">
        <v>0.1100070715544454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2024-10-18T21:29:45Z</dcterms:modified>
</cp:coreProperties>
</file>