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13" documentId="11_1CDF412D9E0C747809E3214D5DB83C9C22903A75" xr6:coauthVersionLast="47" xr6:coauthVersionMax="47" xr10:uidLastSave="{71FCA223-FDC7-48F9-81F6-DBBD0AA01FB8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O32" i="5" s="1"/>
  <c r="L3" i="5"/>
  <c r="K3" i="5"/>
  <c r="K32" i="5" s="1"/>
  <c r="H3" i="5"/>
  <c r="G3" i="5"/>
  <c r="D3" i="5"/>
  <c r="C3" i="5"/>
  <c r="R2" i="5"/>
  <c r="H2" i="5"/>
  <c r="G2" i="5"/>
  <c r="G3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I10" i="3"/>
  <c r="L5" i="3"/>
  <c r="M5" i="3" s="1"/>
  <c r="O5" i="3" s="1"/>
  <c r="P5" i="3" s="1"/>
  <c r="Q5" i="3" s="1"/>
  <c r="R5" i="3" s="1"/>
  <c r="S5" i="3" s="1"/>
  <c r="T5" i="3" s="1"/>
  <c r="U5" i="3" s="1"/>
  <c r="J4" i="3"/>
  <c r="D3" i="3"/>
  <c r="K1" i="3"/>
  <c r="K10" i="3" s="1"/>
  <c r="J1" i="3"/>
  <c r="J7" i="3" s="1"/>
  <c r="I1" i="3"/>
  <c r="I7" i="3" s="1"/>
  <c r="H1" i="3"/>
  <c r="H3" i="3" s="1"/>
  <c r="G1" i="3"/>
  <c r="G3" i="3" s="1"/>
  <c r="F1" i="3"/>
  <c r="F4" i="3" s="1"/>
  <c r="E1" i="3"/>
  <c r="E10" i="3" s="1"/>
  <c r="D1" i="3"/>
  <c r="D10" i="3" s="1"/>
  <c r="E11" i="3" l="1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S3" i="5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I13" i="3"/>
  <c r="I8" i="3"/>
  <c r="J8" i="3"/>
  <c r="C21" i="3"/>
  <c r="C20" i="3"/>
  <c r="I3" i="3"/>
  <c r="G4" i="3"/>
  <c r="G5" i="3" s="1"/>
  <c r="K7" i="3"/>
  <c r="F10" i="3"/>
  <c r="F11" i="3" s="1"/>
  <c r="C31" i="5"/>
  <c r="L1" i="3"/>
  <c r="J3" i="3"/>
  <c r="H4" i="3"/>
  <c r="D7" i="3"/>
  <c r="G10" i="3"/>
  <c r="G11" i="3" s="1"/>
  <c r="G31" i="5"/>
  <c r="K3" i="3"/>
  <c r="I4" i="3"/>
  <c r="E7" i="3"/>
  <c r="H10" i="3"/>
  <c r="K31" i="5"/>
  <c r="E3" i="3"/>
  <c r="K4" i="3"/>
  <c r="G7" i="3"/>
  <c r="J10" i="3"/>
  <c r="J11" i="3" s="1"/>
  <c r="F3" i="3"/>
  <c r="D4" i="3"/>
  <c r="H7" i="3"/>
  <c r="F7" i="3"/>
  <c r="O31" i="5"/>
  <c r="E4" i="3"/>
  <c r="E5" i="3" s="1"/>
  <c r="F8" i="3" l="1"/>
  <c r="F13" i="3"/>
  <c r="H11" i="3"/>
  <c r="F5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M1" i="3"/>
  <c r="L3" i="3"/>
  <c r="H5" i="3"/>
  <c r="I5" i="3"/>
  <c r="K11" i="3"/>
  <c r="L11" i="3" s="1"/>
  <c r="J5" i="3"/>
  <c r="J13" i="3"/>
  <c r="D8" i="3"/>
  <c r="D13" i="3"/>
  <c r="H13" i="3"/>
  <c r="H8" i="3"/>
  <c r="E8" i="3"/>
  <c r="E13" i="3"/>
  <c r="G8" i="3"/>
  <c r="G13" i="3"/>
  <c r="K8" i="3"/>
  <c r="K13" i="3"/>
  <c r="I11" i="3"/>
  <c r="M8" i="3" l="1"/>
  <c r="L7" i="3"/>
  <c r="N1" i="3"/>
  <c r="M3" i="3"/>
  <c r="M11" i="3"/>
  <c r="N11" i="3" s="1"/>
  <c r="O11" i="3" s="1"/>
  <c r="P11" i="3" s="1"/>
  <c r="Q11" i="3" s="1"/>
  <c r="R11" i="3" s="1"/>
  <c r="S11" i="3" s="1"/>
  <c r="T11" i="3" s="1"/>
  <c r="U11" i="3" s="1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N3" i="3" l="1"/>
  <c r="O1" i="3"/>
  <c r="L13" i="3"/>
  <c r="L14" i="3" s="1"/>
  <c r="N8" i="3"/>
  <c r="M7" i="3"/>
  <c r="M13" i="3" s="1"/>
  <c r="M14" i="3" s="1"/>
  <c r="O3" i="3" l="1"/>
  <c r="P1" i="3"/>
  <c r="O8" i="3"/>
  <c r="N7" i="3"/>
  <c r="N13" i="3" s="1"/>
  <c r="N14" i="3" s="1"/>
  <c r="O7" i="3" l="1"/>
  <c r="O13" i="3" s="1"/>
  <c r="O14" i="3" s="1"/>
  <c r="P8" i="3"/>
  <c r="P3" i="3"/>
  <c r="Q1" i="3"/>
  <c r="R1" i="3" l="1"/>
  <c r="Q3" i="3"/>
  <c r="P7" i="3"/>
  <c r="P13" i="3" s="1"/>
  <c r="P14" i="3" s="1"/>
  <c r="Q8" i="3"/>
  <c r="R3" i="3" l="1"/>
  <c r="S1" i="3"/>
  <c r="Q7" i="3"/>
  <c r="Q13" i="3" s="1"/>
  <c r="Q14" i="3" s="1"/>
  <c r="R8" i="3"/>
  <c r="R7" i="3" l="1"/>
  <c r="R13" i="3" s="1"/>
  <c r="R14" i="3" s="1"/>
  <c r="S8" i="3"/>
  <c r="S3" i="3"/>
  <c r="T1" i="3"/>
  <c r="T3" i="3" l="1"/>
  <c r="U1" i="3"/>
  <c r="U3" i="3" s="1"/>
  <c r="T8" i="3"/>
  <c r="S7" i="3"/>
  <c r="S13" i="3" s="1"/>
  <c r="S14" i="3" s="1"/>
  <c r="U8" i="3" l="1"/>
  <c r="U7" i="3" s="1"/>
  <c r="T7" i="3"/>
  <c r="T13" i="3" s="1"/>
  <c r="T14" i="3" s="1"/>
  <c r="V7" i="3" l="1"/>
  <c r="U13" i="3"/>
  <c r="U14" i="3" l="1"/>
  <c r="V13" i="3"/>
  <c r="V14" i="3" s="1"/>
  <c r="C18" i="3" l="1"/>
  <c r="C17" i="3"/>
  <c r="C19" i="3" l="1"/>
  <c r="C22" i="3" s="1"/>
  <c r="L17" i="3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<sst xmlns="http://schemas.openxmlformats.org/spreadsheetml/2006/main" count="254" uniqueCount="236">
  <si>
    <t>This sheet contains FactSet XML data for use with this workbook's =FDS codes.  Modifying the worksheet's contents may damage the workbook's =FDS functionality.</t>
  </si>
  <si>
    <t>WBA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</si>
  <si>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</si>
  <si>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</si>
  <si>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</si>
  <si>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</si>
  <si>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</si>
  <si>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</si>
  <si>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</si>
  <si>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</si>
  <si>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</si>
  <si>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</si>
  <si>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</si>
  <si>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</si>
  <si>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</si>
  <si>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</si>
  <si>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</si>
  <si>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</si>
  <si>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</si>
  <si>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</si>
  <si>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</si>
  <si>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</si>
  <si>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</si>
  <si>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</si>
  <si>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</si>
  <si>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</si>
  <si>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</si>
  <si>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</si>
  <si>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</si>
  <si>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</si>
  <si>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</si>
  <si>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</si>
  <si>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</si>
  <si>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2024-11-30</t>
  </si>
  <si>
    <t>2024-08-31</t>
  </si>
  <si>
    <t>2024-05-31</t>
  </si>
  <si>
    <t>2024-02-29</t>
  </si>
  <si>
    <t>2023-11-30</t>
  </si>
  <si>
    <t>2023-08-31</t>
  </si>
  <si>
    <t>2023-05-31</t>
  </si>
  <si>
    <t>2023-02-28</t>
  </si>
  <si>
    <t>2022-11-30</t>
  </si>
  <si>
    <t>2022-08-31</t>
  </si>
  <si>
    <t>2022-05-31</t>
  </si>
  <si>
    <t>2022-02-28</t>
  </si>
  <si>
    <t>2021-11-30</t>
  </si>
  <si>
    <t>2021-08-31</t>
  </si>
  <si>
    <t>2021-05-31</t>
  </si>
  <si>
    <t>2021-02-28</t>
  </si>
  <si>
    <t>2020-11-30</t>
  </si>
  <si>
    <t>2020-08-31</t>
  </si>
  <si>
    <t>2020-05-31</t>
  </si>
  <si>
    <t>2020-02-29</t>
  </si>
  <si>
    <t>2019-11-30</t>
  </si>
  <si>
    <t>2019-08-31</t>
  </si>
  <si>
    <t>2019-05-31</t>
  </si>
  <si>
    <t>2019-02-28</t>
  </si>
  <si>
    <t>2018-11-30</t>
  </si>
  <si>
    <t>2018-08-31</t>
  </si>
  <si>
    <t>2018-05-31</t>
  </si>
  <si>
    <t>2018-02-28</t>
  </si>
  <si>
    <t>2017-11-30</t>
  </si>
  <si>
    <t>2017-08-31</t>
  </si>
  <si>
    <t>2017-05-31</t>
  </si>
  <si>
    <t>2017-02-28</t>
  </si>
  <si>
    <t>2016-11-30</t>
  </si>
  <si>
    <t>2016-08-31</t>
  </si>
  <si>
    <t>2016-05-31</t>
  </si>
  <si>
    <t>2016-02-29</t>
  </si>
  <si>
    <t>2015-11-30</t>
  </si>
  <si>
    <t>2015-08-31</t>
  </si>
  <si>
    <t>2015-05-31</t>
  </si>
  <si>
    <t>2015-02-28</t>
  </si>
  <si>
    <t>2014-11-30</t>
  </si>
  <si>
    <t>2014-08-31</t>
  </si>
  <si>
    <t>2014-05-31</t>
  </si>
  <si>
    <t>2014-02-28</t>
  </si>
  <si>
    <t>2013-11-30</t>
  </si>
  <si>
    <t>2013-08-31</t>
  </si>
  <si>
    <t>2013-05-31</t>
  </si>
  <si>
    <t>2013-02-28</t>
  </si>
  <si>
    <t>2012-11-30</t>
  </si>
  <si>
    <t>2012-08-31</t>
  </si>
  <si>
    <t>2012-05-31</t>
  </si>
  <si>
    <t>2012-02-29</t>
  </si>
  <si>
    <t>2011-11-30</t>
  </si>
  <si>
    <t>2011-08-31</t>
  </si>
  <si>
    <t>2011-05-31</t>
  </si>
  <si>
    <t>2011-02-28</t>
  </si>
  <si>
    <t>2010-11-30</t>
  </si>
  <si>
    <t>2010-08-31</t>
  </si>
  <si>
    <t>2010-05-31</t>
  </si>
  <si>
    <t>2010-02-28</t>
  </si>
  <si>
    <t>2009-11-30</t>
  </si>
  <si>
    <t>2009-08-31</t>
  </si>
  <si>
    <t>2009-05-31</t>
  </si>
  <si>
    <t>2009-02-28</t>
  </si>
  <si>
    <t>2008-11-30</t>
  </si>
  <si>
    <t>2008-08-31</t>
  </si>
  <si>
    <t>2008-05-31</t>
  </si>
  <si>
    <t>2008-02-29</t>
  </si>
  <si>
    <t>2007-11-30</t>
  </si>
  <si>
    <t>2007-08-31</t>
  </si>
  <si>
    <t>2007-05-31</t>
  </si>
  <si>
    <t>2007-02-28</t>
  </si>
  <si>
    <t>2006-11-30</t>
  </si>
  <si>
    <t>2006-08-31</t>
  </si>
  <si>
    <t>2006-05-31</t>
  </si>
  <si>
    <t>2006-02-28</t>
  </si>
  <si>
    <t>2005-11-30</t>
  </si>
  <si>
    <t>2005-08-31</t>
  </si>
  <si>
    <t>2005-05-31</t>
  </si>
  <si>
    <t>2005-02-28</t>
  </si>
  <si>
    <t>2004-11-30</t>
  </si>
  <si>
    <t>2004-08-31</t>
  </si>
  <si>
    <t>2004-05-31</t>
  </si>
  <si>
    <t>2004-02-29</t>
  </si>
  <si>
    <t>2003-11-30</t>
  </si>
  <si>
    <t>2003-08-31</t>
  </si>
  <si>
    <t>2003-05-31</t>
  </si>
  <si>
    <t>2003-02-28</t>
  </si>
  <si>
    <t>2002-11-30</t>
  </si>
  <si>
    <t>2002-08-31</t>
  </si>
  <si>
    <t>2002-05-31</t>
  </si>
  <si>
    <t>2002-02-28</t>
  </si>
  <si>
    <t>2001-11-30</t>
  </si>
  <si>
    <t>2001-08-31</t>
  </si>
  <si>
    <t>2001-05-31</t>
  </si>
  <si>
    <t>2001-02-28</t>
  </si>
  <si>
    <t>2000-11-30</t>
  </si>
  <si>
    <t>2000-08-31</t>
  </si>
  <si>
    <t>2000-05-31</t>
  </si>
  <si>
    <t>2000-02-29</t>
  </si>
  <si>
    <t>1999-11-30</t>
  </si>
  <si>
    <t>1999-08-31</t>
  </si>
  <si>
    <t>1999-05-31</t>
  </si>
  <si>
    <t>1999-02-28</t>
  </si>
  <si>
    <t>1998-11-30</t>
  </si>
  <si>
    <t>1998-08-31</t>
  </si>
  <si>
    <t>1998-05-31</t>
  </si>
  <si>
    <t>1998-02-28</t>
  </si>
  <si>
    <t>1997-11-30</t>
  </si>
  <si>
    <t>1997-08-31</t>
  </si>
  <si>
    <t>1997-05-31</t>
  </si>
  <si>
    <t>1997-02-28</t>
  </si>
  <si>
    <t>1996-11-30</t>
  </si>
  <si>
    <t>1996-08-31</t>
  </si>
  <si>
    <t>1996-05-31</t>
  </si>
  <si>
    <t>1996-02-29</t>
  </si>
  <si>
    <t>1995-11-30</t>
  </si>
  <si>
    <t>1995-08-31</t>
  </si>
  <si>
    <t>1995-05-31</t>
  </si>
  <si>
    <t>1995-02-28</t>
  </si>
  <si>
    <t>1994-11-30</t>
  </si>
  <si>
    <t>1994-08-31</t>
  </si>
  <si>
    <t>1994-05-31</t>
  </si>
  <si>
    <t>1994-02-28</t>
  </si>
  <si>
    <t>1993-11-30</t>
  </si>
  <si>
    <t>1993-08-31</t>
  </si>
  <si>
    <t>1993-05-31</t>
  </si>
  <si>
    <t>1993-02-28</t>
  </si>
  <si>
    <t>1992-11-30</t>
  </si>
  <si>
    <t>1992-08-31</t>
  </si>
  <si>
    <t>1992-05-31</t>
  </si>
  <si>
    <t>1992-02-29</t>
  </si>
  <si>
    <t>1991-11-30</t>
  </si>
  <si>
    <t>1991-08-31</t>
  </si>
  <si>
    <t>1991-05-31</t>
  </si>
  <si>
    <t>1991-02-28</t>
  </si>
  <si>
    <t>1990-11-30</t>
  </si>
  <si>
    <t>1990-08-31</t>
  </si>
  <si>
    <t>1990-05-31</t>
  </si>
  <si>
    <t>1990-02-28</t>
  </si>
  <si>
    <t>1989-11-30</t>
  </si>
  <si>
    <t>1989-08-31</t>
  </si>
  <si>
    <t>1989-05-31</t>
  </si>
  <si>
    <t>1989-02-28</t>
  </si>
  <si>
    <t>1988-11-30</t>
  </si>
  <si>
    <t>1988-08-31</t>
  </si>
  <si>
    <t>1988-05-31</t>
  </si>
  <si>
    <t>1988-02-29</t>
  </si>
  <si>
    <t>1987-11-30</t>
  </si>
  <si>
    <t>1987-08-31</t>
  </si>
  <si>
    <t>1987-05-31</t>
  </si>
  <si>
    <t>1987-02-28</t>
  </si>
  <si>
    <t>1986-11-30</t>
  </si>
  <si>
    <t>1986-08-31</t>
  </si>
  <si>
    <t>1986-05-31</t>
  </si>
  <si>
    <t>1986-02-28</t>
  </si>
  <si>
    <t>1985-11-30</t>
  </si>
  <si>
    <t>1985-08-31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</si>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</sst>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39" fontId="5" fillId="0" borderId="2" xfId="0" applyNumberFormat="1" applyFont="1" applyBorder="1"/>
    <xf numFmtId="44" fontId="1" fillId="0" borderId="5" xfId="4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3" sqref="B3"/>
    </sheetView>
  </sheetViews>
  <sheetFormatPr defaultRowHeight="15" x14ac:dyDescent="0.25"/>
  <cols>
    <col min="1" max="1" width="20.7109375" bestFit="1" customWidth="1"/>
    <col min="2" max="2" width="12" bestFit="1" customWidth="1"/>
  </cols>
  <sheetData>
    <row r="1" spans="1:2" x14ac:dyDescent="0.25">
      <c r="B1" s="73" t="s">
        <v>1</v>
      </c>
    </row>
    <row r="2" spans="1:2" x14ac:dyDescent="0.25">
      <c r="A2" s="73" t="s">
        <v>2</v>
      </c>
      <c r="B2">
        <v>68857000000</v>
      </c>
    </row>
    <row r="3" spans="1:2" x14ac:dyDescent="0.25">
      <c r="A3" s="73" t="s">
        <v>3</v>
      </c>
      <c r="B3">
        <v>8044000000</v>
      </c>
    </row>
    <row r="4" spans="1:2" x14ac:dyDescent="0.25">
      <c r="A4" s="73" t="s">
        <v>4</v>
      </c>
      <c r="B4">
        <v>0.39774525316455689</v>
      </c>
    </row>
    <row r="5" spans="1:2" x14ac:dyDescent="0.25">
      <c r="A5" s="73" t="s">
        <v>5</v>
      </c>
      <c r="B5">
        <v>1.640974639482844E-2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12180000000</v>
      </c>
    </row>
    <row r="8" spans="1:2" x14ac:dyDescent="0.25">
      <c r="A8" s="73" t="s">
        <v>8</v>
      </c>
      <c r="B8">
        <v>0.602254746835443</v>
      </c>
    </row>
    <row r="9" spans="1:2" x14ac:dyDescent="0.25">
      <c r="A9" s="73" t="s">
        <v>9</v>
      </c>
      <c r="B9">
        <v>9.4930813756359006E-2</v>
      </c>
    </row>
    <row r="10" spans="1:2" x14ac:dyDescent="0.25">
      <c r="A10" s="73" t="s">
        <v>10</v>
      </c>
      <c r="B10">
        <v>4.0710000991821288E-2</v>
      </c>
    </row>
    <row r="11" spans="1:2" x14ac:dyDescent="0.25">
      <c r="A11" s="73" t="s">
        <v>11</v>
      </c>
      <c r="B11">
        <v>0.78252003955343841</v>
      </c>
    </row>
    <row r="12" spans="1:2" x14ac:dyDescent="0.25">
      <c r="A12" s="73" t="s">
        <v>12</v>
      </c>
      <c r="B12">
        <v>6.9289999008178713E-2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6.2328783205718587E-2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Y3" sqref="Y3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hidden="1" customWidth="1" outlineLevel="1"/>
    <col min="12" max="12" width="10.5703125" customWidth="1" collapsed="1"/>
    <col min="13" max="22" width="10.5703125" customWidth="1"/>
  </cols>
  <sheetData>
    <row r="1" spans="2:22" hidden="1" outlineLevel="1" x14ac:dyDescent="0.25">
      <c r="C1" s="28"/>
      <c r="D1" s="66" t="str">
        <f>Python!A31</f>
        <v>2017-08-31</v>
      </c>
      <c r="E1" s="66" t="str">
        <f>Python!A27</f>
        <v>2018-08-31</v>
      </c>
      <c r="F1" s="66" t="str">
        <f>Python!A23</f>
        <v>2019-08-31</v>
      </c>
      <c r="G1" s="66" t="str">
        <f>Python!A19</f>
        <v>2020-08-31</v>
      </c>
      <c r="H1" s="66" t="str">
        <f>Python!A15</f>
        <v>2021-08-31</v>
      </c>
      <c r="I1" s="66" t="str">
        <f>Python!A11</f>
        <v>2022-08-31</v>
      </c>
      <c r="J1" s="66" t="str">
        <f>Python!A7</f>
        <v>2023-08-31</v>
      </c>
      <c r="K1" s="66" t="str">
        <f>Python!A3</f>
        <v>2024-08-31</v>
      </c>
      <c r="L1" s="28">
        <f t="shared" ref="L1:U1" si="0">EDATE(K1, 12)</f>
        <v>45900</v>
      </c>
      <c r="M1" s="28">
        <f t="shared" si="0"/>
        <v>46265</v>
      </c>
      <c r="N1" s="28">
        <f t="shared" si="0"/>
        <v>46630</v>
      </c>
      <c r="O1" s="28">
        <f t="shared" si="0"/>
        <v>46996</v>
      </c>
      <c r="P1" s="28">
        <f t="shared" si="0"/>
        <v>47361</v>
      </c>
      <c r="Q1" s="28">
        <f t="shared" si="0"/>
        <v>47726</v>
      </c>
      <c r="R1" s="28">
        <f t="shared" si="0"/>
        <v>48091</v>
      </c>
      <c r="S1" s="28">
        <f t="shared" si="0"/>
        <v>48457</v>
      </c>
      <c r="T1" s="28">
        <f t="shared" si="0"/>
        <v>48822</v>
      </c>
      <c r="U1" s="28">
        <f t="shared" si="0"/>
        <v>49187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2017</v>
      </c>
      <c r="E3" s="45">
        <f t="shared" si="1"/>
        <v>2018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118214</v>
      </c>
      <c r="E4" s="36">
        <f>IFERROR(INDEX(Python!$1:$1048576,MATCH(DCF_Simple!E$1,Python!$A:$A,0),MATCH(DCF_Simple!$B4,Python!$1:$1,0))/1000000,0)</f>
        <v>131537</v>
      </c>
      <c r="F4" s="36">
        <f>IFERROR(INDEX(Python!$1:$1048576,MATCH(DCF_Simple!F$1,Python!$A:$A,0),MATCH(DCF_Simple!$B4,Python!$1:$1,0))/1000000,0)</f>
        <v>136866</v>
      </c>
      <c r="G4" s="36">
        <f>IFERROR(INDEX(Python!$1:$1048576,MATCH(DCF_Simple!G$1,Python!$A:$A,0),MATCH(DCF_Simple!$B4,Python!$1:$1,0))/1000000,0)</f>
        <v>121981</v>
      </c>
      <c r="H4" s="36">
        <f>IFERROR(INDEX(Python!$1:$1048576,MATCH(DCF_Simple!H$1,Python!$A:$A,0),MATCH(DCF_Simple!$B4,Python!$1:$1,0))/1000000,0)</f>
        <v>132509</v>
      </c>
      <c r="I4" s="36">
        <f>IFERROR(INDEX(Python!$1:$1048576,MATCH(DCF_Simple!I$1,Python!$A:$A,0),MATCH(DCF_Simple!$B4,Python!$1:$1,0))/1000000,0)</f>
        <v>132703</v>
      </c>
      <c r="J4" s="36">
        <f>IFERROR(INDEX(Python!$1:$1048576,MATCH(DCF_Simple!J$1,Python!$A:$A,0),MATCH(DCF_Simple!$B4,Python!$1:$1,0))/1000000,0)</f>
        <v>139081</v>
      </c>
      <c r="K4" s="55">
        <f>IFERROR(INDEX(Python!$1:$1048576,MATCH(DCF_Simple!K$1,Python!$A:$A,0),MATCH(DCF_Simple!$B4,Python!$1:$1,0))/1000000,0)</f>
        <v>147657</v>
      </c>
      <c r="L4" s="37">
        <f t="shared" ref="L4:U4" si="2">K4*(1+L5)</f>
        <v>150233.06295257036</v>
      </c>
      <c r="M4" s="36">
        <f t="shared" si="2"/>
        <v>151543.56576558729</v>
      </c>
      <c r="N4" s="36">
        <f t="shared" si="2"/>
        <v>151543.56576558729</v>
      </c>
      <c r="O4" s="36">
        <f t="shared" si="2"/>
        <v>151543.56576558729</v>
      </c>
      <c r="P4" s="36">
        <f t="shared" si="2"/>
        <v>151543.56576558729</v>
      </c>
      <c r="Q4" s="36">
        <f t="shared" si="2"/>
        <v>151543.56576558729</v>
      </c>
      <c r="R4" s="36">
        <f t="shared" si="2"/>
        <v>151543.56576558729</v>
      </c>
      <c r="S4" s="36">
        <f t="shared" si="2"/>
        <v>151543.56576558729</v>
      </c>
      <c r="T4" s="36">
        <f t="shared" si="2"/>
        <v>151543.56576558729</v>
      </c>
      <c r="U4" s="36">
        <f t="shared" si="2"/>
        <v>151543.56576558729</v>
      </c>
      <c r="V4" s="19">
        <f>U4</f>
        <v>151543.56576558729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0.11270238719610193</v>
      </c>
      <c r="F5" s="42">
        <f t="shared" si="3"/>
        <v>4.0513315645027692E-2</v>
      </c>
      <c r="G5" s="42">
        <f t="shared" si="3"/>
        <v>-0.10875600952756714</v>
      </c>
      <c r="H5" s="42">
        <f t="shared" si="3"/>
        <v>8.6308523458571429E-2</v>
      </c>
      <c r="I5" s="42">
        <f t="shared" si="3"/>
        <v>1.4640514983887964E-3</v>
      </c>
      <c r="J5" s="42">
        <f t="shared" si="3"/>
        <v>4.8062214117239321E-2</v>
      </c>
      <c r="K5" s="58">
        <f t="shared" si="3"/>
        <v>6.1661909247129332E-2</v>
      </c>
      <c r="L5" s="43">
        <f>Python!F2</f>
        <v>1.7446263655433562E-2</v>
      </c>
      <c r="M5" s="43">
        <f>L5/2</f>
        <v>8.7231318277167808E-3</v>
      </c>
      <c r="N5" s="38">
        <v>0</v>
      </c>
      <c r="O5" s="38">
        <f t="shared" ref="N5:U5" si="4">N5</f>
        <v>0</v>
      </c>
      <c r="P5" s="38">
        <f t="shared" si="4"/>
        <v>0</v>
      </c>
      <c r="Q5" s="38">
        <f t="shared" si="4"/>
        <v>0</v>
      </c>
      <c r="R5" s="38">
        <f t="shared" si="4"/>
        <v>0</v>
      </c>
      <c r="S5" s="38">
        <f t="shared" si="4"/>
        <v>0</v>
      </c>
      <c r="T5" s="38">
        <f t="shared" si="4"/>
        <v>0</v>
      </c>
      <c r="U5" s="38">
        <f t="shared" si="4"/>
        <v>0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5900</v>
      </c>
      <c r="E7" s="52">
        <f>IFERROR(INDEX(Python!$1:$1048576,MATCH(DCF_Simple!E$1,Python!$A:$A,0),MATCH(DCF_Simple!$B7,Python!$1:$1,0))/1000000,0)</f>
        <v>6898</v>
      </c>
      <c r="F7" s="52">
        <f>IFERROR(INDEX(Python!$1:$1048576,MATCH(DCF_Simple!F$1,Python!$A:$A,0),MATCH(DCF_Simple!$B7,Python!$1:$1,0))/1000000,0)</f>
        <v>3892</v>
      </c>
      <c r="G7" s="52">
        <f>IFERROR(INDEX(Python!$1:$1048576,MATCH(DCF_Simple!G$1,Python!$A:$A,0),MATCH(DCF_Simple!$B7,Python!$1:$1,0))/1000000,0)</f>
        <v>4110</v>
      </c>
      <c r="H7" s="52">
        <f>IFERROR(INDEX(Python!$1:$1048576,MATCH(DCF_Simple!H$1,Python!$A:$A,0),MATCH(DCF_Simple!$B7,Python!$1:$1,0))/1000000,0)</f>
        <v>4176</v>
      </c>
      <c r="I7" s="52">
        <f>IFERROR(INDEX(Python!$1:$1048576,MATCH(DCF_Simple!I$1,Python!$A:$A,0),MATCH(DCF_Simple!$B7,Python!$1:$1,0))/1000000,0)</f>
        <v>2165</v>
      </c>
      <c r="J7" s="52">
        <f>IFERROR(INDEX(Python!$1:$1048576,MATCH(DCF_Simple!J$1,Python!$A:$A,0),MATCH(DCF_Simple!$B7,Python!$1:$1,0))/1000000,0)</f>
        <v>141</v>
      </c>
      <c r="K7" s="57">
        <f>IFERROR(INDEX(Python!$1:$1048576,MATCH(DCF_Simple!K$1,Python!$A:$A,0),MATCH(DCF_Simple!$B7,Python!$1:$1,0))/1000000,0)</f>
        <v>-363</v>
      </c>
      <c r="L7" s="64">
        <f t="shared" ref="L7:U7" si="5">L8*L4</f>
        <v>1502.3306295257037</v>
      </c>
      <c r="M7" s="64">
        <f t="shared" si="5"/>
        <v>1515.435657655873</v>
      </c>
      <c r="N7" s="64">
        <f t="shared" si="5"/>
        <v>1515.435657655873</v>
      </c>
      <c r="O7" s="64">
        <f t="shared" si="5"/>
        <v>1515.435657655873</v>
      </c>
      <c r="P7" s="64">
        <f t="shared" si="5"/>
        <v>1515.435657655873</v>
      </c>
      <c r="Q7" s="64">
        <f t="shared" si="5"/>
        <v>1515.435657655873</v>
      </c>
      <c r="R7" s="64">
        <f t="shared" si="5"/>
        <v>1515.435657655873</v>
      </c>
      <c r="S7" s="64">
        <f t="shared" si="5"/>
        <v>1515.435657655873</v>
      </c>
      <c r="T7" s="64">
        <f t="shared" si="5"/>
        <v>1515.435657655873</v>
      </c>
      <c r="U7" s="64">
        <f t="shared" si="5"/>
        <v>1515.435657655873</v>
      </c>
      <c r="V7" s="65">
        <f>U7</f>
        <v>1515.435657655873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4.990948618606933E-2</v>
      </c>
      <c r="E8" s="42">
        <f t="shared" si="6"/>
        <v>5.244151835605191E-2</v>
      </c>
      <c r="F8" s="42">
        <f t="shared" si="6"/>
        <v>2.8436572998407201E-2</v>
      </c>
      <c r="G8" s="42">
        <f t="shared" si="6"/>
        <v>3.3693771980882269E-2</v>
      </c>
      <c r="H8" s="42">
        <f t="shared" si="6"/>
        <v>3.1514840501399903E-2</v>
      </c>
      <c r="I8" s="42">
        <f t="shared" si="6"/>
        <v>1.6314627401038409E-2</v>
      </c>
      <c r="J8" s="42">
        <f t="shared" si="6"/>
        <v>1.0137977150006111E-3</v>
      </c>
      <c r="K8" s="58">
        <f t="shared" si="6"/>
        <v>-2.4584002113005139E-3</v>
      </c>
      <c r="L8" s="38">
        <v>0.01</v>
      </c>
      <c r="M8" s="38">
        <f t="shared" ref="M8:U8" si="7">L8</f>
        <v>0.01</v>
      </c>
      <c r="N8" s="38">
        <f t="shared" si="7"/>
        <v>0.01</v>
      </c>
      <c r="O8" s="38">
        <f t="shared" si="7"/>
        <v>0.01</v>
      </c>
      <c r="P8" s="38">
        <f t="shared" si="7"/>
        <v>0.01</v>
      </c>
      <c r="Q8" s="38">
        <f t="shared" si="7"/>
        <v>0.01</v>
      </c>
      <c r="R8" s="38">
        <f t="shared" si="7"/>
        <v>0.01</v>
      </c>
      <c r="S8" s="38">
        <f t="shared" si="7"/>
        <v>0.01</v>
      </c>
      <c r="T8" s="38">
        <f t="shared" si="7"/>
        <v>0.01</v>
      </c>
      <c r="U8" s="38">
        <f t="shared" si="7"/>
        <v>0.01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1059.5</v>
      </c>
      <c r="E10" s="17">
        <f>IFERROR(INDEX(Python!$1:$1048576,MATCH(DCF_Simple!E$1,Python!$A:$A,0),MATCH(DCF_Simple!$B10,Python!$1:$1,0))/1000000,0)</f>
        <v>977.9</v>
      </c>
      <c r="F10" s="17">
        <f>IFERROR(INDEX(Python!$1:$1048576,MATCH(DCF_Simple!F$1,Python!$A:$A,0),MATCH(DCF_Simple!$B10,Python!$1:$1,0))/1000000,0)</f>
        <v>900.7</v>
      </c>
      <c r="G10" s="17">
        <f>IFERROR(INDEX(Python!$1:$1048576,MATCH(DCF_Simple!G$1,Python!$A:$A,0),MATCH(DCF_Simple!$B10,Python!$1:$1,0))/1000000,0)</f>
        <v>867.1</v>
      </c>
      <c r="H10" s="17">
        <f>IFERROR(INDEX(Python!$1:$1048576,MATCH(DCF_Simple!H$1,Python!$A:$A,0),MATCH(DCF_Simple!$B10,Python!$1:$1,0))/1000000,0)</f>
        <v>867.2</v>
      </c>
      <c r="I10" s="17">
        <f>IFERROR(INDEX(Python!$1:$1048576,MATCH(DCF_Simple!I$1,Python!$A:$A,0),MATCH(DCF_Simple!$B10,Python!$1:$1,0))/1000000,0)</f>
        <v>864.5</v>
      </c>
      <c r="J10" s="17">
        <f>IFERROR(INDEX(Python!$1:$1048576,MATCH(DCF_Simple!J$1,Python!$A:$A,0),MATCH(DCF_Simple!$B10,Python!$1:$1,0))/1000000,0)</f>
        <v>864.3</v>
      </c>
      <c r="K10" s="69">
        <f>IFERROR(INDEX(Python!$1:$1048576,MATCH(DCF_Simple!K$1,Python!$A:$A,0),MATCH(DCF_Simple!$B10,Python!$1:$1,0))/1000000,0)</f>
        <v>863.7</v>
      </c>
      <c r="L10" s="17">
        <f t="shared" ref="L10:U10" si="8">K10*(1+L11)</f>
        <v>863.10041652204109</v>
      </c>
      <c r="M10" s="17">
        <f t="shared" si="8"/>
        <v>862.50124927697209</v>
      </c>
      <c r="N10" s="17">
        <f t="shared" si="8"/>
        <v>861.90249797584272</v>
      </c>
      <c r="O10" s="17">
        <f t="shared" si="8"/>
        <v>861.30416232990331</v>
      </c>
      <c r="P10" s="17">
        <f t="shared" si="8"/>
        <v>860.7062420506046</v>
      </c>
      <c r="Q10" s="17">
        <f t="shared" si="8"/>
        <v>860.10873684959768</v>
      </c>
      <c r="R10" s="17">
        <f t="shared" si="8"/>
        <v>859.51164643873381</v>
      </c>
      <c r="S10" s="17">
        <f t="shared" si="8"/>
        <v>858.91497053006424</v>
      </c>
      <c r="T10" s="17">
        <f t="shared" si="8"/>
        <v>858.31870883584008</v>
      </c>
      <c r="U10" s="17">
        <f t="shared" si="8"/>
        <v>857.72286106851232</v>
      </c>
      <c r="V10" s="70">
        <f>U10</f>
        <v>857.72286106851232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-7.7017461066540838E-2</v>
      </c>
      <c r="F11" s="42">
        <f t="shared" si="9"/>
        <v>-7.8944677369874205E-2</v>
      </c>
      <c r="G11" s="42">
        <f t="shared" si="9"/>
        <v>-3.7304318863106478E-2</v>
      </c>
      <c r="H11" s="42">
        <f t="shared" si="9"/>
        <v>1.153269519087452E-4</v>
      </c>
      <c r="I11" s="42">
        <f t="shared" si="9"/>
        <v>-3.1134686346864227E-3</v>
      </c>
      <c r="J11" s="42">
        <f t="shared" si="9"/>
        <v>-2.3134759976872754E-4</v>
      </c>
      <c r="K11" s="58">
        <f t="shared" si="9"/>
        <v>-6.9420340159653815E-4</v>
      </c>
      <c r="L11" s="67">
        <f t="shared" ref="L11:U11" si="10">K11</f>
        <v>-6.9420340159653815E-4</v>
      </c>
      <c r="M11" s="67">
        <f t="shared" si="10"/>
        <v>-6.9420340159653815E-4</v>
      </c>
      <c r="N11" s="67">
        <f t="shared" si="10"/>
        <v>-6.9420340159653815E-4</v>
      </c>
      <c r="O11" s="67">
        <f t="shared" si="10"/>
        <v>-6.9420340159653815E-4</v>
      </c>
      <c r="P11" s="67">
        <f t="shared" si="10"/>
        <v>-6.9420340159653815E-4</v>
      </c>
      <c r="Q11" s="67">
        <f t="shared" si="10"/>
        <v>-6.9420340159653815E-4</v>
      </c>
      <c r="R11" s="67">
        <f t="shared" si="10"/>
        <v>-6.9420340159653815E-4</v>
      </c>
      <c r="S11" s="67">
        <f t="shared" si="10"/>
        <v>-6.9420340159653815E-4</v>
      </c>
      <c r="T11" s="67">
        <f t="shared" si="10"/>
        <v>-6.9420340159653815E-4</v>
      </c>
      <c r="U11" s="67">
        <f t="shared" si="10"/>
        <v>-6.9420340159653815E-4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5.5686644643699861</v>
      </c>
      <c r="E13" s="53">
        <f t="shared" si="11"/>
        <v>7.0538909908988652</v>
      </c>
      <c r="F13" s="53">
        <f t="shared" si="11"/>
        <v>4.3210836016431662</v>
      </c>
      <c r="G13" s="53">
        <f t="shared" si="11"/>
        <v>4.7399377234459692</v>
      </c>
      <c r="H13" s="53">
        <f t="shared" si="11"/>
        <v>4.8154981549815492</v>
      </c>
      <c r="I13" s="53">
        <f t="shared" si="11"/>
        <v>2.5043377674956622</v>
      </c>
      <c r="J13" s="53">
        <f t="shared" si="11"/>
        <v>0.16313779937521694</v>
      </c>
      <c r="K13" s="59">
        <f t="shared" si="11"/>
        <v>-0.4202848211184439</v>
      </c>
      <c r="L13" s="53">
        <f t="shared" ref="L13:U13" si="12">L7/L10</f>
        <v>1.7406209066373894</v>
      </c>
      <c r="M13" s="53">
        <f t="shared" si="12"/>
        <v>1.7570243045169507</v>
      </c>
      <c r="N13" s="53">
        <f t="shared" si="12"/>
        <v>1.7582448840963301</v>
      </c>
      <c r="O13" s="53">
        <f t="shared" si="12"/>
        <v>1.7594663115948339</v>
      </c>
      <c r="P13" s="53">
        <f t="shared" si="12"/>
        <v>1.760688587601499</v>
      </c>
      <c r="Q13" s="53">
        <f t="shared" si="12"/>
        <v>1.7619117127057722</v>
      </c>
      <c r="R13" s="53">
        <f t="shared" si="12"/>
        <v>1.7631356874975093</v>
      </c>
      <c r="S13" s="53">
        <f t="shared" si="12"/>
        <v>1.7643605125669757</v>
      </c>
      <c r="T13" s="53">
        <f t="shared" si="12"/>
        <v>1.7655861885048476</v>
      </c>
      <c r="U13" s="53">
        <f t="shared" si="12"/>
        <v>1.7668127159022109</v>
      </c>
      <c r="V13" s="72">
        <f>U13*(1+WACC!$B$13)/(WACC!$B$14-WACC!$B$13)</f>
        <v>42.575024220795129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1.6384954772521874</v>
      </c>
      <c r="M14" s="62">
        <f>M13/((1+WACC!$B$14)^(M3-$K$3))</f>
        <v>1.5568969642555504</v>
      </c>
      <c r="N14" s="62">
        <f>N13/((1+WACC!$B$14)^(N3-$K$3))</f>
        <v>1.4665690536418687</v>
      </c>
      <c r="O14" s="62">
        <f>O13/((1+WACC!$B$14)^(O3-$K$3))</f>
        <v>1.381481779771117</v>
      </c>
      <c r="P14" s="62">
        <f>P13/((1+WACC!$B$14)^(P3-$K$3))</f>
        <v>1.3013310918434393</v>
      </c>
      <c r="Q14" s="62">
        <f>Q13/((1+WACC!$B$14)^(Q3-$K$3))</f>
        <v>1.2258305794514419</v>
      </c>
      <c r="R14" s="62">
        <f>R13/((1+WACC!$B$14)^(R3-$K$3))</f>
        <v>1.1547104491214604</v>
      </c>
      <c r="S14" s="62">
        <f>S13/((1+WACC!$B$14)^(S3-$K$3))</f>
        <v>1.0877165602337642</v>
      </c>
      <c r="T14" s="62">
        <f>T13/((1+WACC!$B$14)^(T3-$K$3))</f>
        <v>1.0246095168766616</v>
      </c>
      <c r="U14" s="62">
        <f>U13/((1+WACC!$B$14)^(U3-$K$3))</f>
        <v>0.96516381238932747</v>
      </c>
      <c r="V14" s="63">
        <f>V13/((1+WACC!$B$14)^(U3-$K$3))</f>
        <v>23.257627885323036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23.257627885323036</v>
      </c>
      <c r="L17" s="16">
        <f>C17/$C$19</f>
        <v>0.64496252098737439</v>
      </c>
      <c r="O17" s="18"/>
    </row>
    <row r="18" spans="2:22" x14ac:dyDescent="0.25">
      <c r="B18" s="8" t="s">
        <v>26</v>
      </c>
      <c r="C18" s="32">
        <f>SUM(14:14)-V14</f>
        <v>12.802805284836818</v>
      </c>
      <c r="K18" s="3"/>
      <c r="L18" s="16">
        <f>C18/$C$19</f>
        <v>0.35503747901262561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36.060433170159854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1">
        <f>Python!C3/1000000/K10</f>
        <v>-0.4202848211184439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9.3134190112307511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26.326729337810661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9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1.7446263655433562E-2</v>
      </c>
    </row>
    <row r="3" spans="1:6" x14ac:dyDescent="0.25">
      <c r="A3" s="73" t="s">
        <v>34</v>
      </c>
      <c r="B3">
        <v>147657000000</v>
      </c>
      <c r="C3">
        <v>-363000000</v>
      </c>
      <c r="D3">
        <v>863700000</v>
      </c>
      <c r="E3">
        <v>3110000000</v>
      </c>
      <c r="F3">
        <v>9.3924679577663817E-3</v>
      </c>
    </row>
    <row r="4" spans="1:6" x14ac:dyDescent="0.25">
      <c r="A4" s="73" t="s">
        <v>35</v>
      </c>
      <c r="B4">
        <v>145532000000</v>
      </c>
      <c r="C4">
        <v>-894000000</v>
      </c>
      <c r="D4">
        <v>864300000</v>
      </c>
      <c r="E4">
        <v>703000000</v>
      </c>
      <c r="F4">
        <v>1.4864096569250361E-2</v>
      </c>
    </row>
    <row r="5" spans="1:6" x14ac:dyDescent="0.25">
      <c r="A5" s="73" t="s">
        <v>36</v>
      </c>
      <c r="B5">
        <v>144596000000</v>
      </c>
      <c r="C5">
        <v>-1766000000</v>
      </c>
      <c r="D5">
        <v>862500000</v>
      </c>
      <c r="E5">
        <v>668000000</v>
      </c>
      <c r="F5">
        <v>2.8711085336469599E-2</v>
      </c>
    </row>
    <row r="6" spans="1:6" x14ac:dyDescent="0.25">
      <c r="A6" s="73" t="s">
        <v>37</v>
      </c>
      <c r="B6">
        <v>142406000000</v>
      </c>
      <c r="C6">
        <v>-529000000</v>
      </c>
      <c r="D6">
        <v>863000000</v>
      </c>
      <c r="E6">
        <v>784000000</v>
      </c>
      <c r="F6">
        <v>4.4113594152537239E-2</v>
      </c>
    </row>
    <row r="7" spans="1:6" x14ac:dyDescent="0.25">
      <c r="A7" s="73" t="s">
        <v>38</v>
      </c>
      <c r="B7">
        <v>139081000000</v>
      </c>
      <c r="C7">
        <v>141000000</v>
      </c>
      <c r="D7">
        <v>864300000</v>
      </c>
      <c r="E7">
        <v>739000000</v>
      </c>
      <c r="F7">
        <v>7.3151714998921369E-2</v>
      </c>
    </row>
    <row r="8" spans="1:6" x14ac:dyDescent="0.25">
      <c r="A8" s="73" t="s">
        <v>39</v>
      </c>
      <c r="B8">
        <v>136108000000</v>
      </c>
      <c r="C8">
        <v>-821000000</v>
      </c>
      <c r="D8">
        <v>863800000</v>
      </c>
      <c r="E8">
        <v>970000000</v>
      </c>
      <c r="F8">
        <v>6.3386201184157942E-2</v>
      </c>
    </row>
    <row r="9" spans="1:6" x14ac:dyDescent="0.25">
      <c r="A9" s="73" t="s">
        <v>40</v>
      </c>
      <c r="B9">
        <v>133290000000</v>
      </c>
      <c r="C9">
        <v>982000000</v>
      </c>
      <c r="D9">
        <v>863400000</v>
      </c>
      <c r="E9">
        <v>1840000000</v>
      </c>
      <c r="F9">
        <v>-6.7484299087570143E-3</v>
      </c>
    </row>
    <row r="10" spans="1:6" x14ac:dyDescent="0.25">
      <c r="A10" s="73" t="s">
        <v>41</v>
      </c>
      <c r="B10">
        <v>132184000000</v>
      </c>
      <c r="C10">
        <v>1403000000</v>
      </c>
      <c r="D10">
        <v>863600000</v>
      </c>
      <c r="E10">
        <v>4232000000</v>
      </c>
      <c r="F10">
        <v>-1.7158785876522861E-2</v>
      </c>
    </row>
    <row r="11" spans="1:6" x14ac:dyDescent="0.25">
      <c r="A11" s="73" t="s">
        <v>42</v>
      </c>
      <c r="B11">
        <v>132703000000</v>
      </c>
      <c r="C11">
        <v>2165000000</v>
      </c>
      <c r="D11">
        <v>864500000</v>
      </c>
      <c r="E11">
        <v>2472000000</v>
      </c>
    </row>
    <row r="12" spans="1:6" x14ac:dyDescent="0.25">
      <c r="A12" s="73" t="s">
        <v>43</v>
      </c>
      <c r="B12">
        <v>134516000000</v>
      </c>
      <c r="C12">
        <v>3439000000</v>
      </c>
      <c r="D12">
        <v>865300000</v>
      </c>
      <c r="E12">
        <v>4458000000</v>
      </c>
      <c r="F12">
        <v>-5.7922421392888612E-2</v>
      </c>
    </row>
    <row r="13" spans="1:6" x14ac:dyDescent="0.25">
      <c r="A13" s="73" t="s">
        <v>44</v>
      </c>
      <c r="B13">
        <v>135949000000</v>
      </c>
      <c r="C13">
        <v>3626000000</v>
      </c>
      <c r="D13">
        <v>865200000</v>
      </c>
      <c r="E13">
        <v>1887000000</v>
      </c>
      <c r="F13">
        <v>-2.3609628115561779E-2</v>
      </c>
    </row>
    <row r="14" spans="1:6" x14ac:dyDescent="0.25">
      <c r="A14" s="73" t="s">
        <v>45</v>
      </c>
      <c r="B14">
        <v>134972000000</v>
      </c>
      <c r="C14">
        <v>4057000000</v>
      </c>
      <c r="D14">
        <v>867600000</v>
      </c>
      <c r="E14">
        <v>4135000000</v>
      </c>
      <c r="F14">
        <v>6.3798587696418441E-2</v>
      </c>
    </row>
    <row r="15" spans="1:6" x14ac:dyDescent="0.25">
      <c r="A15" s="73" t="s">
        <v>46</v>
      </c>
      <c r="B15">
        <v>132509000000</v>
      </c>
      <c r="C15">
        <v>4176000000</v>
      </c>
      <c r="D15">
        <v>867200000</v>
      </c>
      <c r="E15">
        <v>1193000000</v>
      </c>
      <c r="F15">
        <v>-2.5188372538689441E-2</v>
      </c>
    </row>
    <row r="16" spans="1:6" x14ac:dyDescent="0.25">
      <c r="A16" s="73" t="s">
        <v>47</v>
      </c>
      <c r="B16">
        <v>128617000000</v>
      </c>
      <c r="C16">
        <v>4983000000</v>
      </c>
      <c r="D16">
        <v>867000000</v>
      </c>
      <c r="E16">
        <v>1345000000</v>
      </c>
      <c r="F16">
        <v>0.1117375839810302</v>
      </c>
    </row>
    <row r="17" spans="1:6" x14ac:dyDescent="0.25">
      <c r="A17" s="73" t="s">
        <v>48</v>
      </c>
      <c r="B17">
        <v>124951000000</v>
      </c>
      <c r="C17">
        <v>4195000000</v>
      </c>
      <c r="D17">
        <v>865600000</v>
      </c>
      <c r="E17">
        <v>1030000000</v>
      </c>
      <c r="F17">
        <v>0.13279614500893541</v>
      </c>
    </row>
    <row r="18" spans="1:6" x14ac:dyDescent="0.25">
      <c r="A18" s="73" t="s">
        <v>49</v>
      </c>
      <c r="B18">
        <v>123508000000</v>
      </c>
      <c r="C18">
        <v>4200000000</v>
      </c>
      <c r="D18">
        <v>865300000</v>
      </c>
      <c r="E18">
        <v>1111000000</v>
      </c>
      <c r="F18">
        <v>-1.0076820133061441E-2</v>
      </c>
    </row>
    <row r="19" spans="1:6" x14ac:dyDescent="0.25">
      <c r="A19" s="73" t="s">
        <v>50</v>
      </c>
      <c r="B19">
        <v>121981000000</v>
      </c>
      <c r="C19">
        <v>4110000000</v>
      </c>
      <c r="D19">
        <v>867100000</v>
      </c>
      <c r="E19">
        <v>516000000</v>
      </c>
      <c r="F19">
        <v>-3.6869952082228867E-2</v>
      </c>
    </row>
    <row r="20" spans="1:6" x14ac:dyDescent="0.25">
      <c r="A20" s="73" t="s">
        <v>51</v>
      </c>
      <c r="B20">
        <v>125565000000</v>
      </c>
      <c r="C20">
        <v>4359000000</v>
      </c>
      <c r="D20">
        <v>875400000</v>
      </c>
      <c r="E20">
        <v>768000000</v>
      </c>
      <c r="F20">
        <v>0.41126861816657517</v>
      </c>
    </row>
    <row r="21" spans="1:6" x14ac:dyDescent="0.25">
      <c r="A21" s="73" t="s">
        <v>52</v>
      </c>
      <c r="B21">
        <v>129792000000</v>
      </c>
      <c r="C21">
        <v>5269000000</v>
      </c>
      <c r="D21">
        <v>885500000</v>
      </c>
      <c r="E21">
        <v>792000000</v>
      </c>
      <c r="F21">
        <v>-3.531839927015779E-3</v>
      </c>
    </row>
    <row r="22" spans="1:6" x14ac:dyDescent="0.25">
      <c r="A22" s="73" t="s">
        <v>53</v>
      </c>
      <c r="B22">
        <v>132984000000</v>
      </c>
      <c r="C22">
        <v>4576000000</v>
      </c>
      <c r="D22">
        <v>892600000</v>
      </c>
      <c r="E22">
        <v>811000000</v>
      </c>
      <c r="F22">
        <v>4.5826015446986057E-2</v>
      </c>
    </row>
    <row r="23" spans="1:6" x14ac:dyDescent="0.25">
      <c r="A23" s="73" t="s">
        <v>54</v>
      </c>
      <c r="B23">
        <v>136866000000</v>
      </c>
      <c r="C23">
        <v>3892000000</v>
      </c>
      <c r="D23">
        <v>900700000</v>
      </c>
      <c r="E23">
        <v>1023000000</v>
      </c>
      <c r="F23">
        <v>1.1099479995215771E-3</v>
      </c>
    </row>
    <row r="24" spans="1:6" x14ac:dyDescent="0.25">
      <c r="A24" s="73" t="s">
        <v>55</v>
      </c>
      <c r="B24">
        <v>136354000000</v>
      </c>
      <c r="C24">
        <v>4465000000</v>
      </c>
      <c r="D24">
        <v>911200000</v>
      </c>
      <c r="E24">
        <v>839000000</v>
      </c>
      <c r="F24">
        <v>-1.99292742179763E-2</v>
      </c>
    </row>
    <row r="25" spans="1:6" x14ac:dyDescent="0.25">
      <c r="A25" s="73" t="s">
        <v>56</v>
      </c>
      <c r="B25">
        <v>136097000000</v>
      </c>
      <c r="C25">
        <v>4790000000</v>
      </c>
      <c r="D25">
        <v>930700000</v>
      </c>
      <c r="E25">
        <v>818000000</v>
      </c>
      <c r="F25">
        <v>9.6644337906180988E-2</v>
      </c>
    </row>
    <row r="26" spans="1:6" x14ac:dyDescent="0.25">
      <c r="A26" s="73" t="s">
        <v>57</v>
      </c>
      <c r="B26">
        <v>134590000000</v>
      </c>
      <c r="C26">
        <v>6305000000</v>
      </c>
      <c r="D26">
        <v>951400000</v>
      </c>
      <c r="E26">
        <v>980000000</v>
      </c>
      <c r="F26">
        <v>7.6728148568640187E-2</v>
      </c>
    </row>
    <row r="27" spans="1:6" x14ac:dyDescent="0.25">
      <c r="A27" s="73" t="s">
        <v>58</v>
      </c>
      <c r="B27">
        <v>131537000000</v>
      </c>
      <c r="C27">
        <v>6898000000</v>
      </c>
      <c r="D27">
        <v>977900000</v>
      </c>
      <c r="E27">
        <v>785000000</v>
      </c>
      <c r="F27">
        <v>8.673991246807522E-2</v>
      </c>
    </row>
    <row r="28" spans="1:6" x14ac:dyDescent="0.25">
      <c r="A28" s="73" t="s">
        <v>59</v>
      </c>
      <c r="B28">
        <v>128244000000</v>
      </c>
      <c r="C28">
        <v>5977000000</v>
      </c>
      <c r="D28">
        <v>995300000</v>
      </c>
      <c r="E28">
        <v>1818000000</v>
      </c>
      <c r="F28">
        <v>0.1027283968390995</v>
      </c>
    </row>
    <row r="29" spans="1:6" x14ac:dyDescent="0.25">
      <c r="A29" s="73" t="s">
        <v>60</v>
      </c>
      <c r="B29">
        <v>124028000000</v>
      </c>
      <c r="C29">
        <v>5667000000</v>
      </c>
      <c r="D29">
        <v>995500000</v>
      </c>
      <c r="E29">
        <v>1749000000</v>
      </c>
      <c r="F29">
        <v>4.7303204849555858E-3</v>
      </c>
    </row>
    <row r="30" spans="1:6" x14ac:dyDescent="0.25">
      <c r="A30" s="73" t="s">
        <v>61</v>
      </c>
      <c r="B30">
        <v>120453000000</v>
      </c>
      <c r="C30">
        <v>6336000000</v>
      </c>
      <c r="D30">
        <v>1011100000</v>
      </c>
      <c r="E30">
        <v>1830000000</v>
      </c>
      <c r="F30">
        <v>6.170616820462449E-2</v>
      </c>
    </row>
    <row r="31" spans="1:6" x14ac:dyDescent="0.25">
      <c r="A31" s="73" t="s">
        <v>62</v>
      </c>
      <c r="B31">
        <v>118214000000</v>
      </c>
      <c r="C31">
        <v>5900000000</v>
      </c>
      <c r="D31">
        <v>1059500000</v>
      </c>
      <c r="E31">
        <v>3301000000</v>
      </c>
      <c r="F31">
        <v>-2.7533537575080369E-2</v>
      </c>
    </row>
    <row r="32" spans="1:6" x14ac:dyDescent="0.25">
      <c r="A32" s="73" t="s">
        <v>63</v>
      </c>
      <c r="B32">
        <v>116701000000</v>
      </c>
      <c r="C32">
        <v>6562000000</v>
      </c>
      <c r="D32">
        <v>1082600000</v>
      </c>
      <c r="E32">
        <v>12253000000</v>
      </c>
      <c r="F32">
        <v>-2.012115533256531E-3</v>
      </c>
    </row>
    <row r="33" spans="1:6" x14ac:dyDescent="0.25">
      <c r="A33" s="73" t="s">
        <v>64</v>
      </c>
      <c r="B33">
        <v>116081000000</v>
      </c>
      <c r="C33">
        <v>6837000000</v>
      </c>
      <c r="D33">
        <v>1085500000</v>
      </c>
      <c r="E33">
        <v>11822000000</v>
      </c>
      <c r="F33">
        <v>-2.4450039756162219E-2</v>
      </c>
    </row>
    <row r="34" spans="1:6" x14ac:dyDescent="0.25">
      <c r="A34" s="73" t="s">
        <v>65</v>
      </c>
      <c r="B34">
        <v>116819000000</v>
      </c>
      <c r="C34">
        <v>6277000000</v>
      </c>
      <c r="D34">
        <v>1088300000</v>
      </c>
      <c r="E34">
        <v>9598000000</v>
      </c>
      <c r="F34">
        <v>-2.724830365446218E-2</v>
      </c>
    </row>
    <row r="35" spans="1:6" x14ac:dyDescent="0.25">
      <c r="A35" s="73" t="s">
        <v>66</v>
      </c>
      <c r="B35">
        <v>117351000000</v>
      </c>
      <c r="C35">
        <v>6522000000</v>
      </c>
      <c r="D35">
        <v>1089000000</v>
      </c>
      <c r="E35">
        <v>9807000000</v>
      </c>
      <c r="F35">
        <v>-7.1068275226141231E-2</v>
      </c>
    </row>
    <row r="36" spans="1:6" x14ac:dyDescent="0.25">
      <c r="A36" s="73" t="s">
        <v>67</v>
      </c>
      <c r="B36">
        <v>117237000000</v>
      </c>
      <c r="C36">
        <v>5429000000</v>
      </c>
      <c r="D36">
        <v>1088200000</v>
      </c>
      <c r="E36">
        <v>3291000000</v>
      </c>
      <c r="F36">
        <v>-1.031193623893034E-2</v>
      </c>
    </row>
    <row r="37" spans="1:6" x14ac:dyDescent="0.25">
      <c r="A37" s="73" t="s">
        <v>68</v>
      </c>
      <c r="B37">
        <v>116534000000</v>
      </c>
      <c r="C37">
        <v>5147000000</v>
      </c>
      <c r="D37">
        <v>1088400000</v>
      </c>
      <c r="E37">
        <v>3586000000</v>
      </c>
      <c r="F37">
        <v>0.1098770691303204</v>
      </c>
    </row>
    <row r="38" spans="1:6" x14ac:dyDescent="0.25">
      <c r="A38" s="73" t="s">
        <v>69</v>
      </c>
      <c r="B38">
        <v>112923000000</v>
      </c>
      <c r="C38">
        <v>4109000000</v>
      </c>
      <c r="D38">
        <v>1098600000</v>
      </c>
      <c r="E38">
        <v>2570000000</v>
      </c>
      <c r="F38">
        <v>0.38385412166308691</v>
      </c>
    </row>
    <row r="39" spans="1:6" x14ac:dyDescent="0.25">
      <c r="A39" s="73" t="s">
        <v>70</v>
      </c>
      <c r="B39">
        <v>103444000000</v>
      </c>
      <c r="C39">
        <v>4413000000</v>
      </c>
      <c r="D39">
        <v>1102500000</v>
      </c>
      <c r="E39">
        <v>3000000000</v>
      </c>
      <c r="F39">
        <v>0.3776147633415543</v>
      </c>
    </row>
    <row r="40" spans="1:6" x14ac:dyDescent="0.25">
      <c r="A40" s="73" t="s">
        <v>71</v>
      </c>
      <c r="B40">
        <v>93979000000</v>
      </c>
      <c r="C40">
        <v>4368000000</v>
      </c>
      <c r="D40">
        <v>1102400000</v>
      </c>
      <c r="E40">
        <v>4449000000</v>
      </c>
      <c r="F40">
        <v>0.26593686799649507</v>
      </c>
    </row>
    <row r="41" spans="1:6" x14ac:dyDescent="0.25">
      <c r="A41" s="73" t="s">
        <v>72</v>
      </c>
      <c r="B41">
        <v>84585000000</v>
      </c>
      <c r="C41">
        <v>3835000000</v>
      </c>
      <c r="D41">
        <v>1054700000</v>
      </c>
      <c r="E41">
        <v>3005000000</v>
      </c>
      <c r="F41">
        <v>9.1227592399897972E-2</v>
      </c>
    </row>
    <row r="42" spans="1:6" x14ac:dyDescent="0.25">
      <c r="A42" s="73" t="s">
        <v>73</v>
      </c>
      <c r="B42">
        <v>77617000000</v>
      </c>
      <c r="C42">
        <v>3714000000</v>
      </c>
      <c r="D42">
        <v>956000000</v>
      </c>
      <c r="E42">
        <v>12861000000</v>
      </c>
      <c r="F42">
        <v>-1.8512739374761281E-2</v>
      </c>
    </row>
    <row r="43" spans="1:6" x14ac:dyDescent="0.25">
      <c r="A43" s="73" t="s">
        <v>74</v>
      </c>
      <c r="B43">
        <v>76392000000</v>
      </c>
      <c r="C43">
        <v>2787000000</v>
      </c>
      <c r="D43">
        <v>956000000</v>
      </c>
      <c r="E43">
        <v>2646000000</v>
      </c>
      <c r="F43">
        <v>6.2203890530070798E-2</v>
      </c>
    </row>
    <row r="44" spans="1:6" x14ac:dyDescent="0.25">
      <c r="A44" s="73" t="s">
        <v>75</v>
      </c>
      <c r="B44">
        <v>75276000000</v>
      </c>
      <c r="C44">
        <v>2473000000</v>
      </c>
      <c r="D44">
        <v>967600000</v>
      </c>
      <c r="E44">
        <v>2126000000</v>
      </c>
    </row>
    <row r="45" spans="1:6" x14ac:dyDescent="0.25">
      <c r="A45" s="73" t="s">
        <v>76</v>
      </c>
      <c r="B45">
        <v>74188000000</v>
      </c>
      <c r="C45">
        <v>2517000000</v>
      </c>
      <c r="D45">
        <v>963700000</v>
      </c>
      <c r="E45">
        <v>1777000000</v>
      </c>
      <c r="F45">
        <v>7.3985783396792959E-2</v>
      </c>
    </row>
    <row r="46" spans="1:6" x14ac:dyDescent="0.25">
      <c r="A46" s="73" t="s">
        <v>77</v>
      </c>
      <c r="B46">
        <v>73230000000</v>
      </c>
      <c r="C46">
        <v>2593000000</v>
      </c>
      <c r="D46">
        <v>961500000</v>
      </c>
      <c r="E46">
        <v>969000000</v>
      </c>
      <c r="F46">
        <v>0.16141060932085941</v>
      </c>
    </row>
    <row r="47" spans="1:6" x14ac:dyDescent="0.25">
      <c r="A47" s="73" t="s">
        <v>78</v>
      </c>
      <c r="B47">
        <v>72217000000</v>
      </c>
      <c r="C47">
        <v>3089000000</v>
      </c>
      <c r="D47">
        <v>957300000</v>
      </c>
      <c r="E47">
        <v>2106000000</v>
      </c>
      <c r="F47">
        <v>3.624550131787041E-2</v>
      </c>
    </row>
    <row r="48" spans="1:6" x14ac:dyDescent="0.25">
      <c r="A48" s="73" t="s">
        <v>79</v>
      </c>
      <c r="B48">
        <v>71349000000</v>
      </c>
      <c r="C48">
        <v>2624000000</v>
      </c>
      <c r="D48">
        <v>959000000</v>
      </c>
      <c r="E48">
        <v>2994000000</v>
      </c>
      <c r="F48">
        <v>9.9619792079765679E-2</v>
      </c>
    </row>
    <row r="49" spans="1:6" x14ac:dyDescent="0.25">
      <c r="A49" s="73" t="s">
        <v>80</v>
      </c>
      <c r="B49">
        <v>70788000000</v>
      </c>
      <c r="C49">
        <v>3006000000</v>
      </c>
      <c r="D49">
        <v>953400000</v>
      </c>
      <c r="E49">
        <v>2431000000</v>
      </c>
      <c r="F49">
        <v>-2.1486498364698962E-2</v>
      </c>
    </row>
    <row r="50" spans="1:6" x14ac:dyDescent="0.25">
      <c r="A50" s="73" t="s">
        <v>81</v>
      </c>
      <c r="B50">
        <v>70792000000</v>
      </c>
      <c r="C50">
        <v>2756000000</v>
      </c>
      <c r="D50">
        <v>951200000</v>
      </c>
      <c r="E50">
        <v>1829000000</v>
      </c>
      <c r="F50">
        <v>0.117170079969158</v>
      </c>
    </row>
    <row r="51" spans="1:6" x14ac:dyDescent="0.25">
      <c r="A51" s="73" t="s">
        <v>82</v>
      </c>
      <c r="B51">
        <v>71633000000</v>
      </c>
      <c r="C51">
        <v>2881000000</v>
      </c>
      <c r="D51">
        <v>895300000</v>
      </c>
      <c r="E51">
        <v>1297000000</v>
      </c>
      <c r="F51">
        <v>1.14793788612455E-3</v>
      </c>
    </row>
    <row r="52" spans="1:6" x14ac:dyDescent="0.25">
      <c r="A52" s="73" t="s">
        <v>83</v>
      </c>
      <c r="B52">
        <v>72527000000</v>
      </c>
      <c r="C52">
        <v>2409000000</v>
      </c>
      <c r="D52">
        <v>865200000</v>
      </c>
      <c r="E52">
        <v>1995000000</v>
      </c>
      <c r="F52">
        <v>-4.9279983724348157E-2</v>
      </c>
    </row>
    <row r="53" spans="1:6" x14ac:dyDescent="0.25">
      <c r="A53" s="73" t="s">
        <v>84</v>
      </c>
      <c r="B53">
        <v>73146000000</v>
      </c>
      <c r="C53">
        <v>1941000000</v>
      </c>
      <c r="D53">
        <v>874700000</v>
      </c>
      <c r="E53">
        <v>1084000000</v>
      </c>
      <c r="F53">
        <v>-5.0384163874175334E-3</v>
      </c>
    </row>
    <row r="54" spans="1:6" x14ac:dyDescent="0.25">
      <c r="A54" s="73" t="s">
        <v>85</v>
      </c>
      <c r="B54">
        <v>72997000000</v>
      </c>
      <c r="C54">
        <v>1928000000</v>
      </c>
      <c r="D54">
        <v>885200000</v>
      </c>
      <c r="E54">
        <v>1094000000</v>
      </c>
      <c r="F54">
        <v>0.109375</v>
      </c>
    </row>
    <row r="55" spans="1:6" x14ac:dyDescent="0.25">
      <c r="A55" s="73" t="s">
        <v>86</v>
      </c>
      <c r="B55">
        <v>72184000000</v>
      </c>
      <c r="C55">
        <v>2430000000</v>
      </c>
      <c r="D55">
        <v>910700000</v>
      </c>
      <c r="E55">
        <v>1556000000</v>
      </c>
      <c r="F55">
        <v>2.629843183165392E-2</v>
      </c>
    </row>
    <row r="56" spans="1:6" x14ac:dyDescent="0.25">
      <c r="A56" s="73" t="s">
        <v>87</v>
      </c>
      <c r="B56">
        <v>71087000000</v>
      </c>
      <c r="C56">
        <v>3279000000</v>
      </c>
      <c r="D56">
        <v>922200000</v>
      </c>
      <c r="E56">
        <v>2652000000</v>
      </c>
      <c r="F56">
        <v>3.4234179312750752E-2</v>
      </c>
    </row>
    <row r="57" spans="1:6" x14ac:dyDescent="0.25">
      <c r="A57" s="73" t="s">
        <v>88</v>
      </c>
      <c r="B57">
        <v>69915000000</v>
      </c>
      <c r="C57">
        <v>3073000000</v>
      </c>
      <c r="D57">
        <v>928000000</v>
      </c>
      <c r="E57">
        <v>2243000000</v>
      </c>
      <c r="F57">
        <v>8.9185848001412937E-2</v>
      </c>
    </row>
    <row r="58" spans="1:6" x14ac:dyDescent="0.25">
      <c r="A58" s="73" t="s">
        <v>89</v>
      </c>
      <c r="B58">
        <v>68400000000</v>
      </c>
      <c r="C58">
        <v>2758000000</v>
      </c>
      <c r="D58">
        <v>934300000</v>
      </c>
      <c r="E58">
        <v>2062000000</v>
      </c>
      <c r="F58">
        <v>-9.7132820948423348E-2</v>
      </c>
    </row>
    <row r="59" spans="1:6" x14ac:dyDescent="0.25">
      <c r="A59" s="73" t="s">
        <v>90</v>
      </c>
      <c r="B59">
        <v>67420000000</v>
      </c>
      <c r="C59">
        <v>2730000000</v>
      </c>
      <c r="D59">
        <v>934300000</v>
      </c>
      <c r="E59">
        <v>1880000000</v>
      </c>
      <c r="F59">
        <v>-4.7764468891294709E-2</v>
      </c>
    </row>
    <row r="60" spans="1:6" x14ac:dyDescent="0.25">
      <c r="A60" s="73" t="s">
        <v>91</v>
      </c>
      <c r="B60">
        <v>66253000000</v>
      </c>
      <c r="C60">
        <v>2492000000</v>
      </c>
      <c r="D60">
        <v>982000000</v>
      </c>
      <c r="E60">
        <v>2312000000</v>
      </c>
      <c r="F60">
        <v>0.1726971654534237</v>
      </c>
    </row>
    <row r="61" spans="1:6" x14ac:dyDescent="0.25">
      <c r="A61" s="73" t="s">
        <v>92</v>
      </c>
      <c r="B61">
        <v>65264000000</v>
      </c>
      <c r="C61">
        <v>2775000000</v>
      </c>
      <c r="D61">
        <v>989800000</v>
      </c>
      <c r="E61">
        <v>3101000000</v>
      </c>
      <c r="F61">
        <v>7.4644040242792142E-2</v>
      </c>
    </row>
    <row r="62" spans="1:6" x14ac:dyDescent="0.25">
      <c r="A62" s="73" t="s">
        <v>93</v>
      </c>
      <c r="B62">
        <v>64752000000</v>
      </c>
      <c r="C62">
        <v>3374000000</v>
      </c>
      <c r="D62">
        <v>993400000</v>
      </c>
      <c r="E62">
        <v>3152000000</v>
      </c>
      <c r="F62">
        <v>7.199326506991377E-2</v>
      </c>
    </row>
    <row r="63" spans="1:6" x14ac:dyDescent="0.25">
      <c r="A63" s="73" t="s">
        <v>94</v>
      </c>
      <c r="B63">
        <v>63335000000</v>
      </c>
      <c r="C63">
        <v>2184000000</v>
      </c>
      <c r="D63">
        <v>993400000</v>
      </c>
      <c r="E63">
        <v>2587000000</v>
      </c>
      <c r="F63">
        <v>-6.215653307848823E-2</v>
      </c>
    </row>
    <row r="64" spans="1:6" x14ac:dyDescent="0.25">
      <c r="A64" s="73" t="s">
        <v>95</v>
      </c>
      <c r="B64">
        <v>62229100000</v>
      </c>
      <c r="C64">
        <v>1700600000</v>
      </c>
      <c r="D64">
        <v>993000000</v>
      </c>
      <c r="E64">
        <v>2400000000</v>
      </c>
      <c r="F64">
        <v>0.1373690774988845</v>
      </c>
    </row>
    <row r="65" spans="1:6" x14ac:dyDescent="0.25">
      <c r="A65" s="73" t="s">
        <v>96</v>
      </c>
      <c r="B65">
        <v>61034800000</v>
      </c>
      <c r="C65">
        <v>998800000</v>
      </c>
      <c r="D65">
        <v>988900000</v>
      </c>
      <c r="E65">
        <v>1559000000</v>
      </c>
      <c r="F65">
        <v>8.6465882704500618E-2</v>
      </c>
    </row>
    <row r="66" spans="1:6" x14ac:dyDescent="0.25">
      <c r="A66" s="73" t="s">
        <v>97</v>
      </c>
      <c r="B66">
        <v>59953400000</v>
      </c>
      <c r="C66">
        <v>588100000</v>
      </c>
      <c r="D66">
        <v>990200000</v>
      </c>
      <c r="E66">
        <v>886000000</v>
      </c>
      <c r="F66">
        <v>0.1813367583886398</v>
      </c>
    </row>
    <row r="67" spans="1:6" x14ac:dyDescent="0.25">
      <c r="A67" s="73" t="s">
        <v>98</v>
      </c>
      <c r="B67">
        <v>59034300000</v>
      </c>
      <c r="C67">
        <v>814000000</v>
      </c>
      <c r="D67">
        <v>990200000</v>
      </c>
      <c r="E67">
        <v>442700000</v>
      </c>
      <c r="F67">
        <v>8.7590805796669446E-2</v>
      </c>
    </row>
    <row r="68" spans="1:6" x14ac:dyDescent="0.25">
      <c r="A68" s="73" t="s">
        <v>99</v>
      </c>
      <c r="B68">
        <v>57858700000</v>
      </c>
      <c r="C68">
        <v>578000000</v>
      </c>
      <c r="D68">
        <v>994000000</v>
      </c>
      <c r="E68">
        <v>471800000</v>
      </c>
      <c r="F68">
        <v>0.1147517129132811</v>
      </c>
    </row>
    <row r="69" spans="1:6" x14ac:dyDescent="0.25">
      <c r="A69" s="73" t="s">
        <v>100</v>
      </c>
      <c r="B69">
        <v>56541300000</v>
      </c>
      <c r="C69">
        <v>483600000</v>
      </c>
      <c r="D69">
        <v>995000000</v>
      </c>
      <c r="E69">
        <v>255300000</v>
      </c>
      <c r="F69">
        <v>7.1796403826693611E-2</v>
      </c>
    </row>
    <row r="70" spans="1:6" x14ac:dyDescent="0.25">
      <c r="A70" s="73" t="s">
        <v>101</v>
      </c>
      <c r="B70">
        <v>55081400000</v>
      </c>
      <c r="C70">
        <v>389300000</v>
      </c>
      <c r="D70">
        <v>997500000</v>
      </c>
      <c r="E70">
        <v>295100000</v>
      </c>
      <c r="F70">
        <v>5.3646628713066143E-2</v>
      </c>
    </row>
    <row r="71" spans="1:6" x14ac:dyDescent="0.25">
      <c r="A71" s="73" t="s">
        <v>102</v>
      </c>
      <c r="B71">
        <v>53762000000</v>
      </c>
      <c r="C71">
        <v>571400000</v>
      </c>
      <c r="D71">
        <v>997500000</v>
      </c>
      <c r="E71">
        <v>254800000</v>
      </c>
      <c r="F71">
        <v>0.26705560323081601</v>
      </c>
    </row>
    <row r="72" spans="1:6" x14ac:dyDescent="0.25">
      <c r="A72" s="73" t="s">
        <v>103</v>
      </c>
      <c r="B72">
        <v>52510800000</v>
      </c>
      <c r="C72">
        <v>547800000</v>
      </c>
      <c r="D72">
        <v>1003400000</v>
      </c>
      <c r="E72">
        <v>758100000</v>
      </c>
      <c r="F72">
        <v>0.1042634024081739</v>
      </c>
    </row>
    <row r="73" spans="1:6" x14ac:dyDescent="0.25">
      <c r="A73" s="73" t="s">
        <v>104</v>
      </c>
      <c r="B73">
        <v>50987700000</v>
      </c>
      <c r="C73">
        <v>987700000</v>
      </c>
      <c r="D73">
        <v>1007200000</v>
      </c>
      <c r="E73">
        <v>958100000</v>
      </c>
      <c r="F73">
        <v>7.0452002696680838E-2</v>
      </c>
    </row>
    <row r="74" spans="1:6" x14ac:dyDescent="0.25">
      <c r="A74" s="73" t="s">
        <v>105</v>
      </c>
      <c r="B74">
        <v>49217100000</v>
      </c>
      <c r="C74">
        <v>1084800000</v>
      </c>
      <c r="D74">
        <v>1013400000</v>
      </c>
      <c r="E74">
        <v>769400000</v>
      </c>
      <c r="F74">
        <v>0.1090027127444864</v>
      </c>
    </row>
    <row r="75" spans="1:6" x14ac:dyDescent="0.25">
      <c r="A75" s="73" t="s">
        <v>106</v>
      </c>
      <c r="B75">
        <v>47409000000</v>
      </c>
      <c r="C75">
        <v>1101800000</v>
      </c>
      <c r="D75">
        <v>1013400000</v>
      </c>
      <c r="E75">
        <v>1335000000</v>
      </c>
      <c r="F75">
        <v>0.18792333276162701</v>
      </c>
    </row>
    <row r="76" spans="1:6" x14ac:dyDescent="0.25">
      <c r="A76" s="73" t="s">
        <v>107</v>
      </c>
      <c r="B76">
        <v>45733600000</v>
      </c>
      <c r="C76">
        <v>1235500000</v>
      </c>
      <c r="D76">
        <v>1017900000</v>
      </c>
      <c r="E76">
        <v>1803200000</v>
      </c>
      <c r="F76">
        <v>7.3050599043450903E-2</v>
      </c>
    </row>
    <row r="77" spans="1:6" x14ac:dyDescent="0.25">
      <c r="A77" s="73" t="s">
        <v>108</v>
      </c>
      <c r="B77">
        <v>44389000000</v>
      </c>
      <c r="C77">
        <v>780300000</v>
      </c>
      <c r="D77">
        <v>1020000000</v>
      </c>
      <c r="E77">
        <v>1224800000</v>
      </c>
      <c r="F77">
        <v>0.1283340101028487</v>
      </c>
    </row>
    <row r="78" spans="1:6" x14ac:dyDescent="0.25">
      <c r="A78" s="73" t="s">
        <v>109</v>
      </c>
      <c r="B78">
        <v>43212900000</v>
      </c>
      <c r="C78">
        <v>474900000</v>
      </c>
      <c r="D78">
        <v>1022300000</v>
      </c>
      <c r="E78">
        <v>895500000</v>
      </c>
      <c r="F78">
        <v>6.8862166223417676E-2</v>
      </c>
    </row>
    <row r="79" spans="1:6" x14ac:dyDescent="0.25">
      <c r="A79" s="73" t="s">
        <v>110</v>
      </c>
      <c r="B79">
        <v>42201600000</v>
      </c>
      <c r="C79">
        <v>133700000</v>
      </c>
      <c r="D79">
        <v>1022300000</v>
      </c>
      <c r="E79">
        <v>1071600000</v>
      </c>
      <c r="F79">
        <v>0.1734956974338846</v>
      </c>
    </row>
    <row r="80" spans="1:6" x14ac:dyDescent="0.25">
      <c r="A80" s="73" t="s">
        <v>111</v>
      </c>
      <c r="B80">
        <v>41133400000</v>
      </c>
      <c r="C80">
        <v>234800000</v>
      </c>
      <c r="D80">
        <v>1029100000</v>
      </c>
      <c r="E80">
        <v>1370200000</v>
      </c>
      <c r="F80">
        <v>7.1208270710445332E-2</v>
      </c>
    </row>
    <row r="81" spans="1:6" x14ac:dyDescent="0.25">
      <c r="A81" s="73" t="s">
        <v>112</v>
      </c>
      <c r="B81">
        <v>39881300000</v>
      </c>
      <c r="C81">
        <v>505800000</v>
      </c>
      <c r="D81">
        <v>1029600000</v>
      </c>
      <c r="E81">
        <v>1447200000</v>
      </c>
      <c r="F81">
        <v>0.1465616970620105</v>
      </c>
    </row>
    <row r="82" spans="1:6" x14ac:dyDescent="0.25">
      <c r="A82" s="73" t="s">
        <v>113</v>
      </c>
      <c r="B82">
        <v>38676500000</v>
      </c>
      <c r="C82">
        <v>544900000</v>
      </c>
      <c r="D82">
        <v>1029400000</v>
      </c>
      <c r="E82">
        <v>1313400000</v>
      </c>
      <c r="F82">
        <v>5.5762441863131729E-2</v>
      </c>
    </row>
    <row r="83" spans="1:6" x14ac:dyDescent="0.25">
      <c r="A83" s="73" t="s">
        <v>114</v>
      </c>
      <c r="B83">
        <v>37508200000</v>
      </c>
      <c r="C83">
        <v>713200000</v>
      </c>
      <c r="D83">
        <v>1029400000</v>
      </c>
      <c r="E83">
        <v>1695500000</v>
      </c>
      <c r="F83">
        <v>0.106253989983508</v>
      </c>
    </row>
    <row r="84" spans="1:6" x14ac:dyDescent="0.25">
      <c r="A84" s="73" t="s">
        <v>115</v>
      </c>
      <c r="B84">
        <v>36327900000</v>
      </c>
      <c r="C84">
        <v>926200000</v>
      </c>
      <c r="D84">
        <v>1030300000</v>
      </c>
      <c r="E84">
        <v>1577000000</v>
      </c>
      <c r="F84">
        <v>0.11421372178194029</v>
      </c>
    </row>
    <row r="85" spans="1:6" x14ac:dyDescent="0.25">
      <c r="A85" s="73" t="s">
        <v>116</v>
      </c>
      <c r="B85">
        <v>35077400000</v>
      </c>
      <c r="C85">
        <v>604000000</v>
      </c>
      <c r="D85">
        <v>1032400000</v>
      </c>
      <c r="E85">
        <v>1107200000</v>
      </c>
      <c r="F85">
        <v>0.1857673391269343</v>
      </c>
    </row>
    <row r="86" spans="1:6" x14ac:dyDescent="0.25">
      <c r="A86" s="73" t="s">
        <v>117</v>
      </c>
      <c r="B86">
        <v>33741300000</v>
      </c>
      <c r="C86">
        <v>711100000</v>
      </c>
      <c r="D86">
        <v>1032200000</v>
      </c>
      <c r="E86">
        <v>868100000</v>
      </c>
      <c r="F86">
        <v>0.16511910646768821</v>
      </c>
    </row>
    <row r="87" spans="1:6" x14ac:dyDescent="0.25">
      <c r="A87" s="73" t="s">
        <v>118</v>
      </c>
      <c r="B87">
        <v>32505400000</v>
      </c>
      <c r="C87">
        <v>696400000</v>
      </c>
      <c r="D87">
        <v>1032200000</v>
      </c>
      <c r="E87">
        <v>1017100000</v>
      </c>
      <c r="F87">
        <v>0.1397454148411261</v>
      </c>
    </row>
    <row r="88" spans="1:6" x14ac:dyDescent="0.25">
      <c r="A88" s="73" t="s">
        <v>119</v>
      </c>
      <c r="B88">
        <v>31494300000</v>
      </c>
      <c r="C88">
        <v>582300000</v>
      </c>
      <c r="D88">
        <v>1031100000</v>
      </c>
      <c r="E88">
        <v>854400000</v>
      </c>
      <c r="F88">
        <v>0.16454296665269871</v>
      </c>
    </row>
    <row r="89" spans="1:6" x14ac:dyDescent="0.25">
      <c r="A89" s="73" t="s">
        <v>120</v>
      </c>
      <c r="B89">
        <v>30564200000</v>
      </c>
      <c r="C89">
        <v>734400000</v>
      </c>
      <c r="D89">
        <v>1031000000</v>
      </c>
      <c r="E89">
        <v>683200000</v>
      </c>
      <c r="F89">
        <v>0.12787607665086459</v>
      </c>
    </row>
    <row r="90" spans="1:6" x14ac:dyDescent="0.25">
      <c r="A90" s="73" t="s">
        <v>121</v>
      </c>
      <c r="B90">
        <v>29606600000</v>
      </c>
      <c r="C90">
        <v>707100000</v>
      </c>
      <c r="D90">
        <v>1032400000</v>
      </c>
      <c r="E90">
        <v>294300000</v>
      </c>
      <c r="F90">
        <v>8.4040461017776069E-2</v>
      </c>
    </row>
    <row r="91" spans="1:6" x14ac:dyDescent="0.25">
      <c r="A91" s="73" t="s">
        <v>122</v>
      </c>
      <c r="B91">
        <v>28681100000</v>
      </c>
      <c r="C91">
        <v>539400000</v>
      </c>
      <c r="D91">
        <v>1032400000</v>
      </c>
      <c r="E91">
        <v>449900000</v>
      </c>
      <c r="F91">
        <v>0.19751607358838871</v>
      </c>
    </row>
    <row r="92" spans="1:6" x14ac:dyDescent="0.25">
      <c r="A92" s="73" t="s">
        <v>123</v>
      </c>
      <c r="B92">
        <v>27729400000</v>
      </c>
      <c r="C92">
        <v>325000000</v>
      </c>
      <c r="D92">
        <v>1033900000</v>
      </c>
      <c r="E92">
        <v>286200000</v>
      </c>
      <c r="F92">
        <v>0.17497855849560051</v>
      </c>
    </row>
    <row r="93" spans="1:6" x14ac:dyDescent="0.25">
      <c r="A93" s="73" t="s">
        <v>124</v>
      </c>
      <c r="B93">
        <v>26627700000</v>
      </c>
      <c r="C93">
        <v>-64400000</v>
      </c>
      <c r="D93">
        <v>1031800000</v>
      </c>
      <c r="E93">
        <v>16100000</v>
      </c>
      <c r="F93">
        <v>0.1648001244361488</v>
      </c>
    </row>
    <row r="94" spans="1:6" x14ac:dyDescent="0.25">
      <c r="A94" s="73" t="s">
        <v>125</v>
      </c>
      <c r="B94">
        <v>25568200000</v>
      </c>
      <c r="C94">
        <v>-306800000</v>
      </c>
      <c r="D94">
        <v>1029900000</v>
      </c>
      <c r="E94">
        <v>34300000</v>
      </c>
      <c r="F94">
        <v>9.9631815931032097E-2</v>
      </c>
    </row>
    <row r="95" spans="1:6" x14ac:dyDescent="0.25">
      <c r="A95" s="73" t="s">
        <v>126</v>
      </c>
      <c r="B95">
        <v>24623000000</v>
      </c>
      <c r="C95">
        <v>-517800000</v>
      </c>
      <c r="D95">
        <v>1029900000</v>
      </c>
      <c r="E95">
        <v>16900000</v>
      </c>
      <c r="F95">
        <v>0.1677817424918229</v>
      </c>
    </row>
    <row r="96" spans="1:6" x14ac:dyDescent="0.25">
      <c r="A96" s="73" t="s">
        <v>127</v>
      </c>
      <c r="B96">
        <v>23720200000</v>
      </c>
      <c r="C96">
        <v>-350100000</v>
      </c>
      <c r="D96">
        <v>1030900000</v>
      </c>
      <c r="E96">
        <v>98700000</v>
      </c>
      <c r="F96">
        <v>0.22029456424612071</v>
      </c>
    </row>
    <row r="97" spans="1:6" x14ac:dyDescent="0.25">
      <c r="A97" s="73" t="s">
        <v>128</v>
      </c>
      <c r="B97">
        <v>22818100000</v>
      </c>
      <c r="C97">
        <v>-295900000</v>
      </c>
      <c r="D97">
        <v>1029500000</v>
      </c>
      <c r="E97">
        <v>74600000</v>
      </c>
      <c r="F97">
        <v>0.14623448866067609</v>
      </c>
    </row>
    <row r="98" spans="1:6" x14ac:dyDescent="0.25">
      <c r="A98" s="73" t="s">
        <v>129</v>
      </c>
      <c r="B98">
        <v>21997900000</v>
      </c>
      <c r="C98">
        <v>-343000000</v>
      </c>
      <c r="D98">
        <v>1026200000</v>
      </c>
      <c r="E98">
        <v>14200000</v>
      </c>
      <c r="F98">
        <v>0.16399900481008459</v>
      </c>
    </row>
    <row r="99" spans="1:6" x14ac:dyDescent="0.25">
      <c r="A99" s="73" t="s">
        <v>130</v>
      </c>
      <c r="B99">
        <v>21206900000</v>
      </c>
      <c r="C99">
        <v>-147400000</v>
      </c>
      <c r="D99">
        <v>1026200000</v>
      </c>
      <c r="E99">
        <v>12800000</v>
      </c>
      <c r="F99">
        <v>0.17999999999999991</v>
      </c>
    </row>
    <row r="100" spans="1:6" x14ac:dyDescent="0.25">
      <c r="A100" s="73" t="s">
        <v>131</v>
      </c>
      <c r="B100">
        <v>20386100000</v>
      </c>
      <c r="C100">
        <v>-256800000</v>
      </c>
      <c r="D100">
        <v>1020300000</v>
      </c>
      <c r="E100">
        <v>47000000</v>
      </c>
      <c r="F100">
        <v>0.1144130413002582</v>
      </c>
    </row>
    <row r="101" spans="1:6" x14ac:dyDescent="0.25">
      <c r="A101" s="73" t="s">
        <v>132</v>
      </c>
      <c r="B101">
        <v>19563400000</v>
      </c>
      <c r="C101">
        <v>-338900000</v>
      </c>
      <c r="D101">
        <v>1019400000</v>
      </c>
      <c r="E101">
        <v>11800000</v>
      </c>
      <c r="F101">
        <v>0.2454700488168835</v>
      </c>
    </row>
    <row r="102" spans="1:6" x14ac:dyDescent="0.25">
      <c r="A102" s="73" t="s">
        <v>133</v>
      </c>
      <c r="B102">
        <v>18645600000</v>
      </c>
      <c r="C102">
        <v>-207800000</v>
      </c>
      <c r="D102">
        <v>1017500000</v>
      </c>
      <c r="E102">
        <v>12000000</v>
      </c>
      <c r="F102">
        <v>0.20099601593625491</v>
      </c>
    </row>
    <row r="103" spans="1:6" x14ac:dyDescent="0.25">
      <c r="A103" s="73" t="s">
        <v>134</v>
      </c>
      <c r="B103">
        <v>17838400000</v>
      </c>
      <c r="C103">
        <v>-71100000</v>
      </c>
      <c r="D103">
        <v>1017500000</v>
      </c>
      <c r="E103">
        <v>141800000</v>
      </c>
      <c r="F103">
        <v>0.18719083571986461</v>
      </c>
    </row>
    <row r="104" spans="1:6" x14ac:dyDescent="0.25">
      <c r="A104" s="73" t="s">
        <v>135</v>
      </c>
      <c r="B104">
        <v>17119400000</v>
      </c>
      <c r="C104">
        <v>2300000</v>
      </c>
      <c r="D104">
        <v>1015600000</v>
      </c>
      <c r="E104">
        <v>255300000</v>
      </c>
      <c r="F104">
        <v>9.7669153331618297E-2</v>
      </c>
    </row>
    <row r="105" spans="1:6" x14ac:dyDescent="0.25">
      <c r="A105" s="73" t="s">
        <v>136</v>
      </c>
      <c r="B105">
        <v>16435000000</v>
      </c>
      <c r="C105">
        <v>122200000</v>
      </c>
      <c r="D105">
        <v>1013600000</v>
      </c>
      <c r="E105">
        <v>263600000</v>
      </c>
      <c r="F105">
        <v>0.14582315583781141</v>
      </c>
    </row>
    <row r="106" spans="1:6" x14ac:dyDescent="0.25">
      <c r="A106" s="73" t="s">
        <v>137</v>
      </c>
      <c r="B106">
        <v>15838000000</v>
      </c>
      <c r="C106">
        <v>-42000000</v>
      </c>
      <c r="D106">
        <v>2022400000</v>
      </c>
      <c r="E106">
        <v>113000000</v>
      </c>
      <c r="F106">
        <v>3.7130559540889507E-2</v>
      </c>
    </row>
    <row r="107" spans="1:6" x14ac:dyDescent="0.25">
      <c r="A107" s="73" t="s">
        <v>138</v>
      </c>
      <c r="B107">
        <v>15307000000</v>
      </c>
      <c r="C107">
        <v>-70000000</v>
      </c>
      <c r="D107">
        <v>2024000000</v>
      </c>
      <c r="E107">
        <v>144000000</v>
      </c>
      <c r="F107">
        <v>0.1628470224940208</v>
      </c>
    </row>
    <row r="108" spans="1:6" x14ac:dyDescent="0.25">
      <c r="A108" s="73" t="s">
        <v>139</v>
      </c>
      <c r="B108">
        <v>14769100000</v>
      </c>
      <c r="C108">
        <v>-88800000</v>
      </c>
      <c r="D108">
        <v>2014200000</v>
      </c>
      <c r="E108">
        <v>111000000</v>
      </c>
      <c r="F108">
        <v>0.14212675932183469</v>
      </c>
    </row>
    <row r="109" spans="1:6" x14ac:dyDescent="0.25">
      <c r="A109" s="73" t="s">
        <v>140</v>
      </c>
      <c r="B109">
        <v>14285400000</v>
      </c>
      <c r="C109">
        <v>-42000000</v>
      </c>
      <c r="D109">
        <v>2009800000</v>
      </c>
      <c r="E109">
        <v>35000000</v>
      </c>
      <c r="F109">
        <v>0.13640148781435621</v>
      </c>
    </row>
    <row r="110" spans="1:6" x14ac:dyDescent="0.25">
      <c r="A110" s="73" t="s">
        <v>141</v>
      </c>
      <c r="B110">
        <v>13794000000</v>
      </c>
      <c r="C110">
        <v>-7700000</v>
      </c>
      <c r="D110">
        <v>2004000000</v>
      </c>
      <c r="E110">
        <v>14000000</v>
      </c>
      <c r="F110">
        <v>0.14112639161755069</v>
      </c>
    </row>
    <row r="111" spans="1:6" x14ac:dyDescent="0.25">
      <c r="A111" s="73" t="s">
        <v>142</v>
      </c>
      <c r="B111">
        <v>13363000000</v>
      </c>
      <c r="C111">
        <v>165000000</v>
      </c>
      <c r="D111">
        <v>2004000000</v>
      </c>
      <c r="E111">
        <v>73000000</v>
      </c>
      <c r="F111">
        <v>0.1320903451348665</v>
      </c>
    </row>
    <row r="112" spans="1:6" x14ac:dyDescent="0.25">
      <c r="A112" s="73" t="s">
        <v>143</v>
      </c>
      <c r="B112">
        <v>12977600000</v>
      </c>
      <c r="C112">
        <v>199800000</v>
      </c>
      <c r="D112">
        <v>984564000</v>
      </c>
      <c r="E112">
        <v>137700000</v>
      </c>
      <c r="F112">
        <v>0.1386844218415417</v>
      </c>
    </row>
    <row r="113" spans="1:6" x14ac:dyDescent="0.25">
      <c r="A113" s="73" t="s">
        <v>144</v>
      </c>
      <c r="B113">
        <v>12563100000</v>
      </c>
      <c r="C113">
        <v>76500000</v>
      </c>
      <c r="D113">
        <v>984564000</v>
      </c>
      <c r="E113">
        <v>20900000</v>
      </c>
      <c r="F113">
        <v>0.13321380264854829</v>
      </c>
    </row>
    <row r="114" spans="1:6" x14ac:dyDescent="0.25">
      <c r="A114" s="73" t="s">
        <v>145</v>
      </c>
      <c r="B114">
        <v>12139600000</v>
      </c>
      <c r="C114">
        <v>118700000</v>
      </c>
      <c r="D114">
        <v>984564000</v>
      </c>
      <c r="E114">
        <v>30100000</v>
      </c>
      <c r="F114">
        <v>-2.7883881090314921E-2</v>
      </c>
    </row>
    <row r="115" spans="1:6" x14ac:dyDescent="0.25">
      <c r="A115" s="73" t="s">
        <v>146</v>
      </c>
      <c r="B115">
        <v>11778400000</v>
      </c>
      <c r="C115">
        <v>46700000</v>
      </c>
      <c r="D115">
        <v>984564000</v>
      </c>
      <c r="E115">
        <v>8800000</v>
      </c>
      <c r="F115">
        <v>0.1374161858724465</v>
      </c>
    </row>
    <row r="116" spans="1:6" x14ac:dyDescent="0.25">
      <c r="A116" s="73" t="s">
        <v>147</v>
      </c>
      <c r="B116">
        <v>11425900000</v>
      </c>
      <c r="C116">
        <v>-4500000</v>
      </c>
      <c r="D116">
        <v>984564000</v>
      </c>
      <c r="E116">
        <v>48100000</v>
      </c>
    </row>
    <row r="117" spans="1:6" x14ac:dyDescent="0.25">
      <c r="A117" s="73" t="s">
        <v>148</v>
      </c>
      <c r="B117">
        <v>11054500000</v>
      </c>
      <c r="C117">
        <v>92600000</v>
      </c>
      <c r="D117">
        <v>984564000</v>
      </c>
      <c r="E117">
        <v>7800000</v>
      </c>
    </row>
    <row r="118" spans="1:6" x14ac:dyDescent="0.25">
      <c r="A118" s="73" t="s">
        <v>149</v>
      </c>
      <c r="B118">
        <v>10682400000</v>
      </c>
      <c r="C118">
        <v>40600000</v>
      </c>
      <c r="D118">
        <v>984564000</v>
      </c>
      <c r="E118">
        <v>7600000</v>
      </c>
    </row>
    <row r="119" spans="1:6" x14ac:dyDescent="0.25">
      <c r="A119" s="73" t="s">
        <v>150</v>
      </c>
      <c r="B119">
        <v>10395200000</v>
      </c>
      <c r="C119">
        <v>34700000</v>
      </c>
      <c r="D119">
        <v>984564000</v>
      </c>
      <c r="E119">
        <v>22200000</v>
      </c>
    </row>
    <row r="120" spans="1:6" x14ac:dyDescent="0.25">
      <c r="A120" s="73" t="s">
        <v>151</v>
      </c>
      <c r="B120">
        <v>10112500000</v>
      </c>
      <c r="C120">
        <v>29100000</v>
      </c>
      <c r="D120">
        <v>989608000</v>
      </c>
      <c r="E120">
        <v>116000000</v>
      </c>
    </row>
    <row r="121" spans="1:6" x14ac:dyDescent="0.25">
      <c r="A121" s="73" t="s">
        <v>152</v>
      </c>
      <c r="B121">
        <v>9831100000</v>
      </c>
      <c r="C121">
        <v>100600000</v>
      </c>
      <c r="D121">
        <v>984568000</v>
      </c>
      <c r="E121">
        <v>53400000</v>
      </c>
    </row>
    <row r="122" spans="1:6" x14ac:dyDescent="0.25">
      <c r="A122" s="73" t="s">
        <v>153</v>
      </c>
      <c r="B122">
        <v>9522600000</v>
      </c>
      <c r="C122">
        <v>75700000</v>
      </c>
      <c r="D122">
        <v>984568000</v>
      </c>
      <c r="E122">
        <v>16200000</v>
      </c>
    </row>
    <row r="123" spans="1:6" x14ac:dyDescent="0.25">
      <c r="A123" s="73" t="s">
        <v>154</v>
      </c>
      <c r="B123">
        <v>9235000000</v>
      </c>
      <c r="C123">
        <v>65400000</v>
      </c>
      <c r="D123">
        <v>984568000</v>
      </c>
      <c r="E123">
        <v>77900000</v>
      </c>
    </row>
    <row r="124" spans="1:6" x14ac:dyDescent="0.25">
      <c r="A124" s="73" t="s">
        <v>155</v>
      </c>
      <c r="B124">
        <v>8989500000</v>
      </c>
      <c r="C124">
        <v>90500000</v>
      </c>
      <c r="D124">
        <v>984568000</v>
      </c>
      <c r="E124">
        <v>179900000</v>
      </c>
    </row>
    <row r="125" spans="1:6" x14ac:dyDescent="0.25">
      <c r="A125" s="73" t="s">
        <v>156</v>
      </c>
      <c r="B125">
        <v>8738800000</v>
      </c>
      <c r="C125">
        <v>42000000</v>
      </c>
      <c r="D125">
        <v>984568000</v>
      </c>
      <c r="E125">
        <v>48500000</v>
      </c>
    </row>
    <row r="126" spans="1:6" x14ac:dyDescent="0.25">
      <c r="A126" s="73" t="s">
        <v>157</v>
      </c>
      <c r="B126">
        <v>8498200000</v>
      </c>
      <c r="C126">
        <v>84600000</v>
      </c>
      <c r="D126">
        <v>984568000</v>
      </c>
      <c r="E126">
        <v>22100000</v>
      </c>
    </row>
    <row r="127" spans="1:6" x14ac:dyDescent="0.25">
      <c r="A127" s="73" t="s">
        <v>158</v>
      </c>
      <c r="B127">
        <v>8294800000</v>
      </c>
      <c r="C127">
        <v>122200000</v>
      </c>
      <c r="D127">
        <v>984568000</v>
      </c>
      <c r="E127">
        <v>91600000</v>
      </c>
    </row>
    <row r="128" spans="1:6" x14ac:dyDescent="0.25">
      <c r="A128" s="73" t="s">
        <v>159</v>
      </c>
      <c r="B128">
        <v>8100100000</v>
      </c>
      <c r="C128">
        <v>163900000</v>
      </c>
      <c r="D128">
        <v>984568000</v>
      </c>
      <c r="E128">
        <v>179600000</v>
      </c>
    </row>
    <row r="129" spans="1:5" x14ac:dyDescent="0.25">
      <c r="A129" s="73" t="s">
        <v>160</v>
      </c>
      <c r="B129">
        <v>7900800000</v>
      </c>
      <c r="C129">
        <v>141300000</v>
      </c>
      <c r="D129">
        <v>984568000</v>
      </c>
      <c r="E129">
        <v>50200000</v>
      </c>
    </row>
    <row r="130" spans="1:5" x14ac:dyDescent="0.25">
      <c r="A130" s="73" t="s">
        <v>161</v>
      </c>
      <c r="B130">
        <v>7680900000</v>
      </c>
      <c r="C130">
        <v>181900000</v>
      </c>
      <c r="D130">
        <v>984568000</v>
      </c>
      <c r="E130">
        <v>95200000</v>
      </c>
    </row>
    <row r="131" spans="1:5" x14ac:dyDescent="0.25">
      <c r="A131" s="73" t="s">
        <v>162</v>
      </c>
      <c r="B131">
        <v>7475000000</v>
      </c>
      <c r="C131">
        <v>193000000</v>
      </c>
      <c r="D131">
        <v>984568000</v>
      </c>
      <c r="E131">
        <v>144500000</v>
      </c>
    </row>
    <row r="132" spans="1:5" x14ac:dyDescent="0.25">
      <c r="A132" s="73" t="s">
        <v>163</v>
      </c>
      <c r="B132">
        <v>7300000000</v>
      </c>
      <c r="C132">
        <v>166000000</v>
      </c>
      <c r="D132">
        <v>984568000</v>
      </c>
      <c r="E132">
        <v>170700000</v>
      </c>
    </row>
    <row r="133" spans="1:5" x14ac:dyDescent="0.25">
      <c r="A133" s="73" t="s">
        <v>164</v>
      </c>
      <c r="B133">
        <v>7118400000</v>
      </c>
      <c r="C133">
        <v>91600000</v>
      </c>
      <c r="D133">
        <v>984568000</v>
      </c>
      <c r="E133">
        <v>157000000</v>
      </c>
    </row>
    <row r="134" spans="1:5" x14ac:dyDescent="0.25">
      <c r="A134" s="73" t="s">
        <v>165</v>
      </c>
      <c r="B134">
        <v>6901200000</v>
      </c>
      <c r="C134">
        <v>23200000</v>
      </c>
      <c r="D134">
        <v>984568000</v>
      </c>
      <c r="E134">
        <v>58700000</v>
      </c>
    </row>
    <row r="135" spans="1:5" x14ac:dyDescent="0.25">
      <c r="A135" s="73" t="s">
        <v>166</v>
      </c>
      <c r="B135">
        <v>6733000000</v>
      </c>
      <c r="C135">
        <v>9900000</v>
      </c>
      <c r="D135">
        <v>984568000</v>
      </c>
      <c r="E135">
        <v>72000000</v>
      </c>
    </row>
    <row r="136" spans="1:5" x14ac:dyDescent="0.25">
      <c r="A136" s="73" t="s">
        <v>167</v>
      </c>
      <c r="B136">
        <v>6558000000</v>
      </c>
      <c r="C136">
        <v>31400000</v>
      </c>
      <c r="D136">
        <v>984560000</v>
      </c>
      <c r="E136">
        <v>200400000</v>
      </c>
    </row>
    <row r="137" spans="1:5" x14ac:dyDescent="0.25">
      <c r="A137" s="73" t="s">
        <v>168</v>
      </c>
      <c r="B137">
        <v>6375400000</v>
      </c>
      <c r="C137">
        <v>39000000</v>
      </c>
      <c r="D137">
        <v>984552000</v>
      </c>
      <c r="E137">
        <v>212300000</v>
      </c>
    </row>
    <row r="138" spans="1:5" x14ac:dyDescent="0.25">
      <c r="A138" s="73" t="s">
        <v>169</v>
      </c>
      <c r="B138">
        <v>6201200000</v>
      </c>
      <c r="C138">
        <v>38600000</v>
      </c>
      <c r="D138">
        <v>984504000</v>
      </c>
      <c r="E138">
        <v>157600000</v>
      </c>
    </row>
    <row r="139" spans="1:5" x14ac:dyDescent="0.25">
      <c r="A139" s="73" t="s">
        <v>170</v>
      </c>
      <c r="B139">
        <v>6047500000</v>
      </c>
      <c r="C139">
        <v>47400000</v>
      </c>
      <c r="D139">
        <v>984504000</v>
      </c>
      <c r="E139">
        <v>213900000</v>
      </c>
    </row>
    <row r="140" spans="1:5" x14ac:dyDescent="0.25">
      <c r="A140" s="73" t="s">
        <v>171</v>
      </c>
      <c r="B140">
        <v>5896200000</v>
      </c>
      <c r="C140">
        <v>59900000</v>
      </c>
      <c r="D140">
        <v>984328000</v>
      </c>
      <c r="E140">
        <v>243100000</v>
      </c>
    </row>
    <row r="141" spans="1:5" x14ac:dyDescent="0.25">
      <c r="A141" s="73" t="s">
        <v>172</v>
      </c>
      <c r="B141">
        <v>5725100000</v>
      </c>
      <c r="C141">
        <v>36700000</v>
      </c>
      <c r="D141">
        <v>984296000</v>
      </c>
      <c r="E141">
        <v>238200000</v>
      </c>
    </row>
    <row r="142" spans="1:5" x14ac:dyDescent="0.25">
      <c r="A142" s="73" t="s">
        <v>173</v>
      </c>
      <c r="B142">
        <v>5555200000</v>
      </c>
      <c r="C142">
        <v>-34300000</v>
      </c>
      <c r="D142">
        <v>984272000</v>
      </c>
      <c r="E142">
        <v>180200000</v>
      </c>
    </row>
    <row r="143" spans="1:5" x14ac:dyDescent="0.25">
      <c r="A143" s="73" t="s">
        <v>174</v>
      </c>
      <c r="B143">
        <v>5380100000</v>
      </c>
      <c r="C143">
        <v>0</v>
      </c>
      <c r="D143">
        <v>984272000</v>
      </c>
      <c r="E143">
        <v>225500000</v>
      </c>
    </row>
    <row r="144" spans="1:5" x14ac:dyDescent="0.25">
      <c r="A144" s="73" t="s">
        <v>175</v>
      </c>
      <c r="B144">
        <v>5241000000</v>
      </c>
      <c r="C144">
        <v>0</v>
      </c>
      <c r="D144">
        <v>984224000</v>
      </c>
    </row>
    <row r="145" spans="1:5" x14ac:dyDescent="0.25">
      <c r="A145" s="73" t="s">
        <v>176</v>
      </c>
      <c r="B145">
        <v>5106200000</v>
      </c>
      <c r="C145">
        <v>0</v>
      </c>
      <c r="D145">
        <v>984224000</v>
      </c>
    </row>
    <row r="146" spans="1:5" x14ac:dyDescent="0.25">
      <c r="A146" s="73" t="s">
        <v>177</v>
      </c>
      <c r="B146">
        <v>4980400000</v>
      </c>
      <c r="C146">
        <v>0</v>
      </c>
      <c r="D146">
        <v>984224000</v>
      </c>
    </row>
    <row r="147" spans="1:5" x14ac:dyDescent="0.25">
      <c r="A147" s="73" t="s">
        <v>178</v>
      </c>
      <c r="B147">
        <v>4883500000</v>
      </c>
      <c r="C147">
        <v>0</v>
      </c>
      <c r="D147">
        <v>984224000</v>
      </c>
      <c r="E147">
        <v>209700000</v>
      </c>
    </row>
    <row r="148" spans="1:5" x14ac:dyDescent="0.25">
      <c r="A148" s="73" t="s">
        <v>179</v>
      </c>
      <c r="B148">
        <v>4756700000</v>
      </c>
      <c r="C148">
        <v>0</v>
      </c>
      <c r="D148">
        <v>984096000</v>
      </c>
    </row>
    <row r="149" spans="1:5" x14ac:dyDescent="0.25">
      <c r="A149" s="73" t="s">
        <v>180</v>
      </c>
      <c r="B149">
        <v>4611600000</v>
      </c>
      <c r="C149">
        <v>0</v>
      </c>
      <c r="D149">
        <v>984096000</v>
      </c>
    </row>
    <row r="150" spans="1:5" x14ac:dyDescent="0.25">
      <c r="A150" s="73" t="s">
        <v>181</v>
      </c>
      <c r="B150">
        <v>4436100000</v>
      </c>
      <c r="C150">
        <v>0</v>
      </c>
      <c r="D150">
        <v>984096000</v>
      </c>
    </row>
    <row r="151" spans="1:5" x14ac:dyDescent="0.25">
      <c r="A151" s="73" t="s">
        <v>182</v>
      </c>
      <c r="B151">
        <v>4281600000</v>
      </c>
      <c r="C151">
        <v>0</v>
      </c>
      <c r="D151">
        <v>984096000</v>
      </c>
      <c r="E151">
        <v>41200000</v>
      </c>
    </row>
    <row r="152" spans="1:5" x14ac:dyDescent="0.25">
      <c r="A152" s="73" t="s">
        <v>183</v>
      </c>
      <c r="B152">
        <v>4133200000</v>
      </c>
      <c r="C152">
        <v>0</v>
      </c>
      <c r="D152">
        <v>983968000</v>
      </c>
    </row>
    <row r="153" spans="1:5" x14ac:dyDescent="0.25">
      <c r="A153" s="73" t="s">
        <v>184</v>
      </c>
      <c r="B153">
        <v>3976300000</v>
      </c>
      <c r="C153">
        <v>0</v>
      </c>
      <c r="D153">
        <v>983920000</v>
      </c>
    </row>
    <row r="154" spans="1:5" x14ac:dyDescent="0.25">
      <c r="A154" s="73" t="s">
        <v>185</v>
      </c>
      <c r="B154">
        <v>3803200000</v>
      </c>
      <c r="C154">
        <v>0</v>
      </c>
      <c r="D154">
        <v>983920000</v>
      </c>
    </row>
    <row r="155" spans="1:5" x14ac:dyDescent="0.25">
      <c r="A155" s="73" t="s">
        <v>186</v>
      </c>
      <c r="B155">
        <v>3660600000</v>
      </c>
      <c r="C155">
        <v>0</v>
      </c>
      <c r="D155">
        <v>983920000</v>
      </c>
      <c r="E155">
        <v>98100000</v>
      </c>
    </row>
    <row r="156" spans="1:5" x14ac:dyDescent="0.25">
      <c r="A156" s="73" t="s">
        <v>187</v>
      </c>
      <c r="B156">
        <v>3512700000</v>
      </c>
      <c r="C156">
        <v>0</v>
      </c>
      <c r="D156">
        <v>983840000</v>
      </c>
    </row>
    <row r="157" spans="1:5" x14ac:dyDescent="0.25">
      <c r="A157" s="73" t="s">
        <v>188</v>
      </c>
      <c r="D157">
        <v>983824000</v>
      </c>
    </row>
    <row r="158" spans="1:5" x14ac:dyDescent="0.25">
      <c r="A158" s="73" t="s">
        <v>189</v>
      </c>
      <c r="D158">
        <v>982224000</v>
      </c>
    </row>
    <row r="159" spans="1:5" x14ac:dyDescent="0.25">
      <c r="A159" s="73" t="s">
        <v>190</v>
      </c>
      <c r="D159">
        <v>982224000</v>
      </c>
      <c r="E159">
        <v>82400000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191</v>
      </c>
      <c r="B1" s="27" t="s">
        <v>192</v>
      </c>
      <c r="C1" t="s">
        <v>193</v>
      </c>
      <c r="D1" t="s">
        <v>194</v>
      </c>
      <c r="F1" s="27" t="s">
        <v>192</v>
      </c>
      <c r="G1" t="s">
        <v>193</v>
      </c>
      <c r="H1" t="s">
        <v>194</v>
      </c>
      <c r="J1" t="s">
        <v>195</v>
      </c>
      <c r="K1" t="s">
        <v>193</v>
      </c>
      <c r="L1" t="s">
        <v>194</v>
      </c>
      <c r="N1" t="s">
        <v>196</v>
      </c>
      <c r="O1" t="s">
        <v>193</v>
      </c>
      <c r="P1" t="s">
        <v>194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197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198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199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200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201</v>
      </c>
    </row>
    <row r="7" spans="1:46" x14ac:dyDescent="0.25">
      <c r="A7" s="27" t="s">
        <v>202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203</v>
      </c>
    </row>
    <row r="8" spans="1:46" x14ac:dyDescent="0.25">
      <c r="A8" s="27" t="s">
        <v>204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205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206</v>
      </c>
    </row>
    <row r="10" spans="1:46" x14ac:dyDescent="0.25">
      <c r="A10" s="27" t="s">
        <v>207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208</v>
      </c>
    </row>
    <row r="11" spans="1:46" x14ac:dyDescent="0.25">
      <c r="A11" s="27" t="s">
        <v>209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210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211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212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213</v>
      </c>
    </row>
    <row r="15" spans="1:46" x14ac:dyDescent="0.25">
      <c r="A15" s="27" t="s">
        <v>214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215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216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217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218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219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220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221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222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223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224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225</v>
      </c>
      <c r="J26">
        <v>0.61799999999999999</v>
      </c>
      <c r="N26">
        <v>-0.36399999999999999</v>
      </c>
    </row>
    <row r="27" spans="1:17" x14ac:dyDescent="0.25">
      <c r="A27" s="27" t="s">
        <v>226</v>
      </c>
    </row>
    <row r="28" spans="1:17" x14ac:dyDescent="0.25">
      <c r="A28" s="27" t="s">
        <v>227</v>
      </c>
    </row>
    <row r="29" spans="1:17" x14ac:dyDescent="0.25">
      <c r="A29" s="27" t="s">
        <v>228</v>
      </c>
    </row>
    <row r="31" spans="1:17" x14ac:dyDescent="0.25">
      <c r="A31" s="26" t="s">
        <v>229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230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231</v>
      </c>
      <c r="C1" s="73" t="s">
        <v>232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233</v>
      </c>
      <c r="D2">
        <v>0.95218178314352142</v>
      </c>
      <c r="E2">
        <v>0.1066866758014417</v>
      </c>
    </row>
    <row r="3" spans="1:5" x14ac:dyDescent="0.25">
      <c r="A3" s="73">
        <v>1</v>
      </c>
      <c r="B3">
        <v>3</v>
      </c>
      <c r="C3" t="s">
        <v>234</v>
      </c>
      <c r="D3">
        <v>0.80946561052428245</v>
      </c>
      <c r="E3">
        <v>9.6797872342203592E-2</v>
      </c>
    </row>
    <row r="4" spans="1:5" x14ac:dyDescent="0.25">
      <c r="A4" s="73">
        <v>2</v>
      </c>
      <c r="B4">
        <v>3</v>
      </c>
      <c r="C4" t="s">
        <v>235</v>
      </c>
      <c r="D4">
        <v>0.7765275755886295</v>
      </c>
      <c r="E4">
        <v>9.4515595934180852E-2</v>
      </c>
    </row>
    <row r="5" spans="1:5" x14ac:dyDescent="0.25">
      <c r="A5" s="73">
        <v>3</v>
      </c>
      <c r="B5">
        <v>5</v>
      </c>
      <c r="C5" t="s">
        <v>233</v>
      </c>
      <c r="D5">
        <v>0.68141424060875599</v>
      </c>
      <c r="E5">
        <v>8.7925193047760836E-2</v>
      </c>
    </row>
    <row r="6" spans="1:5" x14ac:dyDescent="0.25">
      <c r="A6" s="73">
        <v>4</v>
      </c>
      <c r="B6">
        <v>5</v>
      </c>
      <c r="C6" t="s">
        <v>234</v>
      </c>
      <c r="D6">
        <v>0.7458427906100934</v>
      </c>
      <c r="E6">
        <v>9.2389447213451908E-2</v>
      </c>
    </row>
    <row r="7" spans="1:5" x14ac:dyDescent="0.25">
      <c r="A7" s="73">
        <v>5</v>
      </c>
      <c r="B7">
        <v>5</v>
      </c>
      <c r="C7" t="s">
        <v>235</v>
      </c>
      <c r="D7">
        <v>0.7885125035182472</v>
      </c>
      <c r="E7">
        <v>9.534603157853716E-2</v>
      </c>
    </row>
    <row r="8" spans="1:5" x14ac:dyDescent="0.25">
      <c r="A8" s="73">
        <v>6</v>
      </c>
      <c r="B8" t="s">
        <v>229</v>
      </c>
      <c r="D8">
        <v>0.79232408399892174</v>
      </c>
      <c r="E8">
        <v>9.5610135986262668E-2</v>
      </c>
    </row>
    <row r="9" spans="1:5" x14ac:dyDescent="0.25">
      <c r="A9" s="73">
        <v>7</v>
      </c>
      <c r="B9" t="s">
        <v>230</v>
      </c>
      <c r="D9">
        <v>0.78252003955343841</v>
      </c>
      <c r="E9">
        <v>9.4930813756359006E-2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2024-10-18T16:09:16Z</dcterms:modified>
</cp:coreProperties>
</file>