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35" documentId="11_0A6BB0A4CDFCB2777103AA04A539289C227A147E" xr6:coauthVersionLast="47" xr6:coauthVersionMax="47" xr10:uidLastSave="{2408EAE7-B430-4684-9E55-CC28C7267484}"/>
  <bookViews>
    <workbookView xWindow="14295" yWindow="0" windowWidth="14610" windowHeight="15585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3" l="1"/>
  <c r="L25" i="3"/>
  <c r="G31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F10" i="3"/>
  <c r="L5" i="3"/>
  <c r="M5" i="3" s="1"/>
  <c r="N5" i="3" s="1"/>
  <c r="O5" i="3" s="1"/>
  <c r="P5" i="3" s="1"/>
  <c r="Q5" i="3" s="1"/>
  <c r="R5" i="3" s="1"/>
  <c r="S5" i="3" s="1"/>
  <c r="T5" i="3" s="1"/>
  <c r="U5" i="3" s="1"/>
  <c r="K1" i="3"/>
  <c r="K10" i="3" s="1"/>
  <c r="J1" i="3"/>
  <c r="J7" i="3" s="1"/>
  <c r="I1" i="3"/>
  <c r="I7" i="3" s="1"/>
  <c r="H1" i="3"/>
  <c r="H7" i="3" s="1"/>
  <c r="G1" i="3"/>
  <c r="G3" i="3" s="1"/>
  <c r="F1" i="3"/>
  <c r="F4" i="3" s="1"/>
  <c r="E1" i="3"/>
  <c r="E10" i="3" s="1"/>
  <c r="D1" i="3"/>
  <c r="D10" i="3" s="1"/>
  <c r="H4" i="3" l="1"/>
  <c r="H8" i="3" s="1"/>
  <c r="G10" i="3"/>
  <c r="G11" i="3" s="1"/>
  <c r="H3" i="3"/>
  <c r="I3" i="3"/>
  <c r="J3" i="3"/>
  <c r="G4" i="3"/>
  <c r="G5" i="3" s="1"/>
  <c r="E11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C21" i="3"/>
  <c r="C20" i="3"/>
  <c r="F11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7" i="3"/>
  <c r="L1" i="3"/>
  <c r="K3" i="3"/>
  <c r="I4" i="3"/>
  <c r="E7" i="3"/>
  <c r="H10" i="3"/>
  <c r="K31" i="5"/>
  <c r="D3" i="3"/>
  <c r="J4" i="3"/>
  <c r="F7" i="3"/>
  <c r="I10" i="3"/>
  <c r="O31" i="5"/>
  <c r="E3" i="3"/>
  <c r="K4" i="3"/>
  <c r="G7" i="3"/>
  <c r="J10" i="3"/>
  <c r="D7" i="3"/>
  <c r="F3" i="3"/>
  <c r="D4" i="3"/>
  <c r="E4" i="3"/>
  <c r="I5" i="3" l="1"/>
  <c r="H11" i="3"/>
  <c r="L11" i="3" s="1"/>
  <c r="J11" i="3"/>
  <c r="E5" i="3"/>
  <c r="I11" i="3"/>
  <c r="I8" i="3"/>
  <c r="H5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I13" i="3"/>
  <c r="G8" i="3"/>
  <c r="G13" i="3"/>
  <c r="E8" i="3"/>
  <c r="E13" i="3"/>
  <c r="H13" i="3"/>
  <c r="J13" i="3"/>
  <c r="K11" i="3"/>
  <c r="L3" i="3"/>
  <c r="M1" i="3"/>
  <c r="F8" i="3"/>
  <c r="F13" i="3"/>
  <c r="D8" i="3"/>
  <c r="D13" i="3"/>
  <c r="J5" i="3"/>
  <c r="K13" i="3"/>
  <c r="K8" i="3"/>
  <c r="L8" i="3" s="1"/>
  <c r="M8" i="3" s="1"/>
  <c r="N8" i="3" s="1"/>
  <c r="P8" i="3" s="1"/>
  <c r="Q8" i="3" s="1"/>
  <c r="R8" i="3" s="1"/>
  <c r="S8" i="3" s="1"/>
  <c r="T8" i="3" s="1"/>
  <c r="U8" i="3" s="1"/>
  <c r="J8" i="3"/>
  <c r="F5" i="3"/>
  <c r="M3" i="3" l="1"/>
  <c r="N1" i="3"/>
  <c r="L7" i="3"/>
  <c r="M11" i="3"/>
  <c r="N11" i="3" s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M7" i="3" l="1"/>
  <c r="M13" i="3" s="1"/>
  <c r="M14" i="3" s="1"/>
  <c r="N3" i="3"/>
  <c r="O1" i="3"/>
  <c r="L13" i="3"/>
  <c r="L14" i="3" s="1"/>
  <c r="O3" i="3" l="1"/>
  <c r="P1" i="3"/>
  <c r="N7" i="3"/>
  <c r="N13" i="3" s="1"/>
  <c r="N14" i="3" s="1"/>
  <c r="O7" i="3" l="1"/>
  <c r="O13" i="3" s="1"/>
  <c r="O14" i="3" s="1"/>
  <c r="P3" i="3"/>
  <c r="Q1" i="3"/>
  <c r="P7" i="3" l="1"/>
  <c r="P13" i="3" s="1"/>
  <c r="P14" i="3" s="1"/>
  <c r="R1" i="3"/>
  <c r="Q3" i="3"/>
  <c r="S1" i="3" l="1"/>
  <c r="R3" i="3"/>
  <c r="Q7" i="3"/>
  <c r="Q13" i="3" s="1"/>
  <c r="Q14" i="3" s="1"/>
  <c r="R7" i="3" l="1"/>
  <c r="R13" i="3" s="1"/>
  <c r="R14" i="3" s="1"/>
  <c r="T1" i="3"/>
  <c r="S3" i="3"/>
  <c r="T3" i="3" l="1"/>
  <c r="U1" i="3"/>
  <c r="U3" i="3" s="1"/>
  <c r="S7" i="3"/>
  <c r="S13" i="3" s="1"/>
  <c r="S14" i="3" s="1"/>
  <c r="U7" i="3" l="1"/>
  <c r="T7" i="3"/>
  <c r="T13" i="3" s="1"/>
  <c r="T14" i="3" s="1"/>
  <c r="U13" i="3" l="1"/>
  <c r="V7" i="3"/>
  <c r="U14" i="3" l="1"/>
  <c r="V13" i="3"/>
  <c r="V14" i="3" s="1"/>
  <c r="C17" i="3" l="1"/>
  <c r="C18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<sst xmlns="http://schemas.openxmlformats.org/spreadsheetml/2006/main" count="174" uniqueCount="156">
  <si>
    <t>This sheet contains FactSet XML data for use with this workbook's =FDS codes.  Modifying the worksheet's contents may damage the workbook's =FDS functionality.</t>
  </si>
  <si>
    <t>CMG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</si>
  <si>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</si>
  <si>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</si>
  <si>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</si>
  <si>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</si>
  <si>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</si>
  <si>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</si>
  <si>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</si>
  <si>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</si>
  <si>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</si>
  <si>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</si>
  <si>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</si>
  <si>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</si>
  <si>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</si>
  <si>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</si>
  <si>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</si>
  <si>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</si>
  <si>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</si>
  <si>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</si>
  <si>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</si>
  <si>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</si>
  <si>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</si>
  <si>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</si>
  <si>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</si>
  <si>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</si>
  <si>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</si>
  <si>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</si>
  <si>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</si>
  <si>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</si>
  <si>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</si>
  <si>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</si>
  <si>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</si>
  <si>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</si>
  <si>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</si>
  <si>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</si>
  <si>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</si>
  <si>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</si>
  <si>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</si>
  <si>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</si>
  <si>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</si>
  <si>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</si>
  <si>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</si>
  <si>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</si>
  <si>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</si>
  <si>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</si>
  <si>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</si>
  <si>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</si>
  <si>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</si>
  <si>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</si>
  <si>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</si>
  <si>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</si>
  <si>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</si>
  <si>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</si>
  <si>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</si>
  <si>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</si>
  <si>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</si>
  <si>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</si>
  <si>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</si>
  <si>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</si>
  <si>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</si>
  <si>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</si>
  <si>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</si>
  <si>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</si>
  <si>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</si>
  <si>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</si>
  <si>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</si>
  <si>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</si>
  <si>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</si>
  <si>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</si>
  <si>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</si>
  <si>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</si>
  <si>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</si>
  <si>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</si>
  <si>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</si>
  <si>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</si>
  <si>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</si>
  <si>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</si>
  <si>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</si>
  <si>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</si>
  <si>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</si>
  <si>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</si>
  <si>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</si>
  <si>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</si>
  <si>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</si>
  <si>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</si>
  <si>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</si>
  <si>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</si>
  <si>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</si>
  <si>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</si>
  <si>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</si>
  <si>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</si>
  <si>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</si>
  <si>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</si>
  <si>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</si>
  <si>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</si>
  <si>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</si>
  <si>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</si>
  <si>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</si>
  <si>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</si>
  <si>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</si>
  <si>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</si>
  <si>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</si>
  <si>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</si>
  <si>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</si>
  <si>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</si>
  <si>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</si>
  <si>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</si>
  <si>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</si>
  <si>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</si>
  <si>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</si>
  <si>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</si>
  <si>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</si>
  <si>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</si>
  <si>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</si>
  <si>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</si>
  <si>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</si>
  <si>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</si>
  <si>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</si>
  <si>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</si>
  <si>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</si>
  <si>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</si>
  <si>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</si>
  <si>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</si>
  <si>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</si>
  <si>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</si>
  <si>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</si>
  <si>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</si>
  <si>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</si>
  <si>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</si>
  <si>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</si>
  <si>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</si>
  <si>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</si>
  <si>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</si>
  <si>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</si>
  <si>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</si>
  <si>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</si>
  <si>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</si>
  <si>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</si>
  <si>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</si>
  <si>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</si>
  <si>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</si>
  <si>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</si>
  <si>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</si>
  <si>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</si>
  <si>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</si>
  <si>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</si>
  <si>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</si>
  <si>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</si>
  <si>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</si>
  <si>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</si>
  <si>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</si>
  <si>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</si>
  <si>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</si>
  <si>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</si>
  <si>
    <t>80.99B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</si>
</sst>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39" fontId="5" fillId="0" borderId="2" xfId="0" applyNumberFormat="1" applyFon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2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5208015000</v>
      </c>
    </row>
    <row r="3" spans="1:2" x14ac:dyDescent="0.25">
      <c r="A3" s="73" t="s">
        <v>3</v>
      </c>
      <c r="B3">
        <v>4014454000</v>
      </c>
    </row>
    <row r="4" spans="1:2" x14ac:dyDescent="0.25">
      <c r="A4" s="73" t="s">
        <v>4</v>
      </c>
      <c r="B4">
        <v>0.51958473126891436</v>
      </c>
    </row>
    <row r="5" spans="1:2" x14ac:dyDescent="0.25">
      <c r="A5" s="73" t="s">
        <v>5</v>
      </c>
      <c r="B5">
        <v>4.2500000000000003E-2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3711820000</v>
      </c>
    </row>
    <row r="8" spans="1:2" x14ac:dyDescent="0.25">
      <c r="A8" s="73" t="s">
        <v>8</v>
      </c>
      <c r="B8">
        <v>0.48041526873108559</v>
      </c>
    </row>
    <row r="9" spans="1:2" x14ac:dyDescent="0.25">
      <c r="A9" s="73" t="s">
        <v>9</v>
      </c>
      <c r="B9">
        <v>0.1151370370376292</v>
      </c>
    </row>
    <row r="10" spans="1:2" x14ac:dyDescent="0.25">
      <c r="A10" s="73" t="s">
        <v>10</v>
      </c>
      <c r="B10">
        <v>4.0669999122619628E-2</v>
      </c>
    </row>
    <row r="11" spans="1:2" x14ac:dyDescent="0.25">
      <c r="A11" s="73" t="s">
        <v>11</v>
      </c>
      <c r="B11">
        <v>1.074095441693629</v>
      </c>
    </row>
    <row r="12" spans="1:2" x14ac:dyDescent="0.25">
      <c r="A12" s="73" t="s">
        <v>12</v>
      </c>
      <c r="B12">
        <v>6.9330000877380366E-2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7.2758647941687377E-2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5"/>
  <sheetViews>
    <sheetView showGridLines="0" tabSelected="1" topLeftCell="A2" zoomScale="85" zoomScaleNormal="85" workbookViewId="0">
      <selection activeCell="L25" sqref="L25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hidden="1" customWidth="1" outlineLevel="1"/>
    <col min="12" max="12" width="10.5703125" customWidth="1" collapsed="1"/>
    <col min="13" max="22" width="10.5703125" customWidth="1"/>
  </cols>
  <sheetData>
    <row r="1" spans="2:22" hidden="1" outlineLevel="1" x14ac:dyDescent="0.25">
      <c r="C1" s="28"/>
      <c r="D1" s="66" t="str">
        <f>Python!A31</f>
        <v>2017-06-30</v>
      </c>
      <c r="E1" s="66" t="str">
        <f>Python!A27</f>
        <v>2018-06-30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2017</v>
      </c>
      <c r="E3" s="45">
        <f t="shared" si="1"/>
        <v>2018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4309.78</v>
      </c>
      <c r="E4" s="36">
        <f>IFERROR(INDEX(Python!$1:$1048576,MATCH(DCF_Simple!E$1,Python!$A:$A,0),MATCH(DCF_Simple!$B4,Python!$1:$1,0))/1000000,0)</f>
        <v>4653.0910000000003</v>
      </c>
      <c r="F4" s="36">
        <f>IFERROR(INDEX(Python!$1:$1048576,MATCH(DCF_Simple!F$1,Python!$A:$A,0),MATCH(DCF_Simple!$B4,Python!$1:$1,0))/1000000,0)</f>
        <v>5192.5159999999996</v>
      </c>
      <c r="G4" s="36">
        <f>IFERROR(INDEX(Python!$1:$1048576,MATCH(DCF_Simple!G$1,Python!$A:$A,0),MATCH(DCF_Simple!$B4,Python!$1:$1,0))/1000000,0)</f>
        <v>5619.4309999999996</v>
      </c>
      <c r="H4" s="36">
        <f>IFERROR(INDEX(Python!$1:$1048576,MATCH(DCF_Simple!H$1,Python!$A:$A,0),MATCH(DCF_Simple!$B4,Python!$1:$1,0))/1000000,0)</f>
        <v>6843.2370000000001</v>
      </c>
      <c r="I4" s="36">
        <f>IFERROR(INDEX(Python!$1:$1048576,MATCH(DCF_Simple!I$1,Python!$A:$A,0),MATCH(DCF_Simple!$B4,Python!$1:$1,0))/1000000,0)</f>
        <v>8146.826</v>
      </c>
      <c r="J4" s="36">
        <f>IFERROR(INDEX(Python!$1:$1048576,MATCH(DCF_Simple!J$1,Python!$A:$A,0),MATCH(DCF_Simple!$B4,Python!$1:$1,0))/1000000,0)</f>
        <v>9284.1550000000007</v>
      </c>
      <c r="K4" s="55">
        <f>IFERROR(INDEX(Python!$1:$1048576,MATCH(DCF_Simple!K$1,Python!$A:$A,0),MATCH(DCF_Simple!$B4,Python!$1:$1,0))/1000000,0)</f>
        <v>10663.233</v>
      </c>
      <c r="L4" s="37">
        <f t="shared" ref="L4:U4" si="2">K4*(1+L5)</f>
        <v>12143.615931763128</v>
      </c>
      <c r="M4" s="36">
        <f t="shared" si="2"/>
        <v>13408.044957786635</v>
      </c>
      <c r="N4" s="36">
        <f t="shared" si="2"/>
        <v>14804.130054854759</v>
      </c>
      <c r="O4" s="36">
        <f t="shared" si="2"/>
        <v>16345.579640511043</v>
      </c>
      <c r="P4" s="36">
        <f t="shared" si="2"/>
        <v>18047.529493073638</v>
      </c>
      <c r="Q4" s="36">
        <f t="shared" si="2"/>
        <v>19926.691372639471</v>
      </c>
      <c r="R4" s="36">
        <f t="shared" si="2"/>
        <v>22001.51711694472</v>
      </c>
      <c r="S4" s="36">
        <f t="shared" si="2"/>
        <v>24292.379823369167</v>
      </c>
      <c r="T4" s="36">
        <f t="shared" si="2"/>
        <v>26821.773896144005</v>
      </c>
      <c r="U4" s="36">
        <f t="shared" si="2"/>
        <v>29614.535923063617</v>
      </c>
      <c r="V4" s="19">
        <f>U4</f>
        <v>29614.535923063617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7.9658590461694212E-2</v>
      </c>
      <c r="F5" s="42">
        <f t="shared" si="3"/>
        <v>0.11592831517801816</v>
      </c>
      <c r="G5" s="42">
        <f t="shared" si="3"/>
        <v>8.2217368227656795E-2</v>
      </c>
      <c r="H5" s="42">
        <f t="shared" si="3"/>
        <v>0.21778112410313444</v>
      </c>
      <c r="I5" s="42">
        <f t="shared" si="3"/>
        <v>0.19049303714017207</v>
      </c>
      <c r="J5" s="42">
        <f t="shared" si="3"/>
        <v>0.13960393900643031</v>
      </c>
      <c r="K5" s="58">
        <f t="shared" si="3"/>
        <v>0.14854103577546907</v>
      </c>
      <c r="L5" s="43">
        <f>Python!F2</f>
        <v>0.138830590287498</v>
      </c>
      <c r="M5" s="43">
        <f>L5*0.75</f>
        <v>0.1041229427156235</v>
      </c>
      <c r="N5" s="38">
        <f t="shared" ref="N5:U5" si="4">M5</f>
        <v>0.1041229427156235</v>
      </c>
      <c r="O5" s="38">
        <f t="shared" si="4"/>
        <v>0.1041229427156235</v>
      </c>
      <c r="P5" s="38">
        <f t="shared" si="4"/>
        <v>0.1041229427156235</v>
      </c>
      <c r="Q5" s="38">
        <f t="shared" si="4"/>
        <v>0.1041229427156235</v>
      </c>
      <c r="R5" s="38">
        <f t="shared" si="4"/>
        <v>0.1041229427156235</v>
      </c>
      <c r="S5" s="38">
        <f t="shared" si="4"/>
        <v>0.1041229427156235</v>
      </c>
      <c r="T5" s="38">
        <f t="shared" si="4"/>
        <v>0.1041229427156235</v>
      </c>
      <c r="U5" s="38">
        <f t="shared" si="4"/>
        <v>0.1041229427156235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167.31399999999999</v>
      </c>
      <c r="E7" s="52">
        <f>IFERROR(INDEX(Python!$1:$1048576,MATCH(DCF_Simple!E$1,Python!$A:$A,0),MATCH(DCF_Simple!$B7,Python!$1:$1,0))/1000000,0)</f>
        <v>287.37400000000002</v>
      </c>
      <c r="F7" s="52">
        <f>IFERROR(INDEX(Python!$1:$1048576,MATCH(DCF_Simple!F$1,Python!$A:$A,0),MATCH(DCF_Simple!$B7,Python!$1:$1,0))/1000000,0)</f>
        <v>325.762</v>
      </c>
      <c r="G7" s="52">
        <f>IFERROR(INDEX(Python!$1:$1048576,MATCH(DCF_Simple!G$1,Python!$A:$A,0),MATCH(DCF_Simple!$B7,Python!$1:$1,0))/1000000,0)</f>
        <v>368.685</v>
      </c>
      <c r="H7" s="52">
        <f>IFERROR(INDEX(Python!$1:$1048576,MATCH(DCF_Simple!H$1,Python!$A:$A,0),MATCH(DCF_Simple!$B7,Python!$1:$1,0))/1000000,0)</f>
        <v>501.75200000000001</v>
      </c>
      <c r="I7" s="52">
        <f>IFERROR(INDEX(Python!$1:$1048576,MATCH(DCF_Simple!I$1,Python!$A:$A,0),MATCH(DCF_Simple!$B7,Python!$1:$1,0))/1000000,0)</f>
        <v>862.06399999999996</v>
      </c>
      <c r="J7" s="52">
        <f>IFERROR(INDEX(Python!$1:$1048576,MATCH(DCF_Simple!J$1,Python!$A:$A,0),MATCH(DCF_Simple!$B7,Python!$1:$1,0))/1000000,0)</f>
        <v>1250.7670000000001</v>
      </c>
      <c r="K7" s="57">
        <f>IFERROR(INDEX(Python!$1:$1048576,MATCH(DCF_Simple!K$1,Python!$A:$A,0),MATCH(DCF_Simple!$B7,Python!$1:$1,0))/1000000,0)</f>
        <v>1301.42</v>
      </c>
      <c r="L7" s="64">
        <f t="shared" ref="L7:U7" si="5">L8*L4</f>
        <v>1482.0969068119557</v>
      </c>
      <c r="M7" s="64">
        <f t="shared" si="5"/>
        <v>1904.5780972946727</v>
      </c>
      <c r="N7" s="64">
        <f t="shared" si="5"/>
        <v>2398.9709745138125</v>
      </c>
      <c r="O7" s="64">
        <f t="shared" si="5"/>
        <v>2975.6704846797788</v>
      </c>
      <c r="P7" s="64">
        <f t="shared" si="5"/>
        <v>3646.4566419581356</v>
      </c>
      <c r="Q7" s="64">
        <f t="shared" si="5"/>
        <v>4424.670265456537</v>
      </c>
      <c r="R7" s="64">
        <f t="shared" si="5"/>
        <v>5325.4102963810847</v>
      </c>
      <c r="S7" s="64">
        <f t="shared" si="5"/>
        <v>6365.755284075748</v>
      </c>
      <c r="T7" s="64">
        <f t="shared" si="5"/>
        <v>7565.0119347841264</v>
      </c>
      <c r="U7" s="64">
        <f t="shared" si="5"/>
        <v>8944.9939575739354</v>
      </c>
      <c r="V7" s="65">
        <f>U7</f>
        <v>8944.9939575739354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3.8821935226392067E-2</v>
      </c>
      <c r="E8" s="42">
        <f t="shared" si="6"/>
        <v>6.1759806545799344E-2</v>
      </c>
      <c r="F8" s="42">
        <f t="shared" si="6"/>
        <v>6.273683123942228E-2</v>
      </c>
      <c r="G8" s="42">
        <f t="shared" si="6"/>
        <v>6.5608955782177958E-2</v>
      </c>
      <c r="H8" s="42">
        <f t="shared" si="6"/>
        <v>7.3320856781666333E-2</v>
      </c>
      <c r="I8" s="42">
        <f t="shared" si="6"/>
        <v>0.10581593371455336</v>
      </c>
      <c r="J8" s="42">
        <f t="shared" si="6"/>
        <v>0.13472060731428978</v>
      </c>
      <c r="K8" s="58">
        <f t="shared" si="6"/>
        <v>0.1220474128249847</v>
      </c>
      <c r="L8" s="38">
        <f>K8</f>
        <v>0.1220474128249847</v>
      </c>
      <c r="M8" s="38">
        <f>L8+0.02</f>
        <v>0.1420474128249847</v>
      </c>
      <c r="N8" s="38">
        <f t="shared" ref="N8:U8" si="7">M8+0.02</f>
        <v>0.16204741282498469</v>
      </c>
      <c r="O8" s="38">
        <f t="shared" si="7"/>
        <v>0.18204741282498468</v>
      </c>
      <c r="P8" s="38">
        <f t="shared" si="7"/>
        <v>0.20204741282498467</v>
      </c>
      <c r="Q8" s="38">
        <f t="shared" si="7"/>
        <v>0.22204741282498466</v>
      </c>
      <c r="R8" s="38">
        <f t="shared" si="7"/>
        <v>0.24204741282498465</v>
      </c>
      <c r="S8" s="38">
        <f t="shared" si="7"/>
        <v>0.26204741282498467</v>
      </c>
      <c r="T8" s="38">
        <f t="shared" si="7"/>
        <v>0.28204741282498469</v>
      </c>
      <c r="U8" s="38">
        <f t="shared" si="7"/>
        <v>0.30204741282498471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1440</v>
      </c>
      <c r="E10" s="17">
        <f>IFERROR(INDEX(Python!$1:$1048576,MATCH(DCF_Simple!E$1,Python!$A:$A,0),MATCH(DCF_Simple!$B10,Python!$1:$1,0))/1000000,0)</f>
        <v>1396.75</v>
      </c>
      <c r="F10" s="17">
        <f>IFERROR(INDEX(Python!$1:$1048576,MATCH(DCF_Simple!F$1,Python!$A:$A,0),MATCH(DCF_Simple!$B10,Python!$1:$1,0))/1000000,0)</f>
        <v>1415</v>
      </c>
      <c r="G10" s="17">
        <f>IFERROR(INDEX(Python!$1:$1048576,MATCH(DCF_Simple!G$1,Python!$A:$A,0),MATCH(DCF_Simple!$B10,Python!$1:$1,0))/1000000,0)</f>
        <v>1416.65</v>
      </c>
      <c r="H10" s="17">
        <f>IFERROR(INDEX(Python!$1:$1048576,MATCH(DCF_Simple!H$1,Python!$A:$A,0),MATCH(DCF_Simple!$B10,Python!$1:$1,0))/1000000,0)</f>
        <v>1425.05</v>
      </c>
      <c r="I10" s="17">
        <f>IFERROR(INDEX(Python!$1:$1048576,MATCH(DCF_Simple!I$1,Python!$A:$A,0),MATCH(DCF_Simple!$B10,Python!$1:$1,0))/1000000,0)</f>
        <v>1404.6</v>
      </c>
      <c r="J10" s="17">
        <f>IFERROR(INDEX(Python!$1:$1048576,MATCH(DCF_Simple!J$1,Python!$A:$A,0),MATCH(DCF_Simple!$B10,Python!$1:$1,0))/1000000,0)</f>
        <v>1387.35</v>
      </c>
      <c r="K10" s="69">
        <f>IFERROR(INDEX(Python!$1:$1048576,MATCH(DCF_Simple!K$1,Python!$A:$A,0),MATCH(DCF_Simple!$B10,Python!$1:$1,0))/1000000,0)</f>
        <v>1381.518</v>
      </c>
      <c r="L10" s="17">
        <f t="shared" ref="L10:U10" si="8">K10*(1+L11)</f>
        <v>1373.4838285269186</v>
      </c>
      <c r="M10" s="17">
        <f t="shared" si="8"/>
        <v>1365.4963795078759</v>
      </c>
      <c r="N10" s="17">
        <f t="shared" si="8"/>
        <v>1357.5553812300118</v>
      </c>
      <c r="O10" s="17">
        <f t="shared" si="8"/>
        <v>1349.6605635606029</v>
      </c>
      <c r="P10" s="17">
        <f t="shared" si="8"/>
        <v>1341.8116579378736</v>
      </c>
      <c r="Q10" s="17">
        <f t="shared" si="8"/>
        <v>1334.0083973618605</v>
      </c>
      <c r="R10" s="17">
        <f t="shared" si="8"/>
        <v>1326.2505163853291</v>
      </c>
      <c r="S10" s="17">
        <f t="shared" si="8"/>
        <v>1318.5377511047445</v>
      </c>
      <c r="T10" s="17">
        <f t="shared" si="8"/>
        <v>1310.8698391512942</v>
      </c>
      <c r="U10" s="17">
        <f t="shared" si="8"/>
        <v>1303.2465196819624</v>
      </c>
      <c r="V10" s="70">
        <f>U10</f>
        <v>1303.2465196819624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-3.0034722222222254E-2</v>
      </c>
      <c r="F11" s="42">
        <f t="shared" si="9"/>
        <v>1.3066046178628943E-2</v>
      </c>
      <c r="G11" s="42">
        <f t="shared" si="9"/>
        <v>1.1660777385160692E-3</v>
      </c>
      <c r="H11" s="42">
        <f t="shared" si="9"/>
        <v>5.9294815233119635E-3</v>
      </c>
      <c r="I11" s="42">
        <f t="shared" si="9"/>
        <v>-1.4350373671099259E-2</v>
      </c>
      <c r="J11" s="42">
        <f t="shared" si="9"/>
        <v>-1.2281076463049989E-2</v>
      </c>
      <c r="K11" s="58">
        <f t="shared" si="9"/>
        <v>-4.2036976970482032E-3</v>
      </c>
      <c r="L11" s="67">
        <f>AVERAGE(E11:K11)</f>
        <v>-5.8154663732803901E-3</v>
      </c>
      <c r="M11" s="67">
        <f t="shared" ref="M11:U11" si="10">L11</f>
        <v>-5.8154663732803901E-3</v>
      </c>
      <c r="N11" s="67">
        <f t="shared" si="10"/>
        <v>-5.8154663732803901E-3</v>
      </c>
      <c r="O11" s="67">
        <f t="shared" si="10"/>
        <v>-5.8154663732803901E-3</v>
      </c>
      <c r="P11" s="67">
        <f t="shared" si="10"/>
        <v>-5.8154663732803901E-3</v>
      </c>
      <c r="Q11" s="67">
        <f t="shared" si="10"/>
        <v>-5.8154663732803901E-3</v>
      </c>
      <c r="R11" s="67">
        <f t="shared" si="10"/>
        <v>-5.8154663732803901E-3</v>
      </c>
      <c r="S11" s="67">
        <f t="shared" si="10"/>
        <v>-5.8154663732803901E-3</v>
      </c>
      <c r="T11" s="67">
        <f t="shared" si="10"/>
        <v>-5.8154663732803901E-3</v>
      </c>
      <c r="U11" s="67">
        <f t="shared" si="10"/>
        <v>-5.8154663732803901E-3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0.11619027777777777</v>
      </c>
      <c r="E13" s="53">
        <f t="shared" si="11"/>
        <v>0.20574476463218186</v>
      </c>
      <c r="F13" s="53">
        <f t="shared" si="11"/>
        <v>0.23022049469964664</v>
      </c>
      <c r="G13" s="53">
        <f t="shared" si="11"/>
        <v>0.26025129707408323</v>
      </c>
      <c r="H13" s="53">
        <f t="shared" si="11"/>
        <v>0.35209431248026385</v>
      </c>
      <c r="I13" s="53">
        <f t="shared" si="11"/>
        <v>0.61374341449522996</v>
      </c>
      <c r="J13" s="53">
        <f t="shared" si="11"/>
        <v>0.90155115868382174</v>
      </c>
      <c r="K13" s="59">
        <f t="shared" si="11"/>
        <v>0.94202174709269082</v>
      </c>
      <c r="L13" s="53">
        <f t="shared" ref="L13:U13" si="12">L7/L10</f>
        <v>1.0790785271942562</v>
      </c>
      <c r="M13" s="53">
        <f t="shared" si="12"/>
        <v>1.3947880974837015</v>
      </c>
      <c r="N13" s="53">
        <f t="shared" si="12"/>
        <v>1.767125678762532</v>
      </c>
      <c r="O13" s="53">
        <f t="shared" si="12"/>
        <v>2.2047547101987797</v>
      </c>
      <c r="P13" s="53">
        <f t="shared" si="12"/>
        <v>2.7175622006162117</v>
      </c>
      <c r="Q13" s="53">
        <f t="shared" si="12"/>
        <v>3.3168233979686934</v>
      </c>
      <c r="R13" s="53">
        <f t="shared" si="12"/>
        <v>4.0153879154711962</v>
      </c>
      <c r="S13" s="53">
        <f t="shared" si="12"/>
        <v>4.8278900461834811</v>
      </c>
      <c r="T13" s="53">
        <f t="shared" si="12"/>
        <v>5.7709863396368908</v>
      </c>
      <c r="U13" s="53">
        <f t="shared" si="12"/>
        <v>6.8636238980763409</v>
      </c>
      <c r="V13" s="72">
        <f>U13*(1+WACC!$B$13)/(WACC!$B$14-WACC!$B$13)</f>
        <v>132.69666015277264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1.0058912405550819</v>
      </c>
      <c r="M14" s="62">
        <f>M13/((1+WACC!$B$14)^(M3-$K$3))</f>
        <v>1.2120043656186597</v>
      </c>
      <c r="N14" s="62">
        <f>N13/((1+WACC!$B$14)^(N3-$K$3))</f>
        <v>1.431401160877158</v>
      </c>
      <c r="O14" s="62">
        <f>O13/((1+WACC!$B$14)^(O3-$K$3))</f>
        <v>1.664762107529399</v>
      </c>
      <c r="P14" s="62">
        <f>P13/((1+WACC!$B$14)^(P3-$K$3))</f>
        <v>1.9127991581131778</v>
      </c>
      <c r="Q14" s="62">
        <f>Q13/((1+WACC!$B$14)^(Q3-$K$3))</f>
        <v>2.1762571098072518</v>
      </c>
      <c r="R14" s="62">
        <f>R13/((1+WACC!$B$14)^(R3-$K$3))</f>
        <v>2.4559150354499941</v>
      </c>
      <c r="S14" s="62">
        <f>S13/((1+WACC!$B$14)^(S3-$K$3))</f>
        <v>2.7525877746374783</v>
      </c>
      <c r="T14" s="62">
        <f>T13/((1+WACC!$B$14)^(T3-$K$3))</f>
        <v>3.0671274873585817</v>
      </c>
      <c r="U14" s="62">
        <f>U13/((1+WACC!$B$14)^(U3-$K$3))</f>
        <v>3.4004252727233726</v>
      </c>
      <c r="V14" s="63">
        <f>V13/((1+WACC!$B$14)^(U3-$K$3))</f>
        <v>65.741521314408985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65.741521314408985</v>
      </c>
      <c r="L17" s="16">
        <f>C17/$C$19</f>
        <v>0.7572102891543917</v>
      </c>
      <c r="O17" s="18"/>
    </row>
    <row r="18" spans="2:22" x14ac:dyDescent="0.25">
      <c r="B18" s="8" t="s">
        <v>26</v>
      </c>
      <c r="C18" s="32">
        <f>SUM(14:14)-V14</f>
        <v>21.079170712670148</v>
      </c>
      <c r="K18" s="3"/>
      <c r="L18" s="16">
        <f>C18/$C$19</f>
        <v>0.24278971084560824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86.820692027079133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Python!C3/1000000/K10</f>
        <v>0.94202174709269082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2.9058282266318645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84.85688554753996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  <row r="24" spans="2:22" x14ac:dyDescent="0.25">
      <c r="C24">
        <v>59.14</v>
      </c>
    </row>
    <row r="25" spans="2:22" x14ac:dyDescent="0.25">
      <c r="C25" t="s">
        <v>155</v>
      </c>
      <c r="K25" s="74"/>
      <c r="L25" s="74">
        <f>80100/L4</f>
        <v>6.5960584104515814</v>
      </c>
    </row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0.138830590287498</v>
      </c>
    </row>
    <row r="3" spans="1:6" x14ac:dyDescent="0.25">
      <c r="A3" s="73" t="s">
        <v>34</v>
      </c>
      <c r="B3">
        <v>10663233000</v>
      </c>
      <c r="C3">
        <v>1301420000</v>
      </c>
      <c r="D3">
        <v>1381518000</v>
      </c>
      <c r="E3">
        <v>1489815000</v>
      </c>
      <c r="F3">
        <v>0.16915052165161379</v>
      </c>
    </row>
    <row r="4" spans="1:6" x14ac:dyDescent="0.25">
      <c r="A4" s="73" t="s">
        <v>35</v>
      </c>
      <c r="B4">
        <v>10204917000</v>
      </c>
      <c r="C4">
        <v>1324610000</v>
      </c>
      <c r="D4">
        <v>1381200000</v>
      </c>
      <c r="E4">
        <v>1419868000</v>
      </c>
      <c r="F4">
        <v>0.1298546373776692</v>
      </c>
    </row>
    <row r="5" spans="1:6" x14ac:dyDescent="0.25">
      <c r="A5" s="73" t="s">
        <v>36</v>
      </c>
      <c r="B5">
        <v>9871649000</v>
      </c>
      <c r="C5">
        <v>1222746000</v>
      </c>
      <c r="D5">
        <v>1381050000</v>
      </c>
      <c r="E5">
        <v>1295447000</v>
      </c>
      <c r="F5">
        <v>0.141200193157935</v>
      </c>
    </row>
    <row r="6" spans="1:6" x14ac:dyDescent="0.25">
      <c r="A6" s="73" t="s">
        <v>37</v>
      </c>
      <c r="B6">
        <v>9535928000</v>
      </c>
      <c r="C6">
        <v>1387144000</v>
      </c>
      <c r="D6">
        <v>1384050000</v>
      </c>
      <c r="E6">
        <v>1454006000</v>
      </c>
      <c r="F6">
        <v>0.113218552591575</v>
      </c>
    </row>
    <row r="7" spans="1:6" x14ac:dyDescent="0.25">
      <c r="A7" s="73" t="s">
        <v>38</v>
      </c>
      <c r="B7">
        <v>9284155000</v>
      </c>
      <c r="C7">
        <v>1250767000</v>
      </c>
      <c r="D7">
        <v>1387350000</v>
      </c>
      <c r="E7">
        <v>1356008000</v>
      </c>
      <c r="F7">
        <v>0.14133442730643611</v>
      </c>
    </row>
    <row r="8" spans="1:6" x14ac:dyDescent="0.25">
      <c r="A8" s="73" t="s">
        <v>39</v>
      </c>
      <c r="B8">
        <v>8982693000</v>
      </c>
      <c r="C8">
        <v>991942000</v>
      </c>
      <c r="D8">
        <v>1389400000</v>
      </c>
      <c r="E8">
        <v>1062585000</v>
      </c>
      <c r="F8">
        <v>0.1575970570229033</v>
      </c>
    </row>
    <row r="9" spans="1:6" x14ac:dyDescent="0.25">
      <c r="A9" s="73" t="s">
        <v>40</v>
      </c>
      <c r="B9">
        <v>8634652000</v>
      </c>
      <c r="C9">
        <v>844015000</v>
      </c>
      <c r="D9">
        <v>1394950000</v>
      </c>
      <c r="E9">
        <v>899136000</v>
      </c>
      <c r="F9">
        <v>0.1436357543711648</v>
      </c>
    </row>
    <row r="10" spans="1:6" x14ac:dyDescent="0.25">
      <c r="A10" s="73" t="s">
        <v>41</v>
      </c>
      <c r="B10">
        <v>8414686000</v>
      </c>
      <c r="C10">
        <v>902602000</v>
      </c>
      <c r="D10">
        <v>27956000</v>
      </c>
      <c r="E10">
        <v>783901000</v>
      </c>
    </row>
    <row r="11" spans="1:6" x14ac:dyDescent="0.25">
      <c r="A11" s="73" t="s">
        <v>42</v>
      </c>
      <c r="B11">
        <v>8146826000</v>
      </c>
      <c r="C11">
        <v>862064000</v>
      </c>
      <c r="D11">
        <v>1404600000</v>
      </c>
      <c r="E11">
        <v>761617000</v>
      </c>
      <c r="F11">
        <v>0.13587205065367261</v>
      </c>
    </row>
    <row r="12" spans="1:6" x14ac:dyDescent="0.25">
      <c r="A12" s="73" t="s">
        <v>43</v>
      </c>
      <c r="B12">
        <v>7826025000</v>
      </c>
      <c r="C12">
        <v>806992000</v>
      </c>
      <c r="D12">
        <v>1415050000</v>
      </c>
      <c r="E12">
        <v>856242000</v>
      </c>
      <c r="F12">
        <v>0.14783681667456181</v>
      </c>
    </row>
    <row r="13" spans="1:6" x14ac:dyDescent="0.25">
      <c r="A13" s="73" t="s">
        <v>44</v>
      </c>
      <c r="B13">
        <v>7547061000</v>
      </c>
      <c r="C13">
        <v>839606000</v>
      </c>
      <c r="D13">
        <v>1423750000</v>
      </c>
      <c r="E13">
        <v>1076319000</v>
      </c>
      <c r="F13">
        <v>0.21487084113428409</v>
      </c>
    </row>
    <row r="14" spans="1:6" x14ac:dyDescent="0.25">
      <c r="A14" s="73" t="s">
        <v>45</v>
      </c>
      <c r="B14">
        <v>7194138000</v>
      </c>
      <c r="C14">
        <v>511622000</v>
      </c>
      <c r="D14">
        <v>1423750000</v>
      </c>
      <c r="E14">
        <v>1022643000</v>
      </c>
      <c r="F14">
        <v>0.20600918937888649</v>
      </c>
    </row>
    <row r="15" spans="1:6" x14ac:dyDescent="0.25">
      <c r="A15" s="73" t="s">
        <v>46</v>
      </c>
      <c r="B15">
        <v>6843237000</v>
      </c>
      <c r="C15">
        <v>501752000</v>
      </c>
      <c r="D15">
        <v>1425050000</v>
      </c>
      <c r="E15">
        <v>990729000</v>
      </c>
      <c r="F15">
        <v>0.41434473136968419</v>
      </c>
    </row>
    <row r="16" spans="1:6" x14ac:dyDescent="0.25">
      <c r="A16" s="73" t="s">
        <v>47</v>
      </c>
      <c r="B16">
        <v>6315437000</v>
      </c>
      <c r="C16">
        <v>405431000</v>
      </c>
      <c r="D16">
        <v>1429100000</v>
      </c>
      <c r="E16">
        <v>1058361000</v>
      </c>
      <c r="F16">
        <v>0.11583186723297589</v>
      </c>
    </row>
    <row r="17" spans="1:6" x14ac:dyDescent="0.25">
      <c r="A17" s="73" t="s">
        <v>48</v>
      </c>
      <c r="B17">
        <v>5984634000</v>
      </c>
      <c r="C17">
        <v>290495000</v>
      </c>
      <c r="D17">
        <v>1427600000</v>
      </c>
      <c r="E17">
        <v>951603000</v>
      </c>
      <c r="F17">
        <v>0.1911101057890994</v>
      </c>
    </row>
    <row r="18" spans="1:6" x14ac:dyDescent="0.25">
      <c r="A18" s="73" t="s">
        <v>49</v>
      </c>
      <c r="B18">
        <v>5817148000</v>
      </c>
      <c r="C18">
        <v>392607000</v>
      </c>
      <c r="D18">
        <v>1422700000</v>
      </c>
      <c r="E18">
        <v>1005220000</v>
      </c>
      <c r="F18">
        <v>5.2863036680993007E-2</v>
      </c>
    </row>
    <row r="19" spans="1:6" x14ac:dyDescent="0.25">
      <c r="A19" s="73" t="s">
        <v>50</v>
      </c>
      <c r="B19">
        <v>5619431000</v>
      </c>
      <c r="C19">
        <v>368685000</v>
      </c>
      <c r="D19">
        <v>1416650000</v>
      </c>
      <c r="E19">
        <v>906663000</v>
      </c>
      <c r="F19">
        <v>-0.16739650098205941</v>
      </c>
    </row>
    <row r="20" spans="1:6" x14ac:dyDescent="0.25">
      <c r="A20" s="73" t="s">
        <v>51</v>
      </c>
      <c r="B20">
        <v>5688924000</v>
      </c>
      <c r="C20">
        <v>373783000</v>
      </c>
      <c r="D20">
        <v>1416150000</v>
      </c>
      <c r="E20">
        <v>881293000</v>
      </c>
      <c r="F20">
        <v>1.8871268298760849E-2</v>
      </c>
    </row>
    <row r="21" spans="1:6" x14ac:dyDescent="0.25">
      <c r="A21" s="73" t="s">
        <v>52</v>
      </c>
      <c r="B21">
        <v>5586369000</v>
      </c>
      <c r="C21">
        <v>387720000</v>
      </c>
      <c r="D21">
        <v>1418600000</v>
      </c>
      <c r="E21">
        <v>880782000</v>
      </c>
      <c r="F21">
        <v>0.13041780695002131</v>
      </c>
    </row>
    <row r="22" spans="1:6" x14ac:dyDescent="0.25">
      <c r="A22" s="73" t="s">
        <v>53</v>
      </c>
      <c r="B22">
        <v>5371206000</v>
      </c>
      <c r="C22">
        <v>348742000</v>
      </c>
      <c r="D22">
        <v>1419400000</v>
      </c>
      <c r="E22">
        <v>815361000</v>
      </c>
      <c r="F22">
        <v>-3.4110800183182577E-2</v>
      </c>
    </row>
    <row r="23" spans="1:6" x14ac:dyDescent="0.25">
      <c r="A23" s="73" t="s">
        <v>54</v>
      </c>
      <c r="B23">
        <v>5192516000</v>
      </c>
      <c r="C23">
        <v>325762000</v>
      </c>
      <c r="D23">
        <v>1415000000</v>
      </c>
      <c r="E23">
        <v>717780000</v>
      </c>
      <c r="F23">
        <v>6.714148217161986E-2</v>
      </c>
    </row>
    <row r="24" spans="1:6" x14ac:dyDescent="0.25">
      <c r="A24" s="73" t="s">
        <v>55</v>
      </c>
      <c r="B24">
        <v>5024805000</v>
      </c>
      <c r="C24">
        <v>308925000</v>
      </c>
      <c r="D24">
        <v>1405900000</v>
      </c>
      <c r="E24">
        <v>735024000</v>
      </c>
      <c r="F24">
        <v>8.49864114935861E-3</v>
      </c>
    </row>
    <row r="25" spans="1:6" x14ac:dyDescent="0.25">
      <c r="A25" s="73" t="s">
        <v>56</v>
      </c>
      <c r="B25">
        <v>4864985000</v>
      </c>
      <c r="C25">
        <v>334162000</v>
      </c>
      <c r="D25">
        <v>1397300000</v>
      </c>
      <c r="E25">
        <v>676798000</v>
      </c>
      <c r="F25">
        <v>-0.1209743311413386</v>
      </c>
    </row>
    <row r="26" spans="1:6" x14ac:dyDescent="0.25">
      <c r="A26" s="73" t="s">
        <v>57</v>
      </c>
      <c r="B26">
        <v>4750024000</v>
      </c>
      <c r="C26">
        <v>319498000</v>
      </c>
      <c r="D26">
        <v>1400850000</v>
      </c>
      <c r="E26">
        <v>670815000</v>
      </c>
      <c r="F26">
        <v>5.4830259362417264E-3</v>
      </c>
    </row>
    <row r="27" spans="1:6" x14ac:dyDescent="0.25">
      <c r="A27" s="73" t="s">
        <v>58</v>
      </c>
      <c r="B27">
        <v>4653091000</v>
      </c>
      <c r="C27">
        <v>287374000</v>
      </c>
      <c r="D27">
        <v>1396750000</v>
      </c>
      <c r="E27">
        <v>573927000</v>
      </c>
      <c r="F27">
        <v>6.0384046984417017E-2</v>
      </c>
    </row>
    <row r="28" spans="1:6" x14ac:dyDescent="0.25">
      <c r="A28" s="73" t="s">
        <v>59</v>
      </c>
      <c r="B28">
        <v>4555980000</v>
      </c>
      <c r="C28">
        <v>300429000</v>
      </c>
      <c r="D28">
        <v>1397500000</v>
      </c>
      <c r="E28">
        <v>530602000</v>
      </c>
      <c r="F28">
        <v>-0.2080367963444105</v>
      </c>
    </row>
    <row r="29" spans="1:6" x14ac:dyDescent="0.25">
      <c r="A29" s="73" t="s">
        <v>60</v>
      </c>
      <c r="B29">
        <v>4476412000</v>
      </c>
      <c r="C29">
        <v>250328000</v>
      </c>
      <c r="D29">
        <v>1395550000</v>
      </c>
      <c r="E29">
        <v>508951000</v>
      </c>
      <c r="F29">
        <v>5.7001375463965331E-2</v>
      </c>
    </row>
    <row r="30" spans="1:6" x14ac:dyDescent="0.25">
      <c r="A30" s="73" t="s">
        <v>61</v>
      </c>
      <c r="B30">
        <v>4400872000</v>
      </c>
      <c r="C30">
        <v>214908000</v>
      </c>
      <c r="D30">
        <v>1421950000</v>
      </c>
      <c r="E30">
        <v>548357000</v>
      </c>
      <c r="F30">
        <v>0.38479786414632461</v>
      </c>
    </row>
    <row r="31" spans="1:6" x14ac:dyDescent="0.25">
      <c r="A31" s="73" t="s">
        <v>62</v>
      </c>
      <c r="B31">
        <v>4309780000</v>
      </c>
      <c r="C31">
        <v>167314000</v>
      </c>
      <c r="D31">
        <v>1440000000</v>
      </c>
      <c r="E31">
        <v>569603000</v>
      </c>
      <c r="F31">
        <v>0.31682054840321688</v>
      </c>
    </row>
    <row r="32" spans="1:6" x14ac:dyDescent="0.25">
      <c r="A32" s="73" t="s">
        <v>63</v>
      </c>
      <c r="B32">
        <v>4138754000</v>
      </c>
      <c r="C32">
        <v>185133000</v>
      </c>
      <c r="D32">
        <v>1442500000</v>
      </c>
      <c r="E32">
        <v>577040000</v>
      </c>
      <c r="F32">
        <v>-0.3028457789939929</v>
      </c>
    </row>
    <row r="33" spans="1:6" x14ac:dyDescent="0.25">
      <c r="A33" s="73" t="s">
        <v>64</v>
      </c>
      <c r="B33">
        <v>3904384000</v>
      </c>
      <c r="C33">
        <v>90400000</v>
      </c>
      <c r="D33">
        <v>1450150000</v>
      </c>
      <c r="E33">
        <v>417716000</v>
      </c>
      <c r="F33">
        <v>-0.10482798804123949</v>
      </c>
    </row>
    <row r="34" spans="1:6" x14ac:dyDescent="0.25">
      <c r="A34" s="73" t="s">
        <v>65</v>
      </c>
      <c r="B34">
        <v>3867331000</v>
      </c>
      <c r="C34">
        <v>107995000</v>
      </c>
      <c r="D34">
        <v>1458550000</v>
      </c>
      <c r="E34">
        <v>359149000</v>
      </c>
    </row>
    <row r="35" spans="1:6" x14ac:dyDescent="0.25">
      <c r="A35" s="73" t="s">
        <v>66</v>
      </c>
      <c r="B35">
        <v>4047239000</v>
      </c>
      <c r="C35">
        <v>192116000</v>
      </c>
      <c r="D35">
        <v>1467000000</v>
      </c>
      <c r="E35">
        <v>270144000</v>
      </c>
      <c r="F35">
        <v>-2.0006398278121229E-2</v>
      </c>
    </row>
    <row r="36" spans="1:6" x14ac:dyDescent="0.25">
      <c r="A36" s="73" t="s">
        <v>67</v>
      </c>
      <c r="B36">
        <v>4246639000</v>
      </c>
      <c r="C36">
        <v>241300000</v>
      </c>
      <c r="D36">
        <v>1494650000</v>
      </c>
      <c r="E36">
        <v>250805000</v>
      </c>
      <c r="F36">
        <v>-0.1579066947339296</v>
      </c>
    </row>
    <row r="37" spans="1:6" x14ac:dyDescent="0.25">
      <c r="A37" s="73" t="s">
        <v>68</v>
      </c>
      <c r="B37">
        <v>4501223000</v>
      </c>
      <c r="C37">
        <v>425898000</v>
      </c>
      <c r="D37">
        <v>1565600000</v>
      </c>
      <c r="E37">
        <v>663204000</v>
      </c>
    </row>
    <row r="38" spans="1:6" x14ac:dyDescent="0.25">
      <c r="A38" s="73" t="s">
        <v>69</v>
      </c>
      <c r="B38">
        <v>4573527000</v>
      </c>
      <c r="C38">
        <v>446844000</v>
      </c>
      <c r="D38">
        <v>1577400000</v>
      </c>
      <c r="E38">
        <v>959743000</v>
      </c>
      <c r="F38">
        <v>0.12970737911608499</v>
      </c>
    </row>
    <row r="39" spans="1:6" x14ac:dyDescent="0.25">
      <c r="A39" s="73" t="s">
        <v>70</v>
      </c>
      <c r="B39">
        <v>4440859000</v>
      </c>
      <c r="C39">
        <v>458621000</v>
      </c>
      <c r="D39">
        <v>1576300000</v>
      </c>
      <c r="E39">
        <v>879230000</v>
      </c>
      <c r="F39">
        <v>0.1381192678985175</v>
      </c>
    </row>
    <row r="40" spans="1:6" x14ac:dyDescent="0.25">
      <c r="A40" s="73" t="s">
        <v>71</v>
      </c>
      <c r="B40">
        <v>4293149000</v>
      </c>
      <c r="C40">
        <v>480285000</v>
      </c>
      <c r="D40">
        <v>1579600000</v>
      </c>
      <c r="E40">
        <v>890534000</v>
      </c>
      <c r="F40">
        <v>0.13613648977009671</v>
      </c>
    </row>
    <row r="41" spans="1:6" x14ac:dyDescent="0.25">
      <c r="A41" s="73" t="s">
        <v>72</v>
      </c>
      <c r="B41">
        <v>4108269000</v>
      </c>
      <c r="C41">
        <v>429477000</v>
      </c>
      <c r="D41">
        <v>1577100000</v>
      </c>
      <c r="E41">
        <v>758057000</v>
      </c>
      <c r="F41">
        <v>0.2508133204287879</v>
      </c>
    </row>
    <row r="42" spans="1:6" x14ac:dyDescent="0.25">
      <c r="A42" s="73" t="s">
        <v>73</v>
      </c>
      <c r="B42">
        <v>3882605000</v>
      </c>
      <c r="C42">
        <v>466160000</v>
      </c>
      <c r="D42">
        <v>1577350000</v>
      </c>
      <c r="E42">
        <v>789609000</v>
      </c>
      <c r="F42">
        <v>0.21320966686701159</v>
      </c>
    </row>
    <row r="43" spans="1:6" x14ac:dyDescent="0.25">
      <c r="A43" s="73" t="s">
        <v>74</v>
      </c>
      <c r="B43">
        <v>3625290000</v>
      </c>
      <c r="C43">
        <v>398822000</v>
      </c>
      <c r="D43">
        <v>1573700000</v>
      </c>
      <c r="E43">
        <v>804630000</v>
      </c>
      <c r="F43">
        <v>0.13504428944668501</v>
      </c>
    </row>
    <row r="44" spans="1:6" x14ac:dyDescent="0.25">
      <c r="A44" s="73" t="s">
        <v>75</v>
      </c>
      <c r="B44">
        <v>3392003000</v>
      </c>
      <c r="C44">
        <v>372647000</v>
      </c>
      <c r="D44">
        <v>1574300000</v>
      </c>
      <c r="E44">
        <v>706995000</v>
      </c>
      <c r="F44">
        <v>0.34784816119964068</v>
      </c>
    </row>
    <row r="45" spans="1:6" x14ac:dyDescent="0.25">
      <c r="A45" s="73" t="s">
        <v>76</v>
      </c>
      <c r="B45">
        <v>3214591000</v>
      </c>
      <c r="C45">
        <v>328854000</v>
      </c>
      <c r="D45">
        <v>1571250000</v>
      </c>
      <c r="E45">
        <v>578174000</v>
      </c>
      <c r="F45">
        <v>0.2073041831566691</v>
      </c>
    </row>
    <row r="46" spans="1:6" x14ac:dyDescent="0.25">
      <c r="A46" s="73" t="s">
        <v>77</v>
      </c>
      <c r="B46">
        <v>3069605000</v>
      </c>
      <c r="C46">
        <v>318544000</v>
      </c>
      <c r="D46">
        <v>1564800000</v>
      </c>
      <c r="E46">
        <v>532173000</v>
      </c>
      <c r="F46">
        <v>0.23364627680835029</v>
      </c>
    </row>
    <row r="47" spans="1:6" x14ac:dyDescent="0.25">
      <c r="A47" s="73" t="s">
        <v>78</v>
      </c>
      <c r="B47">
        <v>2943226000</v>
      </c>
      <c r="C47">
        <v>330006000</v>
      </c>
      <c r="D47">
        <v>1558800000</v>
      </c>
      <c r="E47">
        <v>483796000</v>
      </c>
      <c r="F47">
        <v>0.27052721576389738</v>
      </c>
    </row>
    <row r="48" spans="1:6" x14ac:dyDescent="0.25">
      <c r="A48" s="73" t="s">
        <v>79</v>
      </c>
      <c r="B48">
        <v>2817372000</v>
      </c>
      <c r="C48">
        <v>324169000</v>
      </c>
      <c r="D48">
        <v>1561450000</v>
      </c>
      <c r="E48">
        <v>507503000</v>
      </c>
      <c r="F48">
        <v>0.1039132834742915</v>
      </c>
    </row>
    <row r="49" spans="1:6" x14ac:dyDescent="0.25">
      <c r="A49" s="73" t="s">
        <v>80</v>
      </c>
      <c r="B49">
        <v>2731224000</v>
      </c>
      <c r="C49">
        <v>222926000</v>
      </c>
      <c r="D49">
        <v>1550600000</v>
      </c>
      <c r="E49">
        <v>472859000</v>
      </c>
      <c r="F49">
        <v>0.18743075319251029</v>
      </c>
    </row>
    <row r="50" spans="1:6" x14ac:dyDescent="0.25">
      <c r="A50" s="73" t="s">
        <v>81</v>
      </c>
      <c r="B50">
        <v>2628812000</v>
      </c>
      <c r="C50">
        <v>218379000</v>
      </c>
      <c r="D50">
        <v>1592300000</v>
      </c>
      <c r="E50">
        <v>573891000</v>
      </c>
      <c r="F50">
        <v>2.7728786738322682</v>
      </c>
    </row>
    <row r="51" spans="1:6" x14ac:dyDescent="0.25">
      <c r="A51" s="73" t="s">
        <v>82</v>
      </c>
      <c r="B51">
        <v>2520138000</v>
      </c>
      <c r="C51">
        <v>223457000</v>
      </c>
      <c r="D51">
        <v>1597550000</v>
      </c>
      <c r="E51">
        <v>529533000</v>
      </c>
    </row>
    <row r="52" spans="1:6" x14ac:dyDescent="0.25">
      <c r="A52" s="73" t="s">
        <v>83</v>
      </c>
      <c r="B52">
        <v>2017327000</v>
      </c>
      <c r="C52">
        <v>205594000</v>
      </c>
      <c r="D52">
        <v>1592300000</v>
      </c>
      <c r="E52">
        <v>464671000</v>
      </c>
      <c r="F52">
        <v>0.23206243816060179</v>
      </c>
    </row>
    <row r="53" spans="1:6" x14ac:dyDescent="0.25">
      <c r="A53" s="73" t="s">
        <v>84</v>
      </c>
      <c r="B53">
        <v>1886108000</v>
      </c>
      <c r="C53">
        <v>259949000</v>
      </c>
      <c r="D53">
        <v>1589200000</v>
      </c>
      <c r="E53">
        <v>456248000</v>
      </c>
      <c r="F53">
        <v>0.25029453640359689</v>
      </c>
    </row>
    <row r="54" spans="1:6" x14ac:dyDescent="0.25">
      <c r="A54" s="73" t="s">
        <v>85</v>
      </c>
      <c r="B54">
        <v>1771880000</v>
      </c>
      <c r="C54">
        <v>248961000</v>
      </c>
      <c r="D54">
        <v>1591600000</v>
      </c>
      <c r="E54">
        <v>444634000</v>
      </c>
      <c r="F54">
        <v>0.2085449909200334</v>
      </c>
    </row>
    <row r="55" spans="1:6" x14ac:dyDescent="0.25">
      <c r="A55" s="73" t="s">
        <v>86</v>
      </c>
      <c r="B55">
        <v>1656900000</v>
      </c>
      <c r="C55">
        <v>205708000</v>
      </c>
      <c r="D55">
        <v>1588050000</v>
      </c>
      <c r="E55">
        <v>384560000</v>
      </c>
      <c r="F55">
        <v>0.2542631495519887</v>
      </c>
    </row>
    <row r="56" spans="1:6" x14ac:dyDescent="0.25">
      <c r="A56" s="73" t="s">
        <v>87</v>
      </c>
      <c r="B56">
        <v>1935620000</v>
      </c>
      <c r="C56">
        <v>177679000</v>
      </c>
      <c r="D56">
        <v>1585850000</v>
      </c>
      <c r="E56">
        <v>327939000</v>
      </c>
      <c r="F56">
        <v>0.2263585209160186</v>
      </c>
    </row>
    <row r="57" spans="1:6" x14ac:dyDescent="0.25">
      <c r="A57" s="73" t="s">
        <v>88</v>
      </c>
      <c r="B57">
        <v>1835922000</v>
      </c>
      <c r="C57">
        <v>175976000</v>
      </c>
      <c r="D57">
        <v>1554100000</v>
      </c>
      <c r="E57">
        <v>349604000</v>
      </c>
      <c r="F57">
        <v>9.2568500608963156E-2</v>
      </c>
    </row>
    <row r="58" spans="1:6" x14ac:dyDescent="0.25">
      <c r="A58" s="73" t="s">
        <v>89</v>
      </c>
      <c r="B58">
        <v>1740945000</v>
      </c>
      <c r="C58">
        <v>169681000</v>
      </c>
      <c r="D58">
        <v>1581450000</v>
      </c>
      <c r="E58">
        <v>300996000</v>
      </c>
      <c r="F58">
        <v>6.0455749894860578E-2</v>
      </c>
    </row>
    <row r="59" spans="1:6" x14ac:dyDescent="0.25">
      <c r="A59" s="73" t="s">
        <v>90</v>
      </c>
      <c r="B59">
        <v>1651652000</v>
      </c>
      <c r="C59">
        <v>167925000</v>
      </c>
      <c r="D59">
        <v>1590100000</v>
      </c>
      <c r="E59">
        <v>307042000</v>
      </c>
      <c r="F59">
        <v>0.1429476128753511</v>
      </c>
    </row>
    <row r="60" spans="1:6" x14ac:dyDescent="0.25">
      <c r="A60" s="73" t="s">
        <v>91</v>
      </c>
      <c r="B60">
        <v>1573647000</v>
      </c>
      <c r="C60">
        <v>147772000</v>
      </c>
      <c r="D60">
        <v>1590700000</v>
      </c>
      <c r="E60">
        <v>298002000</v>
      </c>
      <c r="F60">
        <v>-7.7258029205317436E-2</v>
      </c>
    </row>
    <row r="61" spans="1:6" x14ac:dyDescent="0.25">
      <c r="A61" s="73" t="s">
        <v>92</v>
      </c>
      <c r="B61">
        <v>1518417000</v>
      </c>
      <c r="C61">
        <v>143475000</v>
      </c>
      <c r="D61">
        <v>1574150000</v>
      </c>
      <c r="E61">
        <v>269566000</v>
      </c>
      <c r="F61">
        <v>-8.1943065465159393E-2</v>
      </c>
    </row>
    <row r="62" spans="1:6" x14ac:dyDescent="0.25">
      <c r="A62" s="73" t="s">
        <v>93</v>
      </c>
      <c r="B62">
        <v>1476217000</v>
      </c>
      <c r="C62">
        <v>104565000</v>
      </c>
      <c r="D62">
        <v>1597450000</v>
      </c>
      <c r="E62">
        <v>238446000</v>
      </c>
      <c r="F62">
        <v>-7.2592236516387021E-2</v>
      </c>
    </row>
    <row r="63" spans="1:6" x14ac:dyDescent="0.25">
      <c r="A63" s="73" t="s">
        <v>94</v>
      </c>
      <c r="B63">
        <v>1429179000</v>
      </c>
      <c r="C63">
        <v>84886000</v>
      </c>
      <c r="D63">
        <v>1609750000</v>
      </c>
      <c r="E63">
        <v>208299000</v>
      </c>
      <c r="F63">
        <v>-8.7200737188705024E-2</v>
      </c>
    </row>
    <row r="64" spans="1:6" x14ac:dyDescent="0.25">
      <c r="A64" s="73" t="s">
        <v>95</v>
      </c>
      <c r="B64">
        <v>1381097000</v>
      </c>
      <c r="C64">
        <v>66269000</v>
      </c>
      <c r="D64">
        <v>1618100000</v>
      </c>
      <c r="E64">
        <v>204934000</v>
      </c>
      <c r="F64">
        <v>-0.1813106996760849</v>
      </c>
    </row>
    <row r="65" spans="1:6" x14ac:dyDescent="0.25">
      <c r="A65" s="73" t="s">
        <v>96</v>
      </c>
      <c r="B65">
        <v>1331968000</v>
      </c>
      <c r="C65">
        <v>46406000</v>
      </c>
      <c r="D65">
        <v>1600150000</v>
      </c>
      <c r="E65">
        <v>188034000</v>
      </c>
      <c r="F65">
        <v>0.1262290886435222</v>
      </c>
    </row>
    <row r="66" spans="1:6" x14ac:dyDescent="0.25">
      <c r="A66" s="73" t="s">
        <v>97</v>
      </c>
      <c r="B66">
        <v>1275534000</v>
      </c>
      <c r="C66">
        <v>45311000</v>
      </c>
      <c r="D66">
        <v>1658500000</v>
      </c>
      <c r="E66">
        <v>212183000</v>
      </c>
      <c r="F66">
        <v>0.1887679755333744</v>
      </c>
    </row>
    <row r="67" spans="1:6" x14ac:dyDescent="0.25">
      <c r="A67" s="73" t="s">
        <v>98</v>
      </c>
      <c r="B67">
        <v>1221422000</v>
      </c>
      <c r="C67">
        <v>31428000</v>
      </c>
      <c r="D67">
        <v>1664200000</v>
      </c>
      <c r="E67">
        <v>195617000</v>
      </c>
      <c r="F67">
        <v>0.25901381831701559</v>
      </c>
    </row>
    <row r="68" spans="1:6" x14ac:dyDescent="0.25">
      <c r="A68" s="73" t="s">
        <v>99</v>
      </c>
      <c r="B68">
        <v>1155014000</v>
      </c>
      <c r="C68">
        <v>23743000</v>
      </c>
      <c r="D68">
        <v>1666500000</v>
      </c>
      <c r="E68">
        <v>187162000</v>
      </c>
      <c r="F68">
        <v>0.19365248734619531</v>
      </c>
    </row>
    <row r="69" spans="1:6" x14ac:dyDescent="0.25">
      <c r="A69" s="73" t="s">
        <v>100</v>
      </c>
      <c r="B69">
        <v>1085782000</v>
      </c>
      <c r="C69">
        <v>6378000</v>
      </c>
      <c r="D69">
        <v>1640400000</v>
      </c>
      <c r="E69">
        <v>171176000</v>
      </c>
      <c r="F69">
        <v>0.36447865682985991</v>
      </c>
    </row>
    <row r="70" spans="1:6" x14ac:dyDescent="0.25">
      <c r="A70" s="73" t="s">
        <v>101</v>
      </c>
      <c r="B70">
        <v>1016591000</v>
      </c>
      <c r="C70">
        <v>-2986000</v>
      </c>
      <c r="D70">
        <v>1658550000</v>
      </c>
      <c r="E70">
        <v>167657000</v>
      </c>
      <c r="F70">
        <v>0.1588838682192559</v>
      </c>
    </row>
    <row r="71" spans="1:6" x14ac:dyDescent="0.25">
      <c r="A71" s="73" t="s">
        <v>102</v>
      </c>
      <c r="B71">
        <v>941420000</v>
      </c>
      <c r="C71">
        <v>-2457000</v>
      </c>
      <c r="D71">
        <v>1653250000</v>
      </c>
      <c r="E71">
        <v>156217000</v>
      </c>
      <c r="F71">
        <v>3.8499824335402888E-3</v>
      </c>
    </row>
    <row r="72" spans="1:6" x14ac:dyDescent="0.25">
      <c r="A72" s="73" t="s">
        <v>103</v>
      </c>
      <c r="B72">
        <v>872010000</v>
      </c>
      <c r="C72">
        <v>-4070000</v>
      </c>
      <c r="D72">
        <v>1647650000</v>
      </c>
      <c r="E72">
        <v>158902000</v>
      </c>
      <c r="F72">
        <v>6.3128904098601613E-2</v>
      </c>
    </row>
    <row r="73" spans="1:6" x14ac:dyDescent="0.25">
      <c r="A73" s="73" t="s">
        <v>104</v>
      </c>
      <c r="B73">
        <v>822930000</v>
      </c>
      <c r="C73">
        <v>6285000</v>
      </c>
      <c r="D73">
        <v>1627900000</v>
      </c>
      <c r="E73">
        <v>153642000</v>
      </c>
      <c r="F73">
        <v>7.607028324476528E-2</v>
      </c>
    </row>
    <row r="74" spans="1:6" x14ac:dyDescent="0.25">
      <c r="A74" s="73" t="s">
        <v>105</v>
      </c>
      <c r="B74">
        <v>776524000</v>
      </c>
      <c r="C74">
        <v>6138000</v>
      </c>
      <c r="D74">
        <v>1644250000</v>
      </c>
      <c r="E74">
        <v>157565000</v>
      </c>
      <c r="F74">
        <v>4.6308950819022643E-2</v>
      </c>
    </row>
    <row r="75" spans="1:6" x14ac:dyDescent="0.25">
      <c r="A75" s="73" t="s">
        <v>106</v>
      </c>
      <c r="B75">
        <v>716725000</v>
      </c>
      <c r="C75">
        <v>3213000</v>
      </c>
      <c r="D75">
        <v>1645150000</v>
      </c>
      <c r="E75">
        <v>142044000</v>
      </c>
    </row>
    <row r="76" spans="1:6" x14ac:dyDescent="0.25">
      <c r="A76" s="73" t="s">
        <v>107</v>
      </c>
      <c r="D76">
        <v>1553900000</v>
      </c>
      <c r="E76">
        <v>133464000</v>
      </c>
    </row>
    <row r="77" spans="1:6" x14ac:dyDescent="0.25">
      <c r="A77" s="73" t="s">
        <v>108</v>
      </c>
      <c r="D77">
        <v>2918613300</v>
      </c>
      <c r="E77">
        <v>61000</v>
      </c>
    </row>
    <row r="78" spans="1:6" x14ac:dyDescent="0.25">
      <c r="A78" s="73" t="s">
        <v>109</v>
      </c>
      <c r="D78">
        <v>1317200000</v>
      </c>
      <c r="E78">
        <v>1958000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110</v>
      </c>
      <c r="B1" s="27" t="s">
        <v>111</v>
      </c>
      <c r="C1" t="s">
        <v>112</v>
      </c>
      <c r="D1" t="s">
        <v>113</v>
      </c>
      <c r="F1" s="27" t="s">
        <v>111</v>
      </c>
      <c r="G1" t="s">
        <v>112</v>
      </c>
      <c r="H1" t="s">
        <v>113</v>
      </c>
      <c r="J1" t="s">
        <v>114</v>
      </c>
      <c r="K1" t="s">
        <v>112</v>
      </c>
      <c r="L1" t="s">
        <v>113</v>
      </c>
      <c r="N1" t="s">
        <v>115</v>
      </c>
      <c r="O1" t="s">
        <v>112</v>
      </c>
      <c r="P1" t="s">
        <v>113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116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117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118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119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120</v>
      </c>
    </row>
    <row r="7" spans="1:46" x14ac:dyDescent="0.25">
      <c r="A7" s="27" t="s">
        <v>121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122</v>
      </c>
    </row>
    <row r="8" spans="1:46" x14ac:dyDescent="0.25">
      <c r="A8" s="27" t="s">
        <v>123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124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125</v>
      </c>
    </row>
    <row r="10" spans="1:46" x14ac:dyDescent="0.25">
      <c r="A10" s="27" t="s">
        <v>126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127</v>
      </c>
    </row>
    <row r="11" spans="1:46" x14ac:dyDescent="0.25">
      <c r="A11" s="27" t="s">
        <v>128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129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130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131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132</v>
      </c>
    </row>
    <row r="15" spans="1:46" x14ac:dyDescent="0.25">
      <c r="A15" s="27" t="s">
        <v>133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134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135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136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137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138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139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140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141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142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143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144</v>
      </c>
      <c r="J26">
        <v>0.61799999999999999</v>
      </c>
      <c r="N26">
        <v>-0.36399999999999999</v>
      </c>
    </row>
    <row r="27" spans="1:17" x14ac:dyDescent="0.25">
      <c r="A27" s="27" t="s">
        <v>145</v>
      </c>
    </row>
    <row r="28" spans="1:17" x14ac:dyDescent="0.25">
      <c r="A28" s="27" t="s">
        <v>146</v>
      </c>
    </row>
    <row r="29" spans="1:17" x14ac:dyDescent="0.25">
      <c r="A29" s="27" t="s">
        <v>147</v>
      </c>
    </row>
    <row r="31" spans="1:17" x14ac:dyDescent="0.25">
      <c r="A31" s="26" t="s">
        <v>148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149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150</v>
      </c>
      <c r="C1" s="73" t="s">
        <v>151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152</v>
      </c>
      <c r="D2">
        <v>1.060378237750828</v>
      </c>
      <c r="E2">
        <v>0.1141860232762396</v>
      </c>
    </row>
    <row r="3" spans="1:5" x14ac:dyDescent="0.25">
      <c r="A3" s="73">
        <v>1</v>
      </c>
      <c r="B3">
        <v>3</v>
      </c>
      <c r="C3" t="s">
        <v>153</v>
      </c>
      <c r="D3">
        <v>1.0661539873978909</v>
      </c>
      <c r="E3">
        <v>0.11458645600433801</v>
      </c>
    </row>
    <row r="4" spans="1:5" x14ac:dyDescent="0.25">
      <c r="A4" s="73">
        <v>2</v>
      </c>
      <c r="B4">
        <v>3</v>
      </c>
      <c r="C4" t="s">
        <v>154</v>
      </c>
      <c r="D4">
        <v>1.0820368959893669</v>
      </c>
      <c r="E4">
        <v>0.1156876180709204</v>
      </c>
    </row>
    <row r="5" spans="1:5" x14ac:dyDescent="0.25">
      <c r="A5" s="73">
        <v>3</v>
      </c>
      <c r="B5">
        <v>5</v>
      </c>
      <c r="C5" t="s">
        <v>152</v>
      </c>
      <c r="D5">
        <v>1.261036111982532</v>
      </c>
      <c r="E5">
        <v>0.12809763387277689</v>
      </c>
    </row>
    <row r="6" spans="1:5" x14ac:dyDescent="0.25">
      <c r="A6" s="73">
        <v>4</v>
      </c>
      <c r="B6">
        <v>5</v>
      </c>
      <c r="C6" t="s">
        <v>153</v>
      </c>
      <c r="D6">
        <v>1.134712379931659</v>
      </c>
      <c r="E6">
        <v>0.11933960941885589</v>
      </c>
    </row>
    <row r="7" spans="1:5" x14ac:dyDescent="0.25">
      <c r="A7" s="73">
        <v>5</v>
      </c>
      <c r="B7">
        <v>5</v>
      </c>
      <c r="C7" t="s">
        <v>154</v>
      </c>
      <c r="D7">
        <v>0.96245093025094952</v>
      </c>
      <c r="E7">
        <v>0.1073967229613535</v>
      </c>
    </row>
    <row r="8" spans="1:5" x14ac:dyDescent="0.25">
      <c r="A8" s="73">
        <v>6</v>
      </c>
      <c r="B8" t="s">
        <v>148</v>
      </c>
      <c r="D8">
        <v>1.094461423883871</v>
      </c>
      <c r="E8">
        <v>0.1165490106007474</v>
      </c>
    </row>
    <row r="9" spans="1:5" x14ac:dyDescent="0.25">
      <c r="A9" s="73">
        <v>7</v>
      </c>
      <c r="B9" t="s">
        <v>149</v>
      </c>
      <c r="D9">
        <v>1.074095441693629</v>
      </c>
      <c r="E9">
        <v>0.1151370370376292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2024-10-18T17:40:00Z</dcterms:modified>
</cp:coreProperties>
</file>