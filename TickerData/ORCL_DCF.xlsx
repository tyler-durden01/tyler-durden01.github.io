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4" documentId="11_3EDE81AA9C2866A6FD3049AA3B8157FDDB9F28B4" xr6:coauthVersionLast="47" xr6:coauthVersionMax="47" xr10:uidLastSave="{0184ADC5-BF06-4BD7-BBA0-E4D6BBB9E863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3" l="1"/>
  <c r="O32" i="5"/>
  <c r="O31" i="5"/>
  <c r="K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C31" i="5" s="1"/>
  <c r="R3" i="5"/>
  <c r="P3" i="5"/>
  <c r="O3" i="5"/>
  <c r="L3" i="5"/>
  <c r="K3" i="5"/>
  <c r="K32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H10" i="3"/>
  <c r="H11" i="3" s="1"/>
  <c r="G10" i="3"/>
  <c r="L5" i="3"/>
  <c r="M5" i="3" s="1"/>
  <c r="N5" i="3" s="1"/>
  <c r="O5" i="3" s="1"/>
  <c r="P5" i="3" s="1"/>
  <c r="Q5" i="3" s="1"/>
  <c r="R5" i="3" s="1"/>
  <c r="S5" i="3" s="1"/>
  <c r="T5" i="3" s="1"/>
  <c r="U5" i="3" s="1"/>
  <c r="I4" i="3"/>
  <c r="I5" i="3" s="1"/>
  <c r="H4" i="3"/>
  <c r="H5" i="3" s="1"/>
  <c r="G4" i="3"/>
  <c r="F4" i="3"/>
  <c r="G5" i="3" s="1"/>
  <c r="K3" i="3"/>
  <c r="H3" i="3"/>
  <c r="G3" i="3"/>
  <c r="K1" i="3"/>
  <c r="K10" i="3" s="1"/>
  <c r="J1" i="3"/>
  <c r="J7" i="3" s="1"/>
  <c r="I1" i="3"/>
  <c r="I7" i="3" s="1"/>
  <c r="H1" i="3"/>
  <c r="H7" i="3" s="1"/>
  <c r="G1" i="3"/>
  <c r="G7" i="3" s="1"/>
  <c r="F1" i="3"/>
  <c r="F3" i="3" s="1"/>
  <c r="E1" i="3"/>
  <c r="E4" i="3" s="1"/>
  <c r="D1" i="3"/>
  <c r="D10" i="3" s="1"/>
  <c r="G8" i="3" l="1"/>
  <c r="G13" i="3"/>
  <c r="I8" i="3"/>
  <c r="C21" i="3"/>
  <c r="C20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H13" i="3"/>
  <c r="H8" i="3"/>
  <c r="E10" i="3"/>
  <c r="E11" i="3" s="1"/>
  <c r="I3" i="3"/>
  <c r="K7" i="3"/>
  <c r="F10" i="3"/>
  <c r="L1" i="3"/>
  <c r="J3" i="3"/>
  <c r="F5" i="3"/>
  <c r="D7" i="3"/>
  <c r="G31" i="5"/>
  <c r="J10" i="3"/>
  <c r="J11" i="3" s="1"/>
  <c r="E7" i="3"/>
  <c r="D3" i="3"/>
  <c r="J4" i="3"/>
  <c r="J5" i="3" s="1"/>
  <c r="F7" i="3"/>
  <c r="I10" i="3"/>
  <c r="I11" i="3" s="1"/>
  <c r="E3" i="3"/>
  <c r="K4" i="3"/>
  <c r="D4" i="3"/>
  <c r="E5" i="3" s="1"/>
  <c r="K5" i="3" l="1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K11" i="3"/>
  <c r="L11" i="3" s="1"/>
  <c r="J8" i="3"/>
  <c r="F8" i="3"/>
  <c r="F13" i="3"/>
  <c r="I13" i="3"/>
  <c r="D8" i="3"/>
  <c r="L8" i="3" s="1"/>
  <c r="D13" i="3"/>
  <c r="J13" i="3"/>
  <c r="G11" i="3"/>
  <c r="F11" i="3"/>
  <c r="M1" i="3"/>
  <c r="L3" i="3"/>
  <c r="E8" i="3"/>
  <c r="E13" i="3"/>
  <c r="K8" i="3"/>
  <c r="K13" i="3"/>
  <c r="M3" i="3" l="1"/>
  <c r="N1" i="3"/>
  <c r="N11" i="3"/>
  <c r="O11" i="3" s="1"/>
  <c r="P11" i="3" s="1"/>
  <c r="Q11" i="3" s="1"/>
  <c r="R11" i="3" s="1"/>
  <c r="S11" i="3" s="1"/>
  <c r="T11" i="3" s="1"/>
  <c r="U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M8" i="3"/>
  <c r="L7" i="3"/>
  <c r="L13" i="3" s="1"/>
  <c r="L14" i="3" s="1"/>
  <c r="N8" i="3" l="1"/>
  <c r="M7" i="3"/>
  <c r="M13" i="3" s="1"/>
  <c r="M14" i="3" s="1"/>
  <c r="N3" i="3"/>
  <c r="O1" i="3"/>
  <c r="O3" i="3" l="1"/>
  <c r="P1" i="3"/>
  <c r="O8" i="3"/>
  <c r="N7" i="3"/>
  <c r="N13" i="3" s="1"/>
  <c r="N14" i="3" s="1"/>
  <c r="Q1" i="3" l="1"/>
  <c r="P3" i="3"/>
  <c r="O7" i="3"/>
  <c r="O13" i="3" s="1"/>
  <c r="O14" i="3" s="1"/>
  <c r="P8" i="3"/>
  <c r="P7" i="3" l="1"/>
  <c r="P13" i="3" s="1"/>
  <c r="P14" i="3" s="1"/>
  <c r="Q8" i="3"/>
  <c r="R1" i="3"/>
  <c r="Q3" i="3"/>
  <c r="R3" i="3" l="1"/>
  <c r="S1" i="3"/>
  <c r="Q7" i="3"/>
  <c r="Q13" i="3" s="1"/>
  <c r="Q14" i="3" s="1"/>
  <c r="R8" i="3"/>
  <c r="S8" i="3" l="1"/>
  <c r="R7" i="3"/>
  <c r="R13" i="3" s="1"/>
  <c r="R14" i="3" s="1"/>
  <c r="S3" i="3"/>
  <c r="T1" i="3"/>
  <c r="U1" i="3" l="1"/>
  <c r="U3" i="3" s="1"/>
  <c r="T3" i="3"/>
  <c r="T8" i="3"/>
  <c r="S7" i="3"/>
  <c r="S13" i="3" s="1"/>
  <c r="S14" i="3" s="1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8" i="3" l="1"/>
  <c r="L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<sst xmlns="http://schemas.openxmlformats.org/spreadsheetml/2006/main" count="254" uniqueCount="236">
  <si>
    <t>This sheet contains FactSet XML data for use with this workbook's =FDS codes.  Modifying the worksheet's contents may damage the workbook's =FDS functionality.</t>
  </si>
  <si>
    <t>ORCL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</si>
  <si>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</si>
  <si>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</si>
  <si>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</si>
  <si>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</si>
  <si>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</si>
  <si>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</si>
  <si>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</si>
  <si>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</si>
  <si>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</si>
  <si>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</si>
  <si>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</si>
  <si>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</si>
  <si>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</si>
  <si>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</si>
  <si>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</si>
  <si>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</si>
  <si>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</si>
  <si>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</si>
  <si>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</si>
  <si>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</si>
  <si>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</si>
  <si>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</si>
  <si>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</si>
  <si>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</si>
  <si>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</si>
  <si>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</si>
  <si>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</si>
  <si>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</si>
  <si>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</si>
  <si>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</si>
  <si>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</si>
  <si>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2024-11-30</t>
  </si>
  <si>
    <t>2024-08-31</t>
  </si>
  <si>
    <t>2024-05-31</t>
  </si>
  <si>
    <t>2024-02-29</t>
  </si>
  <si>
    <t>2023-11-30</t>
  </si>
  <si>
    <t>2023-08-31</t>
  </si>
  <si>
    <t>2023-05-31</t>
  </si>
  <si>
    <t>2023-02-28</t>
  </si>
  <si>
    <t>2022-11-30</t>
  </si>
  <si>
    <t>2022-08-31</t>
  </si>
  <si>
    <t>2022-05-31</t>
  </si>
  <si>
    <t>2022-02-28</t>
  </si>
  <si>
    <t>2021-11-30</t>
  </si>
  <si>
    <t>2021-08-31</t>
  </si>
  <si>
    <t>2021-05-31</t>
  </si>
  <si>
    <t>2021-02-28</t>
  </si>
  <si>
    <t>2020-11-30</t>
  </si>
  <si>
    <t>2020-08-31</t>
  </si>
  <si>
    <t>2020-05-31</t>
  </si>
  <si>
    <t>2020-02-29</t>
  </si>
  <si>
    <t>2019-11-30</t>
  </si>
  <si>
    <t>2019-08-31</t>
  </si>
  <si>
    <t>2019-05-31</t>
  </si>
  <si>
    <t>2019-02-28</t>
  </si>
  <si>
    <t>2018-11-30</t>
  </si>
  <si>
    <t>2018-08-31</t>
  </si>
  <si>
    <t>2018-05-31</t>
  </si>
  <si>
    <t>2018-02-28</t>
  </si>
  <si>
    <t>2017-11-30</t>
  </si>
  <si>
    <t>2017-08-31</t>
  </si>
  <si>
    <t>2017-05-31</t>
  </si>
  <si>
    <t>2017-02-28</t>
  </si>
  <si>
    <t>2016-11-30</t>
  </si>
  <si>
    <t>2016-08-31</t>
  </si>
  <si>
    <t>2016-05-31</t>
  </si>
  <si>
    <t>2016-02-29</t>
  </si>
  <si>
    <t>2015-11-30</t>
  </si>
  <si>
    <t>2015-08-31</t>
  </si>
  <si>
    <t>2015-05-31</t>
  </si>
  <si>
    <t>2015-02-28</t>
  </si>
  <si>
    <t>2014-11-30</t>
  </si>
  <si>
    <t>2014-08-31</t>
  </si>
  <si>
    <t>2014-05-31</t>
  </si>
  <si>
    <t>2014-01-31</t>
  </si>
  <si>
    <t>2013-11-30</t>
  </si>
  <si>
    <t>2013-08-31</t>
  </si>
  <si>
    <t>2013-05-31</t>
  </si>
  <si>
    <t>2013-02-28</t>
  </si>
  <si>
    <t>2012-11-30</t>
  </si>
  <si>
    <t>2012-08-31</t>
  </si>
  <si>
    <t>2012-05-31</t>
  </si>
  <si>
    <t>2012-02-29</t>
  </si>
  <si>
    <t>2011-11-30</t>
  </si>
  <si>
    <t>2011-08-31</t>
  </si>
  <si>
    <t>2011-05-31</t>
  </si>
  <si>
    <t>2011-02-28</t>
  </si>
  <si>
    <t>2010-11-30</t>
  </si>
  <si>
    <t>2010-08-31</t>
  </si>
  <si>
    <t>2010-05-31</t>
  </si>
  <si>
    <t>2010-02-28</t>
  </si>
  <si>
    <t>2009-11-30</t>
  </si>
  <si>
    <t>2009-08-31</t>
  </si>
  <si>
    <t>2009-05-31</t>
  </si>
  <si>
    <t>2009-02-28</t>
  </si>
  <si>
    <t>2008-11-30</t>
  </si>
  <si>
    <t>2008-08-31</t>
  </si>
  <si>
    <t>2008-05-31</t>
  </si>
  <si>
    <t>2008-02-29</t>
  </si>
  <si>
    <t>2007-11-30</t>
  </si>
  <si>
    <t>2007-08-31</t>
  </si>
  <si>
    <t>2007-05-31</t>
  </si>
  <si>
    <t>2007-02-28</t>
  </si>
  <si>
    <t>2006-11-30</t>
  </si>
  <si>
    <t>2006-08-31</t>
  </si>
  <si>
    <t>2006-05-31</t>
  </si>
  <si>
    <t>2006-02-28</t>
  </si>
  <si>
    <t>2005-11-30</t>
  </si>
  <si>
    <t>2005-08-31</t>
  </si>
  <si>
    <t>2005-05-31</t>
  </si>
  <si>
    <t>2005-02-28</t>
  </si>
  <si>
    <t>2004-11-30</t>
  </si>
  <si>
    <t>2004-08-31</t>
  </si>
  <si>
    <t>2004-05-31</t>
  </si>
  <si>
    <t>2004-02-29</t>
  </si>
  <si>
    <t>2003-11-30</t>
  </si>
  <si>
    <t>2003-08-31</t>
  </si>
  <si>
    <t>2003-05-31</t>
  </si>
  <si>
    <t>2003-02-28</t>
  </si>
  <si>
    <t>2002-11-30</t>
  </si>
  <si>
    <t>2002-08-31</t>
  </si>
  <si>
    <t>2002-05-31</t>
  </si>
  <si>
    <t>2002-02-28</t>
  </si>
  <si>
    <t>2001-11-30</t>
  </si>
  <si>
    <t>2001-08-31</t>
  </si>
  <si>
    <t>2001-05-31</t>
  </si>
  <si>
    <t>2001-02-28</t>
  </si>
  <si>
    <t>2000-11-30</t>
  </si>
  <si>
    <t>2000-08-31</t>
  </si>
  <si>
    <t>2000-05-31</t>
  </si>
  <si>
    <t>2000-02-29</t>
  </si>
  <si>
    <t>1999-11-30</t>
  </si>
  <si>
    <t>1999-08-31</t>
  </si>
  <si>
    <t>1999-05-31</t>
  </si>
  <si>
    <t>1999-02-28</t>
  </si>
  <si>
    <t>1998-11-30</t>
  </si>
  <si>
    <t>1998-08-31</t>
  </si>
  <si>
    <t>1998-05-31</t>
  </si>
  <si>
    <t>1998-02-28</t>
  </si>
  <si>
    <t>1997-11-30</t>
  </si>
  <si>
    <t>1997-08-31</t>
  </si>
  <si>
    <t>1997-05-31</t>
  </si>
  <si>
    <t>1997-02-28</t>
  </si>
  <si>
    <t>1996-11-30</t>
  </si>
  <si>
    <t>1996-08-31</t>
  </si>
  <si>
    <t>1996-05-31</t>
  </si>
  <si>
    <t>1996-02-29</t>
  </si>
  <si>
    <t>1995-11-30</t>
  </si>
  <si>
    <t>1995-08-31</t>
  </si>
  <si>
    <t>1995-05-31</t>
  </si>
  <si>
    <t>1995-02-28</t>
  </si>
  <si>
    <t>1994-11-30</t>
  </si>
  <si>
    <t>1994-08-31</t>
  </si>
  <si>
    <t>1994-05-31</t>
  </si>
  <si>
    <t>1994-02-28</t>
  </si>
  <si>
    <t>1993-11-30</t>
  </si>
  <si>
    <t>1993-08-31</t>
  </si>
  <si>
    <t>1993-05-31</t>
  </si>
  <si>
    <t>1993-02-28</t>
  </si>
  <si>
    <t>1992-11-30</t>
  </si>
  <si>
    <t>1992-08-31</t>
  </si>
  <si>
    <t>1992-05-31</t>
  </si>
  <si>
    <t>1992-02-29</t>
  </si>
  <si>
    <t>1991-11-30</t>
  </si>
  <si>
    <t>1991-08-31</t>
  </si>
  <si>
    <t>1991-05-31</t>
  </si>
  <si>
    <t>1991-02-28</t>
  </si>
  <si>
    <t>1990-11-30</t>
  </si>
  <si>
    <t>1990-08-31</t>
  </si>
  <si>
    <t>1990-05-31</t>
  </si>
  <si>
    <t>1990-02-28</t>
  </si>
  <si>
    <t>1989-11-30</t>
  </si>
  <si>
    <t>1989-08-31</t>
  </si>
  <si>
    <t>1989-05-31</t>
  </si>
  <si>
    <t>1989-02-28</t>
  </si>
  <si>
    <t>1988-11-30</t>
  </si>
  <si>
    <t>1988-08-31</t>
  </si>
  <si>
    <t>1988-05-31</t>
  </si>
  <si>
    <t>1988-02-29</t>
  </si>
  <si>
    <t>1987-11-30</t>
  </si>
  <si>
    <t>1987-08-31</t>
  </si>
  <si>
    <t>1987-05-31</t>
  </si>
  <si>
    <t>1987-02-28</t>
  </si>
  <si>
    <t>1986-11-30</t>
  </si>
  <si>
    <t>1986-08-31</t>
  </si>
  <si>
    <t>1986-05-31</t>
  </si>
  <si>
    <t>1986-02-28</t>
  </si>
  <si>
    <t>1985-11-30</t>
  </si>
  <si>
    <t>1985-08-31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</si>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</sst>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4" sqref="B14"/>
    </sheetView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132945000000</v>
      </c>
    </row>
    <row r="3" spans="1:2" x14ac:dyDescent="0.25">
      <c r="A3" s="73" t="s">
        <v>3</v>
      </c>
      <c r="B3">
        <v>75314000000</v>
      </c>
    </row>
    <row r="4" spans="1:2" x14ac:dyDescent="0.25">
      <c r="A4" s="73" t="s">
        <v>4</v>
      </c>
      <c r="B4">
        <v>0.86532009743094807</v>
      </c>
    </row>
    <row r="5" spans="1:2" x14ac:dyDescent="0.25">
      <c r="A5" s="73" t="s">
        <v>5</v>
      </c>
      <c r="B5">
        <v>4.6259659558647803E-2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11722000000</v>
      </c>
    </row>
    <row r="8" spans="1:2" x14ac:dyDescent="0.25">
      <c r="A8" s="73" t="s">
        <v>8</v>
      </c>
      <c r="B8">
        <v>0.13467990256905191</v>
      </c>
    </row>
    <row r="9" spans="1:2" x14ac:dyDescent="0.25">
      <c r="A9" s="73" t="s">
        <v>9</v>
      </c>
      <c r="B9">
        <v>0.1103602717539777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1.005200978079932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4.6486547009284972E-2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V13" sqref="V13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2017-08-31</v>
      </c>
      <c r="E1" s="66" t="str">
        <f>Python!A27</f>
        <v>2018-08-31</v>
      </c>
      <c r="F1" s="66" t="str">
        <f>Python!A23</f>
        <v>2019-08-31</v>
      </c>
      <c r="G1" s="66" t="str">
        <f>Python!A19</f>
        <v>2020-08-31</v>
      </c>
      <c r="H1" s="66" t="str">
        <f>Python!A15</f>
        <v>2021-08-31</v>
      </c>
      <c r="I1" s="66" t="str">
        <f>Python!A11</f>
        <v>2022-08-31</v>
      </c>
      <c r="J1" s="66" t="str">
        <f>Python!A7</f>
        <v>2023-08-31</v>
      </c>
      <c r="K1" s="66" t="str">
        <f>Python!A3</f>
        <v>2024-08-31</v>
      </c>
      <c r="L1" s="28">
        <f t="shared" ref="L1:U1" si="0">EDATE(K1, 12)</f>
        <v>45900</v>
      </c>
      <c r="M1" s="28">
        <f t="shared" si="0"/>
        <v>46265</v>
      </c>
      <c r="N1" s="28">
        <f t="shared" si="0"/>
        <v>46630</v>
      </c>
      <c r="O1" s="28">
        <f t="shared" si="0"/>
        <v>46996</v>
      </c>
      <c r="P1" s="28">
        <f t="shared" si="0"/>
        <v>47361</v>
      </c>
      <c r="Q1" s="28">
        <f t="shared" si="0"/>
        <v>47726</v>
      </c>
      <c r="R1" s="28">
        <f t="shared" si="0"/>
        <v>48091</v>
      </c>
      <c r="S1" s="28">
        <f t="shared" si="0"/>
        <v>48457</v>
      </c>
      <c r="T1" s="28">
        <f t="shared" si="0"/>
        <v>48822</v>
      </c>
      <c r="U1" s="28">
        <f t="shared" si="0"/>
        <v>49187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38319</v>
      </c>
      <c r="E4" s="36">
        <f>IFERROR(INDEX(Python!$1:$1048576,MATCH(DCF_Simple!E$1,Python!$A:$A,0),MATCH(DCF_Simple!$B4,Python!$1:$1,0))/1000000,0)</f>
        <v>39836</v>
      </c>
      <c r="F4" s="36">
        <f>IFERROR(INDEX(Python!$1:$1048576,MATCH(DCF_Simple!F$1,Python!$A:$A,0),MATCH(DCF_Simple!$B4,Python!$1:$1,0))/1000000,0)</f>
        <v>39530</v>
      </c>
      <c r="G4" s="36">
        <f>IFERROR(INDEX(Python!$1:$1048576,MATCH(DCF_Simple!G$1,Python!$A:$A,0),MATCH(DCF_Simple!$B4,Python!$1:$1,0))/1000000,0)</f>
        <v>39216</v>
      </c>
      <c r="H4" s="36">
        <f>IFERROR(INDEX(Python!$1:$1048576,MATCH(DCF_Simple!H$1,Python!$A:$A,0),MATCH(DCF_Simple!$B4,Python!$1:$1,0))/1000000,0)</f>
        <v>40840</v>
      </c>
      <c r="I4" s="36">
        <f>IFERROR(INDEX(Python!$1:$1048576,MATCH(DCF_Simple!I$1,Python!$A:$A,0),MATCH(DCF_Simple!$B4,Python!$1:$1,0))/1000000,0)</f>
        <v>44158</v>
      </c>
      <c r="J4" s="36">
        <f>IFERROR(INDEX(Python!$1:$1048576,MATCH(DCF_Simple!J$1,Python!$A:$A,0),MATCH(DCF_Simple!$B4,Python!$1:$1,0))/1000000,0)</f>
        <v>50962</v>
      </c>
      <c r="K4" s="55">
        <f>IFERROR(INDEX(Python!$1:$1048576,MATCH(DCF_Simple!K$1,Python!$A:$A,0),MATCH(DCF_Simple!$B4,Python!$1:$1,0))/1000000,0)</f>
        <v>53815</v>
      </c>
      <c r="L4" s="37">
        <f t="shared" ref="L4:U4" si="2">K4*(1+L5)</f>
        <v>58673.36214357469</v>
      </c>
      <c r="M4" s="36">
        <f t="shared" si="2"/>
        <v>61321.847152165159</v>
      </c>
      <c r="N4" s="36">
        <f t="shared" si="2"/>
        <v>64089.883394645447</v>
      </c>
      <c r="O4" s="36">
        <f t="shared" si="2"/>
        <v>66982.867351448032</v>
      </c>
      <c r="P4" s="36">
        <f t="shared" si="2"/>
        <v>70006.43909732149</v>
      </c>
      <c r="Q4" s="36">
        <f t="shared" si="2"/>
        <v>73166.493297051071</v>
      </c>
      <c r="R4" s="36">
        <f t="shared" si="2"/>
        <v>76469.190697520316</v>
      </c>
      <c r="S4" s="36">
        <f t="shared" si="2"/>
        <v>79920.970138518431</v>
      </c>
      <c r="T4" s="36">
        <f t="shared" si="2"/>
        <v>83528.561105709203</v>
      </c>
      <c r="U4" s="36">
        <f t="shared" si="2"/>
        <v>87298.996850234369</v>
      </c>
      <c r="V4" s="19">
        <f>U4</f>
        <v>87298.996850234369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3.9588715780683126E-2</v>
      </c>
      <c r="F5" s="42">
        <f t="shared" si="3"/>
        <v>-7.6814941259162328E-3</v>
      </c>
      <c r="G5" s="42">
        <f t="shared" si="3"/>
        <v>-7.9433341765747789E-3</v>
      </c>
      <c r="H5" s="42">
        <f t="shared" si="3"/>
        <v>4.1411668706650362E-2</v>
      </c>
      <c r="I5" s="42">
        <f t="shared" si="3"/>
        <v>8.1243878550440796E-2</v>
      </c>
      <c r="J5" s="42">
        <f t="shared" si="3"/>
        <v>0.15408306535622085</v>
      </c>
      <c r="K5" s="58">
        <f t="shared" si="3"/>
        <v>5.5982889211569464E-2</v>
      </c>
      <c r="L5" s="43">
        <f>Python!F2</f>
        <v>9.0278958349432115E-2</v>
      </c>
      <c r="M5" s="43">
        <f>L5/2</f>
        <v>4.5139479174716057E-2</v>
      </c>
      <c r="N5" s="38">
        <f t="shared" ref="N5:U5" si="4">M5</f>
        <v>4.5139479174716057E-2</v>
      </c>
      <c r="O5" s="38">
        <f t="shared" si="4"/>
        <v>4.5139479174716057E-2</v>
      </c>
      <c r="P5" s="38">
        <f t="shared" si="4"/>
        <v>4.5139479174716057E-2</v>
      </c>
      <c r="Q5" s="38">
        <f t="shared" si="4"/>
        <v>4.5139479174716057E-2</v>
      </c>
      <c r="R5" s="38">
        <f t="shared" si="4"/>
        <v>4.5139479174716057E-2</v>
      </c>
      <c r="S5" s="38">
        <f t="shared" si="4"/>
        <v>4.5139479174716057E-2</v>
      </c>
      <c r="T5" s="38">
        <f t="shared" si="4"/>
        <v>4.5139479174716057E-2</v>
      </c>
      <c r="U5" s="38">
        <f t="shared" si="4"/>
        <v>4.5139479174716057E-2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12622</v>
      </c>
      <c r="E7" s="52">
        <f>IFERROR(INDEX(Python!$1:$1048576,MATCH(DCF_Simple!E$1,Python!$A:$A,0),MATCH(DCF_Simple!$B7,Python!$1:$1,0))/1000000,0)</f>
        <v>13896</v>
      </c>
      <c r="F7" s="52">
        <f>IFERROR(INDEX(Python!$1:$1048576,MATCH(DCF_Simple!F$1,Python!$A:$A,0),MATCH(DCF_Simple!$B7,Python!$1:$1,0))/1000000,0)</f>
        <v>12166</v>
      </c>
      <c r="G7" s="52">
        <f>IFERROR(INDEX(Python!$1:$1048576,MATCH(DCF_Simple!G$1,Python!$A:$A,0),MATCH(DCF_Simple!$B7,Python!$1:$1,0))/1000000,0)</f>
        <v>11478</v>
      </c>
      <c r="H7" s="52">
        <f>IFERROR(INDEX(Python!$1:$1048576,MATCH(DCF_Simple!H$1,Python!$A:$A,0),MATCH(DCF_Simple!$B7,Python!$1:$1,0))/1000000,0)</f>
        <v>12564</v>
      </c>
      <c r="I7" s="52">
        <f>IFERROR(INDEX(Python!$1:$1048576,MATCH(DCF_Simple!I$1,Python!$A:$A,0),MATCH(DCF_Simple!$B7,Python!$1:$1,0))/1000000,0)</f>
        <v>5374</v>
      </c>
      <c r="J7" s="52">
        <f>IFERROR(INDEX(Python!$1:$1048576,MATCH(DCF_Simple!J$1,Python!$A:$A,0),MATCH(DCF_Simple!$B7,Python!$1:$1,0))/1000000,0)</f>
        <v>9455</v>
      </c>
      <c r="K7" s="57">
        <f>IFERROR(INDEX(Python!$1:$1048576,MATCH(DCF_Simple!K$1,Python!$A:$A,0),MATCH(DCF_Simple!$B7,Python!$1:$1,0))/1000000,0)</f>
        <v>11271</v>
      </c>
      <c r="L7" s="64">
        <f t="shared" ref="L7:U7" si="5">L8*L4</f>
        <v>15423.649394486954</v>
      </c>
      <c r="M7" s="64">
        <f t="shared" si="5"/>
        <v>16119.864895127523</v>
      </c>
      <c r="N7" s="64">
        <f t="shared" si="5"/>
        <v>16847.507200860371</v>
      </c>
      <c r="O7" s="64">
        <f t="shared" si="5"/>
        <v>17607.994901299488</v>
      </c>
      <c r="P7" s="64">
        <f t="shared" si="5"/>
        <v>18402.810620455202</v>
      </c>
      <c r="Q7" s="64">
        <f t="shared" si="5"/>
        <v>19233.503907213486</v>
      </c>
      <c r="R7" s="64">
        <f t="shared" si="5"/>
        <v>20101.694256289971</v>
      </c>
      <c r="S7" s="64">
        <f t="shared" si="5"/>
        <v>21009.074265548283</v>
      </c>
      <c r="T7" s="64">
        <f t="shared" si="5"/>
        <v>21957.412935838067</v>
      </c>
      <c r="U7" s="64">
        <f t="shared" si="5"/>
        <v>22948.559119785972</v>
      </c>
      <c r="V7" s="65">
        <f>U7</f>
        <v>22948.559119785972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0.32939272945536158</v>
      </c>
      <c r="E8" s="42">
        <f t="shared" si="6"/>
        <v>0.34883020383572649</v>
      </c>
      <c r="F8" s="42">
        <f t="shared" si="6"/>
        <v>0.30776625347837083</v>
      </c>
      <c r="G8" s="42">
        <f t="shared" si="6"/>
        <v>0.29268665850673192</v>
      </c>
      <c r="H8" s="42">
        <f t="shared" si="6"/>
        <v>0.30763956904995104</v>
      </c>
      <c r="I8" s="42">
        <f t="shared" si="6"/>
        <v>0.12169935232573939</v>
      </c>
      <c r="J8" s="42">
        <f t="shared" si="6"/>
        <v>0.18553039519642087</v>
      </c>
      <c r="K8" s="58">
        <f t="shared" si="6"/>
        <v>0.20943974728235623</v>
      </c>
      <c r="L8" s="38">
        <f>AVERAGE(D8:K8)</f>
        <v>0.26287311364133231</v>
      </c>
      <c r="M8" s="38">
        <f t="shared" ref="M8:U8" si="7">L8</f>
        <v>0.26287311364133231</v>
      </c>
      <c r="N8" s="38">
        <f t="shared" si="7"/>
        <v>0.26287311364133231</v>
      </c>
      <c r="O8" s="38">
        <f t="shared" si="7"/>
        <v>0.26287311364133231</v>
      </c>
      <c r="P8" s="38">
        <f t="shared" si="7"/>
        <v>0.26287311364133231</v>
      </c>
      <c r="Q8" s="38">
        <f t="shared" si="7"/>
        <v>0.26287311364133231</v>
      </c>
      <c r="R8" s="38">
        <f t="shared" si="7"/>
        <v>0.26287311364133231</v>
      </c>
      <c r="S8" s="38">
        <f t="shared" si="7"/>
        <v>0.26287311364133231</v>
      </c>
      <c r="T8" s="38">
        <f t="shared" si="7"/>
        <v>0.26287311364133231</v>
      </c>
      <c r="U8" s="38">
        <f t="shared" si="7"/>
        <v>0.26287311364133231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4288</v>
      </c>
      <c r="E10" s="17">
        <f>IFERROR(INDEX(Python!$1:$1048576,MATCH(DCF_Simple!E$1,Python!$A:$A,0),MATCH(DCF_Simple!$B10,Python!$1:$1,0))/1000000,0)</f>
        <v>3999</v>
      </c>
      <c r="F10" s="17">
        <f>IFERROR(INDEX(Python!$1:$1048576,MATCH(DCF_Simple!F$1,Python!$A:$A,0),MATCH(DCF_Simple!$B10,Python!$1:$1,0))/1000000,0)</f>
        <v>3410</v>
      </c>
      <c r="G10" s="17">
        <f>IFERROR(INDEX(Python!$1:$1048576,MATCH(DCF_Simple!G$1,Python!$A:$A,0),MATCH(DCF_Simple!$B10,Python!$1:$1,0))/1000000,0)</f>
        <v>3126.388888</v>
      </c>
      <c r="H10" s="17">
        <f>IFERROR(INDEX(Python!$1:$1048576,MATCH(DCF_Simple!H$1,Python!$A:$A,0),MATCH(DCF_Simple!$B10,Python!$1:$1,0))/1000000,0)</f>
        <v>2861</v>
      </c>
      <c r="I10" s="17">
        <f>IFERROR(INDEX(Python!$1:$1048576,MATCH(DCF_Simple!I$1,Python!$A:$A,0),MATCH(DCF_Simple!$B10,Python!$1:$1,0))/1000000,0)</f>
        <v>2747</v>
      </c>
      <c r="J10" s="17">
        <f>IFERROR(INDEX(Python!$1:$1048576,MATCH(DCF_Simple!J$1,Python!$A:$A,0),MATCH(DCF_Simple!$B10,Python!$1:$1,0))/1000000,0)</f>
        <v>2823</v>
      </c>
      <c r="K10" s="69">
        <f>IFERROR(INDEX(Python!$1:$1048576,MATCH(DCF_Simple!K$1,Python!$A:$A,0),MATCH(DCF_Simple!$B10,Python!$1:$1,0))/1000000,0)</f>
        <v>2851</v>
      </c>
      <c r="L10" s="17">
        <f t="shared" ref="L10:U10" si="8">K10*(1+L11)</f>
        <v>2879.2777187389306</v>
      </c>
      <c r="M10" s="17">
        <f t="shared" si="8"/>
        <v>2850.7195267004286</v>
      </c>
      <c r="N10" s="17">
        <f t="shared" si="8"/>
        <v>2822.4445898433219</v>
      </c>
      <c r="O10" s="17">
        <f t="shared" si="8"/>
        <v>2794.4500986936182</v>
      </c>
      <c r="P10" s="17">
        <f t="shared" si="8"/>
        <v>2766.7332716431674</v>
      </c>
      <c r="Q10" s="17">
        <f t="shared" si="8"/>
        <v>2739.2913546732739</v>
      </c>
      <c r="R10" s="17">
        <f t="shared" si="8"/>
        <v>2712.1216210810485</v>
      </c>
      <c r="S10" s="17">
        <f t="shared" si="8"/>
        <v>2685.2213712084767</v>
      </c>
      <c r="T10" s="17">
        <f t="shared" si="8"/>
        <v>2658.5879321741736</v>
      </c>
      <c r="U10" s="17">
        <f t="shared" si="8"/>
        <v>2632.2186576077984</v>
      </c>
      <c r="V10" s="70">
        <f>U10</f>
        <v>2632.2186576077984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-6.7397388059701524E-2</v>
      </c>
      <c r="F11" s="42">
        <f t="shared" si="9"/>
        <v>-0.1472868217054264</v>
      </c>
      <c r="G11" s="42">
        <f t="shared" si="9"/>
        <v>-8.3170414076246368E-2</v>
      </c>
      <c r="H11" s="42">
        <f t="shared" si="9"/>
        <v>-8.4886716754476899E-2</v>
      </c>
      <c r="I11" s="42">
        <f t="shared" si="9"/>
        <v>-3.9846207619713359E-2</v>
      </c>
      <c r="J11" s="42">
        <f t="shared" si="9"/>
        <v>2.7666545322169611E-2</v>
      </c>
      <c r="K11" s="58">
        <f t="shared" si="9"/>
        <v>9.9185263903649457E-3</v>
      </c>
      <c r="L11" s="67">
        <f t="shared" ref="L11:U11" si="10">K11</f>
        <v>9.9185263903649457E-3</v>
      </c>
      <c r="M11" s="67">
        <f>-L11</f>
        <v>-9.9185263903649457E-3</v>
      </c>
      <c r="N11" s="67">
        <f t="shared" si="10"/>
        <v>-9.9185263903649457E-3</v>
      </c>
      <c r="O11" s="67">
        <f t="shared" si="10"/>
        <v>-9.9185263903649457E-3</v>
      </c>
      <c r="P11" s="67">
        <f t="shared" si="10"/>
        <v>-9.9185263903649457E-3</v>
      </c>
      <c r="Q11" s="67">
        <f t="shared" si="10"/>
        <v>-9.9185263903649457E-3</v>
      </c>
      <c r="R11" s="67">
        <f t="shared" si="10"/>
        <v>-9.9185263903649457E-3</v>
      </c>
      <c r="S11" s="67">
        <f t="shared" si="10"/>
        <v>-9.9185263903649457E-3</v>
      </c>
      <c r="T11" s="67">
        <f t="shared" si="10"/>
        <v>-9.9185263903649457E-3</v>
      </c>
      <c r="U11" s="67">
        <f t="shared" si="10"/>
        <v>-9.9185263903649457E-3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2.9435634328358211</v>
      </c>
      <c r="E13" s="53">
        <f t="shared" si="11"/>
        <v>3.4748687171792949</v>
      </c>
      <c r="F13" s="53">
        <f t="shared" si="11"/>
        <v>3.5677419354838711</v>
      </c>
      <c r="G13" s="53">
        <f t="shared" si="11"/>
        <v>3.67132829957781</v>
      </c>
      <c r="H13" s="53">
        <f t="shared" si="11"/>
        <v>4.3914715134568336</v>
      </c>
      <c r="I13" s="53">
        <f t="shared" si="11"/>
        <v>1.9563159810702584</v>
      </c>
      <c r="J13" s="53">
        <f t="shared" si="11"/>
        <v>3.3492738221749914</v>
      </c>
      <c r="K13" s="59">
        <f t="shared" si="11"/>
        <v>3.9533497018589969</v>
      </c>
      <c r="L13" s="53">
        <f t="shared" ref="L13:U13" si="12">L7/L10</f>
        <v>5.356777254971508</v>
      </c>
      <c r="M13" s="53">
        <f t="shared" si="12"/>
        <v>5.654665337696513</v>
      </c>
      <c r="N13" s="53">
        <f t="shared" si="12"/>
        <v>5.9691188487762661</v>
      </c>
      <c r="O13" s="53">
        <f t="shared" si="12"/>
        <v>6.301058984567689</v>
      </c>
      <c r="P13" s="53">
        <f t="shared" si="12"/>
        <v>6.6514581687615095</v>
      </c>
      <c r="Q13" s="53">
        <f t="shared" si="12"/>
        <v>7.0213429011122992</v>
      </c>
      <c r="R13" s="53">
        <f t="shared" si="12"/>
        <v>7.4117967645851586</v>
      </c>
      <c r="S13" s="53">
        <f t="shared" si="12"/>
        <v>7.8239635997285415</v>
      </c>
      <c r="T13" s="53">
        <f t="shared" si="12"/>
        <v>8.259050855572589</v>
      </c>
      <c r="U13" s="53">
        <f t="shared" si="12"/>
        <v>8.7183331268694761</v>
      </c>
      <c r="V13" s="71">
        <f>U13*(1+WACC!$B$13)/(WACC!$B$14-WACC!$B$13)</f>
        <v>335.7440207773966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5.118820944502767</v>
      </c>
      <c r="M14" s="62">
        <f>M13/((1+WACC!$B$14)^(M3-$K$3))</f>
        <v>5.163445621382694</v>
      </c>
      <c r="N14" s="62">
        <f>N13/((1+WACC!$B$14)^(N3-$K$3))</f>
        <v>5.2084593256984748</v>
      </c>
      <c r="O14" s="62">
        <f>O13/((1+WACC!$B$14)^(O3-$K$3))</f>
        <v>5.2538654488997834</v>
      </c>
      <c r="P14" s="62">
        <f>P13/((1+WACC!$B$14)^(P3-$K$3))</f>
        <v>5.2996674120021545</v>
      </c>
      <c r="Q14" s="62">
        <f>Q13/((1+WACC!$B$14)^(Q3-$K$3))</f>
        <v>5.3458686658447299</v>
      </c>
      <c r="R14" s="62">
        <f>R13/((1+WACC!$B$14)^(R3-$K$3))</f>
        <v>5.3924726913502594</v>
      </c>
      <c r="S14" s="62">
        <f>S13/((1+WACC!$B$14)^(S3-$K$3))</f>
        <v>5.4394829997873533</v>
      </c>
      <c r="T14" s="62">
        <f>T13/((1+WACC!$B$14)^(T3-$K$3))</f>
        <v>5.4869031330350388</v>
      </c>
      <c r="U14" s="62">
        <f>U13/((1+WACC!$B$14)^(U3-$K$3))</f>
        <v>5.5347366638496087</v>
      </c>
      <c r="V14" s="63">
        <f>V13/((1+WACC!$B$14)^(U3-$K$3))</f>
        <v>213.14335142091457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213.14335142091457</v>
      </c>
      <c r="L17" s="16">
        <f>C17/$C$19</f>
        <v>0.80012647745460508</v>
      </c>
      <c r="O17" s="18"/>
    </row>
    <row r="18" spans="2:22" x14ac:dyDescent="0.25">
      <c r="B18" s="8" t="s">
        <v>26</v>
      </c>
      <c r="C18" s="32">
        <f>SUM(14:14)-V14</f>
        <v>53.243722906352872</v>
      </c>
      <c r="K18" s="3"/>
      <c r="L18" s="16">
        <f>C18/$C$19</f>
        <v>0.19987352254539489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266.38707432726744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3.8270782181690635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26.41669589617678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243.79745664925971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9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9.0278958349432115E-2</v>
      </c>
    </row>
    <row r="3" spans="1:6" x14ac:dyDescent="0.25">
      <c r="A3" s="73" t="s">
        <v>34</v>
      </c>
      <c r="B3">
        <v>53815000000</v>
      </c>
      <c r="C3">
        <v>11271000000</v>
      </c>
      <c r="D3">
        <v>2851000000</v>
      </c>
      <c r="E3">
        <v>10911000000</v>
      </c>
      <c r="F3">
        <v>6.2659723921946409E-2</v>
      </c>
    </row>
    <row r="4" spans="1:6" x14ac:dyDescent="0.25">
      <c r="A4" s="73" t="s">
        <v>35</v>
      </c>
      <c r="B4">
        <v>52961000000</v>
      </c>
      <c r="C4">
        <v>11807000000</v>
      </c>
      <c r="D4">
        <v>2834000000</v>
      </c>
      <c r="E4">
        <v>10661000000</v>
      </c>
      <c r="F4">
        <v>5.2490137250650548E-2</v>
      </c>
    </row>
    <row r="5" spans="1:6" x14ac:dyDescent="0.25">
      <c r="A5" s="73" t="s">
        <v>36</v>
      </c>
      <c r="B5">
        <v>52510000000</v>
      </c>
      <c r="C5">
        <v>12258000000</v>
      </c>
      <c r="D5">
        <v>2819000000</v>
      </c>
      <c r="E5">
        <v>9904000000</v>
      </c>
      <c r="F5">
        <v>7.1663263590901805E-2</v>
      </c>
    </row>
    <row r="6" spans="1:6" x14ac:dyDescent="0.25">
      <c r="A6" s="73" t="s">
        <v>37</v>
      </c>
      <c r="B6">
        <v>51628000000</v>
      </c>
      <c r="C6">
        <v>10104000000</v>
      </c>
      <c r="D6">
        <v>2817000000</v>
      </c>
      <c r="E6">
        <v>8690000000</v>
      </c>
      <c r="F6">
        <v>6.2973523421588684E-2</v>
      </c>
    </row>
    <row r="7" spans="1:6" x14ac:dyDescent="0.25">
      <c r="A7" s="73" t="s">
        <v>38</v>
      </c>
      <c r="B7">
        <v>50962000000</v>
      </c>
      <c r="C7">
        <v>9455000000</v>
      </c>
      <c r="D7">
        <v>2823000000</v>
      </c>
      <c r="E7">
        <v>12083000000</v>
      </c>
      <c r="F7">
        <v>8.8685015290519864E-2</v>
      </c>
    </row>
    <row r="8" spans="1:6" x14ac:dyDescent="0.25">
      <c r="A8" s="73" t="s">
        <v>39</v>
      </c>
      <c r="B8">
        <v>49954000000</v>
      </c>
      <c r="C8">
        <v>8470000000</v>
      </c>
      <c r="D8">
        <v>2796000000</v>
      </c>
      <c r="E8">
        <v>10187000000</v>
      </c>
      <c r="F8">
        <v>0.15965371621621621</v>
      </c>
    </row>
    <row r="9" spans="1:6" x14ac:dyDescent="0.25">
      <c r="A9" s="73" t="s">
        <v>40</v>
      </c>
      <c r="B9">
        <v>47958000000</v>
      </c>
      <c r="C9">
        <v>7298000000</v>
      </c>
      <c r="D9">
        <v>2776000000</v>
      </c>
      <c r="E9">
        <v>8769000000</v>
      </c>
      <c r="F9">
        <v>0.30849424522020352</v>
      </c>
    </row>
    <row r="10" spans="1:6" x14ac:dyDescent="0.25">
      <c r="A10" s="73" t="s">
        <v>41</v>
      </c>
      <c r="B10">
        <v>46073000000</v>
      </c>
      <c r="C10">
        <v>8395000000</v>
      </c>
      <c r="D10">
        <v>2746000000</v>
      </c>
      <c r="E10">
        <v>7350000000</v>
      </c>
      <c r="F10">
        <v>0.1627509652509653</v>
      </c>
    </row>
    <row r="11" spans="1:6" x14ac:dyDescent="0.25">
      <c r="A11" s="73" t="s">
        <v>42</v>
      </c>
      <c r="B11">
        <v>44158000000</v>
      </c>
      <c r="C11">
        <v>5374000000</v>
      </c>
      <c r="D11">
        <v>2747000000</v>
      </c>
      <c r="E11">
        <v>11220000000</v>
      </c>
    </row>
    <row r="12" spans="1:6" x14ac:dyDescent="0.25">
      <c r="A12" s="73" t="s">
        <v>43</v>
      </c>
      <c r="B12">
        <v>42441000000</v>
      </c>
      <c r="C12">
        <v>5028000000</v>
      </c>
      <c r="D12">
        <v>2742000000</v>
      </c>
      <c r="E12">
        <v>21902000000</v>
      </c>
      <c r="F12">
        <v>4.0402600872895711E-2</v>
      </c>
    </row>
    <row r="13" spans="1:6" x14ac:dyDescent="0.25">
      <c r="A13" s="73" t="s">
        <v>44</v>
      </c>
      <c r="B13">
        <v>41828000000</v>
      </c>
      <c r="C13">
        <v>6591000000</v>
      </c>
      <c r="D13">
        <v>2754000000</v>
      </c>
      <c r="E13">
        <v>23389000000</v>
      </c>
      <c r="F13">
        <v>4.2112047595438851E-2</v>
      </c>
    </row>
    <row r="14" spans="1:6" x14ac:dyDescent="0.25">
      <c r="A14" s="73" t="s">
        <v>45</v>
      </c>
      <c r="B14">
        <v>41400000000</v>
      </c>
      <c r="C14">
        <v>7137000000</v>
      </c>
      <c r="D14">
        <v>2694002765</v>
      </c>
      <c r="E14">
        <v>22838000000</v>
      </c>
      <c r="F14">
        <v>7.2418367346938739E-2</v>
      </c>
    </row>
    <row r="15" spans="1:6" x14ac:dyDescent="0.25">
      <c r="A15" s="73" t="s">
        <v>46</v>
      </c>
      <c r="B15">
        <v>40840000000</v>
      </c>
      <c r="C15">
        <v>12564000000</v>
      </c>
      <c r="D15">
        <v>2861000000</v>
      </c>
      <c r="E15">
        <v>39310000000</v>
      </c>
      <c r="F15">
        <v>1.4103328920678891E-2</v>
      </c>
    </row>
    <row r="16" spans="1:6" x14ac:dyDescent="0.25">
      <c r="A16" s="73" t="s">
        <v>47</v>
      </c>
      <c r="B16">
        <v>40479000000</v>
      </c>
      <c r="C16">
        <v>13752000000</v>
      </c>
      <c r="D16">
        <v>2949006758</v>
      </c>
      <c r="E16">
        <v>46554000000</v>
      </c>
      <c r="F16">
        <v>5.8473033815499509E-2</v>
      </c>
    </row>
    <row r="17" spans="1:6" x14ac:dyDescent="0.25">
      <c r="A17" s="73" t="s">
        <v>48</v>
      </c>
      <c r="B17">
        <v>39691000000</v>
      </c>
      <c r="C17">
        <v>12808000000</v>
      </c>
      <c r="D17">
        <v>2994000000</v>
      </c>
      <c r="E17">
        <v>35864000000</v>
      </c>
      <c r="F17">
        <v>2.774601878317684E-2</v>
      </c>
    </row>
    <row r="18" spans="1:6" x14ac:dyDescent="0.25">
      <c r="A18" s="73" t="s">
        <v>49</v>
      </c>
      <c r="B18">
        <v>39402000000</v>
      </c>
      <c r="C18">
        <v>12134000000</v>
      </c>
      <c r="D18">
        <v>3052500000</v>
      </c>
      <c r="E18">
        <v>38593000000</v>
      </c>
      <c r="F18">
        <v>-2.6466552839608859E-2</v>
      </c>
    </row>
    <row r="19" spans="1:6" x14ac:dyDescent="0.25">
      <c r="A19" s="73" t="s">
        <v>50</v>
      </c>
      <c r="B19">
        <v>39216000000</v>
      </c>
      <c r="C19">
        <v>11478000000</v>
      </c>
      <c r="D19">
        <v>3126388888</v>
      </c>
      <c r="E19">
        <v>42279000000</v>
      </c>
      <c r="F19">
        <v>-6.65469985897158E-2</v>
      </c>
    </row>
    <row r="20" spans="1:6" x14ac:dyDescent="0.25">
      <c r="A20" s="73" t="s">
        <v>51</v>
      </c>
      <c r="B20">
        <v>39067000000</v>
      </c>
      <c r="C20">
        <v>11575000000</v>
      </c>
      <c r="D20">
        <v>3162000000</v>
      </c>
      <c r="E20">
        <v>43057000000</v>
      </c>
      <c r="F20">
        <v>-0.10164855729166671</v>
      </c>
    </row>
    <row r="21" spans="1:6" x14ac:dyDescent="0.25">
      <c r="A21" s="73" t="s">
        <v>52</v>
      </c>
      <c r="B21">
        <v>39764000000</v>
      </c>
      <c r="C21">
        <v>12403000000</v>
      </c>
      <c r="D21">
        <v>3271000000</v>
      </c>
      <c r="E21">
        <v>25858000000</v>
      </c>
      <c r="F21">
        <v>8.4262855211150178E-3</v>
      </c>
    </row>
    <row r="22" spans="1:6" x14ac:dyDescent="0.25">
      <c r="A22" s="73" t="s">
        <v>53</v>
      </c>
      <c r="B22">
        <v>39582000000</v>
      </c>
      <c r="C22">
        <v>12205000000</v>
      </c>
      <c r="D22">
        <v>3349275362</v>
      </c>
      <c r="E22">
        <v>27444000000</v>
      </c>
      <c r="F22">
        <v>-5.733342710730005E-3</v>
      </c>
    </row>
    <row r="23" spans="1:6" x14ac:dyDescent="0.25">
      <c r="A23" s="73" t="s">
        <v>54</v>
      </c>
      <c r="B23">
        <v>39530000000</v>
      </c>
      <c r="C23">
        <v>12166000000</v>
      </c>
      <c r="D23">
        <v>3410000000</v>
      </c>
      <c r="E23">
        <v>35704000000</v>
      </c>
      <c r="F23">
        <v>2.7194604590450311E-3</v>
      </c>
    </row>
    <row r="24" spans="1:6" x14ac:dyDescent="0.25">
      <c r="A24" s="73" t="s">
        <v>55</v>
      </c>
      <c r="B24">
        <v>39505000000</v>
      </c>
      <c r="C24">
        <v>12891000000</v>
      </c>
      <c r="D24">
        <v>3505489746</v>
      </c>
      <c r="E24">
        <v>37827000000</v>
      </c>
      <c r="F24">
        <v>-8.6932502621989149E-2</v>
      </c>
    </row>
    <row r="25" spans="1:6" x14ac:dyDescent="0.25">
      <c r="A25" s="73" t="s">
        <v>56</v>
      </c>
      <c r="B25">
        <v>39620000000</v>
      </c>
      <c r="C25">
        <v>13164000000</v>
      </c>
      <c r="D25">
        <v>3617000000</v>
      </c>
      <c r="E25">
        <v>40030000000</v>
      </c>
      <c r="F25">
        <v>-4.9996647426056702E-2</v>
      </c>
    </row>
    <row r="26" spans="1:6" x14ac:dyDescent="0.25">
      <c r="A26" s="73" t="s">
        <v>57</v>
      </c>
      <c r="B26">
        <v>39777000000</v>
      </c>
      <c r="C26">
        <v>13770000000</v>
      </c>
      <c r="D26">
        <v>3824590163</v>
      </c>
      <c r="E26">
        <v>49391000000</v>
      </c>
      <c r="F26">
        <v>-3.0979108200810731E-2</v>
      </c>
    </row>
    <row r="27" spans="1:6" x14ac:dyDescent="0.25">
      <c r="A27" s="73" t="s">
        <v>58</v>
      </c>
      <c r="B27">
        <v>39836000000</v>
      </c>
      <c r="C27">
        <v>13896000000</v>
      </c>
      <c r="D27">
        <v>3999000000</v>
      </c>
      <c r="E27">
        <v>60094000000</v>
      </c>
      <c r="F27">
        <v>-2.7534314466093449E-2</v>
      </c>
    </row>
    <row r="28" spans="1:6" x14ac:dyDescent="0.25">
      <c r="A28" s="73" t="s">
        <v>59</v>
      </c>
      <c r="B28">
        <v>39830000000</v>
      </c>
      <c r="C28">
        <v>13650000000</v>
      </c>
      <c r="D28">
        <v>4149000000</v>
      </c>
      <c r="E28">
        <v>67261000000</v>
      </c>
      <c r="F28">
        <v>-3.9869870271759138E-2</v>
      </c>
    </row>
    <row r="29" spans="1:6" x14ac:dyDescent="0.25">
      <c r="A29" s="73" t="s">
        <v>60</v>
      </c>
      <c r="B29">
        <v>39471000000</v>
      </c>
      <c r="C29">
        <v>13309000000</v>
      </c>
      <c r="D29">
        <v>4122003984</v>
      </c>
      <c r="E29">
        <v>70455000000</v>
      </c>
      <c r="F29">
        <v>-8.8143557414448681E-2</v>
      </c>
    </row>
    <row r="30" spans="1:6" x14ac:dyDescent="0.25">
      <c r="A30" s="73" t="s">
        <v>61</v>
      </c>
      <c r="B30">
        <v>38905000000</v>
      </c>
      <c r="C30">
        <v>12544000000</v>
      </c>
      <c r="D30">
        <v>4283000000</v>
      </c>
      <c r="E30">
        <v>71580000000</v>
      </c>
      <c r="F30">
        <v>3.099375439955732E-2</v>
      </c>
    </row>
    <row r="31" spans="1:6" x14ac:dyDescent="0.25">
      <c r="A31" s="73" t="s">
        <v>62</v>
      </c>
      <c r="B31">
        <v>38319000000</v>
      </c>
      <c r="C31">
        <v>12622000000</v>
      </c>
      <c r="D31">
        <v>4288000000</v>
      </c>
      <c r="E31">
        <v>66897000000</v>
      </c>
      <c r="F31">
        <v>2.5052074461896501E-2</v>
      </c>
    </row>
    <row r="32" spans="1:6" x14ac:dyDescent="0.25">
      <c r="A32" s="73" t="s">
        <v>63</v>
      </c>
      <c r="B32">
        <v>37727000000</v>
      </c>
      <c r="C32">
        <v>12105000000</v>
      </c>
      <c r="D32">
        <v>4264600516</v>
      </c>
      <c r="E32">
        <v>66078000000</v>
      </c>
      <c r="F32">
        <v>-9.8860283462337217E-2</v>
      </c>
    </row>
    <row r="33" spans="1:6" x14ac:dyDescent="0.25">
      <c r="A33" s="73" t="s">
        <v>64</v>
      </c>
      <c r="B33">
        <v>37429000000</v>
      </c>
      <c r="C33">
        <v>11714000000</v>
      </c>
      <c r="D33">
        <v>4224528301</v>
      </c>
      <c r="E33">
        <v>59352000000</v>
      </c>
      <c r="F33">
        <v>-8.2206011984021332E-2</v>
      </c>
    </row>
    <row r="34" spans="1:6" x14ac:dyDescent="0.25">
      <c r="A34" s="73" t="s">
        <v>65</v>
      </c>
      <c r="B34">
        <v>37236000000</v>
      </c>
      <c r="C34">
        <v>12561000000</v>
      </c>
      <c r="D34">
        <v>4233333333</v>
      </c>
      <c r="E34">
        <v>58206000000</v>
      </c>
      <c r="F34">
        <v>-1.179970588235291E-2</v>
      </c>
    </row>
    <row r="35" spans="1:6" x14ac:dyDescent="0.25">
      <c r="A35" s="73" t="s">
        <v>66</v>
      </c>
      <c r="B35">
        <v>37194000000</v>
      </c>
      <c r="C35">
        <v>12538000000</v>
      </c>
      <c r="D35">
        <v>4260465116</v>
      </c>
      <c r="E35">
        <v>68396000000</v>
      </c>
      <c r="F35">
        <v>7.2895144531250011E-2</v>
      </c>
    </row>
    <row r="36" spans="1:6" x14ac:dyDescent="0.25">
      <c r="A36" s="73" t="s">
        <v>67</v>
      </c>
      <c r="B36">
        <v>37047000000</v>
      </c>
      <c r="C36">
        <v>12372000000</v>
      </c>
      <c r="D36">
        <v>4245746332</v>
      </c>
      <c r="E36">
        <v>56125000000</v>
      </c>
      <c r="F36">
        <v>1.7551020922847991E-3</v>
      </c>
    </row>
    <row r="37" spans="1:6" x14ac:dyDescent="0.25">
      <c r="A37" s="73" t="s">
        <v>68</v>
      </c>
      <c r="B37">
        <v>37159000000</v>
      </c>
      <c r="C37">
        <v>12508000000</v>
      </c>
      <c r="D37">
        <v>4284000000</v>
      </c>
      <c r="E37">
        <v>50767000000</v>
      </c>
      <c r="F37">
        <v>-6.3967513669990317E-2</v>
      </c>
    </row>
    <row r="38" spans="1:6" x14ac:dyDescent="0.25">
      <c r="A38" s="73" t="s">
        <v>69</v>
      </c>
      <c r="B38">
        <v>37474000000</v>
      </c>
      <c r="C38">
        <v>11297000000</v>
      </c>
      <c r="D38">
        <v>4316000000</v>
      </c>
      <c r="E38">
        <v>52335000000</v>
      </c>
      <c r="F38">
        <v>-0.1076513957074391</v>
      </c>
    </row>
    <row r="39" spans="1:6" x14ac:dyDescent="0.25">
      <c r="A39" s="73" t="s">
        <v>70</v>
      </c>
      <c r="B39">
        <v>38079000000</v>
      </c>
      <c r="C39">
        <v>11828000000</v>
      </c>
      <c r="D39">
        <v>4412000000</v>
      </c>
      <c r="E39">
        <v>55930000000</v>
      </c>
      <c r="F39">
        <v>-3.5760380060493202E-2</v>
      </c>
    </row>
    <row r="40" spans="1:6" x14ac:dyDescent="0.25">
      <c r="A40" s="73" t="s">
        <v>71</v>
      </c>
      <c r="B40">
        <v>38227000000</v>
      </c>
      <c r="C40">
        <v>12945000000</v>
      </c>
      <c r="D40">
        <v>4463000000</v>
      </c>
      <c r="E40">
        <v>54368000000</v>
      </c>
      <c r="F40">
        <v>4.2760713957597167E-2</v>
      </c>
    </row>
    <row r="41" spans="1:6" x14ac:dyDescent="0.25">
      <c r="A41" s="73" t="s">
        <v>72</v>
      </c>
      <c r="B41">
        <v>38841000000</v>
      </c>
      <c r="C41">
        <v>13561000000</v>
      </c>
      <c r="D41">
        <v>4494000000</v>
      </c>
      <c r="E41">
        <v>43777000000</v>
      </c>
      <c r="F41">
        <v>2.1489201676156981E-3</v>
      </c>
    </row>
    <row r="42" spans="1:6" x14ac:dyDescent="0.25">
      <c r="A42" s="73" t="s">
        <v>73</v>
      </c>
      <c r="B42">
        <v>38821000000</v>
      </c>
      <c r="C42">
        <v>14546000000</v>
      </c>
      <c r="D42">
        <v>4505000000</v>
      </c>
      <c r="E42">
        <v>44733000000</v>
      </c>
      <c r="F42">
        <v>1.9721082803234591E-2</v>
      </c>
    </row>
    <row r="43" spans="1:6" x14ac:dyDescent="0.25">
      <c r="A43" s="73" t="s">
        <v>74</v>
      </c>
      <c r="B43">
        <v>38498000000</v>
      </c>
      <c r="C43">
        <v>14729000000</v>
      </c>
      <c r="D43">
        <v>4550000000</v>
      </c>
      <c r="E43">
        <v>51616000000</v>
      </c>
      <c r="F43">
        <v>5.9877009316770202E-2</v>
      </c>
    </row>
    <row r="44" spans="1:6" x14ac:dyDescent="0.25">
      <c r="A44" s="73" t="s">
        <v>75</v>
      </c>
      <c r="B44">
        <v>38274000000</v>
      </c>
      <c r="C44">
        <v>14341000000</v>
      </c>
      <c r="D44">
        <v>4569000000</v>
      </c>
      <c r="E44">
        <v>38819000000</v>
      </c>
      <c r="F44">
        <v>6.7793042294692629E-2</v>
      </c>
    </row>
    <row r="45" spans="1:6" x14ac:dyDescent="0.25">
      <c r="A45" s="73" t="s">
        <v>76</v>
      </c>
      <c r="B45">
        <v>37901000000</v>
      </c>
      <c r="C45">
        <v>14420000000</v>
      </c>
      <c r="D45">
        <v>4580357142</v>
      </c>
      <c r="E45">
        <v>37225000000</v>
      </c>
      <c r="F45">
        <v>6.9632139428443818E-2</v>
      </c>
    </row>
    <row r="46" spans="1:6" x14ac:dyDescent="0.25">
      <c r="A46" s="73" t="s">
        <v>77</v>
      </c>
      <c r="B46">
        <v>37552000000</v>
      </c>
      <c r="C46">
        <v>14618000000</v>
      </c>
      <c r="D46">
        <v>4600000000</v>
      </c>
      <c r="E46">
        <v>36974000000</v>
      </c>
      <c r="F46">
        <v>-9.5524044424895038E-3</v>
      </c>
    </row>
    <row r="47" spans="1:6" x14ac:dyDescent="0.25">
      <c r="A47" s="73" t="s">
        <v>78</v>
      </c>
      <c r="B47">
        <v>37371000000</v>
      </c>
      <c r="C47">
        <v>14181000000</v>
      </c>
      <c r="D47">
        <v>4674000000</v>
      </c>
      <c r="E47">
        <v>39104000000</v>
      </c>
      <c r="F47">
        <v>-2.8687802958073601E-2</v>
      </c>
    </row>
    <row r="48" spans="1:6" x14ac:dyDescent="0.25">
      <c r="A48" s="73" t="s">
        <v>79</v>
      </c>
      <c r="B48">
        <v>37180000000</v>
      </c>
      <c r="C48">
        <v>13574000000</v>
      </c>
      <c r="D48">
        <v>4756000000</v>
      </c>
      <c r="E48">
        <v>32216000000</v>
      </c>
      <c r="F48">
        <v>2.8398680835470809E-3</v>
      </c>
    </row>
    <row r="49" spans="1:6" x14ac:dyDescent="0.25">
      <c r="A49" s="73" t="s">
        <v>80</v>
      </c>
      <c r="B49">
        <v>37149000000</v>
      </c>
      <c r="C49">
        <v>13033000000</v>
      </c>
      <c r="D49">
        <v>4815384615</v>
      </c>
      <c r="E49">
        <v>33407000000</v>
      </c>
      <c r="F49">
        <v>6.2855829184644829E-3</v>
      </c>
    </row>
    <row r="50" spans="1:6" x14ac:dyDescent="0.25">
      <c r="A50" s="73" t="s">
        <v>81</v>
      </c>
      <c r="B50">
        <v>37230000000</v>
      </c>
      <c r="C50">
        <v>12823000000</v>
      </c>
      <c r="D50">
        <v>4869811320</v>
      </c>
      <c r="E50">
        <v>33695000000</v>
      </c>
      <c r="F50">
        <v>-1.413571997270247E-2</v>
      </c>
    </row>
    <row r="51" spans="1:6" x14ac:dyDescent="0.25">
      <c r="A51" s="73" t="s">
        <v>82</v>
      </c>
      <c r="B51">
        <v>36928000000</v>
      </c>
      <c r="C51">
        <v>13366000000</v>
      </c>
      <c r="D51">
        <v>4939000000</v>
      </c>
      <c r="E51">
        <v>31607000000</v>
      </c>
      <c r="F51">
        <v>-2.3047528063052321E-2</v>
      </c>
    </row>
    <row r="52" spans="1:6" x14ac:dyDescent="0.25">
      <c r="A52" s="73" t="s">
        <v>83</v>
      </c>
      <c r="B52">
        <v>37121000000</v>
      </c>
      <c r="C52">
        <v>13095000000</v>
      </c>
      <c r="D52">
        <v>4867000000</v>
      </c>
      <c r="E52">
        <v>30676000000</v>
      </c>
      <c r="F52">
        <v>-3.6332974941995388E-2</v>
      </c>
    </row>
    <row r="53" spans="1:6" x14ac:dyDescent="0.25">
      <c r="A53" s="73" t="s">
        <v>84</v>
      </c>
      <c r="B53">
        <v>36980000000</v>
      </c>
      <c r="C53">
        <v>12954000000</v>
      </c>
      <c r="D53">
        <v>5080000000</v>
      </c>
      <c r="E53">
        <v>29742000000</v>
      </c>
      <c r="F53">
        <v>-6.8432443633044238E-2</v>
      </c>
    </row>
    <row r="54" spans="1:6" x14ac:dyDescent="0.25">
      <c r="A54" s="73" t="s">
        <v>85</v>
      </c>
      <c r="B54">
        <v>36705000000</v>
      </c>
      <c r="C54">
        <v>12629000000</v>
      </c>
      <c r="D54">
        <v>5123000000</v>
      </c>
      <c r="E54">
        <v>31012000000</v>
      </c>
      <c r="F54">
        <v>8.1384810533675189E-2</v>
      </c>
    </row>
    <row r="55" spans="1:6" x14ac:dyDescent="0.25">
      <c r="A55" s="73" t="s">
        <v>86</v>
      </c>
      <c r="B55">
        <v>36495000000</v>
      </c>
      <c r="C55">
        <v>12326000000</v>
      </c>
      <c r="D55">
        <v>5150000000</v>
      </c>
      <c r="E55">
        <v>31660000000</v>
      </c>
      <c r="F55">
        <v>6.9725850839776005E-2</v>
      </c>
    </row>
    <row r="56" spans="1:6" x14ac:dyDescent="0.25">
      <c r="A56" s="73" t="s">
        <v>87</v>
      </c>
      <c r="B56">
        <v>35623000000</v>
      </c>
      <c r="C56">
        <v>10764000000</v>
      </c>
      <c r="D56">
        <v>5062000000</v>
      </c>
      <c r="E56">
        <v>28848000000</v>
      </c>
      <c r="F56">
        <v>7.3154480063124749E-2</v>
      </c>
    </row>
    <row r="57" spans="1:6" x14ac:dyDescent="0.25">
      <c r="A57" s="73" t="s">
        <v>88</v>
      </c>
      <c r="B57">
        <v>34353000000</v>
      </c>
      <c r="C57">
        <v>9507000000</v>
      </c>
      <c r="D57">
        <v>5149000000</v>
      </c>
      <c r="E57">
        <v>24355000000</v>
      </c>
      <c r="F57">
        <v>0.26714784728294799</v>
      </c>
    </row>
    <row r="58" spans="1:6" x14ac:dyDescent="0.25">
      <c r="A58" s="73" t="s">
        <v>89</v>
      </c>
      <c r="B58">
        <v>31993000000</v>
      </c>
      <c r="C58">
        <v>8684000000</v>
      </c>
      <c r="D58">
        <v>5117000000</v>
      </c>
      <c r="E58">
        <v>24845000000</v>
      </c>
      <c r="F58">
        <v>0.32137716797541832</v>
      </c>
    </row>
    <row r="59" spans="1:6" x14ac:dyDescent="0.25">
      <c r="A59" s="73" t="s">
        <v>90</v>
      </c>
      <c r="B59">
        <v>29269000000</v>
      </c>
      <c r="C59">
        <v>8467000000</v>
      </c>
      <c r="D59">
        <v>5083000000</v>
      </c>
      <c r="E59">
        <v>23637000000</v>
      </c>
      <c r="F59">
        <v>0.30765824317372381</v>
      </c>
    </row>
    <row r="60" spans="1:6" x14ac:dyDescent="0.25">
      <c r="A60" s="73" t="s">
        <v>91</v>
      </c>
      <c r="B60">
        <v>26821000000</v>
      </c>
      <c r="C60">
        <v>8451000000</v>
      </c>
      <c r="D60">
        <v>5026000000</v>
      </c>
      <c r="E60">
        <v>18469000000</v>
      </c>
      <c r="F60">
        <v>0.24682990817665071</v>
      </c>
    </row>
    <row r="61" spans="1:6" x14ac:dyDescent="0.25">
      <c r="A61" s="73" t="s">
        <v>92</v>
      </c>
      <c r="B61">
        <v>24177000000</v>
      </c>
      <c r="C61">
        <v>7979000000</v>
      </c>
      <c r="D61">
        <v>5076000000</v>
      </c>
      <c r="E61">
        <v>17489000000</v>
      </c>
      <c r="F61">
        <v>0.1434941654135338</v>
      </c>
    </row>
    <row r="62" spans="1:6" x14ac:dyDescent="0.25">
      <c r="A62" s="73" t="s">
        <v>93</v>
      </c>
      <c r="B62">
        <v>23226000000</v>
      </c>
      <c r="C62">
        <v>8424000000</v>
      </c>
      <c r="D62">
        <v>5064000000</v>
      </c>
      <c r="E62">
        <v>20784000000</v>
      </c>
      <c r="F62">
        <v>-3.5601103085428958E-2</v>
      </c>
    </row>
    <row r="63" spans="1:6" x14ac:dyDescent="0.25">
      <c r="A63" s="73" t="s">
        <v>94</v>
      </c>
      <c r="B63">
        <v>22975000000</v>
      </c>
      <c r="C63">
        <v>8492000000</v>
      </c>
      <c r="D63">
        <v>5063000000</v>
      </c>
      <c r="E63">
        <v>20565000000</v>
      </c>
      <c r="F63">
        <v>-5.1960232601763301E-2</v>
      </c>
    </row>
    <row r="64" spans="1:6" x14ac:dyDescent="0.25">
      <c r="A64" s="73" t="s">
        <v>95</v>
      </c>
      <c r="B64">
        <v>23252000000</v>
      </c>
      <c r="C64">
        <v>7726000000</v>
      </c>
      <c r="D64">
        <v>5009000000</v>
      </c>
      <c r="E64">
        <v>12624000000</v>
      </c>
      <c r="F64">
        <v>-9.342510678270477E-2</v>
      </c>
    </row>
    <row r="65" spans="1:6" x14ac:dyDescent="0.25">
      <c r="A65" s="73" t="s">
        <v>96</v>
      </c>
      <c r="B65">
        <v>23630000000</v>
      </c>
      <c r="C65">
        <v>8003000000</v>
      </c>
      <c r="D65">
        <v>5056000000</v>
      </c>
      <c r="E65">
        <v>11294000000</v>
      </c>
      <c r="F65">
        <v>-6.7937932323798855E-2</v>
      </c>
    </row>
    <row r="66" spans="1:6" x14ac:dyDescent="0.25">
      <c r="A66" s="73" t="s">
        <v>97</v>
      </c>
      <c r="B66">
        <v>23526000000</v>
      </c>
      <c r="C66">
        <v>7603000000</v>
      </c>
      <c r="D66">
        <v>5187000000</v>
      </c>
      <c r="E66">
        <v>10646000000</v>
      </c>
      <c r="F66">
        <v>5.5335968379446543E-2</v>
      </c>
    </row>
    <row r="67" spans="1:6" x14ac:dyDescent="0.25">
      <c r="A67" s="73" t="s">
        <v>98</v>
      </c>
      <c r="B67">
        <v>23232000000</v>
      </c>
      <c r="C67">
        <v>7462000000</v>
      </c>
      <c r="D67">
        <v>5235000000</v>
      </c>
      <c r="E67">
        <v>13021000000</v>
      </c>
      <c r="F67">
        <v>9.590303091190111E-2</v>
      </c>
    </row>
    <row r="68" spans="1:6" x14ac:dyDescent="0.25">
      <c r="A68" s="73" t="s">
        <v>99</v>
      </c>
      <c r="B68">
        <v>22430000000</v>
      </c>
      <c r="C68">
        <v>7159000000</v>
      </c>
      <c r="D68">
        <v>5152000000</v>
      </c>
      <c r="E68">
        <v>11043000000</v>
      </c>
      <c r="F68">
        <v>0.16262414993995539</v>
      </c>
    </row>
    <row r="69" spans="1:6" x14ac:dyDescent="0.25">
      <c r="A69" s="73" t="s">
        <v>100</v>
      </c>
      <c r="B69">
        <v>21020000000</v>
      </c>
      <c r="C69">
        <v>6991000000</v>
      </c>
      <c r="D69">
        <v>5235000000</v>
      </c>
      <c r="E69">
        <v>10506000000</v>
      </c>
      <c r="F69">
        <v>0.21182600815586761</v>
      </c>
    </row>
    <row r="70" spans="1:6" x14ac:dyDescent="0.25">
      <c r="A70" s="73" t="s">
        <v>101</v>
      </c>
      <c r="B70">
        <v>20085000000</v>
      </c>
      <c r="C70">
        <v>6588000000</v>
      </c>
      <c r="D70">
        <v>5232000000</v>
      </c>
      <c r="E70">
        <v>8432000000</v>
      </c>
      <c r="F70">
        <v>0.1115665654576028</v>
      </c>
    </row>
    <row r="71" spans="1:6" x14ac:dyDescent="0.25">
      <c r="A71" s="73" t="s">
        <v>102</v>
      </c>
      <c r="B71">
        <v>18935000000</v>
      </c>
      <c r="C71">
        <v>6241000000</v>
      </c>
      <c r="D71">
        <v>5217000000</v>
      </c>
      <c r="E71">
        <v>7743000000</v>
      </c>
      <c r="F71">
        <v>0.2038809142300195</v>
      </c>
    </row>
    <row r="72" spans="1:6" x14ac:dyDescent="0.25">
      <c r="A72" s="73" t="s">
        <v>103</v>
      </c>
      <c r="B72">
        <v>17997000000</v>
      </c>
      <c r="C72">
        <v>5201000000</v>
      </c>
      <c r="D72">
        <v>5110000000</v>
      </c>
      <c r="E72">
        <v>7020000000</v>
      </c>
      <c r="F72">
        <v>0.1364611362605648</v>
      </c>
    </row>
    <row r="73" spans="1:6" x14ac:dyDescent="0.25">
      <c r="A73" s="73" t="s">
        <v>104</v>
      </c>
      <c r="B73">
        <v>17019000000</v>
      </c>
      <c r="C73">
        <v>4726000000</v>
      </c>
      <c r="D73">
        <v>5257000000</v>
      </c>
      <c r="E73">
        <v>6445000000</v>
      </c>
      <c r="F73">
        <v>0.17028242074927949</v>
      </c>
    </row>
    <row r="74" spans="1:6" x14ac:dyDescent="0.25">
      <c r="A74" s="73" t="s">
        <v>105</v>
      </c>
      <c r="B74">
        <v>16075000000</v>
      </c>
      <c r="C74">
        <v>4395000000</v>
      </c>
      <c r="D74">
        <v>5287000000</v>
      </c>
      <c r="E74">
        <v>7825000000</v>
      </c>
      <c r="F74">
        <v>0.26458080194410688</v>
      </c>
    </row>
    <row r="75" spans="1:6" x14ac:dyDescent="0.25">
      <c r="A75" s="73" t="s">
        <v>106</v>
      </c>
      <c r="B75">
        <v>15204000000</v>
      </c>
      <c r="C75">
        <v>4473000000</v>
      </c>
      <c r="D75">
        <v>5307000000</v>
      </c>
      <c r="E75">
        <v>8298000000</v>
      </c>
      <c r="F75">
        <v>0.15317919075144501</v>
      </c>
    </row>
    <row r="76" spans="1:6" x14ac:dyDescent="0.25">
      <c r="A76" s="73" t="s">
        <v>107</v>
      </c>
      <c r="B76">
        <v>14381000000</v>
      </c>
      <c r="C76">
        <v>4305000000</v>
      </c>
      <c r="D76">
        <v>5217000000</v>
      </c>
      <c r="E76">
        <v>7605000000</v>
      </c>
      <c r="F76">
        <v>0.20751898401237739</v>
      </c>
    </row>
    <row r="77" spans="1:6" x14ac:dyDescent="0.25">
      <c r="A77" s="73" t="s">
        <v>108</v>
      </c>
      <c r="B77">
        <v>13408000000</v>
      </c>
      <c r="C77">
        <v>3658000000</v>
      </c>
      <c r="D77">
        <v>5304000000</v>
      </c>
      <c r="E77">
        <v>7764000000</v>
      </c>
      <c r="F77">
        <v>0.11092278711864401</v>
      </c>
    </row>
    <row r="78" spans="1:6" x14ac:dyDescent="0.25">
      <c r="A78" s="73" t="s">
        <v>109</v>
      </c>
      <c r="B78">
        <v>12888000000</v>
      </c>
      <c r="C78">
        <v>3327000000</v>
      </c>
      <c r="D78">
        <v>5238000000</v>
      </c>
      <c r="E78">
        <v>3403000000</v>
      </c>
      <c r="F78">
        <v>0.19448476052249641</v>
      </c>
    </row>
    <row r="79" spans="1:6" x14ac:dyDescent="0.25">
      <c r="A79" s="73" t="s">
        <v>110</v>
      </c>
      <c r="B79">
        <v>12352000000</v>
      </c>
      <c r="C79">
        <v>3390000000</v>
      </c>
      <c r="D79">
        <v>5244000000</v>
      </c>
      <c r="E79">
        <v>4632000000</v>
      </c>
      <c r="F79">
        <v>0.24966139954853281</v>
      </c>
    </row>
    <row r="80" spans="1:6" x14ac:dyDescent="0.25">
      <c r="A80" s="73" t="s">
        <v>111</v>
      </c>
      <c r="B80">
        <v>11799000000</v>
      </c>
      <c r="C80">
        <v>3364000000</v>
      </c>
      <c r="D80">
        <v>5122000000</v>
      </c>
      <c r="E80">
        <v>4802000000</v>
      </c>
      <c r="F80">
        <v>9.6285407347204144E-2</v>
      </c>
    </row>
    <row r="81" spans="1:6" x14ac:dyDescent="0.25">
      <c r="A81" s="73" t="s">
        <v>112</v>
      </c>
      <c r="B81">
        <v>10997000000</v>
      </c>
      <c r="C81">
        <v>3380000000</v>
      </c>
      <c r="D81">
        <v>5230000000</v>
      </c>
      <c r="E81">
        <v>9132000000</v>
      </c>
      <c r="F81">
        <v>9.7382755280988498E-2</v>
      </c>
    </row>
    <row r="82" spans="1:6" x14ac:dyDescent="0.25">
      <c r="A82" s="73" t="s">
        <v>113</v>
      </c>
      <c r="B82">
        <v>10556000000</v>
      </c>
      <c r="C82">
        <v>3198000000</v>
      </c>
      <c r="D82">
        <v>5218000000</v>
      </c>
      <c r="E82">
        <v>9436000000</v>
      </c>
      <c r="F82">
        <v>-5.4329177742193702E-2</v>
      </c>
    </row>
    <row r="83" spans="1:6" x14ac:dyDescent="0.25">
      <c r="A83" s="73" t="s">
        <v>114</v>
      </c>
      <c r="B83">
        <v>10298000000</v>
      </c>
      <c r="C83">
        <v>3193000000</v>
      </c>
      <c r="D83">
        <v>5241000000</v>
      </c>
      <c r="E83">
        <v>9445000000</v>
      </c>
      <c r="F83">
        <v>-4.9764050193050191E-2</v>
      </c>
    </row>
    <row r="84" spans="1:6" x14ac:dyDescent="0.25">
      <c r="A84" s="73" t="s">
        <v>115</v>
      </c>
      <c r="B84">
        <v>10155000000</v>
      </c>
      <c r="C84">
        <v>2988000000</v>
      </c>
      <c r="D84">
        <v>5218000000</v>
      </c>
      <c r="E84">
        <v>8587000000</v>
      </c>
      <c r="F84">
        <v>2.5816070268361632E-2</v>
      </c>
    </row>
    <row r="85" spans="1:6" x14ac:dyDescent="0.25">
      <c r="A85" s="73" t="s">
        <v>116</v>
      </c>
      <c r="B85">
        <v>9911000000</v>
      </c>
      <c r="C85">
        <v>2638000000</v>
      </c>
      <c r="D85">
        <v>5337000000</v>
      </c>
      <c r="E85">
        <v>8018000000</v>
      </c>
      <c r="F85">
        <v>8.7559601213697436E-2</v>
      </c>
    </row>
    <row r="86" spans="1:6" x14ac:dyDescent="0.25">
      <c r="A86" s="73" t="s">
        <v>117</v>
      </c>
      <c r="B86">
        <v>9709000000</v>
      </c>
      <c r="C86">
        <v>2835000000</v>
      </c>
      <c r="D86">
        <v>5337000000</v>
      </c>
      <c r="E86">
        <v>8074000000</v>
      </c>
      <c r="F86">
        <v>-1.6496712862711149E-2</v>
      </c>
    </row>
    <row r="87" spans="1:6" x14ac:dyDescent="0.25">
      <c r="A87" s="73" t="s">
        <v>118</v>
      </c>
      <c r="B87">
        <v>9520000000</v>
      </c>
      <c r="C87">
        <v>2732000000</v>
      </c>
      <c r="D87">
        <v>5347000000</v>
      </c>
      <c r="E87">
        <v>7404000000</v>
      </c>
      <c r="F87">
        <v>2.1696252465483349E-2</v>
      </c>
    </row>
    <row r="88" spans="1:6" x14ac:dyDescent="0.25">
      <c r="A88" s="73" t="s">
        <v>119</v>
      </c>
      <c r="B88">
        <v>9476000000</v>
      </c>
      <c r="C88">
        <v>2732000000</v>
      </c>
      <c r="D88">
        <v>5259000000</v>
      </c>
      <c r="E88">
        <v>6519000000</v>
      </c>
      <c r="F88">
        <v>-0.1465569032130134</v>
      </c>
    </row>
    <row r="89" spans="1:6" x14ac:dyDescent="0.25">
      <c r="A89" s="73" t="s">
        <v>120</v>
      </c>
      <c r="B89">
        <v>9488277000</v>
      </c>
      <c r="C89">
        <v>3114673000</v>
      </c>
      <c r="D89">
        <v>5383000000</v>
      </c>
      <c r="E89">
        <v>6040000000</v>
      </c>
      <c r="F89">
        <v>-6.8649373380408441E-2</v>
      </c>
    </row>
    <row r="90" spans="1:6" x14ac:dyDescent="0.25">
      <c r="A90" s="73" t="s">
        <v>121</v>
      </c>
      <c r="B90">
        <v>9410620000</v>
      </c>
      <c r="C90">
        <v>3008997000</v>
      </c>
      <c r="D90">
        <v>5420000000</v>
      </c>
      <c r="E90">
        <v>5481000000</v>
      </c>
      <c r="F90">
        <v>-0.26537806463654928</v>
      </c>
    </row>
    <row r="91" spans="1:6" x14ac:dyDescent="0.25">
      <c r="A91" s="73" t="s">
        <v>122</v>
      </c>
      <c r="B91">
        <v>9458955000</v>
      </c>
      <c r="C91">
        <v>2988979000</v>
      </c>
      <c r="D91">
        <v>5515000000</v>
      </c>
      <c r="E91">
        <v>6419000000</v>
      </c>
      <c r="F91">
        <v>-9.5468645812193831E-2</v>
      </c>
    </row>
    <row r="92" spans="1:6" x14ac:dyDescent="0.25">
      <c r="A92" s="73" t="s">
        <v>123</v>
      </c>
      <c r="B92">
        <v>9673000000</v>
      </c>
      <c r="C92">
        <v>2965000000</v>
      </c>
      <c r="D92">
        <v>5492297000</v>
      </c>
      <c r="E92">
        <v>5841000000</v>
      </c>
      <c r="F92">
        <v>-0.27380052936930349</v>
      </c>
    </row>
    <row r="93" spans="1:6" x14ac:dyDescent="0.25">
      <c r="A93" s="73" t="s">
        <v>124</v>
      </c>
      <c r="B93">
        <v>10092607000</v>
      </c>
      <c r="C93">
        <v>3298984000</v>
      </c>
      <c r="D93">
        <v>5669334000</v>
      </c>
      <c r="E93">
        <v>5610974000</v>
      </c>
      <c r="F93">
        <v>-0.16640348912471631</v>
      </c>
    </row>
    <row r="94" spans="1:6" x14ac:dyDescent="0.25">
      <c r="A94" s="73" t="s">
        <v>125</v>
      </c>
      <c r="B94">
        <v>10537631000</v>
      </c>
      <c r="C94">
        <v>3635695000</v>
      </c>
      <c r="D94">
        <v>5695860000</v>
      </c>
      <c r="E94">
        <v>4959528000</v>
      </c>
      <c r="F94">
        <v>-0.1136325523228401</v>
      </c>
    </row>
    <row r="95" spans="1:6" x14ac:dyDescent="0.25">
      <c r="A95" s="73" t="s">
        <v>126</v>
      </c>
      <c r="B95">
        <v>10839842000</v>
      </c>
      <c r="C95">
        <v>3964084000</v>
      </c>
      <c r="D95">
        <v>5780020000</v>
      </c>
      <c r="E95">
        <v>6051431000</v>
      </c>
      <c r="F95">
        <v>-0.13267117988394581</v>
      </c>
    </row>
    <row r="96" spans="1:6" x14ac:dyDescent="0.25">
      <c r="A96" s="73" t="s">
        <v>127</v>
      </c>
      <c r="B96">
        <v>10859672000</v>
      </c>
      <c r="C96">
        <v>1865859000</v>
      </c>
      <c r="D96">
        <v>5595808000</v>
      </c>
      <c r="E96">
        <v>5887661000</v>
      </c>
      <c r="F96">
        <v>-0.10181654086316901</v>
      </c>
    </row>
    <row r="97" spans="1:6" x14ac:dyDescent="0.25">
      <c r="A97" s="73" t="s">
        <v>128</v>
      </c>
      <c r="B97">
        <v>10970098000</v>
      </c>
      <c r="C97">
        <v>1654804000</v>
      </c>
      <c r="D97">
        <v>5851333000</v>
      </c>
      <c r="E97">
        <v>4985238000</v>
      </c>
      <c r="F97">
        <v>9.1837734514892855E-2</v>
      </c>
    </row>
    <row r="98" spans="1:6" x14ac:dyDescent="0.25">
      <c r="A98" s="73" t="s">
        <v>129</v>
      </c>
      <c r="B98">
        <v>10745149000</v>
      </c>
      <c r="C98">
        <v>1596656000</v>
      </c>
      <c r="D98">
        <v>5874987000</v>
      </c>
      <c r="E98">
        <v>4356165000</v>
      </c>
      <c r="F98">
        <v>3.088372669940731E-2</v>
      </c>
    </row>
    <row r="99" spans="1:6" x14ac:dyDescent="0.25">
      <c r="A99" s="73" t="s">
        <v>130</v>
      </c>
      <c r="B99">
        <v>10407486000</v>
      </c>
      <c r="C99">
        <v>1111693000</v>
      </c>
      <c r="D99">
        <v>5932870000</v>
      </c>
      <c r="E99">
        <v>5062572000</v>
      </c>
      <c r="F99">
        <v>-5.9697208439131511E-2</v>
      </c>
    </row>
    <row r="100" spans="1:6" x14ac:dyDescent="0.25">
      <c r="A100" s="73" t="s">
        <v>131</v>
      </c>
      <c r="B100">
        <v>10130128000</v>
      </c>
      <c r="C100">
        <v>2660121000</v>
      </c>
      <c r="D100">
        <v>5637878000</v>
      </c>
      <c r="E100">
        <v>7761998000</v>
      </c>
      <c r="F100">
        <v>-0.1181182762892258</v>
      </c>
    </row>
    <row r="101" spans="1:6" x14ac:dyDescent="0.25">
      <c r="A101" s="73" t="s">
        <v>132</v>
      </c>
      <c r="B101">
        <v>9699096000</v>
      </c>
      <c r="C101">
        <v>2179950000</v>
      </c>
      <c r="D101">
        <v>5996378000</v>
      </c>
      <c r="E101">
        <v>2767601000</v>
      </c>
      <c r="F101">
        <v>-0.1584163283898988</v>
      </c>
    </row>
    <row r="102" spans="1:6" x14ac:dyDescent="0.25">
      <c r="A102" s="73" t="s">
        <v>133</v>
      </c>
      <c r="B102">
        <v>9328597000</v>
      </c>
      <c r="C102">
        <v>1650694000</v>
      </c>
      <c r="D102">
        <v>6012600000</v>
      </c>
      <c r="E102">
        <v>2133756000</v>
      </c>
      <c r="F102">
        <v>0.11805777200157209</v>
      </c>
    </row>
    <row r="103" spans="1:6" x14ac:dyDescent="0.25">
      <c r="A103" s="73" t="s">
        <v>134</v>
      </c>
      <c r="B103">
        <v>9062658000</v>
      </c>
      <c r="C103">
        <v>1552482000</v>
      </c>
      <c r="D103">
        <v>5964804000</v>
      </c>
      <c r="E103">
        <v>2721749000</v>
      </c>
      <c r="F103">
        <v>0.13458673268119231</v>
      </c>
    </row>
    <row r="104" spans="1:6" x14ac:dyDescent="0.25">
      <c r="A104" s="73" t="s">
        <v>135</v>
      </c>
      <c r="B104">
        <v>8827251000</v>
      </c>
      <c r="C104">
        <v>1460507000</v>
      </c>
      <c r="D104">
        <v>5761408000</v>
      </c>
      <c r="E104">
        <v>2562764000</v>
      </c>
      <c r="F104">
        <v>6.7486703919043434E-2</v>
      </c>
    </row>
    <row r="105" spans="1:6" x14ac:dyDescent="0.25">
      <c r="A105" s="73" t="s">
        <v>136</v>
      </c>
      <c r="B105">
        <v>8296526000</v>
      </c>
      <c r="C105">
        <v>1359941000</v>
      </c>
      <c r="D105">
        <v>5981844000</v>
      </c>
      <c r="E105">
        <v>2188861000</v>
      </c>
      <c r="F105">
        <v>0.188798100593736</v>
      </c>
    </row>
    <row r="106" spans="1:6" x14ac:dyDescent="0.25">
      <c r="A106" s="73" t="s">
        <v>137</v>
      </c>
      <c r="B106">
        <v>7966364000</v>
      </c>
      <c r="C106">
        <v>1277144000</v>
      </c>
      <c r="D106">
        <v>5899620000</v>
      </c>
      <c r="E106">
        <v>1908067000</v>
      </c>
      <c r="F106">
        <v>-4.4474065315880613E-2</v>
      </c>
    </row>
    <row r="107" spans="1:6" x14ac:dyDescent="0.25">
      <c r="A107" s="73" t="s">
        <v>138</v>
      </c>
      <c r="B107">
        <v>7524147000</v>
      </c>
      <c r="C107">
        <v>1426115000</v>
      </c>
      <c r="D107">
        <v>5818524000</v>
      </c>
      <c r="E107">
        <v>2301896000</v>
      </c>
      <c r="F107">
        <v>0.27781483297037107</v>
      </c>
    </row>
    <row r="108" spans="1:6" x14ac:dyDescent="0.25">
      <c r="A108" s="73" t="s">
        <v>139</v>
      </c>
      <c r="B108">
        <v>7143866000</v>
      </c>
      <c r="C108">
        <v>1286221000</v>
      </c>
      <c r="D108">
        <v>5734982000</v>
      </c>
      <c r="E108">
        <v>1919199000</v>
      </c>
      <c r="F108">
        <v>3.2047658892492059E-2</v>
      </c>
    </row>
    <row r="109" spans="1:6" x14ac:dyDescent="0.25">
      <c r="A109" s="73" t="s">
        <v>140</v>
      </c>
      <c r="B109">
        <v>6679344000</v>
      </c>
      <c r="C109">
        <v>1115361000</v>
      </c>
      <c r="D109">
        <v>5949848000</v>
      </c>
      <c r="E109">
        <v>1516819000</v>
      </c>
      <c r="F109">
        <v>0.2740359242087349</v>
      </c>
    </row>
    <row r="110" spans="1:6" x14ac:dyDescent="0.25">
      <c r="A110" s="73" t="s">
        <v>141</v>
      </c>
      <c r="B110">
        <v>6303199000</v>
      </c>
      <c r="C110">
        <v>1027395000</v>
      </c>
      <c r="D110">
        <v>5932694000</v>
      </c>
      <c r="E110">
        <v>1514395000</v>
      </c>
      <c r="F110">
        <v>0.53820366135340603</v>
      </c>
    </row>
    <row r="111" spans="1:6" x14ac:dyDescent="0.25">
      <c r="A111" s="73" t="s">
        <v>142</v>
      </c>
      <c r="B111">
        <v>6000845000</v>
      </c>
      <c r="C111">
        <v>863994000</v>
      </c>
      <c r="D111">
        <v>5919212000</v>
      </c>
      <c r="E111">
        <v>1488326000</v>
      </c>
      <c r="F111">
        <v>7.3157773448636387E-2</v>
      </c>
    </row>
    <row r="112" spans="1:6" x14ac:dyDescent="0.25">
      <c r="A112" s="73" t="s">
        <v>143</v>
      </c>
      <c r="B112">
        <v>5684316000</v>
      </c>
      <c r="C112">
        <v>639763000</v>
      </c>
      <c r="D112">
        <v>6119873000</v>
      </c>
      <c r="E112">
        <v>1213190000</v>
      </c>
      <c r="F112">
        <v>0.33055501292967437</v>
      </c>
    </row>
    <row r="113" spans="1:6" x14ac:dyDescent="0.25">
      <c r="A113" s="73" t="s">
        <v>144</v>
      </c>
      <c r="B113">
        <v>5200359000</v>
      </c>
      <c r="C113">
        <v>539145000</v>
      </c>
      <c r="D113">
        <v>5939876000</v>
      </c>
      <c r="E113">
        <v>1043068000</v>
      </c>
      <c r="F113">
        <v>0.34538279756017948</v>
      </c>
    </row>
    <row r="114" spans="1:6" x14ac:dyDescent="0.25">
      <c r="A114" s="73" t="s">
        <v>145</v>
      </c>
      <c r="B114">
        <v>4847986000</v>
      </c>
      <c r="C114">
        <v>553475000</v>
      </c>
      <c r="D114">
        <v>5964259000</v>
      </c>
      <c r="E114">
        <v>878672000</v>
      </c>
      <c r="F114">
        <v>0.35586713593276992</v>
      </c>
    </row>
    <row r="115" spans="1:6" x14ac:dyDescent="0.25">
      <c r="A115" s="73" t="s">
        <v>146</v>
      </c>
      <c r="B115">
        <v>4503797000</v>
      </c>
      <c r="C115">
        <v>622879000</v>
      </c>
      <c r="D115">
        <v>5945382000</v>
      </c>
      <c r="E115">
        <v>995787000</v>
      </c>
    </row>
    <row r="116" spans="1:6" x14ac:dyDescent="0.25">
      <c r="A116" s="73" t="s">
        <v>147</v>
      </c>
      <c r="B116">
        <v>4223300000</v>
      </c>
      <c r="C116">
        <v>580765000</v>
      </c>
      <c r="D116">
        <v>6385514000</v>
      </c>
      <c r="E116">
        <v>840908000</v>
      </c>
    </row>
    <row r="117" spans="1:6" x14ac:dyDescent="0.25">
      <c r="A117" s="73" t="s">
        <v>148</v>
      </c>
      <c r="B117">
        <v>3777126000</v>
      </c>
      <c r="C117">
        <v>473278000</v>
      </c>
      <c r="D117">
        <v>6095264000</v>
      </c>
      <c r="E117">
        <v>709745000</v>
      </c>
    </row>
    <row r="118" spans="1:6" x14ac:dyDescent="0.25">
      <c r="A118" s="73" t="s">
        <v>149</v>
      </c>
      <c r="B118">
        <v>3479087000</v>
      </c>
      <c r="C118">
        <v>350280000</v>
      </c>
      <c r="D118">
        <v>6097364000</v>
      </c>
      <c r="E118">
        <v>554462000</v>
      </c>
    </row>
    <row r="119" spans="1:6" x14ac:dyDescent="0.25">
      <c r="A119" s="73" t="s">
        <v>150</v>
      </c>
      <c r="B119">
        <v>3182203000</v>
      </c>
      <c r="C119">
        <v>338010000</v>
      </c>
      <c r="D119">
        <v>6378814000</v>
      </c>
      <c r="E119">
        <v>577300000</v>
      </c>
    </row>
    <row r="120" spans="1:6" x14ac:dyDescent="0.25">
      <c r="A120" s="73" t="s">
        <v>151</v>
      </c>
      <c r="B120">
        <v>2966900000</v>
      </c>
      <c r="C120">
        <v>306700000</v>
      </c>
      <c r="D120">
        <v>5240000000</v>
      </c>
      <c r="E120">
        <v>480200000</v>
      </c>
    </row>
    <row r="121" spans="1:6" x14ac:dyDescent="0.25">
      <c r="A121" s="73" t="s">
        <v>152</v>
      </c>
      <c r="B121">
        <v>2617100000</v>
      </c>
      <c r="C121">
        <v>283800000</v>
      </c>
      <c r="D121">
        <v>6328929000</v>
      </c>
      <c r="E121">
        <v>276900000</v>
      </c>
    </row>
    <row r="122" spans="1:6" x14ac:dyDescent="0.25">
      <c r="A122" s="73" t="s">
        <v>153</v>
      </c>
      <c r="B122">
        <v>2377700000</v>
      </c>
      <c r="C122">
        <v>256300000</v>
      </c>
      <c r="D122">
        <v>6334757000</v>
      </c>
      <c r="E122">
        <v>221100000</v>
      </c>
    </row>
    <row r="123" spans="1:6" x14ac:dyDescent="0.25">
      <c r="A123" s="73" t="s">
        <v>154</v>
      </c>
      <c r="B123">
        <v>2159600000</v>
      </c>
      <c r="C123">
        <v>314700000</v>
      </c>
      <c r="D123">
        <v>6332100000</v>
      </c>
      <c r="E123">
        <v>462500000</v>
      </c>
    </row>
    <row r="124" spans="1:6" x14ac:dyDescent="0.25">
      <c r="A124" s="73" t="s">
        <v>155</v>
      </c>
      <c r="B124">
        <v>2001200000</v>
      </c>
      <c r="C124">
        <v>192800000</v>
      </c>
      <c r="D124">
        <v>4975000000</v>
      </c>
      <c r="E124">
        <v>404800000</v>
      </c>
    </row>
    <row r="125" spans="1:6" x14ac:dyDescent="0.25">
      <c r="A125" s="73" t="s">
        <v>156</v>
      </c>
      <c r="B125">
        <v>1805700000</v>
      </c>
      <c r="C125">
        <v>184500000</v>
      </c>
      <c r="D125">
        <v>4975000000</v>
      </c>
      <c r="E125">
        <v>254400000</v>
      </c>
    </row>
    <row r="126" spans="1:6" x14ac:dyDescent="0.25">
      <c r="A126" s="73" t="s">
        <v>157</v>
      </c>
      <c r="B126">
        <v>1693000000</v>
      </c>
      <c r="C126">
        <v>197700000</v>
      </c>
      <c r="D126">
        <v>6210000000</v>
      </c>
      <c r="E126">
        <v>194700000</v>
      </c>
    </row>
    <row r="127" spans="1:6" x14ac:dyDescent="0.25">
      <c r="A127" s="73" t="s">
        <v>158</v>
      </c>
      <c r="B127">
        <v>1594000000</v>
      </c>
      <c r="C127">
        <v>178300000</v>
      </c>
      <c r="D127">
        <v>5756756000</v>
      </c>
      <c r="E127">
        <v>179000000</v>
      </c>
    </row>
    <row r="128" spans="1:6" x14ac:dyDescent="0.25">
      <c r="A128" s="73" t="s">
        <v>159</v>
      </c>
      <c r="B128">
        <v>1502800000</v>
      </c>
      <c r="C128">
        <v>276200000</v>
      </c>
      <c r="D128">
        <v>5776052000</v>
      </c>
      <c r="E128">
        <v>284600000</v>
      </c>
    </row>
    <row r="129" spans="1:5" x14ac:dyDescent="0.25">
      <c r="A129" s="73" t="s">
        <v>160</v>
      </c>
      <c r="B129">
        <v>1390400000</v>
      </c>
      <c r="C129">
        <v>227000000</v>
      </c>
      <c r="D129">
        <v>5776052000</v>
      </c>
      <c r="E129">
        <v>186000000</v>
      </c>
    </row>
    <row r="130" spans="1:5" x14ac:dyDescent="0.25">
      <c r="A130" s="73" t="s">
        <v>161</v>
      </c>
      <c r="B130">
        <v>1309900000</v>
      </c>
      <c r="C130">
        <v>199300000</v>
      </c>
      <c r="D130">
        <v>5740360000</v>
      </c>
      <c r="E130">
        <v>131400000</v>
      </c>
    </row>
    <row r="131" spans="1:5" x14ac:dyDescent="0.25">
      <c r="A131" s="73" t="s">
        <v>162</v>
      </c>
      <c r="B131">
        <v>1240600000</v>
      </c>
      <c r="C131">
        <v>185100000</v>
      </c>
      <c r="D131">
        <v>5673512000</v>
      </c>
      <c r="E131">
        <v>166000000</v>
      </c>
    </row>
    <row r="132" spans="1:5" x14ac:dyDescent="0.25">
      <c r="A132" s="73" t="s">
        <v>163</v>
      </c>
      <c r="B132">
        <v>1178400000</v>
      </c>
      <c r="C132">
        <v>195700000</v>
      </c>
      <c r="D132">
        <v>5617732000</v>
      </c>
      <c r="E132">
        <v>153300000</v>
      </c>
    </row>
    <row r="133" spans="1:5" x14ac:dyDescent="0.25">
      <c r="A133" s="73" t="s">
        <v>164</v>
      </c>
      <c r="B133">
        <v>1104100000</v>
      </c>
      <c r="C133">
        <v>188500000</v>
      </c>
      <c r="D133">
        <v>5617732000</v>
      </c>
      <c r="E133">
        <v>108400000</v>
      </c>
    </row>
    <row r="134" spans="1:5" x14ac:dyDescent="0.25">
      <c r="A134" s="73" t="s">
        <v>165</v>
      </c>
      <c r="B134">
        <v>1084000000</v>
      </c>
      <c r="C134">
        <v>187200000</v>
      </c>
      <c r="D134">
        <v>5590700000</v>
      </c>
      <c r="E134">
        <v>43700000</v>
      </c>
    </row>
    <row r="135" spans="1:5" x14ac:dyDescent="0.25">
      <c r="A135" s="73" t="s">
        <v>166</v>
      </c>
      <c r="B135">
        <v>1068800000</v>
      </c>
      <c r="C135">
        <v>137000000</v>
      </c>
      <c r="D135">
        <v>5532300000</v>
      </c>
      <c r="E135">
        <v>75900000</v>
      </c>
    </row>
    <row r="136" spans="1:5" x14ac:dyDescent="0.25">
      <c r="A136" s="73" t="s">
        <v>167</v>
      </c>
      <c r="B136">
        <v>1027800000</v>
      </c>
      <c r="C136">
        <v>28700000</v>
      </c>
      <c r="D136">
        <v>5550308000</v>
      </c>
      <c r="E136">
        <v>101500000</v>
      </c>
    </row>
    <row r="137" spans="1:5" x14ac:dyDescent="0.25">
      <c r="A137" s="73" t="s">
        <v>168</v>
      </c>
      <c r="B137">
        <v>1076300000</v>
      </c>
      <c r="C137">
        <v>-21600000</v>
      </c>
      <c r="D137">
        <v>5550308000</v>
      </c>
      <c r="E137">
        <v>72200000</v>
      </c>
    </row>
    <row r="138" spans="1:5" x14ac:dyDescent="0.25">
      <c r="A138" s="73" t="s">
        <v>169</v>
      </c>
      <c r="B138">
        <v>1043200000</v>
      </c>
      <c r="C138">
        <v>-57500000</v>
      </c>
      <c r="D138">
        <v>5585408000</v>
      </c>
      <c r="E138">
        <v>46400000</v>
      </c>
    </row>
    <row r="139" spans="1:5" x14ac:dyDescent="0.25">
      <c r="A139" s="73" t="s">
        <v>170</v>
      </c>
      <c r="B139">
        <v>999100000</v>
      </c>
      <c r="C139">
        <v>-19000000</v>
      </c>
      <c r="D139">
        <v>5330500000</v>
      </c>
      <c r="E139">
        <v>43800000</v>
      </c>
    </row>
    <row r="140" spans="1:5" x14ac:dyDescent="0.25">
      <c r="A140" s="73" t="s">
        <v>171</v>
      </c>
      <c r="B140">
        <v>970900000</v>
      </c>
      <c r="C140">
        <v>31000000</v>
      </c>
      <c r="D140">
        <v>5268316000</v>
      </c>
      <c r="E140">
        <v>44800000</v>
      </c>
    </row>
    <row r="141" spans="1:5" x14ac:dyDescent="0.25">
      <c r="A141" s="73" t="s">
        <v>172</v>
      </c>
      <c r="B141">
        <v>852500000</v>
      </c>
      <c r="C141">
        <v>0</v>
      </c>
      <c r="D141">
        <v>5268316000</v>
      </c>
      <c r="E141">
        <v>50200000</v>
      </c>
    </row>
    <row r="142" spans="1:5" x14ac:dyDescent="0.25">
      <c r="A142" s="73" t="s">
        <v>173</v>
      </c>
      <c r="B142">
        <v>769500000</v>
      </c>
      <c r="C142">
        <v>0</v>
      </c>
      <c r="D142">
        <v>5144580000</v>
      </c>
    </row>
    <row r="143" spans="1:5" x14ac:dyDescent="0.25">
      <c r="A143" s="73" t="s">
        <v>174</v>
      </c>
      <c r="B143">
        <v>668600000</v>
      </c>
      <c r="C143">
        <v>0</v>
      </c>
      <c r="D143">
        <v>4859676000</v>
      </c>
    </row>
    <row r="144" spans="1:5" x14ac:dyDescent="0.25">
      <c r="A144" s="73" t="s">
        <v>175</v>
      </c>
      <c r="B144">
        <v>583700000</v>
      </c>
      <c r="C144">
        <v>0</v>
      </c>
      <c r="D144">
        <v>4859676000</v>
      </c>
      <c r="E144">
        <v>49400000</v>
      </c>
    </row>
    <row r="145" spans="1:5" x14ac:dyDescent="0.25">
      <c r="A145" s="73" t="s">
        <v>176</v>
      </c>
      <c r="B145">
        <v>471900000</v>
      </c>
      <c r="C145">
        <v>0</v>
      </c>
      <c r="D145">
        <v>4859676000</v>
      </c>
    </row>
    <row r="146" spans="1:5" x14ac:dyDescent="0.25">
      <c r="A146" s="73" t="s">
        <v>177</v>
      </c>
      <c r="B146">
        <v>394800000</v>
      </c>
      <c r="C146">
        <v>0</v>
      </c>
      <c r="D146">
        <v>4859676000</v>
      </c>
    </row>
    <row r="147" spans="1:5" x14ac:dyDescent="0.25">
      <c r="A147" s="73" t="s">
        <v>178</v>
      </c>
      <c r="B147">
        <v>331400000</v>
      </c>
      <c r="C147">
        <v>0</v>
      </c>
      <c r="D147">
        <v>4699940000</v>
      </c>
    </row>
    <row r="148" spans="1:5" x14ac:dyDescent="0.25">
      <c r="A148" s="73" t="s">
        <v>179</v>
      </c>
      <c r="B148">
        <v>282100000</v>
      </c>
      <c r="C148">
        <v>0</v>
      </c>
      <c r="D148">
        <v>4699940000</v>
      </c>
      <c r="E148">
        <v>48600000</v>
      </c>
    </row>
    <row r="149" spans="1:5" x14ac:dyDescent="0.25">
      <c r="A149" s="73" t="s">
        <v>180</v>
      </c>
      <c r="B149">
        <v>228300000</v>
      </c>
      <c r="C149">
        <v>0</v>
      </c>
      <c r="D149">
        <v>4699940000</v>
      </c>
    </row>
    <row r="150" spans="1:5" x14ac:dyDescent="0.25">
      <c r="A150" s="73" t="s">
        <v>181</v>
      </c>
      <c r="B150">
        <v>186900000</v>
      </c>
      <c r="C150">
        <v>0</v>
      </c>
      <c r="D150">
        <v>4699940000</v>
      </c>
    </row>
    <row r="151" spans="1:5" x14ac:dyDescent="0.25">
      <c r="A151" s="73" t="s">
        <v>182</v>
      </c>
      <c r="B151">
        <v>155000000</v>
      </c>
      <c r="C151">
        <v>0</v>
      </c>
      <c r="D151">
        <v>4613440000</v>
      </c>
    </row>
    <row r="152" spans="1:5" x14ac:dyDescent="0.25">
      <c r="A152" s="73" t="s">
        <v>183</v>
      </c>
      <c r="B152">
        <v>131300000</v>
      </c>
      <c r="C152">
        <v>0</v>
      </c>
      <c r="D152">
        <v>4319676000</v>
      </c>
      <c r="E152">
        <v>37600000</v>
      </c>
    </row>
    <row r="153" spans="1:5" x14ac:dyDescent="0.25">
      <c r="A153" s="73" t="s">
        <v>184</v>
      </c>
      <c r="B153">
        <v>101800000</v>
      </c>
      <c r="C153">
        <v>0</v>
      </c>
      <c r="D153">
        <v>4319676000</v>
      </c>
    </row>
    <row r="154" spans="1:5" x14ac:dyDescent="0.25">
      <c r="A154" s="73" t="s">
        <v>185</v>
      </c>
      <c r="B154">
        <v>82900000</v>
      </c>
      <c r="C154">
        <v>0</v>
      </c>
      <c r="D154">
        <v>4281836000</v>
      </c>
    </row>
    <row r="155" spans="1:5" x14ac:dyDescent="0.25">
      <c r="A155" s="73" t="s">
        <v>186</v>
      </c>
      <c r="B155">
        <v>63800000</v>
      </c>
      <c r="C155">
        <v>0</v>
      </c>
      <c r="D155">
        <v>4192588000</v>
      </c>
    </row>
    <row r="156" spans="1:5" x14ac:dyDescent="0.25">
      <c r="A156" s="73" t="s">
        <v>187</v>
      </c>
      <c r="B156">
        <v>55500000</v>
      </c>
      <c r="C156">
        <v>0</v>
      </c>
      <c r="D156">
        <v>4192587864</v>
      </c>
      <c r="E156">
        <v>12500000</v>
      </c>
    </row>
    <row r="157" spans="1:5" x14ac:dyDescent="0.25">
      <c r="A157" s="73" t="s">
        <v>188</v>
      </c>
      <c r="D157">
        <v>4192587864</v>
      </c>
    </row>
    <row r="158" spans="1:5" x14ac:dyDescent="0.25">
      <c r="A158" s="73" t="s">
        <v>189</v>
      </c>
      <c r="D158">
        <v>4192587864</v>
      </c>
    </row>
    <row r="159" spans="1:5" x14ac:dyDescent="0.25">
      <c r="A159" s="73" t="s">
        <v>190</v>
      </c>
      <c r="D159">
        <v>4192587864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191</v>
      </c>
      <c r="B1" s="27" t="s">
        <v>192</v>
      </c>
      <c r="C1" t="s">
        <v>193</v>
      </c>
      <c r="D1" t="s">
        <v>194</v>
      </c>
      <c r="F1" s="27" t="s">
        <v>192</v>
      </c>
      <c r="G1" t="s">
        <v>193</v>
      </c>
      <c r="H1" t="s">
        <v>194</v>
      </c>
      <c r="J1" t="s">
        <v>195</v>
      </c>
      <c r="K1" t="s">
        <v>193</v>
      </c>
      <c r="L1" t="s">
        <v>194</v>
      </c>
      <c r="N1" t="s">
        <v>196</v>
      </c>
      <c r="O1" t="s">
        <v>193</v>
      </c>
      <c r="P1" t="s">
        <v>194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197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198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199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200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201</v>
      </c>
    </row>
    <row r="7" spans="1:46" x14ac:dyDescent="0.25">
      <c r="A7" s="27" t="s">
        <v>202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203</v>
      </c>
    </row>
    <row r="8" spans="1:46" x14ac:dyDescent="0.25">
      <c r="A8" s="27" t="s">
        <v>204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205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206</v>
      </c>
    </row>
    <row r="10" spans="1:46" x14ac:dyDescent="0.25">
      <c r="A10" s="27" t="s">
        <v>207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208</v>
      </c>
    </row>
    <row r="11" spans="1:46" x14ac:dyDescent="0.25">
      <c r="A11" s="27" t="s">
        <v>209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210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211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212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213</v>
      </c>
    </row>
    <row r="15" spans="1:46" x14ac:dyDescent="0.25">
      <c r="A15" s="27" t="s">
        <v>214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215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216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217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218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219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220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221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222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223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224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225</v>
      </c>
      <c r="J26">
        <v>0.61799999999999999</v>
      </c>
      <c r="N26">
        <v>-0.36399999999999999</v>
      </c>
    </row>
    <row r="27" spans="1:17" x14ac:dyDescent="0.25">
      <c r="A27" s="27" t="s">
        <v>226</v>
      </c>
    </row>
    <row r="28" spans="1:17" x14ac:dyDescent="0.25">
      <c r="A28" s="27" t="s">
        <v>227</v>
      </c>
    </row>
    <row r="29" spans="1:17" x14ac:dyDescent="0.25">
      <c r="A29" s="27" t="s">
        <v>228</v>
      </c>
    </row>
    <row r="31" spans="1:17" x14ac:dyDescent="0.25">
      <c r="A31" s="26" t="s">
        <v>229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230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231</v>
      </c>
      <c r="C1" s="73" t="s">
        <v>232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233</v>
      </c>
      <c r="D2">
        <v>1.394803101497744</v>
      </c>
      <c r="E2">
        <v>0.1373480110214752</v>
      </c>
    </row>
    <row r="3" spans="1:5" x14ac:dyDescent="0.25">
      <c r="A3" s="73">
        <v>1</v>
      </c>
      <c r="B3">
        <v>3</v>
      </c>
      <c r="C3" t="s">
        <v>234</v>
      </c>
      <c r="D3">
        <v>1.1111148270724349</v>
      </c>
      <c r="E3">
        <v>0.11769692412217191</v>
      </c>
    </row>
    <row r="4" spans="1:5" x14ac:dyDescent="0.25">
      <c r="A4" s="73">
        <v>2</v>
      </c>
      <c r="B4">
        <v>3</v>
      </c>
      <c r="C4" t="s">
        <v>235</v>
      </c>
      <c r="D4">
        <v>0.99990029233992783</v>
      </c>
      <c r="E4">
        <v>0.10999309325034121</v>
      </c>
    </row>
    <row r="5" spans="1:5" x14ac:dyDescent="0.25">
      <c r="A5" s="73">
        <v>3</v>
      </c>
      <c r="B5">
        <v>5</v>
      </c>
      <c r="C5" t="s">
        <v>233</v>
      </c>
      <c r="D5">
        <v>1.010501663819936</v>
      </c>
      <c r="E5">
        <v>0.1107274502576142</v>
      </c>
    </row>
    <row r="6" spans="1:5" x14ac:dyDescent="0.25">
      <c r="A6" s="73">
        <v>4</v>
      </c>
      <c r="B6">
        <v>5</v>
      </c>
      <c r="C6" t="s">
        <v>234</v>
      </c>
      <c r="D6">
        <v>0.81215004091863463</v>
      </c>
      <c r="E6">
        <v>9.6987633248442937E-2</v>
      </c>
    </row>
    <row r="7" spans="1:5" x14ac:dyDescent="0.25">
      <c r="A7" s="73">
        <v>5</v>
      </c>
      <c r="B7">
        <v>5</v>
      </c>
      <c r="C7" t="s">
        <v>235</v>
      </c>
      <c r="D7">
        <v>0.93891385480130796</v>
      </c>
      <c r="E7">
        <v>0.1057685626941236</v>
      </c>
    </row>
    <row r="8" spans="1:5" x14ac:dyDescent="0.25">
      <c r="A8" s="73">
        <v>6</v>
      </c>
      <c r="B8" t="s">
        <v>229</v>
      </c>
      <c r="D8">
        <v>1.044563963408331</v>
      </c>
      <c r="E8">
        <v>0.11308694576569479</v>
      </c>
    </row>
    <row r="9" spans="1:5" x14ac:dyDescent="0.25">
      <c r="A9" s="73">
        <v>7</v>
      </c>
      <c r="B9" t="s">
        <v>230</v>
      </c>
      <c r="D9">
        <v>1.005200978079932</v>
      </c>
      <c r="E9">
        <v>0.1103602717539777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2024-10-18T20:36:28Z</dcterms:modified>
</cp:coreProperties>
</file>