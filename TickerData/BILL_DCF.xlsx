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7" documentId="11_AB4CB5B04CB5CC8A1BCD53429E21367DC27998BF" xr6:coauthVersionLast="47" xr6:coauthVersionMax="47" xr10:uidLastSave="{79C0C4F3-CC9F-4358-9394-21EBC6C0F11A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M5" i="3"/>
  <c r="O32" i="5"/>
  <c r="G3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G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2" i="5" s="1"/>
  <c r="H3" i="5"/>
  <c r="G3" i="5"/>
  <c r="D3" i="5"/>
  <c r="C3" i="5"/>
  <c r="R2" i="5"/>
  <c r="H2" i="5"/>
  <c r="G2" i="5"/>
  <c r="D2" i="5"/>
  <c r="C2" i="5"/>
  <c r="C32" i="5" s="1"/>
  <c r="T1" i="5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S1" i="5"/>
  <c r="K10" i="3"/>
  <c r="C21" i="3" s="1"/>
  <c r="G10" i="3"/>
  <c r="E10" i="3"/>
  <c r="L5" i="3"/>
  <c r="F4" i="3"/>
  <c r="F5" i="3" s="1"/>
  <c r="D4" i="3"/>
  <c r="F3" i="3"/>
  <c r="E3" i="3"/>
  <c r="L1" i="3"/>
  <c r="L3" i="3" s="1"/>
  <c r="K1" i="3"/>
  <c r="K4" i="3" s="1"/>
  <c r="J1" i="3"/>
  <c r="J10" i="3" s="1"/>
  <c r="I1" i="3"/>
  <c r="I7" i="3" s="1"/>
  <c r="H1" i="3"/>
  <c r="H4" i="3" s="1"/>
  <c r="G1" i="3"/>
  <c r="G3" i="3" s="1"/>
  <c r="F1" i="3"/>
  <c r="F7" i="3" s="1"/>
  <c r="E1" i="3"/>
  <c r="E4" i="3" s="1"/>
  <c r="E5" i="3" s="1"/>
  <c r="D1" i="3"/>
  <c r="D10" i="3" s="1"/>
  <c r="N5" i="3" l="1"/>
  <c r="O5" i="3" s="1"/>
  <c r="P5" i="3" s="1"/>
  <c r="Q5" i="3" s="1"/>
  <c r="R5" i="3" s="1"/>
  <c r="S5" i="3" s="1"/>
  <c r="T5" i="3" s="1"/>
  <c r="U5" i="3" s="1"/>
  <c r="E11" i="3"/>
  <c r="L4" i="3"/>
  <c r="M4" i="3" s="1"/>
  <c r="N4" i="3" s="1"/>
  <c r="O4" i="3" s="1"/>
  <c r="P4" i="3" s="1"/>
  <c r="Q4" i="3" s="1"/>
  <c r="R4" i="3" s="1"/>
  <c r="H5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F8" i="3"/>
  <c r="H3" i="3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I3" i="3"/>
  <c r="G4" i="3"/>
  <c r="G5" i="3" s="1"/>
  <c r="K7" i="3"/>
  <c r="F10" i="3"/>
  <c r="F11" i="3" s="1"/>
  <c r="C31" i="5"/>
  <c r="H7" i="3"/>
  <c r="M1" i="3"/>
  <c r="K3" i="3"/>
  <c r="I4" i="3"/>
  <c r="I5" i="3" s="1"/>
  <c r="E7" i="3"/>
  <c r="H10" i="3"/>
  <c r="H11" i="3" s="1"/>
  <c r="K31" i="5"/>
  <c r="J7" i="3"/>
  <c r="D7" i="3"/>
  <c r="D3" i="3"/>
  <c r="J4" i="3"/>
  <c r="I10" i="3"/>
  <c r="J3" i="3"/>
  <c r="G7" i="3"/>
  <c r="C20" i="3"/>
  <c r="S4" i="3" l="1"/>
  <c r="T4" i="3" s="1"/>
  <c r="U4" i="3" s="1"/>
  <c r="V4" i="3" s="1"/>
  <c r="K13" i="3"/>
  <c r="K8" i="3"/>
  <c r="E13" i="3"/>
  <c r="E8" i="3"/>
  <c r="G11" i="3"/>
  <c r="J5" i="3"/>
  <c r="M3" i="3"/>
  <c r="N1" i="3"/>
  <c r="I11" i="3"/>
  <c r="K5" i="3"/>
  <c r="D8" i="3"/>
  <c r="D13" i="3"/>
  <c r="H13" i="3"/>
  <c r="H8" i="3"/>
  <c r="F13" i="3"/>
  <c r="J11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J8" i="3"/>
  <c r="J13" i="3"/>
  <c r="I13" i="3"/>
  <c r="G13" i="3"/>
  <c r="G8" i="3"/>
  <c r="I8" i="3"/>
  <c r="O1" i="3" l="1"/>
  <c r="N3" i="3"/>
  <c r="L7" i="3" l="1"/>
  <c r="L13" i="3" s="1"/>
  <c r="L14" i="3" s="1"/>
  <c r="M8" i="3"/>
  <c r="O3" i="3"/>
  <c r="P1" i="3"/>
  <c r="Q1" i="3" l="1"/>
  <c r="P3" i="3"/>
  <c r="N8" i="3"/>
  <c r="M7" i="3"/>
  <c r="M13" i="3" s="1"/>
  <c r="M14" i="3" s="1"/>
  <c r="N7" i="3" l="1"/>
  <c r="N13" i="3" s="1"/>
  <c r="N14" i="3" s="1"/>
  <c r="O8" i="3"/>
  <c r="Q3" i="3"/>
  <c r="R1" i="3"/>
  <c r="R3" i="3" l="1"/>
  <c r="S1" i="3"/>
  <c r="O7" i="3"/>
  <c r="O13" i="3" s="1"/>
  <c r="O14" i="3" s="1"/>
  <c r="P8" i="3"/>
  <c r="Q8" i="3" l="1"/>
  <c r="P7" i="3"/>
  <c r="P13" i="3" s="1"/>
  <c r="P14" i="3" s="1"/>
  <c r="T1" i="3"/>
  <c r="S3" i="3"/>
  <c r="T3" i="3" l="1"/>
  <c r="U1" i="3"/>
  <c r="U3" i="3" s="1"/>
  <c r="Q7" i="3"/>
  <c r="Q13" i="3" s="1"/>
  <c r="Q14" i="3" s="1"/>
  <c r="R8" i="3"/>
  <c r="S8" i="3" l="1"/>
  <c r="R7" i="3"/>
  <c r="R13" i="3" s="1"/>
  <c r="R14" i="3" s="1"/>
  <c r="T8" i="3" l="1"/>
  <c r="S7" i="3"/>
  <c r="S13" i="3" s="1"/>
  <c r="S14" i="3" s="1"/>
  <c r="T7" i="3" l="1"/>
  <c r="T13" i="3" s="1"/>
  <c r="T14" i="3" s="1"/>
  <c r="U8" i="3"/>
  <c r="U7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<sst xmlns="http://schemas.openxmlformats.org/spreadsheetml/2006/main" count="121" uniqueCount="103">
  <si>
    <t>This sheet contains FactSet XML data for use with this workbook's =FDS codes.  Modifying the worksheet's contents may damage the workbook's =FDS functionality.</t>
  </si>
  <si>
    <t>BILL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</si>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</sst>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5169492000</v>
      </c>
    </row>
    <row r="3" spans="1:2" x14ac:dyDescent="0.25">
      <c r="A3" s="73" t="s">
        <v>3</v>
      </c>
      <c r="B3">
        <v>914000000</v>
      </c>
    </row>
    <row r="4" spans="1:2" x14ac:dyDescent="0.25">
      <c r="A4" s="73" t="s">
        <v>4</v>
      </c>
      <c r="B4">
        <v>0.1810545974694748</v>
      </c>
    </row>
    <row r="5" spans="1:2" x14ac:dyDescent="0.25">
      <c r="A5" s="73" t="s">
        <v>5</v>
      </c>
      <c r="B5">
        <v>2.0986870897155362E-2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4134201000</v>
      </c>
    </row>
    <row r="8" spans="1:2" x14ac:dyDescent="0.25">
      <c r="A8" s="73" t="s">
        <v>8</v>
      </c>
      <c r="B8">
        <v>0.81894540253052528</v>
      </c>
    </row>
    <row r="9" spans="1:2" x14ac:dyDescent="0.25">
      <c r="A9" s="73" t="s">
        <v>9</v>
      </c>
      <c r="B9">
        <v>0.15341660414122149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1.6267735506612859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0.12864164050861721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4" sqref="L1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108.351</v>
      </c>
      <c r="G4" s="36">
        <f>IFERROR(INDEX(Python!$1:$1048576,MATCH(DCF_Simple!G$1,Python!$A:$A,0),MATCH(DCF_Simple!$B4,Python!$1:$1,0))/1000000,0)</f>
        <v>157.6</v>
      </c>
      <c r="H4" s="36">
        <f>IFERROR(INDEX(Python!$1:$1048576,MATCH(DCF_Simple!H$1,Python!$A:$A,0),MATCH(DCF_Simple!$B4,Python!$1:$1,0))/1000000,0)</f>
        <v>238.26499999999999</v>
      </c>
      <c r="I4" s="36">
        <f>IFERROR(INDEX(Python!$1:$1048576,MATCH(DCF_Simple!I$1,Python!$A:$A,0),MATCH(DCF_Simple!$B4,Python!$1:$1,0))/1000000,0)</f>
        <v>640.01300000000003</v>
      </c>
      <c r="J4" s="36">
        <f>IFERROR(INDEX(Python!$1:$1048576,MATCH(DCF_Simple!J$1,Python!$A:$A,0),MATCH(DCF_Simple!$B4,Python!$1:$1,0))/1000000,0)</f>
        <v>1058.4680000000001</v>
      </c>
      <c r="K4" s="55">
        <f>IFERROR(INDEX(Python!$1:$1048576,MATCH(DCF_Simple!K$1,Python!$A:$A,0),MATCH(DCF_Simple!$B4,Python!$1:$1,0))/1000000,0)</f>
        <v>1290.173</v>
      </c>
      <c r="L4" s="37">
        <f t="shared" ref="L4:U4" si="2">K4*(1+L5)</f>
        <v>1476.1151093332458</v>
      </c>
      <c r="M4" s="36">
        <f t="shared" si="2"/>
        <v>1625.033409385773</v>
      </c>
      <c r="N4" s="36">
        <f t="shared" si="2"/>
        <v>1788.9753752420813</v>
      </c>
      <c r="O4" s="36">
        <f t="shared" si="2"/>
        <v>1969.4566737752421</v>
      </c>
      <c r="P4" s="36">
        <f t="shared" si="2"/>
        <v>2168.1458803495116</v>
      </c>
      <c r="Q4" s="36">
        <f t="shared" si="2"/>
        <v>2386.8799050377224</v>
      </c>
      <c r="R4" s="36">
        <f t="shared" si="2"/>
        <v>2627.6809751170813</v>
      </c>
      <c r="S4" s="36">
        <f t="shared" si="2"/>
        <v>2892.7753308489696</v>
      </c>
      <c r="T4" s="36">
        <f t="shared" si="2"/>
        <v>3184.6138073879029</v>
      </c>
      <c r="U4" s="36">
        <f t="shared" si="2"/>
        <v>3505.8944931023307</v>
      </c>
      <c r="V4" s="19">
        <f>U4</f>
        <v>3505.8944931023307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>
        <f t="shared" si="3"/>
        <v>0.45453203016123522</v>
      </c>
      <c r="H5" s="42">
        <f t="shared" si="3"/>
        <v>0.51183375634517758</v>
      </c>
      <c r="I5" s="42">
        <f t="shared" si="3"/>
        <v>1.6861393826201923</v>
      </c>
      <c r="J5" s="42">
        <f t="shared" si="3"/>
        <v>0.65382265672728535</v>
      </c>
      <c r="K5" s="58">
        <f t="shared" si="3"/>
        <v>0.2189060037714885</v>
      </c>
      <c r="L5" s="43">
        <f>Python!F2</f>
        <v>0.14412184205780609</v>
      </c>
      <c r="M5" s="43">
        <f>L5*0.7</f>
        <v>0.10088528944046427</v>
      </c>
      <c r="N5" s="38">
        <f t="shared" ref="N5:U5" si="4">M5</f>
        <v>0.10088528944046427</v>
      </c>
      <c r="O5" s="38">
        <f t="shared" si="4"/>
        <v>0.10088528944046427</v>
      </c>
      <c r="P5" s="38">
        <f t="shared" si="4"/>
        <v>0.10088528944046427</v>
      </c>
      <c r="Q5" s="38">
        <f t="shared" si="4"/>
        <v>0.10088528944046427</v>
      </c>
      <c r="R5" s="38">
        <f t="shared" si="4"/>
        <v>0.10088528944046427</v>
      </c>
      <c r="S5" s="38">
        <f t="shared" si="4"/>
        <v>0.10088528944046427</v>
      </c>
      <c r="T5" s="38">
        <f t="shared" si="4"/>
        <v>0.10088528944046427</v>
      </c>
      <c r="U5" s="38">
        <f t="shared" si="4"/>
        <v>0.10088528944046427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-8.2479999999999993</v>
      </c>
      <c r="G7" s="52">
        <f>IFERROR(INDEX(Python!$1:$1048576,MATCH(DCF_Simple!G$1,Python!$A:$A,0),MATCH(DCF_Simple!$B7,Python!$1:$1,0))/1000000,0)</f>
        <v>-16.506</v>
      </c>
      <c r="H7" s="52">
        <f>IFERROR(INDEX(Python!$1:$1048576,MATCH(DCF_Simple!H$1,Python!$A:$A,0),MATCH(DCF_Simple!$B7,Python!$1:$1,0))/1000000,0)</f>
        <v>-16.582999999999998</v>
      </c>
      <c r="I7" s="52">
        <f>IFERROR(INDEX(Python!$1:$1048576,MATCH(DCF_Simple!I$1,Python!$A:$A,0),MATCH(DCF_Simple!$B7,Python!$1:$1,0))/1000000,0)</f>
        <v>-33.728999999999999</v>
      </c>
      <c r="J7" s="52">
        <f>IFERROR(INDEX(Python!$1:$1048576,MATCH(DCF_Simple!J$1,Python!$A:$A,0),MATCH(DCF_Simple!$B7,Python!$1:$1,0))/1000000,0)</f>
        <v>156.565</v>
      </c>
      <c r="K7" s="57">
        <f>IFERROR(INDEX(Python!$1:$1048576,MATCH(DCF_Simple!K$1,Python!$A:$A,0),MATCH(DCF_Simple!$B7,Python!$1:$1,0))/1000000,0)</f>
        <v>257.87799999999999</v>
      </c>
      <c r="L7" s="64">
        <f t="shared" ref="L7:U7" si="5">L8*L4</f>
        <v>295.04385238618289</v>
      </c>
      <c r="M7" s="64">
        <f t="shared" si="5"/>
        <v>324.8094368317926</v>
      </c>
      <c r="N7" s="64">
        <f t="shared" si="5"/>
        <v>357.57793087956219</v>
      </c>
      <c r="O7" s="64">
        <f t="shared" si="5"/>
        <v>393.65228393386923</v>
      </c>
      <c r="P7" s="64">
        <f t="shared" si="5"/>
        <v>433.36600853743744</v>
      </c>
      <c r="Q7" s="64">
        <f t="shared" si="5"/>
        <v>477.0862637423956</v>
      </c>
      <c r="R7" s="64">
        <f t="shared" si="5"/>
        <v>525.21724954811691</v>
      </c>
      <c r="S7" s="64">
        <f t="shared" si="5"/>
        <v>578.20394378790331</v>
      </c>
      <c r="T7" s="64">
        <f t="shared" si="5"/>
        <v>636.53621601256384</v>
      </c>
      <c r="U7" s="64">
        <f t="shared" si="5"/>
        <v>700.75335640432934</v>
      </c>
      <c r="V7" s="65">
        <f>U7</f>
        <v>700.75335640432934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>
        <f t="shared" si="6"/>
        <v>-7.6122970715544844E-2</v>
      </c>
      <c r="G8" s="42">
        <f t="shared" si="6"/>
        <v>-0.10473350253807107</v>
      </c>
      <c r="H8" s="42">
        <f t="shared" si="6"/>
        <v>-6.9598975930161788E-2</v>
      </c>
      <c r="I8" s="42">
        <f t="shared" si="6"/>
        <v>-5.2700492021255811E-2</v>
      </c>
      <c r="J8" s="42">
        <f t="shared" si="6"/>
        <v>0.14791661155556898</v>
      </c>
      <c r="K8" s="58">
        <f t="shared" si="6"/>
        <v>0.1998786209291312</v>
      </c>
      <c r="L8" s="38">
        <f>K8</f>
        <v>0.1998786209291312</v>
      </c>
      <c r="M8" s="38">
        <f t="shared" ref="M8:U8" si="7">L8</f>
        <v>0.1998786209291312</v>
      </c>
      <c r="N8" s="38">
        <f t="shared" si="7"/>
        <v>0.1998786209291312</v>
      </c>
      <c r="O8" s="38">
        <f t="shared" si="7"/>
        <v>0.1998786209291312</v>
      </c>
      <c r="P8" s="38">
        <f t="shared" si="7"/>
        <v>0.1998786209291312</v>
      </c>
      <c r="Q8" s="38">
        <f t="shared" si="7"/>
        <v>0.1998786209291312</v>
      </c>
      <c r="R8" s="38">
        <f t="shared" si="7"/>
        <v>0.1998786209291312</v>
      </c>
      <c r="S8" s="38">
        <f t="shared" si="7"/>
        <v>0.1998786209291312</v>
      </c>
      <c r="T8" s="38">
        <f t="shared" si="7"/>
        <v>0.1998786209291312</v>
      </c>
      <c r="U8" s="38">
        <f t="shared" si="7"/>
        <v>0.1998786209291312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60.664999999999999</v>
      </c>
      <c r="G10" s="17">
        <f>IFERROR(INDEX(Python!$1:$1048576,MATCH(DCF_Simple!G$1,Python!$A:$A,0),MATCH(DCF_Simple!$B10,Python!$1:$1,0))/1000000,0)</f>
        <v>73.772144999999995</v>
      </c>
      <c r="H10" s="17">
        <f>IFERROR(INDEX(Python!$1:$1048576,MATCH(DCF_Simple!H$1,Python!$A:$A,0),MATCH(DCF_Simple!$B10,Python!$1:$1,0))/1000000,0)</f>
        <v>86.532345000000007</v>
      </c>
      <c r="I10" s="17">
        <f>IFERROR(INDEX(Python!$1:$1048576,MATCH(DCF_Simple!I$1,Python!$A:$A,0),MATCH(DCF_Simple!$B10,Python!$1:$1,0))/1000000,0)</f>
        <v>103.919411</v>
      </c>
      <c r="J10" s="17">
        <f>IFERROR(INDEX(Python!$1:$1048576,MATCH(DCF_Simple!J$1,Python!$A:$A,0),MATCH(DCF_Simple!$B10,Python!$1:$1,0))/1000000,0)</f>
        <v>106.414</v>
      </c>
      <c r="K10" s="69">
        <f>IFERROR(INDEX(Python!$1:$1048576,MATCH(DCF_Simple!K$1,Python!$A:$A,0),MATCH(DCF_Simple!$B10,Python!$1:$1,0))/1000000,0)</f>
        <v>107.32599999999999</v>
      </c>
      <c r="L10" s="17">
        <f t="shared" ref="L10:U10" si="8">K10*(1+L11)</f>
        <v>108.24581611442102</v>
      </c>
      <c r="M10" s="17">
        <f t="shared" si="8"/>
        <v>109.17351532971553</v>
      </c>
      <c r="N10" s="17">
        <f t="shared" si="8"/>
        <v>110.10916520643005</v>
      </c>
      <c r="O10" s="17">
        <f t="shared" si="8"/>
        <v>111.05283388412531</v>
      </c>
      <c r="P10" s="17">
        <f t="shared" si="8"/>
        <v>112.00459008633855</v>
      </c>
      <c r="Q10" s="17">
        <f t="shared" si="8"/>
        <v>112.96450312558845</v>
      </c>
      <c r="R10" s="17">
        <f t="shared" si="8"/>
        <v>113.93264290842281</v>
      </c>
      <c r="S10" s="17">
        <f t="shared" si="8"/>
        <v>114.90907994050956</v>
      </c>
      <c r="T10" s="17">
        <f t="shared" si="8"/>
        <v>115.89388533177144</v>
      </c>
      <c r="U10" s="17">
        <f t="shared" si="8"/>
        <v>116.88713080156465</v>
      </c>
      <c r="V10" s="70">
        <f>U10</f>
        <v>116.88713080156465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>
        <f t="shared" si="9"/>
        <v>0.21605777631253598</v>
      </c>
      <c r="H11" s="42">
        <f t="shared" si="9"/>
        <v>0.17296772379331005</v>
      </c>
      <c r="I11" s="42">
        <f t="shared" si="9"/>
        <v>0.20093140894309514</v>
      </c>
      <c r="J11" s="42">
        <f t="shared" si="9"/>
        <v>2.400503405470622E-2</v>
      </c>
      <c r="K11" s="58">
        <f t="shared" si="9"/>
        <v>8.5703009002573438E-3</v>
      </c>
      <c r="L11" s="67">
        <f t="shared" ref="L11:U11" si="10">K11</f>
        <v>8.5703009002573438E-3</v>
      </c>
      <c r="M11" s="67">
        <f t="shared" si="10"/>
        <v>8.5703009002573438E-3</v>
      </c>
      <c r="N11" s="67">
        <f t="shared" si="10"/>
        <v>8.5703009002573438E-3</v>
      </c>
      <c r="O11" s="67">
        <f t="shared" si="10"/>
        <v>8.5703009002573438E-3</v>
      </c>
      <c r="P11" s="67">
        <f t="shared" si="10"/>
        <v>8.5703009002573438E-3</v>
      </c>
      <c r="Q11" s="67">
        <f t="shared" si="10"/>
        <v>8.5703009002573438E-3</v>
      </c>
      <c r="R11" s="67">
        <f t="shared" si="10"/>
        <v>8.5703009002573438E-3</v>
      </c>
      <c r="S11" s="67">
        <f t="shared" si="10"/>
        <v>8.5703009002573438E-3</v>
      </c>
      <c r="T11" s="67">
        <f t="shared" si="10"/>
        <v>8.5703009002573438E-3</v>
      </c>
      <c r="U11" s="67">
        <f t="shared" si="10"/>
        <v>8.5703009002573438E-3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-0.13595977911481083</v>
      </c>
      <c r="G13" s="53">
        <f t="shared" si="11"/>
        <v>-0.22374298591968556</v>
      </c>
      <c r="H13" s="53">
        <f t="shared" si="11"/>
        <v>-0.19163932284511645</v>
      </c>
      <c r="I13" s="53">
        <f t="shared" si="11"/>
        <v>-0.32456881419391415</v>
      </c>
      <c r="J13" s="53">
        <f t="shared" si="11"/>
        <v>1.4712819741763301</v>
      </c>
      <c r="K13" s="59">
        <f t="shared" si="11"/>
        <v>2.4027542254439744</v>
      </c>
      <c r="L13" s="53">
        <f t="shared" ref="L13:U13" si="12">L7/L10</f>
        <v>2.7256836612909581</v>
      </c>
      <c r="M13" s="53">
        <f t="shared" si="12"/>
        <v>2.9751669702201475</v>
      </c>
      <c r="N13" s="53">
        <f t="shared" si="12"/>
        <v>3.2474856221930626</v>
      </c>
      <c r="O13" s="53">
        <f t="shared" si="12"/>
        <v>3.5447297485862785</v>
      </c>
      <c r="P13" s="53">
        <f t="shared" si="12"/>
        <v>3.8691807916387888</v>
      </c>
      <c r="Q13" s="53">
        <f t="shared" si="12"/>
        <v>4.223329015239365</v>
      </c>
      <c r="R13" s="53">
        <f t="shared" si="12"/>
        <v>4.6098926184858007</v>
      </c>
      <c r="S13" s="53">
        <f t="shared" si="12"/>
        <v>5.0318385987186529</v>
      </c>
      <c r="T13" s="53">
        <f t="shared" si="12"/>
        <v>5.4924055241597998</v>
      </c>
      <c r="U13" s="53">
        <f t="shared" si="12"/>
        <v>5.9951283909430089</v>
      </c>
      <c r="V13" s="71">
        <f>U13*(1+WACC!$B$13)/(WACC!$B$14-WACC!$B$13)</f>
        <v>56.286253872214303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2.4150124924175587</v>
      </c>
      <c r="M14" s="62">
        <f>M13/((1+WACC!$B$14)^(M3-$K$3))</f>
        <v>2.3356039734577334</v>
      </c>
      <c r="N14" s="62">
        <f>N13/((1+WACC!$B$14)^(N3-$K$3))</f>
        <v>2.2588065022267259</v>
      </c>
      <c r="O14" s="62">
        <f>O13/((1+WACC!$B$14)^(O3-$K$3))</f>
        <v>2.1845342243309336</v>
      </c>
      <c r="P14" s="62">
        <f>P13/((1+WACC!$B$14)^(P3-$K$3))</f>
        <v>2.1127041083726024</v>
      </c>
      <c r="Q14" s="62">
        <f>Q13/((1+WACC!$B$14)^(Q3-$K$3))</f>
        <v>2.0432358531263275</v>
      </c>
      <c r="R14" s="62">
        <f>R13/((1+WACC!$B$14)^(R3-$K$3))</f>
        <v>1.9760517977676924</v>
      </c>
      <c r="S14" s="62">
        <f>S13/((1+WACC!$B$14)^(S3-$K$3))</f>
        <v>1.9110768350537097</v>
      </c>
      <c r="T14" s="62">
        <f>T13/((1+WACC!$B$14)^(T3-$K$3))</f>
        <v>1.8482383273579877</v>
      </c>
      <c r="U14" s="62">
        <f>U13/((1+WACC!$B$14)^(U3-$K$3))</f>
        <v>1.7874660254667614</v>
      </c>
      <c r="V14" s="63">
        <f>V13/((1+WACC!$B$14)^(U3-$K$3))</f>
        <v>16.781920242004109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16.781920242004109</v>
      </c>
      <c r="L17" s="16">
        <f>C17/$C$19</f>
        <v>0.44567988474041381</v>
      </c>
      <c r="O17" s="18"/>
    </row>
    <row r="18" spans="2:22" x14ac:dyDescent="0.25">
      <c r="B18" s="8" t="s">
        <v>26</v>
      </c>
      <c r="C18" s="32">
        <f>SUM(14:14)-V14</f>
        <v>20.872730139578035</v>
      </c>
      <c r="K18" s="3"/>
      <c r="L18" s="16">
        <f>C18/$C$19</f>
        <v>0.55432011525958624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37.654650381582144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16.413329482138533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8.5161097963214889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45.551870067399193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0.14412184205780609</v>
      </c>
    </row>
    <row r="3" spans="1:6" x14ac:dyDescent="0.25">
      <c r="A3" s="73" t="s">
        <v>34</v>
      </c>
      <c r="B3">
        <v>1290173000</v>
      </c>
      <c r="C3">
        <v>257878000</v>
      </c>
      <c r="D3">
        <v>107326000</v>
      </c>
      <c r="E3">
        <v>1761577000</v>
      </c>
      <c r="F3">
        <v>0.10067132233945859</v>
      </c>
    </row>
    <row r="4" spans="1:6" x14ac:dyDescent="0.25">
      <c r="A4" s="73" t="s">
        <v>35</v>
      </c>
      <c r="B4">
        <v>1242491000</v>
      </c>
      <c r="C4">
        <v>257667000</v>
      </c>
      <c r="D4">
        <v>111176000</v>
      </c>
      <c r="E4">
        <v>1942645000</v>
      </c>
      <c r="F4">
        <v>0.19385078241088949</v>
      </c>
    </row>
    <row r="5" spans="1:6" x14ac:dyDescent="0.25">
      <c r="A5" s="73" t="s">
        <v>36</v>
      </c>
      <c r="B5">
        <v>1192018000</v>
      </c>
      <c r="C5">
        <v>218679000</v>
      </c>
      <c r="D5">
        <v>105914000</v>
      </c>
      <c r="E5">
        <v>2552254000</v>
      </c>
      <c r="F5">
        <v>0.14666584617278061</v>
      </c>
    </row>
    <row r="6" spans="1:6" x14ac:dyDescent="0.25">
      <c r="A6" s="73" t="s">
        <v>37</v>
      </c>
      <c r="B6">
        <v>1133529000</v>
      </c>
      <c r="C6">
        <v>192166000</v>
      </c>
      <c r="D6">
        <v>106817000</v>
      </c>
      <c r="E6">
        <v>2646638000</v>
      </c>
      <c r="F6">
        <v>0.29573250291400632</v>
      </c>
    </row>
    <row r="7" spans="1:6" x14ac:dyDescent="0.25">
      <c r="A7" s="73" t="s">
        <v>38</v>
      </c>
      <c r="B7">
        <v>1058468000</v>
      </c>
      <c r="C7">
        <v>156565000</v>
      </c>
      <c r="D7">
        <v>106414000</v>
      </c>
      <c r="E7">
        <v>2660261000</v>
      </c>
      <c r="F7">
        <v>0.4068953806044322</v>
      </c>
    </row>
    <row r="8" spans="1:6" x14ac:dyDescent="0.25">
      <c r="A8" s="73" t="s">
        <v>39</v>
      </c>
      <c r="B8">
        <v>962706000</v>
      </c>
      <c r="C8">
        <v>68740000</v>
      </c>
      <c r="D8">
        <v>106597000</v>
      </c>
      <c r="E8">
        <v>2663573000</v>
      </c>
      <c r="F8">
        <v>0.67742090095919383</v>
      </c>
    </row>
    <row r="9" spans="1:6" x14ac:dyDescent="0.25">
      <c r="A9" s="73" t="s">
        <v>40</v>
      </c>
      <c r="B9">
        <v>857062000</v>
      </c>
      <c r="C9">
        <v>67536000</v>
      </c>
      <c r="D9">
        <v>105906000</v>
      </c>
      <c r="E9">
        <v>2683296000</v>
      </c>
      <c r="F9">
        <v>0.3462595380820308</v>
      </c>
    </row>
    <row r="10" spans="1:6" x14ac:dyDescent="0.25">
      <c r="A10" s="73" t="s">
        <v>41</v>
      </c>
      <c r="B10">
        <v>753534000</v>
      </c>
      <c r="C10">
        <v>3763000</v>
      </c>
      <c r="D10">
        <v>104563192</v>
      </c>
      <c r="E10">
        <v>2643503000</v>
      </c>
    </row>
    <row r="11" spans="1:6" x14ac:dyDescent="0.25">
      <c r="A11" s="73" t="s">
        <v>42</v>
      </c>
      <c r="B11">
        <v>640013000</v>
      </c>
      <c r="C11">
        <v>-33729000</v>
      </c>
      <c r="D11">
        <v>103919411</v>
      </c>
      <c r="E11">
        <v>2705035000</v>
      </c>
    </row>
    <row r="12" spans="1:6" x14ac:dyDescent="0.25">
      <c r="A12" s="73" t="s">
        <v>43</v>
      </c>
      <c r="B12">
        <v>518065000</v>
      </c>
      <c r="C12">
        <v>-4106000</v>
      </c>
      <c r="D12">
        <v>103313441</v>
      </c>
      <c r="E12">
        <v>2782779000</v>
      </c>
      <c r="F12">
        <v>2.7719684288057849</v>
      </c>
    </row>
    <row r="13" spans="1:6" x14ac:dyDescent="0.25">
      <c r="A13" s="73" t="s">
        <v>44</v>
      </c>
      <c r="B13">
        <v>410892000</v>
      </c>
      <c r="C13">
        <v>-32258000</v>
      </c>
      <c r="D13">
        <v>102910000</v>
      </c>
      <c r="E13">
        <v>2789336000</v>
      </c>
      <c r="F13">
        <v>1.8587288370802111</v>
      </c>
    </row>
    <row r="14" spans="1:6" x14ac:dyDescent="0.25">
      <c r="A14" s="73" t="s">
        <v>45</v>
      </c>
      <c r="B14">
        <v>308459000</v>
      </c>
      <c r="C14">
        <v>-33499000</v>
      </c>
      <c r="D14">
        <v>95414933</v>
      </c>
      <c r="E14">
        <v>2834987000</v>
      </c>
      <c r="F14">
        <v>1.2348460256659961</v>
      </c>
    </row>
    <row r="15" spans="1:6" x14ac:dyDescent="0.25">
      <c r="A15" s="73" t="s">
        <v>46</v>
      </c>
      <c r="B15">
        <v>238265000</v>
      </c>
      <c r="C15">
        <v>-16583000</v>
      </c>
      <c r="D15">
        <v>86532345</v>
      </c>
      <c r="E15">
        <v>1164929000</v>
      </c>
      <c r="F15">
        <v>0.45277910235098551</v>
      </c>
    </row>
    <row r="16" spans="1:6" x14ac:dyDescent="0.25">
      <c r="A16" s="73" t="s">
        <v>47</v>
      </c>
      <c r="B16">
        <v>202102000</v>
      </c>
      <c r="C16">
        <v>-38217000</v>
      </c>
      <c r="D16">
        <v>82215926</v>
      </c>
      <c r="E16">
        <v>1736244000</v>
      </c>
      <c r="F16">
        <v>1.2354402134368181</v>
      </c>
    </row>
    <row r="17" spans="1:6" x14ac:dyDescent="0.25">
      <c r="A17" s="73" t="s">
        <v>48</v>
      </c>
      <c r="B17">
        <v>183594000</v>
      </c>
      <c r="C17">
        <v>-34924000</v>
      </c>
      <c r="D17">
        <v>81113439</v>
      </c>
      <c r="E17">
        <v>1734272000</v>
      </c>
      <c r="F17">
        <v>1.02253868986694</v>
      </c>
    </row>
    <row r="18" spans="1:6" x14ac:dyDescent="0.25">
      <c r="A18" s="73" t="s">
        <v>49</v>
      </c>
      <c r="B18">
        <v>168629000</v>
      </c>
      <c r="C18">
        <v>-20529000</v>
      </c>
      <c r="D18">
        <v>79816921</v>
      </c>
      <c r="E18">
        <v>700324000</v>
      </c>
      <c r="F18">
        <v>1.627003979533826</v>
      </c>
    </row>
    <row r="19" spans="1:6" x14ac:dyDescent="0.25">
      <c r="A19" s="73" t="s">
        <v>50</v>
      </c>
      <c r="B19">
        <v>157600000</v>
      </c>
      <c r="C19">
        <v>-16506000</v>
      </c>
      <c r="D19">
        <v>73772145</v>
      </c>
      <c r="E19">
        <v>697617000</v>
      </c>
      <c r="F19">
        <v>6.3098409291756088</v>
      </c>
    </row>
    <row r="20" spans="1:6" x14ac:dyDescent="0.25">
      <c r="A20" s="73" t="s">
        <v>51</v>
      </c>
      <c r="B20">
        <v>147174000</v>
      </c>
      <c r="C20">
        <v>-12148000</v>
      </c>
      <c r="D20">
        <v>72018911</v>
      </c>
      <c r="E20">
        <v>382423000</v>
      </c>
      <c r="F20">
        <v>2.6494476703016572</v>
      </c>
    </row>
    <row r="21" spans="1:6" x14ac:dyDescent="0.25">
      <c r="A21" s="73" t="s">
        <v>52</v>
      </c>
      <c r="B21">
        <v>134188000</v>
      </c>
      <c r="C21">
        <v>-11126000</v>
      </c>
      <c r="D21">
        <v>22195026</v>
      </c>
      <c r="E21">
        <v>383029000</v>
      </c>
      <c r="F21">
        <v>0.87891841993922837</v>
      </c>
    </row>
    <row r="22" spans="1:6" x14ac:dyDescent="0.25">
      <c r="A22" s="73" t="s">
        <v>53</v>
      </c>
      <c r="B22">
        <v>121107000</v>
      </c>
      <c r="C22">
        <v>-9279000</v>
      </c>
      <c r="D22">
        <v>69554392</v>
      </c>
      <c r="E22">
        <v>157642000</v>
      </c>
    </row>
    <row r="23" spans="1:6" x14ac:dyDescent="0.25">
      <c r="A23" s="73" t="s">
        <v>54</v>
      </c>
      <c r="B23">
        <v>108351000</v>
      </c>
      <c r="C23">
        <v>-8248000</v>
      </c>
      <c r="D23">
        <v>60665000</v>
      </c>
      <c r="E23">
        <v>162275000</v>
      </c>
    </row>
    <row r="24" spans="1:6" x14ac:dyDescent="0.25">
      <c r="A24" s="73" t="s">
        <v>55</v>
      </c>
      <c r="D24">
        <v>86481598</v>
      </c>
    </row>
    <row r="25" spans="1:6" x14ac:dyDescent="0.25">
      <c r="A25" s="73" t="s">
        <v>56</v>
      </c>
      <c r="D25">
        <v>86481598</v>
      </c>
    </row>
    <row r="26" spans="1:6" x14ac:dyDescent="0.25">
      <c r="A26" s="73" t="s">
        <v>57</v>
      </c>
      <c r="D26">
        <v>60363188</v>
      </c>
      <c r="E26">
        <v>92268000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58</v>
      </c>
      <c r="B1" s="27" t="s">
        <v>59</v>
      </c>
      <c r="C1" t="s">
        <v>60</v>
      </c>
      <c r="D1" t="s">
        <v>61</v>
      </c>
      <c r="F1" s="27" t="s">
        <v>59</v>
      </c>
      <c r="G1" t="s">
        <v>60</v>
      </c>
      <c r="H1" t="s">
        <v>61</v>
      </c>
      <c r="J1" t="s">
        <v>62</v>
      </c>
      <c r="K1" t="s">
        <v>60</v>
      </c>
      <c r="L1" t="s">
        <v>61</v>
      </c>
      <c r="N1" t="s">
        <v>63</v>
      </c>
      <c r="O1" t="s">
        <v>60</v>
      </c>
      <c r="P1" t="s">
        <v>61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68</v>
      </c>
    </row>
    <row r="7" spans="1:46" x14ac:dyDescent="0.25">
      <c r="A7" s="27" t="s">
        <v>69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70</v>
      </c>
    </row>
    <row r="8" spans="1:46" x14ac:dyDescent="0.25">
      <c r="A8" s="27" t="s">
        <v>71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72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73</v>
      </c>
    </row>
    <row r="10" spans="1:46" x14ac:dyDescent="0.25">
      <c r="A10" s="27" t="s">
        <v>74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75</v>
      </c>
    </row>
    <row r="11" spans="1:46" x14ac:dyDescent="0.25">
      <c r="A11" s="27" t="s">
        <v>76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77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78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79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80</v>
      </c>
    </row>
    <row r="15" spans="1:46" x14ac:dyDescent="0.25">
      <c r="A15" s="27" t="s">
        <v>81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82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83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84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85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86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87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88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89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90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91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92</v>
      </c>
      <c r="J26">
        <v>0.61799999999999999</v>
      </c>
      <c r="N26">
        <v>-0.36399999999999999</v>
      </c>
    </row>
    <row r="27" spans="1:17" x14ac:dyDescent="0.25">
      <c r="A27" s="27" t="s">
        <v>93</v>
      </c>
    </row>
    <row r="28" spans="1:17" x14ac:dyDescent="0.25">
      <c r="A28" s="27" t="s">
        <v>94</v>
      </c>
    </row>
    <row r="29" spans="1:17" x14ac:dyDescent="0.25">
      <c r="A29" s="27" t="s">
        <v>95</v>
      </c>
    </row>
    <row r="31" spans="1:17" x14ac:dyDescent="0.25">
      <c r="A31" s="26" t="s">
        <v>96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97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98</v>
      </c>
      <c r="C1" s="73" t="s">
        <v>99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100</v>
      </c>
      <c r="D2">
        <v>0.85908631068654662</v>
      </c>
      <c r="E2">
        <v>0.10023890867675191</v>
      </c>
    </row>
    <row r="3" spans="1:5" x14ac:dyDescent="0.25">
      <c r="A3" s="73">
        <v>1</v>
      </c>
      <c r="B3">
        <v>3</v>
      </c>
      <c r="C3" t="s">
        <v>101</v>
      </c>
      <c r="D3">
        <v>1.9468268945746701</v>
      </c>
      <c r="E3">
        <v>0.17558669942061031</v>
      </c>
    </row>
    <row r="4" spans="1:5" x14ac:dyDescent="0.25">
      <c r="A4" s="73">
        <v>2</v>
      </c>
      <c r="B4">
        <v>3</v>
      </c>
      <c r="C4" t="s">
        <v>102</v>
      </c>
      <c r="D4">
        <v>2.2625508797632392</v>
      </c>
      <c r="E4">
        <v>0.19745690001914951</v>
      </c>
    </row>
    <row r="5" spans="1:5" x14ac:dyDescent="0.25">
      <c r="A5" s="73">
        <v>3</v>
      </c>
      <c r="B5">
        <v>5</v>
      </c>
      <c r="C5" t="s">
        <v>100</v>
      </c>
      <c r="D5">
        <v>1.6353755111437349</v>
      </c>
      <c r="E5">
        <v>0.15401246194777829</v>
      </c>
    </row>
    <row r="6" spans="1:5" x14ac:dyDescent="0.25">
      <c r="A6" s="73">
        <v>4</v>
      </c>
      <c r="B6">
        <v>5</v>
      </c>
      <c r="C6" t="s">
        <v>101</v>
      </c>
      <c r="D6">
        <v>1.618171590178838</v>
      </c>
      <c r="E6">
        <v>0.15282074633466461</v>
      </c>
    </row>
    <row r="7" spans="1:5" x14ac:dyDescent="0.25">
      <c r="A7" s="73">
        <v>5</v>
      </c>
      <c r="B7">
        <v>5</v>
      </c>
      <c r="C7" t="s">
        <v>102</v>
      </c>
      <c r="D7">
        <v>1.5702588304139551</v>
      </c>
      <c r="E7">
        <v>0.1495018294438184</v>
      </c>
    </row>
    <row r="8" spans="1:5" x14ac:dyDescent="0.25">
      <c r="A8" s="73">
        <v>6</v>
      </c>
      <c r="B8" t="s">
        <v>96</v>
      </c>
      <c r="D8">
        <v>1.648711669460164</v>
      </c>
      <c r="E8">
        <v>0.1549362576404622</v>
      </c>
    </row>
    <row r="9" spans="1:5" x14ac:dyDescent="0.25">
      <c r="A9" s="73">
        <v>7</v>
      </c>
      <c r="B9" t="s">
        <v>97</v>
      </c>
      <c r="D9">
        <v>1.6267735506612859</v>
      </c>
      <c r="E9">
        <v>0.15341660414122149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2024-10-18T21:04:46Z</dcterms:modified>
</cp:coreProperties>
</file>