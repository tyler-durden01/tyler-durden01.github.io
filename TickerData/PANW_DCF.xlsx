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5" documentId="11_8F277026B9289FB732BA5E6ADCD540DC62E04334" xr6:coauthVersionLast="47" xr6:coauthVersionMax="47" xr10:uidLastSave="{188657EE-9CE2-47FA-9960-3E5E7D340722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3" l="1"/>
  <c r="L11" i="3"/>
  <c r="M5" i="3"/>
  <c r="O31" i="5"/>
  <c r="K31" i="5"/>
  <c r="G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C31" i="5" s="1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I10" i="3"/>
  <c r="I11" i="3" s="1"/>
  <c r="H10" i="3"/>
  <c r="H11" i="3" s="1"/>
  <c r="G10" i="3"/>
  <c r="N5" i="3"/>
  <c r="O5" i="3" s="1"/>
  <c r="P5" i="3" s="1"/>
  <c r="Q5" i="3" s="1"/>
  <c r="R5" i="3" s="1"/>
  <c r="S5" i="3" s="1"/>
  <c r="T5" i="3" s="1"/>
  <c r="U5" i="3" s="1"/>
  <c r="L5" i="3"/>
  <c r="J4" i="3"/>
  <c r="J5" i="3" s="1"/>
  <c r="I4" i="3"/>
  <c r="I5" i="3" s="1"/>
  <c r="H4" i="3"/>
  <c r="H5" i="3" s="1"/>
  <c r="G4" i="3"/>
  <c r="J3" i="3"/>
  <c r="I3" i="3"/>
  <c r="K1" i="3"/>
  <c r="K10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D1" i="3"/>
  <c r="D10" i="3" s="1"/>
  <c r="J8" i="3" l="1"/>
  <c r="I13" i="3"/>
  <c r="I8" i="3"/>
  <c r="E11" i="3"/>
  <c r="C21" i="3"/>
  <c r="C20" i="3"/>
  <c r="G5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7" i="3"/>
  <c r="F10" i="3"/>
  <c r="F11" i="3" s="1"/>
  <c r="D7" i="3"/>
  <c r="L1" i="3"/>
  <c r="K3" i="3"/>
  <c r="E7" i="3"/>
  <c r="E3" i="3"/>
  <c r="K4" i="3"/>
  <c r="G7" i="3"/>
  <c r="J10" i="3"/>
  <c r="J11" i="3" s="1"/>
  <c r="D3" i="3"/>
  <c r="F7" i="3"/>
  <c r="F3" i="3"/>
  <c r="D4" i="3"/>
  <c r="H7" i="3"/>
  <c r="E4" i="3"/>
  <c r="E5" i="3" s="1"/>
  <c r="F8" i="3" l="1"/>
  <c r="F13" i="3"/>
  <c r="D8" i="3"/>
  <c r="D13" i="3"/>
  <c r="G8" i="3"/>
  <c r="G13" i="3"/>
  <c r="K11" i="3"/>
  <c r="H13" i="3"/>
  <c r="H8" i="3"/>
  <c r="G11" i="3"/>
  <c r="K8" i="3"/>
  <c r="K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E13" i="3"/>
  <c r="E8" i="3"/>
  <c r="F5" i="3"/>
  <c r="J13" i="3"/>
  <c r="M1" i="3"/>
  <c r="L3" i="3"/>
  <c r="N11" i="3" l="1"/>
  <c r="O11" i="3" s="1"/>
  <c r="P11" i="3" s="1"/>
  <c r="Q11" i="3" s="1"/>
  <c r="R11" i="3" s="1"/>
  <c r="S11" i="3" s="1"/>
  <c r="T11" i="3" s="1"/>
  <c r="U11" i="3" s="1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L8" i="3"/>
  <c r="M3" i="3"/>
  <c r="N1" i="3"/>
  <c r="N3" i="3" l="1"/>
  <c r="O1" i="3"/>
  <c r="M8" i="3"/>
  <c r="L7" i="3"/>
  <c r="L13" i="3" s="1"/>
  <c r="L14" i="3" s="1"/>
  <c r="O3" i="3" l="1"/>
  <c r="P1" i="3"/>
  <c r="N8" i="3"/>
  <c r="M7" i="3"/>
  <c r="M13" i="3" s="1"/>
  <c r="M14" i="3" s="1"/>
  <c r="P3" i="3" l="1"/>
  <c r="Q1" i="3"/>
  <c r="O8" i="3"/>
  <c r="N7" i="3"/>
  <c r="N13" i="3" s="1"/>
  <c r="N14" i="3" s="1"/>
  <c r="R1" i="3" l="1"/>
  <c r="Q3" i="3"/>
  <c r="O7" i="3"/>
  <c r="O13" i="3" s="1"/>
  <c r="O14" i="3" s="1"/>
  <c r="P8" i="3"/>
  <c r="P7" i="3" l="1"/>
  <c r="P13" i="3" s="1"/>
  <c r="P14" i="3" s="1"/>
  <c r="Q8" i="3"/>
  <c r="R3" i="3"/>
  <c r="S1" i="3"/>
  <c r="T1" i="3" l="1"/>
  <c r="S3" i="3"/>
  <c r="Q7" i="3"/>
  <c r="Q13" i="3" s="1"/>
  <c r="Q14" i="3" s="1"/>
  <c r="R8" i="3"/>
  <c r="R7" i="3" l="1"/>
  <c r="R13" i="3" s="1"/>
  <c r="R14" i="3" s="1"/>
  <c r="S8" i="3"/>
  <c r="T3" i="3"/>
  <c r="U1" i="3"/>
  <c r="U3" i="3" s="1"/>
  <c r="T8" i="3" l="1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<sst xmlns="http://schemas.openxmlformats.org/spreadsheetml/2006/main" count="151" uniqueCount="106">
  <si>
    <t>This sheet contains FactSet XML data for use with this workbook's =FDS codes.  Modifying the worksheet's contents may damage the workbook's =FDS functionality.</t>
  </si>
  <si>
    <t>PANW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</si>
  <si>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</si>
  <si>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</si>
  <si>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</si>
  <si>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</si>
  <si>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</si>
  <si>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</si>
  <si>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</si>
  <si>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</si>
  <si>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</si>
  <si>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</si>
  <si>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</si>
  <si>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</si>
  <si>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</si>
  <si>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</si>
  <si>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</si>
  <si>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</si>
  <si>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</si>
  <si>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</si>
  <si>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</si>
  <si>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</si>
  <si>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</si>
  <si>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</si>
  <si>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</si>
  <si>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</si>
  <si>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</si>
  <si>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</si>
  <si>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</si>
  <si>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</si>
  <si>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</si>
  <si>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</si>
  <si>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</si>
  <si>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</si>
  <si>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</si>
  <si>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</si>
  <si>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</si>
  <si>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</si>
  <si>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</si>
  <si>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</si>
  <si>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</si>
  <si>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</si>
  <si>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</si>
  <si>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</si>
  <si>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</si>
  <si>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</si>
  <si>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</si>
  <si>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</si>
  <si>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</si>
  <si>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</si>
  <si>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</si>
  <si>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</si>
  <si>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</si>
  <si>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</si>
  <si>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</si>
  <si>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</si>
  <si>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</si>
  <si>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</si>
  <si>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</si>
  <si>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</si>
  <si>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</si>
  <si>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2017-10-31</t>
  </si>
  <si>
    <t>2017-07-31</t>
  </si>
  <si>
    <t>2017-04-30</t>
  </si>
  <si>
    <t>2017-01-31</t>
  </si>
  <si>
    <t>2016-10-31</t>
  </si>
  <si>
    <t>2016-07-31</t>
  </si>
  <si>
    <t>2016-04-30</t>
  </si>
  <si>
    <t>2016-01-31</t>
  </si>
  <si>
    <t>2015-10-31</t>
  </si>
  <si>
    <t>2015-07-31</t>
  </si>
  <si>
    <t>2015-04-30</t>
  </si>
  <si>
    <t>2015-01-31</t>
  </si>
  <si>
    <t>2014-10-31</t>
  </si>
  <si>
    <t>2014-07-31</t>
  </si>
  <si>
    <t>2014-04-30</t>
  </si>
  <si>
    <t>2014-01-31</t>
  </si>
  <si>
    <t>2013-10-31</t>
  </si>
  <si>
    <t>2013-07-31</t>
  </si>
  <si>
    <t>2013-04-30</t>
  </si>
  <si>
    <t>2013-01-31</t>
  </si>
  <si>
    <t>2012-10-31</t>
  </si>
  <si>
    <t>2012-07-31</t>
  </si>
  <si>
    <t>2012-04-30</t>
  </si>
  <si>
    <t>2012-01-31</t>
  </si>
  <si>
    <t>2011-10-31</t>
  </si>
  <si>
    <t>2011-07-31</t>
  </si>
  <si>
    <t>2011-04-30</t>
  </si>
  <si>
    <t>date</t>
  </si>
  <si>
    <t>revenue</t>
  </si>
  <si>
    <t>Deriv1</t>
  </si>
  <si>
    <t>Static1</t>
  </si>
  <si>
    <t>grossProfit_margin</t>
  </si>
  <si>
    <t>FCF_margin</t>
  </si>
  <si>
    <t># Get a mathematical function written to get the first derivative. Maybe start with a graph, and go from there?</t>
  </si>
  <si>
    <t>calculus functions in python/r, to start, do a static program maybe, just to get a foundation going. Might be a little bit of a detour for now</t>
  </si>
  <si>
    <t>I am leaving off by trying to determine a systematic way to project revenue growth. Keep it as simple as can be, for now</t>
  </si>
  <si>
    <t>Current figures are quarterly. I need annual</t>
  </si>
  <si>
    <t>add more to show the return, and also the market cap valuations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</si>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</sst>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3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14821200000</v>
      </c>
    </row>
    <row r="3" spans="1:2" x14ac:dyDescent="0.25">
      <c r="A3" s="72" t="s">
        <v>3</v>
      </c>
      <c r="B3">
        <v>380500000</v>
      </c>
    </row>
    <row r="4" spans="1:2" x14ac:dyDescent="0.25">
      <c r="A4" s="72" t="s">
        <v>4</v>
      </c>
      <c r="B4">
        <v>6.8556088068898416E-2</v>
      </c>
    </row>
    <row r="5" spans="1:2" x14ac:dyDescent="0.25">
      <c r="A5" s="72" t="s">
        <v>5</v>
      </c>
      <c r="B5">
        <v>0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5169700000</v>
      </c>
    </row>
    <row r="8" spans="1:2" x14ac:dyDescent="0.25">
      <c r="A8" s="72" t="s">
        <v>8</v>
      </c>
      <c r="B8">
        <v>0.93144391193110154</v>
      </c>
    </row>
    <row r="9" spans="1:2" x14ac:dyDescent="0.25">
      <c r="A9" s="72" t="s">
        <v>9</v>
      </c>
      <c r="B9">
        <v>0.11659997773804311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1.0952790196972411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0.1086063393954023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L10" sqref="L10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2017-07-31</v>
      </c>
      <c r="E1" s="65" t="str">
        <f>Python!A27</f>
        <v>2018-07-31</v>
      </c>
      <c r="F1" s="65" t="str">
        <f>Python!A23</f>
        <v>2019-07-31</v>
      </c>
      <c r="G1" s="65" t="str">
        <f>Python!A19</f>
        <v>2020-07-31</v>
      </c>
      <c r="H1" s="65" t="str">
        <f>Python!A15</f>
        <v>2021-07-31</v>
      </c>
      <c r="I1" s="65" t="str">
        <f>Python!A11</f>
        <v>2022-07-31</v>
      </c>
      <c r="J1" s="65" t="str">
        <f>Python!A7</f>
        <v>2023-07-31</v>
      </c>
      <c r="K1" s="65" t="str">
        <f>Python!A3</f>
        <v>2024-07-31</v>
      </c>
      <c r="L1" s="28">
        <f t="shared" ref="L1:U1" si="0">EDATE(K1, 12)</f>
        <v>45869</v>
      </c>
      <c r="M1" s="28">
        <f t="shared" si="0"/>
        <v>46234</v>
      </c>
      <c r="N1" s="28">
        <f t="shared" si="0"/>
        <v>46599</v>
      </c>
      <c r="O1" s="28">
        <f t="shared" si="0"/>
        <v>46965</v>
      </c>
      <c r="P1" s="28">
        <f t="shared" si="0"/>
        <v>47330</v>
      </c>
      <c r="Q1" s="28">
        <f t="shared" si="0"/>
        <v>47695</v>
      </c>
      <c r="R1" s="28">
        <f t="shared" si="0"/>
        <v>48060</v>
      </c>
      <c r="S1" s="28">
        <f t="shared" si="0"/>
        <v>48426</v>
      </c>
      <c r="T1" s="28">
        <f t="shared" si="0"/>
        <v>48791</v>
      </c>
      <c r="U1" s="28">
        <f t="shared" si="0"/>
        <v>49156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1761.6</v>
      </c>
      <c r="E4" s="36">
        <f>IFERROR(INDEX(Python!$1:$1048576,MATCH(DCF_Simple!E$1,Python!$A:$A,0),MATCH(DCF_Simple!$B4,Python!$1:$1,0))/1000000,0)</f>
        <v>2273.1</v>
      </c>
      <c r="F4" s="36">
        <f>IFERROR(INDEX(Python!$1:$1048576,MATCH(DCF_Simple!F$1,Python!$A:$A,0),MATCH(DCF_Simple!$B4,Python!$1:$1,0))/1000000,0)</f>
        <v>2899.6</v>
      </c>
      <c r="G4" s="36">
        <f>IFERROR(INDEX(Python!$1:$1048576,MATCH(DCF_Simple!G$1,Python!$A:$A,0),MATCH(DCF_Simple!$B4,Python!$1:$1,0))/1000000,0)</f>
        <v>3408.4</v>
      </c>
      <c r="H4" s="36">
        <f>IFERROR(INDEX(Python!$1:$1048576,MATCH(DCF_Simple!H$1,Python!$A:$A,0),MATCH(DCF_Simple!$B4,Python!$1:$1,0))/1000000,0)</f>
        <v>4256.1000000000004</v>
      </c>
      <c r="I4" s="36">
        <f>IFERROR(INDEX(Python!$1:$1048576,MATCH(DCF_Simple!I$1,Python!$A:$A,0),MATCH(DCF_Simple!$B4,Python!$1:$1,0))/1000000,0)</f>
        <v>5501.5</v>
      </c>
      <c r="J4" s="36">
        <f>IFERROR(INDEX(Python!$1:$1048576,MATCH(DCF_Simple!J$1,Python!$A:$A,0),MATCH(DCF_Simple!$B4,Python!$1:$1,0))/1000000,0)</f>
        <v>6892.7</v>
      </c>
      <c r="K4" s="54">
        <f>IFERROR(INDEX(Python!$1:$1048576,MATCH(DCF_Simple!K$1,Python!$A:$A,0),MATCH(DCF_Simple!$B4,Python!$1:$1,0))/1000000,0)</f>
        <v>8027.5</v>
      </c>
      <c r="L4" s="37">
        <f t="shared" ref="L4:U4" si="2">K4*(1+L5)</f>
        <v>9061.2313641446126</v>
      </c>
      <c r="M4" s="36">
        <f t="shared" si="2"/>
        <v>10228.080203619813</v>
      </c>
      <c r="N4" s="36">
        <f t="shared" si="2"/>
        <v>11545.188556340887</v>
      </c>
      <c r="O4" s="36">
        <f t="shared" si="2"/>
        <v>13031.905904911804</v>
      </c>
      <c r="P4" s="36">
        <f t="shared" si="2"/>
        <v>14710.073437579349</v>
      </c>
      <c r="Q4" s="36">
        <f t="shared" si="2"/>
        <v>16604.344914539342</v>
      </c>
      <c r="R4" s="36">
        <f t="shared" si="2"/>
        <v>18742.548853403801</v>
      </c>
      <c r="S4" s="36">
        <f t="shared" si="2"/>
        <v>21156.097354652778</v>
      </c>
      <c r="T4" s="36">
        <f t="shared" si="2"/>
        <v>23880.447573077126</v>
      </c>
      <c r="U4" s="36">
        <f t="shared" si="2"/>
        <v>26955.622614634391</v>
      </c>
      <c r="V4" s="19">
        <f>U4</f>
        <v>26955.622614634391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0.29036103542234337</v>
      </c>
      <c r="F5" s="42">
        <f t="shared" si="3"/>
        <v>0.27561479917293563</v>
      </c>
      <c r="G5" s="42">
        <f t="shared" si="3"/>
        <v>0.17547247896261564</v>
      </c>
      <c r="H5" s="42">
        <f t="shared" si="3"/>
        <v>0.24870907170519896</v>
      </c>
      <c r="I5" s="42">
        <f t="shared" si="3"/>
        <v>0.29261530509151568</v>
      </c>
      <c r="J5" s="42">
        <f t="shared" si="3"/>
        <v>0.25287648823048259</v>
      </c>
      <c r="K5" s="57">
        <f t="shared" si="3"/>
        <v>0.16463795029523998</v>
      </c>
      <c r="L5" s="38">
        <f>Python!F2</f>
        <v>0.12877376071561669</v>
      </c>
      <c r="M5" s="38">
        <f>L5</f>
        <v>0.12877376071561669</v>
      </c>
      <c r="N5" s="38">
        <f t="shared" ref="N5:U5" si="4">M5</f>
        <v>0.12877376071561669</v>
      </c>
      <c r="O5" s="38">
        <f t="shared" si="4"/>
        <v>0.12877376071561669</v>
      </c>
      <c r="P5" s="38">
        <f t="shared" si="4"/>
        <v>0.12877376071561669</v>
      </c>
      <c r="Q5" s="38">
        <f t="shared" si="4"/>
        <v>0.12877376071561669</v>
      </c>
      <c r="R5" s="38">
        <f t="shared" si="4"/>
        <v>0.12877376071561669</v>
      </c>
      <c r="S5" s="38">
        <f t="shared" si="4"/>
        <v>0.12877376071561669</v>
      </c>
      <c r="T5" s="38">
        <f t="shared" si="4"/>
        <v>0.12877376071561669</v>
      </c>
      <c r="U5" s="38">
        <f t="shared" si="4"/>
        <v>0.12877376071561669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705.1</v>
      </c>
      <c r="E7" s="51">
        <f>IFERROR(INDEX(Python!$1:$1048576,MATCH(DCF_Simple!E$1,Python!$A:$A,0),MATCH(DCF_Simple!$B7,Python!$1:$1,0))/1000000,0)</f>
        <v>925</v>
      </c>
      <c r="F7" s="51">
        <f>IFERROR(INDEX(Python!$1:$1048576,MATCH(DCF_Simple!F$1,Python!$A:$A,0),MATCH(DCF_Simple!$B7,Python!$1:$1,0))/1000000,0)</f>
        <v>924.4</v>
      </c>
      <c r="G7" s="51">
        <f>IFERROR(INDEX(Python!$1:$1048576,MATCH(DCF_Simple!G$1,Python!$A:$A,0),MATCH(DCF_Simple!$B7,Python!$1:$1,0))/1000000,0)</f>
        <v>821.3</v>
      </c>
      <c r="H7" s="51">
        <f>IFERROR(INDEX(Python!$1:$1048576,MATCH(DCF_Simple!H$1,Python!$A:$A,0),MATCH(DCF_Simple!$B7,Python!$1:$1,0))/1000000,0)</f>
        <v>1387</v>
      </c>
      <c r="I7" s="51">
        <f>IFERROR(INDEX(Python!$1:$1048576,MATCH(DCF_Simple!I$1,Python!$A:$A,0),MATCH(DCF_Simple!$B7,Python!$1:$1,0))/1000000,0)</f>
        <v>1791.9</v>
      </c>
      <c r="J7" s="51">
        <f>IFERROR(INDEX(Python!$1:$1048576,MATCH(DCF_Simple!J$1,Python!$A:$A,0),MATCH(DCF_Simple!$B7,Python!$1:$1,0))/1000000,0)</f>
        <v>2631.2</v>
      </c>
      <c r="K7" s="56">
        <f>IFERROR(INDEX(Python!$1:$1048576,MATCH(DCF_Simple!K$1,Python!$A:$A,0),MATCH(DCF_Simple!$B7,Python!$1:$1,0))/1000000,0)</f>
        <v>3100.8</v>
      </c>
      <c r="L7" s="63">
        <f t="shared" ref="L7:U7" si="5">L8*L4</f>
        <v>3156.2151809519842</v>
      </c>
      <c r="M7" s="63">
        <f t="shared" si="5"/>
        <v>3562.652879430892</v>
      </c>
      <c r="N7" s="63">
        <f t="shared" si="5"/>
        <v>4021.4290888395285</v>
      </c>
      <c r="O7" s="63">
        <f t="shared" si="5"/>
        <v>4539.2836360605706</v>
      </c>
      <c r="P7" s="63">
        <f t="shared" si="5"/>
        <v>5123.8242608309483</v>
      </c>
      <c r="Q7" s="63">
        <f t="shared" si="5"/>
        <v>5783.6383801440652</v>
      </c>
      <c r="R7" s="63">
        <f t="shared" si="5"/>
        <v>6528.419244974395</v>
      </c>
      <c r="S7" s="63">
        <f t="shared" si="5"/>
        <v>7369.1083426779551</v>
      </c>
      <c r="T7" s="63">
        <f t="shared" si="5"/>
        <v>8318.0561370854193</v>
      </c>
      <c r="U7" s="63">
        <f t="shared" si="5"/>
        <v>9389.2035077015262</v>
      </c>
      <c r="V7" s="64">
        <f>U7</f>
        <v>9389.2035077015262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0.40026112624886473</v>
      </c>
      <c r="E8" s="42">
        <f t="shared" si="6"/>
        <v>0.40693326294487708</v>
      </c>
      <c r="F8" s="42">
        <f t="shared" si="6"/>
        <v>0.31880259346116707</v>
      </c>
      <c r="G8" s="42">
        <f t="shared" si="6"/>
        <v>0.24096350193639243</v>
      </c>
      <c r="H8" s="42">
        <f t="shared" si="6"/>
        <v>0.32588520006578792</v>
      </c>
      <c r="I8" s="42">
        <f t="shared" si="6"/>
        <v>0.32571116968099612</v>
      </c>
      <c r="J8" s="42">
        <f t="shared" si="6"/>
        <v>0.3817372002263264</v>
      </c>
      <c r="K8" s="57">
        <f t="shared" si="6"/>
        <v>0.38627218934911245</v>
      </c>
      <c r="L8" s="38">
        <f>AVERAGE(D8:K8)</f>
        <v>0.34832078048919052</v>
      </c>
      <c r="M8" s="38">
        <f t="shared" ref="M8:U8" si="7">L8</f>
        <v>0.34832078048919052</v>
      </c>
      <c r="N8" s="38">
        <f t="shared" si="7"/>
        <v>0.34832078048919052</v>
      </c>
      <c r="O8" s="38">
        <f t="shared" si="7"/>
        <v>0.34832078048919052</v>
      </c>
      <c r="P8" s="38">
        <f t="shared" si="7"/>
        <v>0.34832078048919052</v>
      </c>
      <c r="Q8" s="38">
        <f t="shared" si="7"/>
        <v>0.34832078048919052</v>
      </c>
      <c r="R8" s="38">
        <f t="shared" si="7"/>
        <v>0.34832078048919052</v>
      </c>
      <c r="S8" s="38">
        <f t="shared" si="7"/>
        <v>0.34832078048919052</v>
      </c>
      <c r="T8" s="38">
        <f t="shared" si="7"/>
        <v>0.34832078048919052</v>
      </c>
      <c r="U8" s="38">
        <f t="shared" si="7"/>
        <v>0.34832078048919052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272.7</v>
      </c>
      <c r="E10" s="17">
        <f>IFERROR(INDEX(Python!$1:$1048576,MATCH(DCF_Simple!E$1,Python!$A:$A,0),MATCH(DCF_Simple!$B10,Python!$1:$1,0))/1000000,0)</f>
        <v>278.39999999999998</v>
      </c>
      <c r="F10" s="17">
        <f>IFERROR(INDEX(Python!$1:$1048576,MATCH(DCF_Simple!F$1,Python!$A:$A,0),MATCH(DCF_Simple!$B10,Python!$1:$1,0))/1000000,0)</f>
        <v>287.39999999999998</v>
      </c>
      <c r="G10" s="17">
        <f>IFERROR(INDEX(Python!$1:$1048576,MATCH(DCF_Simple!G$1,Python!$A:$A,0),MATCH(DCF_Simple!$B10,Python!$1:$1,0))/1000000,0)</f>
        <v>288</v>
      </c>
      <c r="H10" s="17">
        <f>IFERROR(INDEX(Python!$1:$1048576,MATCH(DCF_Simple!H$1,Python!$A:$A,0),MATCH(DCF_Simple!$B10,Python!$1:$1,0))/1000000,0)</f>
        <v>291.60000000000002</v>
      </c>
      <c r="I10" s="17">
        <f>IFERROR(INDEX(Python!$1:$1048576,MATCH(DCF_Simple!I$1,Python!$A:$A,0),MATCH(DCF_Simple!$B10,Python!$1:$1,0))/1000000,0)</f>
        <v>336.3</v>
      </c>
      <c r="J10" s="17">
        <f>IFERROR(INDEX(Python!$1:$1048576,MATCH(DCF_Simple!J$1,Python!$A:$A,0),MATCH(DCF_Simple!$B10,Python!$1:$1,0))/1000000,0)</f>
        <v>354.5</v>
      </c>
      <c r="K10" s="68">
        <f>IFERROR(INDEX(Python!$1:$1048576,MATCH(DCF_Simple!K$1,Python!$A:$A,0),MATCH(DCF_Simple!$B10,Python!$1:$1,0))/1000000,0)</f>
        <v>353.9</v>
      </c>
      <c r="L10" s="17">
        <f t="shared" ref="L10:U10" si="8">K10*(1+L11)</f>
        <v>367.72916638270505</v>
      </c>
      <c r="M10" s="17">
        <f t="shared" si="8"/>
        <v>374.91394714800578</v>
      </c>
      <c r="N10" s="17">
        <f t="shared" si="8"/>
        <v>382.23910588537007</v>
      </c>
      <c r="O10" s="17">
        <f t="shared" si="8"/>
        <v>389.70738533332883</v>
      </c>
      <c r="P10" s="17">
        <f t="shared" si="8"/>
        <v>397.32158181869693</v>
      </c>
      <c r="Q10" s="17">
        <f t="shared" si="8"/>
        <v>405.08454630359427</v>
      </c>
      <c r="R10" s="17">
        <f t="shared" si="8"/>
        <v>412.99918545292314</v>
      </c>
      <c r="S10" s="17">
        <f t="shared" si="8"/>
        <v>421.06846272270292</v>
      </c>
      <c r="T10" s="17">
        <f t="shared" si="8"/>
        <v>429.29539946966833</v>
      </c>
      <c r="U10" s="17">
        <f t="shared" si="8"/>
        <v>437.68307608254747</v>
      </c>
      <c r="V10" s="69">
        <f>U10</f>
        <v>437.68307608254747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2.0902090209020896E-2</v>
      </c>
      <c r="F11" s="42">
        <f t="shared" si="9"/>
        <v>3.2327586206896575E-2</v>
      </c>
      <c r="G11" s="42">
        <f t="shared" si="9"/>
        <v>2.0876826722338038E-3</v>
      </c>
      <c r="H11" s="42">
        <f t="shared" si="9"/>
        <v>1.2500000000000178E-2</v>
      </c>
      <c r="I11" s="42">
        <f t="shared" si="9"/>
        <v>0.15329218106995879</v>
      </c>
      <c r="J11" s="42">
        <f t="shared" si="9"/>
        <v>5.4118346714243204E-2</v>
      </c>
      <c r="K11" s="57">
        <f t="shared" si="9"/>
        <v>-1.692524682651686E-3</v>
      </c>
      <c r="L11" s="66">
        <f>AVERAGE(E11:K11)</f>
        <v>3.9076480312814535E-2</v>
      </c>
      <c r="M11" s="66">
        <f>L11/2</f>
        <v>1.9538240156407267E-2</v>
      </c>
      <c r="N11" s="66">
        <f t="shared" ref="L11:U11" si="10">M11</f>
        <v>1.9538240156407267E-2</v>
      </c>
      <c r="O11" s="66">
        <f t="shared" si="10"/>
        <v>1.9538240156407267E-2</v>
      </c>
      <c r="P11" s="66">
        <f t="shared" si="10"/>
        <v>1.9538240156407267E-2</v>
      </c>
      <c r="Q11" s="66">
        <f t="shared" si="10"/>
        <v>1.9538240156407267E-2</v>
      </c>
      <c r="R11" s="66">
        <f t="shared" si="10"/>
        <v>1.9538240156407267E-2</v>
      </c>
      <c r="S11" s="66">
        <f t="shared" si="10"/>
        <v>1.9538240156407267E-2</v>
      </c>
      <c r="T11" s="66">
        <f t="shared" si="10"/>
        <v>1.9538240156407267E-2</v>
      </c>
      <c r="U11" s="66">
        <f t="shared" si="10"/>
        <v>1.9538240156407267E-2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2.5856252291895858</v>
      </c>
      <c r="E13" s="52">
        <f t="shared" si="11"/>
        <v>3.3225574712643682</v>
      </c>
      <c r="F13" s="52">
        <f t="shared" si="11"/>
        <v>3.2164231036882396</v>
      </c>
      <c r="G13" s="52">
        <f t="shared" si="11"/>
        <v>2.8517361111111108</v>
      </c>
      <c r="H13" s="52">
        <f t="shared" si="11"/>
        <v>4.756515775034293</v>
      </c>
      <c r="I13" s="52">
        <f t="shared" si="11"/>
        <v>5.3282783229259589</v>
      </c>
      <c r="J13" s="52">
        <f t="shared" si="11"/>
        <v>7.4222849083215792</v>
      </c>
      <c r="K13" s="58">
        <f t="shared" si="11"/>
        <v>8.7617971178298966</v>
      </c>
      <c r="L13" s="52">
        <f t="shared" ref="L13:U13" si="12">L7/L10</f>
        <v>8.5829884314023417</v>
      </c>
      <c r="M13" s="52">
        <f t="shared" si="12"/>
        <v>9.5025882780094442</v>
      </c>
      <c r="N13" s="52">
        <f t="shared" si="12"/>
        <v>10.520716030676143</v>
      </c>
      <c r="O13" s="52">
        <f t="shared" si="12"/>
        <v>11.647928181237777</v>
      </c>
      <c r="P13" s="52">
        <f t="shared" si="12"/>
        <v>12.895912266776932</v>
      </c>
      <c r="Q13" s="52">
        <f t="shared" si="12"/>
        <v>14.277608052244643</v>
      </c>
      <c r="R13" s="52">
        <f t="shared" si="12"/>
        <v>15.807341696848347</v>
      </c>
      <c r="S13" s="52">
        <f t="shared" si="12"/>
        <v>17.500974295315306</v>
      </c>
      <c r="T13" s="52">
        <f t="shared" si="12"/>
        <v>19.376066334186579</v>
      </c>
      <c r="U13" s="52">
        <f t="shared" si="12"/>
        <v>21.452059768312157</v>
      </c>
      <c r="V13" s="70">
        <f>U13*(1+WACC!$B$13)/(WACC!$B$14-WACC!$B$13)</f>
        <v>246.94735289802287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7.742142658216463</v>
      </c>
      <c r="M14" s="61">
        <f>M13/((1+WACC!$B$14)^(M3-$K$3))</f>
        <v>7.7319172505384293</v>
      </c>
      <c r="N14" s="61">
        <f>N13/((1+WACC!$B$14)^(N3-$K$3))</f>
        <v>7.7217053480316133</v>
      </c>
      <c r="O14" s="61">
        <f>O13/((1+WACC!$B$14)^(O3-$K$3))</f>
        <v>7.7115069328591046</v>
      </c>
      <c r="P14" s="61">
        <f>P13/((1+WACC!$B$14)^(P3-$K$3))</f>
        <v>7.7013219872075549</v>
      </c>
      <c r="Q14" s="61">
        <f>Q13/((1+WACC!$B$14)^(Q3-$K$3))</f>
        <v>7.6911504932871457</v>
      </c>
      <c r="R14" s="61">
        <f>R13/((1+WACC!$B$14)^(R3-$K$3))</f>
        <v>7.6809924333315482</v>
      </c>
      <c r="S14" s="61">
        <f>S13/((1+WACC!$B$14)^(S3-$K$3))</f>
        <v>7.6708477895978966</v>
      </c>
      <c r="T14" s="61">
        <f>T13/((1+WACC!$B$14)^(T3-$K$3))</f>
        <v>7.6607165443667657</v>
      </c>
      <c r="U14" s="61">
        <f>U13/((1+WACC!$B$14)^(U3-$K$3))</f>
        <v>7.6505986799421333</v>
      </c>
      <c r="V14" s="62">
        <f>V13/((1+WACC!$B$14)^(U3-$K$3))</f>
        <v>88.070568164628384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88.070568164628384</v>
      </c>
      <c r="L17" s="16">
        <f>C17/$C$19</f>
        <v>0.53365277407934331</v>
      </c>
      <c r="O17" s="18"/>
    </row>
    <row r="18" spans="2:22" x14ac:dyDescent="0.25">
      <c r="B18" s="8" t="s">
        <v>26</v>
      </c>
      <c r="C18" s="32">
        <f>SUM(14:14)-V14</f>
        <v>76.962900117378666</v>
      </c>
      <c r="K18" s="3"/>
      <c r="L18" s="16">
        <f>C18/$C$19</f>
        <v>0.46634722592065664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165.03346828200705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7.3195818027691448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1.0751624752755016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171.27788760950068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6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0.12877376071561669</v>
      </c>
    </row>
    <row r="3" spans="1:6" x14ac:dyDescent="0.25">
      <c r="A3" s="72" t="s">
        <v>34</v>
      </c>
      <c r="B3">
        <v>8027500000</v>
      </c>
      <c r="C3">
        <v>3100800000</v>
      </c>
      <c r="D3">
        <v>353900000</v>
      </c>
      <c r="E3">
        <v>2590400000</v>
      </c>
      <c r="F3">
        <v>0.1070410003583679</v>
      </c>
    </row>
    <row r="4" spans="1:6" x14ac:dyDescent="0.25">
      <c r="A4" s="72" t="s">
        <v>35</v>
      </c>
      <c r="B4">
        <v>7791300000</v>
      </c>
      <c r="C4">
        <v>3012400000</v>
      </c>
      <c r="D4">
        <v>354600000</v>
      </c>
      <c r="E4">
        <v>2898600000</v>
      </c>
      <c r="F4">
        <v>0.1469223958393864</v>
      </c>
    </row>
    <row r="5" spans="1:6" x14ac:dyDescent="0.25">
      <c r="A5" s="72" t="s">
        <v>36</v>
      </c>
      <c r="B5">
        <v>7527400000</v>
      </c>
      <c r="C5">
        <v>2921800000</v>
      </c>
      <c r="D5">
        <v>357500000</v>
      </c>
      <c r="E5">
        <v>3371000000</v>
      </c>
      <c r="F5">
        <v>0.19084943266267909</v>
      </c>
    </row>
    <row r="6" spans="1:6" x14ac:dyDescent="0.25">
      <c r="A6" s="72" t="s">
        <v>37</v>
      </c>
      <c r="B6">
        <v>7207400000</v>
      </c>
      <c r="C6">
        <v>2923300000</v>
      </c>
      <c r="D6">
        <v>349800000</v>
      </c>
      <c r="E6">
        <v>3893800000</v>
      </c>
      <c r="F6">
        <v>0.1785019828578738</v>
      </c>
    </row>
    <row r="7" spans="1:6" x14ac:dyDescent="0.25">
      <c r="A7" s="72" t="s">
        <v>38</v>
      </c>
      <c r="B7">
        <v>6892700000</v>
      </c>
      <c r="C7">
        <v>2631200000</v>
      </c>
      <c r="D7">
        <v>354500000</v>
      </c>
      <c r="E7">
        <v>2390000000</v>
      </c>
      <c r="F7">
        <v>0.26183811673653667</v>
      </c>
    </row>
    <row r="8" spans="1:6" x14ac:dyDescent="0.25">
      <c r="A8" s="72" t="s">
        <v>39</v>
      </c>
      <c r="B8">
        <v>6489900000</v>
      </c>
      <c r="C8">
        <v>2738800000</v>
      </c>
      <c r="D8">
        <v>344700000</v>
      </c>
      <c r="E8">
        <v>3958200000</v>
      </c>
      <c r="F8">
        <v>0.23662652340087981</v>
      </c>
    </row>
    <row r="9" spans="1:6" x14ac:dyDescent="0.25">
      <c r="A9" s="72" t="s">
        <v>40</v>
      </c>
      <c r="B9">
        <v>6155700000</v>
      </c>
      <c r="C9">
        <v>2689100000</v>
      </c>
      <c r="D9">
        <v>331600000</v>
      </c>
      <c r="E9">
        <v>3346900000</v>
      </c>
      <c r="F9">
        <v>0.17671804996582871</v>
      </c>
    </row>
    <row r="10" spans="1:6" x14ac:dyDescent="0.25">
      <c r="A10" s="72" t="s">
        <v>41</v>
      </c>
      <c r="B10">
        <v>5817500000</v>
      </c>
      <c r="C10">
        <v>2434700000</v>
      </c>
      <c r="D10">
        <v>338400000</v>
      </c>
      <c r="E10">
        <v>3803700000</v>
      </c>
    </row>
    <row r="11" spans="1:6" x14ac:dyDescent="0.25">
      <c r="A11" s="72" t="s">
        <v>42</v>
      </c>
      <c r="B11">
        <v>5501500000</v>
      </c>
      <c r="C11">
        <v>1791900000</v>
      </c>
      <c r="D11">
        <v>336300000</v>
      </c>
      <c r="E11">
        <v>3634500000</v>
      </c>
    </row>
    <row r="12" spans="1:6" x14ac:dyDescent="0.25">
      <c r="A12" s="72" t="s">
        <v>43</v>
      </c>
      <c r="B12">
        <v>5170300000</v>
      </c>
      <c r="C12">
        <v>1605800000</v>
      </c>
      <c r="D12">
        <v>296700000</v>
      </c>
      <c r="E12">
        <v>3874600000</v>
      </c>
      <c r="F12">
        <v>0.264819815625291</v>
      </c>
    </row>
    <row r="13" spans="1:6" x14ac:dyDescent="0.25">
      <c r="A13" s="72" t="s">
        <v>44</v>
      </c>
      <c r="B13">
        <v>4857500000</v>
      </c>
      <c r="C13">
        <v>1505500000</v>
      </c>
      <c r="D13">
        <v>294500000</v>
      </c>
      <c r="E13">
        <v>3340300000</v>
      </c>
      <c r="F13">
        <v>0.25819647949650898</v>
      </c>
    </row>
    <row r="14" spans="1:6" x14ac:dyDescent="0.25">
      <c r="A14" s="72" t="s">
        <v>45</v>
      </c>
      <c r="B14">
        <v>4557500000</v>
      </c>
      <c r="C14">
        <v>1436000000</v>
      </c>
      <c r="D14">
        <v>292900000</v>
      </c>
      <c r="E14">
        <v>3461400000</v>
      </c>
      <c r="F14">
        <v>0.35249471458773768</v>
      </c>
    </row>
    <row r="15" spans="1:6" x14ac:dyDescent="0.25">
      <c r="A15" s="72" t="s">
        <v>46</v>
      </c>
      <c r="B15">
        <v>4256100000</v>
      </c>
      <c r="C15">
        <v>1387000000</v>
      </c>
      <c r="D15">
        <v>291600000</v>
      </c>
      <c r="E15">
        <v>2901100000</v>
      </c>
      <c r="F15">
        <v>0.26588804713804709</v>
      </c>
    </row>
    <row r="16" spans="1:6" x14ac:dyDescent="0.25">
      <c r="A16" s="72" t="s">
        <v>47</v>
      </c>
      <c r="B16">
        <v>3987200000</v>
      </c>
      <c r="C16">
        <v>1390500000</v>
      </c>
      <c r="D16">
        <v>290700000</v>
      </c>
      <c r="E16">
        <v>2945400000</v>
      </c>
      <c r="F16">
        <v>0.2157119852772027</v>
      </c>
    </row>
    <row r="17" spans="1:6" x14ac:dyDescent="0.25">
      <c r="A17" s="72" t="s">
        <v>48</v>
      </c>
      <c r="B17">
        <v>3782700000</v>
      </c>
      <c r="C17">
        <v>1223200000</v>
      </c>
      <c r="D17">
        <v>287700000</v>
      </c>
      <c r="E17">
        <v>3171200000</v>
      </c>
      <c r="F17">
        <v>0.1406461785233255</v>
      </c>
    </row>
    <row r="18" spans="1:6" x14ac:dyDescent="0.25">
      <c r="A18" s="72" t="s">
        <v>49</v>
      </c>
      <c r="B18">
        <v>3582500000</v>
      </c>
      <c r="C18">
        <v>1148600000</v>
      </c>
      <c r="D18">
        <v>286500000</v>
      </c>
      <c r="E18">
        <v>3217600000</v>
      </c>
      <c r="F18">
        <v>-4.1677260007773047E-2</v>
      </c>
    </row>
    <row r="19" spans="1:6" x14ac:dyDescent="0.25">
      <c r="A19" s="72" t="s">
        <v>50</v>
      </c>
      <c r="B19">
        <v>3408400000</v>
      </c>
      <c r="C19">
        <v>821300000</v>
      </c>
      <c r="D19">
        <v>288000000</v>
      </c>
      <c r="E19">
        <v>3747800000</v>
      </c>
      <c r="F19">
        <v>0.1077257446016382</v>
      </c>
    </row>
    <row r="20" spans="1:6" x14ac:dyDescent="0.25">
      <c r="A20" s="72" t="s">
        <v>51</v>
      </c>
      <c r="B20">
        <v>3263800000</v>
      </c>
      <c r="C20">
        <v>697800000</v>
      </c>
      <c r="D20">
        <v>290100000</v>
      </c>
      <c r="E20">
        <v>2038800000</v>
      </c>
      <c r="F20">
        <v>-3.8683860445912432E-2</v>
      </c>
    </row>
    <row r="21" spans="1:6" x14ac:dyDescent="0.25">
      <c r="A21" s="72" t="s">
        <v>52</v>
      </c>
      <c r="B21">
        <v>3121000000</v>
      </c>
      <c r="C21">
        <v>890300000</v>
      </c>
      <c r="D21">
        <v>294900000</v>
      </c>
      <c r="E21">
        <v>3133900000</v>
      </c>
      <c r="F21">
        <v>8.0791370922384642E-2</v>
      </c>
    </row>
    <row r="22" spans="1:6" x14ac:dyDescent="0.25">
      <c r="A22" s="72" t="s">
        <v>53</v>
      </c>
      <c r="B22">
        <v>3015500000</v>
      </c>
      <c r="C22">
        <v>884400000</v>
      </c>
      <c r="D22">
        <v>289800000</v>
      </c>
      <c r="E22">
        <v>2861200000</v>
      </c>
      <c r="F22">
        <v>0.1542639359756097</v>
      </c>
    </row>
    <row r="23" spans="1:6" x14ac:dyDescent="0.25">
      <c r="A23" s="72" t="s">
        <v>54</v>
      </c>
      <c r="B23">
        <v>2899600000</v>
      </c>
      <c r="C23">
        <v>924400000</v>
      </c>
      <c r="D23">
        <v>287400000</v>
      </c>
      <c r="E23">
        <v>2803100000</v>
      </c>
      <c r="F23">
        <v>0.1827865613128703</v>
      </c>
    </row>
    <row r="24" spans="1:6" x14ac:dyDescent="0.25">
      <c r="A24" s="72" t="s">
        <v>55</v>
      </c>
      <c r="B24">
        <v>2751900000</v>
      </c>
      <c r="C24">
        <v>998500000</v>
      </c>
      <c r="D24">
        <v>283200000</v>
      </c>
      <c r="E24">
        <v>3048100000</v>
      </c>
      <c r="F24">
        <v>0.222572050784694</v>
      </c>
    </row>
    <row r="25" spans="1:6" x14ac:dyDescent="0.25">
      <c r="A25" s="72" t="s">
        <v>56</v>
      </c>
      <c r="B25">
        <v>2592400000</v>
      </c>
      <c r="C25">
        <v>934900000</v>
      </c>
      <c r="D25">
        <v>282000000</v>
      </c>
      <c r="E25">
        <v>2830000000</v>
      </c>
      <c r="F25">
        <v>5.9387758112094291E-2</v>
      </c>
    </row>
    <row r="26" spans="1:6" x14ac:dyDescent="0.25">
      <c r="A26" s="72" t="s">
        <v>57</v>
      </c>
      <c r="B26">
        <v>2423600000</v>
      </c>
      <c r="C26">
        <v>901100000</v>
      </c>
      <c r="D26">
        <v>281400000</v>
      </c>
      <c r="E26">
        <v>3203800000</v>
      </c>
      <c r="F26">
        <v>0.16462502077151339</v>
      </c>
    </row>
    <row r="27" spans="1:6" x14ac:dyDescent="0.25">
      <c r="A27" s="72" t="s">
        <v>58</v>
      </c>
      <c r="B27">
        <v>2273100000</v>
      </c>
      <c r="C27">
        <v>925000000</v>
      </c>
      <c r="D27">
        <v>278400000</v>
      </c>
      <c r="E27">
        <v>3403400000</v>
      </c>
      <c r="F27">
        <v>0.18230240817128271</v>
      </c>
    </row>
    <row r="28" spans="1:6" x14ac:dyDescent="0.25">
      <c r="A28" s="72" t="s">
        <v>59</v>
      </c>
      <c r="B28">
        <v>2124100000</v>
      </c>
      <c r="C28">
        <v>862800000</v>
      </c>
      <c r="D28">
        <v>275700000</v>
      </c>
      <c r="E28">
        <v>1621200000</v>
      </c>
      <c r="F28">
        <v>0.27488876563223719</v>
      </c>
    </row>
    <row r="29" spans="1:6" x14ac:dyDescent="0.25">
      <c r="A29" s="72" t="s">
        <v>60</v>
      </c>
      <c r="B29">
        <v>1988800000</v>
      </c>
      <c r="C29">
        <v>812900000</v>
      </c>
      <c r="D29">
        <v>273300000</v>
      </c>
      <c r="E29">
        <v>1635700000</v>
      </c>
      <c r="F29">
        <v>5.1478085660198847E-2</v>
      </c>
    </row>
    <row r="30" spans="1:6" x14ac:dyDescent="0.25">
      <c r="A30" s="72" t="s">
        <v>61</v>
      </c>
      <c r="B30">
        <v>1869000000</v>
      </c>
      <c r="C30">
        <v>764600000</v>
      </c>
      <c r="D30">
        <v>272700000</v>
      </c>
      <c r="E30">
        <v>1503200000</v>
      </c>
      <c r="F30">
        <v>0.1753192514443607</v>
      </c>
    </row>
    <row r="31" spans="1:6" x14ac:dyDescent="0.25">
      <c r="A31" s="72" t="s">
        <v>62</v>
      </c>
      <c r="B31">
        <v>1761600000</v>
      </c>
      <c r="C31">
        <v>705100000</v>
      </c>
      <c r="D31">
        <v>272700000</v>
      </c>
      <c r="E31">
        <v>1375000000</v>
      </c>
      <c r="F31">
        <v>7.6797490019960168E-2</v>
      </c>
    </row>
    <row r="32" spans="1:6" x14ac:dyDescent="0.25">
      <c r="A32" s="72" t="s">
        <v>63</v>
      </c>
      <c r="B32">
        <v>1653300000</v>
      </c>
      <c r="C32">
        <v>686000000</v>
      </c>
      <c r="D32">
        <v>273000000</v>
      </c>
      <c r="E32">
        <v>1372000000</v>
      </c>
      <c r="F32">
        <v>0.1258758473105841</v>
      </c>
    </row>
    <row r="33" spans="1:6" x14ac:dyDescent="0.25">
      <c r="A33" s="72" t="s">
        <v>64</v>
      </c>
      <c r="B33">
        <v>1567300000</v>
      </c>
      <c r="C33">
        <v>674200000</v>
      </c>
      <c r="D33">
        <v>272100000</v>
      </c>
      <c r="E33">
        <v>1354400000</v>
      </c>
      <c r="F33">
        <v>0.24258160442187029</v>
      </c>
    </row>
    <row r="34" spans="1:6" x14ac:dyDescent="0.25">
      <c r="A34" s="72" t="s">
        <v>65</v>
      </c>
      <c r="B34">
        <v>1479400000</v>
      </c>
      <c r="C34">
        <v>640800000</v>
      </c>
      <c r="D34">
        <v>269400000</v>
      </c>
      <c r="E34">
        <v>1390000000</v>
      </c>
      <c r="F34">
        <v>0.29079285329744292</v>
      </c>
    </row>
    <row r="35" spans="1:6" x14ac:dyDescent="0.25">
      <c r="A35" s="72" t="s">
        <v>66</v>
      </c>
      <c r="B35">
        <v>1378500000</v>
      </c>
      <c r="C35">
        <v>585600000</v>
      </c>
      <c r="D35">
        <v>266700000</v>
      </c>
      <c r="E35">
        <v>1285600000</v>
      </c>
      <c r="F35">
        <v>0.41186914142997549</v>
      </c>
    </row>
    <row r="36" spans="1:6" x14ac:dyDescent="0.25">
      <c r="A36" s="72" t="s">
        <v>67</v>
      </c>
      <c r="B36">
        <v>1261579000</v>
      </c>
      <c r="C36">
        <v>513759000</v>
      </c>
      <c r="D36">
        <v>263400000</v>
      </c>
      <c r="E36">
        <v>1087500000</v>
      </c>
      <c r="F36">
        <v>0.4766923457971064</v>
      </c>
    </row>
    <row r="37" spans="1:6" x14ac:dyDescent="0.25">
      <c r="A37" s="72" t="s">
        <v>68</v>
      </c>
      <c r="B37">
        <v>1149951000</v>
      </c>
      <c r="C37">
        <v>440357000</v>
      </c>
      <c r="D37">
        <v>259800000</v>
      </c>
      <c r="E37">
        <v>964600000</v>
      </c>
      <c r="F37">
        <v>0.49931083595598552</v>
      </c>
    </row>
    <row r="38" spans="1:6" x14ac:dyDescent="0.25">
      <c r="A38" s="72" t="s">
        <v>69</v>
      </c>
      <c r="B38">
        <v>1032906000</v>
      </c>
      <c r="C38">
        <v>374683000</v>
      </c>
      <c r="D38">
        <v>255300000</v>
      </c>
      <c r="E38">
        <v>761300000</v>
      </c>
      <c r="F38">
        <v>0.41269230449294492</v>
      </c>
    </row>
    <row r="39" spans="1:6" x14ac:dyDescent="0.25">
      <c r="A39" s="72" t="s">
        <v>70</v>
      </c>
      <c r="B39">
        <v>928052000</v>
      </c>
      <c r="C39">
        <v>316476000</v>
      </c>
      <c r="D39">
        <v>251904000</v>
      </c>
      <c r="E39">
        <v>788979000</v>
      </c>
      <c r="F39">
        <v>0.42221129882007058</v>
      </c>
    </row>
    <row r="40" spans="1:6" x14ac:dyDescent="0.25">
      <c r="A40" s="72" t="s">
        <v>71</v>
      </c>
      <c r="B40">
        <v>822404000</v>
      </c>
      <c r="C40">
        <v>186239000</v>
      </c>
      <c r="D40">
        <v>246900000</v>
      </c>
      <c r="E40">
        <v>822973000</v>
      </c>
      <c r="F40">
        <v>0.3513747378898473</v>
      </c>
    </row>
    <row r="41" spans="1:6" x14ac:dyDescent="0.25">
      <c r="A41" s="72" t="s">
        <v>72</v>
      </c>
      <c r="B41">
        <v>738932000</v>
      </c>
      <c r="C41">
        <v>137224000</v>
      </c>
      <c r="D41">
        <v>242400000</v>
      </c>
      <c r="E41">
        <v>675057000</v>
      </c>
      <c r="F41">
        <v>0.38078238863526809</v>
      </c>
    </row>
    <row r="42" spans="1:6" x14ac:dyDescent="0.25">
      <c r="A42" s="72" t="s">
        <v>73</v>
      </c>
      <c r="B42">
        <v>662345000</v>
      </c>
      <c r="C42">
        <v>98091000</v>
      </c>
      <c r="D42">
        <v>238200000</v>
      </c>
      <c r="E42">
        <v>771499000</v>
      </c>
      <c r="F42">
        <v>0.20018723669839281</v>
      </c>
    </row>
    <row r="43" spans="1:6" x14ac:dyDescent="0.25">
      <c r="A43" s="72" t="s">
        <v>74</v>
      </c>
      <c r="B43">
        <v>598179000</v>
      </c>
      <c r="C43">
        <v>52299000</v>
      </c>
      <c r="D43">
        <v>233577000</v>
      </c>
      <c r="E43">
        <v>772502000</v>
      </c>
      <c r="F43">
        <v>0.58562085687591758</v>
      </c>
    </row>
    <row r="44" spans="1:6" x14ac:dyDescent="0.25">
      <c r="A44" s="72" t="s">
        <v>75</v>
      </c>
      <c r="B44">
        <v>532333000</v>
      </c>
      <c r="C44">
        <v>119060000</v>
      </c>
      <c r="D44">
        <v>224901000</v>
      </c>
      <c r="E44">
        <v>367970000</v>
      </c>
      <c r="F44">
        <v>0.35256543158684561</v>
      </c>
    </row>
    <row r="45" spans="1:6" x14ac:dyDescent="0.25">
      <c r="A45" s="72" t="s">
        <v>76</v>
      </c>
      <c r="B45">
        <v>482922000</v>
      </c>
      <c r="C45">
        <v>99524000</v>
      </c>
      <c r="D45">
        <v>218562000</v>
      </c>
      <c r="E45">
        <v>438212000</v>
      </c>
      <c r="F45">
        <v>0.31597217587747028</v>
      </c>
    </row>
    <row r="46" spans="1:6" x14ac:dyDescent="0.25">
      <c r="A46" s="72" t="s">
        <v>77</v>
      </c>
      <c r="B46">
        <v>438353000</v>
      </c>
      <c r="C46">
        <v>96217000</v>
      </c>
      <c r="D46">
        <v>215043000</v>
      </c>
      <c r="E46">
        <v>436733000</v>
      </c>
      <c r="F46">
        <v>0.30536225475364809</v>
      </c>
    </row>
    <row r="47" spans="1:6" x14ac:dyDescent="0.25">
      <c r="A47" s="72" t="s">
        <v>78</v>
      </c>
      <c r="B47">
        <v>396107000</v>
      </c>
      <c r="C47">
        <v>92077000</v>
      </c>
      <c r="D47">
        <v>212808000</v>
      </c>
      <c r="E47">
        <v>419621000</v>
      </c>
      <c r="F47">
        <v>0.4859469606832183</v>
      </c>
    </row>
    <row r="48" spans="1:6" x14ac:dyDescent="0.25">
      <c r="A48" s="72" t="s">
        <v>79</v>
      </c>
      <c r="B48">
        <v>359364000</v>
      </c>
      <c r="C48">
        <v>71800000</v>
      </c>
      <c r="D48">
        <v>208725000</v>
      </c>
      <c r="E48">
        <v>361697000</v>
      </c>
      <c r="F48">
        <v>0.2848807610350077</v>
      </c>
    </row>
    <row r="49" spans="1:6" x14ac:dyDescent="0.25">
      <c r="A49" s="72" t="s">
        <v>80</v>
      </c>
      <c r="B49">
        <v>323775000</v>
      </c>
      <c r="C49">
        <v>69510000</v>
      </c>
      <c r="D49">
        <v>202953000</v>
      </c>
      <c r="E49">
        <v>337444000</v>
      </c>
      <c r="F49">
        <v>0.36196037612688098</v>
      </c>
    </row>
    <row r="50" spans="1:6" x14ac:dyDescent="0.25">
      <c r="A50" s="72" t="s">
        <v>81</v>
      </c>
      <c r="B50">
        <v>283959000</v>
      </c>
      <c r="C50">
        <v>64004000</v>
      </c>
      <c r="D50">
        <v>200439000</v>
      </c>
      <c r="E50">
        <v>321557000</v>
      </c>
      <c r="F50">
        <v>0.12802689405214229</v>
      </c>
    </row>
    <row r="51" spans="1:6" x14ac:dyDescent="0.25">
      <c r="A51" s="72" t="s">
        <v>82</v>
      </c>
      <c r="B51">
        <v>255138000</v>
      </c>
      <c r="C51">
        <v>62803000</v>
      </c>
      <c r="D51">
        <v>77757000</v>
      </c>
      <c r="E51">
        <v>322642000</v>
      </c>
    </row>
    <row r="52" spans="1:6" x14ac:dyDescent="0.25">
      <c r="A52" s="72" t="s">
        <v>83</v>
      </c>
      <c r="B52">
        <v>219722000</v>
      </c>
      <c r="C52">
        <v>55240000</v>
      </c>
      <c r="D52">
        <v>199804332</v>
      </c>
      <c r="E52">
        <v>90283000</v>
      </c>
    </row>
    <row r="53" spans="1:6" x14ac:dyDescent="0.25">
      <c r="A53" s="72" t="s">
        <v>84</v>
      </c>
      <c r="B53">
        <v>185181000</v>
      </c>
      <c r="C53">
        <v>53295000</v>
      </c>
      <c r="D53">
        <v>192984000</v>
      </c>
      <c r="E53">
        <v>82822000</v>
      </c>
    </row>
    <row r="54" spans="1:6" x14ac:dyDescent="0.25">
      <c r="A54" s="72" t="s">
        <v>85</v>
      </c>
      <c r="D54">
        <v>50145000</v>
      </c>
    </row>
    <row r="55" spans="1:6" x14ac:dyDescent="0.25">
      <c r="A55" s="72" t="s">
        <v>86</v>
      </c>
      <c r="D55">
        <v>50145000</v>
      </c>
      <c r="E55">
        <v>40517000</v>
      </c>
    </row>
    <row r="56" spans="1:6" x14ac:dyDescent="0.25">
      <c r="A56" s="72" t="s">
        <v>87</v>
      </c>
      <c r="D56">
        <v>50145000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88</v>
      </c>
      <c r="B1" s="27" t="s">
        <v>89</v>
      </c>
      <c r="C1" t="s">
        <v>90</v>
      </c>
      <c r="D1" t="s">
        <v>91</v>
      </c>
      <c r="F1" s="27" t="s">
        <v>89</v>
      </c>
      <c r="G1" t="s">
        <v>90</v>
      </c>
      <c r="H1" t="s">
        <v>91</v>
      </c>
      <c r="J1" t="s">
        <v>92</v>
      </c>
      <c r="K1" t="s">
        <v>90</v>
      </c>
      <c r="L1" t="s">
        <v>91</v>
      </c>
      <c r="N1" t="s">
        <v>93</v>
      </c>
      <c r="O1" t="s">
        <v>90</v>
      </c>
      <c r="P1" t="s">
        <v>91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34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35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36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37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94</v>
      </c>
    </row>
    <row r="7" spans="1:46" x14ac:dyDescent="0.25">
      <c r="A7" s="27" t="s">
        <v>38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95</v>
      </c>
    </row>
    <row r="8" spans="1:46" x14ac:dyDescent="0.25">
      <c r="A8" s="27" t="s">
        <v>39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40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96</v>
      </c>
    </row>
    <row r="10" spans="1:46" x14ac:dyDescent="0.25">
      <c r="A10" s="27" t="s">
        <v>41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97</v>
      </c>
    </row>
    <row r="11" spans="1:46" x14ac:dyDescent="0.25">
      <c r="A11" s="27" t="s">
        <v>42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43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44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45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98</v>
      </c>
    </row>
    <row r="15" spans="1:46" x14ac:dyDescent="0.25">
      <c r="A15" s="27" t="s">
        <v>46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47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48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49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50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51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52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53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54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55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56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57</v>
      </c>
      <c r="J26">
        <v>0.61799999999999999</v>
      </c>
      <c r="N26">
        <v>-0.36399999999999999</v>
      </c>
    </row>
    <row r="27" spans="1:17" x14ac:dyDescent="0.25">
      <c r="A27" s="27" t="s">
        <v>58</v>
      </c>
    </row>
    <row r="28" spans="1:17" x14ac:dyDescent="0.25">
      <c r="A28" s="27" t="s">
        <v>59</v>
      </c>
    </row>
    <row r="29" spans="1:17" x14ac:dyDescent="0.25">
      <c r="A29" s="27" t="s">
        <v>60</v>
      </c>
    </row>
    <row r="31" spans="1:17" x14ac:dyDescent="0.25">
      <c r="A31" s="26" t="s">
        <v>99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100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101</v>
      </c>
      <c r="C1" s="72" t="s">
        <v>102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103</v>
      </c>
      <c r="D2">
        <v>0.74057760881551848</v>
      </c>
      <c r="E2">
        <v>9.2029810843896817E-2</v>
      </c>
    </row>
    <row r="3" spans="1:5" x14ac:dyDescent="0.25">
      <c r="A3" s="72">
        <v>1</v>
      </c>
      <c r="B3">
        <v>3</v>
      </c>
      <c r="C3" t="s">
        <v>104</v>
      </c>
      <c r="D3">
        <v>1.1059561744972191</v>
      </c>
      <c r="E3">
        <v>0.11733958425592519</v>
      </c>
    </row>
    <row r="4" spans="1:5" x14ac:dyDescent="0.25">
      <c r="A4" s="72">
        <v>2</v>
      </c>
      <c r="B4">
        <v>3</v>
      </c>
      <c r="C4" t="s">
        <v>105</v>
      </c>
      <c r="D4">
        <v>1.2358877268595789</v>
      </c>
      <c r="E4">
        <v>0.12633994294754389</v>
      </c>
    </row>
    <row r="5" spans="1:5" x14ac:dyDescent="0.25">
      <c r="A5" s="72">
        <v>3</v>
      </c>
      <c r="B5">
        <v>5</v>
      </c>
      <c r="C5" t="s">
        <v>103</v>
      </c>
      <c r="D5">
        <v>1.1237626670848659</v>
      </c>
      <c r="E5">
        <v>0.1185730400056227</v>
      </c>
    </row>
    <row r="6" spans="1:5" x14ac:dyDescent="0.25">
      <c r="A6" s="72">
        <v>4</v>
      </c>
      <c r="B6">
        <v>5</v>
      </c>
      <c r="C6" t="s">
        <v>104</v>
      </c>
      <c r="D6">
        <v>1.0846018648972631</v>
      </c>
      <c r="E6">
        <v>0.115860371220161</v>
      </c>
    </row>
    <row r="7" spans="1:5" x14ac:dyDescent="0.25">
      <c r="A7" s="72">
        <v>5</v>
      </c>
      <c r="B7">
        <v>5</v>
      </c>
      <c r="C7" t="s">
        <v>105</v>
      </c>
      <c r="D7">
        <v>1.0228363687313839</v>
      </c>
      <c r="E7">
        <v>0.11158187527247659</v>
      </c>
    </row>
    <row r="8" spans="1:5" x14ac:dyDescent="0.25">
      <c r="A8" s="72">
        <v>6</v>
      </c>
      <c r="B8" t="s">
        <v>99</v>
      </c>
      <c r="D8">
        <v>1.052270401814305</v>
      </c>
      <c r="E8">
        <v>0.11362077075760441</v>
      </c>
    </row>
    <row r="9" spans="1:5" x14ac:dyDescent="0.25">
      <c r="A9" s="72">
        <v>7</v>
      </c>
      <c r="B9" t="s">
        <v>100</v>
      </c>
      <c r="D9">
        <v>1.0952790196972411</v>
      </c>
      <c r="E9">
        <v>0.11659997773804311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2024-10-18T21:34:31Z</dcterms:modified>
</cp:coreProperties>
</file>